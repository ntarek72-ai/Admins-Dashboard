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Line'!$A$1:$AR$3001</definedName>
    <definedName name="_xlnm._FilterDatabase" localSheetId="3" hidden="1">'Per Invoice'!$A$1:$AE$1001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808080"/>
    </font>
    <font>
      <color rgb="FF0000FF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SMART MEDICAL SERVICES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A-P, R-X, AB-AD, AF-AM (same order as the system export).</t>
        </is>
      </c>
    </row>
    <row r="6">
      <c r="A6" s="3" t="inlineStr">
        <is>
          <t>3. Green columns (Q, Y, Z, AA, AE) and the grey helper columns (AN-AR)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(13%) if Local is TRUE, otherwise Imported rate (3%).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3,000 lines and 1,000 invoices per month. A line with an empty Order # is ignored.</t>
        </is>
      </c>
    </row>
    <row r="21">
      <c r="A21" s="3" t="inlineStr">
        <is>
          <t>Max Limit rule (as in the old sheet): if an invoice's Grand Total is above its Max Limit, Co val = Co Payment x Max Limit / 100 + (Grand Total - Max Limit). Per Line keeps the plain Co val, so 'Settings' shows the difference as 'Max Limit adjustment'.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SMART MEDICAL SERVICES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SHOURA; ITDA Nasr City; Hesni; ITDA-New Capital; ITDA Fostat; ITDA IND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0.13</v>
      </c>
      <c r="D6" t="inlineStr">
        <is>
          <t>Source: Sep sheet (Rebates = 13 on Local lines).</t>
        </is>
      </c>
    </row>
    <row r="7">
      <c r="B7" t="inlineStr">
        <is>
          <t>Imported (IMP) products rebate %</t>
        </is>
      </c>
      <c r="C7" s="5" t="n">
        <v>0.03</v>
      </c>
      <c r="D7" t="inlineStr">
        <is>
          <t>Source: Sep sheet (Rebates = 3 on non-local lines; 0 on Special Rebates = Yes).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Line'!$E$2:$E$3001)</f>
        <v/>
      </c>
    </row>
    <row r="11">
      <c r="B11" t="inlineStr">
        <is>
          <t>Invoices (unique Order #)</t>
        </is>
      </c>
      <c r="C11">
        <f>MAX('Per Line'!$AO$2:$AO$3001)</f>
        <v/>
      </c>
    </row>
    <row r="12">
      <c r="B12" t="inlineStr">
        <is>
          <t>Invoices shown in Per Invoice</t>
        </is>
      </c>
      <c r="C12">
        <f>SUMPRODUCT(--('Per Invoice'!$B$2:$B$1001&lt;&gt;""))</f>
        <v/>
      </c>
    </row>
    <row r="13">
      <c r="B13" t="inlineStr">
        <is>
          <t>Grand Total - Per Line (Product Total)</t>
        </is>
      </c>
      <c r="C13" s="7">
        <f>SUM('Per Line'!$AB$2:$AB$3001)</f>
        <v/>
      </c>
    </row>
    <row r="14">
      <c r="B14" t="inlineStr">
        <is>
          <t>Grand Total - Per Invoice</t>
        </is>
      </c>
      <c r="C14" s="7">
        <f>SUM('Per Invoice'!$AB$2:$AB$1001)</f>
        <v/>
      </c>
    </row>
    <row r="15">
      <c r="B15" t="inlineStr">
        <is>
          <t>Discount - Per Line</t>
        </is>
      </c>
      <c r="C15" s="7">
        <f>SUM('Per Line'!$Y$2:$Y$3001)</f>
        <v/>
      </c>
    </row>
    <row r="16">
      <c r="B16" t="inlineStr">
        <is>
          <t>Discount - Per Invoice</t>
        </is>
      </c>
      <c r="C16" s="7">
        <f>SUM('Per Invoice'!$Z$2:$Z$1001)</f>
        <v/>
      </c>
    </row>
    <row r="17">
      <c r="B17" t="inlineStr">
        <is>
          <t>Co val - Per Line</t>
        </is>
      </c>
      <c r="C17" s="7">
        <f>SUM('Per Line'!$Q$2:$Q$3001)</f>
        <v/>
      </c>
    </row>
    <row r="18">
      <c r="B18" t="inlineStr">
        <is>
          <t>Co val - Per Invoice</t>
        </is>
      </c>
      <c r="C18" s="7">
        <f>SUM('Per Invoice'!$P$2:$P$1001)</f>
        <v/>
      </c>
    </row>
    <row r="19">
      <c r="B19" t="inlineStr">
        <is>
          <t>Net - Per Line</t>
        </is>
      </c>
      <c r="C19" s="7">
        <f>SUM('Per Line'!$AA$2:$AA$3001)</f>
        <v/>
      </c>
    </row>
    <row r="20">
      <c r="B20" t="inlineStr">
        <is>
          <t>Net - Per Invoice</t>
        </is>
      </c>
      <c r="C20" s="7">
        <f>SUM('Per Invoice'!$AC$2:$AC$1001)</f>
        <v/>
      </c>
    </row>
    <row r="21">
      <c r="B21" t="inlineStr">
        <is>
          <t>Max Limit adjustment (Co val, Per Invoice only)</t>
        </is>
      </c>
      <c r="C21" s="7">
        <f>SUM('Per Invoice'!$AE$2:$AE$1001)</f>
        <v/>
      </c>
      <c r="D21" t="inlineStr">
        <is>
          <t>Invoices whose Grand Total is above the Max Limit: Co val = Co% x Max Limit / 100 + (Grand Total - Max Limit). This difference exists only in Per Invoice, as in the old sheet.</t>
        </is>
      </c>
    </row>
    <row r="23">
      <c r="B23" s="6" t="inlineStr">
        <is>
          <t>STATUS</t>
        </is>
      </c>
      <c r="C23" s="6">
        <f>IF(C10=0,"No data loaded",IF(COUNTA('Per Line'!$E:$E)-1&gt;3000,"TOO MANY LINES - extend template",IF(C11&gt;1000,"TOO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4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1" customWidth="1" min="25" max="25"/>
    <col width="11" customWidth="1" min="26" max="26"/>
    <col width="11" customWidth="1" min="27" max="27"/>
    <col width="12" customWidth="1" min="28" max="28"/>
    <col width="36" customWidth="1" min="29" max="29"/>
    <col width="12" customWidth="1" min="30" max="30"/>
    <col width="11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7" customWidth="1" min="38" max="38"/>
    <col width="12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32" customHeight="1">
      <c r="A1" s="8" t="inlineStr">
        <is>
          <t>Cycle</t>
        </is>
      </c>
      <c r="B1" s="8" t="inlineStr">
        <is>
          <t>Ticket #</t>
        </is>
      </c>
      <c r="C1" s="8" t="inlineStr">
        <is>
          <t>Stage</t>
        </is>
      </c>
      <c r="D1" s="8" t="inlineStr">
        <is>
          <t>Approval Ref</t>
        </is>
      </c>
      <c r="E1" s="8" t="inlineStr">
        <is>
          <t>Order #</t>
        </is>
      </c>
      <c r="F1" s="8" t="inlineStr">
        <is>
          <t>Channel</t>
        </is>
      </c>
      <c r="G1" s="8" t="inlineStr">
        <is>
          <t>Create At</t>
        </is>
      </c>
      <c r="H1" s="8" t="inlineStr">
        <is>
          <t>Insurance Company</t>
        </is>
      </c>
      <c r="I1" s="8" t="inlineStr">
        <is>
          <t>Country Portal ID</t>
        </is>
      </c>
      <c r="J1" s="8" t="inlineStr">
        <is>
          <t>Corporate</t>
        </is>
      </c>
      <c r="K1" s="8" t="inlineStr">
        <is>
          <t>Card</t>
        </is>
      </c>
      <c r="L1" s="8" t="inlineStr">
        <is>
          <t>Name</t>
        </is>
      </c>
      <c r="M1" s="8" t="inlineStr">
        <is>
          <t>Status</t>
        </is>
      </c>
      <c r="N1" s="8" t="inlineStr">
        <is>
          <t>Local Rebates</t>
        </is>
      </c>
      <c r="O1" s="8" t="inlineStr">
        <is>
          <t>Imported Rebates</t>
        </is>
      </c>
      <c r="P1" s="8" t="inlineStr">
        <is>
          <t>Order Co Payment</t>
        </is>
      </c>
      <c r="Q1" s="9" t="inlineStr">
        <is>
          <t>Co val</t>
        </is>
      </c>
      <c r="R1" s="8" t="inlineStr">
        <is>
          <t>By Patient</t>
        </is>
      </c>
      <c r="S1" s="8" t="inlineStr">
        <is>
          <t>heisenberg id</t>
        </is>
      </c>
      <c r="T1" s="8" t="inlineStr">
        <is>
          <t>Product Name</t>
        </is>
      </c>
      <c r="U1" s="8" t="inlineStr">
        <is>
          <t>Local</t>
        </is>
      </c>
      <c r="V1" s="8" t="inlineStr">
        <is>
          <t>Unit</t>
        </is>
      </c>
      <c r="W1" s="8" t="inlineStr">
        <is>
          <t>Quantity</t>
        </is>
      </c>
      <c r="X1" s="8" t="inlineStr">
        <is>
          <t>Unit Price</t>
        </is>
      </c>
      <c r="Y1" s="9" t="inlineStr">
        <is>
          <t>Discount</t>
        </is>
      </c>
      <c r="Z1" s="9" t="inlineStr">
        <is>
          <t>Subtotal</t>
        </is>
      </c>
      <c r="AA1" s="9" t="inlineStr">
        <is>
          <t>Net</t>
        </is>
      </c>
      <c r="AB1" s="8" t="inlineStr">
        <is>
          <t>Product Total</t>
        </is>
      </c>
      <c r="AC1" s="8" t="inlineStr">
        <is>
          <t>ERX ID</t>
        </is>
      </c>
      <c r="AD1" s="8" t="inlineStr">
        <is>
          <t>Special Rebates?</t>
        </is>
      </c>
      <c r="AE1" s="9" t="inlineStr">
        <is>
          <t>Rebates</t>
        </is>
      </c>
      <c r="AF1" s="8" t="inlineStr">
        <is>
          <t>Approval Type</t>
        </is>
      </c>
      <c r="AG1" s="8" t="inlineStr">
        <is>
          <t>Max Limit</t>
        </is>
      </c>
      <c r="AH1" s="8" t="inlineStr">
        <is>
          <t>Exceeding Limit</t>
        </is>
      </c>
      <c r="AI1" s="8" t="inlineStr">
        <is>
          <t>Amount collected from customer</t>
        </is>
      </c>
      <c r="AJ1" s="8" t="inlineStr">
        <is>
          <t>By Patient (Delivered)</t>
        </is>
      </c>
      <c r="AK1" s="8" t="inlineStr">
        <is>
          <t>Dispense Number</t>
        </is>
      </c>
      <c r="AL1" s="8" t="inlineStr">
        <is>
          <t>Dispense Date</t>
        </is>
      </c>
      <c r="AM1" s="8" t="inlineStr">
        <is>
          <t>Has OTP?</t>
        </is>
      </c>
      <c r="AN1" s="10" t="inlineStr">
        <is>
          <t>Order 1st Row (helper)</t>
        </is>
      </c>
      <c r="AO1" s="10" t="inlineStr">
        <is>
          <t>Invoice # (helper)</t>
        </is>
      </c>
      <c r="AP1" s="10" t="inlineStr">
        <is>
          <t>Is Local (helper)</t>
        </is>
      </c>
      <c r="AQ1" s="10" t="inlineStr">
        <is>
          <t>Is Special (helper)</t>
        </is>
      </c>
      <c r="AR1" s="10" t="inlineStr">
        <is>
          <t>Sort Key (helper)</t>
        </is>
      </c>
    </row>
    <row r="2">
      <c r="G2" s="11" t="n"/>
      <c r="Q2" s="7">
        <f>IF($E2="","",P2*AB2/100)</f>
        <v/>
      </c>
      <c r="R2" s="7" t="n"/>
      <c r="X2" s="7" t="n"/>
      <c r="Y2" s="7">
        <f>IF($E2="","",AB2*AE2/100)</f>
        <v/>
      </c>
      <c r="Z2" s="7">
        <f>IF($E2="","",AB2-Y2)</f>
        <v/>
      </c>
      <c r="AA2" s="7">
        <f>IF($E2="","",Z2-Q2)</f>
        <v/>
      </c>
      <c r="AB2" s="7" t="n"/>
      <c r="AE2">
        <f>IF($E2="","",IF($AQ2=1,0,IF($AP2=1,Settings!$C$6,Settings!$C$7))*100)</f>
        <v/>
      </c>
      <c r="AI2" s="7" t="n"/>
      <c r="AL2" s="11" t="n"/>
      <c r="AN2">
        <f>IF($E2="","",IF(COUNTIF($E$2:$E2,$E2)=1,1,0))</f>
        <v/>
      </c>
      <c r="AO2">
        <f>IF($AN2=1,SUMPRODUCT(--($AR$2:$AR$3001&lt;$AR2))+1,"")</f>
        <v/>
      </c>
      <c r="AP2">
        <f>IF($E2="","",IF(OR($U2=TRUE(),$U2="TRUE"),1,0))</f>
        <v/>
      </c>
      <c r="AQ2">
        <f>IF($E2="","",IF($AD2="Yes",1,0))</f>
        <v/>
      </c>
      <c r="AR2">
        <f>IF($AN2=1,IFERROR(VALUE(MID($E2,2,20)),1000000000)+ROW()/100000,"")</f>
        <v/>
      </c>
    </row>
    <row r="3">
      <c r="G3" s="11" t="n"/>
      <c r="Q3" s="7">
        <f>IF($E3="","",P3*AB3/100)</f>
        <v/>
      </c>
      <c r="R3" s="7" t="n"/>
      <c r="X3" s="7" t="n"/>
      <c r="Y3" s="7">
        <f>IF($E3="","",AB3*AE3/100)</f>
        <v/>
      </c>
      <c r="Z3" s="7">
        <f>IF($E3="","",AB3-Y3)</f>
        <v/>
      </c>
      <c r="AA3" s="7">
        <f>IF($E3="","",Z3-Q3)</f>
        <v/>
      </c>
      <c r="AB3" s="7" t="n"/>
      <c r="AE3">
        <f>IF($E3="","",IF($AQ3=1,0,IF($AP3=1,Settings!$C$6,Settings!$C$7))*100)</f>
        <v/>
      </c>
      <c r="AI3" s="7" t="n"/>
      <c r="AL3" s="11" t="n"/>
      <c r="AN3">
        <f>IF($E3="","",IF(COUNTIF($E$2:$E3,$E3)=1,1,0))</f>
        <v/>
      </c>
      <c r="AO3">
        <f>IF($AN3=1,SUMPRODUCT(--($AR$2:$AR$3001&lt;$AR3))+1,"")</f>
        <v/>
      </c>
      <c r="AP3">
        <f>IF($E3="","",IF(OR($U3=TRUE(),$U3="TRUE"),1,0))</f>
        <v/>
      </c>
      <c r="AQ3">
        <f>IF($E3="","",IF($AD3="Yes",1,0))</f>
        <v/>
      </c>
      <c r="AR3">
        <f>IF($AN3=1,IFERROR(VALUE(MID($E3,2,20)),1000000000)+ROW()/100000,"")</f>
        <v/>
      </c>
    </row>
    <row r="4">
      <c r="G4" s="11" t="n"/>
      <c r="Q4" s="7">
        <f>IF($E4="","",P4*AB4/100)</f>
        <v/>
      </c>
      <c r="R4" s="7" t="n"/>
      <c r="X4" s="7" t="n"/>
      <c r="Y4" s="7">
        <f>IF($E4="","",AB4*AE4/100)</f>
        <v/>
      </c>
      <c r="Z4" s="7">
        <f>IF($E4="","",AB4-Y4)</f>
        <v/>
      </c>
      <c r="AA4" s="7">
        <f>IF($E4="","",Z4-Q4)</f>
        <v/>
      </c>
      <c r="AB4" s="7" t="n"/>
      <c r="AE4">
        <f>IF($E4="","",IF($AQ4=1,0,IF($AP4=1,Settings!$C$6,Settings!$C$7))*100)</f>
        <v/>
      </c>
      <c r="AI4" s="7" t="n"/>
      <c r="AL4" s="11" t="n"/>
      <c r="AN4">
        <f>IF($E4="","",IF(COUNTIF($E$2:$E4,$E4)=1,1,0))</f>
        <v/>
      </c>
      <c r="AO4">
        <f>IF($AN4=1,SUMPRODUCT(--($AR$2:$AR$3001&lt;$AR4))+1,"")</f>
        <v/>
      </c>
      <c r="AP4">
        <f>IF($E4="","",IF(OR($U4=TRUE(),$U4="TRUE"),1,0))</f>
        <v/>
      </c>
      <c r="AQ4">
        <f>IF($E4="","",IF($AD4="Yes",1,0))</f>
        <v/>
      </c>
      <c r="AR4">
        <f>IF($AN4=1,IFERROR(VALUE(MID($E4,2,20)),1000000000)+ROW()/100000,"")</f>
        <v/>
      </c>
    </row>
    <row r="5">
      <c r="G5" s="11" t="n"/>
      <c r="Q5" s="7">
        <f>IF($E5="","",P5*AB5/100)</f>
        <v/>
      </c>
      <c r="R5" s="7" t="n"/>
      <c r="X5" s="7" t="n"/>
      <c r="Y5" s="7">
        <f>IF($E5="","",AB5*AE5/100)</f>
        <v/>
      </c>
      <c r="Z5" s="7">
        <f>IF($E5="","",AB5-Y5)</f>
        <v/>
      </c>
      <c r="AA5" s="7">
        <f>IF($E5="","",Z5-Q5)</f>
        <v/>
      </c>
      <c r="AB5" s="7" t="n"/>
      <c r="AE5">
        <f>IF($E5="","",IF($AQ5=1,0,IF($AP5=1,Settings!$C$6,Settings!$C$7))*100)</f>
        <v/>
      </c>
      <c r="AI5" s="7" t="n"/>
      <c r="AL5" s="11" t="n"/>
      <c r="AN5">
        <f>IF($E5="","",IF(COUNTIF($E$2:$E5,$E5)=1,1,0))</f>
        <v/>
      </c>
      <c r="AO5">
        <f>IF($AN5=1,SUMPRODUCT(--($AR$2:$AR$3001&lt;$AR5))+1,"")</f>
        <v/>
      </c>
      <c r="AP5">
        <f>IF($E5="","",IF(OR($U5=TRUE(),$U5="TRUE"),1,0))</f>
        <v/>
      </c>
      <c r="AQ5">
        <f>IF($E5="","",IF($AD5="Yes",1,0))</f>
        <v/>
      </c>
      <c r="AR5">
        <f>IF($AN5=1,IFERROR(VALUE(MID($E5,2,20)),1000000000)+ROW()/100000,"")</f>
        <v/>
      </c>
    </row>
    <row r="6">
      <c r="G6" s="11" t="n"/>
      <c r="Q6" s="7">
        <f>IF($E6="","",P6*AB6/100)</f>
        <v/>
      </c>
      <c r="R6" s="7" t="n"/>
      <c r="X6" s="7" t="n"/>
      <c r="Y6" s="7">
        <f>IF($E6="","",AB6*AE6/100)</f>
        <v/>
      </c>
      <c r="Z6" s="7">
        <f>IF($E6="","",AB6-Y6)</f>
        <v/>
      </c>
      <c r="AA6" s="7">
        <f>IF($E6="","",Z6-Q6)</f>
        <v/>
      </c>
      <c r="AB6" s="7" t="n"/>
      <c r="AE6">
        <f>IF($E6="","",IF($AQ6=1,0,IF($AP6=1,Settings!$C$6,Settings!$C$7))*100)</f>
        <v/>
      </c>
      <c r="AI6" s="7" t="n"/>
      <c r="AL6" s="11" t="n"/>
      <c r="AN6">
        <f>IF($E6="","",IF(COUNTIF($E$2:$E6,$E6)=1,1,0))</f>
        <v/>
      </c>
      <c r="AO6">
        <f>IF($AN6=1,SUMPRODUCT(--($AR$2:$AR$3001&lt;$AR6))+1,"")</f>
        <v/>
      </c>
      <c r="AP6">
        <f>IF($E6="","",IF(OR($U6=TRUE(),$U6="TRUE"),1,0))</f>
        <v/>
      </c>
      <c r="AQ6">
        <f>IF($E6="","",IF($AD6="Yes",1,0))</f>
        <v/>
      </c>
      <c r="AR6">
        <f>IF($AN6=1,IFERROR(VALUE(MID($E6,2,20)),1000000000)+ROW()/100000,"")</f>
        <v/>
      </c>
    </row>
    <row r="7">
      <c r="G7" s="11" t="n"/>
      <c r="Q7" s="7">
        <f>IF($E7="","",P7*AB7/100)</f>
        <v/>
      </c>
      <c r="R7" s="7" t="n"/>
      <c r="X7" s="7" t="n"/>
      <c r="Y7" s="7">
        <f>IF($E7="","",AB7*AE7/100)</f>
        <v/>
      </c>
      <c r="Z7" s="7">
        <f>IF($E7="","",AB7-Y7)</f>
        <v/>
      </c>
      <c r="AA7" s="7">
        <f>IF($E7="","",Z7-Q7)</f>
        <v/>
      </c>
      <c r="AB7" s="7" t="n"/>
      <c r="AE7">
        <f>IF($E7="","",IF($AQ7=1,0,IF($AP7=1,Settings!$C$6,Settings!$C$7))*100)</f>
        <v/>
      </c>
      <c r="AI7" s="7" t="n"/>
      <c r="AL7" s="11" t="n"/>
      <c r="AN7">
        <f>IF($E7="","",IF(COUNTIF($E$2:$E7,$E7)=1,1,0))</f>
        <v/>
      </c>
      <c r="AO7">
        <f>IF($AN7=1,SUMPRODUCT(--($AR$2:$AR$3001&lt;$AR7))+1,"")</f>
        <v/>
      </c>
      <c r="AP7">
        <f>IF($E7="","",IF(OR($U7=TRUE(),$U7="TRUE"),1,0))</f>
        <v/>
      </c>
      <c r="AQ7">
        <f>IF($E7="","",IF($AD7="Yes",1,0))</f>
        <v/>
      </c>
      <c r="AR7">
        <f>IF($AN7=1,IFERROR(VALUE(MID($E7,2,20)),1000000000)+ROW()/100000,"")</f>
        <v/>
      </c>
    </row>
    <row r="8">
      <c r="G8" s="11" t="n"/>
      <c r="Q8" s="7">
        <f>IF($E8="","",P8*AB8/100)</f>
        <v/>
      </c>
      <c r="R8" s="7" t="n"/>
      <c r="X8" s="7" t="n"/>
      <c r="Y8" s="7">
        <f>IF($E8="","",AB8*AE8/100)</f>
        <v/>
      </c>
      <c r="Z8" s="7">
        <f>IF($E8="","",AB8-Y8)</f>
        <v/>
      </c>
      <c r="AA8" s="7">
        <f>IF($E8="","",Z8-Q8)</f>
        <v/>
      </c>
      <c r="AB8" s="7" t="n"/>
      <c r="AE8">
        <f>IF($E8="","",IF($AQ8=1,0,IF($AP8=1,Settings!$C$6,Settings!$C$7))*100)</f>
        <v/>
      </c>
      <c r="AI8" s="7" t="n"/>
      <c r="AL8" s="11" t="n"/>
      <c r="AN8">
        <f>IF($E8="","",IF(COUNTIF($E$2:$E8,$E8)=1,1,0))</f>
        <v/>
      </c>
      <c r="AO8">
        <f>IF($AN8=1,SUMPRODUCT(--($AR$2:$AR$3001&lt;$AR8))+1,"")</f>
        <v/>
      </c>
      <c r="AP8">
        <f>IF($E8="","",IF(OR($U8=TRUE(),$U8="TRUE"),1,0))</f>
        <v/>
      </c>
      <c r="AQ8">
        <f>IF($E8="","",IF($AD8="Yes",1,0))</f>
        <v/>
      </c>
      <c r="AR8">
        <f>IF($AN8=1,IFERROR(VALUE(MID($E8,2,20)),1000000000)+ROW()/100000,"")</f>
        <v/>
      </c>
    </row>
    <row r="9">
      <c r="G9" s="11" t="n"/>
      <c r="Q9" s="7">
        <f>IF($E9="","",P9*AB9/100)</f>
        <v/>
      </c>
      <c r="R9" s="7" t="n"/>
      <c r="X9" s="7" t="n"/>
      <c r="Y9" s="7">
        <f>IF($E9="","",AB9*AE9/100)</f>
        <v/>
      </c>
      <c r="Z9" s="7">
        <f>IF($E9="","",AB9-Y9)</f>
        <v/>
      </c>
      <c r="AA9" s="7">
        <f>IF($E9="","",Z9-Q9)</f>
        <v/>
      </c>
      <c r="AB9" s="7" t="n"/>
      <c r="AE9">
        <f>IF($E9="","",IF($AQ9=1,0,IF($AP9=1,Settings!$C$6,Settings!$C$7))*100)</f>
        <v/>
      </c>
      <c r="AI9" s="7" t="n"/>
      <c r="AL9" s="11" t="n"/>
      <c r="AN9">
        <f>IF($E9="","",IF(COUNTIF($E$2:$E9,$E9)=1,1,0))</f>
        <v/>
      </c>
      <c r="AO9">
        <f>IF($AN9=1,SUMPRODUCT(--($AR$2:$AR$3001&lt;$AR9))+1,"")</f>
        <v/>
      </c>
      <c r="AP9">
        <f>IF($E9="","",IF(OR($U9=TRUE(),$U9="TRUE"),1,0))</f>
        <v/>
      </c>
      <c r="AQ9">
        <f>IF($E9="","",IF($AD9="Yes",1,0))</f>
        <v/>
      </c>
      <c r="AR9">
        <f>IF($AN9=1,IFERROR(VALUE(MID($E9,2,20)),1000000000)+ROW()/100000,"")</f>
        <v/>
      </c>
    </row>
    <row r="10">
      <c r="G10" s="11" t="n"/>
      <c r="Q10" s="7">
        <f>IF($E10="","",P10*AB10/100)</f>
        <v/>
      </c>
      <c r="R10" s="7" t="n"/>
      <c r="X10" s="7" t="n"/>
      <c r="Y10" s="7">
        <f>IF($E10="","",AB10*AE10/100)</f>
        <v/>
      </c>
      <c r="Z10" s="7">
        <f>IF($E10="","",AB10-Y10)</f>
        <v/>
      </c>
      <c r="AA10" s="7">
        <f>IF($E10="","",Z10-Q10)</f>
        <v/>
      </c>
      <c r="AB10" s="7" t="n"/>
      <c r="AE10">
        <f>IF($E10="","",IF($AQ10=1,0,IF($AP10=1,Settings!$C$6,Settings!$C$7))*100)</f>
        <v/>
      </c>
      <c r="AI10" s="7" t="n"/>
      <c r="AL10" s="11" t="n"/>
      <c r="AN10">
        <f>IF($E10="","",IF(COUNTIF($E$2:$E10,$E10)=1,1,0))</f>
        <v/>
      </c>
      <c r="AO10">
        <f>IF($AN10=1,SUMPRODUCT(--($AR$2:$AR$3001&lt;$AR10))+1,"")</f>
        <v/>
      </c>
      <c r="AP10">
        <f>IF($E10="","",IF(OR($U10=TRUE(),$U10="TRUE"),1,0))</f>
        <v/>
      </c>
      <c r="AQ10">
        <f>IF($E10="","",IF($AD10="Yes",1,0))</f>
        <v/>
      </c>
      <c r="AR10">
        <f>IF($AN10=1,IFERROR(VALUE(MID($E10,2,20)),1000000000)+ROW()/100000,"")</f>
        <v/>
      </c>
    </row>
    <row r="11">
      <c r="G11" s="11" t="n"/>
      <c r="Q11" s="7">
        <f>IF($E11="","",P11*AB11/100)</f>
        <v/>
      </c>
      <c r="R11" s="7" t="n"/>
      <c r="X11" s="7" t="n"/>
      <c r="Y11" s="7">
        <f>IF($E11="","",AB11*AE11/100)</f>
        <v/>
      </c>
      <c r="Z11" s="7">
        <f>IF($E11="","",AB11-Y11)</f>
        <v/>
      </c>
      <c r="AA11" s="7">
        <f>IF($E11="","",Z11-Q11)</f>
        <v/>
      </c>
      <c r="AB11" s="7" t="n"/>
      <c r="AE11">
        <f>IF($E11="","",IF($AQ11=1,0,IF($AP11=1,Settings!$C$6,Settings!$C$7))*100)</f>
        <v/>
      </c>
      <c r="AI11" s="7" t="n"/>
      <c r="AL11" s="11" t="n"/>
      <c r="AN11">
        <f>IF($E11="","",IF(COUNTIF($E$2:$E11,$E11)=1,1,0))</f>
        <v/>
      </c>
      <c r="AO11">
        <f>IF($AN11=1,SUMPRODUCT(--($AR$2:$AR$3001&lt;$AR11))+1,"")</f>
        <v/>
      </c>
      <c r="AP11">
        <f>IF($E11="","",IF(OR($U11=TRUE(),$U11="TRUE"),1,0))</f>
        <v/>
      </c>
      <c r="AQ11">
        <f>IF($E11="","",IF($AD11="Yes",1,0))</f>
        <v/>
      </c>
      <c r="AR11">
        <f>IF($AN11=1,IFERROR(VALUE(MID($E11,2,20)),1000000000)+ROW()/100000,"")</f>
        <v/>
      </c>
    </row>
    <row r="12">
      <c r="G12" s="11" t="n"/>
      <c r="Q12" s="7">
        <f>IF($E12="","",P12*AB12/100)</f>
        <v/>
      </c>
      <c r="R12" s="7" t="n"/>
      <c r="X12" s="7" t="n"/>
      <c r="Y12" s="7">
        <f>IF($E12="","",AB12*AE12/100)</f>
        <v/>
      </c>
      <c r="Z12" s="7">
        <f>IF($E12="","",AB12-Y12)</f>
        <v/>
      </c>
      <c r="AA12" s="7">
        <f>IF($E12="","",Z12-Q12)</f>
        <v/>
      </c>
      <c r="AB12" s="7" t="n"/>
      <c r="AE12">
        <f>IF($E12="","",IF($AQ12=1,0,IF($AP12=1,Settings!$C$6,Settings!$C$7))*100)</f>
        <v/>
      </c>
      <c r="AI12" s="7" t="n"/>
      <c r="AL12" s="11" t="n"/>
      <c r="AN12">
        <f>IF($E12="","",IF(COUNTIF($E$2:$E12,$E12)=1,1,0))</f>
        <v/>
      </c>
      <c r="AO12">
        <f>IF($AN12=1,SUMPRODUCT(--($AR$2:$AR$3001&lt;$AR12))+1,"")</f>
        <v/>
      </c>
      <c r="AP12">
        <f>IF($E12="","",IF(OR($U12=TRUE(),$U12="TRUE"),1,0))</f>
        <v/>
      </c>
      <c r="AQ12">
        <f>IF($E12="","",IF($AD12="Yes",1,0))</f>
        <v/>
      </c>
      <c r="AR12">
        <f>IF($AN12=1,IFERROR(VALUE(MID($E12,2,20)),1000000000)+ROW()/100000,"")</f>
        <v/>
      </c>
    </row>
    <row r="13">
      <c r="G13" s="11" t="n"/>
      <c r="Q13" s="7">
        <f>IF($E13="","",P13*AB13/100)</f>
        <v/>
      </c>
      <c r="R13" s="7" t="n"/>
      <c r="X13" s="7" t="n"/>
      <c r="Y13" s="7">
        <f>IF($E13="","",AB13*AE13/100)</f>
        <v/>
      </c>
      <c r="Z13" s="7">
        <f>IF($E13="","",AB13-Y13)</f>
        <v/>
      </c>
      <c r="AA13" s="7">
        <f>IF($E13="","",Z13-Q13)</f>
        <v/>
      </c>
      <c r="AB13" s="7" t="n"/>
      <c r="AE13">
        <f>IF($E13="","",IF($AQ13=1,0,IF($AP13=1,Settings!$C$6,Settings!$C$7))*100)</f>
        <v/>
      </c>
      <c r="AI13" s="7" t="n"/>
      <c r="AL13" s="11" t="n"/>
      <c r="AN13">
        <f>IF($E13="","",IF(COUNTIF($E$2:$E13,$E13)=1,1,0))</f>
        <v/>
      </c>
      <c r="AO13">
        <f>IF($AN13=1,SUMPRODUCT(--($AR$2:$AR$3001&lt;$AR13))+1,"")</f>
        <v/>
      </c>
      <c r="AP13">
        <f>IF($E13="","",IF(OR($U13=TRUE(),$U13="TRUE"),1,0))</f>
        <v/>
      </c>
      <c r="AQ13">
        <f>IF($E13="","",IF($AD13="Yes",1,0))</f>
        <v/>
      </c>
      <c r="AR13">
        <f>IF($AN13=1,IFERROR(VALUE(MID($E13,2,20)),1000000000)+ROW()/100000,"")</f>
        <v/>
      </c>
    </row>
    <row r="14">
      <c r="G14" s="11" t="n"/>
      <c r="Q14" s="7">
        <f>IF($E14="","",P14*AB14/100)</f>
        <v/>
      </c>
      <c r="R14" s="7" t="n"/>
      <c r="X14" s="7" t="n"/>
      <c r="Y14" s="7">
        <f>IF($E14="","",AB14*AE14/100)</f>
        <v/>
      </c>
      <c r="Z14" s="7">
        <f>IF($E14="","",AB14-Y14)</f>
        <v/>
      </c>
      <c r="AA14" s="7">
        <f>IF($E14="","",Z14-Q14)</f>
        <v/>
      </c>
      <c r="AB14" s="7" t="n"/>
      <c r="AE14">
        <f>IF($E14="","",IF($AQ14=1,0,IF($AP14=1,Settings!$C$6,Settings!$C$7))*100)</f>
        <v/>
      </c>
      <c r="AI14" s="7" t="n"/>
      <c r="AL14" s="11" t="n"/>
      <c r="AN14">
        <f>IF($E14="","",IF(COUNTIF($E$2:$E14,$E14)=1,1,0))</f>
        <v/>
      </c>
      <c r="AO14">
        <f>IF($AN14=1,SUMPRODUCT(--($AR$2:$AR$3001&lt;$AR14))+1,"")</f>
        <v/>
      </c>
      <c r="AP14">
        <f>IF($E14="","",IF(OR($U14=TRUE(),$U14="TRUE"),1,0))</f>
        <v/>
      </c>
      <c r="AQ14">
        <f>IF($E14="","",IF($AD14="Yes",1,0))</f>
        <v/>
      </c>
      <c r="AR14">
        <f>IF($AN14=1,IFERROR(VALUE(MID($E14,2,20)),1000000000)+ROW()/100000,"")</f>
        <v/>
      </c>
    </row>
    <row r="15">
      <c r="G15" s="11" t="n"/>
      <c r="Q15" s="7">
        <f>IF($E15="","",P15*AB15/100)</f>
        <v/>
      </c>
      <c r="R15" s="7" t="n"/>
      <c r="X15" s="7" t="n"/>
      <c r="Y15" s="7">
        <f>IF($E15="","",AB15*AE15/100)</f>
        <v/>
      </c>
      <c r="Z15" s="7">
        <f>IF($E15="","",AB15-Y15)</f>
        <v/>
      </c>
      <c r="AA15" s="7">
        <f>IF($E15="","",Z15-Q15)</f>
        <v/>
      </c>
      <c r="AB15" s="7" t="n"/>
      <c r="AE15">
        <f>IF($E15="","",IF($AQ15=1,0,IF($AP15=1,Settings!$C$6,Settings!$C$7))*100)</f>
        <v/>
      </c>
      <c r="AI15" s="7" t="n"/>
      <c r="AL15" s="11" t="n"/>
      <c r="AN15">
        <f>IF($E15="","",IF(COUNTIF($E$2:$E15,$E15)=1,1,0))</f>
        <v/>
      </c>
      <c r="AO15">
        <f>IF($AN15=1,SUMPRODUCT(--($AR$2:$AR$3001&lt;$AR15))+1,"")</f>
        <v/>
      </c>
      <c r="AP15">
        <f>IF($E15="","",IF(OR($U15=TRUE(),$U15="TRUE"),1,0))</f>
        <v/>
      </c>
      <c r="AQ15">
        <f>IF($E15="","",IF($AD15="Yes",1,0))</f>
        <v/>
      </c>
      <c r="AR15">
        <f>IF($AN15=1,IFERROR(VALUE(MID($E15,2,20)),1000000000)+ROW()/100000,"")</f>
        <v/>
      </c>
    </row>
    <row r="16">
      <c r="G16" s="11" t="n"/>
      <c r="Q16" s="7">
        <f>IF($E16="","",P16*AB16/100)</f>
        <v/>
      </c>
      <c r="R16" s="7" t="n"/>
      <c r="X16" s="7" t="n"/>
      <c r="Y16" s="7">
        <f>IF($E16="","",AB16*AE16/100)</f>
        <v/>
      </c>
      <c r="Z16" s="7">
        <f>IF($E16="","",AB16-Y16)</f>
        <v/>
      </c>
      <c r="AA16" s="7">
        <f>IF($E16="","",Z16-Q16)</f>
        <v/>
      </c>
      <c r="AB16" s="7" t="n"/>
      <c r="AE16">
        <f>IF($E16="","",IF($AQ16=1,0,IF($AP16=1,Settings!$C$6,Settings!$C$7))*100)</f>
        <v/>
      </c>
      <c r="AI16" s="7" t="n"/>
      <c r="AL16" s="11" t="n"/>
      <c r="AN16">
        <f>IF($E16="","",IF(COUNTIF($E$2:$E16,$E16)=1,1,0))</f>
        <v/>
      </c>
      <c r="AO16">
        <f>IF($AN16=1,SUMPRODUCT(--($AR$2:$AR$3001&lt;$AR16))+1,"")</f>
        <v/>
      </c>
      <c r="AP16">
        <f>IF($E16="","",IF(OR($U16=TRUE(),$U16="TRUE"),1,0))</f>
        <v/>
      </c>
      <c r="AQ16">
        <f>IF($E16="","",IF($AD16="Yes",1,0))</f>
        <v/>
      </c>
      <c r="AR16">
        <f>IF($AN16=1,IFERROR(VALUE(MID($E16,2,20)),1000000000)+ROW()/100000,"")</f>
        <v/>
      </c>
    </row>
    <row r="17">
      <c r="G17" s="11" t="n"/>
      <c r="Q17" s="7">
        <f>IF($E17="","",P17*AB17/100)</f>
        <v/>
      </c>
      <c r="R17" s="7" t="n"/>
      <c r="X17" s="7" t="n"/>
      <c r="Y17" s="7">
        <f>IF($E17="","",AB17*AE17/100)</f>
        <v/>
      </c>
      <c r="Z17" s="7">
        <f>IF($E17="","",AB17-Y17)</f>
        <v/>
      </c>
      <c r="AA17" s="7">
        <f>IF($E17="","",Z17-Q17)</f>
        <v/>
      </c>
      <c r="AB17" s="7" t="n"/>
      <c r="AE17">
        <f>IF($E17="","",IF($AQ17=1,0,IF($AP17=1,Settings!$C$6,Settings!$C$7))*100)</f>
        <v/>
      </c>
      <c r="AI17" s="7" t="n"/>
      <c r="AL17" s="11" t="n"/>
      <c r="AN17">
        <f>IF($E17="","",IF(COUNTIF($E$2:$E17,$E17)=1,1,0))</f>
        <v/>
      </c>
      <c r="AO17">
        <f>IF($AN17=1,SUMPRODUCT(--($AR$2:$AR$3001&lt;$AR17))+1,"")</f>
        <v/>
      </c>
      <c r="AP17">
        <f>IF($E17="","",IF(OR($U17=TRUE(),$U17="TRUE"),1,0))</f>
        <v/>
      </c>
      <c r="AQ17">
        <f>IF($E17="","",IF($AD17="Yes",1,0))</f>
        <v/>
      </c>
      <c r="AR17">
        <f>IF($AN17=1,IFERROR(VALUE(MID($E17,2,20)),1000000000)+ROW()/100000,"")</f>
        <v/>
      </c>
    </row>
    <row r="18">
      <c r="G18" s="11" t="n"/>
      <c r="Q18" s="7">
        <f>IF($E18="","",P18*AB18/100)</f>
        <v/>
      </c>
      <c r="R18" s="7" t="n"/>
      <c r="X18" s="7" t="n"/>
      <c r="Y18" s="7">
        <f>IF($E18="","",AB18*AE18/100)</f>
        <v/>
      </c>
      <c r="Z18" s="7">
        <f>IF($E18="","",AB18-Y18)</f>
        <v/>
      </c>
      <c r="AA18" s="7">
        <f>IF($E18="","",Z18-Q18)</f>
        <v/>
      </c>
      <c r="AB18" s="7" t="n"/>
      <c r="AE18">
        <f>IF($E18="","",IF($AQ18=1,0,IF($AP18=1,Settings!$C$6,Settings!$C$7))*100)</f>
        <v/>
      </c>
      <c r="AI18" s="7" t="n"/>
      <c r="AL18" s="11" t="n"/>
      <c r="AN18">
        <f>IF($E18="","",IF(COUNTIF($E$2:$E18,$E18)=1,1,0))</f>
        <v/>
      </c>
      <c r="AO18">
        <f>IF($AN18=1,SUMPRODUCT(--($AR$2:$AR$3001&lt;$AR18))+1,"")</f>
        <v/>
      </c>
      <c r="AP18">
        <f>IF($E18="","",IF(OR($U18=TRUE(),$U18="TRUE"),1,0))</f>
        <v/>
      </c>
      <c r="AQ18">
        <f>IF($E18="","",IF($AD18="Yes",1,0))</f>
        <v/>
      </c>
      <c r="AR18">
        <f>IF($AN18=1,IFERROR(VALUE(MID($E18,2,20)),1000000000)+ROW()/100000,"")</f>
        <v/>
      </c>
    </row>
    <row r="19">
      <c r="G19" s="11" t="n"/>
      <c r="Q19" s="7">
        <f>IF($E19="","",P19*AB19/100)</f>
        <v/>
      </c>
      <c r="R19" s="7" t="n"/>
      <c r="X19" s="7" t="n"/>
      <c r="Y19" s="7">
        <f>IF($E19="","",AB19*AE19/100)</f>
        <v/>
      </c>
      <c r="Z19" s="7">
        <f>IF($E19="","",AB19-Y19)</f>
        <v/>
      </c>
      <c r="AA19" s="7">
        <f>IF($E19="","",Z19-Q19)</f>
        <v/>
      </c>
      <c r="AB19" s="7" t="n"/>
      <c r="AE19">
        <f>IF($E19="","",IF($AQ19=1,0,IF($AP19=1,Settings!$C$6,Settings!$C$7))*100)</f>
        <v/>
      </c>
      <c r="AI19" s="7" t="n"/>
      <c r="AL19" s="11" t="n"/>
      <c r="AN19">
        <f>IF($E19="","",IF(COUNTIF($E$2:$E19,$E19)=1,1,0))</f>
        <v/>
      </c>
      <c r="AO19">
        <f>IF($AN19=1,SUMPRODUCT(--($AR$2:$AR$3001&lt;$AR19))+1,"")</f>
        <v/>
      </c>
      <c r="AP19">
        <f>IF($E19="","",IF(OR($U19=TRUE(),$U19="TRUE"),1,0))</f>
        <v/>
      </c>
      <c r="AQ19">
        <f>IF($E19="","",IF($AD19="Yes",1,0))</f>
        <v/>
      </c>
      <c r="AR19">
        <f>IF($AN19=1,IFERROR(VALUE(MID($E19,2,20)),1000000000)+ROW()/100000,"")</f>
        <v/>
      </c>
    </row>
    <row r="20">
      <c r="G20" s="11" t="n"/>
      <c r="Q20" s="7">
        <f>IF($E20="","",P20*AB20/100)</f>
        <v/>
      </c>
      <c r="R20" s="7" t="n"/>
      <c r="X20" s="7" t="n"/>
      <c r="Y20" s="7">
        <f>IF($E20="","",AB20*AE20/100)</f>
        <v/>
      </c>
      <c r="Z20" s="7">
        <f>IF($E20="","",AB20-Y20)</f>
        <v/>
      </c>
      <c r="AA20" s="7">
        <f>IF($E20="","",Z20-Q20)</f>
        <v/>
      </c>
      <c r="AB20" s="7" t="n"/>
      <c r="AE20">
        <f>IF($E20="","",IF($AQ20=1,0,IF($AP20=1,Settings!$C$6,Settings!$C$7))*100)</f>
        <v/>
      </c>
      <c r="AI20" s="7" t="n"/>
      <c r="AL20" s="11" t="n"/>
      <c r="AN20">
        <f>IF($E20="","",IF(COUNTIF($E$2:$E20,$E20)=1,1,0))</f>
        <v/>
      </c>
      <c r="AO20">
        <f>IF($AN20=1,SUMPRODUCT(--($AR$2:$AR$3001&lt;$AR20))+1,"")</f>
        <v/>
      </c>
      <c r="AP20">
        <f>IF($E20="","",IF(OR($U20=TRUE(),$U20="TRUE"),1,0))</f>
        <v/>
      </c>
      <c r="AQ20">
        <f>IF($E20="","",IF($AD20="Yes",1,0))</f>
        <v/>
      </c>
      <c r="AR20">
        <f>IF($AN20=1,IFERROR(VALUE(MID($E20,2,20)),1000000000)+ROW()/100000,"")</f>
        <v/>
      </c>
    </row>
    <row r="21">
      <c r="G21" s="11" t="n"/>
      <c r="Q21" s="7">
        <f>IF($E21="","",P21*AB21/100)</f>
        <v/>
      </c>
      <c r="R21" s="7" t="n"/>
      <c r="X21" s="7" t="n"/>
      <c r="Y21" s="7">
        <f>IF($E21="","",AB21*AE21/100)</f>
        <v/>
      </c>
      <c r="Z21" s="7">
        <f>IF($E21="","",AB21-Y21)</f>
        <v/>
      </c>
      <c r="AA21" s="7">
        <f>IF($E21="","",Z21-Q21)</f>
        <v/>
      </c>
      <c r="AB21" s="7" t="n"/>
      <c r="AE21">
        <f>IF($E21="","",IF($AQ21=1,0,IF($AP21=1,Settings!$C$6,Settings!$C$7))*100)</f>
        <v/>
      </c>
      <c r="AI21" s="7" t="n"/>
      <c r="AL21" s="11" t="n"/>
      <c r="AN21">
        <f>IF($E21="","",IF(COUNTIF($E$2:$E21,$E21)=1,1,0))</f>
        <v/>
      </c>
      <c r="AO21">
        <f>IF($AN21=1,SUMPRODUCT(--($AR$2:$AR$3001&lt;$AR21))+1,"")</f>
        <v/>
      </c>
      <c r="AP21">
        <f>IF($E21="","",IF(OR($U21=TRUE(),$U21="TRUE"),1,0))</f>
        <v/>
      </c>
      <c r="AQ21">
        <f>IF($E21="","",IF($AD21="Yes",1,0))</f>
        <v/>
      </c>
      <c r="AR21">
        <f>IF($AN21=1,IFERROR(VALUE(MID($E21,2,20)),1000000000)+ROW()/100000,"")</f>
        <v/>
      </c>
    </row>
    <row r="22">
      <c r="G22" s="11" t="n"/>
      <c r="Q22" s="7">
        <f>IF($E22="","",P22*AB22/100)</f>
        <v/>
      </c>
      <c r="R22" s="7" t="n"/>
      <c r="X22" s="7" t="n"/>
      <c r="Y22" s="7">
        <f>IF($E22="","",AB22*AE22/100)</f>
        <v/>
      </c>
      <c r="Z22" s="7">
        <f>IF($E22="","",AB22-Y22)</f>
        <v/>
      </c>
      <c r="AA22" s="7">
        <f>IF($E22="","",Z22-Q22)</f>
        <v/>
      </c>
      <c r="AB22" s="7" t="n"/>
      <c r="AE22">
        <f>IF($E22="","",IF($AQ22=1,0,IF($AP22=1,Settings!$C$6,Settings!$C$7))*100)</f>
        <v/>
      </c>
      <c r="AI22" s="7" t="n"/>
      <c r="AL22" s="11" t="n"/>
      <c r="AN22">
        <f>IF($E22="","",IF(COUNTIF($E$2:$E22,$E22)=1,1,0))</f>
        <v/>
      </c>
      <c r="AO22">
        <f>IF($AN22=1,SUMPRODUCT(--($AR$2:$AR$3001&lt;$AR22))+1,"")</f>
        <v/>
      </c>
      <c r="AP22">
        <f>IF($E22="","",IF(OR($U22=TRUE(),$U22="TRUE"),1,0))</f>
        <v/>
      </c>
      <c r="AQ22">
        <f>IF($E22="","",IF($AD22="Yes",1,0))</f>
        <v/>
      </c>
      <c r="AR22">
        <f>IF($AN22=1,IFERROR(VALUE(MID($E22,2,20)),1000000000)+ROW()/100000,"")</f>
        <v/>
      </c>
    </row>
    <row r="23">
      <c r="G23" s="11" t="n"/>
      <c r="Q23" s="7">
        <f>IF($E23="","",P23*AB23/100)</f>
        <v/>
      </c>
      <c r="R23" s="7" t="n"/>
      <c r="X23" s="7" t="n"/>
      <c r="Y23" s="7">
        <f>IF($E23="","",AB23*AE23/100)</f>
        <v/>
      </c>
      <c r="Z23" s="7">
        <f>IF($E23="","",AB23-Y23)</f>
        <v/>
      </c>
      <c r="AA23" s="7">
        <f>IF($E23="","",Z23-Q23)</f>
        <v/>
      </c>
      <c r="AB23" s="7" t="n"/>
      <c r="AE23">
        <f>IF($E23="","",IF($AQ23=1,0,IF($AP23=1,Settings!$C$6,Settings!$C$7))*100)</f>
        <v/>
      </c>
      <c r="AI23" s="7" t="n"/>
      <c r="AL23" s="11" t="n"/>
      <c r="AN23">
        <f>IF($E23="","",IF(COUNTIF($E$2:$E23,$E23)=1,1,0))</f>
        <v/>
      </c>
      <c r="AO23">
        <f>IF($AN23=1,SUMPRODUCT(--($AR$2:$AR$3001&lt;$AR23))+1,"")</f>
        <v/>
      </c>
      <c r="AP23">
        <f>IF($E23="","",IF(OR($U23=TRUE(),$U23="TRUE"),1,0))</f>
        <v/>
      </c>
      <c r="AQ23">
        <f>IF($E23="","",IF($AD23="Yes",1,0))</f>
        <v/>
      </c>
      <c r="AR23">
        <f>IF($AN23=1,IFERROR(VALUE(MID($E23,2,20)),1000000000)+ROW()/100000,"")</f>
        <v/>
      </c>
    </row>
    <row r="24">
      <c r="G24" s="11" t="n"/>
      <c r="Q24" s="7">
        <f>IF($E24="","",P24*AB24/100)</f>
        <v/>
      </c>
      <c r="R24" s="7" t="n"/>
      <c r="X24" s="7" t="n"/>
      <c r="Y24" s="7">
        <f>IF($E24="","",AB24*AE24/100)</f>
        <v/>
      </c>
      <c r="Z24" s="7">
        <f>IF($E24="","",AB24-Y24)</f>
        <v/>
      </c>
      <c r="AA24" s="7">
        <f>IF($E24="","",Z24-Q24)</f>
        <v/>
      </c>
      <c r="AB24" s="7" t="n"/>
      <c r="AE24">
        <f>IF($E24="","",IF($AQ24=1,0,IF($AP24=1,Settings!$C$6,Settings!$C$7))*100)</f>
        <v/>
      </c>
      <c r="AI24" s="7" t="n"/>
      <c r="AL24" s="11" t="n"/>
      <c r="AN24">
        <f>IF($E24="","",IF(COUNTIF($E$2:$E24,$E24)=1,1,0))</f>
        <v/>
      </c>
      <c r="AO24">
        <f>IF($AN24=1,SUMPRODUCT(--($AR$2:$AR$3001&lt;$AR24))+1,"")</f>
        <v/>
      </c>
      <c r="AP24">
        <f>IF($E24="","",IF(OR($U24=TRUE(),$U24="TRUE"),1,0))</f>
        <v/>
      </c>
      <c r="AQ24">
        <f>IF($E24="","",IF($AD24="Yes",1,0))</f>
        <v/>
      </c>
      <c r="AR24">
        <f>IF($AN24=1,IFERROR(VALUE(MID($E24,2,20)),1000000000)+ROW()/100000,"")</f>
        <v/>
      </c>
    </row>
    <row r="25">
      <c r="G25" s="11" t="n"/>
      <c r="Q25" s="7">
        <f>IF($E25="","",P25*AB25/100)</f>
        <v/>
      </c>
      <c r="R25" s="7" t="n"/>
      <c r="X25" s="7" t="n"/>
      <c r="Y25" s="7">
        <f>IF($E25="","",AB25*AE25/100)</f>
        <v/>
      </c>
      <c r="Z25" s="7">
        <f>IF($E25="","",AB25-Y25)</f>
        <v/>
      </c>
      <c r="AA25" s="7">
        <f>IF($E25="","",Z25-Q25)</f>
        <v/>
      </c>
      <c r="AB25" s="7" t="n"/>
      <c r="AE25">
        <f>IF($E25="","",IF($AQ25=1,0,IF($AP25=1,Settings!$C$6,Settings!$C$7))*100)</f>
        <v/>
      </c>
      <c r="AI25" s="7" t="n"/>
      <c r="AL25" s="11" t="n"/>
      <c r="AN25">
        <f>IF($E25="","",IF(COUNTIF($E$2:$E25,$E25)=1,1,0))</f>
        <v/>
      </c>
      <c r="AO25">
        <f>IF($AN25=1,SUMPRODUCT(--($AR$2:$AR$3001&lt;$AR25))+1,"")</f>
        <v/>
      </c>
      <c r="AP25">
        <f>IF($E25="","",IF(OR($U25=TRUE(),$U25="TRUE"),1,0))</f>
        <v/>
      </c>
      <c r="AQ25">
        <f>IF($E25="","",IF($AD25="Yes",1,0))</f>
        <v/>
      </c>
      <c r="AR25">
        <f>IF($AN25=1,IFERROR(VALUE(MID($E25,2,20)),1000000000)+ROW()/100000,"")</f>
        <v/>
      </c>
    </row>
    <row r="26">
      <c r="G26" s="11" t="n"/>
      <c r="Q26" s="7">
        <f>IF($E26="","",P26*AB26/100)</f>
        <v/>
      </c>
      <c r="R26" s="7" t="n"/>
      <c r="X26" s="7" t="n"/>
      <c r="Y26" s="7">
        <f>IF($E26="","",AB26*AE26/100)</f>
        <v/>
      </c>
      <c r="Z26" s="7">
        <f>IF($E26="","",AB26-Y26)</f>
        <v/>
      </c>
      <c r="AA26" s="7">
        <f>IF($E26="","",Z26-Q26)</f>
        <v/>
      </c>
      <c r="AB26" s="7" t="n"/>
      <c r="AE26">
        <f>IF($E26="","",IF($AQ26=1,0,IF($AP26=1,Settings!$C$6,Settings!$C$7))*100)</f>
        <v/>
      </c>
      <c r="AI26" s="7" t="n"/>
      <c r="AL26" s="11" t="n"/>
      <c r="AN26">
        <f>IF($E26="","",IF(COUNTIF($E$2:$E26,$E26)=1,1,0))</f>
        <v/>
      </c>
      <c r="AO26">
        <f>IF($AN26=1,SUMPRODUCT(--($AR$2:$AR$3001&lt;$AR26))+1,"")</f>
        <v/>
      </c>
      <c r="AP26">
        <f>IF($E26="","",IF(OR($U26=TRUE(),$U26="TRUE"),1,0))</f>
        <v/>
      </c>
      <c r="AQ26">
        <f>IF($E26="","",IF($AD26="Yes",1,0))</f>
        <v/>
      </c>
      <c r="AR26">
        <f>IF($AN26=1,IFERROR(VALUE(MID($E26,2,20)),1000000000)+ROW()/100000,"")</f>
        <v/>
      </c>
    </row>
    <row r="27">
      <c r="G27" s="11" t="n"/>
      <c r="Q27" s="7">
        <f>IF($E27="","",P27*AB27/100)</f>
        <v/>
      </c>
      <c r="R27" s="7" t="n"/>
      <c r="X27" s="7" t="n"/>
      <c r="Y27" s="7">
        <f>IF($E27="","",AB27*AE27/100)</f>
        <v/>
      </c>
      <c r="Z27" s="7">
        <f>IF($E27="","",AB27-Y27)</f>
        <v/>
      </c>
      <c r="AA27" s="7">
        <f>IF($E27="","",Z27-Q27)</f>
        <v/>
      </c>
      <c r="AB27" s="7" t="n"/>
      <c r="AE27">
        <f>IF($E27="","",IF($AQ27=1,0,IF($AP27=1,Settings!$C$6,Settings!$C$7))*100)</f>
        <v/>
      </c>
      <c r="AI27" s="7" t="n"/>
      <c r="AL27" s="11" t="n"/>
      <c r="AN27">
        <f>IF($E27="","",IF(COUNTIF($E$2:$E27,$E27)=1,1,0))</f>
        <v/>
      </c>
      <c r="AO27">
        <f>IF($AN27=1,SUMPRODUCT(--($AR$2:$AR$3001&lt;$AR27))+1,"")</f>
        <v/>
      </c>
      <c r="AP27">
        <f>IF($E27="","",IF(OR($U27=TRUE(),$U27="TRUE"),1,0))</f>
        <v/>
      </c>
      <c r="AQ27">
        <f>IF($E27="","",IF($AD27="Yes",1,0))</f>
        <v/>
      </c>
      <c r="AR27">
        <f>IF($AN27=1,IFERROR(VALUE(MID($E27,2,20)),1000000000)+ROW()/100000,"")</f>
        <v/>
      </c>
    </row>
    <row r="28">
      <c r="G28" s="11" t="n"/>
      <c r="Q28" s="7">
        <f>IF($E28="","",P28*AB28/100)</f>
        <v/>
      </c>
      <c r="R28" s="7" t="n"/>
      <c r="X28" s="7" t="n"/>
      <c r="Y28" s="7">
        <f>IF($E28="","",AB28*AE28/100)</f>
        <v/>
      </c>
      <c r="Z28" s="7">
        <f>IF($E28="","",AB28-Y28)</f>
        <v/>
      </c>
      <c r="AA28" s="7">
        <f>IF($E28="","",Z28-Q28)</f>
        <v/>
      </c>
      <c r="AB28" s="7" t="n"/>
      <c r="AE28">
        <f>IF($E28="","",IF($AQ28=1,0,IF($AP28=1,Settings!$C$6,Settings!$C$7))*100)</f>
        <v/>
      </c>
      <c r="AI28" s="7" t="n"/>
      <c r="AL28" s="11" t="n"/>
      <c r="AN28">
        <f>IF($E28="","",IF(COUNTIF($E$2:$E28,$E28)=1,1,0))</f>
        <v/>
      </c>
      <c r="AO28">
        <f>IF($AN28=1,SUMPRODUCT(--($AR$2:$AR$3001&lt;$AR28))+1,"")</f>
        <v/>
      </c>
      <c r="AP28">
        <f>IF($E28="","",IF(OR($U28=TRUE(),$U28="TRUE"),1,0))</f>
        <v/>
      </c>
      <c r="AQ28">
        <f>IF($E28="","",IF($AD28="Yes",1,0))</f>
        <v/>
      </c>
      <c r="AR28">
        <f>IF($AN28=1,IFERROR(VALUE(MID($E28,2,20)),1000000000)+ROW()/100000,"")</f>
        <v/>
      </c>
    </row>
    <row r="29">
      <c r="G29" s="11" t="n"/>
      <c r="Q29" s="7">
        <f>IF($E29="","",P29*AB29/100)</f>
        <v/>
      </c>
      <c r="R29" s="7" t="n"/>
      <c r="X29" s="7" t="n"/>
      <c r="Y29" s="7">
        <f>IF($E29="","",AB29*AE29/100)</f>
        <v/>
      </c>
      <c r="Z29" s="7">
        <f>IF($E29="","",AB29-Y29)</f>
        <v/>
      </c>
      <c r="AA29" s="7">
        <f>IF($E29="","",Z29-Q29)</f>
        <v/>
      </c>
      <c r="AB29" s="7" t="n"/>
      <c r="AE29">
        <f>IF($E29="","",IF($AQ29=1,0,IF($AP29=1,Settings!$C$6,Settings!$C$7))*100)</f>
        <v/>
      </c>
      <c r="AI29" s="7" t="n"/>
      <c r="AL29" s="11" t="n"/>
      <c r="AN29">
        <f>IF($E29="","",IF(COUNTIF($E$2:$E29,$E29)=1,1,0))</f>
        <v/>
      </c>
      <c r="AO29">
        <f>IF($AN29=1,SUMPRODUCT(--($AR$2:$AR$3001&lt;$AR29))+1,"")</f>
        <v/>
      </c>
      <c r="AP29">
        <f>IF($E29="","",IF(OR($U29=TRUE(),$U29="TRUE"),1,0))</f>
        <v/>
      </c>
      <c r="AQ29">
        <f>IF($E29="","",IF($AD29="Yes",1,0))</f>
        <v/>
      </c>
      <c r="AR29">
        <f>IF($AN29=1,IFERROR(VALUE(MID($E29,2,20)),1000000000)+ROW()/100000,"")</f>
        <v/>
      </c>
    </row>
    <row r="30">
      <c r="G30" s="11" t="n"/>
      <c r="Q30" s="7">
        <f>IF($E30="","",P30*AB30/100)</f>
        <v/>
      </c>
      <c r="R30" s="7" t="n"/>
      <c r="X30" s="7" t="n"/>
      <c r="Y30" s="7">
        <f>IF($E30="","",AB30*AE30/100)</f>
        <v/>
      </c>
      <c r="Z30" s="7">
        <f>IF($E30="","",AB30-Y30)</f>
        <v/>
      </c>
      <c r="AA30" s="7">
        <f>IF($E30="","",Z30-Q30)</f>
        <v/>
      </c>
      <c r="AB30" s="7" t="n"/>
      <c r="AE30">
        <f>IF($E30="","",IF($AQ30=1,0,IF($AP30=1,Settings!$C$6,Settings!$C$7))*100)</f>
        <v/>
      </c>
      <c r="AI30" s="7" t="n"/>
      <c r="AL30" s="11" t="n"/>
      <c r="AN30">
        <f>IF($E30="","",IF(COUNTIF($E$2:$E30,$E30)=1,1,0))</f>
        <v/>
      </c>
      <c r="AO30">
        <f>IF($AN30=1,SUMPRODUCT(--($AR$2:$AR$3001&lt;$AR30))+1,"")</f>
        <v/>
      </c>
      <c r="AP30">
        <f>IF($E30="","",IF(OR($U30=TRUE(),$U30="TRUE"),1,0))</f>
        <v/>
      </c>
      <c r="AQ30">
        <f>IF($E30="","",IF($AD30="Yes",1,0))</f>
        <v/>
      </c>
      <c r="AR30">
        <f>IF($AN30=1,IFERROR(VALUE(MID($E30,2,20)),1000000000)+ROW()/100000,"")</f>
        <v/>
      </c>
    </row>
    <row r="31">
      <c r="G31" s="11" t="n"/>
      <c r="Q31" s="7">
        <f>IF($E31="","",P31*AB31/100)</f>
        <v/>
      </c>
      <c r="R31" s="7" t="n"/>
      <c r="X31" s="7" t="n"/>
      <c r="Y31" s="7">
        <f>IF($E31="","",AB31*AE31/100)</f>
        <v/>
      </c>
      <c r="Z31" s="7">
        <f>IF($E31="","",AB31-Y31)</f>
        <v/>
      </c>
      <c r="AA31" s="7">
        <f>IF($E31="","",Z31-Q31)</f>
        <v/>
      </c>
      <c r="AB31" s="7" t="n"/>
      <c r="AE31">
        <f>IF($E31="","",IF($AQ31=1,0,IF($AP31=1,Settings!$C$6,Settings!$C$7))*100)</f>
        <v/>
      </c>
      <c r="AI31" s="7" t="n"/>
      <c r="AL31" s="11" t="n"/>
      <c r="AN31">
        <f>IF($E31="","",IF(COUNTIF($E$2:$E31,$E31)=1,1,0))</f>
        <v/>
      </c>
      <c r="AO31">
        <f>IF($AN31=1,SUMPRODUCT(--($AR$2:$AR$3001&lt;$AR31))+1,"")</f>
        <v/>
      </c>
      <c r="AP31">
        <f>IF($E31="","",IF(OR($U31=TRUE(),$U31="TRUE"),1,0))</f>
        <v/>
      </c>
      <c r="AQ31">
        <f>IF($E31="","",IF($AD31="Yes",1,0))</f>
        <v/>
      </c>
      <c r="AR31">
        <f>IF($AN31=1,IFERROR(VALUE(MID($E31,2,20)),1000000000)+ROW()/100000,"")</f>
        <v/>
      </c>
    </row>
    <row r="32">
      <c r="G32" s="11" t="n"/>
      <c r="Q32" s="7">
        <f>IF($E32="","",P32*AB32/100)</f>
        <v/>
      </c>
      <c r="R32" s="7" t="n"/>
      <c r="X32" s="7" t="n"/>
      <c r="Y32" s="7">
        <f>IF($E32="","",AB32*AE32/100)</f>
        <v/>
      </c>
      <c r="Z32" s="7">
        <f>IF($E32="","",AB32-Y32)</f>
        <v/>
      </c>
      <c r="AA32" s="7">
        <f>IF($E32="","",Z32-Q32)</f>
        <v/>
      </c>
      <c r="AB32" s="7" t="n"/>
      <c r="AE32">
        <f>IF($E32="","",IF($AQ32=1,0,IF($AP32=1,Settings!$C$6,Settings!$C$7))*100)</f>
        <v/>
      </c>
      <c r="AI32" s="7" t="n"/>
      <c r="AL32" s="11" t="n"/>
      <c r="AN32">
        <f>IF($E32="","",IF(COUNTIF($E$2:$E32,$E32)=1,1,0))</f>
        <v/>
      </c>
      <c r="AO32">
        <f>IF($AN32=1,SUMPRODUCT(--($AR$2:$AR$3001&lt;$AR32))+1,"")</f>
        <v/>
      </c>
      <c r="AP32">
        <f>IF($E32="","",IF(OR($U32=TRUE(),$U32="TRUE"),1,0))</f>
        <v/>
      </c>
      <c r="AQ32">
        <f>IF($E32="","",IF($AD32="Yes",1,0))</f>
        <v/>
      </c>
      <c r="AR32">
        <f>IF($AN32=1,IFERROR(VALUE(MID($E32,2,20)),1000000000)+ROW()/100000,"")</f>
        <v/>
      </c>
    </row>
    <row r="33">
      <c r="G33" s="11" t="n"/>
      <c r="Q33" s="7">
        <f>IF($E33="","",P33*AB33/100)</f>
        <v/>
      </c>
      <c r="R33" s="7" t="n"/>
      <c r="X33" s="7" t="n"/>
      <c r="Y33" s="7">
        <f>IF($E33="","",AB33*AE33/100)</f>
        <v/>
      </c>
      <c r="Z33" s="7">
        <f>IF($E33="","",AB33-Y33)</f>
        <v/>
      </c>
      <c r="AA33" s="7">
        <f>IF($E33="","",Z33-Q33)</f>
        <v/>
      </c>
      <c r="AB33" s="7" t="n"/>
      <c r="AE33">
        <f>IF($E33="","",IF($AQ33=1,0,IF($AP33=1,Settings!$C$6,Settings!$C$7))*100)</f>
        <v/>
      </c>
      <c r="AI33" s="7" t="n"/>
      <c r="AL33" s="11" t="n"/>
      <c r="AN33">
        <f>IF($E33="","",IF(COUNTIF($E$2:$E33,$E33)=1,1,0))</f>
        <v/>
      </c>
      <c r="AO33">
        <f>IF($AN33=1,SUMPRODUCT(--($AR$2:$AR$3001&lt;$AR33))+1,"")</f>
        <v/>
      </c>
      <c r="AP33">
        <f>IF($E33="","",IF(OR($U33=TRUE(),$U33="TRUE"),1,0))</f>
        <v/>
      </c>
      <c r="AQ33">
        <f>IF($E33="","",IF($AD33="Yes",1,0))</f>
        <v/>
      </c>
      <c r="AR33">
        <f>IF($AN33=1,IFERROR(VALUE(MID($E33,2,20)),1000000000)+ROW()/100000,"")</f>
        <v/>
      </c>
    </row>
    <row r="34">
      <c r="G34" s="11" t="n"/>
      <c r="Q34" s="7">
        <f>IF($E34="","",P34*AB34/100)</f>
        <v/>
      </c>
      <c r="R34" s="7" t="n"/>
      <c r="X34" s="7" t="n"/>
      <c r="Y34" s="7">
        <f>IF($E34="","",AB34*AE34/100)</f>
        <v/>
      </c>
      <c r="Z34" s="7">
        <f>IF($E34="","",AB34-Y34)</f>
        <v/>
      </c>
      <c r="AA34" s="7">
        <f>IF($E34="","",Z34-Q34)</f>
        <v/>
      </c>
      <c r="AB34" s="7" t="n"/>
      <c r="AE34">
        <f>IF($E34="","",IF($AQ34=1,0,IF($AP34=1,Settings!$C$6,Settings!$C$7))*100)</f>
        <v/>
      </c>
      <c r="AI34" s="7" t="n"/>
      <c r="AL34" s="11" t="n"/>
      <c r="AN34">
        <f>IF($E34="","",IF(COUNTIF($E$2:$E34,$E34)=1,1,0))</f>
        <v/>
      </c>
      <c r="AO34">
        <f>IF($AN34=1,SUMPRODUCT(--($AR$2:$AR$3001&lt;$AR34))+1,"")</f>
        <v/>
      </c>
      <c r="AP34">
        <f>IF($E34="","",IF(OR($U34=TRUE(),$U34="TRUE"),1,0))</f>
        <v/>
      </c>
      <c r="AQ34">
        <f>IF($E34="","",IF($AD34="Yes",1,0))</f>
        <v/>
      </c>
      <c r="AR34">
        <f>IF($AN34=1,IFERROR(VALUE(MID($E34,2,20)),1000000000)+ROW()/100000,"")</f>
        <v/>
      </c>
    </row>
    <row r="35">
      <c r="G35" s="11" t="n"/>
      <c r="Q35" s="7">
        <f>IF($E35="","",P35*AB35/100)</f>
        <v/>
      </c>
      <c r="R35" s="7" t="n"/>
      <c r="X35" s="7" t="n"/>
      <c r="Y35" s="7">
        <f>IF($E35="","",AB35*AE35/100)</f>
        <v/>
      </c>
      <c r="Z35" s="7">
        <f>IF($E35="","",AB35-Y35)</f>
        <v/>
      </c>
      <c r="AA35" s="7">
        <f>IF($E35="","",Z35-Q35)</f>
        <v/>
      </c>
      <c r="AB35" s="7" t="n"/>
      <c r="AE35">
        <f>IF($E35="","",IF($AQ35=1,0,IF($AP35=1,Settings!$C$6,Settings!$C$7))*100)</f>
        <v/>
      </c>
      <c r="AI35" s="7" t="n"/>
      <c r="AL35" s="11" t="n"/>
      <c r="AN35">
        <f>IF($E35="","",IF(COUNTIF($E$2:$E35,$E35)=1,1,0))</f>
        <v/>
      </c>
      <c r="AO35">
        <f>IF($AN35=1,SUMPRODUCT(--($AR$2:$AR$3001&lt;$AR35))+1,"")</f>
        <v/>
      </c>
      <c r="AP35">
        <f>IF($E35="","",IF(OR($U35=TRUE(),$U35="TRUE"),1,0))</f>
        <v/>
      </c>
      <c r="AQ35">
        <f>IF($E35="","",IF($AD35="Yes",1,0))</f>
        <v/>
      </c>
      <c r="AR35">
        <f>IF($AN35=1,IFERROR(VALUE(MID($E35,2,20)),1000000000)+ROW()/100000,"")</f>
        <v/>
      </c>
    </row>
    <row r="36">
      <c r="G36" s="11" t="n"/>
      <c r="Q36" s="7">
        <f>IF($E36="","",P36*AB36/100)</f>
        <v/>
      </c>
      <c r="R36" s="7" t="n"/>
      <c r="X36" s="7" t="n"/>
      <c r="Y36" s="7">
        <f>IF($E36="","",AB36*AE36/100)</f>
        <v/>
      </c>
      <c r="Z36" s="7">
        <f>IF($E36="","",AB36-Y36)</f>
        <v/>
      </c>
      <c r="AA36" s="7">
        <f>IF($E36="","",Z36-Q36)</f>
        <v/>
      </c>
      <c r="AB36" s="7" t="n"/>
      <c r="AE36">
        <f>IF($E36="","",IF($AQ36=1,0,IF($AP36=1,Settings!$C$6,Settings!$C$7))*100)</f>
        <v/>
      </c>
      <c r="AI36" s="7" t="n"/>
      <c r="AL36" s="11" t="n"/>
      <c r="AN36">
        <f>IF($E36="","",IF(COUNTIF($E$2:$E36,$E36)=1,1,0))</f>
        <v/>
      </c>
      <c r="AO36">
        <f>IF($AN36=1,SUMPRODUCT(--($AR$2:$AR$3001&lt;$AR36))+1,"")</f>
        <v/>
      </c>
      <c r="AP36">
        <f>IF($E36="","",IF(OR($U36=TRUE(),$U36="TRUE"),1,0))</f>
        <v/>
      </c>
      <c r="AQ36">
        <f>IF($E36="","",IF($AD36="Yes",1,0))</f>
        <v/>
      </c>
      <c r="AR36">
        <f>IF($AN36=1,IFERROR(VALUE(MID($E36,2,20)),1000000000)+ROW()/100000,"")</f>
        <v/>
      </c>
    </row>
    <row r="37">
      <c r="G37" s="11" t="n"/>
      <c r="Q37" s="7">
        <f>IF($E37="","",P37*AB37/100)</f>
        <v/>
      </c>
      <c r="R37" s="7" t="n"/>
      <c r="X37" s="7" t="n"/>
      <c r="Y37" s="7">
        <f>IF($E37="","",AB37*AE37/100)</f>
        <v/>
      </c>
      <c r="Z37" s="7">
        <f>IF($E37="","",AB37-Y37)</f>
        <v/>
      </c>
      <c r="AA37" s="7">
        <f>IF($E37="","",Z37-Q37)</f>
        <v/>
      </c>
      <c r="AB37" s="7" t="n"/>
      <c r="AE37">
        <f>IF($E37="","",IF($AQ37=1,0,IF($AP37=1,Settings!$C$6,Settings!$C$7))*100)</f>
        <v/>
      </c>
      <c r="AI37" s="7" t="n"/>
      <c r="AL37" s="11" t="n"/>
      <c r="AN37">
        <f>IF($E37="","",IF(COUNTIF($E$2:$E37,$E37)=1,1,0))</f>
        <v/>
      </c>
      <c r="AO37">
        <f>IF($AN37=1,SUMPRODUCT(--($AR$2:$AR$3001&lt;$AR37))+1,"")</f>
        <v/>
      </c>
      <c r="AP37">
        <f>IF($E37="","",IF(OR($U37=TRUE(),$U37="TRUE"),1,0))</f>
        <v/>
      </c>
      <c r="AQ37">
        <f>IF($E37="","",IF($AD37="Yes",1,0))</f>
        <v/>
      </c>
      <c r="AR37">
        <f>IF($AN37=1,IFERROR(VALUE(MID($E37,2,20)),1000000000)+ROW()/100000,"")</f>
        <v/>
      </c>
    </row>
    <row r="38">
      <c r="G38" s="11" t="n"/>
      <c r="Q38" s="7">
        <f>IF($E38="","",P38*AB38/100)</f>
        <v/>
      </c>
      <c r="R38" s="7" t="n"/>
      <c r="X38" s="7" t="n"/>
      <c r="Y38" s="7">
        <f>IF($E38="","",AB38*AE38/100)</f>
        <v/>
      </c>
      <c r="Z38" s="7">
        <f>IF($E38="","",AB38-Y38)</f>
        <v/>
      </c>
      <c r="AA38" s="7">
        <f>IF($E38="","",Z38-Q38)</f>
        <v/>
      </c>
      <c r="AB38" s="7" t="n"/>
      <c r="AE38">
        <f>IF($E38="","",IF($AQ38=1,0,IF($AP38=1,Settings!$C$6,Settings!$C$7))*100)</f>
        <v/>
      </c>
      <c r="AI38" s="7" t="n"/>
      <c r="AL38" s="11" t="n"/>
      <c r="AN38">
        <f>IF($E38="","",IF(COUNTIF($E$2:$E38,$E38)=1,1,0))</f>
        <v/>
      </c>
      <c r="AO38">
        <f>IF($AN38=1,SUMPRODUCT(--($AR$2:$AR$3001&lt;$AR38))+1,"")</f>
        <v/>
      </c>
      <c r="AP38">
        <f>IF($E38="","",IF(OR($U38=TRUE(),$U38="TRUE"),1,0))</f>
        <v/>
      </c>
      <c r="AQ38">
        <f>IF($E38="","",IF($AD38="Yes",1,0))</f>
        <v/>
      </c>
      <c r="AR38">
        <f>IF($AN38=1,IFERROR(VALUE(MID($E38,2,20)),1000000000)+ROW()/100000,"")</f>
        <v/>
      </c>
    </row>
    <row r="39">
      <c r="G39" s="11" t="n"/>
      <c r="Q39" s="7">
        <f>IF($E39="","",P39*AB39/100)</f>
        <v/>
      </c>
      <c r="R39" s="7" t="n"/>
      <c r="X39" s="7" t="n"/>
      <c r="Y39" s="7">
        <f>IF($E39="","",AB39*AE39/100)</f>
        <v/>
      </c>
      <c r="Z39" s="7">
        <f>IF($E39="","",AB39-Y39)</f>
        <v/>
      </c>
      <c r="AA39" s="7">
        <f>IF($E39="","",Z39-Q39)</f>
        <v/>
      </c>
      <c r="AB39" s="7" t="n"/>
      <c r="AE39">
        <f>IF($E39="","",IF($AQ39=1,0,IF($AP39=1,Settings!$C$6,Settings!$C$7))*100)</f>
        <v/>
      </c>
      <c r="AI39" s="7" t="n"/>
      <c r="AL39" s="11" t="n"/>
      <c r="AN39">
        <f>IF($E39="","",IF(COUNTIF($E$2:$E39,$E39)=1,1,0))</f>
        <v/>
      </c>
      <c r="AO39">
        <f>IF($AN39=1,SUMPRODUCT(--($AR$2:$AR$3001&lt;$AR39))+1,"")</f>
        <v/>
      </c>
      <c r="AP39">
        <f>IF($E39="","",IF(OR($U39=TRUE(),$U39="TRUE"),1,0))</f>
        <v/>
      </c>
      <c r="AQ39">
        <f>IF($E39="","",IF($AD39="Yes",1,0))</f>
        <v/>
      </c>
      <c r="AR39">
        <f>IF($AN39=1,IFERROR(VALUE(MID($E39,2,20)),1000000000)+ROW()/100000,"")</f>
        <v/>
      </c>
    </row>
    <row r="40">
      <c r="G40" s="11" t="n"/>
      <c r="Q40" s="7">
        <f>IF($E40="","",P40*AB40/100)</f>
        <v/>
      </c>
      <c r="R40" s="7" t="n"/>
      <c r="X40" s="7" t="n"/>
      <c r="Y40" s="7">
        <f>IF($E40="","",AB40*AE40/100)</f>
        <v/>
      </c>
      <c r="Z40" s="7">
        <f>IF($E40="","",AB40-Y40)</f>
        <v/>
      </c>
      <c r="AA40" s="7">
        <f>IF($E40="","",Z40-Q40)</f>
        <v/>
      </c>
      <c r="AB40" s="7" t="n"/>
      <c r="AE40">
        <f>IF($E40="","",IF($AQ40=1,0,IF($AP40=1,Settings!$C$6,Settings!$C$7))*100)</f>
        <v/>
      </c>
      <c r="AI40" s="7" t="n"/>
      <c r="AL40" s="11" t="n"/>
      <c r="AN40">
        <f>IF($E40="","",IF(COUNTIF($E$2:$E40,$E40)=1,1,0))</f>
        <v/>
      </c>
      <c r="AO40">
        <f>IF($AN40=1,SUMPRODUCT(--($AR$2:$AR$3001&lt;$AR40))+1,"")</f>
        <v/>
      </c>
      <c r="AP40">
        <f>IF($E40="","",IF(OR($U40=TRUE(),$U40="TRUE"),1,0))</f>
        <v/>
      </c>
      <c r="AQ40">
        <f>IF($E40="","",IF($AD40="Yes",1,0))</f>
        <v/>
      </c>
      <c r="AR40">
        <f>IF($AN40=1,IFERROR(VALUE(MID($E40,2,20)),1000000000)+ROW()/100000,"")</f>
        <v/>
      </c>
    </row>
    <row r="41">
      <c r="G41" s="11" t="n"/>
      <c r="Q41" s="7">
        <f>IF($E41="","",P41*AB41/100)</f>
        <v/>
      </c>
      <c r="R41" s="7" t="n"/>
      <c r="X41" s="7" t="n"/>
      <c r="Y41" s="7">
        <f>IF($E41="","",AB41*AE41/100)</f>
        <v/>
      </c>
      <c r="Z41" s="7">
        <f>IF($E41="","",AB41-Y41)</f>
        <v/>
      </c>
      <c r="AA41" s="7">
        <f>IF($E41="","",Z41-Q41)</f>
        <v/>
      </c>
      <c r="AB41" s="7" t="n"/>
      <c r="AE41">
        <f>IF($E41="","",IF($AQ41=1,0,IF($AP41=1,Settings!$C$6,Settings!$C$7))*100)</f>
        <v/>
      </c>
      <c r="AI41" s="7" t="n"/>
      <c r="AL41" s="11" t="n"/>
      <c r="AN41">
        <f>IF($E41="","",IF(COUNTIF($E$2:$E41,$E41)=1,1,0))</f>
        <v/>
      </c>
      <c r="AO41">
        <f>IF($AN41=1,SUMPRODUCT(--($AR$2:$AR$3001&lt;$AR41))+1,"")</f>
        <v/>
      </c>
      <c r="AP41">
        <f>IF($E41="","",IF(OR($U41=TRUE(),$U41="TRUE"),1,0))</f>
        <v/>
      </c>
      <c r="AQ41">
        <f>IF($E41="","",IF($AD41="Yes",1,0))</f>
        <v/>
      </c>
      <c r="AR41">
        <f>IF($AN41=1,IFERROR(VALUE(MID($E41,2,20)),1000000000)+ROW()/100000,"")</f>
        <v/>
      </c>
    </row>
    <row r="42">
      <c r="G42" s="11" t="n"/>
      <c r="Q42" s="7">
        <f>IF($E42="","",P42*AB42/100)</f>
        <v/>
      </c>
      <c r="R42" s="7" t="n"/>
      <c r="X42" s="7" t="n"/>
      <c r="Y42" s="7">
        <f>IF($E42="","",AB42*AE42/100)</f>
        <v/>
      </c>
      <c r="Z42" s="7">
        <f>IF($E42="","",AB42-Y42)</f>
        <v/>
      </c>
      <c r="AA42" s="7">
        <f>IF($E42="","",Z42-Q42)</f>
        <v/>
      </c>
      <c r="AB42" s="7" t="n"/>
      <c r="AE42">
        <f>IF($E42="","",IF($AQ42=1,0,IF($AP42=1,Settings!$C$6,Settings!$C$7))*100)</f>
        <v/>
      </c>
      <c r="AI42" s="7" t="n"/>
      <c r="AL42" s="11" t="n"/>
      <c r="AN42">
        <f>IF($E42="","",IF(COUNTIF($E$2:$E42,$E42)=1,1,0))</f>
        <v/>
      </c>
      <c r="AO42">
        <f>IF($AN42=1,SUMPRODUCT(--($AR$2:$AR$3001&lt;$AR42))+1,"")</f>
        <v/>
      </c>
      <c r="AP42">
        <f>IF($E42="","",IF(OR($U42=TRUE(),$U42="TRUE"),1,0))</f>
        <v/>
      </c>
      <c r="AQ42">
        <f>IF($E42="","",IF($AD42="Yes",1,0))</f>
        <v/>
      </c>
      <c r="AR42">
        <f>IF($AN42=1,IFERROR(VALUE(MID($E42,2,20)),1000000000)+ROW()/100000,"")</f>
        <v/>
      </c>
    </row>
    <row r="43">
      <c r="G43" s="11" t="n"/>
      <c r="Q43" s="7">
        <f>IF($E43="","",P43*AB43/100)</f>
        <v/>
      </c>
      <c r="R43" s="7" t="n"/>
      <c r="X43" s="7" t="n"/>
      <c r="Y43" s="7">
        <f>IF($E43="","",AB43*AE43/100)</f>
        <v/>
      </c>
      <c r="Z43" s="7">
        <f>IF($E43="","",AB43-Y43)</f>
        <v/>
      </c>
      <c r="AA43" s="7">
        <f>IF($E43="","",Z43-Q43)</f>
        <v/>
      </c>
      <c r="AB43" s="7" t="n"/>
      <c r="AE43">
        <f>IF($E43="","",IF($AQ43=1,0,IF($AP43=1,Settings!$C$6,Settings!$C$7))*100)</f>
        <v/>
      </c>
      <c r="AI43" s="7" t="n"/>
      <c r="AL43" s="11" t="n"/>
      <c r="AN43">
        <f>IF($E43="","",IF(COUNTIF($E$2:$E43,$E43)=1,1,0))</f>
        <v/>
      </c>
      <c r="AO43">
        <f>IF($AN43=1,SUMPRODUCT(--($AR$2:$AR$3001&lt;$AR43))+1,"")</f>
        <v/>
      </c>
      <c r="AP43">
        <f>IF($E43="","",IF(OR($U43=TRUE(),$U43="TRUE"),1,0))</f>
        <v/>
      </c>
      <c r="AQ43">
        <f>IF($E43="","",IF($AD43="Yes",1,0))</f>
        <v/>
      </c>
      <c r="AR43">
        <f>IF($AN43=1,IFERROR(VALUE(MID($E43,2,20)),1000000000)+ROW()/100000,"")</f>
        <v/>
      </c>
    </row>
    <row r="44">
      <c r="G44" s="11" t="n"/>
      <c r="Q44" s="7">
        <f>IF($E44="","",P44*AB44/100)</f>
        <v/>
      </c>
      <c r="R44" s="7" t="n"/>
      <c r="X44" s="7" t="n"/>
      <c r="Y44" s="7">
        <f>IF($E44="","",AB44*AE44/100)</f>
        <v/>
      </c>
      <c r="Z44" s="7">
        <f>IF($E44="","",AB44-Y44)</f>
        <v/>
      </c>
      <c r="AA44" s="7">
        <f>IF($E44="","",Z44-Q44)</f>
        <v/>
      </c>
      <c r="AB44" s="7" t="n"/>
      <c r="AE44">
        <f>IF($E44="","",IF($AQ44=1,0,IF($AP44=1,Settings!$C$6,Settings!$C$7))*100)</f>
        <v/>
      </c>
      <c r="AI44" s="7" t="n"/>
      <c r="AL44" s="11" t="n"/>
      <c r="AN44">
        <f>IF($E44="","",IF(COUNTIF($E$2:$E44,$E44)=1,1,0))</f>
        <v/>
      </c>
      <c r="AO44">
        <f>IF($AN44=1,SUMPRODUCT(--($AR$2:$AR$3001&lt;$AR44))+1,"")</f>
        <v/>
      </c>
      <c r="AP44">
        <f>IF($E44="","",IF(OR($U44=TRUE(),$U44="TRUE"),1,0))</f>
        <v/>
      </c>
      <c r="AQ44">
        <f>IF($E44="","",IF($AD44="Yes",1,0))</f>
        <v/>
      </c>
      <c r="AR44">
        <f>IF($AN44=1,IFERROR(VALUE(MID($E44,2,20)),1000000000)+ROW()/100000,"")</f>
        <v/>
      </c>
    </row>
    <row r="45">
      <c r="G45" s="11" t="n"/>
      <c r="Q45" s="7">
        <f>IF($E45="","",P45*AB45/100)</f>
        <v/>
      </c>
      <c r="R45" s="7" t="n"/>
      <c r="X45" s="7" t="n"/>
      <c r="Y45" s="7">
        <f>IF($E45="","",AB45*AE45/100)</f>
        <v/>
      </c>
      <c r="Z45" s="7">
        <f>IF($E45="","",AB45-Y45)</f>
        <v/>
      </c>
      <c r="AA45" s="7">
        <f>IF($E45="","",Z45-Q45)</f>
        <v/>
      </c>
      <c r="AB45" s="7" t="n"/>
      <c r="AE45">
        <f>IF($E45="","",IF($AQ45=1,0,IF($AP45=1,Settings!$C$6,Settings!$C$7))*100)</f>
        <v/>
      </c>
      <c r="AI45" s="7" t="n"/>
      <c r="AL45" s="11" t="n"/>
      <c r="AN45">
        <f>IF($E45="","",IF(COUNTIF($E$2:$E45,$E45)=1,1,0))</f>
        <v/>
      </c>
      <c r="AO45">
        <f>IF($AN45=1,SUMPRODUCT(--($AR$2:$AR$3001&lt;$AR45))+1,"")</f>
        <v/>
      </c>
      <c r="AP45">
        <f>IF($E45="","",IF(OR($U45=TRUE(),$U45="TRUE"),1,0))</f>
        <v/>
      </c>
      <c r="AQ45">
        <f>IF($E45="","",IF($AD45="Yes",1,0))</f>
        <v/>
      </c>
      <c r="AR45">
        <f>IF($AN45=1,IFERROR(VALUE(MID($E45,2,20)),1000000000)+ROW()/100000,"")</f>
        <v/>
      </c>
    </row>
    <row r="46">
      <c r="G46" s="11" t="n"/>
      <c r="Q46" s="7">
        <f>IF($E46="","",P46*AB46/100)</f>
        <v/>
      </c>
      <c r="R46" s="7" t="n"/>
      <c r="X46" s="7" t="n"/>
      <c r="Y46" s="7">
        <f>IF($E46="","",AB46*AE46/100)</f>
        <v/>
      </c>
      <c r="Z46" s="7">
        <f>IF($E46="","",AB46-Y46)</f>
        <v/>
      </c>
      <c r="AA46" s="7">
        <f>IF($E46="","",Z46-Q46)</f>
        <v/>
      </c>
      <c r="AB46" s="7" t="n"/>
      <c r="AE46">
        <f>IF($E46="","",IF($AQ46=1,0,IF($AP46=1,Settings!$C$6,Settings!$C$7))*100)</f>
        <v/>
      </c>
      <c r="AI46" s="7" t="n"/>
      <c r="AL46" s="11" t="n"/>
      <c r="AN46">
        <f>IF($E46="","",IF(COUNTIF($E$2:$E46,$E46)=1,1,0))</f>
        <v/>
      </c>
      <c r="AO46">
        <f>IF($AN46=1,SUMPRODUCT(--($AR$2:$AR$3001&lt;$AR46))+1,"")</f>
        <v/>
      </c>
      <c r="AP46">
        <f>IF($E46="","",IF(OR($U46=TRUE(),$U46="TRUE"),1,0))</f>
        <v/>
      </c>
      <c r="AQ46">
        <f>IF($E46="","",IF($AD46="Yes",1,0))</f>
        <v/>
      </c>
      <c r="AR46">
        <f>IF($AN46=1,IFERROR(VALUE(MID($E46,2,20)),1000000000)+ROW()/100000,"")</f>
        <v/>
      </c>
    </row>
    <row r="47">
      <c r="G47" s="11" t="n"/>
      <c r="Q47" s="7">
        <f>IF($E47="","",P47*AB47/100)</f>
        <v/>
      </c>
      <c r="R47" s="7" t="n"/>
      <c r="X47" s="7" t="n"/>
      <c r="Y47" s="7">
        <f>IF($E47="","",AB47*AE47/100)</f>
        <v/>
      </c>
      <c r="Z47" s="7">
        <f>IF($E47="","",AB47-Y47)</f>
        <v/>
      </c>
      <c r="AA47" s="7">
        <f>IF($E47="","",Z47-Q47)</f>
        <v/>
      </c>
      <c r="AB47" s="7" t="n"/>
      <c r="AE47">
        <f>IF($E47="","",IF($AQ47=1,0,IF($AP47=1,Settings!$C$6,Settings!$C$7))*100)</f>
        <v/>
      </c>
      <c r="AI47" s="7" t="n"/>
      <c r="AL47" s="11" t="n"/>
      <c r="AN47">
        <f>IF($E47="","",IF(COUNTIF($E$2:$E47,$E47)=1,1,0))</f>
        <v/>
      </c>
      <c r="AO47">
        <f>IF($AN47=1,SUMPRODUCT(--($AR$2:$AR$3001&lt;$AR47))+1,"")</f>
        <v/>
      </c>
      <c r="AP47">
        <f>IF($E47="","",IF(OR($U47=TRUE(),$U47="TRUE"),1,0))</f>
        <v/>
      </c>
      <c r="AQ47">
        <f>IF($E47="","",IF($AD47="Yes",1,0))</f>
        <v/>
      </c>
      <c r="AR47">
        <f>IF($AN47=1,IFERROR(VALUE(MID($E47,2,20)),1000000000)+ROW()/100000,"")</f>
        <v/>
      </c>
    </row>
    <row r="48">
      <c r="G48" s="11" t="n"/>
      <c r="Q48" s="7">
        <f>IF($E48="","",P48*AB48/100)</f>
        <v/>
      </c>
      <c r="R48" s="7" t="n"/>
      <c r="X48" s="7" t="n"/>
      <c r="Y48" s="7">
        <f>IF($E48="","",AB48*AE48/100)</f>
        <v/>
      </c>
      <c r="Z48" s="7">
        <f>IF($E48="","",AB48-Y48)</f>
        <v/>
      </c>
      <c r="AA48" s="7">
        <f>IF($E48="","",Z48-Q48)</f>
        <v/>
      </c>
      <c r="AB48" s="7" t="n"/>
      <c r="AE48">
        <f>IF($E48="","",IF($AQ48=1,0,IF($AP48=1,Settings!$C$6,Settings!$C$7))*100)</f>
        <v/>
      </c>
      <c r="AI48" s="7" t="n"/>
      <c r="AL48" s="11" t="n"/>
      <c r="AN48">
        <f>IF($E48="","",IF(COUNTIF($E$2:$E48,$E48)=1,1,0))</f>
        <v/>
      </c>
      <c r="AO48">
        <f>IF($AN48=1,SUMPRODUCT(--($AR$2:$AR$3001&lt;$AR48))+1,"")</f>
        <v/>
      </c>
      <c r="AP48">
        <f>IF($E48="","",IF(OR($U48=TRUE(),$U48="TRUE"),1,0))</f>
        <v/>
      </c>
      <c r="AQ48">
        <f>IF($E48="","",IF($AD48="Yes",1,0))</f>
        <v/>
      </c>
      <c r="AR48">
        <f>IF($AN48=1,IFERROR(VALUE(MID($E48,2,20)),1000000000)+ROW()/100000,"")</f>
        <v/>
      </c>
    </row>
    <row r="49">
      <c r="G49" s="11" t="n"/>
      <c r="Q49" s="7">
        <f>IF($E49="","",P49*AB49/100)</f>
        <v/>
      </c>
      <c r="R49" s="7" t="n"/>
      <c r="X49" s="7" t="n"/>
      <c r="Y49" s="7">
        <f>IF($E49="","",AB49*AE49/100)</f>
        <v/>
      </c>
      <c r="Z49" s="7">
        <f>IF($E49="","",AB49-Y49)</f>
        <v/>
      </c>
      <c r="AA49" s="7">
        <f>IF($E49="","",Z49-Q49)</f>
        <v/>
      </c>
      <c r="AB49" s="7" t="n"/>
      <c r="AE49">
        <f>IF($E49="","",IF($AQ49=1,0,IF($AP49=1,Settings!$C$6,Settings!$C$7))*100)</f>
        <v/>
      </c>
      <c r="AI49" s="7" t="n"/>
      <c r="AL49" s="11" t="n"/>
      <c r="AN49">
        <f>IF($E49="","",IF(COUNTIF($E$2:$E49,$E49)=1,1,0))</f>
        <v/>
      </c>
      <c r="AO49">
        <f>IF($AN49=1,SUMPRODUCT(--($AR$2:$AR$3001&lt;$AR49))+1,"")</f>
        <v/>
      </c>
      <c r="AP49">
        <f>IF($E49="","",IF(OR($U49=TRUE(),$U49="TRUE"),1,0))</f>
        <v/>
      </c>
      <c r="AQ49">
        <f>IF($E49="","",IF($AD49="Yes",1,0))</f>
        <v/>
      </c>
      <c r="AR49">
        <f>IF($AN49=1,IFERROR(VALUE(MID($E49,2,20)),1000000000)+ROW()/100000,"")</f>
        <v/>
      </c>
    </row>
    <row r="50">
      <c r="G50" s="11" t="n"/>
      <c r="Q50" s="7">
        <f>IF($E50="","",P50*AB50/100)</f>
        <v/>
      </c>
      <c r="R50" s="7" t="n"/>
      <c r="X50" s="7" t="n"/>
      <c r="Y50" s="7">
        <f>IF($E50="","",AB50*AE50/100)</f>
        <v/>
      </c>
      <c r="Z50" s="7">
        <f>IF($E50="","",AB50-Y50)</f>
        <v/>
      </c>
      <c r="AA50" s="7">
        <f>IF($E50="","",Z50-Q50)</f>
        <v/>
      </c>
      <c r="AB50" s="7" t="n"/>
      <c r="AE50">
        <f>IF($E50="","",IF($AQ50=1,0,IF($AP50=1,Settings!$C$6,Settings!$C$7))*100)</f>
        <v/>
      </c>
      <c r="AI50" s="7" t="n"/>
      <c r="AL50" s="11" t="n"/>
      <c r="AN50">
        <f>IF($E50="","",IF(COUNTIF($E$2:$E50,$E50)=1,1,0))</f>
        <v/>
      </c>
      <c r="AO50">
        <f>IF($AN50=1,SUMPRODUCT(--($AR$2:$AR$3001&lt;$AR50))+1,"")</f>
        <v/>
      </c>
      <c r="AP50">
        <f>IF($E50="","",IF(OR($U50=TRUE(),$U50="TRUE"),1,0))</f>
        <v/>
      </c>
      <c r="AQ50">
        <f>IF($E50="","",IF($AD50="Yes",1,0))</f>
        <v/>
      </c>
      <c r="AR50">
        <f>IF($AN50=1,IFERROR(VALUE(MID($E50,2,20)),1000000000)+ROW()/100000,"")</f>
        <v/>
      </c>
    </row>
    <row r="51">
      <c r="G51" s="11" t="n"/>
      <c r="Q51" s="7">
        <f>IF($E51="","",P51*AB51/100)</f>
        <v/>
      </c>
      <c r="R51" s="7" t="n"/>
      <c r="X51" s="7" t="n"/>
      <c r="Y51" s="7">
        <f>IF($E51="","",AB51*AE51/100)</f>
        <v/>
      </c>
      <c r="Z51" s="7">
        <f>IF($E51="","",AB51-Y51)</f>
        <v/>
      </c>
      <c r="AA51" s="7">
        <f>IF($E51="","",Z51-Q51)</f>
        <v/>
      </c>
      <c r="AB51" s="7" t="n"/>
      <c r="AE51">
        <f>IF($E51="","",IF($AQ51=1,0,IF($AP51=1,Settings!$C$6,Settings!$C$7))*100)</f>
        <v/>
      </c>
      <c r="AI51" s="7" t="n"/>
      <c r="AL51" s="11" t="n"/>
      <c r="AN51">
        <f>IF($E51="","",IF(COUNTIF($E$2:$E51,$E51)=1,1,0))</f>
        <v/>
      </c>
      <c r="AO51">
        <f>IF($AN51=1,SUMPRODUCT(--($AR$2:$AR$3001&lt;$AR51))+1,"")</f>
        <v/>
      </c>
      <c r="AP51">
        <f>IF($E51="","",IF(OR($U51=TRUE(),$U51="TRUE"),1,0))</f>
        <v/>
      </c>
      <c r="AQ51">
        <f>IF($E51="","",IF($AD51="Yes",1,0))</f>
        <v/>
      </c>
      <c r="AR51">
        <f>IF($AN51=1,IFERROR(VALUE(MID($E51,2,20)),1000000000)+ROW()/100000,"")</f>
        <v/>
      </c>
    </row>
    <row r="52">
      <c r="G52" s="11" t="n"/>
      <c r="Q52" s="7">
        <f>IF($E52="","",P52*AB52/100)</f>
        <v/>
      </c>
      <c r="R52" s="7" t="n"/>
      <c r="X52" s="7" t="n"/>
      <c r="Y52" s="7">
        <f>IF($E52="","",AB52*AE52/100)</f>
        <v/>
      </c>
      <c r="Z52" s="7">
        <f>IF($E52="","",AB52-Y52)</f>
        <v/>
      </c>
      <c r="AA52" s="7">
        <f>IF($E52="","",Z52-Q52)</f>
        <v/>
      </c>
      <c r="AB52" s="7" t="n"/>
      <c r="AE52">
        <f>IF($E52="","",IF($AQ52=1,0,IF($AP52=1,Settings!$C$6,Settings!$C$7))*100)</f>
        <v/>
      </c>
      <c r="AI52" s="7" t="n"/>
      <c r="AL52" s="11" t="n"/>
      <c r="AN52">
        <f>IF($E52="","",IF(COUNTIF($E$2:$E52,$E52)=1,1,0))</f>
        <v/>
      </c>
      <c r="AO52">
        <f>IF($AN52=1,SUMPRODUCT(--($AR$2:$AR$3001&lt;$AR52))+1,"")</f>
        <v/>
      </c>
      <c r="AP52">
        <f>IF($E52="","",IF(OR($U52=TRUE(),$U52="TRUE"),1,0))</f>
        <v/>
      </c>
      <c r="AQ52">
        <f>IF($E52="","",IF($AD52="Yes",1,0))</f>
        <v/>
      </c>
      <c r="AR52">
        <f>IF($AN52=1,IFERROR(VALUE(MID($E52,2,20)),1000000000)+ROW()/100000,"")</f>
        <v/>
      </c>
    </row>
    <row r="53">
      <c r="G53" s="11" t="n"/>
      <c r="Q53" s="7">
        <f>IF($E53="","",P53*AB53/100)</f>
        <v/>
      </c>
      <c r="R53" s="7" t="n"/>
      <c r="X53" s="7" t="n"/>
      <c r="Y53" s="7">
        <f>IF($E53="","",AB53*AE53/100)</f>
        <v/>
      </c>
      <c r="Z53" s="7">
        <f>IF($E53="","",AB53-Y53)</f>
        <v/>
      </c>
      <c r="AA53" s="7">
        <f>IF($E53="","",Z53-Q53)</f>
        <v/>
      </c>
      <c r="AB53" s="7" t="n"/>
      <c r="AE53">
        <f>IF($E53="","",IF($AQ53=1,0,IF($AP53=1,Settings!$C$6,Settings!$C$7))*100)</f>
        <v/>
      </c>
      <c r="AI53" s="7" t="n"/>
      <c r="AL53" s="11" t="n"/>
      <c r="AN53">
        <f>IF($E53="","",IF(COUNTIF($E$2:$E53,$E53)=1,1,0))</f>
        <v/>
      </c>
      <c r="AO53">
        <f>IF($AN53=1,SUMPRODUCT(--($AR$2:$AR$3001&lt;$AR53))+1,"")</f>
        <v/>
      </c>
      <c r="AP53">
        <f>IF($E53="","",IF(OR($U53=TRUE(),$U53="TRUE"),1,0))</f>
        <v/>
      </c>
      <c r="AQ53">
        <f>IF($E53="","",IF($AD53="Yes",1,0))</f>
        <v/>
      </c>
      <c r="AR53">
        <f>IF($AN53=1,IFERROR(VALUE(MID($E53,2,20)),1000000000)+ROW()/100000,"")</f>
        <v/>
      </c>
    </row>
    <row r="54">
      <c r="G54" s="11" t="n"/>
      <c r="Q54" s="7">
        <f>IF($E54="","",P54*AB54/100)</f>
        <v/>
      </c>
      <c r="R54" s="7" t="n"/>
      <c r="X54" s="7" t="n"/>
      <c r="Y54" s="7">
        <f>IF($E54="","",AB54*AE54/100)</f>
        <v/>
      </c>
      <c r="Z54" s="7">
        <f>IF($E54="","",AB54-Y54)</f>
        <v/>
      </c>
      <c r="AA54" s="7">
        <f>IF($E54="","",Z54-Q54)</f>
        <v/>
      </c>
      <c r="AB54" s="7" t="n"/>
      <c r="AE54">
        <f>IF($E54="","",IF($AQ54=1,0,IF($AP54=1,Settings!$C$6,Settings!$C$7))*100)</f>
        <v/>
      </c>
      <c r="AI54" s="7" t="n"/>
      <c r="AL54" s="11" t="n"/>
      <c r="AN54">
        <f>IF($E54="","",IF(COUNTIF($E$2:$E54,$E54)=1,1,0))</f>
        <v/>
      </c>
      <c r="AO54">
        <f>IF($AN54=1,SUMPRODUCT(--($AR$2:$AR$3001&lt;$AR54))+1,"")</f>
        <v/>
      </c>
      <c r="AP54">
        <f>IF($E54="","",IF(OR($U54=TRUE(),$U54="TRUE"),1,0))</f>
        <v/>
      </c>
      <c r="AQ54">
        <f>IF($E54="","",IF($AD54="Yes",1,0))</f>
        <v/>
      </c>
      <c r="AR54">
        <f>IF($AN54=1,IFERROR(VALUE(MID($E54,2,20)),1000000000)+ROW()/100000,"")</f>
        <v/>
      </c>
    </row>
    <row r="55">
      <c r="G55" s="11" t="n"/>
      <c r="Q55" s="7">
        <f>IF($E55="","",P55*AB55/100)</f>
        <v/>
      </c>
      <c r="R55" s="7" t="n"/>
      <c r="X55" s="7" t="n"/>
      <c r="Y55" s="7">
        <f>IF($E55="","",AB55*AE55/100)</f>
        <v/>
      </c>
      <c r="Z55" s="7">
        <f>IF($E55="","",AB55-Y55)</f>
        <v/>
      </c>
      <c r="AA55" s="7">
        <f>IF($E55="","",Z55-Q55)</f>
        <v/>
      </c>
      <c r="AB55" s="7" t="n"/>
      <c r="AE55">
        <f>IF($E55="","",IF($AQ55=1,0,IF($AP55=1,Settings!$C$6,Settings!$C$7))*100)</f>
        <v/>
      </c>
      <c r="AI55" s="7" t="n"/>
      <c r="AL55" s="11" t="n"/>
      <c r="AN55">
        <f>IF($E55="","",IF(COUNTIF($E$2:$E55,$E55)=1,1,0))</f>
        <v/>
      </c>
      <c r="AO55">
        <f>IF($AN55=1,SUMPRODUCT(--($AR$2:$AR$3001&lt;$AR55))+1,"")</f>
        <v/>
      </c>
      <c r="AP55">
        <f>IF($E55="","",IF(OR($U55=TRUE(),$U55="TRUE"),1,0))</f>
        <v/>
      </c>
      <c r="AQ55">
        <f>IF($E55="","",IF($AD55="Yes",1,0))</f>
        <v/>
      </c>
      <c r="AR55">
        <f>IF($AN55=1,IFERROR(VALUE(MID($E55,2,20)),1000000000)+ROW()/100000,"")</f>
        <v/>
      </c>
    </row>
    <row r="56">
      <c r="G56" s="11" t="n"/>
      <c r="Q56" s="7">
        <f>IF($E56="","",P56*AB56/100)</f>
        <v/>
      </c>
      <c r="R56" s="7" t="n"/>
      <c r="X56" s="7" t="n"/>
      <c r="Y56" s="7">
        <f>IF($E56="","",AB56*AE56/100)</f>
        <v/>
      </c>
      <c r="Z56" s="7">
        <f>IF($E56="","",AB56-Y56)</f>
        <v/>
      </c>
      <c r="AA56" s="7">
        <f>IF($E56="","",Z56-Q56)</f>
        <v/>
      </c>
      <c r="AB56" s="7" t="n"/>
      <c r="AE56">
        <f>IF($E56="","",IF($AQ56=1,0,IF($AP56=1,Settings!$C$6,Settings!$C$7))*100)</f>
        <v/>
      </c>
      <c r="AI56" s="7" t="n"/>
      <c r="AL56" s="11" t="n"/>
      <c r="AN56">
        <f>IF($E56="","",IF(COUNTIF($E$2:$E56,$E56)=1,1,0))</f>
        <v/>
      </c>
      <c r="AO56">
        <f>IF($AN56=1,SUMPRODUCT(--($AR$2:$AR$3001&lt;$AR56))+1,"")</f>
        <v/>
      </c>
      <c r="AP56">
        <f>IF($E56="","",IF(OR($U56=TRUE(),$U56="TRUE"),1,0))</f>
        <v/>
      </c>
      <c r="AQ56">
        <f>IF($E56="","",IF($AD56="Yes",1,0))</f>
        <v/>
      </c>
      <c r="AR56">
        <f>IF($AN56=1,IFERROR(VALUE(MID($E56,2,20)),1000000000)+ROW()/100000,"")</f>
        <v/>
      </c>
    </row>
    <row r="57">
      <c r="G57" s="11" t="n"/>
      <c r="Q57" s="7">
        <f>IF($E57="","",P57*AB57/100)</f>
        <v/>
      </c>
      <c r="R57" s="7" t="n"/>
      <c r="X57" s="7" t="n"/>
      <c r="Y57" s="7">
        <f>IF($E57="","",AB57*AE57/100)</f>
        <v/>
      </c>
      <c r="Z57" s="7">
        <f>IF($E57="","",AB57-Y57)</f>
        <v/>
      </c>
      <c r="AA57" s="7">
        <f>IF($E57="","",Z57-Q57)</f>
        <v/>
      </c>
      <c r="AB57" s="7" t="n"/>
      <c r="AE57">
        <f>IF($E57="","",IF($AQ57=1,0,IF($AP57=1,Settings!$C$6,Settings!$C$7))*100)</f>
        <v/>
      </c>
      <c r="AI57" s="7" t="n"/>
      <c r="AL57" s="11" t="n"/>
      <c r="AN57">
        <f>IF($E57="","",IF(COUNTIF($E$2:$E57,$E57)=1,1,0))</f>
        <v/>
      </c>
      <c r="AO57">
        <f>IF($AN57=1,SUMPRODUCT(--($AR$2:$AR$3001&lt;$AR57))+1,"")</f>
        <v/>
      </c>
      <c r="AP57">
        <f>IF($E57="","",IF(OR($U57=TRUE(),$U57="TRUE"),1,0))</f>
        <v/>
      </c>
      <c r="AQ57">
        <f>IF($E57="","",IF($AD57="Yes",1,0))</f>
        <v/>
      </c>
      <c r="AR57">
        <f>IF($AN57=1,IFERROR(VALUE(MID($E57,2,20)),1000000000)+ROW()/100000,"")</f>
        <v/>
      </c>
    </row>
    <row r="58">
      <c r="G58" s="11" t="n"/>
      <c r="Q58" s="7">
        <f>IF($E58="","",P58*AB58/100)</f>
        <v/>
      </c>
      <c r="R58" s="7" t="n"/>
      <c r="X58" s="7" t="n"/>
      <c r="Y58" s="7">
        <f>IF($E58="","",AB58*AE58/100)</f>
        <v/>
      </c>
      <c r="Z58" s="7">
        <f>IF($E58="","",AB58-Y58)</f>
        <v/>
      </c>
      <c r="AA58" s="7">
        <f>IF($E58="","",Z58-Q58)</f>
        <v/>
      </c>
      <c r="AB58" s="7" t="n"/>
      <c r="AE58">
        <f>IF($E58="","",IF($AQ58=1,0,IF($AP58=1,Settings!$C$6,Settings!$C$7))*100)</f>
        <v/>
      </c>
      <c r="AI58" s="7" t="n"/>
      <c r="AL58" s="11" t="n"/>
      <c r="AN58">
        <f>IF($E58="","",IF(COUNTIF($E$2:$E58,$E58)=1,1,0))</f>
        <v/>
      </c>
      <c r="AO58">
        <f>IF($AN58=1,SUMPRODUCT(--($AR$2:$AR$3001&lt;$AR58))+1,"")</f>
        <v/>
      </c>
      <c r="AP58">
        <f>IF($E58="","",IF(OR($U58=TRUE(),$U58="TRUE"),1,0))</f>
        <v/>
      </c>
      <c r="AQ58">
        <f>IF($E58="","",IF($AD58="Yes",1,0))</f>
        <v/>
      </c>
      <c r="AR58">
        <f>IF($AN58=1,IFERROR(VALUE(MID($E58,2,20)),1000000000)+ROW()/100000,"")</f>
        <v/>
      </c>
    </row>
    <row r="59">
      <c r="G59" s="11" t="n"/>
      <c r="Q59" s="7">
        <f>IF($E59="","",P59*AB59/100)</f>
        <v/>
      </c>
      <c r="R59" s="7" t="n"/>
      <c r="X59" s="7" t="n"/>
      <c r="Y59" s="7">
        <f>IF($E59="","",AB59*AE59/100)</f>
        <v/>
      </c>
      <c r="Z59" s="7">
        <f>IF($E59="","",AB59-Y59)</f>
        <v/>
      </c>
      <c r="AA59" s="7">
        <f>IF($E59="","",Z59-Q59)</f>
        <v/>
      </c>
      <c r="AB59" s="7" t="n"/>
      <c r="AE59">
        <f>IF($E59="","",IF($AQ59=1,0,IF($AP59=1,Settings!$C$6,Settings!$C$7))*100)</f>
        <v/>
      </c>
      <c r="AI59" s="7" t="n"/>
      <c r="AL59" s="11" t="n"/>
      <c r="AN59">
        <f>IF($E59="","",IF(COUNTIF($E$2:$E59,$E59)=1,1,0))</f>
        <v/>
      </c>
      <c r="AO59">
        <f>IF($AN59=1,SUMPRODUCT(--($AR$2:$AR$3001&lt;$AR59))+1,"")</f>
        <v/>
      </c>
      <c r="AP59">
        <f>IF($E59="","",IF(OR($U59=TRUE(),$U59="TRUE"),1,0))</f>
        <v/>
      </c>
      <c r="AQ59">
        <f>IF($E59="","",IF($AD59="Yes",1,0))</f>
        <v/>
      </c>
      <c r="AR59">
        <f>IF($AN59=1,IFERROR(VALUE(MID($E59,2,20)),1000000000)+ROW()/100000,"")</f>
        <v/>
      </c>
    </row>
    <row r="60">
      <c r="G60" s="11" t="n"/>
      <c r="Q60" s="7">
        <f>IF($E60="","",P60*AB60/100)</f>
        <v/>
      </c>
      <c r="R60" s="7" t="n"/>
      <c r="X60" s="7" t="n"/>
      <c r="Y60" s="7">
        <f>IF($E60="","",AB60*AE60/100)</f>
        <v/>
      </c>
      <c r="Z60" s="7">
        <f>IF($E60="","",AB60-Y60)</f>
        <v/>
      </c>
      <c r="AA60" s="7">
        <f>IF($E60="","",Z60-Q60)</f>
        <v/>
      </c>
      <c r="AB60" s="7" t="n"/>
      <c r="AE60">
        <f>IF($E60="","",IF($AQ60=1,0,IF($AP60=1,Settings!$C$6,Settings!$C$7))*100)</f>
        <v/>
      </c>
      <c r="AI60" s="7" t="n"/>
      <c r="AL60" s="11" t="n"/>
      <c r="AN60">
        <f>IF($E60="","",IF(COUNTIF($E$2:$E60,$E60)=1,1,0))</f>
        <v/>
      </c>
      <c r="AO60">
        <f>IF($AN60=1,SUMPRODUCT(--($AR$2:$AR$3001&lt;$AR60))+1,"")</f>
        <v/>
      </c>
      <c r="AP60">
        <f>IF($E60="","",IF(OR($U60=TRUE(),$U60="TRUE"),1,0))</f>
        <v/>
      </c>
      <c r="AQ60">
        <f>IF($E60="","",IF($AD60="Yes",1,0))</f>
        <v/>
      </c>
      <c r="AR60">
        <f>IF($AN60=1,IFERROR(VALUE(MID($E60,2,20)),1000000000)+ROW()/100000,"")</f>
        <v/>
      </c>
    </row>
    <row r="61">
      <c r="G61" s="11" t="n"/>
      <c r="Q61" s="7">
        <f>IF($E61="","",P61*AB61/100)</f>
        <v/>
      </c>
      <c r="R61" s="7" t="n"/>
      <c r="X61" s="7" t="n"/>
      <c r="Y61" s="7">
        <f>IF($E61="","",AB61*AE61/100)</f>
        <v/>
      </c>
      <c r="Z61" s="7">
        <f>IF($E61="","",AB61-Y61)</f>
        <v/>
      </c>
      <c r="AA61" s="7">
        <f>IF($E61="","",Z61-Q61)</f>
        <v/>
      </c>
      <c r="AB61" s="7" t="n"/>
      <c r="AE61">
        <f>IF($E61="","",IF($AQ61=1,0,IF($AP61=1,Settings!$C$6,Settings!$C$7))*100)</f>
        <v/>
      </c>
      <c r="AI61" s="7" t="n"/>
      <c r="AL61" s="11" t="n"/>
      <c r="AN61">
        <f>IF($E61="","",IF(COUNTIF($E$2:$E61,$E61)=1,1,0))</f>
        <v/>
      </c>
      <c r="AO61">
        <f>IF($AN61=1,SUMPRODUCT(--($AR$2:$AR$3001&lt;$AR61))+1,"")</f>
        <v/>
      </c>
      <c r="AP61">
        <f>IF($E61="","",IF(OR($U61=TRUE(),$U61="TRUE"),1,0))</f>
        <v/>
      </c>
      <c r="AQ61">
        <f>IF($E61="","",IF($AD61="Yes",1,0))</f>
        <v/>
      </c>
      <c r="AR61">
        <f>IF($AN61=1,IFERROR(VALUE(MID($E61,2,20)),1000000000)+ROW()/100000,"")</f>
        <v/>
      </c>
    </row>
    <row r="62">
      <c r="G62" s="11" t="n"/>
      <c r="Q62" s="7">
        <f>IF($E62="","",P62*AB62/100)</f>
        <v/>
      </c>
      <c r="R62" s="7" t="n"/>
      <c r="X62" s="7" t="n"/>
      <c r="Y62" s="7">
        <f>IF($E62="","",AB62*AE62/100)</f>
        <v/>
      </c>
      <c r="Z62" s="7">
        <f>IF($E62="","",AB62-Y62)</f>
        <v/>
      </c>
      <c r="AA62" s="7">
        <f>IF($E62="","",Z62-Q62)</f>
        <v/>
      </c>
      <c r="AB62" s="7" t="n"/>
      <c r="AE62">
        <f>IF($E62="","",IF($AQ62=1,0,IF($AP62=1,Settings!$C$6,Settings!$C$7))*100)</f>
        <v/>
      </c>
      <c r="AI62" s="7" t="n"/>
      <c r="AL62" s="11" t="n"/>
      <c r="AN62">
        <f>IF($E62="","",IF(COUNTIF($E$2:$E62,$E62)=1,1,0))</f>
        <v/>
      </c>
      <c r="AO62">
        <f>IF($AN62=1,SUMPRODUCT(--($AR$2:$AR$3001&lt;$AR62))+1,"")</f>
        <v/>
      </c>
      <c r="AP62">
        <f>IF($E62="","",IF(OR($U62=TRUE(),$U62="TRUE"),1,0))</f>
        <v/>
      </c>
      <c r="AQ62">
        <f>IF($E62="","",IF($AD62="Yes",1,0))</f>
        <v/>
      </c>
      <c r="AR62">
        <f>IF($AN62=1,IFERROR(VALUE(MID($E62,2,20)),1000000000)+ROW()/100000,"")</f>
        <v/>
      </c>
    </row>
    <row r="63">
      <c r="G63" s="11" t="n"/>
      <c r="Q63" s="7">
        <f>IF($E63="","",P63*AB63/100)</f>
        <v/>
      </c>
      <c r="R63" s="7" t="n"/>
      <c r="X63" s="7" t="n"/>
      <c r="Y63" s="7">
        <f>IF($E63="","",AB63*AE63/100)</f>
        <v/>
      </c>
      <c r="Z63" s="7">
        <f>IF($E63="","",AB63-Y63)</f>
        <v/>
      </c>
      <c r="AA63" s="7">
        <f>IF($E63="","",Z63-Q63)</f>
        <v/>
      </c>
      <c r="AB63" s="7" t="n"/>
      <c r="AE63">
        <f>IF($E63="","",IF($AQ63=1,0,IF($AP63=1,Settings!$C$6,Settings!$C$7))*100)</f>
        <v/>
      </c>
      <c r="AI63" s="7" t="n"/>
      <c r="AL63" s="11" t="n"/>
      <c r="AN63">
        <f>IF($E63="","",IF(COUNTIF($E$2:$E63,$E63)=1,1,0))</f>
        <v/>
      </c>
      <c r="AO63">
        <f>IF($AN63=1,SUMPRODUCT(--($AR$2:$AR$3001&lt;$AR63))+1,"")</f>
        <v/>
      </c>
      <c r="AP63">
        <f>IF($E63="","",IF(OR($U63=TRUE(),$U63="TRUE"),1,0))</f>
        <v/>
      </c>
      <c r="AQ63">
        <f>IF($E63="","",IF($AD63="Yes",1,0))</f>
        <v/>
      </c>
      <c r="AR63">
        <f>IF($AN63=1,IFERROR(VALUE(MID($E63,2,20)),1000000000)+ROW()/100000,"")</f>
        <v/>
      </c>
    </row>
    <row r="64">
      <c r="G64" s="11" t="n"/>
      <c r="Q64" s="7">
        <f>IF($E64="","",P64*AB64/100)</f>
        <v/>
      </c>
      <c r="R64" s="7" t="n"/>
      <c r="X64" s="7" t="n"/>
      <c r="Y64" s="7">
        <f>IF($E64="","",AB64*AE64/100)</f>
        <v/>
      </c>
      <c r="Z64" s="7">
        <f>IF($E64="","",AB64-Y64)</f>
        <v/>
      </c>
      <c r="AA64" s="7">
        <f>IF($E64="","",Z64-Q64)</f>
        <v/>
      </c>
      <c r="AB64" s="7" t="n"/>
      <c r="AE64">
        <f>IF($E64="","",IF($AQ64=1,0,IF($AP64=1,Settings!$C$6,Settings!$C$7))*100)</f>
        <v/>
      </c>
      <c r="AI64" s="7" t="n"/>
      <c r="AL64" s="11" t="n"/>
      <c r="AN64">
        <f>IF($E64="","",IF(COUNTIF($E$2:$E64,$E64)=1,1,0))</f>
        <v/>
      </c>
      <c r="AO64">
        <f>IF($AN64=1,SUMPRODUCT(--($AR$2:$AR$3001&lt;$AR64))+1,"")</f>
        <v/>
      </c>
      <c r="AP64">
        <f>IF($E64="","",IF(OR($U64=TRUE(),$U64="TRUE"),1,0))</f>
        <v/>
      </c>
      <c r="AQ64">
        <f>IF($E64="","",IF($AD64="Yes",1,0))</f>
        <v/>
      </c>
      <c r="AR64">
        <f>IF($AN64=1,IFERROR(VALUE(MID($E64,2,20)),1000000000)+ROW()/100000,"")</f>
        <v/>
      </c>
    </row>
    <row r="65">
      <c r="G65" s="11" t="n"/>
      <c r="Q65" s="7">
        <f>IF($E65="","",P65*AB65/100)</f>
        <v/>
      </c>
      <c r="R65" s="7" t="n"/>
      <c r="X65" s="7" t="n"/>
      <c r="Y65" s="7">
        <f>IF($E65="","",AB65*AE65/100)</f>
        <v/>
      </c>
      <c r="Z65" s="7">
        <f>IF($E65="","",AB65-Y65)</f>
        <v/>
      </c>
      <c r="AA65" s="7">
        <f>IF($E65="","",Z65-Q65)</f>
        <v/>
      </c>
      <c r="AB65" s="7" t="n"/>
      <c r="AE65">
        <f>IF($E65="","",IF($AQ65=1,0,IF($AP65=1,Settings!$C$6,Settings!$C$7))*100)</f>
        <v/>
      </c>
      <c r="AI65" s="7" t="n"/>
      <c r="AL65" s="11" t="n"/>
      <c r="AN65">
        <f>IF($E65="","",IF(COUNTIF($E$2:$E65,$E65)=1,1,0))</f>
        <v/>
      </c>
      <c r="AO65">
        <f>IF($AN65=1,SUMPRODUCT(--($AR$2:$AR$3001&lt;$AR65))+1,"")</f>
        <v/>
      </c>
      <c r="AP65">
        <f>IF($E65="","",IF(OR($U65=TRUE(),$U65="TRUE"),1,0))</f>
        <v/>
      </c>
      <c r="AQ65">
        <f>IF($E65="","",IF($AD65="Yes",1,0))</f>
        <v/>
      </c>
      <c r="AR65">
        <f>IF($AN65=1,IFERROR(VALUE(MID($E65,2,20)),1000000000)+ROW()/100000,"")</f>
        <v/>
      </c>
    </row>
    <row r="66">
      <c r="G66" s="11" t="n"/>
      <c r="Q66" s="7">
        <f>IF($E66="","",P66*AB66/100)</f>
        <v/>
      </c>
      <c r="R66" s="7" t="n"/>
      <c r="X66" s="7" t="n"/>
      <c r="Y66" s="7">
        <f>IF($E66="","",AB66*AE66/100)</f>
        <v/>
      </c>
      <c r="Z66" s="7">
        <f>IF($E66="","",AB66-Y66)</f>
        <v/>
      </c>
      <c r="AA66" s="7">
        <f>IF($E66="","",Z66-Q66)</f>
        <v/>
      </c>
      <c r="AB66" s="7" t="n"/>
      <c r="AE66">
        <f>IF($E66="","",IF($AQ66=1,0,IF($AP66=1,Settings!$C$6,Settings!$C$7))*100)</f>
        <v/>
      </c>
      <c r="AI66" s="7" t="n"/>
      <c r="AL66" s="11" t="n"/>
      <c r="AN66">
        <f>IF($E66="","",IF(COUNTIF($E$2:$E66,$E66)=1,1,0))</f>
        <v/>
      </c>
      <c r="AO66">
        <f>IF($AN66=1,SUMPRODUCT(--($AR$2:$AR$3001&lt;$AR66))+1,"")</f>
        <v/>
      </c>
      <c r="AP66">
        <f>IF($E66="","",IF(OR($U66=TRUE(),$U66="TRUE"),1,0))</f>
        <v/>
      </c>
      <c r="AQ66">
        <f>IF($E66="","",IF($AD66="Yes",1,0))</f>
        <v/>
      </c>
      <c r="AR66">
        <f>IF($AN66=1,IFERROR(VALUE(MID($E66,2,20)),1000000000)+ROW()/100000,"")</f>
        <v/>
      </c>
    </row>
    <row r="67">
      <c r="G67" s="11" t="n"/>
      <c r="Q67" s="7">
        <f>IF($E67="","",P67*AB67/100)</f>
        <v/>
      </c>
      <c r="R67" s="7" t="n"/>
      <c r="X67" s="7" t="n"/>
      <c r="Y67" s="7">
        <f>IF($E67="","",AB67*AE67/100)</f>
        <v/>
      </c>
      <c r="Z67" s="7">
        <f>IF($E67="","",AB67-Y67)</f>
        <v/>
      </c>
      <c r="AA67" s="7">
        <f>IF($E67="","",Z67-Q67)</f>
        <v/>
      </c>
      <c r="AB67" s="7" t="n"/>
      <c r="AE67">
        <f>IF($E67="","",IF($AQ67=1,0,IF($AP67=1,Settings!$C$6,Settings!$C$7))*100)</f>
        <v/>
      </c>
      <c r="AI67" s="7" t="n"/>
      <c r="AL67" s="11" t="n"/>
      <c r="AN67">
        <f>IF($E67="","",IF(COUNTIF($E$2:$E67,$E67)=1,1,0))</f>
        <v/>
      </c>
      <c r="AO67">
        <f>IF($AN67=1,SUMPRODUCT(--($AR$2:$AR$3001&lt;$AR67))+1,"")</f>
        <v/>
      </c>
      <c r="AP67">
        <f>IF($E67="","",IF(OR($U67=TRUE(),$U67="TRUE"),1,0))</f>
        <v/>
      </c>
      <c r="AQ67">
        <f>IF($E67="","",IF($AD67="Yes",1,0))</f>
        <v/>
      </c>
      <c r="AR67">
        <f>IF($AN67=1,IFERROR(VALUE(MID($E67,2,20)),1000000000)+ROW()/100000,"")</f>
        <v/>
      </c>
    </row>
    <row r="68">
      <c r="G68" s="11" t="n"/>
      <c r="Q68" s="7">
        <f>IF($E68="","",P68*AB68/100)</f>
        <v/>
      </c>
      <c r="R68" s="7" t="n"/>
      <c r="X68" s="7" t="n"/>
      <c r="Y68" s="7">
        <f>IF($E68="","",AB68*AE68/100)</f>
        <v/>
      </c>
      <c r="Z68" s="7">
        <f>IF($E68="","",AB68-Y68)</f>
        <v/>
      </c>
      <c r="AA68" s="7">
        <f>IF($E68="","",Z68-Q68)</f>
        <v/>
      </c>
      <c r="AB68" s="7" t="n"/>
      <c r="AE68">
        <f>IF($E68="","",IF($AQ68=1,0,IF($AP68=1,Settings!$C$6,Settings!$C$7))*100)</f>
        <v/>
      </c>
      <c r="AI68" s="7" t="n"/>
      <c r="AL68" s="11" t="n"/>
      <c r="AN68">
        <f>IF($E68="","",IF(COUNTIF($E$2:$E68,$E68)=1,1,0))</f>
        <v/>
      </c>
      <c r="AO68">
        <f>IF($AN68=1,SUMPRODUCT(--($AR$2:$AR$3001&lt;$AR68))+1,"")</f>
        <v/>
      </c>
      <c r="AP68">
        <f>IF($E68="","",IF(OR($U68=TRUE(),$U68="TRUE"),1,0))</f>
        <v/>
      </c>
      <c r="AQ68">
        <f>IF($E68="","",IF($AD68="Yes",1,0))</f>
        <v/>
      </c>
      <c r="AR68">
        <f>IF($AN68=1,IFERROR(VALUE(MID($E68,2,20)),1000000000)+ROW()/100000,"")</f>
        <v/>
      </c>
    </row>
    <row r="69">
      <c r="G69" s="11" t="n"/>
      <c r="Q69" s="7">
        <f>IF($E69="","",P69*AB69/100)</f>
        <v/>
      </c>
      <c r="R69" s="7" t="n"/>
      <c r="X69" s="7" t="n"/>
      <c r="Y69" s="7">
        <f>IF($E69="","",AB69*AE69/100)</f>
        <v/>
      </c>
      <c r="Z69" s="7">
        <f>IF($E69="","",AB69-Y69)</f>
        <v/>
      </c>
      <c r="AA69" s="7">
        <f>IF($E69="","",Z69-Q69)</f>
        <v/>
      </c>
      <c r="AB69" s="7" t="n"/>
      <c r="AE69">
        <f>IF($E69="","",IF($AQ69=1,0,IF($AP69=1,Settings!$C$6,Settings!$C$7))*100)</f>
        <v/>
      </c>
      <c r="AI69" s="7" t="n"/>
      <c r="AL69" s="11" t="n"/>
      <c r="AN69">
        <f>IF($E69="","",IF(COUNTIF($E$2:$E69,$E69)=1,1,0))</f>
        <v/>
      </c>
      <c r="AO69">
        <f>IF($AN69=1,SUMPRODUCT(--($AR$2:$AR$3001&lt;$AR69))+1,"")</f>
        <v/>
      </c>
      <c r="AP69">
        <f>IF($E69="","",IF(OR($U69=TRUE(),$U69="TRUE"),1,0))</f>
        <v/>
      </c>
      <c r="AQ69">
        <f>IF($E69="","",IF($AD69="Yes",1,0))</f>
        <v/>
      </c>
      <c r="AR69">
        <f>IF($AN69=1,IFERROR(VALUE(MID($E69,2,20)),1000000000)+ROW()/100000,"")</f>
        <v/>
      </c>
    </row>
    <row r="70">
      <c r="G70" s="11" t="n"/>
      <c r="Q70" s="7">
        <f>IF($E70="","",P70*AB70/100)</f>
        <v/>
      </c>
      <c r="R70" s="7" t="n"/>
      <c r="X70" s="7" t="n"/>
      <c r="Y70" s="7">
        <f>IF($E70="","",AB70*AE70/100)</f>
        <v/>
      </c>
      <c r="Z70" s="7">
        <f>IF($E70="","",AB70-Y70)</f>
        <v/>
      </c>
      <c r="AA70" s="7">
        <f>IF($E70="","",Z70-Q70)</f>
        <v/>
      </c>
      <c r="AB70" s="7" t="n"/>
      <c r="AE70">
        <f>IF($E70="","",IF($AQ70=1,0,IF($AP70=1,Settings!$C$6,Settings!$C$7))*100)</f>
        <v/>
      </c>
      <c r="AI70" s="7" t="n"/>
      <c r="AL70" s="11" t="n"/>
      <c r="AN70">
        <f>IF($E70="","",IF(COUNTIF($E$2:$E70,$E70)=1,1,0))</f>
        <v/>
      </c>
      <c r="AO70">
        <f>IF($AN70=1,SUMPRODUCT(--($AR$2:$AR$3001&lt;$AR70))+1,"")</f>
        <v/>
      </c>
      <c r="AP70">
        <f>IF($E70="","",IF(OR($U70=TRUE(),$U70="TRUE"),1,0))</f>
        <v/>
      </c>
      <c r="AQ70">
        <f>IF($E70="","",IF($AD70="Yes",1,0))</f>
        <v/>
      </c>
      <c r="AR70">
        <f>IF($AN70=1,IFERROR(VALUE(MID($E70,2,20)),1000000000)+ROW()/100000,"")</f>
        <v/>
      </c>
    </row>
    <row r="71">
      <c r="G71" s="11" t="n"/>
      <c r="Q71" s="7">
        <f>IF($E71="","",P71*AB71/100)</f>
        <v/>
      </c>
      <c r="R71" s="7" t="n"/>
      <c r="X71" s="7" t="n"/>
      <c r="Y71" s="7">
        <f>IF($E71="","",AB71*AE71/100)</f>
        <v/>
      </c>
      <c r="Z71" s="7">
        <f>IF($E71="","",AB71-Y71)</f>
        <v/>
      </c>
      <c r="AA71" s="7">
        <f>IF($E71="","",Z71-Q71)</f>
        <v/>
      </c>
      <c r="AB71" s="7" t="n"/>
      <c r="AE71">
        <f>IF($E71="","",IF($AQ71=1,0,IF($AP71=1,Settings!$C$6,Settings!$C$7))*100)</f>
        <v/>
      </c>
      <c r="AI71" s="7" t="n"/>
      <c r="AL71" s="11" t="n"/>
      <c r="AN71">
        <f>IF($E71="","",IF(COUNTIF($E$2:$E71,$E71)=1,1,0))</f>
        <v/>
      </c>
      <c r="AO71">
        <f>IF($AN71=1,SUMPRODUCT(--($AR$2:$AR$3001&lt;$AR71))+1,"")</f>
        <v/>
      </c>
      <c r="AP71">
        <f>IF($E71="","",IF(OR($U71=TRUE(),$U71="TRUE"),1,0))</f>
        <v/>
      </c>
      <c r="AQ71">
        <f>IF($E71="","",IF($AD71="Yes",1,0))</f>
        <v/>
      </c>
      <c r="AR71">
        <f>IF($AN71=1,IFERROR(VALUE(MID($E71,2,20)),1000000000)+ROW()/100000,"")</f>
        <v/>
      </c>
    </row>
    <row r="72">
      <c r="G72" s="11" t="n"/>
      <c r="Q72" s="7">
        <f>IF($E72="","",P72*AB72/100)</f>
        <v/>
      </c>
      <c r="R72" s="7" t="n"/>
      <c r="X72" s="7" t="n"/>
      <c r="Y72" s="7">
        <f>IF($E72="","",AB72*AE72/100)</f>
        <v/>
      </c>
      <c r="Z72" s="7">
        <f>IF($E72="","",AB72-Y72)</f>
        <v/>
      </c>
      <c r="AA72" s="7">
        <f>IF($E72="","",Z72-Q72)</f>
        <v/>
      </c>
      <c r="AB72" s="7" t="n"/>
      <c r="AE72">
        <f>IF($E72="","",IF($AQ72=1,0,IF($AP72=1,Settings!$C$6,Settings!$C$7))*100)</f>
        <v/>
      </c>
      <c r="AI72" s="7" t="n"/>
      <c r="AL72" s="11" t="n"/>
      <c r="AN72">
        <f>IF($E72="","",IF(COUNTIF($E$2:$E72,$E72)=1,1,0))</f>
        <v/>
      </c>
      <c r="AO72">
        <f>IF($AN72=1,SUMPRODUCT(--($AR$2:$AR$3001&lt;$AR72))+1,"")</f>
        <v/>
      </c>
      <c r="AP72">
        <f>IF($E72="","",IF(OR($U72=TRUE(),$U72="TRUE"),1,0))</f>
        <v/>
      </c>
      <c r="AQ72">
        <f>IF($E72="","",IF($AD72="Yes",1,0))</f>
        <v/>
      </c>
      <c r="AR72">
        <f>IF($AN72=1,IFERROR(VALUE(MID($E72,2,20)),1000000000)+ROW()/100000,"")</f>
        <v/>
      </c>
    </row>
    <row r="73">
      <c r="G73" s="11" t="n"/>
      <c r="Q73" s="7">
        <f>IF($E73="","",P73*AB73/100)</f>
        <v/>
      </c>
      <c r="R73" s="7" t="n"/>
      <c r="X73" s="7" t="n"/>
      <c r="Y73" s="7">
        <f>IF($E73="","",AB73*AE73/100)</f>
        <v/>
      </c>
      <c r="Z73" s="7">
        <f>IF($E73="","",AB73-Y73)</f>
        <v/>
      </c>
      <c r="AA73" s="7">
        <f>IF($E73="","",Z73-Q73)</f>
        <v/>
      </c>
      <c r="AB73" s="7" t="n"/>
      <c r="AE73">
        <f>IF($E73="","",IF($AQ73=1,0,IF($AP73=1,Settings!$C$6,Settings!$C$7))*100)</f>
        <v/>
      </c>
      <c r="AI73" s="7" t="n"/>
      <c r="AL73" s="11" t="n"/>
      <c r="AN73">
        <f>IF($E73="","",IF(COUNTIF($E$2:$E73,$E73)=1,1,0))</f>
        <v/>
      </c>
      <c r="AO73">
        <f>IF($AN73=1,SUMPRODUCT(--($AR$2:$AR$3001&lt;$AR73))+1,"")</f>
        <v/>
      </c>
      <c r="AP73">
        <f>IF($E73="","",IF(OR($U73=TRUE(),$U73="TRUE"),1,0))</f>
        <v/>
      </c>
      <c r="AQ73">
        <f>IF($E73="","",IF($AD73="Yes",1,0))</f>
        <v/>
      </c>
      <c r="AR73">
        <f>IF($AN73=1,IFERROR(VALUE(MID($E73,2,20)),1000000000)+ROW()/100000,"")</f>
        <v/>
      </c>
    </row>
    <row r="74">
      <c r="G74" s="11" t="n"/>
      <c r="Q74" s="7">
        <f>IF($E74="","",P74*AB74/100)</f>
        <v/>
      </c>
      <c r="R74" s="7" t="n"/>
      <c r="X74" s="7" t="n"/>
      <c r="Y74" s="7">
        <f>IF($E74="","",AB74*AE74/100)</f>
        <v/>
      </c>
      <c r="Z74" s="7">
        <f>IF($E74="","",AB74-Y74)</f>
        <v/>
      </c>
      <c r="AA74" s="7">
        <f>IF($E74="","",Z74-Q74)</f>
        <v/>
      </c>
      <c r="AB74" s="7" t="n"/>
      <c r="AE74">
        <f>IF($E74="","",IF($AQ74=1,0,IF($AP74=1,Settings!$C$6,Settings!$C$7))*100)</f>
        <v/>
      </c>
      <c r="AI74" s="7" t="n"/>
      <c r="AL74" s="11" t="n"/>
      <c r="AN74">
        <f>IF($E74="","",IF(COUNTIF($E$2:$E74,$E74)=1,1,0))</f>
        <v/>
      </c>
      <c r="AO74">
        <f>IF($AN74=1,SUMPRODUCT(--($AR$2:$AR$3001&lt;$AR74))+1,"")</f>
        <v/>
      </c>
      <c r="AP74">
        <f>IF($E74="","",IF(OR($U74=TRUE(),$U74="TRUE"),1,0))</f>
        <v/>
      </c>
      <c r="AQ74">
        <f>IF($E74="","",IF($AD74="Yes",1,0))</f>
        <v/>
      </c>
      <c r="AR74">
        <f>IF($AN74=1,IFERROR(VALUE(MID($E74,2,20)),1000000000)+ROW()/100000,"")</f>
        <v/>
      </c>
    </row>
    <row r="75">
      <c r="G75" s="11" t="n"/>
      <c r="Q75" s="7">
        <f>IF($E75="","",P75*AB75/100)</f>
        <v/>
      </c>
      <c r="R75" s="7" t="n"/>
      <c r="X75" s="7" t="n"/>
      <c r="Y75" s="7">
        <f>IF($E75="","",AB75*AE75/100)</f>
        <v/>
      </c>
      <c r="Z75" s="7">
        <f>IF($E75="","",AB75-Y75)</f>
        <v/>
      </c>
      <c r="AA75" s="7">
        <f>IF($E75="","",Z75-Q75)</f>
        <v/>
      </c>
      <c r="AB75" s="7" t="n"/>
      <c r="AE75">
        <f>IF($E75="","",IF($AQ75=1,0,IF($AP75=1,Settings!$C$6,Settings!$C$7))*100)</f>
        <v/>
      </c>
      <c r="AI75" s="7" t="n"/>
      <c r="AL75" s="11" t="n"/>
      <c r="AN75">
        <f>IF($E75="","",IF(COUNTIF($E$2:$E75,$E75)=1,1,0))</f>
        <v/>
      </c>
      <c r="AO75">
        <f>IF($AN75=1,SUMPRODUCT(--($AR$2:$AR$3001&lt;$AR75))+1,"")</f>
        <v/>
      </c>
      <c r="AP75">
        <f>IF($E75="","",IF(OR($U75=TRUE(),$U75="TRUE"),1,0))</f>
        <v/>
      </c>
      <c r="AQ75">
        <f>IF($E75="","",IF($AD75="Yes",1,0))</f>
        <v/>
      </c>
      <c r="AR75">
        <f>IF($AN75=1,IFERROR(VALUE(MID($E75,2,20)),1000000000)+ROW()/100000,"")</f>
        <v/>
      </c>
    </row>
    <row r="76">
      <c r="G76" s="11" t="n"/>
      <c r="Q76" s="7">
        <f>IF($E76="","",P76*AB76/100)</f>
        <v/>
      </c>
      <c r="R76" s="7" t="n"/>
      <c r="X76" s="7" t="n"/>
      <c r="Y76" s="7">
        <f>IF($E76="","",AB76*AE76/100)</f>
        <v/>
      </c>
      <c r="Z76" s="7">
        <f>IF($E76="","",AB76-Y76)</f>
        <v/>
      </c>
      <c r="AA76" s="7">
        <f>IF($E76="","",Z76-Q76)</f>
        <v/>
      </c>
      <c r="AB76" s="7" t="n"/>
      <c r="AE76">
        <f>IF($E76="","",IF($AQ76=1,0,IF($AP76=1,Settings!$C$6,Settings!$C$7))*100)</f>
        <v/>
      </c>
      <c r="AI76" s="7" t="n"/>
      <c r="AL76" s="11" t="n"/>
      <c r="AN76">
        <f>IF($E76="","",IF(COUNTIF($E$2:$E76,$E76)=1,1,0))</f>
        <v/>
      </c>
      <c r="AO76">
        <f>IF($AN76=1,SUMPRODUCT(--($AR$2:$AR$3001&lt;$AR76))+1,"")</f>
        <v/>
      </c>
      <c r="AP76">
        <f>IF($E76="","",IF(OR($U76=TRUE(),$U76="TRUE"),1,0))</f>
        <v/>
      </c>
      <c r="AQ76">
        <f>IF($E76="","",IF($AD76="Yes",1,0))</f>
        <v/>
      </c>
      <c r="AR76">
        <f>IF($AN76=1,IFERROR(VALUE(MID($E76,2,20)),1000000000)+ROW()/100000,"")</f>
        <v/>
      </c>
    </row>
    <row r="77">
      <c r="G77" s="11" t="n"/>
      <c r="Q77" s="7">
        <f>IF($E77="","",P77*AB77/100)</f>
        <v/>
      </c>
      <c r="R77" s="7" t="n"/>
      <c r="X77" s="7" t="n"/>
      <c r="Y77" s="7">
        <f>IF($E77="","",AB77*AE77/100)</f>
        <v/>
      </c>
      <c r="Z77" s="7">
        <f>IF($E77="","",AB77-Y77)</f>
        <v/>
      </c>
      <c r="AA77" s="7">
        <f>IF($E77="","",Z77-Q77)</f>
        <v/>
      </c>
      <c r="AB77" s="7" t="n"/>
      <c r="AE77">
        <f>IF($E77="","",IF($AQ77=1,0,IF($AP77=1,Settings!$C$6,Settings!$C$7))*100)</f>
        <v/>
      </c>
      <c r="AI77" s="7" t="n"/>
      <c r="AL77" s="11" t="n"/>
      <c r="AN77">
        <f>IF($E77="","",IF(COUNTIF($E$2:$E77,$E77)=1,1,0))</f>
        <v/>
      </c>
      <c r="AO77">
        <f>IF($AN77=1,SUMPRODUCT(--($AR$2:$AR$3001&lt;$AR77))+1,"")</f>
        <v/>
      </c>
      <c r="AP77">
        <f>IF($E77="","",IF(OR($U77=TRUE(),$U77="TRUE"),1,0))</f>
        <v/>
      </c>
      <c r="AQ77">
        <f>IF($E77="","",IF($AD77="Yes",1,0))</f>
        <v/>
      </c>
      <c r="AR77">
        <f>IF($AN77=1,IFERROR(VALUE(MID($E77,2,20)),1000000000)+ROW()/100000,"")</f>
        <v/>
      </c>
    </row>
    <row r="78">
      <c r="G78" s="11" t="n"/>
      <c r="Q78" s="7">
        <f>IF($E78="","",P78*AB78/100)</f>
        <v/>
      </c>
      <c r="R78" s="7" t="n"/>
      <c r="X78" s="7" t="n"/>
      <c r="Y78" s="7">
        <f>IF($E78="","",AB78*AE78/100)</f>
        <v/>
      </c>
      <c r="Z78" s="7">
        <f>IF($E78="","",AB78-Y78)</f>
        <v/>
      </c>
      <c r="AA78" s="7">
        <f>IF($E78="","",Z78-Q78)</f>
        <v/>
      </c>
      <c r="AB78" s="7" t="n"/>
      <c r="AE78">
        <f>IF($E78="","",IF($AQ78=1,0,IF($AP78=1,Settings!$C$6,Settings!$C$7))*100)</f>
        <v/>
      </c>
      <c r="AI78" s="7" t="n"/>
      <c r="AL78" s="11" t="n"/>
      <c r="AN78">
        <f>IF($E78="","",IF(COUNTIF($E$2:$E78,$E78)=1,1,0))</f>
        <v/>
      </c>
      <c r="AO78">
        <f>IF($AN78=1,SUMPRODUCT(--($AR$2:$AR$3001&lt;$AR78))+1,"")</f>
        <v/>
      </c>
      <c r="AP78">
        <f>IF($E78="","",IF(OR($U78=TRUE(),$U78="TRUE"),1,0))</f>
        <v/>
      </c>
      <c r="AQ78">
        <f>IF($E78="","",IF($AD78="Yes",1,0))</f>
        <v/>
      </c>
      <c r="AR78">
        <f>IF($AN78=1,IFERROR(VALUE(MID($E78,2,20)),1000000000)+ROW()/100000,"")</f>
        <v/>
      </c>
    </row>
    <row r="79">
      <c r="G79" s="11" t="n"/>
      <c r="Q79" s="7">
        <f>IF($E79="","",P79*AB79/100)</f>
        <v/>
      </c>
      <c r="R79" s="7" t="n"/>
      <c r="X79" s="7" t="n"/>
      <c r="Y79" s="7">
        <f>IF($E79="","",AB79*AE79/100)</f>
        <v/>
      </c>
      <c r="Z79" s="7">
        <f>IF($E79="","",AB79-Y79)</f>
        <v/>
      </c>
      <c r="AA79" s="7">
        <f>IF($E79="","",Z79-Q79)</f>
        <v/>
      </c>
      <c r="AB79" s="7" t="n"/>
      <c r="AE79">
        <f>IF($E79="","",IF($AQ79=1,0,IF($AP79=1,Settings!$C$6,Settings!$C$7))*100)</f>
        <v/>
      </c>
      <c r="AI79" s="7" t="n"/>
      <c r="AL79" s="11" t="n"/>
      <c r="AN79">
        <f>IF($E79="","",IF(COUNTIF($E$2:$E79,$E79)=1,1,0))</f>
        <v/>
      </c>
      <c r="AO79">
        <f>IF($AN79=1,SUMPRODUCT(--($AR$2:$AR$3001&lt;$AR79))+1,"")</f>
        <v/>
      </c>
      <c r="AP79">
        <f>IF($E79="","",IF(OR($U79=TRUE(),$U79="TRUE"),1,0))</f>
        <v/>
      </c>
      <c r="AQ79">
        <f>IF($E79="","",IF($AD79="Yes",1,0))</f>
        <v/>
      </c>
      <c r="AR79">
        <f>IF($AN79=1,IFERROR(VALUE(MID($E79,2,20)),1000000000)+ROW()/100000,"")</f>
        <v/>
      </c>
    </row>
    <row r="80">
      <c r="G80" s="11" t="n"/>
      <c r="Q80" s="7">
        <f>IF($E80="","",P80*AB80/100)</f>
        <v/>
      </c>
      <c r="R80" s="7" t="n"/>
      <c r="X80" s="7" t="n"/>
      <c r="Y80" s="7">
        <f>IF($E80="","",AB80*AE80/100)</f>
        <v/>
      </c>
      <c r="Z80" s="7">
        <f>IF($E80="","",AB80-Y80)</f>
        <v/>
      </c>
      <c r="AA80" s="7">
        <f>IF($E80="","",Z80-Q80)</f>
        <v/>
      </c>
      <c r="AB80" s="7" t="n"/>
      <c r="AE80">
        <f>IF($E80="","",IF($AQ80=1,0,IF($AP80=1,Settings!$C$6,Settings!$C$7))*100)</f>
        <v/>
      </c>
      <c r="AI80" s="7" t="n"/>
      <c r="AL80" s="11" t="n"/>
      <c r="AN80">
        <f>IF($E80="","",IF(COUNTIF($E$2:$E80,$E80)=1,1,0))</f>
        <v/>
      </c>
      <c r="AO80">
        <f>IF($AN80=1,SUMPRODUCT(--($AR$2:$AR$3001&lt;$AR80))+1,"")</f>
        <v/>
      </c>
      <c r="AP80">
        <f>IF($E80="","",IF(OR($U80=TRUE(),$U80="TRUE"),1,0))</f>
        <v/>
      </c>
      <c r="AQ80">
        <f>IF($E80="","",IF($AD80="Yes",1,0))</f>
        <v/>
      </c>
      <c r="AR80">
        <f>IF($AN80=1,IFERROR(VALUE(MID($E80,2,20)),1000000000)+ROW()/100000,"")</f>
        <v/>
      </c>
    </row>
    <row r="81">
      <c r="G81" s="11" t="n"/>
      <c r="Q81" s="7">
        <f>IF($E81="","",P81*AB81/100)</f>
        <v/>
      </c>
      <c r="R81" s="7" t="n"/>
      <c r="X81" s="7" t="n"/>
      <c r="Y81" s="7">
        <f>IF($E81="","",AB81*AE81/100)</f>
        <v/>
      </c>
      <c r="Z81" s="7">
        <f>IF($E81="","",AB81-Y81)</f>
        <v/>
      </c>
      <c r="AA81" s="7">
        <f>IF($E81="","",Z81-Q81)</f>
        <v/>
      </c>
      <c r="AB81" s="7" t="n"/>
      <c r="AE81">
        <f>IF($E81="","",IF($AQ81=1,0,IF($AP81=1,Settings!$C$6,Settings!$C$7))*100)</f>
        <v/>
      </c>
      <c r="AI81" s="7" t="n"/>
      <c r="AL81" s="11" t="n"/>
      <c r="AN81">
        <f>IF($E81="","",IF(COUNTIF($E$2:$E81,$E81)=1,1,0))</f>
        <v/>
      </c>
      <c r="AO81">
        <f>IF($AN81=1,SUMPRODUCT(--($AR$2:$AR$3001&lt;$AR81))+1,"")</f>
        <v/>
      </c>
      <c r="AP81">
        <f>IF($E81="","",IF(OR($U81=TRUE(),$U81="TRUE"),1,0))</f>
        <v/>
      </c>
      <c r="AQ81">
        <f>IF($E81="","",IF($AD81="Yes",1,0))</f>
        <v/>
      </c>
      <c r="AR81">
        <f>IF($AN81=1,IFERROR(VALUE(MID($E81,2,20)),1000000000)+ROW()/100000,"")</f>
        <v/>
      </c>
    </row>
    <row r="82">
      <c r="G82" s="11" t="n"/>
      <c r="Q82" s="7">
        <f>IF($E82="","",P82*AB82/100)</f>
        <v/>
      </c>
      <c r="R82" s="7" t="n"/>
      <c r="X82" s="7" t="n"/>
      <c r="Y82" s="7">
        <f>IF($E82="","",AB82*AE82/100)</f>
        <v/>
      </c>
      <c r="Z82" s="7">
        <f>IF($E82="","",AB82-Y82)</f>
        <v/>
      </c>
      <c r="AA82" s="7">
        <f>IF($E82="","",Z82-Q82)</f>
        <v/>
      </c>
      <c r="AB82" s="7" t="n"/>
      <c r="AE82">
        <f>IF($E82="","",IF($AQ82=1,0,IF($AP82=1,Settings!$C$6,Settings!$C$7))*100)</f>
        <v/>
      </c>
      <c r="AI82" s="7" t="n"/>
      <c r="AL82" s="11" t="n"/>
      <c r="AN82">
        <f>IF($E82="","",IF(COUNTIF($E$2:$E82,$E82)=1,1,0))</f>
        <v/>
      </c>
      <c r="AO82">
        <f>IF($AN82=1,SUMPRODUCT(--($AR$2:$AR$3001&lt;$AR82))+1,"")</f>
        <v/>
      </c>
      <c r="AP82">
        <f>IF($E82="","",IF(OR($U82=TRUE(),$U82="TRUE"),1,0))</f>
        <v/>
      </c>
      <c r="AQ82">
        <f>IF($E82="","",IF($AD82="Yes",1,0))</f>
        <v/>
      </c>
      <c r="AR82">
        <f>IF($AN82=1,IFERROR(VALUE(MID($E82,2,20)),1000000000)+ROW()/100000,"")</f>
        <v/>
      </c>
    </row>
    <row r="83">
      <c r="G83" s="11" t="n"/>
      <c r="Q83" s="7">
        <f>IF($E83="","",P83*AB83/100)</f>
        <v/>
      </c>
      <c r="R83" s="7" t="n"/>
      <c r="X83" s="7" t="n"/>
      <c r="Y83" s="7">
        <f>IF($E83="","",AB83*AE83/100)</f>
        <v/>
      </c>
      <c r="Z83" s="7">
        <f>IF($E83="","",AB83-Y83)</f>
        <v/>
      </c>
      <c r="AA83" s="7">
        <f>IF($E83="","",Z83-Q83)</f>
        <v/>
      </c>
      <c r="AB83" s="7" t="n"/>
      <c r="AE83">
        <f>IF($E83="","",IF($AQ83=1,0,IF($AP83=1,Settings!$C$6,Settings!$C$7))*100)</f>
        <v/>
      </c>
      <c r="AI83" s="7" t="n"/>
      <c r="AL83" s="11" t="n"/>
      <c r="AN83">
        <f>IF($E83="","",IF(COUNTIF($E$2:$E83,$E83)=1,1,0))</f>
        <v/>
      </c>
      <c r="AO83">
        <f>IF($AN83=1,SUMPRODUCT(--($AR$2:$AR$3001&lt;$AR83))+1,"")</f>
        <v/>
      </c>
      <c r="AP83">
        <f>IF($E83="","",IF(OR($U83=TRUE(),$U83="TRUE"),1,0))</f>
        <v/>
      </c>
      <c r="AQ83">
        <f>IF($E83="","",IF($AD83="Yes",1,0))</f>
        <v/>
      </c>
      <c r="AR83">
        <f>IF($AN83=1,IFERROR(VALUE(MID($E83,2,20)),1000000000)+ROW()/100000,"")</f>
        <v/>
      </c>
    </row>
    <row r="84">
      <c r="G84" s="11" t="n"/>
      <c r="Q84" s="7">
        <f>IF($E84="","",P84*AB84/100)</f>
        <v/>
      </c>
      <c r="R84" s="7" t="n"/>
      <c r="X84" s="7" t="n"/>
      <c r="Y84" s="7">
        <f>IF($E84="","",AB84*AE84/100)</f>
        <v/>
      </c>
      <c r="Z84" s="7">
        <f>IF($E84="","",AB84-Y84)</f>
        <v/>
      </c>
      <c r="AA84" s="7">
        <f>IF($E84="","",Z84-Q84)</f>
        <v/>
      </c>
      <c r="AB84" s="7" t="n"/>
      <c r="AE84">
        <f>IF($E84="","",IF($AQ84=1,0,IF($AP84=1,Settings!$C$6,Settings!$C$7))*100)</f>
        <v/>
      </c>
      <c r="AI84" s="7" t="n"/>
      <c r="AL84" s="11" t="n"/>
      <c r="AN84">
        <f>IF($E84="","",IF(COUNTIF($E$2:$E84,$E84)=1,1,0))</f>
        <v/>
      </c>
      <c r="AO84">
        <f>IF($AN84=1,SUMPRODUCT(--($AR$2:$AR$3001&lt;$AR84))+1,"")</f>
        <v/>
      </c>
      <c r="AP84">
        <f>IF($E84="","",IF(OR($U84=TRUE(),$U84="TRUE"),1,0))</f>
        <v/>
      </c>
      <c r="AQ84">
        <f>IF($E84="","",IF($AD84="Yes",1,0))</f>
        <v/>
      </c>
      <c r="AR84">
        <f>IF($AN84=1,IFERROR(VALUE(MID($E84,2,20)),1000000000)+ROW()/100000,"")</f>
        <v/>
      </c>
    </row>
    <row r="85">
      <c r="G85" s="11" t="n"/>
      <c r="Q85" s="7">
        <f>IF($E85="","",P85*AB85/100)</f>
        <v/>
      </c>
      <c r="R85" s="7" t="n"/>
      <c r="X85" s="7" t="n"/>
      <c r="Y85" s="7">
        <f>IF($E85="","",AB85*AE85/100)</f>
        <v/>
      </c>
      <c r="Z85" s="7">
        <f>IF($E85="","",AB85-Y85)</f>
        <v/>
      </c>
      <c r="AA85" s="7">
        <f>IF($E85="","",Z85-Q85)</f>
        <v/>
      </c>
      <c r="AB85" s="7" t="n"/>
      <c r="AE85">
        <f>IF($E85="","",IF($AQ85=1,0,IF($AP85=1,Settings!$C$6,Settings!$C$7))*100)</f>
        <v/>
      </c>
      <c r="AI85" s="7" t="n"/>
      <c r="AL85" s="11" t="n"/>
      <c r="AN85">
        <f>IF($E85="","",IF(COUNTIF($E$2:$E85,$E85)=1,1,0))</f>
        <v/>
      </c>
      <c r="AO85">
        <f>IF($AN85=1,SUMPRODUCT(--($AR$2:$AR$3001&lt;$AR85))+1,"")</f>
        <v/>
      </c>
      <c r="AP85">
        <f>IF($E85="","",IF(OR($U85=TRUE(),$U85="TRUE"),1,0))</f>
        <v/>
      </c>
      <c r="AQ85">
        <f>IF($E85="","",IF($AD85="Yes",1,0))</f>
        <v/>
      </c>
      <c r="AR85">
        <f>IF($AN85=1,IFERROR(VALUE(MID($E85,2,20)),1000000000)+ROW()/100000,"")</f>
        <v/>
      </c>
    </row>
    <row r="86">
      <c r="G86" s="11" t="n"/>
      <c r="Q86" s="7">
        <f>IF($E86="","",P86*AB86/100)</f>
        <v/>
      </c>
      <c r="R86" s="7" t="n"/>
      <c r="X86" s="7" t="n"/>
      <c r="Y86" s="7">
        <f>IF($E86="","",AB86*AE86/100)</f>
        <v/>
      </c>
      <c r="Z86" s="7">
        <f>IF($E86="","",AB86-Y86)</f>
        <v/>
      </c>
      <c r="AA86" s="7">
        <f>IF($E86="","",Z86-Q86)</f>
        <v/>
      </c>
      <c r="AB86" s="7" t="n"/>
      <c r="AE86">
        <f>IF($E86="","",IF($AQ86=1,0,IF($AP86=1,Settings!$C$6,Settings!$C$7))*100)</f>
        <v/>
      </c>
      <c r="AI86" s="7" t="n"/>
      <c r="AL86" s="11" t="n"/>
      <c r="AN86">
        <f>IF($E86="","",IF(COUNTIF($E$2:$E86,$E86)=1,1,0))</f>
        <v/>
      </c>
      <c r="AO86">
        <f>IF($AN86=1,SUMPRODUCT(--($AR$2:$AR$3001&lt;$AR86))+1,"")</f>
        <v/>
      </c>
      <c r="AP86">
        <f>IF($E86="","",IF(OR($U86=TRUE(),$U86="TRUE"),1,0))</f>
        <v/>
      </c>
      <c r="AQ86">
        <f>IF($E86="","",IF($AD86="Yes",1,0))</f>
        <v/>
      </c>
      <c r="AR86">
        <f>IF($AN86=1,IFERROR(VALUE(MID($E86,2,20)),1000000000)+ROW()/100000,"")</f>
        <v/>
      </c>
    </row>
    <row r="87">
      <c r="G87" s="11" t="n"/>
      <c r="Q87" s="7">
        <f>IF($E87="","",P87*AB87/100)</f>
        <v/>
      </c>
      <c r="R87" s="7" t="n"/>
      <c r="X87" s="7" t="n"/>
      <c r="Y87" s="7">
        <f>IF($E87="","",AB87*AE87/100)</f>
        <v/>
      </c>
      <c r="Z87" s="7">
        <f>IF($E87="","",AB87-Y87)</f>
        <v/>
      </c>
      <c r="AA87" s="7">
        <f>IF($E87="","",Z87-Q87)</f>
        <v/>
      </c>
      <c r="AB87" s="7" t="n"/>
      <c r="AE87">
        <f>IF($E87="","",IF($AQ87=1,0,IF($AP87=1,Settings!$C$6,Settings!$C$7))*100)</f>
        <v/>
      </c>
      <c r="AI87" s="7" t="n"/>
      <c r="AL87" s="11" t="n"/>
      <c r="AN87">
        <f>IF($E87="","",IF(COUNTIF($E$2:$E87,$E87)=1,1,0))</f>
        <v/>
      </c>
      <c r="AO87">
        <f>IF($AN87=1,SUMPRODUCT(--($AR$2:$AR$3001&lt;$AR87))+1,"")</f>
        <v/>
      </c>
      <c r="AP87">
        <f>IF($E87="","",IF(OR($U87=TRUE(),$U87="TRUE"),1,0))</f>
        <v/>
      </c>
      <c r="AQ87">
        <f>IF($E87="","",IF($AD87="Yes",1,0))</f>
        <v/>
      </c>
      <c r="AR87">
        <f>IF($AN87=1,IFERROR(VALUE(MID($E87,2,20)),1000000000)+ROW()/100000,"")</f>
        <v/>
      </c>
    </row>
    <row r="88">
      <c r="G88" s="11" t="n"/>
      <c r="Q88" s="7">
        <f>IF($E88="","",P88*AB88/100)</f>
        <v/>
      </c>
      <c r="R88" s="7" t="n"/>
      <c r="X88" s="7" t="n"/>
      <c r="Y88" s="7">
        <f>IF($E88="","",AB88*AE88/100)</f>
        <v/>
      </c>
      <c r="Z88" s="7">
        <f>IF($E88="","",AB88-Y88)</f>
        <v/>
      </c>
      <c r="AA88" s="7">
        <f>IF($E88="","",Z88-Q88)</f>
        <v/>
      </c>
      <c r="AB88" s="7" t="n"/>
      <c r="AE88">
        <f>IF($E88="","",IF($AQ88=1,0,IF($AP88=1,Settings!$C$6,Settings!$C$7))*100)</f>
        <v/>
      </c>
      <c r="AI88" s="7" t="n"/>
      <c r="AL88" s="11" t="n"/>
      <c r="AN88">
        <f>IF($E88="","",IF(COUNTIF($E$2:$E88,$E88)=1,1,0))</f>
        <v/>
      </c>
      <c r="AO88">
        <f>IF($AN88=1,SUMPRODUCT(--($AR$2:$AR$3001&lt;$AR88))+1,"")</f>
        <v/>
      </c>
      <c r="AP88">
        <f>IF($E88="","",IF(OR($U88=TRUE(),$U88="TRUE"),1,0))</f>
        <v/>
      </c>
      <c r="AQ88">
        <f>IF($E88="","",IF($AD88="Yes",1,0))</f>
        <v/>
      </c>
      <c r="AR88">
        <f>IF($AN88=1,IFERROR(VALUE(MID($E88,2,20)),1000000000)+ROW()/100000,"")</f>
        <v/>
      </c>
    </row>
    <row r="89">
      <c r="G89" s="11" t="n"/>
      <c r="Q89" s="7">
        <f>IF($E89="","",P89*AB89/100)</f>
        <v/>
      </c>
      <c r="R89" s="7" t="n"/>
      <c r="X89" s="7" t="n"/>
      <c r="Y89" s="7">
        <f>IF($E89="","",AB89*AE89/100)</f>
        <v/>
      </c>
      <c r="Z89" s="7">
        <f>IF($E89="","",AB89-Y89)</f>
        <v/>
      </c>
      <c r="AA89" s="7">
        <f>IF($E89="","",Z89-Q89)</f>
        <v/>
      </c>
      <c r="AB89" s="7" t="n"/>
      <c r="AE89">
        <f>IF($E89="","",IF($AQ89=1,0,IF($AP89=1,Settings!$C$6,Settings!$C$7))*100)</f>
        <v/>
      </c>
      <c r="AI89" s="7" t="n"/>
      <c r="AL89" s="11" t="n"/>
      <c r="AN89">
        <f>IF($E89="","",IF(COUNTIF($E$2:$E89,$E89)=1,1,0))</f>
        <v/>
      </c>
      <c r="AO89">
        <f>IF($AN89=1,SUMPRODUCT(--($AR$2:$AR$3001&lt;$AR89))+1,"")</f>
        <v/>
      </c>
      <c r="AP89">
        <f>IF($E89="","",IF(OR($U89=TRUE(),$U89="TRUE"),1,0))</f>
        <v/>
      </c>
      <c r="AQ89">
        <f>IF($E89="","",IF($AD89="Yes",1,0))</f>
        <v/>
      </c>
      <c r="AR89">
        <f>IF($AN89=1,IFERROR(VALUE(MID($E89,2,20)),1000000000)+ROW()/100000,"")</f>
        <v/>
      </c>
    </row>
    <row r="90">
      <c r="G90" s="11" t="n"/>
      <c r="Q90" s="7">
        <f>IF($E90="","",P90*AB90/100)</f>
        <v/>
      </c>
      <c r="R90" s="7" t="n"/>
      <c r="X90" s="7" t="n"/>
      <c r="Y90" s="7">
        <f>IF($E90="","",AB90*AE90/100)</f>
        <v/>
      </c>
      <c r="Z90" s="7">
        <f>IF($E90="","",AB90-Y90)</f>
        <v/>
      </c>
      <c r="AA90" s="7">
        <f>IF($E90="","",Z90-Q90)</f>
        <v/>
      </c>
      <c r="AB90" s="7" t="n"/>
      <c r="AE90">
        <f>IF($E90="","",IF($AQ90=1,0,IF($AP90=1,Settings!$C$6,Settings!$C$7))*100)</f>
        <v/>
      </c>
      <c r="AI90" s="7" t="n"/>
      <c r="AL90" s="11" t="n"/>
      <c r="AN90">
        <f>IF($E90="","",IF(COUNTIF($E$2:$E90,$E90)=1,1,0))</f>
        <v/>
      </c>
      <c r="AO90">
        <f>IF($AN90=1,SUMPRODUCT(--($AR$2:$AR$3001&lt;$AR90))+1,"")</f>
        <v/>
      </c>
      <c r="AP90">
        <f>IF($E90="","",IF(OR($U90=TRUE(),$U90="TRUE"),1,0))</f>
        <v/>
      </c>
      <c r="AQ90">
        <f>IF($E90="","",IF($AD90="Yes",1,0))</f>
        <v/>
      </c>
      <c r="AR90">
        <f>IF($AN90=1,IFERROR(VALUE(MID($E90,2,20)),1000000000)+ROW()/100000,"")</f>
        <v/>
      </c>
    </row>
    <row r="91">
      <c r="G91" s="11" t="n"/>
      <c r="Q91" s="7">
        <f>IF($E91="","",P91*AB91/100)</f>
        <v/>
      </c>
      <c r="R91" s="7" t="n"/>
      <c r="X91" s="7" t="n"/>
      <c r="Y91" s="7">
        <f>IF($E91="","",AB91*AE91/100)</f>
        <v/>
      </c>
      <c r="Z91" s="7">
        <f>IF($E91="","",AB91-Y91)</f>
        <v/>
      </c>
      <c r="AA91" s="7">
        <f>IF($E91="","",Z91-Q91)</f>
        <v/>
      </c>
      <c r="AB91" s="7" t="n"/>
      <c r="AE91">
        <f>IF($E91="","",IF($AQ91=1,0,IF($AP91=1,Settings!$C$6,Settings!$C$7))*100)</f>
        <v/>
      </c>
      <c r="AI91" s="7" t="n"/>
      <c r="AL91" s="11" t="n"/>
      <c r="AN91">
        <f>IF($E91="","",IF(COUNTIF($E$2:$E91,$E91)=1,1,0))</f>
        <v/>
      </c>
      <c r="AO91">
        <f>IF($AN91=1,SUMPRODUCT(--($AR$2:$AR$3001&lt;$AR91))+1,"")</f>
        <v/>
      </c>
      <c r="AP91">
        <f>IF($E91="","",IF(OR($U91=TRUE(),$U91="TRUE"),1,0))</f>
        <v/>
      </c>
      <c r="AQ91">
        <f>IF($E91="","",IF($AD91="Yes",1,0))</f>
        <v/>
      </c>
      <c r="AR91">
        <f>IF($AN91=1,IFERROR(VALUE(MID($E91,2,20)),1000000000)+ROW()/100000,"")</f>
        <v/>
      </c>
    </row>
    <row r="92">
      <c r="G92" s="11" t="n"/>
      <c r="Q92" s="7">
        <f>IF($E92="","",P92*AB92/100)</f>
        <v/>
      </c>
      <c r="R92" s="7" t="n"/>
      <c r="X92" s="7" t="n"/>
      <c r="Y92" s="7">
        <f>IF($E92="","",AB92*AE92/100)</f>
        <v/>
      </c>
      <c r="Z92" s="7">
        <f>IF($E92="","",AB92-Y92)</f>
        <v/>
      </c>
      <c r="AA92" s="7">
        <f>IF($E92="","",Z92-Q92)</f>
        <v/>
      </c>
      <c r="AB92" s="7" t="n"/>
      <c r="AE92">
        <f>IF($E92="","",IF($AQ92=1,0,IF($AP92=1,Settings!$C$6,Settings!$C$7))*100)</f>
        <v/>
      </c>
      <c r="AI92" s="7" t="n"/>
      <c r="AL92" s="11" t="n"/>
      <c r="AN92">
        <f>IF($E92="","",IF(COUNTIF($E$2:$E92,$E92)=1,1,0))</f>
        <v/>
      </c>
      <c r="AO92">
        <f>IF($AN92=1,SUMPRODUCT(--($AR$2:$AR$3001&lt;$AR92))+1,"")</f>
        <v/>
      </c>
      <c r="AP92">
        <f>IF($E92="","",IF(OR($U92=TRUE(),$U92="TRUE"),1,0))</f>
        <v/>
      </c>
      <c r="AQ92">
        <f>IF($E92="","",IF($AD92="Yes",1,0))</f>
        <v/>
      </c>
      <c r="AR92">
        <f>IF($AN92=1,IFERROR(VALUE(MID($E92,2,20)),1000000000)+ROW()/100000,"")</f>
        <v/>
      </c>
    </row>
    <row r="93">
      <c r="G93" s="11" t="n"/>
      <c r="Q93" s="7">
        <f>IF($E93="","",P93*AB93/100)</f>
        <v/>
      </c>
      <c r="R93" s="7" t="n"/>
      <c r="X93" s="7" t="n"/>
      <c r="Y93" s="7">
        <f>IF($E93="","",AB93*AE93/100)</f>
        <v/>
      </c>
      <c r="Z93" s="7">
        <f>IF($E93="","",AB93-Y93)</f>
        <v/>
      </c>
      <c r="AA93" s="7">
        <f>IF($E93="","",Z93-Q93)</f>
        <v/>
      </c>
      <c r="AB93" s="7" t="n"/>
      <c r="AE93">
        <f>IF($E93="","",IF($AQ93=1,0,IF($AP93=1,Settings!$C$6,Settings!$C$7))*100)</f>
        <v/>
      </c>
      <c r="AI93" s="7" t="n"/>
      <c r="AL93" s="11" t="n"/>
      <c r="AN93">
        <f>IF($E93="","",IF(COUNTIF($E$2:$E93,$E93)=1,1,0))</f>
        <v/>
      </c>
      <c r="AO93">
        <f>IF($AN93=1,SUMPRODUCT(--($AR$2:$AR$3001&lt;$AR93))+1,"")</f>
        <v/>
      </c>
      <c r="AP93">
        <f>IF($E93="","",IF(OR($U93=TRUE(),$U93="TRUE"),1,0))</f>
        <v/>
      </c>
      <c r="AQ93">
        <f>IF($E93="","",IF($AD93="Yes",1,0))</f>
        <v/>
      </c>
      <c r="AR93">
        <f>IF($AN93=1,IFERROR(VALUE(MID($E93,2,20)),1000000000)+ROW()/100000,"")</f>
        <v/>
      </c>
    </row>
    <row r="94">
      <c r="G94" s="11" t="n"/>
      <c r="Q94" s="7">
        <f>IF($E94="","",P94*AB94/100)</f>
        <v/>
      </c>
      <c r="R94" s="7" t="n"/>
      <c r="X94" s="7" t="n"/>
      <c r="Y94" s="7">
        <f>IF($E94="","",AB94*AE94/100)</f>
        <v/>
      </c>
      <c r="Z94" s="7">
        <f>IF($E94="","",AB94-Y94)</f>
        <v/>
      </c>
      <c r="AA94" s="7">
        <f>IF($E94="","",Z94-Q94)</f>
        <v/>
      </c>
      <c r="AB94" s="7" t="n"/>
      <c r="AE94">
        <f>IF($E94="","",IF($AQ94=1,0,IF($AP94=1,Settings!$C$6,Settings!$C$7))*100)</f>
        <v/>
      </c>
      <c r="AI94" s="7" t="n"/>
      <c r="AL94" s="11" t="n"/>
      <c r="AN94">
        <f>IF($E94="","",IF(COUNTIF($E$2:$E94,$E94)=1,1,0))</f>
        <v/>
      </c>
      <c r="AO94">
        <f>IF($AN94=1,SUMPRODUCT(--($AR$2:$AR$3001&lt;$AR94))+1,"")</f>
        <v/>
      </c>
      <c r="AP94">
        <f>IF($E94="","",IF(OR($U94=TRUE(),$U94="TRUE"),1,0))</f>
        <v/>
      </c>
      <c r="AQ94">
        <f>IF($E94="","",IF($AD94="Yes",1,0))</f>
        <v/>
      </c>
      <c r="AR94">
        <f>IF($AN94=1,IFERROR(VALUE(MID($E94,2,20)),1000000000)+ROW()/100000,"")</f>
        <v/>
      </c>
    </row>
    <row r="95">
      <c r="G95" s="11" t="n"/>
      <c r="Q95" s="7">
        <f>IF($E95="","",P95*AB95/100)</f>
        <v/>
      </c>
      <c r="R95" s="7" t="n"/>
      <c r="X95" s="7" t="n"/>
      <c r="Y95" s="7">
        <f>IF($E95="","",AB95*AE95/100)</f>
        <v/>
      </c>
      <c r="Z95" s="7">
        <f>IF($E95="","",AB95-Y95)</f>
        <v/>
      </c>
      <c r="AA95" s="7">
        <f>IF($E95="","",Z95-Q95)</f>
        <v/>
      </c>
      <c r="AB95" s="7" t="n"/>
      <c r="AE95">
        <f>IF($E95="","",IF($AQ95=1,0,IF($AP95=1,Settings!$C$6,Settings!$C$7))*100)</f>
        <v/>
      </c>
      <c r="AI95" s="7" t="n"/>
      <c r="AL95" s="11" t="n"/>
      <c r="AN95">
        <f>IF($E95="","",IF(COUNTIF($E$2:$E95,$E95)=1,1,0))</f>
        <v/>
      </c>
      <c r="AO95">
        <f>IF($AN95=1,SUMPRODUCT(--($AR$2:$AR$3001&lt;$AR95))+1,"")</f>
        <v/>
      </c>
      <c r="AP95">
        <f>IF($E95="","",IF(OR($U95=TRUE(),$U95="TRUE"),1,0))</f>
        <v/>
      </c>
      <c r="AQ95">
        <f>IF($E95="","",IF($AD95="Yes",1,0))</f>
        <v/>
      </c>
      <c r="AR95">
        <f>IF($AN95=1,IFERROR(VALUE(MID($E95,2,20)),1000000000)+ROW()/100000,"")</f>
        <v/>
      </c>
    </row>
    <row r="96">
      <c r="G96" s="11" t="n"/>
      <c r="Q96" s="7">
        <f>IF($E96="","",P96*AB96/100)</f>
        <v/>
      </c>
      <c r="R96" s="7" t="n"/>
      <c r="X96" s="7" t="n"/>
      <c r="Y96" s="7">
        <f>IF($E96="","",AB96*AE96/100)</f>
        <v/>
      </c>
      <c r="Z96" s="7">
        <f>IF($E96="","",AB96-Y96)</f>
        <v/>
      </c>
      <c r="AA96" s="7">
        <f>IF($E96="","",Z96-Q96)</f>
        <v/>
      </c>
      <c r="AB96" s="7" t="n"/>
      <c r="AE96">
        <f>IF($E96="","",IF($AQ96=1,0,IF($AP96=1,Settings!$C$6,Settings!$C$7))*100)</f>
        <v/>
      </c>
      <c r="AI96" s="7" t="n"/>
      <c r="AL96" s="11" t="n"/>
      <c r="AN96">
        <f>IF($E96="","",IF(COUNTIF($E$2:$E96,$E96)=1,1,0))</f>
        <v/>
      </c>
      <c r="AO96">
        <f>IF($AN96=1,SUMPRODUCT(--($AR$2:$AR$3001&lt;$AR96))+1,"")</f>
        <v/>
      </c>
      <c r="AP96">
        <f>IF($E96="","",IF(OR($U96=TRUE(),$U96="TRUE"),1,0))</f>
        <v/>
      </c>
      <c r="AQ96">
        <f>IF($E96="","",IF($AD96="Yes",1,0))</f>
        <v/>
      </c>
      <c r="AR96">
        <f>IF($AN96=1,IFERROR(VALUE(MID($E96,2,20)),1000000000)+ROW()/100000,"")</f>
        <v/>
      </c>
    </row>
    <row r="97">
      <c r="G97" s="11" t="n"/>
      <c r="Q97" s="7">
        <f>IF($E97="","",P97*AB97/100)</f>
        <v/>
      </c>
      <c r="R97" s="7" t="n"/>
      <c r="X97" s="7" t="n"/>
      <c r="Y97" s="7">
        <f>IF($E97="","",AB97*AE97/100)</f>
        <v/>
      </c>
      <c r="Z97" s="7">
        <f>IF($E97="","",AB97-Y97)</f>
        <v/>
      </c>
      <c r="AA97" s="7">
        <f>IF($E97="","",Z97-Q97)</f>
        <v/>
      </c>
      <c r="AB97" s="7" t="n"/>
      <c r="AE97">
        <f>IF($E97="","",IF($AQ97=1,0,IF($AP97=1,Settings!$C$6,Settings!$C$7))*100)</f>
        <v/>
      </c>
      <c r="AI97" s="7" t="n"/>
      <c r="AL97" s="11" t="n"/>
      <c r="AN97">
        <f>IF($E97="","",IF(COUNTIF($E$2:$E97,$E97)=1,1,0))</f>
        <v/>
      </c>
      <c r="AO97">
        <f>IF($AN97=1,SUMPRODUCT(--($AR$2:$AR$3001&lt;$AR97))+1,"")</f>
        <v/>
      </c>
      <c r="AP97">
        <f>IF($E97="","",IF(OR($U97=TRUE(),$U97="TRUE"),1,0))</f>
        <v/>
      </c>
      <c r="AQ97">
        <f>IF($E97="","",IF($AD97="Yes",1,0))</f>
        <v/>
      </c>
      <c r="AR97">
        <f>IF($AN97=1,IFERROR(VALUE(MID($E97,2,20)),1000000000)+ROW()/100000,"")</f>
        <v/>
      </c>
    </row>
    <row r="98">
      <c r="G98" s="11" t="n"/>
      <c r="Q98" s="7">
        <f>IF($E98="","",P98*AB98/100)</f>
        <v/>
      </c>
      <c r="R98" s="7" t="n"/>
      <c r="X98" s="7" t="n"/>
      <c r="Y98" s="7">
        <f>IF($E98="","",AB98*AE98/100)</f>
        <v/>
      </c>
      <c r="Z98" s="7">
        <f>IF($E98="","",AB98-Y98)</f>
        <v/>
      </c>
      <c r="AA98" s="7">
        <f>IF($E98="","",Z98-Q98)</f>
        <v/>
      </c>
      <c r="AB98" s="7" t="n"/>
      <c r="AE98">
        <f>IF($E98="","",IF($AQ98=1,0,IF($AP98=1,Settings!$C$6,Settings!$C$7))*100)</f>
        <v/>
      </c>
      <c r="AI98" s="7" t="n"/>
      <c r="AL98" s="11" t="n"/>
      <c r="AN98">
        <f>IF($E98="","",IF(COUNTIF($E$2:$E98,$E98)=1,1,0))</f>
        <v/>
      </c>
      <c r="AO98">
        <f>IF($AN98=1,SUMPRODUCT(--($AR$2:$AR$3001&lt;$AR98))+1,"")</f>
        <v/>
      </c>
      <c r="AP98">
        <f>IF($E98="","",IF(OR($U98=TRUE(),$U98="TRUE"),1,0))</f>
        <v/>
      </c>
      <c r="AQ98">
        <f>IF($E98="","",IF($AD98="Yes",1,0))</f>
        <v/>
      </c>
      <c r="AR98">
        <f>IF($AN98=1,IFERROR(VALUE(MID($E98,2,20)),1000000000)+ROW()/100000,"")</f>
        <v/>
      </c>
    </row>
    <row r="99">
      <c r="G99" s="11" t="n"/>
      <c r="Q99" s="7">
        <f>IF($E99="","",P99*AB99/100)</f>
        <v/>
      </c>
      <c r="R99" s="7" t="n"/>
      <c r="X99" s="7" t="n"/>
      <c r="Y99" s="7">
        <f>IF($E99="","",AB99*AE99/100)</f>
        <v/>
      </c>
      <c r="Z99" s="7">
        <f>IF($E99="","",AB99-Y99)</f>
        <v/>
      </c>
      <c r="AA99" s="7">
        <f>IF($E99="","",Z99-Q99)</f>
        <v/>
      </c>
      <c r="AB99" s="7" t="n"/>
      <c r="AE99">
        <f>IF($E99="","",IF($AQ99=1,0,IF($AP99=1,Settings!$C$6,Settings!$C$7))*100)</f>
        <v/>
      </c>
      <c r="AI99" s="7" t="n"/>
      <c r="AL99" s="11" t="n"/>
      <c r="AN99">
        <f>IF($E99="","",IF(COUNTIF($E$2:$E99,$E99)=1,1,0))</f>
        <v/>
      </c>
      <c r="AO99">
        <f>IF($AN99=1,SUMPRODUCT(--($AR$2:$AR$3001&lt;$AR99))+1,"")</f>
        <v/>
      </c>
      <c r="AP99">
        <f>IF($E99="","",IF(OR($U99=TRUE(),$U99="TRUE"),1,0))</f>
        <v/>
      </c>
      <c r="AQ99">
        <f>IF($E99="","",IF($AD99="Yes",1,0))</f>
        <v/>
      </c>
      <c r="AR99">
        <f>IF($AN99=1,IFERROR(VALUE(MID($E99,2,20)),1000000000)+ROW()/100000,"")</f>
        <v/>
      </c>
    </row>
    <row r="100">
      <c r="G100" s="11" t="n"/>
      <c r="Q100" s="7">
        <f>IF($E100="","",P100*AB100/100)</f>
        <v/>
      </c>
      <c r="R100" s="7" t="n"/>
      <c r="X100" s="7" t="n"/>
      <c r="Y100" s="7">
        <f>IF($E100="","",AB100*AE100/100)</f>
        <v/>
      </c>
      <c r="Z100" s="7">
        <f>IF($E100="","",AB100-Y100)</f>
        <v/>
      </c>
      <c r="AA100" s="7">
        <f>IF($E100="","",Z100-Q100)</f>
        <v/>
      </c>
      <c r="AB100" s="7" t="n"/>
      <c r="AE100">
        <f>IF($E100="","",IF($AQ100=1,0,IF($AP100=1,Settings!$C$6,Settings!$C$7))*100)</f>
        <v/>
      </c>
      <c r="AI100" s="7" t="n"/>
      <c r="AL100" s="11" t="n"/>
      <c r="AN100">
        <f>IF($E100="","",IF(COUNTIF($E$2:$E100,$E100)=1,1,0))</f>
        <v/>
      </c>
      <c r="AO100">
        <f>IF($AN100=1,SUMPRODUCT(--($AR$2:$AR$3001&lt;$AR100))+1,"")</f>
        <v/>
      </c>
      <c r="AP100">
        <f>IF($E100="","",IF(OR($U100=TRUE(),$U100="TRUE"),1,0))</f>
        <v/>
      </c>
      <c r="AQ100">
        <f>IF($E100="","",IF($AD100="Yes",1,0))</f>
        <v/>
      </c>
      <c r="AR100">
        <f>IF($AN100=1,IFERROR(VALUE(MID($E100,2,20)),1000000000)+ROW()/100000,"")</f>
        <v/>
      </c>
    </row>
    <row r="101">
      <c r="G101" s="11" t="n"/>
      <c r="Q101" s="7">
        <f>IF($E101="","",P101*AB101/100)</f>
        <v/>
      </c>
      <c r="R101" s="7" t="n"/>
      <c r="X101" s="7" t="n"/>
      <c r="Y101" s="7">
        <f>IF($E101="","",AB101*AE101/100)</f>
        <v/>
      </c>
      <c r="Z101" s="7">
        <f>IF($E101="","",AB101-Y101)</f>
        <v/>
      </c>
      <c r="AA101" s="7">
        <f>IF($E101="","",Z101-Q101)</f>
        <v/>
      </c>
      <c r="AB101" s="7" t="n"/>
      <c r="AE101">
        <f>IF($E101="","",IF($AQ101=1,0,IF($AP101=1,Settings!$C$6,Settings!$C$7))*100)</f>
        <v/>
      </c>
      <c r="AI101" s="7" t="n"/>
      <c r="AL101" s="11" t="n"/>
      <c r="AN101">
        <f>IF($E101="","",IF(COUNTIF($E$2:$E101,$E101)=1,1,0))</f>
        <v/>
      </c>
      <c r="AO101">
        <f>IF($AN101=1,SUMPRODUCT(--($AR$2:$AR$3001&lt;$AR101))+1,"")</f>
        <v/>
      </c>
      <c r="AP101">
        <f>IF($E101="","",IF(OR($U101=TRUE(),$U101="TRUE"),1,0))</f>
        <v/>
      </c>
      <c r="AQ101">
        <f>IF($E101="","",IF($AD101="Yes",1,0))</f>
        <v/>
      </c>
      <c r="AR101">
        <f>IF($AN101=1,IFERROR(VALUE(MID($E101,2,20)),1000000000)+ROW()/100000,"")</f>
        <v/>
      </c>
    </row>
    <row r="102">
      <c r="G102" s="11" t="n"/>
      <c r="Q102" s="7">
        <f>IF($E102="","",P102*AB102/100)</f>
        <v/>
      </c>
      <c r="R102" s="7" t="n"/>
      <c r="X102" s="7" t="n"/>
      <c r="Y102" s="7">
        <f>IF($E102="","",AB102*AE102/100)</f>
        <v/>
      </c>
      <c r="Z102" s="7">
        <f>IF($E102="","",AB102-Y102)</f>
        <v/>
      </c>
      <c r="AA102" s="7">
        <f>IF($E102="","",Z102-Q102)</f>
        <v/>
      </c>
      <c r="AB102" s="7" t="n"/>
      <c r="AE102">
        <f>IF($E102="","",IF($AQ102=1,0,IF($AP102=1,Settings!$C$6,Settings!$C$7))*100)</f>
        <v/>
      </c>
      <c r="AI102" s="7" t="n"/>
      <c r="AL102" s="11" t="n"/>
      <c r="AN102">
        <f>IF($E102="","",IF(COUNTIF($E$2:$E102,$E102)=1,1,0))</f>
        <v/>
      </c>
      <c r="AO102">
        <f>IF($AN102=1,SUMPRODUCT(--($AR$2:$AR$3001&lt;$AR102))+1,"")</f>
        <v/>
      </c>
      <c r="AP102">
        <f>IF($E102="","",IF(OR($U102=TRUE(),$U102="TRUE"),1,0))</f>
        <v/>
      </c>
      <c r="AQ102">
        <f>IF($E102="","",IF($AD102="Yes",1,0))</f>
        <v/>
      </c>
      <c r="AR102">
        <f>IF($AN102=1,IFERROR(VALUE(MID($E102,2,20)),1000000000)+ROW()/100000,"")</f>
        <v/>
      </c>
    </row>
    <row r="103">
      <c r="G103" s="11" t="n"/>
      <c r="Q103" s="7">
        <f>IF($E103="","",P103*AB103/100)</f>
        <v/>
      </c>
      <c r="R103" s="7" t="n"/>
      <c r="X103" s="7" t="n"/>
      <c r="Y103" s="7">
        <f>IF($E103="","",AB103*AE103/100)</f>
        <v/>
      </c>
      <c r="Z103" s="7">
        <f>IF($E103="","",AB103-Y103)</f>
        <v/>
      </c>
      <c r="AA103" s="7">
        <f>IF($E103="","",Z103-Q103)</f>
        <v/>
      </c>
      <c r="AB103" s="7" t="n"/>
      <c r="AE103">
        <f>IF($E103="","",IF($AQ103=1,0,IF($AP103=1,Settings!$C$6,Settings!$C$7))*100)</f>
        <v/>
      </c>
      <c r="AI103" s="7" t="n"/>
      <c r="AL103" s="11" t="n"/>
      <c r="AN103">
        <f>IF($E103="","",IF(COUNTIF($E$2:$E103,$E103)=1,1,0))</f>
        <v/>
      </c>
      <c r="AO103">
        <f>IF($AN103=1,SUMPRODUCT(--($AR$2:$AR$3001&lt;$AR103))+1,"")</f>
        <v/>
      </c>
      <c r="AP103">
        <f>IF($E103="","",IF(OR($U103=TRUE(),$U103="TRUE"),1,0))</f>
        <v/>
      </c>
      <c r="AQ103">
        <f>IF($E103="","",IF($AD103="Yes",1,0))</f>
        <v/>
      </c>
      <c r="AR103">
        <f>IF($AN103=1,IFERROR(VALUE(MID($E103,2,20)),1000000000)+ROW()/100000,"")</f>
        <v/>
      </c>
    </row>
    <row r="104">
      <c r="G104" s="11" t="n"/>
      <c r="Q104" s="7">
        <f>IF($E104="","",P104*AB104/100)</f>
        <v/>
      </c>
      <c r="R104" s="7" t="n"/>
      <c r="X104" s="7" t="n"/>
      <c r="Y104" s="7">
        <f>IF($E104="","",AB104*AE104/100)</f>
        <v/>
      </c>
      <c r="Z104" s="7">
        <f>IF($E104="","",AB104-Y104)</f>
        <v/>
      </c>
      <c r="AA104" s="7">
        <f>IF($E104="","",Z104-Q104)</f>
        <v/>
      </c>
      <c r="AB104" s="7" t="n"/>
      <c r="AE104">
        <f>IF($E104="","",IF($AQ104=1,0,IF($AP104=1,Settings!$C$6,Settings!$C$7))*100)</f>
        <v/>
      </c>
      <c r="AI104" s="7" t="n"/>
      <c r="AL104" s="11" t="n"/>
      <c r="AN104">
        <f>IF($E104="","",IF(COUNTIF($E$2:$E104,$E104)=1,1,0))</f>
        <v/>
      </c>
      <c r="AO104">
        <f>IF($AN104=1,SUMPRODUCT(--($AR$2:$AR$3001&lt;$AR104))+1,"")</f>
        <v/>
      </c>
      <c r="AP104">
        <f>IF($E104="","",IF(OR($U104=TRUE(),$U104="TRUE"),1,0))</f>
        <v/>
      </c>
      <c r="AQ104">
        <f>IF($E104="","",IF($AD104="Yes",1,0))</f>
        <v/>
      </c>
      <c r="AR104">
        <f>IF($AN104=1,IFERROR(VALUE(MID($E104,2,20)),1000000000)+ROW()/100000,"")</f>
        <v/>
      </c>
    </row>
    <row r="105">
      <c r="G105" s="11" t="n"/>
      <c r="Q105" s="7">
        <f>IF($E105="","",P105*AB105/100)</f>
        <v/>
      </c>
      <c r="R105" s="7" t="n"/>
      <c r="X105" s="7" t="n"/>
      <c r="Y105" s="7">
        <f>IF($E105="","",AB105*AE105/100)</f>
        <v/>
      </c>
      <c r="Z105" s="7">
        <f>IF($E105="","",AB105-Y105)</f>
        <v/>
      </c>
      <c r="AA105" s="7">
        <f>IF($E105="","",Z105-Q105)</f>
        <v/>
      </c>
      <c r="AB105" s="7" t="n"/>
      <c r="AE105">
        <f>IF($E105="","",IF($AQ105=1,0,IF($AP105=1,Settings!$C$6,Settings!$C$7))*100)</f>
        <v/>
      </c>
      <c r="AI105" s="7" t="n"/>
      <c r="AL105" s="11" t="n"/>
      <c r="AN105">
        <f>IF($E105="","",IF(COUNTIF($E$2:$E105,$E105)=1,1,0))</f>
        <v/>
      </c>
      <c r="AO105">
        <f>IF($AN105=1,SUMPRODUCT(--($AR$2:$AR$3001&lt;$AR105))+1,"")</f>
        <v/>
      </c>
      <c r="AP105">
        <f>IF($E105="","",IF(OR($U105=TRUE(),$U105="TRUE"),1,0))</f>
        <v/>
      </c>
      <c r="AQ105">
        <f>IF($E105="","",IF($AD105="Yes",1,0))</f>
        <v/>
      </c>
      <c r="AR105">
        <f>IF($AN105=1,IFERROR(VALUE(MID($E105,2,20)),1000000000)+ROW()/100000,"")</f>
        <v/>
      </c>
    </row>
    <row r="106">
      <c r="G106" s="11" t="n"/>
      <c r="Q106" s="7">
        <f>IF($E106="","",P106*AB106/100)</f>
        <v/>
      </c>
      <c r="R106" s="7" t="n"/>
      <c r="X106" s="7" t="n"/>
      <c r="Y106" s="7">
        <f>IF($E106="","",AB106*AE106/100)</f>
        <v/>
      </c>
      <c r="Z106" s="7">
        <f>IF($E106="","",AB106-Y106)</f>
        <v/>
      </c>
      <c r="AA106" s="7">
        <f>IF($E106="","",Z106-Q106)</f>
        <v/>
      </c>
      <c r="AB106" s="7" t="n"/>
      <c r="AE106">
        <f>IF($E106="","",IF($AQ106=1,0,IF($AP106=1,Settings!$C$6,Settings!$C$7))*100)</f>
        <v/>
      </c>
      <c r="AI106" s="7" t="n"/>
      <c r="AL106" s="11" t="n"/>
      <c r="AN106">
        <f>IF($E106="","",IF(COUNTIF($E$2:$E106,$E106)=1,1,0))</f>
        <v/>
      </c>
      <c r="AO106">
        <f>IF($AN106=1,SUMPRODUCT(--($AR$2:$AR$3001&lt;$AR106))+1,"")</f>
        <v/>
      </c>
      <c r="AP106">
        <f>IF($E106="","",IF(OR($U106=TRUE(),$U106="TRUE"),1,0))</f>
        <v/>
      </c>
      <c r="AQ106">
        <f>IF($E106="","",IF($AD106="Yes",1,0))</f>
        <v/>
      </c>
      <c r="AR106">
        <f>IF($AN106=1,IFERROR(VALUE(MID($E106,2,20)),1000000000)+ROW()/100000,"")</f>
        <v/>
      </c>
    </row>
    <row r="107">
      <c r="G107" s="11" t="n"/>
      <c r="Q107" s="7">
        <f>IF($E107="","",P107*AB107/100)</f>
        <v/>
      </c>
      <c r="R107" s="7" t="n"/>
      <c r="X107" s="7" t="n"/>
      <c r="Y107" s="7">
        <f>IF($E107="","",AB107*AE107/100)</f>
        <v/>
      </c>
      <c r="Z107" s="7">
        <f>IF($E107="","",AB107-Y107)</f>
        <v/>
      </c>
      <c r="AA107" s="7">
        <f>IF($E107="","",Z107-Q107)</f>
        <v/>
      </c>
      <c r="AB107" s="7" t="n"/>
      <c r="AE107">
        <f>IF($E107="","",IF($AQ107=1,0,IF($AP107=1,Settings!$C$6,Settings!$C$7))*100)</f>
        <v/>
      </c>
      <c r="AI107" s="7" t="n"/>
      <c r="AL107" s="11" t="n"/>
      <c r="AN107">
        <f>IF($E107="","",IF(COUNTIF($E$2:$E107,$E107)=1,1,0))</f>
        <v/>
      </c>
      <c r="AO107">
        <f>IF($AN107=1,SUMPRODUCT(--($AR$2:$AR$3001&lt;$AR107))+1,"")</f>
        <v/>
      </c>
      <c r="AP107">
        <f>IF($E107="","",IF(OR($U107=TRUE(),$U107="TRUE"),1,0))</f>
        <v/>
      </c>
      <c r="AQ107">
        <f>IF($E107="","",IF($AD107="Yes",1,0))</f>
        <v/>
      </c>
      <c r="AR107">
        <f>IF($AN107=1,IFERROR(VALUE(MID($E107,2,20)),1000000000)+ROW()/100000,"")</f>
        <v/>
      </c>
    </row>
    <row r="108">
      <c r="G108" s="11" t="n"/>
      <c r="Q108" s="7">
        <f>IF($E108="","",P108*AB108/100)</f>
        <v/>
      </c>
      <c r="R108" s="7" t="n"/>
      <c r="X108" s="7" t="n"/>
      <c r="Y108" s="7">
        <f>IF($E108="","",AB108*AE108/100)</f>
        <v/>
      </c>
      <c r="Z108" s="7">
        <f>IF($E108="","",AB108-Y108)</f>
        <v/>
      </c>
      <c r="AA108" s="7">
        <f>IF($E108="","",Z108-Q108)</f>
        <v/>
      </c>
      <c r="AB108" s="7" t="n"/>
      <c r="AE108">
        <f>IF($E108="","",IF($AQ108=1,0,IF($AP108=1,Settings!$C$6,Settings!$C$7))*100)</f>
        <v/>
      </c>
      <c r="AI108" s="7" t="n"/>
      <c r="AL108" s="11" t="n"/>
      <c r="AN108">
        <f>IF($E108="","",IF(COUNTIF($E$2:$E108,$E108)=1,1,0))</f>
        <v/>
      </c>
      <c r="AO108">
        <f>IF($AN108=1,SUMPRODUCT(--($AR$2:$AR$3001&lt;$AR108))+1,"")</f>
        <v/>
      </c>
      <c r="AP108">
        <f>IF($E108="","",IF(OR($U108=TRUE(),$U108="TRUE"),1,0))</f>
        <v/>
      </c>
      <c r="AQ108">
        <f>IF($E108="","",IF($AD108="Yes",1,0))</f>
        <v/>
      </c>
      <c r="AR108">
        <f>IF($AN108=1,IFERROR(VALUE(MID($E108,2,20)),1000000000)+ROW()/100000,"")</f>
        <v/>
      </c>
    </row>
    <row r="109">
      <c r="G109" s="11" t="n"/>
      <c r="Q109" s="7">
        <f>IF($E109="","",P109*AB109/100)</f>
        <v/>
      </c>
      <c r="R109" s="7" t="n"/>
      <c r="X109" s="7" t="n"/>
      <c r="Y109" s="7">
        <f>IF($E109="","",AB109*AE109/100)</f>
        <v/>
      </c>
      <c r="Z109" s="7">
        <f>IF($E109="","",AB109-Y109)</f>
        <v/>
      </c>
      <c r="AA109" s="7">
        <f>IF($E109="","",Z109-Q109)</f>
        <v/>
      </c>
      <c r="AB109" s="7" t="n"/>
      <c r="AE109">
        <f>IF($E109="","",IF($AQ109=1,0,IF($AP109=1,Settings!$C$6,Settings!$C$7))*100)</f>
        <v/>
      </c>
      <c r="AI109" s="7" t="n"/>
      <c r="AL109" s="11" t="n"/>
      <c r="AN109">
        <f>IF($E109="","",IF(COUNTIF($E$2:$E109,$E109)=1,1,0))</f>
        <v/>
      </c>
      <c r="AO109">
        <f>IF($AN109=1,SUMPRODUCT(--($AR$2:$AR$3001&lt;$AR109))+1,"")</f>
        <v/>
      </c>
      <c r="AP109">
        <f>IF($E109="","",IF(OR($U109=TRUE(),$U109="TRUE"),1,0))</f>
        <v/>
      </c>
      <c r="AQ109">
        <f>IF($E109="","",IF($AD109="Yes",1,0))</f>
        <v/>
      </c>
      <c r="AR109">
        <f>IF($AN109=1,IFERROR(VALUE(MID($E109,2,20)),1000000000)+ROW()/100000,"")</f>
        <v/>
      </c>
    </row>
    <row r="110">
      <c r="G110" s="11" t="n"/>
      <c r="Q110" s="7">
        <f>IF($E110="","",P110*AB110/100)</f>
        <v/>
      </c>
      <c r="R110" s="7" t="n"/>
      <c r="X110" s="7" t="n"/>
      <c r="Y110" s="7">
        <f>IF($E110="","",AB110*AE110/100)</f>
        <v/>
      </c>
      <c r="Z110" s="7">
        <f>IF($E110="","",AB110-Y110)</f>
        <v/>
      </c>
      <c r="AA110" s="7">
        <f>IF($E110="","",Z110-Q110)</f>
        <v/>
      </c>
      <c r="AB110" s="7" t="n"/>
      <c r="AE110">
        <f>IF($E110="","",IF($AQ110=1,0,IF($AP110=1,Settings!$C$6,Settings!$C$7))*100)</f>
        <v/>
      </c>
      <c r="AI110" s="7" t="n"/>
      <c r="AL110" s="11" t="n"/>
      <c r="AN110">
        <f>IF($E110="","",IF(COUNTIF($E$2:$E110,$E110)=1,1,0))</f>
        <v/>
      </c>
      <c r="AO110">
        <f>IF($AN110=1,SUMPRODUCT(--($AR$2:$AR$3001&lt;$AR110))+1,"")</f>
        <v/>
      </c>
      <c r="AP110">
        <f>IF($E110="","",IF(OR($U110=TRUE(),$U110="TRUE"),1,0))</f>
        <v/>
      </c>
      <c r="AQ110">
        <f>IF($E110="","",IF($AD110="Yes",1,0))</f>
        <v/>
      </c>
      <c r="AR110">
        <f>IF($AN110=1,IFERROR(VALUE(MID($E110,2,20)),1000000000)+ROW()/100000,"")</f>
        <v/>
      </c>
    </row>
    <row r="111">
      <c r="G111" s="11" t="n"/>
      <c r="Q111" s="7">
        <f>IF($E111="","",P111*AB111/100)</f>
        <v/>
      </c>
      <c r="R111" s="7" t="n"/>
      <c r="X111" s="7" t="n"/>
      <c r="Y111" s="7">
        <f>IF($E111="","",AB111*AE111/100)</f>
        <v/>
      </c>
      <c r="Z111" s="7">
        <f>IF($E111="","",AB111-Y111)</f>
        <v/>
      </c>
      <c r="AA111" s="7">
        <f>IF($E111="","",Z111-Q111)</f>
        <v/>
      </c>
      <c r="AB111" s="7" t="n"/>
      <c r="AE111">
        <f>IF($E111="","",IF($AQ111=1,0,IF($AP111=1,Settings!$C$6,Settings!$C$7))*100)</f>
        <v/>
      </c>
      <c r="AI111" s="7" t="n"/>
      <c r="AL111" s="11" t="n"/>
      <c r="AN111">
        <f>IF($E111="","",IF(COUNTIF($E$2:$E111,$E111)=1,1,0))</f>
        <v/>
      </c>
      <c r="AO111">
        <f>IF($AN111=1,SUMPRODUCT(--($AR$2:$AR$3001&lt;$AR111))+1,"")</f>
        <v/>
      </c>
      <c r="AP111">
        <f>IF($E111="","",IF(OR($U111=TRUE(),$U111="TRUE"),1,0))</f>
        <v/>
      </c>
      <c r="AQ111">
        <f>IF($E111="","",IF($AD111="Yes",1,0))</f>
        <v/>
      </c>
      <c r="AR111">
        <f>IF($AN111=1,IFERROR(VALUE(MID($E111,2,20)),1000000000)+ROW()/100000,"")</f>
        <v/>
      </c>
    </row>
    <row r="112">
      <c r="G112" s="11" t="n"/>
      <c r="Q112" s="7">
        <f>IF($E112="","",P112*AB112/100)</f>
        <v/>
      </c>
      <c r="R112" s="7" t="n"/>
      <c r="X112" s="7" t="n"/>
      <c r="Y112" s="7">
        <f>IF($E112="","",AB112*AE112/100)</f>
        <v/>
      </c>
      <c r="Z112" s="7">
        <f>IF($E112="","",AB112-Y112)</f>
        <v/>
      </c>
      <c r="AA112" s="7">
        <f>IF($E112="","",Z112-Q112)</f>
        <v/>
      </c>
      <c r="AB112" s="7" t="n"/>
      <c r="AE112">
        <f>IF($E112="","",IF($AQ112=1,0,IF($AP112=1,Settings!$C$6,Settings!$C$7))*100)</f>
        <v/>
      </c>
      <c r="AI112" s="7" t="n"/>
      <c r="AL112" s="11" t="n"/>
      <c r="AN112">
        <f>IF($E112="","",IF(COUNTIF($E$2:$E112,$E112)=1,1,0))</f>
        <v/>
      </c>
      <c r="AO112">
        <f>IF($AN112=1,SUMPRODUCT(--($AR$2:$AR$3001&lt;$AR112))+1,"")</f>
        <v/>
      </c>
      <c r="AP112">
        <f>IF($E112="","",IF(OR($U112=TRUE(),$U112="TRUE"),1,0))</f>
        <v/>
      </c>
      <c r="AQ112">
        <f>IF($E112="","",IF($AD112="Yes",1,0))</f>
        <v/>
      </c>
      <c r="AR112">
        <f>IF($AN112=1,IFERROR(VALUE(MID($E112,2,20)),1000000000)+ROW()/100000,"")</f>
        <v/>
      </c>
    </row>
    <row r="113">
      <c r="G113" s="11" t="n"/>
      <c r="Q113" s="7">
        <f>IF($E113="","",P113*AB113/100)</f>
        <v/>
      </c>
      <c r="R113" s="7" t="n"/>
      <c r="X113" s="7" t="n"/>
      <c r="Y113" s="7">
        <f>IF($E113="","",AB113*AE113/100)</f>
        <v/>
      </c>
      <c r="Z113" s="7">
        <f>IF($E113="","",AB113-Y113)</f>
        <v/>
      </c>
      <c r="AA113" s="7">
        <f>IF($E113="","",Z113-Q113)</f>
        <v/>
      </c>
      <c r="AB113" s="7" t="n"/>
      <c r="AE113">
        <f>IF($E113="","",IF($AQ113=1,0,IF($AP113=1,Settings!$C$6,Settings!$C$7))*100)</f>
        <v/>
      </c>
      <c r="AI113" s="7" t="n"/>
      <c r="AL113" s="11" t="n"/>
      <c r="AN113">
        <f>IF($E113="","",IF(COUNTIF($E$2:$E113,$E113)=1,1,0))</f>
        <v/>
      </c>
      <c r="AO113">
        <f>IF($AN113=1,SUMPRODUCT(--($AR$2:$AR$3001&lt;$AR113))+1,"")</f>
        <v/>
      </c>
      <c r="AP113">
        <f>IF($E113="","",IF(OR($U113=TRUE(),$U113="TRUE"),1,0))</f>
        <v/>
      </c>
      <c r="AQ113">
        <f>IF($E113="","",IF($AD113="Yes",1,0))</f>
        <v/>
      </c>
      <c r="AR113">
        <f>IF($AN113=1,IFERROR(VALUE(MID($E113,2,20)),1000000000)+ROW()/100000,"")</f>
        <v/>
      </c>
    </row>
    <row r="114">
      <c r="G114" s="11" t="n"/>
      <c r="Q114" s="7">
        <f>IF($E114="","",P114*AB114/100)</f>
        <v/>
      </c>
      <c r="R114" s="7" t="n"/>
      <c r="X114" s="7" t="n"/>
      <c r="Y114" s="7">
        <f>IF($E114="","",AB114*AE114/100)</f>
        <v/>
      </c>
      <c r="Z114" s="7">
        <f>IF($E114="","",AB114-Y114)</f>
        <v/>
      </c>
      <c r="AA114" s="7">
        <f>IF($E114="","",Z114-Q114)</f>
        <v/>
      </c>
      <c r="AB114" s="7" t="n"/>
      <c r="AE114">
        <f>IF($E114="","",IF($AQ114=1,0,IF($AP114=1,Settings!$C$6,Settings!$C$7))*100)</f>
        <v/>
      </c>
      <c r="AI114" s="7" t="n"/>
      <c r="AL114" s="11" t="n"/>
      <c r="AN114">
        <f>IF($E114="","",IF(COUNTIF($E$2:$E114,$E114)=1,1,0))</f>
        <v/>
      </c>
      <c r="AO114">
        <f>IF($AN114=1,SUMPRODUCT(--($AR$2:$AR$3001&lt;$AR114))+1,"")</f>
        <v/>
      </c>
      <c r="AP114">
        <f>IF($E114="","",IF(OR($U114=TRUE(),$U114="TRUE"),1,0))</f>
        <v/>
      </c>
      <c r="AQ114">
        <f>IF($E114="","",IF($AD114="Yes",1,0))</f>
        <v/>
      </c>
      <c r="AR114">
        <f>IF($AN114=1,IFERROR(VALUE(MID($E114,2,20)),1000000000)+ROW()/100000,"")</f>
        <v/>
      </c>
    </row>
    <row r="115">
      <c r="G115" s="11" t="n"/>
      <c r="Q115" s="7">
        <f>IF($E115="","",P115*AB115/100)</f>
        <v/>
      </c>
      <c r="R115" s="7" t="n"/>
      <c r="X115" s="7" t="n"/>
      <c r="Y115" s="7">
        <f>IF($E115="","",AB115*AE115/100)</f>
        <v/>
      </c>
      <c r="Z115" s="7">
        <f>IF($E115="","",AB115-Y115)</f>
        <v/>
      </c>
      <c r="AA115" s="7">
        <f>IF($E115="","",Z115-Q115)</f>
        <v/>
      </c>
      <c r="AB115" s="7" t="n"/>
      <c r="AE115">
        <f>IF($E115="","",IF($AQ115=1,0,IF($AP115=1,Settings!$C$6,Settings!$C$7))*100)</f>
        <v/>
      </c>
      <c r="AI115" s="7" t="n"/>
      <c r="AL115" s="11" t="n"/>
      <c r="AN115">
        <f>IF($E115="","",IF(COUNTIF($E$2:$E115,$E115)=1,1,0))</f>
        <v/>
      </c>
      <c r="AO115">
        <f>IF($AN115=1,SUMPRODUCT(--($AR$2:$AR$3001&lt;$AR115))+1,"")</f>
        <v/>
      </c>
      <c r="AP115">
        <f>IF($E115="","",IF(OR($U115=TRUE(),$U115="TRUE"),1,0))</f>
        <v/>
      </c>
      <c r="AQ115">
        <f>IF($E115="","",IF($AD115="Yes",1,0))</f>
        <v/>
      </c>
      <c r="AR115">
        <f>IF($AN115=1,IFERROR(VALUE(MID($E115,2,20)),1000000000)+ROW()/100000,"")</f>
        <v/>
      </c>
    </row>
    <row r="116">
      <c r="G116" s="11" t="n"/>
      <c r="Q116" s="7">
        <f>IF($E116="","",P116*AB116/100)</f>
        <v/>
      </c>
      <c r="R116" s="7" t="n"/>
      <c r="X116" s="7" t="n"/>
      <c r="Y116" s="7">
        <f>IF($E116="","",AB116*AE116/100)</f>
        <v/>
      </c>
      <c r="Z116" s="7">
        <f>IF($E116="","",AB116-Y116)</f>
        <v/>
      </c>
      <c r="AA116" s="7">
        <f>IF($E116="","",Z116-Q116)</f>
        <v/>
      </c>
      <c r="AB116" s="7" t="n"/>
      <c r="AE116">
        <f>IF($E116="","",IF($AQ116=1,0,IF($AP116=1,Settings!$C$6,Settings!$C$7))*100)</f>
        <v/>
      </c>
      <c r="AI116" s="7" t="n"/>
      <c r="AL116" s="11" t="n"/>
      <c r="AN116">
        <f>IF($E116="","",IF(COUNTIF($E$2:$E116,$E116)=1,1,0))</f>
        <v/>
      </c>
      <c r="AO116">
        <f>IF($AN116=1,SUMPRODUCT(--($AR$2:$AR$3001&lt;$AR116))+1,"")</f>
        <v/>
      </c>
      <c r="AP116">
        <f>IF($E116="","",IF(OR($U116=TRUE(),$U116="TRUE"),1,0))</f>
        <v/>
      </c>
      <c r="AQ116">
        <f>IF($E116="","",IF($AD116="Yes",1,0))</f>
        <v/>
      </c>
      <c r="AR116">
        <f>IF($AN116=1,IFERROR(VALUE(MID($E116,2,20)),1000000000)+ROW()/100000,"")</f>
        <v/>
      </c>
    </row>
    <row r="117">
      <c r="G117" s="11" t="n"/>
      <c r="Q117" s="7">
        <f>IF($E117="","",P117*AB117/100)</f>
        <v/>
      </c>
      <c r="R117" s="7" t="n"/>
      <c r="X117" s="7" t="n"/>
      <c r="Y117" s="7">
        <f>IF($E117="","",AB117*AE117/100)</f>
        <v/>
      </c>
      <c r="Z117" s="7">
        <f>IF($E117="","",AB117-Y117)</f>
        <v/>
      </c>
      <c r="AA117" s="7">
        <f>IF($E117="","",Z117-Q117)</f>
        <v/>
      </c>
      <c r="AB117" s="7" t="n"/>
      <c r="AE117">
        <f>IF($E117="","",IF($AQ117=1,0,IF($AP117=1,Settings!$C$6,Settings!$C$7))*100)</f>
        <v/>
      </c>
      <c r="AI117" s="7" t="n"/>
      <c r="AL117" s="11" t="n"/>
      <c r="AN117">
        <f>IF($E117="","",IF(COUNTIF($E$2:$E117,$E117)=1,1,0))</f>
        <v/>
      </c>
      <c r="AO117">
        <f>IF($AN117=1,SUMPRODUCT(--($AR$2:$AR$3001&lt;$AR117))+1,"")</f>
        <v/>
      </c>
      <c r="AP117">
        <f>IF($E117="","",IF(OR($U117=TRUE(),$U117="TRUE"),1,0))</f>
        <v/>
      </c>
      <c r="AQ117">
        <f>IF($E117="","",IF($AD117="Yes",1,0))</f>
        <v/>
      </c>
      <c r="AR117">
        <f>IF($AN117=1,IFERROR(VALUE(MID($E117,2,20)),1000000000)+ROW()/100000,"")</f>
        <v/>
      </c>
    </row>
    <row r="118">
      <c r="G118" s="11" t="n"/>
      <c r="Q118" s="7">
        <f>IF($E118="","",P118*AB118/100)</f>
        <v/>
      </c>
      <c r="R118" s="7" t="n"/>
      <c r="X118" s="7" t="n"/>
      <c r="Y118" s="7">
        <f>IF($E118="","",AB118*AE118/100)</f>
        <v/>
      </c>
      <c r="Z118" s="7">
        <f>IF($E118="","",AB118-Y118)</f>
        <v/>
      </c>
      <c r="AA118" s="7">
        <f>IF($E118="","",Z118-Q118)</f>
        <v/>
      </c>
      <c r="AB118" s="7" t="n"/>
      <c r="AE118">
        <f>IF($E118="","",IF($AQ118=1,0,IF($AP118=1,Settings!$C$6,Settings!$C$7))*100)</f>
        <v/>
      </c>
      <c r="AI118" s="7" t="n"/>
      <c r="AL118" s="11" t="n"/>
      <c r="AN118">
        <f>IF($E118="","",IF(COUNTIF($E$2:$E118,$E118)=1,1,0))</f>
        <v/>
      </c>
      <c r="AO118">
        <f>IF($AN118=1,SUMPRODUCT(--($AR$2:$AR$3001&lt;$AR118))+1,"")</f>
        <v/>
      </c>
      <c r="AP118">
        <f>IF($E118="","",IF(OR($U118=TRUE(),$U118="TRUE"),1,0))</f>
        <v/>
      </c>
      <c r="AQ118">
        <f>IF($E118="","",IF($AD118="Yes",1,0))</f>
        <v/>
      </c>
      <c r="AR118">
        <f>IF($AN118=1,IFERROR(VALUE(MID($E118,2,20)),1000000000)+ROW()/100000,"")</f>
        <v/>
      </c>
    </row>
    <row r="119">
      <c r="G119" s="11" t="n"/>
      <c r="Q119" s="7">
        <f>IF($E119="","",P119*AB119/100)</f>
        <v/>
      </c>
      <c r="R119" s="7" t="n"/>
      <c r="X119" s="7" t="n"/>
      <c r="Y119" s="7">
        <f>IF($E119="","",AB119*AE119/100)</f>
        <v/>
      </c>
      <c r="Z119" s="7">
        <f>IF($E119="","",AB119-Y119)</f>
        <v/>
      </c>
      <c r="AA119" s="7">
        <f>IF($E119="","",Z119-Q119)</f>
        <v/>
      </c>
      <c r="AB119" s="7" t="n"/>
      <c r="AE119">
        <f>IF($E119="","",IF($AQ119=1,0,IF($AP119=1,Settings!$C$6,Settings!$C$7))*100)</f>
        <v/>
      </c>
      <c r="AI119" s="7" t="n"/>
      <c r="AL119" s="11" t="n"/>
      <c r="AN119">
        <f>IF($E119="","",IF(COUNTIF($E$2:$E119,$E119)=1,1,0))</f>
        <v/>
      </c>
      <c r="AO119">
        <f>IF($AN119=1,SUMPRODUCT(--($AR$2:$AR$3001&lt;$AR119))+1,"")</f>
        <v/>
      </c>
      <c r="AP119">
        <f>IF($E119="","",IF(OR($U119=TRUE(),$U119="TRUE"),1,0))</f>
        <v/>
      </c>
      <c r="AQ119">
        <f>IF($E119="","",IF($AD119="Yes",1,0))</f>
        <v/>
      </c>
      <c r="AR119">
        <f>IF($AN119=1,IFERROR(VALUE(MID($E119,2,20)),1000000000)+ROW()/100000,"")</f>
        <v/>
      </c>
    </row>
    <row r="120">
      <c r="G120" s="11" t="n"/>
      <c r="Q120" s="7">
        <f>IF($E120="","",P120*AB120/100)</f>
        <v/>
      </c>
      <c r="R120" s="7" t="n"/>
      <c r="X120" s="7" t="n"/>
      <c r="Y120" s="7">
        <f>IF($E120="","",AB120*AE120/100)</f>
        <v/>
      </c>
      <c r="Z120" s="7">
        <f>IF($E120="","",AB120-Y120)</f>
        <v/>
      </c>
      <c r="AA120" s="7">
        <f>IF($E120="","",Z120-Q120)</f>
        <v/>
      </c>
      <c r="AB120" s="7" t="n"/>
      <c r="AE120">
        <f>IF($E120="","",IF($AQ120=1,0,IF($AP120=1,Settings!$C$6,Settings!$C$7))*100)</f>
        <v/>
      </c>
      <c r="AI120" s="7" t="n"/>
      <c r="AL120" s="11" t="n"/>
      <c r="AN120">
        <f>IF($E120="","",IF(COUNTIF($E$2:$E120,$E120)=1,1,0))</f>
        <v/>
      </c>
      <c r="AO120">
        <f>IF($AN120=1,SUMPRODUCT(--($AR$2:$AR$3001&lt;$AR120))+1,"")</f>
        <v/>
      </c>
      <c r="AP120">
        <f>IF($E120="","",IF(OR($U120=TRUE(),$U120="TRUE"),1,0))</f>
        <v/>
      </c>
      <c r="AQ120">
        <f>IF($E120="","",IF($AD120="Yes",1,0))</f>
        <v/>
      </c>
      <c r="AR120">
        <f>IF($AN120=1,IFERROR(VALUE(MID($E120,2,20)),1000000000)+ROW()/100000,"")</f>
        <v/>
      </c>
    </row>
    <row r="121">
      <c r="G121" s="11" t="n"/>
      <c r="Q121" s="7">
        <f>IF($E121="","",P121*AB121/100)</f>
        <v/>
      </c>
      <c r="R121" s="7" t="n"/>
      <c r="X121" s="7" t="n"/>
      <c r="Y121" s="7">
        <f>IF($E121="","",AB121*AE121/100)</f>
        <v/>
      </c>
      <c r="Z121" s="7">
        <f>IF($E121="","",AB121-Y121)</f>
        <v/>
      </c>
      <c r="AA121" s="7">
        <f>IF($E121="","",Z121-Q121)</f>
        <v/>
      </c>
      <c r="AB121" s="7" t="n"/>
      <c r="AE121">
        <f>IF($E121="","",IF($AQ121=1,0,IF($AP121=1,Settings!$C$6,Settings!$C$7))*100)</f>
        <v/>
      </c>
      <c r="AI121" s="7" t="n"/>
      <c r="AL121" s="11" t="n"/>
      <c r="AN121">
        <f>IF($E121="","",IF(COUNTIF($E$2:$E121,$E121)=1,1,0))</f>
        <v/>
      </c>
      <c r="AO121">
        <f>IF($AN121=1,SUMPRODUCT(--($AR$2:$AR$3001&lt;$AR121))+1,"")</f>
        <v/>
      </c>
      <c r="AP121">
        <f>IF($E121="","",IF(OR($U121=TRUE(),$U121="TRUE"),1,0))</f>
        <v/>
      </c>
      <c r="AQ121">
        <f>IF($E121="","",IF($AD121="Yes",1,0))</f>
        <v/>
      </c>
      <c r="AR121">
        <f>IF($AN121=1,IFERROR(VALUE(MID($E121,2,20)),1000000000)+ROW()/100000,"")</f>
        <v/>
      </c>
    </row>
    <row r="122">
      <c r="G122" s="11" t="n"/>
      <c r="Q122" s="7">
        <f>IF($E122="","",P122*AB122/100)</f>
        <v/>
      </c>
      <c r="R122" s="7" t="n"/>
      <c r="X122" s="7" t="n"/>
      <c r="Y122" s="7">
        <f>IF($E122="","",AB122*AE122/100)</f>
        <v/>
      </c>
      <c r="Z122" s="7">
        <f>IF($E122="","",AB122-Y122)</f>
        <v/>
      </c>
      <c r="AA122" s="7">
        <f>IF($E122="","",Z122-Q122)</f>
        <v/>
      </c>
      <c r="AB122" s="7" t="n"/>
      <c r="AE122">
        <f>IF($E122="","",IF($AQ122=1,0,IF($AP122=1,Settings!$C$6,Settings!$C$7))*100)</f>
        <v/>
      </c>
      <c r="AI122" s="7" t="n"/>
      <c r="AL122" s="11" t="n"/>
      <c r="AN122">
        <f>IF($E122="","",IF(COUNTIF($E$2:$E122,$E122)=1,1,0))</f>
        <v/>
      </c>
      <c r="AO122">
        <f>IF($AN122=1,SUMPRODUCT(--($AR$2:$AR$3001&lt;$AR122))+1,"")</f>
        <v/>
      </c>
      <c r="AP122">
        <f>IF($E122="","",IF(OR($U122=TRUE(),$U122="TRUE"),1,0))</f>
        <v/>
      </c>
      <c r="AQ122">
        <f>IF($E122="","",IF($AD122="Yes",1,0))</f>
        <v/>
      </c>
      <c r="AR122">
        <f>IF($AN122=1,IFERROR(VALUE(MID($E122,2,20)),1000000000)+ROW()/100000,"")</f>
        <v/>
      </c>
    </row>
    <row r="123">
      <c r="G123" s="11" t="n"/>
      <c r="Q123" s="7">
        <f>IF($E123="","",P123*AB123/100)</f>
        <v/>
      </c>
      <c r="R123" s="7" t="n"/>
      <c r="X123" s="7" t="n"/>
      <c r="Y123" s="7">
        <f>IF($E123="","",AB123*AE123/100)</f>
        <v/>
      </c>
      <c r="Z123" s="7">
        <f>IF($E123="","",AB123-Y123)</f>
        <v/>
      </c>
      <c r="AA123" s="7">
        <f>IF($E123="","",Z123-Q123)</f>
        <v/>
      </c>
      <c r="AB123" s="7" t="n"/>
      <c r="AE123">
        <f>IF($E123="","",IF($AQ123=1,0,IF($AP123=1,Settings!$C$6,Settings!$C$7))*100)</f>
        <v/>
      </c>
      <c r="AI123" s="7" t="n"/>
      <c r="AL123" s="11" t="n"/>
      <c r="AN123">
        <f>IF($E123="","",IF(COUNTIF($E$2:$E123,$E123)=1,1,0))</f>
        <v/>
      </c>
      <c r="AO123">
        <f>IF($AN123=1,SUMPRODUCT(--($AR$2:$AR$3001&lt;$AR123))+1,"")</f>
        <v/>
      </c>
      <c r="AP123">
        <f>IF($E123="","",IF(OR($U123=TRUE(),$U123="TRUE"),1,0))</f>
        <v/>
      </c>
      <c r="AQ123">
        <f>IF($E123="","",IF($AD123="Yes",1,0))</f>
        <v/>
      </c>
      <c r="AR123">
        <f>IF($AN123=1,IFERROR(VALUE(MID($E123,2,20)),1000000000)+ROW()/100000,"")</f>
        <v/>
      </c>
    </row>
    <row r="124">
      <c r="G124" s="11" t="n"/>
      <c r="Q124" s="7">
        <f>IF($E124="","",P124*AB124/100)</f>
        <v/>
      </c>
      <c r="R124" s="7" t="n"/>
      <c r="X124" s="7" t="n"/>
      <c r="Y124" s="7">
        <f>IF($E124="","",AB124*AE124/100)</f>
        <v/>
      </c>
      <c r="Z124" s="7">
        <f>IF($E124="","",AB124-Y124)</f>
        <v/>
      </c>
      <c r="AA124" s="7">
        <f>IF($E124="","",Z124-Q124)</f>
        <v/>
      </c>
      <c r="AB124" s="7" t="n"/>
      <c r="AE124">
        <f>IF($E124="","",IF($AQ124=1,0,IF($AP124=1,Settings!$C$6,Settings!$C$7))*100)</f>
        <v/>
      </c>
      <c r="AI124" s="7" t="n"/>
      <c r="AL124" s="11" t="n"/>
      <c r="AN124">
        <f>IF($E124="","",IF(COUNTIF($E$2:$E124,$E124)=1,1,0))</f>
        <v/>
      </c>
      <c r="AO124">
        <f>IF($AN124=1,SUMPRODUCT(--($AR$2:$AR$3001&lt;$AR124))+1,"")</f>
        <v/>
      </c>
      <c r="AP124">
        <f>IF($E124="","",IF(OR($U124=TRUE(),$U124="TRUE"),1,0))</f>
        <v/>
      </c>
      <c r="AQ124">
        <f>IF($E124="","",IF($AD124="Yes",1,0))</f>
        <v/>
      </c>
      <c r="AR124">
        <f>IF($AN124=1,IFERROR(VALUE(MID($E124,2,20)),1000000000)+ROW()/100000,"")</f>
        <v/>
      </c>
    </row>
    <row r="125">
      <c r="G125" s="11" t="n"/>
      <c r="Q125" s="7">
        <f>IF($E125="","",P125*AB125/100)</f>
        <v/>
      </c>
      <c r="R125" s="7" t="n"/>
      <c r="X125" s="7" t="n"/>
      <c r="Y125" s="7">
        <f>IF($E125="","",AB125*AE125/100)</f>
        <v/>
      </c>
      <c r="Z125" s="7">
        <f>IF($E125="","",AB125-Y125)</f>
        <v/>
      </c>
      <c r="AA125" s="7">
        <f>IF($E125="","",Z125-Q125)</f>
        <v/>
      </c>
      <c r="AB125" s="7" t="n"/>
      <c r="AE125">
        <f>IF($E125="","",IF($AQ125=1,0,IF($AP125=1,Settings!$C$6,Settings!$C$7))*100)</f>
        <v/>
      </c>
      <c r="AI125" s="7" t="n"/>
      <c r="AL125" s="11" t="n"/>
      <c r="AN125">
        <f>IF($E125="","",IF(COUNTIF($E$2:$E125,$E125)=1,1,0))</f>
        <v/>
      </c>
      <c r="AO125">
        <f>IF($AN125=1,SUMPRODUCT(--($AR$2:$AR$3001&lt;$AR125))+1,"")</f>
        <v/>
      </c>
      <c r="AP125">
        <f>IF($E125="","",IF(OR($U125=TRUE(),$U125="TRUE"),1,0))</f>
        <v/>
      </c>
      <c r="AQ125">
        <f>IF($E125="","",IF($AD125="Yes",1,0))</f>
        <v/>
      </c>
      <c r="AR125">
        <f>IF($AN125=1,IFERROR(VALUE(MID($E125,2,20)),1000000000)+ROW()/100000,"")</f>
        <v/>
      </c>
    </row>
    <row r="126">
      <c r="G126" s="11" t="n"/>
      <c r="Q126" s="7">
        <f>IF($E126="","",P126*AB126/100)</f>
        <v/>
      </c>
      <c r="R126" s="7" t="n"/>
      <c r="X126" s="7" t="n"/>
      <c r="Y126" s="7">
        <f>IF($E126="","",AB126*AE126/100)</f>
        <v/>
      </c>
      <c r="Z126" s="7">
        <f>IF($E126="","",AB126-Y126)</f>
        <v/>
      </c>
      <c r="AA126" s="7">
        <f>IF($E126="","",Z126-Q126)</f>
        <v/>
      </c>
      <c r="AB126" s="7" t="n"/>
      <c r="AE126">
        <f>IF($E126="","",IF($AQ126=1,0,IF($AP126=1,Settings!$C$6,Settings!$C$7))*100)</f>
        <v/>
      </c>
      <c r="AI126" s="7" t="n"/>
      <c r="AL126" s="11" t="n"/>
      <c r="AN126">
        <f>IF($E126="","",IF(COUNTIF($E$2:$E126,$E126)=1,1,0))</f>
        <v/>
      </c>
      <c r="AO126">
        <f>IF($AN126=1,SUMPRODUCT(--($AR$2:$AR$3001&lt;$AR126))+1,"")</f>
        <v/>
      </c>
      <c r="AP126">
        <f>IF($E126="","",IF(OR($U126=TRUE(),$U126="TRUE"),1,0))</f>
        <v/>
      </c>
      <c r="AQ126">
        <f>IF($E126="","",IF($AD126="Yes",1,0))</f>
        <v/>
      </c>
      <c r="AR126">
        <f>IF($AN126=1,IFERROR(VALUE(MID($E126,2,20)),1000000000)+ROW()/100000,"")</f>
        <v/>
      </c>
    </row>
    <row r="127">
      <c r="G127" s="11" t="n"/>
      <c r="Q127" s="7">
        <f>IF($E127="","",P127*AB127/100)</f>
        <v/>
      </c>
      <c r="R127" s="7" t="n"/>
      <c r="X127" s="7" t="n"/>
      <c r="Y127" s="7">
        <f>IF($E127="","",AB127*AE127/100)</f>
        <v/>
      </c>
      <c r="Z127" s="7">
        <f>IF($E127="","",AB127-Y127)</f>
        <v/>
      </c>
      <c r="AA127" s="7">
        <f>IF($E127="","",Z127-Q127)</f>
        <v/>
      </c>
      <c r="AB127" s="7" t="n"/>
      <c r="AE127">
        <f>IF($E127="","",IF($AQ127=1,0,IF($AP127=1,Settings!$C$6,Settings!$C$7))*100)</f>
        <v/>
      </c>
      <c r="AI127" s="7" t="n"/>
      <c r="AL127" s="11" t="n"/>
      <c r="AN127">
        <f>IF($E127="","",IF(COUNTIF($E$2:$E127,$E127)=1,1,0))</f>
        <v/>
      </c>
      <c r="AO127">
        <f>IF($AN127=1,SUMPRODUCT(--($AR$2:$AR$3001&lt;$AR127))+1,"")</f>
        <v/>
      </c>
      <c r="AP127">
        <f>IF($E127="","",IF(OR($U127=TRUE(),$U127="TRUE"),1,0))</f>
        <v/>
      </c>
      <c r="AQ127">
        <f>IF($E127="","",IF($AD127="Yes",1,0))</f>
        <v/>
      </c>
      <c r="AR127">
        <f>IF($AN127=1,IFERROR(VALUE(MID($E127,2,20)),1000000000)+ROW()/100000,"")</f>
        <v/>
      </c>
    </row>
    <row r="128">
      <c r="G128" s="11" t="n"/>
      <c r="Q128" s="7">
        <f>IF($E128="","",P128*AB128/100)</f>
        <v/>
      </c>
      <c r="R128" s="7" t="n"/>
      <c r="X128" s="7" t="n"/>
      <c r="Y128" s="7">
        <f>IF($E128="","",AB128*AE128/100)</f>
        <v/>
      </c>
      <c r="Z128" s="7">
        <f>IF($E128="","",AB128-Y128)</f>
        <v/>
      </c>
      <c r="AA128" s="7">
        <f>IF($E128="","",Z128-Q128)</f>
        <v/>
      </c>
      <c r="AB128" s="7" t="n"/>
      <c r="AE128">
        <f>IF($E128="","",IF($AQ128=1,0,IF($AP128=1,Settings!$C$6,Settings!$C$7))*100)</f>
        <v/>
      </c>
      <c r="AI128" s="7" t="n"/>
      <c r="AL128" s="11" t="n"/>
      <c r="AN128">
        <f>IF($E128="","",IF(COUNTIF($E$2:$E128,$E128)=1,1,0))</f>
        <v/>
      </c>
      <c r="AO128">
        <f>IF($AN128=1,SUMPRODUCT(--($AR$2:$AR$3001&lt;$AR128))+1,"")</f>
        <v/>
      </c>
      <c r="AP128">
        <f>IF($E128="","",IF(OR($U128=TRUE(),$U128="TRUE"),1,0))</f>
        <v/>
      </c>
      <c r="AQ128">
        <f>IF($E128="","",IF($AD128="Yes",1,0))</f>
        <v/>
      </c>
      <c r="AR128">
        <f>IF($AN128=1,IFERROR(VALUE(MID($E128,2,20)),1000000000)+ROW()/100000,"")</f>
        <v/>
      </c>
    </row>
    <row r="129">
      <c r="G129" s="11" t="n"/>
      <c r="Q129" s="7">
        <f>IF($E129="","",P129*AB129/100)</f>
        <v/>
      </c>
      <c r="R129" s="7" t="n"/>
      <c r="X129" s="7" t="n"/>
      <c r="Y129" s="7">
        <f>IF($E129="","",AB129*AE129/100)</f>
        <v/>
      </c>
      <c r="Z129" s="7">
        <f>IF($E129="","",AB129-Y129)</f>
        <v/>
      </c>
      <c r="AA129" s="7">
        <f>IF($E129="","",Z129-Q129)</f>
        <v/>
      </c>
      <c r="AB129" s="7" t="n"/>
      <c r="AE129">
        <f>IF($E129="","",IF($AQ129=1,0,IF($AP129=1,Settings!$C$6,Settings!$C$7))*100)</f>
        <v/>
      </c>
      <c r="AI129" s="7" t="n"/>
      <c r="AL129" s="11" t="n"/>
      <c r="AN129">
        <f>IF($E129="","",IF(COUNTIF($E$2:$E129,$E129)=1,1,0))</f>
        <v/>
      </c>
      <c r="AO129">
        <f>IF($AN129=1,SUMPRODUCT(--($AR$2:$AR$3001&lt;$AR129))+1,"")</f>
        <v/>
      </c>
      <c r="AP129">
        <f>IF($E129="","",IF(OR($U129=TRUE(),$U129="TRUE"),1,0))</f>
        <v/>
      </c>
      <c r="AQ129">
        <f>IF($E129="","",IF($AD129="Yes",1,0))</f>
        <v/>
      </c>
      <c r="AR129">
        <f>IF($AN129=1,IFERROR(VALUE(MID($E129,2,20)),1000000000)+ROW()/100000,"")</f>
        <v/>
      </c>
    </row>
    <row r="130">
      <c r="G130" s="11" t="n"/>
      <c r="Q130" s="7">
        <f>IF($E130="","",P130*AB130/100)</f>
        <v/>
      </c>
      <c r="R130" s="7" t="n"/>
      <c r="X130" s="7" t="n"/>
      <c r="Y130" s="7">
        <f>IF($E130="","",AB130*AE130/100)</f>
        <v/>
      </c>
      <c r="Z130" s="7">
        <f>IF($E130="","",AB130-Y130)</f>
        <v/>
      </c>
      <c r="AA130" s="7">
        <f>IF($E130="","",Z130-Q130)</f>
        <v/>
      </c>
      <c r="AB130" s="7" t="n"/>
      <c r="AE130">
        <f>IF($E130="","",IF($AQ130=1,0,IF($AP130=1,Settings!$C$6,Settings!$C$7))*100)</f>
        <v/>
      </c>
      <c r="AI130" s="7" t="n"/>
      <c r="AL130" s="11" t="n"/>
      <c r="AN130">
        <f>IF($E130="","",IF(COUNTIF($E$2:$E130,$E130)=1,1,0))</f>
        <v/>
      </c>
      <c r="AO130">
        <f>IF($AN130=1,SUMPRODUCT(--($AR$2:$AR$3001&lt;$AR130))+1,"")</f>
        <v/>
      </c>
      <c r="AP130">
        <f>IF($E130="","",IF(OR($U130=TRUE(),$U130="TRUE"),1,0))</f>
        <v/>
      </c>
      <c r="AQ130">
        <f>IF($E130="","",IF($AD130="Yes",1,0))</f>
        <v/>
      </c>
      <c r="AR130">
        <f>IF($AN130=1,IFERROR(VALUE(MID($E130,2,20)),1000000000)+ROW()/100000,"")</f>
        <v/>
      </c>
    </row>
    <row r="131">
      <c r="G131" s="11" t="n"/>
      <c r="Q131" s="7">
        <f>IF($E131="","",P131*AB131/100)</f>
        <v/>
      </c>
      <c r="R131" s="7" t="n"/>
      <c r="X131" s="7" t="n"/>
      <c r="Y131" s="7">
        <f>IF($E131="","",AB131*AE131/100)</f>
        <v/>
      </c>
      <c r="Z131" s="7">
        <f>IF($E131="","",AB131-Y131)</f>
        <v/>
      </c>
      <c r="AA131" s="7">
        <f>IF($E131="","",Z131-Q131)</f>
        <v/>
      </c>
      <c r="AB131" s="7" t="n"/>
      <c r="AE131">
        <f>IF($E131="","",IF($AQ131=1,0,IF($AP131=1,Settings!$C$6,Settings!$C$7))*100)</f>
        <v/>
      </c>
      <c r="AI131" s="7" t="n"/>
      <c r="AL131" s="11" t="n"/>
      <c r="AN131">
        <f>IF($E131="","",IF(COUNTIF($E$2:$E131,$E131)=1,1,0))</f>
        <v/>
      </c>
      <c r="AO131">
        <f>IF($AN131=1,SUMPRODUCT(--($AR$2:$AR$3001&lt;$AR131))+1,"")</f>
        <v/>
      </c>
      <c r="AP131">
        <f>IF($E131="","",IF(OR($U131=TRUE(),$U131="TRUE"),1,0))</f>
        <v/>
      </c>
      <c r="AQ131">
        <f>IF($E131="","",IF($AD131="Yes",1,0))</f>
        <v/>
      </c>
      <c r="AR131">
        <f>IF($AN131=1,IFERROR(VALUE(MID($E131,2,20)),1000000000)+ROW()/100000,"")</f>
        <v/>
      </c>
    </row>
    <row r="132">
      <c r="G132" s="11" t="n"/>
      <c r="Q132" s="7">
        <f>IF($E132="","",P132*AB132/100)</f>
        <v/>
      </c>
      <c r="R132" s="7" t="n"/>
      <c r="X132" s="7" t="n"/>
      <c r="Y132" s="7">
        <f>IF($E132="","",AB132*AE132/100)</f>
        <v/>
      </c>
      <c r="Z132" s="7">
        <f>IF($E132="","",AB132-Y132)</f>
        <v/>
      </c>
      <c r="AA132" s="7">
        <f>IF($E132="","",Z132-Q132)</f>
        <v/>
      </c>
      <c r="AB132" s="7" t="n"/>
      <c r="AE132">
        <f>IF($E132="","",IF($AQ132=1,0,IF($AP132=1,Settings!$C$6,Settings!$C$7))*100)</f>
        <v/>
      </c>
      <c r="AI132" s="7" t="n"/>
      <c r="AL132" s="11" t="n"/>
      <c r="AN132">
        <f>IF($E132="","",IF(COUNTIF($E$2:$E132,$E132)=1,1,0))</f>
        <v/>
      </c>
      <c r="AO132">
        <f>IF($AN132=1,SUMPRODUCT(--($AR$2:$AR$3001&lt;$AR132))+1,"")</f>
        <v/>
      </c>
      <c r="AP132">
        <f>IF($E132="","",IF(OR($U132=TRUE(),$U132="TRUE"),1,0))</f>
        <v/>
      </c>
      <c r="AQ132">
        <f>IF($E132="","",IF($AD132="Yes",1,0))</f>
        <v/>
      </c>
      <c r="AR132">
        <f>IF($AN132=1,IFERROR(VALUE(MID($E132,2,20)),1000000000)+ROW()/100000,"")</f>
        <v/>
      </c>
    </row>
    <row r="133">
      <c r="G133" s="11" t="n"/>
      <c r="Q133" s="7">
        <f>IF($E133="","",P133*AB133/100)</f>
        <v/>
      </c>
      <c r="R133" s="7" t="n"/>
      <c r="X133" s="7" t="n"/>
      <c r="Y133" s="7">
        <f>IF($E133="","",AB133*AE133/100)</f>
        <v/>
      </c>
      <c r="Z133" s="7">
        <f>IF($E133="","",AB133-Y133)</f>
        <v/>
      </c>
      <c r="AA133" s="7">
        <f>IF($E133="","",Z133-Q133)</f>
        <v/>
      </c>
      <c r="AB133" s="7" t="n"/>
      <c r="AE133">
        <f>IF($E133="","",IF($AQ133=1,0,IF($AP133=1,Settings!$C$6,Settings!$C$7))*100)</f>
        <v/>
      </c>
      <c r="AI133" s="7" t="n"/>
      <c r="AL133" s="11" t="n"/>
      <c r="AN133">
        <f>IF($E133="","",IF(COUNTIF($E$2:$E133,$E133)=1,1,0))</f>
        <v/>
      </c>
      <c r="AO133">
        <f>IF($AN133=1,SUMPRODUCT(--($AR$2:$AR$3001&lt;$AR133))+1,"")</f>
        <v/>
      </c>
      <c r="AP133">
        <f>IF($E133="","",IF(OR($U133=TRUE(),$U133="TRUE"),1,0))</f>
        <v/>
      </c>
      <c r="AQ133">
        <f>IF($E133="","",IF($AD133="Yes",1,0))</f>
        <v/>
      </c>
      <c r="AR133">
        <f>IF($AN133=1,IFERROR(VALUE(MID($E133,2,20)),1000000000)+ROW()/100000,"")</f>
        <v/>
      </c>
    </row>
    <row r="134">
      <c r="G134" s="11" t="n"/>
      <c r="Q134" s="7">
        <f>IF($E134="","",P134*AB134/100)</f>
        <v/>
      </c>
      <c r="R134" s="7" t="n"/>
      <c r="X134" s="7" t="n"/>
      <c r="Y134" s="7">
        <f>IF($E134="","",AB134*AE134/100)</f>
        <v/>
      </c>
      <c r="Z134" s="7">
        <f>IF($E134="","",AB134-Y134)</f>
        <v/>
      </c>
      <c r="AA134" s="7">
        <f>IF($E134="","",Z134-Q134)</f>
        <v/>
      </c>
      <c r="AB134" s="7" t="n"/>
      <c r="AE134">
        <f>IF($E134="","",IF($AQ134=1,0,IF($AP134=1,Settings!$C$6,Settings!$C$7))*100)</f>
        <v/>
      </c>
      <c r="AI134" s="7" t="n"/>
      <c r="AL134" s="11" t="n"/>
      <c r="AN134">
        <f>IF($E134="","",IF(COUNTIF($E$2:$E134,$E134)=1,1,0))</f>
        <v/>
      </c>
      <c r="AO134">
        <f>IF($AN134=1,SUMPRODUCT(--($AR$2:$AR$3001&lt;$AR134))+1,"")</f>
        <v/>
      </c>
      <c r="AP134">
        <f>IF($E134="","",IF(OR($U134=TRUE(),$U134="TRUE"),1,0))</f>
        <v/>
      </c>
      <c r="AQ134">
        <f>IF($E134="","",IF($AD134="Yes",1,0))</f>
        <v/>
      </c>
      <c r="AR134">
        <f>IF($AN134=1,IFERROR(VALUE(MID($E134,2,20)),1000000000)+ROW()/100000,"")</f>
        <v/>
      </c>
    </row>
    <row r="135">
      <c r="G135" s="11" t="n"/>
      <c r="Q135" s="7">
        <f>IF($E135="","",P135*AB135/100)</f>
        <v/>
      </c>
      <c r="R135" s="7" t="n"/>
      <c r="X135" s="7" t="n"/>
      <c r="Y135" s="7">
        <f>IF($E135="","",AB135*AE135/100)</f>
        <v/>
      </c>
      <c r="Z135" s="7">
        <f>IF($E135="","",AB135-Y135)</f>
        <v/>
      </c>
      <c r="AA135" s="7">
        <f>IF($E135="","",Z135-Q135)</f>
        <v/>
      </c>
      <c r="AB135" s="7" t="n"/>
      <c r="AE135">
        <f>IF($E135="","",IF($AQ135=1,0,IF($AP135=1,Settings!$C$6,Settings!$C$7))*100)</f>
        <v/>
      </c>
      <c r="AI135" s="7" t="n"/>
      <c r="AL135" s="11" t="n"/>
      <c r="AN135">
        <f>IF($E135="","",IF(COUNTIF($E$2:$E135,$E135)=1,1,0))</f>
        <v/>
      </c>
      <c r="AO135">
        <f>IF($AN135=1,SUMPRODUCT(--($AR$2:$AR$3001&lt;$AR135))+1,"")</f>
        <v/>
      </c>
      <c r="AP135">
        <f>IF($E135="","",IF(OR($U135=TRUE(),$U135="TRUE"),1,0))</f>
        <v/>
      </c>
      <c r="AQ135">
        <f>IF($E135="","",IF($AD135="Yes",1,0))</f>
        <v/>
      </c>
      <c r="AR135">
        <f>IF($AN135=1,IFERROR(VALUE(MID($E135,2,20)),1000000000)+ROW()/100000,"")</f>
        <v/>
      </c>
    </row>
    <row r="136">
      <c r="G136" s="11" t="n"/>
      <c r="Q136" s="7">
        <f>IF($E136="","",P136*AB136/100)</f>
        <v/>
      </c>
      <c r="R136" s="7" t="n"/>
      <c r="X136" s="7" t="n"/>
      <c r="Y136" s="7">
        <f>IF($E136="","",AB136*AE136/100)</f>
        <v/>
      </c>
      <c r="Z136" s="7">
        <f>IF($E136="","",AB136-Y136)</f>
        <v/>
      </c>
      <c r="AA136" s="7">
        <f>IF($E136="","",Z136-Q136)</f>
        <v/>
      </c>
      <c r="AB136" s="7" t="n"/>
      <c r="AE136">
        <f>IF($E136="","",IF($AQ136=1,0,IF($AP136=1,Settings!$C$6,Settings!$C$7))*100)</f>
        <v/>
      </c>
      <c r="AI136" s="7" t="n"/>
      <c r="AL136" s="11" t="n"/>
      <c r="AN136">
        <f>IF($E136="","",IF(COUNTIF($E$2:$E136,$E136)=1,1,0))</f>
        <v/>
      </c>
      <c r="AO136">
        <f>IF($AN136=1,SUMPRODUCT(--($AR$2:$AR$3001&lt;$AR136))+1,"")</f>
        <v/>
      </c>
      <c r="AP136">
        <f>IF($E136="","",IF(OR($U136=TRUE(),$U136="TRUE"),1,0))</f>
        <v/>
      </c>
      <c r="AQ136">
        <f>IF($E136="","",IF($AD136="Yes",1,0))</f>
        <v/>
      </c>
      <c r="AR136">
        <f>IF($AN136=1,IFERROR(VALUE(MID($E136,2,20)),1000000000)+ROW()/100000,"")</f>
        <v/>
      </c>
    </row>
    <row r="137">
      <c r="G137" s="11" t="n"/>
      <c r="Q137" s="7">
        <f>IF($E137="","",P137*AB137/100)</f>
        <v/>
      </c>
      <c r="R137" s="7" t="n"/>
      <c r="X137" s="7" t="n"/>
      <c r="Y137" s="7">
        <f>IF($E137="","",AB137*AE137/100)</f>
        <v/>
      </c>
      <c r="Z137" s="7">
        <f>IF($E137="","",AB137-Y137)</f>
        <v/>
      </c>
      <c r="AA137" s="7">
        <f>IF($E137="","",Z137-Q137)</f>
        <v/>
      </c>
      <c r="AB137" s="7" t="n"/>
      <c r="AE137">
        <f>IF($E137="","",IF($AQ137=1,0,IF($AP137=1,Settings!$C$6,Settings!$C$7))*100)</f>
        <v/>
      </c>
      <c r="AI137" s="7" t="n"/>
      <c r="AL137" s="11" t="n"/>
      <c r="AN137">
        <f>IF($E137="","",IF(COUNTIF($E$2:$E137,$E137)=1,1,0))</f>
        <v/>
      </c>
      <c r="AO137">
        <f>IF($AN137=1,SUMPRODUCT(--($AR$2:$AR$3001&lt;$AR137))+1,"")</f>
        <v/>
      </c>
      <c r="AP137">
        <f>IF($E137="","",IF(OR($U137=TRUE(),$U137="TRUE"),1,0))</f>
        <v/>
      </c>
      <c r="AQ137">
        <f>IF($E137="","",IF($AD137="Yes",1,0))</f>
        <v/>
      </c>
      <c r="AR137">
        <f>IF($AN137=1,IFERROR(VALUE(MID($E137,2,20)),1000000000)+ROW()/100000,"")</f>
        <v/>
      </c>
    </row>
    <row r="138">
      <c r="G138" s="11" t="n"/>
      <c r="Q138" s="7">
        <f>IF($E138="","",P138*AB138/100)</f>
        <v/>
      </c>
      <c r="R138" s="7" t="n"/>
      <c r="X138" s="7" t="n"/>
      <c r="Y138" s="7">
        <f>IF($E138="","",AB138*AE138/100)</f>
        <v/>
      </c>
      <c r="Z138" s="7">
        <f>IF($E138="","",AB138-Y138)</f>
        <v/>
      </c>
      <c r="AA138" s="7">
        <f>IF($E138="","",Z138-Q138)</f>
        <v/>
      </c>
      <c r="AB138" s="7" t="n"/>
      <c r="AE138">
        <f>IF($E138="","",IF($AQ138=1,0,IF($AP138=1,Settings!$C$6,Settings!$C$7))*100)</f>
        <v/>
      </c>
      <c r="AI138" s="7" t="n"/>
      <c r="AL138" s="11" t="n"/>
      <c r="AN138">
        <f>IF($E138="","",IF(COUNTIF($E$2:$E138,$E138)=1,1,0))</f>
        <v/>
      </c>
      <c r="AO138">
        <f>IF($AN138=1,SUMPRODUCT(--($AR$2:$AR$3001&lt;$AR138))+1,"")</f>
        <v/>
      </c>
      <c r="AP138">
        <f>IF($E138="","",IF(OR($U138=TRUE(),$U138="TRUE"),1,0))</f>
        <v/>
      </c>
      <c r="AQ138">
        <f>IF($E138="","",IF($AD138="Yes",1,0))</f>
        <v/>
      </c>
      <c r="AR138">
        <f>IF($AN138=1,IFERROR(VALUE(MID($E138,2,20)),1000000000)+ROW()/100000,"")</f>
        <v/>
      </c>
    </row>
    <row r="139">
      <c r="G139" s="11" t="n"/>
      <c r="Q139" s="7">
        <f>IF($E139="","",P139*AB139/100)</f>
        <v/>
      </c>
      <c r="R139" s="7" t="n"/>
      <c r="X139" s="7" t="n"/>
      <c r="Y139" s="7">
        <f>IF($E139="","",AB139*AE139/100)</f>
        <v/>
      </c>
      <c r="Z139" s="7">
        <f>IF($E139="","",AB139-Y139)</f>
        <v/>
      </c>
      <c r="AA139" s="7">
        <f>IF($E139="","",Z139-Q139)</f>
        <v/>
      </c>
      <c r="AB139" s="7" t="n"/>
      <c r="AE139">
        <f>IF($E139="","",IF($AQ139=1,0,IF($AP139=1,Settings!$C$6,Settings!$C$7))*100)</f>
        <v/>
      </c>
      <c r="AI139" s="7" t="n"/>
      <c r="AL139" s="11" t="n"/>
      <c r="AN139">
        <f>IF($E139="","",IF(COUNTIF($E$2:$E139,$E139)=1,1,0))</f>
        <v/>
      </c>
      <c r="AO139">
        <f>IF($AN139=1,SUMPRODUCT(--($AR$2:$AR$3001&lt;$AR139))+1,"")</f>
        <v/>
      </c>
      <c r="AP139">
        <f>IF($E139="","",IF(OR($U139=TRUE(),$U139="TRUE"),1,0))</f>
        <v/>
      </c>
      <c r="AQ139">
        <f>IF($E139="","",IF($AD139="Yes",1,0))</f>
        <v/>
      </c>
      <c r="AR139">
        <f>IF($AN139=1,IFERROR(VALUE(MID($E139,2,20)),1000000000)+ROW()/100000,"")</f>
        <v/>
      </c>
    </row>
    <row r="140">
      <c r="G140" s="11" t="n"/>
      <c r="Q140" s="7">
        <f>IF($E140="","",P140*AB140/100)</f>
        <v/>
      </c>
      <c r="R140" s="7" t="n"/>
      <c r="X140" s="7" t="n"/>
      <c r="Y140" s="7">
        <f>IF($E140="","",AB140*AE140/100)</f>
        <v/>
      </c>
      <c r="Z140" s="7">
        <f>IF($E140="","",AB140-Y140)</f>
        <v/>
      </c>
      <c r="AA140" s="7">
        <f>IF($E140="","",Z140-Q140)</f>
        <v/>
      </c>
      <c r="AB140" s="7" t="n"/>
      <c r="AE140">
        <f>IF($E140="","",IF($AQ140=1,0,IF($AP140=1,Settings!$C$6,Settings!$C$7))*100)</f>
        <v/>
      </c>
      <c r="AI140" s="7" t="n"/>
      <c r="AL140" s="11" t="n"/>
      <c r="AN140">
        <f>IF($E140="","",IF(COUNTIF($E$2:$E140,$E140)=1,1,0))</f>
        <v/>
      </c>
      <c r="AO140">
        <f>IF($AN140=1,SUMPRODUCT(--($AR$2:$AR$3001&lt;$AR140))+1,"")</f>
        <v/>
      </c>
      <c r="AP140">
        <f>IF($E140="","",IF(OR($U140=TRUE(),$U140="TRUE"),1,0))</f>
        <v/>
      </c>
      <c r="AQ140">
        <f>IF($E140="","",IF($AD140="Yes",1,0))</f>
        <v/>
      </c>
      <c r="AR140">
        <f>IF($AN140=1,IFERROR(VALUE(MID($E140,2,20)),1000000000)+ROW()/100000,"")</f>
        <v/>
      </c>
    </row>
    <row r="141">
      <c r="G141" s="11" t="n"/>
      <c r="Q141" s="7">
        <f>IF($E141="","",P141*AB141/100)</f>
        <v/>
      </c>
      <c r="R141" s="7" t="n"/>
      <c r="X141" s="7" t="n"/>
      <c r="Y141" s="7">
        <f>IF($E141="","",AB141*AE141/100)</f>
        <v/>
      </c>
      <c r="Z141" s="7">
        <f>IF($E141="","",AB141-Y141)</f>
        <v/>
      </c>
      <c r="AA141" s="7">
        <f>IF($E141="","",Z141-Q141)</f>
        <v/>
      </c>
      <c r="AB141" s="7" t="n"/>
      <c r="AE141">
        <f>IF($E141="","",IF($AQ141=1,0,IF($AP141=1,Settings!$C$6,Settings!$C$7))*100)</f>
        <v/>
      </c>
      <c r="AI141" s="7" t="n"/>
      <c r="AL141" s="11" t="n"/>
      <c r="AN141">
        <f>IF($E141="","",IF(COUNTIF($E$2:$E141,$E141)=1,1,0))</f>
        <v/>
      </c>
      <c r="AO141">
        <f>IF($AN141=1,SUMPRODUCT(--($AR$2:$AR$3001&lt;$AR141))+1,"")</f>
        <v/>
      </c>
      <c r="AP141">
        <f>IF($E141="","",IF(OR($U141=TRUE(),$U141="TRUE"),1,0))</f>
        <v/>
      </c>
      <c r="AQ141">
        <f>IF($E141="","",IF($AD141="Yes",1,0))</f>
        <v/>
      </c>
      <c r="AR141">
        <f>IF($AN141=1,IFERROR(VALUE(MID($E141,2,20)),1000000000)+ROW()/100000,"")</f>
        <v/>
      </c>
    </row>
    <row r="142">
      <c r="G142" s="11" t="n"/>
      <c r="Q142" s="7">
        <f>IF($E142="","",P142*AB142/100)</f>
        <v/>
      </c>
      <c r="R142" s="7" t="n"/>
      <c r="X142" s="7" t="n"/>
      <c r="Y142" s="7">
        <f>IF($E142="","",AB142*AE142/100)</f>
        <v/>
      </c>
      <c r="Z142" s="7">
        <f>IF($E142="","",AB142-Y142)</f>
        <v/>
      </c>
      <c r="AA142" s="7">
        <f>IF($E142="","",Z142-Q142)</f>
        <v/>
      </c>
      <c r="AB142" s="7" t="n"/>
      <c r="AE142">
        <f>IF($E142="","",IF($AQ142=1,0,IF($AP142=1,Settings!$C$6,Settings!$C$7))*100)</f>
        <v/>
      </c>
      <c r="AI142" s="7" t="n"/>
      <c r="AL142" s="11" t="n"/>
      <c r="AN142">
        <f>IF($E142="","",IF(COUNTIF($E$2:$E142,$E142)=1,1,0))</f>
        <v/>
      </c>
      <c r="AO142">
        <f>IF($AN142=1,SUMPRODUCT(--($AR$2:$AR$3001&lt;$AR142))+1,"")</f>
        <v/>
      </c>
      <c r="AP142">
        <f>IF($E142="","",IF(OR($U142=TRUE(),$U142="TRUE"),1,0))</f>
        <v/>
      </c>
      <c r="AQ142">
        <f>IF($E142="","",IF($AD142="Yes",1,0))</f>
        <v/>
      </c>
      <c r="AR142">
        <f>IF($AN142=1,IFERROR(VALUE(MID($E142,2,20)),1000000000)+ROW()/100000,"")</f>
        <v/>
      </c>
    </row>
    <row r="143">
      <c r="G143" s="11" t="n"/>
      <c r="Q143" s="7">
        <f>IF($E143="","",P143*AB143/100)</f>
        <v/>
      </c>
      <c r="R143" s="7" t="n"/>
      <c r="X143" s="7" t="n"/>
      <c r="Y143" s="7">
        <f>IF($E143="","",AB143*AE143/100)</f>
        <v/>
      </c>
      <c r="Z143" s="7">
        <f>IF($E143="","",AB143-Y143)</f>
        <v/>
      </c>
      <c r="AA143" s="7">
        <f>IF($E143="","",Z143-Q143)</f>
        <v/>
      </c>
      <c r="AB143" s="7" t="n"/>
      <c r="AE143">
        <f>IF($E143="","",IF($AQ143=1,0,IF($AP143=1,Settings!$C$6,Settings!$C$7))*100)</f>
        <v/>
      </c>
      <c r="AI143" s="7" t="n"/>
      <c r="AL143" s="11" t="n"/>
      <c r="AN143">
        <f>IF($E143="","",IF(COUNTIF($E$2:$E143,$E143)=1,1,0))</f>
        <v/>
      </c>
      <c r="AO143">
        <f>IF($AN143=1,SUMPRODUCT(--($AR$2:$AR$3001&lt;$AR143))+1,"")</f>
        <v/>
      </c>
      <c r="AP143">
        <f>IF($E143="","",IF(OR($U143=TRUE(),$U143="TRUE"),1,0))</f>
        <v/>
      </c>
      <c r="AQ143">
        <f>IF($E143="","",IF($AD143="Yes",1,0))</f>
        <v/>
      </c>
      <c r="AR143">
        <f>IF($AN143=1,IFERROR(VALUE(MID($E143,2,20)),1000000000)+ROW()/100000,"")</f>
        <v/>
      </c>
    </row>
    <row r="144">
      <c r="G144" s="11" t="n"/>
      <c r="Q144" s="7">
        <f>IF($E144="","",P144*AB144/100)</f>
        <v/>
      </c>
      <c r="R144" s="7" t="n"/>
      <c r="X144" s="7" t="n"/>
      <c r="Y144" s="7">
        <f>IF($E144="","",AB144*AE144/100)</f>
        <v/>
      </c>
      <c r="Z144" s="7">
        <f>IF($E144="","",AB144-Y144)</f>
        <v/>
      </c>
      <c r="AA144" s="7">
        <f>IF($E144="","",Z144-Q144)</f>
        <v/>
      </c>
      <c r="AB144" s="7" t="n"/>
      <c r="AE144">
        <f>IF($E144="","",IF($AQ144=1,0,IF($AP144=1,Settings!$C$6,Settings!$C$7))*100)</f>
        <v/>
      </c>
      <c r="AI144" s="7" t="n"/>
      <c r="AL144" s="11" t="n"/>
      <c r="AN144">
        <f>IF($E144="","",IF(COUNTIF($E$2:$E144,$E144)=1,1,0))</f>
        <v/>
      </c>
      <c r="AO144">
        <f>IF($AN144=1,SUMPRODUCT(--($AR$2:$AR$3001&lt;$AR144))+1,"")</f>
        <v/>
      </c>
      <c r="AP144">
        <f>IF($E144="","",IF(OR($U144=TRUE(),$U144="TRUE"),1,0))</f>
        <v/>
      </c>
      <c r="AQ144">
        <f>IF($E144="","",IF($AD144="Yes",1,0))</f>
        <v/>
      </c>
      <c r="AR144">
        <f>IF($AN144=1,IFERROR(VALUE(MID($E144,2,20)),1000000000)+ROW()/100000,"")</f>
        <v/>
      </c>
    </row>
    <row r="145">
      <c r="G145" s="11" t="n"/>
      <c r="Q145" s="7">
        <f>IF($E145="","",P145*AB145/100)</f>
        <v/>
      </c>
      <c r="R145" s="7" t="n"/>
      <c r="X145" s="7" t="n"/>
      <c r="Y145" s="7">
        <f>IF($E145="","",AB145*AE145/100)</f>
        <v/>
      </c>
      <c r="Z145" s="7">
        <f>IF($E145="","",AB145-Y145)</f>
        <v/>
      </c>
      <c r="AA145" s="7">
        <f>IF($E145="","",Z145-Q145)</f>
        <v/>
      </c>
      <c r="AB145" s="7" t="n"/>
      <c r="AE145">
        <f>IF($E145="","",IF($AQ145=1,0,IF($AP145=1,Settings!$C$6,Settings!$C$7))*100)</f>
        <v/>
      </c>
      <c r="AI145" s="7" t="n"/>
      <c r="AL145" s="11" t="n"/>
      <c r="AN145">
        <f>IF($E145="","",IF(COUNTIF($E$2:$E145,$E145)=1,1,0))</f>
        <v/>
      </c>
      <c r="AO145">
        <f>IF($AN145=1,SUMPRODUCT(--($AR$2:$AR$3001&lt;$AR145))+1,"")</f>
        <v/>
      </c>
      <c r="AP145">
        <f>IF($E145="","",IF(OR($U145=TRUE(),$U145="TRUE"),1,0))</f>
        <v/>
      </c>
      <c r="AQ145">
        <f>IF($E145="","",IF($AD145="Yes",1,0))</f>
        <v/>
      </c>
      <c r="AR145">
        <f>IF($AN145=1,IFERROR(VALUE(MID($E145,2,20)),1000000000)+ROW()/100000,"")</f>
        <v/>
      </c>
    </row>
    <row r="146">
      <c r="G146" s="11" t="n"/>
      <c r="Q146" s="7">
        <f>IF($E146="","",P146*AB146/100)</f>
        <v/>
      </c>
      <c r="R146" s="7" t="n"/>
      <c r="X146" s="7" t="n"/>
      <c r="Y146" s="7">
        <f>IF($E146="","",AB146*AE146/100)</f>
        <v/>
      </c>
      <c r="Z146" s="7">
        <f>IF($E146="","",AB146-Y146)</f>
        <v/>
      </c>
      <c r="AA146" s="7">
        <f>IF($E146="","",Z146-Q146)</f>
        <v/>
      </c>
      <c r="AB146" s="7" t="n"/>
      <c r="AE146">
        <f>IF($E146="","",IF($AQ146=1,0,IF($AP146=1,Settings!$C$6,Settings!$C$7))*100)</f>
        <v/>
      </c>
      <c r="AI146" s="7" t="n"/>
      <c r="AL146" s="11" t="n"/>
      <c r="AN146">
        <f>IF($E146="","",IF(COUNTIF($E$2:$E146,$E146)=1,1,0))</f>
        <v/>
      </c>
      <c r="AO146">
        <f>IF($AN146=1,SUMPRODUCT(--($AR$2:$AR$3001&lt;$AR146))+1,"")</f>
        <v/>
      </c>
      <c r="AP146">
        <f>IF($E146="","",IF(OR($U146=TRUE(),$U146="TRUE"),1,0))</f>
        <v/>
      </c>
      <c r="AQ146">
        <f>IF($E146="","",IF($AD146="Yes",1,0))</f>
        <v/>
      </c>
      <c r="AR146">
        <f>IF($AN146=1,IFERROR(VALUE(MID($E146,2,20)),1000000000)+ROW()/100000,"")</f>
        <v/>
      </c>
    </row>
    <row r="147">
      <c r="G147" s="11" t="n"/>
      <c r="Q147" s="7">
        <f>IF($E147="","",P147*AB147/100)</f>
        <v/>
      </c>
      <c r="R147" s="7" t="n"/>
      <c r="X147" s="7" t="n"/>
      <c r="Y147" s="7">
        <f>IF($E147="","",AB147*AE147/100)</f>
        <v/>
      </c>
      <c r="Z147" s="7">
        <f>IF($E147="","",AB147-Y147)</f>
        <v/>
      </c>
      <c r="AA147" s="7">
        <f>IF($E147="","",Z147-Q147)</f>
        <v/>
      </c>
      <c r="AB147" s="7" t="n"/>
      <c r="AE147">
        <f>IF($E147="","",IF($AQ147=1,0,IF($AP147=1,Settings!$C$6,Settings!$C$7))*100)</f>
        <v/>
      </c>
      <c r="AI147" s="7" t="n"/>
      <c r="AL147" s="11" t="n"/>
      <c r="AN147">
        <f>IF($E147="","",IF(COUNTIF($E$2:$E147,$E147)=1,1,0))</f>
        <v/>
      </c>
      <c r="AO147">
        <f>IF($AN147=1,SUMPRODUCT(--($AR$2:$AR$3001&lt;$AR147))+1,"")</f>
        <v/>
      </c>
      <c r="AP147">
        <f>IF($E147="","",IF(OR($U147=TRUE(),$U147="TRUE"),1,0))</f>
        <v/>
      </c>
      <c r="AQ147">
        <f>IF($E147="","",IF($AD147="Yes",1,0))</f>
        <v/>
      </c>
      <c r="AR147">
        <f>IF($AN147=1,IFERROR(VALUE(MID($E147,2,20)),1000000000)+ROW()/100000,"")</f>
        <v/>
      </c>
    </row>
    <row r="148">
      <c r="G148" s="11" t="n"/>
      <c r="Q148" s="7">
        <f>IF($E148="","",P148*AB148/100)</f>
        <v/>
      </c>
      <c r="R148" s="7" t="n"/>
      <c r="X148" s="7" t="n"/>
      <c r="Y148" s="7">
        <f>IF($E148="","",AB148*AE148/100)</f>
        <v/>
      </c>
      <c r="Z148" s="7">
        <f>IF($E148="","",AB148-Y148)</f>
        <v/>
      </c>
      <c r="AA148" s="7">
        <f>IF($E148="","",Z148-Q148)</f>
        <v/>
      </c>
      <c r="AB148" s="7" t="n"/>
      <c r="AE148">
        <f>IF($E148="","",IF($AQ148=1,0,IF($AP148=1,Settings!$C$6,Settings!$C$7))*100)</f>
        <v/>
      </c>
      <c r="AI148" s="7" t="n"/>
      <c r="AL148" s="11" t="n"/>
      <c r="AN148">
        <f>IF($E148="","",IF(COUNTIF($E$2:$E148,$E148)=1,1,0))</f>
        <v/>
      </c>
      <c r="AO148">
        <f>IF($AN148=1,SUMPRODUCT(--($AR$2:$AR$3001&lt;$AR148))+1,"")</f>
        <v/>
      </c>
      <c r="AP148">
        <f>IF($E148="","",IF(OR($U148=TRUE(),$U148="TRUE"),1,0))</f>
        <v/>
      </c>
      <c r="AQ148">
        <f>IF($E148="","",IF($AD148="Yes",1,0))</f>
        <v/>
      </c>
      <c r="AR148">
        <f>IF($AN148=1,IFERROR(VALUE(MID($E148,2,20)),1000000000)+ROW()/100000,"")</f>
        <v/>
      </c>
    </row>
    <row r="149">
      <c r="G149" s="11" t="n"/>
      <c r="Q149" s="7">
        <f>IF($E149="","",P149*AB149/100)</f>
        <v/>
      </c>
      <c r="R149" s="7" t="n"/>
      <c r="X149" s="7" t="n"/>
      <c r="Y149" s="7">
        <f>IF($E149="","",AB149*AE149/100)</f>
        <v/>
      </c>
      <c r="Z149" s="7">
        <f>IF($E149="","",AB149-Y149)</f>
        <v/>
      </c>
      <c r="AA149" s="7">
        <f>IF($E149="","",Z149-Q149)</f>
        <v/>
      </c>
      <c r="AB149" s="7" t="n"/>
      <c r="AE149">
        <f>IF($E149="","",IF($AQ149=1,0,IF($AP149=1,Settings!$C$6,Settings!$C$7))*100)</f>
        <v/>
      </c>
      <c r="AI149" s="7" t="n"/>
      <c r="AL149" s="11" t="n"/>
      <c r="AN149">
        <f>IF($E149="","",IF(COUNTIF($E$2:$E149,$E149)=1,1,0))</f>
        <v/>
      </c>
      <c r="AO149">
        <f>IF($AN149=1,SUMPRODUCT(--($AR$2:$AR$3001&lt;$AR149))+1,"")</f>
        <v/>
      </c>
      <c r="AP149">
        <f>IF($E149="","",IF(OR($U149=TRUE(),$U149="TRUE"),1,0))</f>
        <v/>
      </c>
      <c r="AQ149">
        <f>IF($E149="","",IF($AD149="Yes",1,0))</f>
        <v/>
      </c>
      <c r="AR149">
        <f>IF($AN149=1,IFERROR(VALUE(MID($E149,2,20)),1000000000)+ROW()/100000,"")</f>
        <v/>
      </c>
    </row>
    <row r="150">
      <c r="G150" s="11" t="n"/>
      <c r="Q150" s="7">
        <f>IF($E150="","",P150*AB150/100)</f>
        <v/>
      </c>
      <c r="R150" s="7" t="n"/>
      <c r="X150" s="7" t="n"/>
      <c r="Y150" s="7">
        <f>IF($E150="","",AB150*AE150/100)</f>
        <v/>
      </c>
      <c r="Z150" s="7">
        <f>IF($E150="","",AB150-Y150)</f>
        <v/>
      </c>
      <c r="AA150" s="7">
        <f>IF($E150="","",Z150-Q150)</f>
        <v/>
      </c>
      <c r="AB150" s="7" t="n"/>
      <c r="AE150">
        <f>IF($E150="","",IF($AQ150=1,0,IF($AP150=1,Settings!$C$6,Settings!$C$7))*100)</f>
        <v/>
      </c>
      <c r="AI150" s="7" t="n"/>
      <c r="AL150" s="11" t="n"/>
      <c r="AN150">
        <f>IF($E150="","",IF(COUNTIF($E$2:$E150,$E150)=1,1,0))</f>
        <v/>
      </c>
      <c r="AO150">
        <f>IF($AN150=1,SUMPRODUCT(--($AR$2:$AR$3001&lt;$AR150))+1,"")</f>
        <v/>
      </c>
      <c r="AP150">
        <f>IF($E150="","",IF(OR($U150=TRUE(),$U150="TRUE"),1,0))</f>
        <v/>
      </c>
      <c r="AQ150">
        <f>IF($E150="","",IF($AD150="Yes",1,0))</f>
        <v/>
      </c>
      <c r="AR150">
        <f>IF($AN150=1,IFERROR(VALUE(MID($E150,2,20)),1000000000)+ROW()/100000,"")</f>
        <v/>
      </c>
    </row>
    <row r="151">
      <c r="G151" s="11" t="n"/>
      <c r="Q151" s="7">
        <f>IF($E151="","",P151*AB151/100)</f>
        <v/>
      </c>
      <c r="R151" s="7" t="n"/>
      <c r="X151" s="7" t="n"/>
      <c r="Y151" s="7">
        <f>IF($E151="","",AB151*AE151/100)</f>
        <v/>
      </c>
      <c r="Z151" s="7">
        <f>IF($E151="","",AB151-Y151)</f>
        <v/>
      </c>
      <c r="AA151" s="7">
        <f>IF($E151="","",Z151-Q151)</f>
        <v/>
      </c>
      <c r="AB151" s="7" t="n"/>
      <c r="AE151">
        <f>IF($E151="","",IF($AQ151=1,0,IF($AP151=1,Settings!$C$6,Settings!$C$7))*100)</f>
        <v/>
      </c>
      <c r="AI151" s="7" t="n"/>
      <c r="AL151" s="11" t="n"/>
      <c r="AN151">
        <f>IF($E151="","",IF(COUNTIF($E$2:$E151,$E151)=1,1,0))</f>
        <v/>
      </c>
      <c r="AO151">
        <f>IF($AN151=1,SUMPRODUCT(--($AR$2:$AR$3001&lt;$AR151))+1,"")</f>
        <v/>
      </c>
      <c r="AP151">
        <f>IF($E151="","",IF(OR($U151=TRUE(),$U151="TRUE"),1,0))</f>
        <v/>
      </c>
      <c r="AQ151">
        <f>IF($E151="","",IF($AD151="Yes",1,0))</f>
        <v/>
      </c>
      <c r="AR151">
        <f>IF($AN151=1,IFERROR(VALUE(MID($E151,2,20)),1000000000)+ROW()/100000,"")</f>
        <v/>
      </c>
    </row>
    <row r="152">
      <c r="G152" s="11" t="n"/>
      <c r="Q152" s="7">
        <f>IF($E152="","",P152*AB152/100)</f>
        <v/>
      </c>
      <c r="R152" s="7" t="n"/>
      <c r="X152" s="7" t="n"/>
      <c r="Y152" s="7">
        <f>IF($E152="","",AB152*AE152/100)</f>
        <v/>
      </c>
      <c r="Z152" s="7">
        <f>IF($E152="","",AB152-Y152)</f>
        <v/>
      </c>
      <c r="AA152" s="7">
        <f>IF($E152="","",Z152-Q152)</f>
        <v/>
      </c>
      <c r="AB152" s="7" t="n"/>
      <c r="AE152">
        <f>IF($E152="","",IF($AQ152=1,0,IF($AP152=1,Settings!$C$6,Settings!$C$7))*100)</f>
        <v/>
      </c>
      <c r="AI152" s="7" t="n"/>
      <c r="AL152" s="11" t="n"/>
      <c r="AN152">
        <f>IF($E152="","",IF(COUNTIF($E$2:$E152,$E152)=1,1,0))</f>
        <v/>
      </c>
      <c r="AO152">
        <f>IF($AN152=1,SUMPRODUCT(--($AR$2:$AR$3001&lt;$AR152))+1,"")</f>
        <v/>
      </c>
      <c r="AP152">
        <f>IF($E152="","",IF(OR($U152=TRUE(),$U152="TRUE"),1,0))</f>
        <v/>
      </c>
      <c r="AQ152">
        <f>IF($E152="","",IF($AD152="Yes",1,0))</f>
        <v/>
      </c>
      <c r="AR152">
        <f>IF($AN152=1,IFERROR(VALUE(MID($E152,2,20)),1000000000)+ROW()/100000,"")</f>
        <v/>
      </c>
    </row>
    <row r="153">
      <c r="G153" s="11" t="n"/>
      <c r="Q153" s="7">
        <f>IF($E153="","",P153*AB153/100)</f>
        <v/>
      </c>
      <c r="R153" s="7" t="n"/>
      <c r="X153" s="7" t="n"/>
      <c r="Y153" s="7">
        <f>IF($E153="","",AB153*AE153/100)</f>
        <v/>
      </c>
      <c r="Z153" s="7">
        <f>IF($E153="","",AB153-Y153)</f>
        <v/>
      </c>
      <c r="AA153" s="7">
        <f>IF($E153="","",Z153-Q153)</f>
        <v/>
      </c>
      <c r="AB153" s="7" t="n"/>
      <c r="AE153">
        <f>IF($E153="","",IF($AQ153=1,0,IF($AP153=1,Settings!$C$6,Settings!$C$7))*100)</f>
        <v/>
      </c>
      <c r="AI153" s="7" t="n"/>
      <c r="AL153" s="11" t="n"/>
      <c r="AN153">
        <f>IF($E153="","",IF(COUNTIF($E$2:$E153,$E153)=1,1,0))</f>
        <v/>
      </c>
      <c r="AO153">
        <f>IF($AN153=1,SUMPRODUCT(--($AR$2:$AR$3001&lt;$AR153))+1,"")</f>
        <v/>
      </c>
      <c r="AP153">
        <f>IF($E153="","",IF(OR($U153=TRUE(),$U153="TRUE"),1,0))</f>
        <v/>
      </c>
      <c r="AQ153">
        <f>IF($E153="","",IF($AD153="Yes",1,0))</f>
        <v/>
      </c>
      <c r="AR153">
        <f>IF($AN153=1,IFERROR(VALUE(MID($E153,2,20)),1000000000)+ROW()/100000,"")</f>
        <v/>
      </c>
    </row>
    <row r="154">
      <c r="G154" s="11" t="n"/>
      <c r="Q154" s="7">
        <f>IF($E154="","",P154*AB154/100)</f>
        <v/>
      </c>
      <c r="R154" s="7" t="n"/>
      <c r="X154" s="7" t="n"/>
      <c r="Y154" s="7">
        <f>IF($E154="","",AB154*AE154/100)</f>
        <v/>
      </c>
      <c r="Z154" s="7">
        <f>IF($E154="","",AB154-Y154)</f>
        <v/>
      </c>
      <c r="AA154" s="7">
        <f>IF($E154="","",Z154-Q154)</f>
        <v/>
      </c>
      <c r="AB154" s="7" t="n"/>
      <c r="AE154">
        <f>IF($E154="","",IF($AQ154=1,0,IF($AP154=1,Settings!$C$6,Settings!$C$7))*100)</f>
        <v/>
      </c>
      <c r="AI154" s="7" t="n"/>
      <c r="AL154" s="11" t="n"/>
      <c r="AN154">
        <f>IF($E154="","",IF(COUNTIF($E$2:$E154,$E154)=1,1,0))</f>
        <v/>
      </c>
      <c r="AO154">
        <f>IF($AN154=1,SUMPRODUCT(--($AR$2:$AR$3001&lt;$AR154))+1,"")</f>
        <v/>
      </c>
      <c r="AP154">
        <f>IF($E154="","",IF(OR($U154=TRUE(),$U154="TRUE"),1,0))</f>
        <v/>
      </c>
      <c r="AQ154">
        <f>IF($E154="","",IF($AD154="Yes",1,0))</f>
        <v/>
      </c>
      <c r="AR154">
        <f>IF($AN154=1,IFERROR(VALUE(MID($E154,2,20)),1000000000)+ROW()/100000,"")</f>
        <v/>
      </c>
    </row>
    <row r="155">
      <c r="G155" s="11" t="n"/>
      <c r="Q155" s="7">
        <f>IF($E155="","",P155*AB155/100)</f>
        <v/>
      </c>
      <c r="R155" s="7" t="n"/>
      <c r="X155" s="7" t="n"/>
      <c r="Y155" s="7">
        <f>IF($E155="","",AB155*AE155/100)</f>
        <v/>
      </c>
      <c r="Z155" s="7">
        <f>IF($E155="","",AB155-Y155)</f>
        <v/>
      </c>
      <c r="AA155" s="7">
        <f>IF($E155="","",Z155-Q155)</f>
        <v/>
      </c>
      <c r="AB155" s="7" t="n"/>
      <c r="AE155">
        <f>IF($E155="","",IF($AQ155=1,0,IF($AP155=1,Settings!$C$6,Settings!$C$7))*100)</f>
        <v/>
      </c>
      <c r="AI155" s="7" t="n"/>
      <c r="AL155" s="11" t="n"/>
      <c r="AN155">
        <f>IF($E155="","",IF(COUNTIF($E$2:$E155,$E155)=1,1,0))</f>
        <v/>
      </c>
      <c r="AO155">
        <f>IF($AN155=1,SUMPRODUCT(--($AR$2:$AR$3001&lt;$AR155))+1,"")</f>
        <v/>
      </c>
      <c r="AP155">
        <f>IF($E155="","",IF(OR($U155=TRUE(),$U155="TRUE"),1,0))</f>
        <v/>
      </c>
      <c r="AQ155">
        <f>IF($E155="","",IF($AD155="Yes",1,0))</f>
        <v/>
      </c>
      <c r="AR155">
        <f>IF($AN155=1,IFERROR(VALUE(MID($E155,2,20)),1000000000)+ROW()/100000,"")</f>
        <v/>
      </c>
    </row>
    <row r="156">
      <c r="G156" s="11" t="n"/>
      <c r="Q156" s="7">
        <f>IF($E156="","",P156*AB156/100)</f>
        <v/>
      </c>
      <c r="R156" s="7" t="n"/>
      <c r="X156" s="7" t="n"/>
      <c r="Y156" s="7">
        <f>IF($E156="","",AB156*AE156/100)</f>
        <v/>
      </c>
      <c r="Z156" s="7">
        <f>IF($E156="","",AB156-Y156)</f>
        <v/>
      </c>
      <c r="AA156" s="7">
        <f>IF($E156="","",Z156-Q156)</f>
        <v/>
      </c>
      <c r="AB156" s="7" t="n"/>
      <c r="AE156">
        <f>IF($E156="","",IF($AQ156=1,0,IF($AP156=1,Settings!$C$6,Settings!$C$7))*100)</f>
        <v/>
      </c>
      <c r="AI156" s="7" t="n"/>
      <c r="AL156" s="11" t="n"/>
      <c r="AN156">
        <f>IF($E156="","",IF(COUNTIF($E$2:$E156,$E156)=1,1,0))</f>
        <v/>
      </c>
      <c r="AO156">
        <f>IF($AN156=1,SUMPRODUCT(--($AR$2:$AR$3001&lt;$AR156))+1,"")</f>
        <v/>
      </c>
      <c r="AP156">
        <f>IF($E156="","",IF(OR($U156=TRUE(),$U156="TRUE"),1,0))</f>
        <v/>
      </c>
      <c r="AQ156">
        <f>IF($E156="","",IF($AD156="Yes",1,0))</f>
        <v/>
      </c>
      <c r="AR156">
        <f>IF($AN156=1,IFERROR(VALUE(MID($E156,2,20)),1000000000)+ROW()/100000,"")</f>
        <v/>
      </c>
    </row>
    <row r="157">
      <c r="G157" s="11" t="n"/>
      <c r="Q157" s="7">
        <f>IF($E157="","",P157*AB157/100)</f>
        <v/>
      </c>
      <c r="R157" s="7" t="n"/>
      <c r="X157" s="7" t="n"/>
      <c r="Y157" s="7">
        <f>IF($E157="","",AB157*AE157/100)</f>
        <v/>
      </c>
      <c r="Z157" s="7">
        <f>IF($E157="","",AB157-Y157)</f>
        <v/>
      </c>
      <c r="AA157" s="7">
        <f>IF($E157="","",Z157-Q157)</f>
        <v/>
      </c>
      <c r="AB157" s="7" t="n"/>
      <c r="AE157">
        <f>IF($E157="","",IF($AQ157=1,0,IF($AP157=1,Settings!$C$6,Settings!$C$7))*100)</f>
        <v/>
      </c>
      <c r="AI157" s="7" t="n"/>
      <c r="AL157" s="11" t="n"/>
      <c r="AN157">
        <f>IF($E157="","",IF(COUNTIF($E$2:$E157,$E157)=1,1,0))</f>
        <v/>
      </c>
      <c r="AO157">
        <f>IF($AN157=1,SUMPRODUCT(--($AR$2:$AR$3001&lt;$AR157))+1,"")</f>
        <v/>
      </c>
      <c r="AP157">
        <f>IF($E157="","",IF(OR($U157=TRUE(),$U157="TRUE"),1,0))</f>
        <v/>
      </c>
      <c r="AQ157">
        <f>IF($E157="","",IF($AD157="Yes",1,0))</f>
        <v/>
      </c>
      <c r="AR157">
        <f>IF($AN157=1,IFERROR(VALUE(MID($E157,2,20)),1000000000)+ROW()/100000,"")</f>
        <v/>
      </c>
    </row>
    <row r="158">
      <c r="G158" s="11" t="n"/>
      <c r="Q158" s="7">
        <f>IF($E158="","",P158*AB158/100)</f>
        <v/>
      </c>
      <c r="R158" s="7" t="n"/>
      <c r="X158" s="7" t="n"/>
      <c r="Y158" s="7">
        <f>IF($E158="","",AB158*AE158/100)</f>
        <v/>
      </c>
      <c r="Z158" s="7">
        <f>IF($E158="","",AB158-Y158)</f>
        <v/>
      </c>
      <c r="AA158" s="7">
        <f>IF($E158="","",Z158-Q158)</f>
        <v/>
      </c>
      <c r="AB158" s="7" t="n"/>
      <c r="AE158">
        <f>IF($E158="","",IF($AQ158=1,0,IF($AP158=1,Settings!$C$6,Settings!$C$7))*100)</f>
        <v/>
      </c>
      <c r="AI158" s="7" t="n"/>
      <c r="AL158" s="11" t="n"/>
      <c r="AN158">
        <f>IF($E158="","",IF(COUNTIF($E$2:$E158,$E158)=1,1,0))</f>
        <v/>
      </c>
      <c r="AO158">
        <f>IF($AN158=1,SUMPRODUCT(--($AR$2:$AR$3001&lt;$AR158))+1,"")</f>
        <v/>
      </c>
      <c r="AP158">
        <f>IF($E158="","",IF(OR($U158=TRUE(),$U158="TRUE"),1,0))</f>
        <v/>
      </c>
      <c r="AQ158">
        <f>IF($E158="","",IF($AD158="Yes",1,0))</f>
        <v/>
      </c>
      <c r="AR158">
        <f>IF($AN158=1,IFERROR(VALUE(MID($E158,2,20)),1000000000)+ROW()/100000,"")</f>
        <v/>
      </c>
    </row>
    <row r="159">
      <c r="G159" s="11" t="n"/>
      <c r="Q159" s="7">
        <f>IF($E159="","",P159*AB159/100)</f>
        <v/>
      </c>
      <c r="R159" s="7" t="n"/>
      <c r="X159" s="7" t="n"/>
      <c r="Y159" s="7">
        <f>IF($E159="","",AB159*AE159/100)</f>
        <v/>
      </c>
      <c r="Z159" s="7">
        <f>IF($E159="","",AB159-Y159)</f>
        <v/>
      </c>
      <c r="AA159" s="7">
        <f>IF($E159="","",Z159-Q159)</f>
        <v/>
      </c>
      <c r="AB159" s="7" t="n"/>
      <c r="AE159">
        <f>IF($E159="","",IF($AQ159=1,0,IF($AP159=1,Settings!$C$6,Settings!$C$7))*100)</f>
        <v/>
      </c>
      <c r="AI159" s="7" t="n"/>
      <c r="AL159" s="11" t="n"/>
      <c r="AN159">
        <f>IF($E159="","",IF(COUNTIF($E$2:$E159,$E159)=1,1,0))</f>
        <v/>
      </c>
      <c r="AO159">
        <f>IF($AN159=1,SUMPRODUCT(--($AR$2:$AR$3001&lt;$AR159))+1,"")</f>
        <v/>
      </c>
      <c r="AP159">
        <f>IF($E159="","",IF(OR($U159=TRUE(),$U159="TRUE"),1,0))</f>
        <v/>
      </c>
      <c r="AQ159">
        <f>IF($E159="","",IF($AD159="Yes",1,0))</f>
        <v/>
      </c>
      <c r="AR159">
        <f>IF($AN159=1,IFERROR(VALUE(MID($E159,2,20)),1000000000)+ROW()/100000,"")</f>
        <v/>
      </c>
    </row>
    <row r="160">
      <c r="G160" s="11" t="n"/>
      <c r="Q160" s="7">
        <f>IF($E160="","",P160*AB160/100)</f>
        <v/>
      </c>
      <c r="R160" s="7" t="n"/>
      <c r="X160" s="7" t="n"/>
      <c r="Y160" s="7">
        <f>IF($E160="","",AB160*AE160/100)</f>
        <v/>
      </c>
      <c r="Z160" s="7">
        <f>IF($E160="","",AB160-Y160)</f>
        <v/>
      </c>
      <c r="AA160" s="7">
        <f>IF($E160="","",Z160-Q160)</f>
        <v/>
      </c>
      <c r="AB160" s="7" t="n"/>
      <c r="AE160">
        <f>IF($E160="","",IF($AQ160=1,0,IF($AP160=1,Settings!$C$6,Settings!$C$7))*100)</f>
        <v/>
      </c>
      <c r="AI160" s="7" t="n"/>
      <c r="AL160" s="11" t="n"/>
      <c r="AN160">
        <f>IF($E160="","",IF(COUNTIF($E$2:$E160,$E160)=1,1,0))</f>
        <v/>
      </c>
      <c r="AO160">
        <f>IF($AN160=1,SUMPRODUCT(--($AR$2:$AR$3001&lt;$AR160))+1,"")</f>
        <v/>
      </c>
      <c r="AP160">
        <f>IF($E160="","",IF(OR($U160=TRUE(),$U160="TRUE"),1,0))</f>
        <v/>
      </c>
      <c r="AQ160">
        <f>IF($E160="","",IF($AD160="Yes",1,0))</f>
        <v/>
      </c>
      <c r="AR160">
        <f>IF($AN160=1,IFERROR(VALUE(MID($E160,2,20)),1000000000)+ROW()/100000,"")</f>
        <v/>
      </c>
    </row>
    <row r="161">
      <c r="G161" s="11" t="n"/>
      <c r="Q161" s="7">
        <f>IF($E161="","",P161*AB161/100)</f>
        <v/>
      </c>
      <c r="R161" s="7" t="n"/>
      <c r="X161" s="7" t="n"/>
      <c r="Y161" s="7">
        <f>IF($E161="","",AB161*AE161/100)</f>
        <v/>
      </c>
      <c r="Z161" s="7">
        <f>IF($E161="","",AB161-Y161)</f>
        <v/>
      </c>
      <c r="AA161" s="7">
        <f>IF($E161="","",Z161-Q161)</f>
        <v/>
      </c>
      <c r="AB161" s="7" t="n"/>
      <c r="AE161">
        <f>IF($E161="","",IF($AQ161=1,0,IF($AP161=1,Settings!$C$6,Settings!$C$7))*100)</f>
        <v/>
      </c>
      <c r="AI161" s="7" t="n"/>
      <c r="AL161" s="11" t="n"/>
      <c r="AN161">
        <f>IF($E161="","",IF(COUNTIF($E$2:$E161,$E161)=1,1,0))</f>
        <v/>
      </c>
      <c r="AO161">
        <f>IF($AN161=1,SUMPRODUCT(--($AR$2:$AR$3001&lt;$AR161))+1,"")</f>
        <v/>
      </c>
      <c r="AP161">
        <f>IF($E161="","",IF(OR($U161=TRUE(),$U161="TRUE"),1,0))</f>
        <v/>
      </c>
      <c r="AQ161">
        <f>IF($E161="","",IF($AD161="Yes",1,0))</f>
        <v/>
      </c>
      <c r="AR161">
        <f>IF($AN161=1,IFERROR(VALUE(MID($E161,2,20)),1000000000)+ROW()/100000,"")</f>
        <v/>
      </c>
    </row>
    <row r="162">
      <c r="G162" s="11" t="n"/>
      <c r="Q162" s="7">
        <f>IF($E162="","",P162*AB162/100)</f>
        <v/>
      </c>
      <c r="R162" s="7" t="n"/>
      <c r="X162" s="7" t="n"/>
      <c r="Y162" s="7">
        <f>IF($E162="","",AB162*AE162/100)</f>
        <v/>
      </c>
      <c r="Z162" s="7">
        <f>IF($E162="","",AB162-Y162)</f>
        <v/>
      </c>
      <c r="AA162" s="7">
        <f>IF($E162="","",Z162-Q162)</f>
        <v/>
      </c>
      <c r="AB162" s="7" t="n"/>
      <c r="AE162">
        <f>IF($E162="","",IF($AQ162=1,0,IF($AP162=1,Settings!$C$6,Settings!$C$7))*100)</f>
        <v/>
      </c>
      <c r="AI162" s="7" t="n"/>
      <c r="AL162" s="11" t="n"/>
      <c r="AN162">
        <f>IF($E162="","",IF(COUNTIF($E$2:$E162,$E162)=1,1,0))</f>
        <v/>
      </c>
      <c r="AO162">
        <f>IF($AN162=1,SUMPRODUCT(--($AR$2:$AR$3001&lt;$AR162))+1,"")</f>
        <v/>
      </c>
      <c r="AP162">
        <f>IF($E162="","",IF(OR($U162=TRUE(),$U162="TRUE"),1,0))</f>
        <v/>
      </c>
      <c r="AQ162">
        <f>IF($E162="","",IF($AD162="Yes",1,0))</f>
        <v/>
      </c>
      <c r="AR162">
        <f>IF($AN162=1,IFERROR(VALUE(MID($E162,2,20)),1000000000)+ROW()/100000,"")</f>
        <v/>
      </c>
    </row>
    <row r="163">
      <c r="G163" s="11" t="n"/>
      <c r="Q163" s="7">
        <f>IF($E163="","",P163*AB163/100)</f>
        <v/>
      </c>
      <c r="R163" s="7" t="n"/>
      <c r="X163" s="7" t="n"/>
      <c r="Y163" s="7">
        <f>IF($E163="","",AB163*AE163/100)</f>
        <v/>
      </c>
      <c r="Z163" s="7">
        <f>IF($E163="","",AB163-Y163)</f>
        <v/>
      </c>
      <c r="AA163" s="7">
        <f>IF($E163="","",Z163-Q163)</f>
        <v/>
      </c>
      <c r="AB163" s="7" t="n"/>
      <c r="AE163">
        <f>IF($E163="","",IF($AQ163=1,0,IF($AP163=1,Settings!$C$6,Settings!$C$7))*100)</f>
        <v/>
      </c>
      <c r="AI163" s="7" t="n"/>
      <c r="AL163" s="11" t="n"/>
      <c r="AN163">
        <f>IF($E163="","",IF(COUNTIF($E$2:$E163,$E163)=1,1,0))</f>
        <v/>
      </c>
      <c r="AO163">
        <f>IF($AN163=1,SUMPRODUCT(--($AR$2:$AR$3001&lt;$AR163))+1,"")</f>
        <v/>
      </c>
      <c r="AP163">
        <f>IF($E163="","",IF(OR($U163=TRUE(),$U163="TRUE"),1,0))</f>
        <v/>
      </c>
      <c r="AQ163">
        <f>IF($E163="","",IF($AD163="Yes",1,0))</f>
        <v/>
      </c>
      <c r="AR163">
        <f>IF($AN163=1,IFERROR(VALUE(MID($E163,2,20)),1000000000)+ROW()/100000,"")</f>
        <v/>
      </c>
    </row>
    <row r="164">
      <c r="G164" s="11" t="n"/>
      <c r="Q164" s="7">
        <f>IF($E164="","",P164*AB164/100)</f>
        <v/>
      </c>
      <c r="R164" s="7" t="n"/>
      <c r="X164" s="7" t="n"/>
      <c r="Y164" s="7">
        <f>IF($E164="","",AB164*AE164/100)</f>
        <v/>
      </c>
      <c r="Z164" s="7">
        <f>IF($E164="","",AB164-Y164)</f>
        <v/>
      </c>
      <c r="AA164" s="7">
        <f>IF($E164="","",Z164-Q164)</f>
        <v/>
      </c>
      <c r="AB164" s="7" t="n"/>
      <c r="AE164">
        <f>IF($E164="","",IF($AQ164=1,0,IF($AP164=1,Settings!$C$6,Settings!$C$7))*100)</f>
        <v/>
      </c>
      <c r="AI164" s="7" t="n"/>
      <c r="AL164" s="11" t="n"/>
      <c r="AN164">
        <f>IF($E164="","",IF(COUNTIF($E$2:$E164,$E164)=1,1,0))</f>
        <v/>
      </c>
      <c r="AO164">
        <f>IF($AN164=1,SUMPRODUCT(--($AR$2:$AR$3001&lt;$AR164))+1,"")</f>
        <v/>
      </c>
      <c r="AP164">
        <f>IF($E164="","",IF(OR($U164=TRUE(),$U164="TRUE"),1,0))</f>
        <v/>
      </c>
      <c r="AQ164">
        <f>IF($E164="","",IF($AD164="Yes",1,0))</f>
        <v/>
      </c>
      <c r="AR164">
        <f>IF($AN164=1,IFERROR(VALUE(MID($E164,2,20)),1000000000)+ROW()/100000,"")</f>
        <v/>
      </c>
    </row>
    <row r="165">
      <c r="G165" s="11" t="n"/>
      <c r="Q165" s="7">
        <f>IF($E165="","",P165*AB165/100)</f>
        <v/>
      </c>
      <c r="R165" s="7" t="n"/>
      <c r="X165" s="7" t="n"/>
      <c r="Y165" s="7">
        <f>IF($E165="","",AB165*AE165/100)</f>
        <v/>
      </c>
      <c r="Z165" s="7">
        <f>IF($E165="","",AB165-Y165)</f>
        <v/>
      </c>
      <c r="AA165" s="7">
        <f>IF($E165="","",Z165-Q165)</f>
        <v/>
      </c>
      <c r="AB165" s="7" t="n"/>
      <c r="AE165">
        <f>IF($E165="","",IF($AQ165=1,0,IF($AP165=1,Settings!$C$6,Settings!$C$7))*100)</f>
        <v/>
      </c>
      <c r="AI165" s="7" t="n"/>
      <c r="AL165" s="11" t="n"/>
      <c r="AN165">
        <f>IF($E165="","",IF(COUNTIF($E$2:$E165,$E165)=1,1,0))</f>
        <v/>
      </c>
      <c r="AO165">
        <f>IF($AN165=1,SUMPRODUCT(--($AR$2:$AR$3001&lt;$AR165))+1,"")</f>
        <v/>
      </c>
      <c r="AP165">
        <f>IF($E165="","",IF(OR($U165=TRUE(),$U165="TRUE"),1,0))</f>
        <v/>
      </c>
      <c r="AQ165">
        <f>IF($E165="","",IF($AD165="Yes",1,0))</f>
        <v/>
      </c>
      <c r="AR165">
        <f>IF($AN165=1,IFERROR(VALUE(MID($E165,2,20)),1000000000)+ROW()/100000,"")</f>
        <v/>
      </c>
    </row>
    <row r="166">
      <c r="G166" s="11" t="n"/>
      <c r="Q166" s="7">
        <f>IF($E166="","",P166*AB166/100)</f>
        <v/>
      </c>
      <c r="R166" s="7" t="n"/>
      <c r="X166" s="7" t="n"/>
      <c r="Y166" s="7">
        <f>IF($E166="","",AB166*AE166/100)</f>
        <v/>
      </c>
      <c r="Z166" s="7">
        <f>IF($E166="","",AB166-Y166)</f>
        <v/>
      </c>
      <c r="AA166" s="7">
        <f>IF($E166="","",Z166-Q166)</f>
        <v/>
      </c>
      <c r="AB166" s="7" t="n"/>
      <c r="AE166">
        <f>IF($E166="","",IF($AQ166=1,0,IF($AP166=1,Settings!$C$6,Settings!$C$7))*100)</f>
        <v/>
      </c>
      <c r="AI166" s="7" t="n"/>
      <c r="AL166" s="11" t="n"/>
      <c r="AN166">
        <f>IF($E166="","",IF(COUNTIF($E$2:$E166,$E166)=1,1,0))</f>
        <v/>
      </c>
      <c r="AO166">
        <f>IF($AN166=1,SUMPRODUCT(--($AR$2:$AR$3001&lt;$AR166))+1,"")</f>
        <v/>
      </c>
      <c r="AP166">
        <f>IF($E166="","",IF(OR($U166=TRUE(),$U166="TRUE"),1,0))</f>
        <v/>
      </c>
      <c r="AQ166">
        <f>IF($E166="","",IF($AD166="Yes",1,0))</f>
        <v/>
      </c>
      <c r="AR166">
        <f>IF($AN166=1,IFERROR(VALUE(MID($E166,2,20)),1000000000)+ROW()/100000,"")</f>
        <v/>
      </c>
    </row>
    <row r="167">
      <c r="G167" s="11" t="n"/>
      <c r="Q167" s="7">
        <f>IF($E167="","",P167*AB167/100)</f>
        <v/>
      </c>
      <c r="R167" s="7" t="n"/>
      <c r="X167" s="7" t="n"/>
      <c r="Y167" s="7">
        <f>IF($E167="","",AB167*AE167/100)</f>
        <v/>
      </c>
      <c r="Z167" s="7">
        <f>IF($E167="","",AB167-Y167)</f>
        <v/>
      </c>
      <c r="AA167" s="7">
        <f>IF($E167="","",Z167-Q167)</f>
        <v/>
      </c>
      <c r="AB167" s="7" t="n"/>
      <c r="AE167">
        <f>IF($E167="","",IF($AQ167=1,0,IF($AP167=1,Settings!$C$6,Settings!$C$7))*100)</f>
        <v/>
      </c>
      <c r="AI167" s="7" t="n"/>
      <c r="AL167" s="11" t="n"/>
      <c r="AN167">
        <f>IF($E167="","",IF(COUNTIF($E$2:$E167,$E167)=1,1,0))</f>
        <v/>
      </c>
      <c r="AO167">
        <f>IF($AN167=1,SUMPRODUCT(--($AR$2:$AR$3001&lt;$AR167))+1,"")</f>
        <v/>
      </c>
      <c r="AP167">
        <f>IF($E167="","",IF(OR($U167=TRUE(),$U167="TRUE"),1,0))</f>
        <v/>
      </c>
      <c r="AQ167">
        <f>IF($E167="","",IF($AD167="Yes",1,0))</f>
        <v/>
      </c>
      <c r="AR167">
        <f>IF($AN167=1,IFERROR(VALUE(MID($E167,2,20)),1000000000)+ROW()/100000,"")</f>
        <v/>
      </c>
    </row>
    <row r="168">
      <c r="G168" s="11" t="n"/>
      <c r="Q168" s="7">
        <f>IF($E168="","",P168*AB168/100)</f>
        <v/>
      </c>
      <c r="R168" s="7" t="n"/>
      <c r="X168" s="7" t="n"/>
      <c r="Y168" s="7">
        <f>IF($E168="","",AB168*AE168/100)</f>
        <v/>
      </c>
      <c r="Z168" s="7">
        <f>IF($E168="","",AB168-Y168)</f>
        <v/>
      </c>
      <c r="AA168" s="7">
        <f>IF($E168="","",Z168-Q168)</f>
        <v/>
      </c>
      <c r="AB168" s="7" t="n"/>
      <c r="AE168">
        <f>IF($E168="","",IF($AQ168=1,0,IF($AP168=1,Settings!$C$6,Settings!$C$7))*100)</f>
        <v/>
      </c>
      <c r="AI168" s="7" t="n"/>
      <c r="AL168" s="11" t="n"/>
      <c r="AN168">
        <f>IF($E168="","",IF(COUNTIF($E$2:$E168,$E168)=1,1,0))</f>
        <v/>
      </c>
      <c r="AO168">
        <f>IF($AN168=1,SUMPRODUCT(--($AR$2:$AR$3001&lt;$AR168))+1,"")</f>
        <v/>
      </c>
      <c r="AP168">
        <f>IF($E168="","",IF(OR($U168=TRUE(),$U168="TRUE"),1,0))</f>
        <v/>
      </c>
      <c r="AQ168">
        <f>IF($E168="","",IF($AD168="Yes",1,0))</f>
        <v/>
      </c>
      <c r="AR168">
        <f>IF($AN168=1,IFERROR(VALUE(MID($E168,2,20)),1000000000)+ROW()/100000,"")</f>
        <v/>
      </c>
    </row>
    <row r="169">
      <c r="G169" s="11" t="n"/>
      <c r="Q169" s="7">
        <f>IF($E169="","",P169*AB169/100)</f>
        <v/>
      </c>
      <c r="R169" s="7" t="n"/>
      <c r="X169" s="7" t="n"/>
      <c r="Y169" s="7">
        <f>IF($E169="","",AB169*AE169/100)</f>
        <v/>
      </c>
      <c r="Z169" s="7">
        <f>IF($E169="","",AB169-Y169)</f>
        <v/>
      </c>
      <c r="AA169" s="7">
        <f>IF($E169="","",Z169-Q169)</f>
        <v/>
      </c>
      <c r="AB169" s="7" t="n"/>
      <c r="AE169">
        <f>IF($E169="","",IF($AQ169=1,0,IF($AP169=1,Settings!$C$6,Settings!$C$7))*100)</f>
        <v/>
      </c>
      <c r="AI169" s="7" t="n"/>
      <c r="AL169" s="11" t="n"/>
      <c r="AN169">
        <f>IF($E169="","",IF(COUNTIF($E$2:$E169,$E169)=1,1,0))</f>
        <v/>
      </c>
      <c r="AO169">
        <f>IF($AN169=1,SUMPRODUCT(--($AR$2:$AR$3001&lt;$AR169))+1,"")</f>
        <v/>
      </c>
      <c r="AP169">
        <f>IF($E169="","",IF(OR($U169=TRUE(),$U169="TRUE"),1,0))</f>
        <v/>
      </c>
      <c r="AQ169">
        <f>IF($E169="","",IF($AD169="Yes",1,0))</f>
        <v/>
      </c>
      <c r="AR169">
        <f>IF($AN169=1,IFERROR(VALUE(MID($E169,2,20)),1000000000)+ROW()/100000,"")</f>
        <v/>
      </c>
    </row>
    <row r="170">
      <c r="G170" s="11" t="n"/>
      <c r="Q170" s="7">
        <f>IF($E170="","",P170*AB170/100)</f>
        <v/>
      </c>
      <c r="R170" s="7" t="n"/>
      <c r="X170" s="7" t="n"/>
      <c r="Y170" s="7">
        <f>IF($E170="","",AB170*AE170/100)</f>
        <v/>
      </c>
      <c r="Z170" s="7">
        <f>IF($E170="","",AB170-Y170)</f>
        <v/>
      </c>
      <c r="AA170" s="7">
        <f>IF($E170="","",Z170-Q170)</f>
        <v/>
      </c>
      <c r="AB170" s="7" t="n"/>
      <c r="AE170">
        <f>IF($E170="","",IF($AQ170=1,0,IF($AP170=1,Settings!$C$6,Settings!$C$7))*100)</f>
        <v/>
      </c>
      <c r="AI170" s="7" t="n"/>
      <c r="AL170" s="11" t="n"/>
      <c r="AN170">
        <f>IF($E170="","",IF(COUNTIF($E$2:$E170,$E170)=1,1,0))</f>
        <v/>
      </c>
      <c r="AO170">
        <f>IF($AN170=1,SUMPRODUCT(--($AR$2:$AR$3001&lt;$AR170))+1,"")</f>
        <v/>
      </c>
      <c r="AP170">
        <f>IF($E170="","",IF(OR($U170=TRUE(),$U170="TRUE"),1,0))</f>
        <v/>
      </c>
      <c r="AQ170">
        <f>IF($E170="","",IF($AD170="Yes",1,0))</f>
        <v/>
      </c>
      <c r="AR170">
        <f>IF($AN170=1,IFERROR(VALUE(MID($E170,2,20)),1000000000)+ROW()/100000,"")</f>
        <v/>
      </c>
    </row>
    <row r="171">
      <c r="G171" s="11" t="n"/>
      <c r="Q171" s="7">
        <f>IF($E171="","",P171*AB171/100)</f>
        <v/>
      </c>
      <c r="R171" s="7" t="n"/>
      <c r="X171" s="7" t="n"/>
      <c r="Y171" s="7">
        <f>IF($E171="","",AB171*AE171/100)</f>
        <v/>
      </c>
      <c r="Z171" s="7">
        <f>IF($E171="","",AB171-Y171)</f>
        <v/>
      </c>
      <c r="AA171" s="7">
        <f>IF($E171="","",Z171-Q171)</f>
        <v/>
      </c>
      <c r="AB171" s="7" t="n"/>
      <c r="AE171">
        <f>IF($E171="","",IF($AQ171=1,0,IF($AP171=1,Settings!$C$6,Settings!$C$7))*100)</f>
        <v/>
      </c>
      <c r="AI171" s="7" t="n"/>
      <c r="AL171" s="11" t="n"/>
      <c r="AN171">
        <f>IF($E171="","",IF(COUNTIF($E$2:$E171,$E171)=1,1,0))</f>
        <v/>
      </c>
      <c r="AO171">
        <f>IF($AN171=1,SUMPRODUCT(--($AR$2:$AR$3001&lt;$AR171))+1,"")</f>
        <v/>
      </c>
      <c r="AP171">
        <f>IF($E171="","",IF(OR($U171=TRUE(),$U171="TRUE"),1,0))</f>
        <v/>
      </c>
      <c r="AQ171">
        <f>IF($E171="","",IF($AD171="Yes",1,0))</f>
        <v/>
      </c>
      <c r="AR171">
        <f>IF($AN171=1,IFERROR(VALUE(MID($E171,2,20)),1000000000)+ROW()/100000,"")</f>
        <v/>
      </c>
    </row>
    <row r="172">
      <c r="G172" s="11" t="n"/>
      <c r="Q172" s="7">
        <f>IF($E172="","",P172*AB172/100)</f>
        <v/>
      </c>
      <c r="R172" s="7" t="n"/>
      <c r="X172" s="7" t="n"/>
      <c r="Y172" s="7">
        <f>IF($E172="","",AB172*AE172/100)</f>
        <v/>
      </c>
      <c r="Z172" s="7">
        <f>IF($E172="","",AB172-Y172)</f>
        <v/>
      </c>
      <c r="AA172" s="7">
        <f>IF($E172="","",Z172-Q172)</f>
        <v/>
      </c>
      <c r="AB172" s="7" t="n"/>
      <c r="AE172">
        <f>IF($E172="","",IF($AQ172=1,0,IF($AP172=1,Settings!$C$6,Settings!$C$7))*100)</f>
        <v/>
      </c>
      <c r="AI172" s="7" t="n"/>
      <c r="AL172" s="11" t="n"/>
      <c r="AN172">
        <f>IF($E172="","",IF(COUNTIF($E$2:$E172,$E172)=1,1,0))</f>
        <v/>
      </c>
      <c r="AO172">
        <f>IF($AN172=1,SUMPRODUCT(--($AR$2:$AR$3001&lt;$AR172))+1,"")</f>
        <v/>
      </c>
      <c r="AP172">
        <f>IF($E172="","",IF(OR($U172=TRUE(),$U172="TRUE"),1,0))</f>
        <v/>
      </c>
      <c r="AQ172">
        <f>IF($E172="","",IF($AD172="Yes",1,0))</f>
        <v/>
      </c>
      <c r="AR172">
        <f>IF($AN172=1,IFERROR(VALUE(MID($E172,2,20)),1000000000)+ROW()/100000,"")</f>
        <v/>
      </c>
    </row>
    <row r="173">
      <c r="G173" s="11" t="n"/>
      <c r="Q173" s="7">
        <f>IF($E173="","",P173*AB173/100)</f>
        <v/>
      </c>
      <c r="R173" s="7" t="n"/>
      <c r="X173" s="7" t="n"/>
      <c r="Y173" s="7">
        <f>IF($E173="","",AB173*AE173/100)</f>
        <v/>
      </c>
      <c r="Z173" s="7">
        <f>IF($E173="","",AB173-Y173)</f>
        <v/>
      </c>
      <c r="AA173" s="7">
        <f>IF($E173="","",Z173-Q173)</f>
        <v/>
      </c>
      <c r="AB173" s="7" t="n"/>
      <c r="AE173">
        <f>IF($E173="","",IF($AQ173=1,0,IF($AP173=1,Settings!$C$6,Settings!$C$7))*100)</f>
        <v/>
      </c>
      <c r="AI173" s="7" t="n"/>
      <c r="AL173" s="11" t="n"/>
      <c r="AN173">
        <f>IF($E173="","",IF(COUNTIF($E$2:$E173,$E173)=1,1,0))</f>
        <v/>
      </c>
      <c r="AO173">
        <f>IF($AN173=1,SUMPRODUCT(--($AR$2:$AR$3001&lt;$AR173))+1,"")</f>
        <v/>
      </c>
      <c r="AP173">
        <f>IF($E173="","",IF(OR($U173=TRUE(),$U173="TRUE"),1,0))</f>
        <v/>
      </c>
      <c r="AQ173">
        <f>IF($E173="","",IF($AD173="Yes",1,0))</f>
        <v/>
      </c>
      <c r="AR173">
        <f>IF($AN173=1,IFERROR(VALUE(MID($E173,2,20)),1000000000)+ROW()/100000,"")</f>
        <v/>
      </c>
    </row>
    <row r="174">
      <c r="G174" s="11" t="n"/>
      <c r="Q174" s="7">
        <f>IF($E174="","",P174*AB174/100)</f>
        <v/>
      </c>
      <c r="R174" s="7" t="n"/>
      <c r="X174" s="7" t="n"/>
      <c r="Y174" s="7">
        <f>IF($E174="","",AB174*AE174/100)</f>
        <v/>
      </c>
      <c r="Z174" s="7">
        <f>IF($E174="","",AB174-Y174)</f>
        <v/>
      </c>
      <c r="AA174" s="7">
        <f>IF($E174="","",Z174-Q174)</f>
        <v/>
      </c>
      <c r="AB174" s="7" t="n"/>
      <c r="AE174">
        <f>IF($E174="","",IF($AQ174=1,0,IF($AP174=1,Settings!$C$6,Settings!$C$7))*100)</f>
        <v/>
      </c>
      <c r="AI174" s="7" t="n"/>
      <c r="AL174" s="11" t="n"/>
      <c r="AN174">
        <f>IF($E174="","",IF(COUNTIF($E$2:$E174,$E174)=1,1,0))</f>
        <v/>
      </c>
      <c r="AO174">
        <f>IF($AN174=1,SUMPRODUCT(--($AR$2:$AR$3001&lt;$AR174))+1,"")</f>
        <v/>
      </c>
      <c r="AP174">
        <f>IF($E174="","",IF(OR($U174=TRUE(),$U174="TRUE"),1,0))</f>
        <v/>
      </c>
      <c r="AQ174">
        <f>IF($E174="","",IF($AD174="Yes",1,0))</f>
        <v/>
      </c>
      <c r="AR174">
        <f>IF($AN174=1,IFERROR(VALUE(MID($E174,2,20)),1000000000)+ROW()/100000,"")</f>
        <v/>
      </c>
    </row>
    <row r="175">
      <c r="G175" s="11" t="n"/>
      <c r="Q175" s="7">
        <f>IF($E175="","",P175*AB175/100)</f>
        <v/>
      </c>
      <c r="R175" s="7" t="n"/>
      <c r="X175" s="7" t="n"/>
      <c r="Y175" s="7">
        <f>IF($E175="","",AB175*AE175/100)</f>
        <v/>
      </c>
      <c r="Z175" s="7">
        <f>IF($E175="","",AB175-Y175)</f>
        <v/>
      </c>
      <c r="AA175" s="7">
        <f>IF($E175="","",Z175-Q175)</f>
        <v/>
      </c>
      <c r="AB175" s="7" t="n"/>
      <c r="AE175">
        <f>IF($E175="","",IF($AQ175=1,0,IF($AP175=1,Settings!$C$6,Settings!$C$7))*100)</f>
        <v/>
      </c>
      <c r="AI175" s="7" t="n"/>
      <c r="AL175" s="11" t="n"/>
      <c r="AN175">
        <f>IF($E175="","",IF(COUNTIF($E$2:$E175,$E175)=1,1,0))</f>
        <v/>
      </c>
      <c r="AO175">
        <f>IF($AN175=1,SUMPRODUCT(--($AR$2:$AR$3001&lt;$AR175))+1,"")</f>
        <v/>
      </c>
      <c r="AP175">
        <f>IF($E175="","",IF(OR($U175=TRUE(),$U175="TRUE"),1,0))</f>
        <v/>
      </c>
      <c r="AQ175">
        <f>IF($E175="","",IF($AD175="Yes",1,0))</f>
        <v/>
      </c>
      <c r="AR175">
        <f>IF($AN175=1,IFERROR(VALUE(MID($E175,2,20)),1000000000)+ROW()/100000,"")</f>
        <v/>
      </c>
    </row>
    <row r="176">
      <c r="G176" s="11" t="n"/>
      <c r="Q176" s="7">
        <f>IF($E176="","",P176*AB176/100)</f>
        <v/>
      </c>
      <c r="R176" s="7" t="n"/>
      <c r="X176" s="7" t="n"/>
      <c r="Y176" s="7">
        <f>IF($E176="","",AB176*AE176/100)</f>
        <v/>
      </c>
      <c r="Z176" s="7">
        <f>IF($E176="","",AB176-Y176)</f>
        <v/>
      </c>
      <c r="AA176" s="7">
        <f>IF($E176="","",Z176-Q176)</f>
        <v/>
      </c>
      <c r="AB176" s="7" t="n"/>
      <c r="AE176">
        <f>IF($E176="","",IF($AQ176=1,0,IF($AP176=1,Settings!$C$6,Settings!$C$7))*100)</f>
        <v/>
      </c>
      <c r="AI176" s="7" t="n"/>
      <c r="AL176" s="11" t="n"/>
      <c r="AN176">
        <f>IF($E176="","",IF(COUNTIF($E$2:$E176,$E176)=1,1,0))</f>
        <v/>
      </c>
      <c r="AO176">
        <f>IF($AN176=1,SUMPRODUCT(--($AR$2:$AR$3001&lt;$AR176))+1,"")</f>
        <v/>
      </c>
      <c r="AP176">
        <f>IF($E176="","",IF(OR($U176=TRUE(),$U176="TRUE"),1,0))</f>
        <v/>
      </c>
      <c r="AQ176">
        <f>IF($E176="","",IF($AD176="Yes",1,0))</f>
        <v/>
      </c>
      <c r="AR176">
        <f>IF($AN176=1,IFERROR(VALUE(MID($E176,2,20)),1000000000)+ROW()/100000,"")</f>
        <v/>
      </c>
    </row>
    <row r="177">
      <c r="G177" s="11" t="n"/>
      <c r="Q177" s="7">
        <f>IF($E177="","",P177*AB177/100)</f>
        <v/>
      </c>
      <c r="R177" s="7" t="n"/>
      <c r="X177" s="7" t="n"/>
      <c r="Y177" s="7">
        <f>IF($E177="","",AB177*AE177/100)</f>
        <v/>
      </c>
      <c r="Z177" s="7">
        <f>IF($E177="","",AB177-Y177)</f>
        <v/>
      </c>
      <c r="AA177" s="7">
        <f>IF($E177="","",Z177-Q177)</f>
        <v/>
      </c>
      <c r="AB177" s="7" t="n"/>
      <c r="AE177">
        <f>IF($E177="","",IF($AQ177=1,0,IF($AP177=1,Settings!$C$6,Settings!$C$7))*100)</f>
        <v/>
      </c>
      <c r="AI177" s="7" t="n"/>
      <c r="AL177" s="11" t="n"/>
      <c r="AN177">
        <f>IF($E177="","",IF(COUNTIF($E$2:$E177,$E177)=1,1,0))</f>
        <v/>
      </c>
      <c r="AO177">
        <f>IF($AN177=1,SUMPRODUCT(--($AR$2:$AR$3001&lt;$AR177))+1,"")</f>
        <v/>
      </c>
      <c r="AP177">
        <f>IF($E177="","",IF(OR($U177=TRUE(),$U177="TRUE"),1,0))</f>
        <v/>
      </c>
      <c r="AQ177">
        <f>IF($E177="","",IF($AD177="Yes",1,0))</f>
        <v/>
      </c>
      <c r="AR177">
        <f>IF($AN177=1,IFERROR(VALUE(MID($E177,2,20)),1000000000)+ROW()/100000,"")</f>
        <v/>
      </c>
    </row>
    <row r="178">
      <c r="G178" s="11" t="n"/>
      <c r="Q178" s="7">
        <f>IF($E178="","",P178*AB178/100)</f>
        <v/>
      </c>
      <c r="R178" s="7" t="n"/>
      <c r="X178" s="7" t="n"/>
      <c r="Y178" s="7">
        <f>IF($E178="","",AB178*AE178/100)</f>
        <v/>
      </c>
      <c r="Z178" s="7">
        <f>IF($E178="","",AB178-Y178)</f>
        <v/>
      </c>
      <c r="AA178" s="7">
        <f>IF($E178="","",Z178-Q178)</f>
        <v/>
      </c>
      <c r="AB178" s="7" t="n"/>
      <c r="AE178">
        <f>IF($E178="","",IF($AQ178=1,0,IF($AP178=1,Settings!$C$6,Settings!$C$7))*100)</f>
        <v/>
      </c>
      <c r="AI178" s="7" t="n"/>
      <c r="AL178" s="11" t="n"/>
      <c r="AN178">
        <f>IF($E178="","",IF(COUNTIF($E$2:$E178,$E178)=1,1,0))</f>
        <v/>
      </c>
      <c r="AO178">
        <f>IF($AN178=1,SUMPRODUCT(--($AR$2:$AR$3001&lt;$AR178))+1,"")</f>
        <v/>
      </c>
      <c r="AP178">
        <f>IF($E178="","",IF(OR($U178=TRUE(),$U178="TRUE"),1,0))</f>
        <v/>
      </c>
      <c r="AQ178">
        <f>IF($E178="","",IF($AD178="Yes",1,0))</f>
        <v/>
      </c>
      <c r="AR178">
        <f>IF($AN178=1,IFERROR(VALUE(MID($E178,2,20)),1000000000)+ROW()/100000,"")</f>
        <v/>
      </c>
    </row>
    <row r="179">
      <c r="G179" s="11" t="n"/>
      <c r="Q179" s="7">
        <f>IF($E179="","",P179*AB179/100)</f>
        <v/>
      </c>
      <c r="R179" s="7" t="n"/>
      <c r="X179" s="7" t="n"/>
      <c r="Y179" s="7">
        <f>IF($E179="","",AB179*AE179/100)</f>
        <v/>
      </c>
      <c r="Z179" s="7">
        <f>IF($E179="","",AB179-Y179)</f>
        <v/>
      </c>
      <c r="AA179" s="7">
        <f>IF($E179="","",Z179-Q179)</f>
        <v/>
      </c>
      <c r="AB179" s="7" t="n"/>
      <c r="AE179">
        <f>IF($E179="","",IF($AQ179=1,0,IF($AP179=1,Settings!$C$6,Settings!$C$7))*100)</f>
        <v/>
      </c>
      <c r="AI179" s="7" t="n"/>
      <c r="AL179" s="11" t="n"/>
      <c r="AN179">
        <f>IF($E179="","",IF(COUNTIF($E$2:$E179,$E179)=1,1,0))</f>
        <v/>
      </c>
      <c r="AO179">
        <f>IF($AN179=1,SUMPRODUCT(--($AR$2:$AR$3001&lt;$AR179))+1,"")</f>
        <v/>
      </c>
      <c r="AP179">
        <f>IF($E179="","",IF(OR($U179=TRUE(),$U179="TRUE"),1,0))</f>
        <v/>
      </c>
      <c r="AQ179">
        <f>IF($E179="","",IF($AD179="Yes",1,0))</f>
        <v/>
      </c>
      <c r="AR179">
        <f>IF($AN179=1,IFERROR(VALUE(MID($E179,2,20)),1000000000)+ROW()/100000,"")</f>
        <v/>
      </c>
    </row>
    <row r="180">
      <c r="G180" s="11" t="n"/>
      <c r="Q180" s="7">
        <f>IF($E180="","",P180*AB180/100)</f>
        <v/>
      </c>
      <c r="R180" s="7" t="n"/>
      <c r="X180" s="7" t="n"/>
      <c r="Y180" s="7">
        <f>IF($E180="","",AB180*AE180/100)</f>
        <v/>
      </c>
      <c r="Z180" s="7">
        <f>IF($E180="","",AB180-Y180)</f>
        <v/>
      </c>
      <c r="AA180" s="7">
        <f>IF($E180="","",Z180-Q180)</f>
        <v/>
      </c>
      <c r="AB180" s="7" t="n"/>
      <c r="AE180">
        <f>IF($E180="","",IF($AQ180=1,0,IF($AP180=1,Settings!$C$6,Settings!$C$7))*100)</f>
        <v/>
      </c>
      <c r="AI180" s="7" t="n"/>
      <c r="AL180" s="11" t="n"/>
      <c r="AN180">
        <f>IF($E180="","",IF(COUNTIF($E$2:$E180,$E180)=1,1,0))</f>
        <v/>
      </c>
      <c r="AO180">
        <f>IF($AN180=1,SUMPRODUCT(--($AR$2:$AR$3001&lt;$AR180))+1,"")</f>
        <v/>
      </c>
      <c r="AP180">
        <f>IF($E180="","",IF(OR($U180=TRUE(),$U180="TRUE"),1,0))</f>
        <v/>
      </c>
      <c r="AQ180">
        <f>IF($E180="","",IF($AD180="Yes",1,0))</f>
        <v/>
      </c>
      <c r="AR180">
        <f>IF($AN180=1,IFERROR(VALUE(MID($E180,2,20)),1000000000)+ROW()/100000,"")</f>
        <v/>
      </c>
    </row>
    <row r="181">
      <c r="G181" s="11" t="n"/>
      <c r="Q181" s="7">
        <f>IF($E181="","",P181*AB181/100)</f>
        <v/>
      </c>
      <c r="R181" s="7" t="n"/>
      <c r="X181" s="7" t="n"/>
      <c r="Y181" s="7">
        <f>IF($E181="","",AB181*AE181/100)</f>
        <v/>
      </c>
      <c r="Z181" s="7">
        <f>IF($E181="","",AB181-Y181)</f>
        <v/>
      </c>
      <c r="AA181" s="7">
        <f>IF($E181="","",Z181-Q181)</f>
        <v/>
      </c>
      <c r="AB181" s="7" t="n"/>
      <c r="AE181">
        <f>IF($E181="","",IF($AQ181=1,0,IF($AP181=1,Settings!$C$6,Settings!$C$7))*100)</f>
        <v/>
      </c>
      <c r="AI181" s="7" t="n"/>
      <c r="AL181" s="11" t="n"/>
      <c r="AN181">
        <f>IF($E181="","",IF(COUNTIF($E$2:$E181,$E181)=1,1,0))</f>
        <v/>
      </c>
      <c r="AO181">
        <f>IF($AN181=1,SUMPRODUCT(--($AR$2:$AR$3001&lt;$AR181))+1,"")</f>
        <v/>
      </c>
      <c r="AP181">
        <f>IF($E181="","",IF(OR($U181=TRUE(),$U181="TRUE"),1,0))</f>
        <v/>
      </c>
      <c r="AQ181">
        <f>IF($E181="","",IF($AD181="Yes",1,0))</f>
        <v/>
      </c>
      <c r="AR181">
        <f>IF($AN181=1,IFERROR(VALUE(MID($E181,2,20)),1000000000)+ROW()/100000,"")</f>
        <v/>
      </c>
    </row>
    <row r="182">
      <c r="G182" s="11" t="n"/>
      <c r="Q182" s="7">
        <f>IF($E182="","",P182*AB182/100)</f>
        <v/>
      </c>
      <c r="R182" s="7" t="n"/>
      <c r="X182" s="7" t="n"/>
      <c r="Y182" s="7">
        <f>IF($E182="","",AB182*AE182/100)</f>
        <v/>
      </c>
      <c r="Z182" s="7">
        <f>IF($E182="","",AB182-Y182)</f>
        <v/>
      </c>
      <c r="AA182" s="7">
        <f>IF($E182="","",Z182-Q182)</f>
        <v/>
      </c>
      <c r="AB182" s="7" t="n"/>
      <c r="AE182">
        <f>IF($E182="","",IF($AQ182=1,0,IF($AP182=1,Settings!$C$6,Settings!$C$7))*100)</f>
        <v/>
      </c>
      <c r="AI182" s="7" t="n"/>
      <c r="AL182" s="11" t="n"/>
      <c r="AN182">
        <f>IF($E182="","",IF(COUNTIF($E$2:$E182,$E182)=1,1,0))</f>
        <v/>
      </c>
      <c r="AO182">
        <f>IF($AN182=1,SUMPRODUCT(--($AR$2:$AR$3001&lt;$AR182))+1,"")</f>
        <v/>
      </c>
      <c r="AP182">
        <f>IF($E182="","",IF(OR($U182=TRUE(),$U182="TRUE"),1,0))</f>
        <v/>
      </c>
      <c r="AQ182">
        <f>IF($E182="","",IF($AD182="Yes",1,0))</f>
        <v/>
      </c>
      <c r="AR182">
        <f>IF($AN182=1,IFERROR(VALUE(MID($E182,2,20)),1000000000)+ROW()/100000,"")</f>
        <v/>
      </c>
    </row>
    <row r="183">
      <c r="G183" s="11" t="n"/>
      <c r="Q183" s="7">
        <f>IF($E183="","",P183*AB183/100)</f>
        <v/>
      </c>
      <c r="R183" s="7" t="n"/>
      <c r="X183" s="7" t="n"/>
      <c r="Y183" s="7">
        <f>IF($E183="","",AB183*AE183/100)</f>
        <v/>
      </c>
      <c r="Z183" s="7">
        <f>IF($E183="","",AB183-Y183)</f>
        <v/>
      </c>
      <c r="AA183" s="7">
        <f>IF($E183="","",Z183-Q183)</f>
        <v/>
      </c>
      <c r="AB183" s="7" t="n"/>
      <c r="AE183">
        <f>IF($E183="","",IF($AQ183=1,0,IF($AP183=1,Settings!$C$6,Settings!$C$7))*100)</f>
        <v/>
      </c>
      <c r="AI183" s="7" t="n"/>
      <c r="AL183" s="11" t="n"/>
      <c r="AN183">
        <f>IF($E183="","",IF(COUNTIF($E$2:$E183,$E183)=1,1,0))</f>
        <v/>
      </c>
      <c r="AO183">
        <f>IF($AN183=1,SUMPRODUCT(--($AR$2:$AR$3001&lt;$AR183))+1,"")</f>
        <v/>
      </c>
      <c r="AP183">
        <f>IF($E183="","",IF(OR($U183=TRUE(),$U183="TRUE"),1,0))</f>
        <v/>
      </c>
      <c r="AQ183">
        <f>IF($E183="","",IF($AD183="Yes",1,0))</f>
        <v/>
      </c>
      <c r="AR183">
        <f>IF($AN183=1,IFERROR(VALUE(MID($E183,2,20)),1000000000)+ROW()/100000,"")</f>
        <v/>
      </c>
    </row>
    <row r="184">
      <c r="G184" s="11" t="n"/>
      <c r="Q184" s="7">
        <f>IF($E184="","",P184*AB184/100)</f>
        <v/>
      </c>
      <c r="R184" s="7" t="n"/>
      <c r="X184" s="7" t="n"/>
      <c r="Y184" s="7">
        <f>IF($E184="","",AB184*AE184/100)</f>
        <v/>
      </c>
      <c r="Z184" s="7">
        <f>IF($E184="","",AB184-Y184)</f>
        <v/>
      </c>
      <c r="AA184" s="7">
        <f>IF($E184="","",Z184-Q184)</f>
        <v/>
      </c>
      <c r="AB184" s="7" t="n"/>
      <c r="AE184">
        <f>IF($E184="","",IF($AQ184=1,0,IF($AP184=1,Settings!$C$6,Settings!$C$7))*100)</f>
        <v/>
      </c>
      <c r="AI184" s="7" t="n"/>
      <c r="AL184" s="11" t="n"/>
      <c r="AN184">
        <f>IF($E184="","",IF(COUNTIF($E$2:$E184,$E184)=1,1,0))</f>
        <v/>
      </c>
      <c r="AO184">
        <f>IF($AN184=1,SUMPRODUCT(--($AR$2:$AR$3001&lt;$AR184))+1,"")</f>
        <v/>
      </c>
      <c r="AP184">
        <f>IF($E184="","",IF(OR($U184=TRUE(),$U184="TRUE"),1,0))</f>
        <v/>
      </c>
      <c r="AQ184">
        <f>IF($E184="","",IF($AD184="Yes",1,0))</f>
        <v/>
      </c>
      <c r="AR184">
        <f>IF($AN184=1,IFERROR(VALUE(MID($E184,2,20)),1000000000)+ROW()/100000,"")</f>
        <v/>
      </c>
    </row>
    <row r="185">
      <c r="G185" s="11" t="n"/>
      <c r="Q185" s="7">
        <f>IF($E185="","",P185*AB185/100)</f>
        <v/>
      </c>
      <c r="R185" s="7" t="n"/>
      <c r="X185" s="7" t="n"/>
      <c r="Y185" s="7">
        <f>IF($E185="","",AB185*AE185/100)</f>
        <v/>
      </c>
      <c r="Z185" s="7">
        <f>IF($E185="","",AB185-Y185)</f>
        <v/>
      </c>
      <c r="AA185" s="7">
        <f>IF($E185="","",Z185-Q185)</f>
        <v/>
      </c>
      <c r="AB185" s="7" t="n"/>
      <c r="AE185">
        <f>IF($E185="","",IF($AQ185=1,0,IF($AP185=1,Settings!$C$6,Settings!$C$7))*100)</f>
        <v/>
      </c>
      <c r="AI185" s="7" t="n"/>
      <c r="AL185" s="11" t="n"/>
      <c r="AN185">
        <f>IF($E185="","",IF(COUNTIF($E$2:$E185,$E185)=1,1,0))</f>
        <v/>
      </c>
      <c r="AO185">
        <f>IF($AN185=1,SUMPRODUCT(--($AR$2:$AR$3001&lt;$AR185))+1,"")</f>
        <v/>
      </c>
      <c r="AP185">
        <f>IF($E185="","",IF(OR($U185=TRUE(),$U185="TRUE"),1,0))</f>
        <v/>
      </c>
      <c r="AQ185">
        <f>IF($E185="","",IF($AD185="Yes",1,0))</f>
        <v/>
      </c>
      <c r="AR185">
        <f>IF($AN185=1,IFERROR(VALUE(MID($E185,2,20)),1000000000)+ROW()/100000,"")</f>
        <v/>
      </c>
    </row>
    <row r="186">
      <c r="G186" s="11" t="n"/>
      <c r="Q186" s="7">
        <f>IF($E186="","",P186*AB186/100)</f>
        <v/>
      </c>
      <c r="R186" s="7" t="n"/>
      <c r="X186" s="7" t="n"/>
      <c r="Y186" s="7">
        <f>IF($E186="","",AB186*AE186/100)</f>
        <v/>
      </c>
      <c r="Z186" s="7">
        <f>IF($E186="","",AB186-Y186)</f>
        <v/>
      </c>
      <c r="AA186" s="7">
        <f>IF($E186="","",Z186-Q186)</f>
        <v/>
      </c>
      <c r="AB186" s="7" t="n"/>
      <c r="AE186">
        <f>IF($E186="","",IF($AQ186=1,0,IF($AP186=1,Settings!$C$6,Settings!$C$7))*100)</f>
        <v/>
      </c>
      <c r="AI186" s="7" t="n"/>
      <c r="AL186" s="11" t="n"/>
      <c r="AN186">
        <f>IF($E186="","",IF(COUNTIF($E$2:$E186,$E186)=1,1,0))</f>
        <v/>
      </c>
      <c r="AO186">
        <f>IF($AN186=1,SUMPRODUCT(--($AR$2:$AR$3001&lt;$AR186))+1,"")</f>
        <v/>
      </c>
      <c r="AP186">
        <f>IF($E186="","",IF(OR($U186=TRUE(),$U186="TRUE"),1,0))</f>
        <v/>
      </c>
      <c r="AQ186">
        <f>IF($E186="","",IF($AD186="Yes",1,0))</f>
        <v/>
      </c>
      <c r="AR186">
        <f>IF($AN186=1,IFERROR(VALUE(MID($E186,2,20)),1000000000)+ROW()/100000,"")</f>
        <v/>
      </c>
    </row>
    <row r="187">
      <c r="G187" s="11" t="n"/>
      <c r="Q187" s="7">
        <f>IF($E187="","",P187*AB187/100)</f>
        <v/>
      </c>
      <c r="R187" s="7" t="n"/>
      <c r="X187" s="7" t="n"/>
      <c r="Y187" s="7">
        <f>IF($E187="","",AB187*AE187/100)</f>
        <v/>
      </c>
      <c r="Z187" s="7">
        <f>IF($E187="","",AB187-Y187)</f>
        <v/>
      </c>
      <c r="AA187" s="7">
        <f>IF($E187="","",Z187-Q187)</f>
        <v/>
      </c>
      <c r="AB187" s="7" t="n"/>
      <c r="AE187">
        <f>IF($E187="","",IF($AQ187=1,0,IF($AP187=1,Settings!$C$6,Settings!$C$7))*100)</f>
        <v/>
      </c>
      <c r="AI187" s="7" t="n"/>
      <c r="AL187" s="11" t="n"/>
      <c r="AN187">
        <f>IF($E187="","",IF(COUNTIF($E$2:$E187,$E187)=1,1,0))</f>
        <v/>
      </c>
      <c r="AO187">
        <f>IF($AN187=1,SUMPRODUCT(--($AR$2:$AR$3001&lt;$AR187))+1,"")</f>
        <v/>
      </c>
      <c r="AP187">
        <f>IF($E187="","",IF(OR($U187=TRUE(),$U187="TRUE"),1,0))</f>
        <v/>
      </c>
      <c r="AQ187">
        <f>IF($E187="","",IF($AD187="Yes",1,0))</f>
        <v/>
      </c>
      <c r="AR187">
        <f>IF($AN187=1,IFERROR(VALUE(MID($E187,2,20)),1000000000)+ROW()/100000,"")</f>
        <v/>
      </c>
    </row>
    <row r="188">
      <c r="G188" s="11" t="n"/>
      <c r="Q188" s="7">
        <f>IF($E188="","",P188*AB188/100)</f>
        <v/>
      </c>
      <c r="R188" s="7" t="n"/>
      <c r="X188" s="7" t="n"/>
      <c r="Y188" s="7">
        <f>IF($E188="","",AB188*AE188/100)</f>
        <v/>
      </c>
      <c r="Z188" s="7">
        <f>IF($E188="","",AB188-Y188)</f>
        <v/>
      </c>
      <c r="AA188" s="7">
        <f>IF($E188="","",Z188-Q188)</f>
        <v/>
      </c>
      <c r="AB188" s="7" t="n"/>
      <c r="AE188">
        <f>IF($E188="","",IF($AQ188=1,0,IF($AP188=1,Settings!$C$6,Settings!$C$7))*100)</f>
        <v/>
      </c>
      <c r="AI188" s="7" t="n"/>
      <c r="AL188" s="11" t="n"/>
      <c r="AN188">
        <f>IF($E188="","",IF(COUNTIF($E$2:$E188,$E188)=1,1,0))</f>
        <v/>
      </c>
      <c r="AO188">
        <f>IF($AN188=1,SUMPRODUCT(--($AR$2:$AR$3001&lt;$AR188))+1,"")</f>
        <v/>
      </c>
      <c r="AP188">
        <f>IF($E188="","",IF(OR($U188=TRUE(),$U188="TRUE"),1,0))</f>
        <v/>
      </c>
      <c r="AQ188">
        <f>IF($E188="","",IF($AD188="Yes",1,0))</f>
        <v/>
      </c>
      <c r="AR188">
        <f>IF($AN188=1,IFERROR(VALUE(MID($E188,2,20)),1000000000)+ROW()/100000,"")</f>
        <v/>
      </c>
    </row>
    <row r="189">
      <c r="G189" s="11" t="n"/>
      <c r="Q189" s="7">
        <f>IF($E189="","",P189*AB189/100)</f>
        <v/>
      </c>
      <c r="R189" s="7" t="n"/>
      <c r="X189" s="7" t="n"/>
      <c r="Y189" s="7">
        <f>IF($E189="","",AB189*AE189/100)</f>
        <v/>
      </c>
      <c r="Z189" s="7">
        <f>IF($E189="","",AB189-Y189)</f>
        <v/>
      </c>
      <c r="AA189" s="7">
        <f>IF($E189="","",Z189-Q189)</f>
        <v/>
      </c>
      <c r="AB189" s="7" t="n"/>
      <c r="AE189">
        <f>IF($E189="","",IF($AQ189=1,0,IF($AP189=1,Settings!$C$6,Settings!$C$7))*100)</f>
        <v/>
      </c>
      <c r="AI189" s="7" t="n"/>
      <c r="AL189" s="11" t="n"/>
      <c r="AN189">
        <f>IF($E189="","",IF(COUNTIF($E$2:$E189,$E189)=1,1,0))</f>
        <v/>
      </c>
      <c r="AO189">
        <f>IF($AN189=1,SUMPRODUCT(--($AR$2:$AR$3001&lt;$AR189))+1,"")</f>
        <v/>
      </c>
      <c r="AP189">
        <f>IF($E189="","",IF(OR($U189=TRUE(),$U189="TRUE"),1,0))</f>
        <v/>
      </c>
      <c r="AQ189">
        <f>IF($E189="","",IF($AD189="Yes",1,0))</f>
        <v/>
      </c>
      <c r="AR189">
        <f>IF($AN189=1,IFERROR(VALUE(MID($E189,2,20)),1000000000)+ROW()/100000,"")</f>
        <v/>
      </c>
    </row>
    <row r="190">
      <c r="G190" s="11" t="n"/>
      <c r="Q190" s="7">
        <f>IF($E190="","",P190*AB190/100)</f>
        <v/>
      </c>
      <c r="R190" s="7" t="n"/>
      <c r="X190" s="7" t="n"/>
      <c r="Y190" s="7">
        <f>IF($E190="","",AB190*AE190/100)</f>
        <v/>
      </c>
      <c r="Z190" s="7">
        <f>IF($E190="","",AB190-Y190)</f>
        <v/>
      </c>
      <c r="AA190" s="7">
        <f>IF($E190="","",Z190-Q190)</f>
        <v/>
      </c>
      <c r="AB190" s="7" t="n"/>
      <c r="AE190">
        <f>IF($E190="","",IF($AQ190=1,0,IF($AP190=1,Settings!$C$6,Settings!$C$7))*100)</f>
        <v/>
      </c>
      <c r="AI190" s="7" t="n"/>
      <c r="AL190" s="11" t="n"/>
      <c r="AN190">
        <f>IF($E190="","",IF(COUNTIF($E$2:$E190,$E190)=1,1,0))</f>
        <v/>
      </c>
      <c r="AO190">
        <f>IF($AN190=1,SUMPRODUCT(--($AR$2:$AR$3001&lt;$AR190))+1,"")</f>
        <v/>
      </c>
      <c r="AP190">
        <f>IF($E190="","",IF(OR($U190=TRUE(),$U190="TRUE"),1,0))</f>
        <v/>
      </c>
      <c r="AQ190">
        <f>IF($E190="","",IF($AD190="Yes",1,0))</f>
        <v/>
      </c>
      <c r="AR190">
        <f>IF($AN190=1,IFERROR(VALUE(MID($E190,2,20)),1000000000)+ROW()/100000,"")</f>
        <v/>
      </c>
    </row>
    <row r="191">
      <c r="G191" s="11" t="n"/>
      <c r="Q191" s="7">
        <f>IF($E191="","",P191*AB191/100)</f>
        <v/>
      </c>
      <c r="R191" s="7" t="n"/>
      <c r="X191" s="7" t="n"/>
      <c r="Y191" s="7">
        <f>IF($E191="","",AB191*AE191/100)</f>
        <v/>
      </c>
      <c r="Z191" s="7">
        <f>IF($E191="","",AB191-Y191)</f>
        <v/>
      </c>
      <c r="AA191" s="7">
        <f>IF($E191="","",Z191-Q191)</f>
        <v/>
      </c>
      <c r="AB191" s="7" t="n"/>
      <c r="AE191">
        <f>IF($E191="","",IF($AQ191=1,0,IF($AP191=1,Settings!$C$6,Settings!$C$7))*100)</f>
        <v/>
      </c>
      <c r="AI191" s="7" t="n"/>
      <c r="AL191" s="11" t="n"/>
      <c r="AN191">
        <f>IF($E191="","",IF(COUNTIF($E$2:$E191,$E191)=1,1,0))</f>
        <v/>
      </c>
      <c r="AO191">
        <f>IF($AN191=1,SUMPRODUCT(--($AR$2:$AR$3001&lt;$AR191))+1,"")</f>
        <v/>
      </c>
      <c r="AP191">
        <f>IF($E191="","",IF(OR($U191=TRUE(),$U191="TRUE"),1,0))</f>
        <v/>
      </c>
      <c r="AQ191">
        <f>IF($E191="","",IF($AD191="Yes",1,0))</f>
        <v/>
      </c>
      <c r="AR191">
        <f>IF($AN191=1,IFERROR(VALUE(MID($E191,2,20)),1000000000)+ROW()/100000,"")</f>
        <v/>
      </c>
    </row>
    <row r="192">
      <c r="G192" s="11" t="n"/>
      <c r="Q192" s="7">
        <f>IF($E192="","",P192*AB192/100)</f>
        <v/>
      </c>
      <c r="R192" s="7" t="n"/>
      <c r="X192" s="7" t="n"/>
      <c r="Y192" s="7">
        <f>IF($E192="","",AB192*AE192/100)</f>
        <v/>
      </c>
      <c r="Z192" s="7">
        <f>IF($E192="","",AB192-Y192)</f>
        <v/>
      </c>
      <c r="AA192" s="7">
        <f>IF($E192="","",Z192-Q192)</f>
        <v/>
      </c>
      <c r="AB192" s="7" t="n"/>
      <c r="AE192">
        <f>IF($E192="","",IF($AQ192=1,0,IF($AP192=1,Settings!$C$6,Settings!$C$7))*100)</f>
        <v/>
      </c>
      <c r="AI192" s="7" t="n"/>
      <c r="AL192" s="11" t="n"/>
      <c r="AN192">
        <f>IF($E192="","",IF(COUNTIF($E$2:$E192,$E192)=1,1,0))</f>
        <v/>
      </c>
      <c r="AO192">
        <f>IF($AN192=1,SUMPRODUCT(--($AR$2:$AR$3001&lt;$AR192))+1,"")</f>
        <v/>
      </c>
      <c r="AP192">
        <f>IF($E192="","",IF(OR($U192=TRUE(),$U192="TRUE"),1,0))</f>
        <v/>
      </c>
      <c r="AQ192">
        <f>IF($E192="","",IF($AD192="Yes",1,0))</f>
        <v/>
      </c>
      <c r="AR192">
        <f>IF($AN192=1,IFERROR(VALUE(MID($E192,2,20)),1000000000)+ROW()/100000,"")</f>
        <v/>
      </c>
    </row>
    <row r="193">
      <c r="G193" s="11" t="n"/>
      <c r="Q193" s="7">
        <f>IF($E193="","",P193*AB193/100)</f>
        <v/>
      </c>
      <c r="R193" s="7" t="n"/>
      <c r="X193" s="7" t="n"/>
      <c r="Y193" s="7">
        <f>IF($E193="","",AB193*AE193/100)</f>
        <v/>
      </c>
      <c r="Z193" s="7">
        <f>IF($E193="","",AB193-Y193)</f>
        <v/>
      </c>
      <c r="AA193" s="7">
        <f>IF($E193="","",Z193-Q193)</f>
        <v/>
      </c>
      <c r="AB193" s="7" t="n"/>
      <c r="AE193">
        <f>IF($E193="","",IF($AQ193=1,0,IF($AP193=1,Settings!$C$6,Settings!$C$7))*100)</f>
        <v/>
      </c>
      <c r="AI193" s="7" t="n"/>
      <c r="AL193" s="11" t="n"/>
      <c r="AN193">
        <f>IF($E193="","",IF(COUNTIF($E$2:$E193,$E193)=1,1,0))</f>
        <v/>
      </c>
      <c r="AO193">
        <f>IF($AN193=1,SUMPRODUCT(--($AR$2:$AR$3001&lt;$AR193))+1,"")</f>
        <v/>
      </c>
      <c r="AP193">
        <f>IF($E193="","",IF(OR($U193=TRUE(),$U193="TRUE"),1,0))</f>
        <v/>
      </c>
      <c r="AQ193">
        <f>IF($E193="","",IF($AD193="Yes",1,0))</f>
        <v/>
      </c>
      <c r="AR193">
        <f>IF($AN193=1,IFERROR(VALUE(MID($E193,2,20)),1000000000)+ROW()/100000,"")</f>
        <v/>
      </c>
    </row>
    <row r="194">
      <c r="G194" s="11" t="n"/>
      <c r="Q194" s="7">
        <f>IF($E194="","",P194*AB194/100)</f>
        <v/>
      </c>
      <c r="R194" s="7" t="n"/>
      <c r="X194" s="7" t="n"/>
      <c r="Y194" s="7">
        <f>IF($E194="","",AB194*AE194/100)</f>
        <v/>
      </c>
      <c r="Z194" s="7">
        <f>IF($E194="","",AB194-Y194)</f>
        <v/>
      </c>
      <c r="AA194" s="7">
        <f>IF($E194="","",Z194-Q194)</f>
        <v/>
      </c>
      <c r="AB194" s="7" t="n"/>
      <c r="AE194">
        <f>IF($E194="","",IF($AQ194=1,0,IF($AP194=1,Settings!$C$6,Settings!$C$7))*100)</f>
        <v/>
      </c>
      <c r="AI194" s="7" t="n"/>
      <c r="AL194" s="11" t="n"/>
      <c r="AN194">
        <f>IF($E194="","",IF(COUNTIF($E$2:$E194,$E194)=1,1,0))</f>
        <v/>
      </c>
      <c r="AO194">
        <f>IF($AN194=1,SUMPRODUCT(--($AR$2:$AR$3001&lt;$AR194))+1,"")</f>
        <v/>
      </c>
      <c r="AP194">
        <f>IF($E194="","",IF(OR($U194=TRUE(),$U194="TRUE"),1,0))</f>
        <v/>
      </c>
      <c r="AQ194">
        <f>IF($E194="","",IF($AD194="Yes",1,0))</f>
        <v/>
      </c>
      <c r="AR194">
        <f>IF($AN194=1,IFERROR(VALUE(MID($E194,2,20)),1000000000)+ROW()/100000,"")</f>
        <v/>
      </c>
    </row>
    <row r="195">
      <c r="G195" s="11" t="n"/>
      <c r="Q195" s="7">
        <f>IF($E195="","",P195*AB195/100)</f>
        <v/>
      </c>
      <c r="R195" s="7" t="n"/>
      <c r="X195" s="7" t="n"/>
      <c r="Y195" s="7">
        <f>IF($E195="","",AB195*AE195/100)</f>
        <v/>
      </c>
      <c r="Z195" s="7">
        <f>IF($E195="","",AB195-Y195)</f>
        <v/>
      </c>
      <c r="AA195" s="7">
        <f>IF($E195="","",Z195-Q195)</f>
        <v/>
      </c>
      <c r="AB195" s="7" t="n"/>
      <c r="AE195">
        <f>IF($E195="","",IF($AQ195=1,0,IF($AP195=1,Settings!$C$6,Settings!$C$7))*100)</f>
        <v/>
      </c>
      <c r="AI195" s="7" t="n"/>
      <c r="AL195" s="11" t="n"/>
      <c r="AN195">
        <f>IF($E195="","",IF(COUNTIF($E$2:$E195,$E195)=1,1,0))</f>
        <v/>
      </c>
      <c r="AO195">
        <f>IF($AN195=1,SUMPRODUCT(--($AR$2:$AR$3001&lt;$AR195))+1,"")</f>
        <v/>
      </c>
      <c r="AP195">
        <f>IF($E195="","",IF(OR($U195=TRUE(),$U195="TRUE"),1,0))</f>
        <v/>
      </c>
      <c r="AQ195">
        <f>IF($E195="","",IF($AD195="Yes",1,0))</f>
        <v/>
      </c>
      <c r="AR195">
        <f>IF($AN195=1,IFERROR(VALUE(MID($E195,2,20)),1000000000)+ROW()/100000,"")</f>
        <v/>
      </c>
    </row>
    <row r="196">
      <c r="G196" s="11" t="n"/>
      <c r="Q196" s="7">
        <f>IF($E196="","",P196*AB196/100)</f>
        <v/>
      </c>
      <c r="R196" s="7" t="n"/>
      <c r="X196" s="7" t="n"/>
      <c r="Y196" s="7">
        <f>IF($E196="","",AB196*AE196/100)</f>
        <v/>
      </c>
      <c r="Z196" s="7">
        <f>IF($E196="","",AB196-Y196)</f>
        <v/>
      </c>
      <c r="AA196" s="7">
        <f>IF($E196="","",Z196-Q196)</f>
        <v/>
      </c>
      <c r="AB196" s="7" t="n"/>
      <c r="AE196">
        <f>IF($E196="","",IF($AQ196=1,0,IF($AP196=1,Settings!$C$6,Settings!$C$7))*100)</f>
        <v/>
      </c>
      <c r="AI196" s="7" t="n"/>
      <c r="AL196" s="11" t="n"/>
      <c r="AN196">
        <f>IF($E196="","",IF(COUNTIF($E$2:$E196,$E196)=1,1,0))</f>
        <v/>
      </c>
      <c r="AO196">
        <f>IF($AN196=1,SUMPRODUCT(--($AR$2:$AR$3001&lt;$AR196))+1,"")</f>
        <v/>
      </c>
      <c r="AP196">
        <f>IF($E196="","",IF(OR($U196=TRUE(),$U196="TRUE"),1,0))</f>
        <v/>
      </c>
      <c r="AQ196">
        <f>IF($E196="","",IF($AD196="Yes",1,0))</f>
        <v/>
      </c>
      <c r="AR196">
        <f>IF($AN196=1,IFERROR(VALUE(MID($E196,2,20)),1000000000)+ROW()/100000,"")</f>
        <v/>
      </c>
    </row>
    <row r="197">
      <c r="G197" s="11" t="n"/>
      <c r="Q197" s="7">
        <f>IF($E197="","",P197*AB197/100)</f>
        <v/>
      </c>
      <c r="R197" s="7" t="n"/>
      <c r="X197" s="7" t="n"/>
      <c r="Y197" s="7">
        <f>IF($E197="","",AB197*AE197/100)</f>
        <v/>
      </c>
      <c r="Z197" s="7">
        <f>IF($E197="","",AB197-Y197)</f>
        <v/>
      </c>
      <c r="AA197" s="7">
        <f>IF($E197="","",Z197-Q197)</f>
        <v/>
      </c>
      <c r="AB197" s="7" t="n"/>
      <c r="AE197">
        <f>IF($E197="","",IF($AQ197=1,0,IF($AP197=1,Settings!$C$6,Settings!$C$7))*100)</f>
        <v/>
      </c>
      <c r="AI197" s="7" t="n"/>
      <c r="AL197" s="11" t="n"/>
      <c r="AN197">
        <f>IF($E197="","",IF(COUNTIF($E$2:$E197,$E197)=1,1,0))</f>
        <v/>
      </c>
      <c r="AO197">
        <f>IF($AN197=1,SUMPRODUCT(--($AR$2:$AR$3001&lt;$AR197))+1,"")</f>
        <v/>
      </c>
      <c r="AP197">
        <f>IF($E197="","",IF(OR($U197=TRUE(),$U197="TRUE"),1,0))</f>
        <v/>
      </c>
      <c r="AQ197">
        <f>IF($E197="","",IF($AD197="Yes",1,0))</f>
        <v/>
      </c>
      <c r="AR197">
        <f>IF($AN197=1,IFERROR(VALUE(MID($E197,2,20)),1000000000)+ROW()/100000,"")</f>
        <v/>
      </c>
    </row>
    <row r="198">
      <c r="G198" s="11" t="n"/>
      <c r="Q198" s="7">
        <f>IF($E198="","",P198*AB198/100)</f>
        <v/>
      </c>
      <c r="R198" s="7" t="n"/>
      <c r="X198" s="7" t="n"/>
      <c r="Y198" s="7">
        <f>IF($E198="","",AB198*AE198/100)</f>
        <v/>
      </c>
      <c r="Z198" s="7">
        <f>IF($E198="","",AB198-Y198)</f>
        <v/>
      </c>
      <c r="AA198" s="7">
        <f>IF($E198="","",Z198-Q198)</f>
        <v/>
      </c>
      <c r="AB198" s="7" t="n"/>
      <c r="AE198">
        <f>IF($E198="","",IF($AQ198=1,0,IF($AP198=1,Settings!$C$6,Settings!$C$7))*100)</f>
        <v/>
      </c>
      <c r="AI198" s="7" t="n"/>
      <c r="AL198" s="11" t="n"/>
      <c r="AN198">
        <f>IF($E198="","",IF(COUNTIF($E$2:$E198,$E198)=1,1,0))</f>
        <v/>
      </c>
      <c r="AO198">
        <f>IF($AN198=1,SUMPRODUCT(--($AR$2:$AR$3001&lt;$AR198))+1,"")</f>
        <v/>
      </c>
      <c r="AP198">
        <f>IF($E198="","",IF(OR($U198=TRUE(),$U198="TRUE"),1,0))</f>
        <v/>
      </c>
      <c r="AQ198">
        <f>IF($E198="","",IF($AD198="Yes",1,0))</f>
        <v/>
      </c>
      <c r="AR198">
        <f>IF($AN198=1,IFERROR(VALUE(MID($E198,2,20)),1000000000)+ROW()/100000,"")</f>
        <v/>
      </c>
    </row>
    <row r="199">
      <c r="G199" s="11" t="n"/>
      <c r="Q199" s="7">
        <f>IF($E199="","",P199*AB199/100)</f>
        <v/>
      </c>
      <c r="R199" s="7" t="n"/>
      <c r="X199" s="7" t="n"/>
      <c r="Y199" s="7">
        <f>IF($E199="","",AB199*AE199/100)</f>
        <v/>
      </c>
      <c r="Z199" s="7">
        <f>IF($E199="","",AB199-Y199)</f>
        <v/>
      </c>
      <c r="AA199" s="7">
        <f>IF($E199="","",Z199-Q199)</f>
        <v/>
      </c>
      <c r="AB199" s="7" t="n"/>
      <c r="AE199">
        <f>IF($E199="","",IF($AQ199=1,0,IF($AP199=1,Settings!$C$6,Settings!$C$7))*100)</f>
        <v/>
      </c>
      <c r="AI199" s="7" t="n"/>
      <c r="AL199" s="11" t="n"/>
      <c r="AN199">
        <f>IF($E199="","",IF(COUNTIF($E$2:$E199,$E199)=1,1,0))</f>
        <v/>
      </c>
      <c r="AO199">
        <f>IF($AN199=1,SUMPRODUCT(--($AR$2:$AR$3001&lt;$AR199))+1,"")</f>
        <v/>
      </c>
      <c r="AP199">
        <f>IF($E199="","",IF(OR($U199=TRUE(),$U199="TRUE"),1,0))</f>
        <v/>
      </c>
      <c r="AQ199">
        <f>IF($E199="","",IF($AD199="Yes",1,0))</f>
        <v/>
      </c>
      <c r="AR199">
        <f>IF($AN199=1,IFERROR(VALUE(MID($E199,2,20)),1000000000)+ROW()/100000,"")</f>
        <v/>
      </c>
    </row>
    <row r="200">
      <c r="G200" s="11" t="n"/>
      <c r="Q200" s="7">
        <f>IF($E200="","",P200*AB200/100)</f>
        <v/>
      </c>
      <c r="R200" s="7" t="n"/>
      <c r="X200" s="7" t="n"/>
      <c r="Y200" s="7">
        <f>IF($E200="","",AB200*AE200/100)</f>
        <v/>
      </c>
      <c r="Z200" s="7">
        <f>IF($E200="","",AB200-Y200)</f>
        <v/>
      </c>
      <c r="AA200" s="7">
        <f>IF($E200="","",Z200-Q200)</f>
        <v/>
      </c>
      <c r="AB200" s="7" t="n"/>
      <c r="AE200">
        <f>IF($E200="","",IF($AQ200=1,0,IF($AP200=1,Settings!$C$6,Settings!$C$7))*100)</f>
        <v/>
      </c>
      <c r="AI200" s="7" t="n"/>
      <c r="AL200" s="11" t="n"/>
      <c r="AN200">
        <f>IF($E200="","",IF(COUNTIF($E$2:$E200,$E200)=1,1,0))</f>
        <v/>
      </c>
      <c r="AO200">
        <f>IF($AN200=1,SUMPRODUCT(--($AR$2:$AR$3001&lt;$AR200))+1,"")</f>
        <v/>
      </c>
      <c r="AP200">
        <f>IF($E200="","",IF(OR($U200=TRUE(),$U200="TRUE"),1,0))</f>
        <v/>
      </c>
      <c r="AQ200">
        <f>IF($E200="","",IF($AD200="Yes",1,0))</f>
        <v/>
      </c>
      <c r="AR200">
        <f>IF($AN200=1,IFERROR(VALUE(MID($E200,2,20)),1000000000)+ROW()/100000,"")</f>
        <v/>
      </c>
    </row>
    <row r="201">
      <c r="G201" s="11" t="n"/>
      <c r="Q201" s="7">
        <f>IF($E201="","",P201*AB201/100)</f>
        <v/>
      </c>
      <c r="R201" s="7" t="n"/>
      <c r="X201" s="7" t="n"/>
      <c r="Y201" s="7">
        <f>IF($E201="","",AB201*AE201/100)</f>
        <v/>
      </c>
      <c r="Z201" s="7">
        <f>IF($E201="","",AB201-Y201)</f>
        <v/>
      </c>
      <c r="AA201" s="7">
        <f>IF($E201="","",Z201-Q201)</f>
        <v/>
      </c>
      <c r="AB201" s="7" t="n"/>
      <c r="AE201">
        <f>IF($E201="","",IF($AQ201=1,0,IF($AP201=1,Settings!$C$6,Settings!$C$7))*100)</f>
        <v/>
      </c>
      <c r="AI201" s="7" t="n"/>
      <c r="AL201" s="11" t="n"/>
      <c r="AN201">
        <f>IF($E201="","",IF(COUNTIF($E$2:$E201,$E201)=1,1,0))</f>
        <v/>
      </c>
      <c r="AO201">
        <f>IF($AN201=1,SUMPRODUCT(--($AR$2:$AR$3001&lt;$AR201))+1,"")</f>
        <v/>
      </c>
      <c r="AP201">
        <f>IF($E201="","",IF(OR($U201=TRUE(),$U201="TRUE"),1,0))</f>
        <v/>
      </c>
      <c r="AQ201">
        <f>IF($E201="","",IF($AD201="Yes",1,0))</f>
        <v/>
      </c>
      <c r="AR201">
        <f>IF($AN201=1,IFERROR(VALUE(MID($E201,2,20)),1000000000)+ROW()/100000,"")</f>
        <v/>
      </c>
    </row>
    <row r="202">
      <c r="G202" s="11" t="n"/>
      <c r="Q202" s="7">
        <f>IF($E202="","",P202*AB202/100)</f>
        <v/>
      </c>
      <c r="R202" s="7" t="n"/>
      <c r="X202" s="7" t="n"/>
      <c r="Y202" s="7">
        <f>IF($E202="","",AB202*AE202/100)</f>
        <v/>
      </c>
      <c r="Z202" s="7">
        <f>IF($E202="","",AB202-Y202)</f>
        <v/>
      </c>
      <c r="AA202" s="7">
        <f>IF($E202="","",Z202-Q202)</f>
        <v/>
      </c>
      <c r="AB202" s="7" t="n"/>
      <c r="AE202">
        <f>IF($E202="","",IF($AQ202=1,0,IF($AP202=1,Settings!$C$6,Settings!$C$7))*100)</f>
        <v/>
      </c>
      <c r="AI202" s="7" t="n"/>
      <c r="AL202" s="11" t="n"/>
      <c r="AN202">
        <f>IF($E202="","",IF(COUNTIF($E$2:$E202,$E202)=1,1,0))</f>
        <v/>
      </c>
      <c r="AO202">
        <f>IF($AN202=1,SUMPRODUCT(--($AR$2:$AR$3001&lt;$AR202))+1,"")</f>
        <v/>
      </c>
      <c r="AP202">
        <f>IF($E202="","",IF(OR($U202=TRUE(),$U202="TRUE"),1,0))</f>
        <v/>
      </c>
      <c r="AQ202">
        <f>IF($E202="","",IF($AD202="Yes",1,0))</f>
        <v/>
      </c>
      <c r="AR202">
        <f>IF($AN202=1,IFERROR(VALUE(MID($E202,2,20)),1000000000)+ROW()/100000,"")</f>
        <v/>
      </c>
    </row>
    <row r="203">
      <c r="G203" s="11" t="n"/>
      <c r="Q203" s="7">
        <f>IF($E203="","",P203*AB203/100)</f>
        <v/>
      </c>
      <c r="R203" s="7" t="n"/>
      <c r="X203" s="7" t="n"/>
      <c r="Y203" s="7">
        <f>IF($E203="","",AB203*AE203/100)</f>
        <v/>
      </c>
      <c r="Z203" s="7">
        <f>IF($E203="","",AB203-Y203)</f>
        <v/>
      </c>
      <c r="AA203" s="7">
        <f>IF($E203="","",Z203-Q203)</f>
        <v/>
      </c>
      <c r="AB203" s="7" t="n"/>
      <c r="AE203">
        <f>IF($E203="","",IF($AQ203=1,0,IF($AP203=1,Settings!$C$6,Settings!$C$7))*100)</f>
        <v/>
      </c>
      <c r="AI203" s="7" t="n"/>
      <c r="AL203" s="11" t="n"/>
      <c r="AN203">
        <f>IF($E203="","",IF(COUNTIF($E$2:$E203,$E203)=1,1,0))</f>
        <v/>
      </c>
      <c r="AO203">
        <f>IF($AN203=1,SUMPRODUCT(--($AR$2:$AR$3001&lt;$AR203))+1,"")</f>
        <v/>
      </c>
      <c r="AP203">
        <f>IF($E203="","",IF(OR($U203=TRUE(),$U203="TRUE"),1,0))</f>
        <v/>
      </c>
      <c r="AQ203">
        <f>IF($E203="","",IF($AD203="Yes",1,0))</f>
        <v/>
      </c>
      <c r="AR203">
        <f>IF($AN203=1,IFERROR(VALUE(MID($E203,2,20)),1000000000)+ROW()/100000,"")</f>
        <v/>
      </c>
    </row>
    <row r="204">
      <c r="G204" s="11" t="n"/>
      <c r="Q204" s="7">
        <f>IF($E204="","",P204*AB204/100)</f>
        <v/>
      </c>
      <c r="R204" s="7" t="n"/>
      <c r="X204" s="7" t="n"/>
      <c r="Y204" s="7">
        <f>IF($E204="","",AB204*AE204/100)</f>
        <v/>
      </c>
      <c r="Z204" s="7">
        <f>IF($E204="","",AB204-Y204)</f>
        <v/>
      </c>
      <c r="AA204" s="7">
        <f>IF($E204="","",Z204-Q204)</f>
        <v/>
      </c>
      <c r="AB204" s="7" t="n"/>
      <c r="AE204">
        <f>IF($E204="","",IF($AQ204=1,0,IF($AP204=1,Settings!$C$6,Settings!$C$7))*100)</f>
        <v/>
      </c>
      <c r="AI204" s="7" t="n"/>
      <c r="AL204" s="11" t="n"/>
      <c r="AN204">
        <f>IF($E204="","",IF(COUNTIF($E$2:$E204,$E204)=1,1,0))</f>
        <v/>
      </c>
      <c r="AO204">
        <f>IF($AN204=1,SUMPRODUCT(--($AR$2:$AR$3001&lt;$AR204))+1,"")</f>
        <v/>
      </c>
      <c r="AP204">
        <f>IF($E204="","",IF(OR($U204=TRUE(),$U204="TRUE"),1,0))</f>
        <v/>
      </c>
      <c r="AQ204">
        <f>IF($E204="","",IF($AD204="Yes",1,0))</f>
        <v/>
      </c>
      <c r="AR204">
        <f>IF($AN204=1,IFERROR(VALUE(MID($E204,2,20)),1000000000)+ROW()/100000,"")</f>
        <v/>
      </c>
    </row>
    <row r="205">
      <c r="G205" s="11" t="n"/>
      <c r="Q205" s="7">
        <f>IF($E205="","",P205*AB205/100)</f>
        <v/>
      </c>
      <c r="R205" s="7" t="n"/>
      <c r="X205" s="7" t="n"/>
      <c r="Y205" s="7">
        <f>IF($E205="","",AB205*AE205/100)</f>
        <v/>
      </c>
      <c r="Z205" s="7">
        <f>IF($E205="","",AB205-Y205)</f>
        <v/>
      </c>
      <c r="AA205" s="7">
        <f>IF($E205="","",Z205-Q205)</f>
        <v/>
      </c>
      <c r="AB205" s="7" t="n"/>
      <c r="AE205">
        <f>IF($E205="","",IF($AQ205=1,0,IF($AP205=1,Settings!$C$6,Settings!$C$7))*100)</f>
        <v/>
      </c>
      <c r="AI205" s="7" t="n"/>
      <c r="AL205" s="11" t="n"/>
      <c r="AN205">
        <f>IF($E205="","",IF(COUNTIF($E$2:$E205,$E205)=1,1,0))</f>
        <v/>
      </c>
      <c r="AO205">
        <f>IF($AN205=1,SUMPRODUCT(--($AR$2:$AR$3001&lt;$AR205))+1,"")</f>
        <v/>
      </c>
      <c r="AP205">
        <f>IF($E205="","",IF(OR($U205=TRUE(),$U205="TRUE"),1,0))</f>
        <v/>
      </c>
      <c r="AQ205">
        <f>IF($E205="","",IF($AD205="Yes",1,0))</f>
        <v/>
      </c>
      <c r="AR205">
        <f>IF($AN205=1,IFERROR(VALUE(MID($E205,2,20)),1000000000)+ROW()/100000,"")</f>
        <v/>
      </c>
    </row>
    <row r="206">
      <c r="G206" s="11" t="n"/>
      <c r="Q206" s="7">
        <f>IF($E206="","",P206*AB206/100)</f>
        <v/>
      </c>
      <c r="R206" s="7" t="n"/>
      <c r="X206" s="7" t="n"/>
      <c r="Y206" s="7">
        <f>IF($E206="","",AB206*AE206/100)</f>
        <v/>
      </c>
      <c r="Z206" s="7">
        <f>IF($E206="","",AB206-Y206)</f>
        <v/>
      </c>
      <c r="AA206" s="7">
        <f>IF($E206="","",Z206-Q206)</f>
        <v/>
      </c>
      <c r="AB206" s="7" t="n"/>
      <c r="AE206">
        <f>IF($E206="","",IF($AQ206=1,0,IF($AP206=1,Settings!$C$6,Settings!$C$7))*100)</f>
        <v/>
      </c>
      <c r="AI206" s="7" t="n"/>
      <c r="AL206" s="11" t="n"/>
      <c r="AN206">
        <f>IF($E206="","",IF(COUNTIF($E$2:$E206,$E206)=1,1,0))</f>
        <v/>
      </c>
      <c r="AO206">
        <f>IF($AN206=1,SUMPRODUCT(--($AR$2:$AR$3001&lt;$AR206))+1,"")</f>
        <v/>
      </c>
      <c r="AP206">
        <f>IF($E206="","",IF(OR($U206=TRUE(),$U206="TRUE"),1,0))</f>
        <v/>
      </c>
      <c r="AQ206">
        <f>IF($E206="","",IF($AD206="Yes",1,0))</f>
        <v/>
      </c>
      <c r="AR206">
        <f>IF($AN206=1,IFERROR(VALUE(MID($E206,2,20)),1000000000)+ROW()/100000,"")</f>
        <v/>
      </c>
    </row>
    <row r="207">
      <c r="G207" s="11" t="n"/>
      <c r="Q207" s="7">
        <f>IF($E207="","",P207*AB207/100)</f>
        <v/>
      </c>
      <c r="R207" s="7" t="n"/>
      <c r="X207" s="7" t="n"/>
      <c r="Y207" s="7">
        <f>IF($E207="","",AB207*AE207/100)</f>
        <v/>
      </c>
      <c r="Z207" s="7">
        <f>IF($E207="","",AB207-Y207)</f>
        <v/>
      </c>
      <c r="AA207" s="7">
        <f>IF($E207="","",Z207-Q207)</f>
        <v/>
      </c>
      <c r="AB207" s="7" t="n"/>
      <c r="AE207">
        <f>IF($E207="","",IF($AQ207=1,0,IF($AP207=1,Settings!$C$6,Settings!$C$7))*100)</f>
        <v/>
      </c>
      <c r="AI207" s="7" t="n"/>
      <c r="AL207" s="11" t="n"/>
      <c r="AN207">
        <f>IF($E207="","",IF(COUNTIF($E$2:$E207,$E207)=1,1,0))</f>
        <v/>
      </c>
      <c r="AO207">
        <f>IF($AN207=1,SUMPRODUCT(--($AR$2:$AR$3001&lt;$AR207))+1,"")</f>
        <v/>
      </c>
      <c r="AP207">
        <f>IF($E207="","",IF(OR($U207=TRUE(),$U207="TRUE"),1,0))</f>
        <v/>
      </c>
      <c r="AQ207">
        <f>IF($E207="","",IF($AD207="Yes",1,0))</f>
        <v/>
      </c>
      <c r="AR207">
        <f>IF($AN207=1,IFERROR(VALUE(MID($E207,2,20)),1000000000)+ROW()/100000,"")</f>
        <v/>
      </c>
    </row>
    <row r="208">
      <c r="G208" s="11" t="n"/>
      <c r="Q208" s="7">
        <f>IF($E208="","",P208*AB208/100)</f>
        <v/>
      </c>
      <c r="R208" s="7" t="n"/>
      <c r="X208" s="7" t="n"/>
      <c r="Y208" s="7">
        <f>IF($E208="","",AB208*AE208/100)</f>
        <v/>
      </c>
      <c r="Z208" s="7">
        <f>IF($E208="","",AB208-Y208)</f>
        <v/>
      </c>
      <c r="AA208" s="7">
        <f>IF($E208="","",Z208-Q208)</f>
        <v/>
      </c>
      <c r="AB208" s="7" t="n"/>
      <c r="AE208">
        <f>IF($E208="","",IF($AQ208=1,0,IF($AP208=1,Settings!$C$6,Settings!$C$7))*100)</f>
        <v/>
      </c>
      <c r="AI208" s="7" t="n"/>
      <c r="AL208" s="11" t="n"/>
      <c r="AN208">
        <f>IF($E208="","",IF(COUNTIF($E$2:$E208,$E208)=1,1,0))</f>
        <v/>
      </c>
      <c r="AO208">
        <f>IF($AN208=1,SUMPRODUCT(--($AR$2:$AR$3001&lt;$AR208))+1,"")</f>
        <v/>
      </c>
      <c r="AP208">
        <f>IF($E208="","",IF(OR($U208=TRUE(),$U208="TRUE"),1,0))</f>
        <v/>
      </c>
      <c r="AQ208">
        <f>IF($E208="","",IF($AD208="Yes",1,0))</f>
        <v/>
      </c>
      <c r="AR208">
        <f>IF($AN208=1,IFERROR(VALUE(MID($E208,2,20)),1000000000)+ROW()/100000,"")</f>
        <v/>
      </c>
    </row>
    <row r="209">
      <c r="G209" s="11" t="n"/>
      <c r="Q209" s="7">
        <f>IF($E209="","",P209*AB209/100)</f>
        <v/>
      </c>
      <c r="R209" s="7" t="n"/>
      <c r="X209" s="7" t="n"/>
      <c r="Y209" s="7">
        <f>IF($E209="","",AB209*AE209/100)</f>
        <v/>
      </c>
      <c r="Z209" s="7">
        <f>IF($E209="","",AB209-Y209)</f>
        <v/>
      </c>
      <c r="AA209" s="7">
        <f>IF($E209="","",Z209-Q209)</f>
        <v/>
      </c>
      <c r="AB209" s="7" t="n"/>
      <c r="AE209">
        <f>IF($E209="","",IF($AQ209=1,0,IF($AP209=1,Settings!$C$6,Settings!$C$7))*100)</f>
        <v/>
      </c>
      <c r="AI209" s="7" t="n"/>
      <c r="AL209" s="11" t="n"/>
      <c r="AN209">
        <f>IF($E209="","",IF(COUNTIF($E$2:$E209,$E209)=1,1,0))</f>
        <v/>
      </c>
      <c r="AO209">
        <f>IF($AN209=1,SUMPRODUCT(--($AR$2:$AR$3001&lt;$AR209))+1,"")</f>
        <v/>
      </c>
      <c r="AP209">
        <f>IF($E209="","",IF(OR($U209=TRUE(),$U209="TRUE"),1,0))</f>
        <v/>
      </c>
      <c r="AQ209">
        <f>IF($E209="","",IF($AD209="Yes",1,0))</f>
        <v/>
      </c>
      <c r="AR209">
        <f>IF($AN209=1,IFERROR(VALUE(MID($E209,2,20)),1000000000)+ROW()/100000,"")</f>
        <v/>
      </c>
    </row>
    <row r="210">
      <c r="G210" s="11" t="n"/>
      <c r="Q210" s="7">
        <f>IF($E210="","",P210*AB210/100)</f>
        <v/>
      </c>
      <c r="R210" s="7" t="n"/>
      <c r="X210" s="7" t="n"/>
      <c r="Y210" s="7">
        <f>IF($E210="","",AB210*AE210/100)</f>
        <v/>
      </c>
      <c r="Z210" s="7">
        <f>IF($E210="","",AB210-Y210)</f>
        <v/>
      </c>
      <c r="AA210" s="7">
        <f>IF($E210="","",Z210-Q210)</f>
        <v/>
      </c>
      <c r="AB210" s="7" t="n"/>
      <c r="AE210">
        <f>IF($E210="","",IF($AQ210=1,0,IF($AP210=1,Settings!$C$6,Settings!$C$7))*100)</f>
        <v/>
      </c>
      <c r="AI210" s="7" t="n"/>
      <c r="AL210" s="11" t="n"/>
      <c r="AN210">
        <f>IF($E210="","",IF(COUNTIF($E$2:$E210,$E210)=1,1,0))</f>
        <v/>
      </c>
      <c r="AO210">
        <f>IF($AN210=1,SUMPRODUCT(--($AR$2:$AR$3001&lt;$AR210))+1,"")</f>
        <v/>
      </c>
      <c r="AP210">
        <f>IF($E210="","",IF(OR($U210=TRUE(),$U210="TRUE"),1,0))</f>
        <v/>
      </c>
      <c r="AQ210">
        <f>IF($E210="","",IF($AD210="Yes",1,0))</f>
        <v/>
      </c>
      <c r="AR210">
        <f>IF($AN210=1,IFERROR(VALUE(MID($E210,2,20)),1000000000)+ROW()/100000,"")</f>
        <v/>
      </c>
    </row>
    <row r="211">
      <c r="G211" s="11" t="n"/>
      <c r="Q211" s="7">
        <f>IF($E211="","",P211*AB211/100)</f>
        <v/>
      </c>
      <c r="R211" s="7" t="n"/>
      <c r="X211" s="7" t="n"/>
      <c r="Y211" s="7">
        <f>IF($E211="","",AB211*AE211/100)</f>
        <v/>
      </c>
      <c r="Z211" s="7">
        <f>IF($E211="","",AB211-Y211)</f>
        <v/>
      </c>
      <c r="AA211" s="7">
        <f>IF($E211="","",Z211-Q211)</f>
        <v/>
      </c>
      <c r="AB211" s="7" t="n"/>
      <c r="AE211">
        <f>IF($E211="","",IF($AQ211=1,0,IF($AP211=1,Settings!$C$6,Settings!$C$7))*100)</f>
        <v/>
      </c>
      <c r="AI211" s="7" t="n"/>
      <c r="AL211" s="11" t="n"/>
      <c r="AN211">
        <f>IF($E211="","",IF(COUNTIF($E$2:$E211,$E211)=1,1,0))</f>
        <v/>
      </c>
      <c r="AO211">
        <f>IF($AN211=1,SUMPRODUCT(--($AR$2:$AR$3001&lt;$AR211))+1,"")</f>
        <v/>
      </c>
      <c r="AP211">
        <f>IF($E211="","",IF(OR($U211=TRUE(),$U211="TRUE"),1,0))</f>
        <v/>
      </c>
      <c r="AQ211">
        <f>IF($E211="","",IF($AD211="Yes",1,0))</f>
        <v/>
      </c>
      <c r="AR211">
        <f>IF($AN211=1,IFERROR(VALUE(MID($E211,2,20)),1000000000)+ROW()/100000,"")</f>
        <v/>
      </c>
    </row>
    <row r="212">
      <c r="G212" s="11" t="n"/>
      <c r="Q212" s="7">
        <f>IF($E212="","",P212*AB212/100)</f>
        <v/>
      </c>
      <c r="R212" s="7" t="n"/>
      <c r="X212" s="7" t="n"/>
      <c r="Y212" s="7">
        <f>IF($E212="","",AB212*AE212/100)</f>
        <v/>
      </c>
      <c r="Z212" s="7">
        <f>IF($E212="","",AB212-Y212)</f>
        <v/>
      </c>
      <c r="AA212" s="7">
        <f>IF($E212="","",Z212-Q212)</f>
        <v/>
      </c>
      <c r="AB212" s="7" t="n"/>
      <c r="AE212">
        <f>IF($E212="","",IF($AQ212=1,0,IF($AP212=1,Settings!$C$6,Settings!$C$7))*100)</f>
        <v/>
      </c>
      <c r="AI212" s="7" t="n"/>
      <c r="AL212" s="11" t="n"/>
      <c r="AN212">
        <f>IF($E212="","",IF(COUNTIF($E$2:$E212,$E212)=1,1,0))</f>
        <v/>
      </c>
      <c r="AO212">
        <f>IF($AN212=1,SUMPRODUCT(--($AR$2:$AR$3001&lt;$AR212))+1,"")</f>
        <v/>
      </c>
      <c r="AP212">
        <f>IF($E212="","",IF(OR($U212=TRUE(),$U212="TRUE"),1,0))</f>
        <v/>
      </c>
      <c r="AQ212">
        <f>IF($E212="","",IF($AD212="Yes",1,0))</f>
        <v/>
      </c>
      <c r="AR212">
        <f>IF($AN212=1,IFERROR(VALUE(MID($E212,2,20)),1000000000)+ROW()/100000,"")</f>
        <v/>
      </c>
    </row>
    <row r="213">
      <c r="G213" s="11" t="n"/>
      <c r="Q213" s="7">
        <f>IF($E213="","",P213*AB213/100)</f>
        <v/>
      </c>
      <c r="R213" s="7" t="n"/>
      <c r="X213" s="7" t="n"/>
      <c r="Y213" s="7">
        <f>IF($E213="","",AB213*AE213/100)</f>
        <v/>
      </c>
      <c r="Z213" s="7">
        <f>IF($E213="","",AB213-Y213)</f>
        <v/>
      </c>
      <c r="AA213" s="7">
        <f>IF($E213="","",Z213-Q213)</f>
        <v/>
      </c>
      <c r="AB213" s="7" t="n"/>
      <c r="AE213">
        <f>IF($E213="","",IF($AQ213=1,0,IF($AP213=1,Settings!$C$6,Settings!$C$7))*100)</f>
        <v/>
      </c>
      <c r="AI213" s="7" t="n"/>
      <c r="AL213" s="11" t="n"/>
      <c r="AN213">
        <f>IF($E213="","",IF(COUNTIF($E$2:$E213,$E213)=1,1,0))</f>
        <v/>
      </c>
      <c r="AO213">
        <f>IF($AN213=1,SUMPRODUCT(--($AR$2:$AR$3001&lt;$AR213))+1,"")</f>
        <v/>
      </c>
      <c r="AP213">
        <f>IF($E213="","",IF(OR($U213=TRUE(),$U213="TRUE"),1,0))</f>
        <v/>
      </c>
      <c r="AQ213">
        <f>IF($E213="","",IF($AD213="Yes",1,0))</f>
        <v/>
      </c>
      <c r="AR213">
        <f>IF($AN213=1,IFERROR(VALUE(MID($E213,2,20)),1000000000)+ROW()/100000,"")</f>
        <v/>
      </c>
    </row>
    <row r="214">
      <c r="G214" s="11" t="n"/>
      <c r="Q214" s="7">
        <f>IF($E214="","",P214*AB214/100)</f>
        <v/>
      </c>
      <c r="R214" s="7" t="n"/>
      <c r="X214" s="7" t="n"/>
      <c r="Y214" s="7">
        <f>IF($E214="","",AB214*AE214/100)</f>
        <v/>
      </c>
      <c r="Z214" s="7">
        <f>IF($E214="","",AB214-Y214)</f>
        <v/>
      </c>
      <c r="AA214" s="7">
        <f>IF($E214="","",Z214-Q214)</f>
        <v/>
      </c>
      <c r="AB214" s="7" t="n"/>
      <c r="AE214">
        <f>IF($E214="","",IF($AQ214=1,0,IF($AP214=1,Settings!$C$6,Settings!$C$7))*100)</f>
        <v/>
      </c>
      <c r="AI214" s="7" t="n"/>
      <c r="AL214" s="11" t="n"/>
      <c r="AN214">
        <f>IF($E214="","",IF(COUNTIF($E$2:$E214,$E214)=1,1,0))</f>
        <v/>
      </c>
      <c r="AO214">
        <f>IF($AN214=1,SUMPRODUCT(--($AR$2:$AR$3001&lt;$AR214))+1,"")</f>
        <v/>
      </c>
      <c r="AP214">
        <f>IF($E214="","",IF(OR($U214=TRUE(),$U214="TRUE"),1,0))</f>
        <v/>
      </c>
      <c r="AQ214">
        <f>IF($E214="","",IF($AD214="Yes",1,0))</f>
        <v/>
      </c>
      <c r="AR214">
        <f>IF($AN214=1,IFERROR(VALUE(MID($E214,2,20)),1000000000)+ROW()/100000,"")</f>
        <v/>
      </c>
    </row>
    <row r="215">
      <c r="G215" s="11" t="n"/>
      <c r="Q215" s="7">
        <f>IF($E215="","",P215*AB215/100)</f>
        <v/>
      </c>
      <c r="R215" s="7" t="n"/>
      <c r="X215" s="7" t="n"/>
      <c r="Y215" s="7">
        <f>IF($E215="","",AB215*AE215/100)</f>
        <v/>
      </c>
      <c r="Z215" s="7">
        <f>IF($E215="","",AB215-Y215)</f>
        <v/>
      </c>
      <c r="AA215" s="7">
        <f>IF($E215="","",Z215-Q215)</f>
        <v/>
      </c>
      <c r="AB215" s="7" t="n"/>
      <c r="AE215">
        <f>IF($E215="","",IF($AQ215=1,0,IF($AP215=1,Settings!$C$6,Settings!$C$7))*100)</f>
        <v/>
      </c>
      <c r="AI215" s="7" t="n"/>
      <c r="AL215" s="11" t="n"/>
      <c r="AN215">
        <f>IF($E215="","",IF(COUNTIF($E$2:$E215,$E215)=1,1,0))</f>
        <v/>
      </c>
      <c r="AO215">
        <f>IF($AN215=1,SUMPRODUCT(--($AR$2:$AR$3001&lt;$AR215))+1,"")</f>
        <v/>
      </c>
      <c r="AP215">
        <f>IF($E215="","",IF(OR($U215=TRUE(),$U215="TRUE"),1,0))</f>
        <v/>
      </c>
      <c r="AQ215">
        <f>IF($E215="","",IF($AD215="Yes",1,0))</f>
        <v/>
      </c>
      <c r="AR215">
        <f>IF($AN215=1,IFERROR(VALUE(MID($E215,2,20)),1000000000)+ROW()/100000,"")</f>
        <v/>
      </c>
    </row>
    <row r="216">
      <c r="G216" s="11" t="n"/>
      <c r="Q216" s="7">
        <f>IF($E216="","",P216*AB216/100)</f>
        <v/>
      </c>
      <c r="R216" s="7" t="n"/>
      <c r="X216" s="7" t="n"/>
      <c r="Y216" s="7">
        <f>IF($E216="","",AB216*AE216/100)</f>
        <v/>
      </c>
      <c r="Z216" s="7">
        <f>IF($E216="","",AB216-Y216)</f>
        <v/>
      </c>
      <c r="AA216" s="7">
        <f>IF($E216="","",Z216-Q216)</f>
        <v/>
      </c>
      <c r="AB216" s="7" t="n"/>
      <c r="AE216">
        <f>IF($E216="","",IF($AQ216=1,0,IF($AP216=1,Settings!$C$6,Settings!$C$7))*100)</f>
        <v/>
      </c>
      <c r="AI216" s="7" t="n"/>
      <c r="AL216" s="11" t="n"/>
      <c r="AN216">
        <f>IF($E216="","",IF(COUNTIF($E$2:$E216,$E216)=1,1,0))</f>
        <v/>
      </c>
      <c r="AO216">
        <f>IF($AN216=1,SUMPRODUCT(--($AR$2:$AR$3001&lt;$AR216))+1,"")</f>
        <v/>
      </c>
      <c r="AP216">
        <f>IF($E216="","",IF(OR($U216=TRUE(),$U216="TRUE"),1,0))</f>
        <v/>
      </c>
      <c r="AQ216">
        <f>IF($E216="","",IF($AD216="Yes",1,0))</f>
        <v/>
      </c>
      <c r="AR216">
        <f>IF($AN216=1,IFERROR(VALUE(MID($E216,2,20)),1000000000)+ROW()/100000,"")</f>
        <v/>
      </c>
    </row>
    <row r="217">
      <c r="G217" s="11" t="n"/>
      <c r="Q217" s="7">
        <f>IF($E217="","",P217*AB217/100)</f>
        <v/>
      </c>
      <c r="R217" s="7" t="n"/>
      <c r="X217" s="7" t="n"/>
      <c r="Y217" s="7">
        <f>IF($E217="","",AB217*AE217/100)</f>
        <v/>
      </c>
      <c r="Z217" s="7">
        <f>IF($E217="","",AB217-Y217)</f>
        <v/>
      </c>
      <c r="AA217" s="7">
        <f>IF($E217="","",Z217-Q217)</f>
        <v/>
      </c>
      <c r="AB217" s="7" t="n"/>
      <c r="AE217">
        <f>IF($E217="","",IF($AQ217=1,0,IF($AP217=1,Settings!$C$6,Settings!$C$7))*100)</f>
        <v/>
      </c>
      <c r="AI217" s="7" t="n"/>
      <c r="AL217" s="11" t="n"/>
      <c r="AN217">
        <f>IF($E217="","",IF(COUNTIF($E$2:$E217,$E217)=1,1,0))</f>
        <v/>
      </c>
      <c r="AO217">
        <f>IF($AN217=1,SUMPRODUCT(--($AR$2:$AR$3001&lt;$AR217))+1,"")</f>
        <v/>
      </c>
      <c r="AP217">
        <f>IF($E217="","",IF(OR($U217=TRUE(),$U217="TRUE"),1,0))</f>
        <v/>
      </c>
      <c r="AQ217">
        <f>IF($E217="","",IF($AD217="Yes",1,0))</f>
        <v/>
      </c>
      <c r="AR217">
        <f>IF($AN217=1,IFERROR(VALUE(MID($E217,2,20)),1000000000)+ROW()/100000,"")</f>
        <v/>
      </c>
    </row>
    <row r="218">
      <c r="G218" s="11" t="n"/>
      <c r="Q218" s="7">
        <f>IF($E218="","",P218*AB218/100)</f>
        <v/>
      </c>
      <c r="R218" s="7" t="n"/>
      <c r="X218" s="7" t="n"/>
      <c r="Y218" s="7">
        <f>IF($E218="","",AB218*AE218/100)</f>
        <v/>
      </c>
      <c r="Z218" s="7">
        <f>IF($E218="","",AB218-Y218)</f>
        <v/>
      </c>
      <c r="AA218" s="7">
        <f>IF($E218="","",Z218-Q218)</f>
        <v/>
      </c>
      <c r="AB218" s="7" t="n"/>
      <c r="AE218">
        <f>IF($E218="","",IF($AQ218=1,0,IF($AP218=1,Settings!$C$6,Settings!$C$7))*100)</f>
        <v/>
      </c>
      <c r="AI218" s="7" t="n"/>
      <c r="AL218" s="11" t="n"/>
      <c r="AN218">
        <f>IF($E218="","",IF(COUNTIF($E$2:$E218,$E218)=1,1,0))</f>
        <v/>
      </c>
      <c r="AO218">
        <f>IF($AN218=1,SUMPRODUCT(--($AR$2:$AR$3001&lt;$AR218))+1,"")</f>
        <v/>
      </c>
      <c r="AP218">
        <f>IF($E218="","",IF(OR($U218=TRUE(),$U218="TRUE"),1,0))</f>
        <v/>
      </c>
      <c r="AQ218">
        <f>IF($E218="","",IF($AD218="Yes",1,0))</f>
        <v/>
      </c>
      <c r="AR218">
        <f>IF($AN218=1,IFERROR(VALUE(MID($E218,2,20)),1000000000)+ROW()/100000,"")</f>
        <v/>
      </c>
    </row>
    <row r="219">
      <c r="G219" s="11" t="n"/>
      <c r="Q219" s="7">
        <f>IF($E219="","",P219*AB219/100)</f>
        <v/>
      </c>
      <c r="R219" s="7" t="n"/>
      <c r="X219" s="7" t="n"/>
      <c r="Y219" s="7">
        <f>IF($E219="","",AB219*AE219/100)</f>
        <v/>
      </c>
      <c r="Z219" s="7">
        <f>IF($E219="","",AB219-Y219)</f>
        <v/>
      </c>
      <c r="AA219" s="7">
        <f>IF($E219="","",Z219-Q219)</f>
        <v/>
      </c>
      <c r="AB219" s="7" t="n"/>
      <c r="AE219">
        <f>IF($E219="","",IF($AQ219=1,0,IF($AP219=1,Settings!$C$6,Settings!$C$7))*100)</f>
        <v/>
      </c>
      <c r="AI219" s="7" t="n"/>
      <c r="AL219" s="11" t="n"/>
      <c r="AN219">
        <f>IF($E219="","",IF(COUNTIF($E$2:$E219,$E219)=1,1,0))</f>
        <v/>
      </c>
      <c r="AO219">
        <f>IF($AN219=1,SUMPRODUCT(--($AR$2:$AR$3001&lt;$AR219))+1,"")</f>
        <v/>
      </c>
      <c r="AP219">
        <f>IF($E219="","",IF(OR($U219=TRUE(),$U219="TRUE"),1,0))</f>
        <v/>
      </c>
      <c r="AQ219">
        <f>IF($E219="","",IF($AD219="Yes",1,0))</f>
        <v/>
      </c>
      <c r="AR219">
        <f>IF($AN219=1,IFERROR(VALUE(MID($E219,2,20)),1000000000)+ROW()/100000,"")</f>
        <v/>
      </c>
    </row>
    <row r="220">
      <c r="G220" s="11" t="n"/>
      <c r="Q220" s="7">
        <f>IF($E220="","",P220*AB220/100)</f>
        <v/>
      </c>
      <c r="R220" s="7" t="n"/>
      <c r="X220" s="7" t="n"/>
      <c r="Y220" s="7">
        <f>IF($E220="","",AB220*AE220/100)</f>
        <v/>
      </c>
      <c r="Z220" s="7">
        <f>IF($E220="","",AB220-Y220)</f>
        <v/>
      </c>
      <c r="AA220" s="7">
        <f>IF($E220="","",Z220-Q220)</f>
        <v/>
      </c>
      <c r="AB220" s="7" t="n"/>
      <c r="AE220">
        <f>IF($E220="","",IF($AQ220=1,0,IF($AP220=1,Settings!$C$6,Settings!$C$7))*100)</f>
        <v/>
      </c>
      <c r="AI220" s="7" t="n"/>
      <c r="AL220" s="11" t="n"/>
      <c r="AN220">
        <f>IF($E220="","",IF(COUNTIF($E$2:$E220,$E220)=1,1,0))</f>
        <v/>
      </c>
      <c r="AO220">
        <f>IF($AN220=1,SUMPRODUCT(--($AR$2:$AR$3001&lt;$AR220))+1,"")</f>
        <v/>
      </c>
      <c r="AP220">
        <f>IF($E220="","",IF(OR($U220=TRUE(),$U220="TRUE"),1,0))</f>
        <v/>
      </c>
      <c r="AQ220">
        <f>IF($E220="","",IF($AD220="Yes",1,0))</f>
        <v/>
      </c>
      <c r="AR220">
        <f>IF($AN220=1,IFERROR(VALUE(MID($E220,2,20)),1000000000)+ROW()/100000,"")</f>
        <v/>
      </c>
    </row>
    <row r="221">
      <c r="G221" s="11" t="n"/>
      <c r="Q221" s="7">
        <f>IF($E221="","",P221*AB221/100)</f>
        <v/>
      </c>
      <c r="R221" s="7" t="n"/>
      <c r="X221" s="7" t="n"/>
      <c r="Y221" s="7">
        <f>IF($E221="","",AB221*AE221/100)</f>
        <v/>
      </c>
      <c r="Z221" s="7">
        <f>IF($E221="","",AB221-Y221)</f>
        <v/>
      </c>
      <c r="AA221" s="7">
        <f>IF($E221="","",Z221-Q221)</f>
        <v/>
      </c>
      <c r="AB221" s="7" t="n"/>
      <c r="AE221">
        <f>IF($E221="","",IF($AQ221=1,0,IF($AP221=1,Settings!$C$6,Settings!$C$7))*100)</f>
        <v/>
      </c>
      <c r="AI221" s="7" t="n"/>
      <c r="AL221" s="11" t="n"/>
      <c r="AN221">
        <f>IF($E221="","",IF(COUNTIF($E$2:$E221,$E221)=1,1,0))</f>
        <v/>
      </c>
      <c r="AO221">
        <f>IF($AN221=1,SUMPRODUCT(--($AR$2:$AR$3001&lt;$AR221))+1,"")</f>
        <v/>
      </c>
      <c r="AP221">
        <f>IF($E221="","",IF(OR($U221=TRUE(),$U221="TRUE"),1,0))</f>
        <v/>
      </c>
      <c r="AQ221">
        <f>IF($E221="","",IF($AD221="Yes",1,0))</f>
        <v/>
      </c>
      <c r="AR221">
        <f>IF($AN221=1,IFERROR(VALUE(MID($E221,2,20)),1000000000)+ROW()/100000,"")</f>
        <v/>
      </c>
    </row>
    <row r="222">
      <c r="G222" s="11" t="n"/>
      <c r="Q222" s="7">
        <f>IF($E222="","",P222*AB222/100)</f>
        <v/>
      </c>
      <c r="R222" s="7" t="n"/>
      <c r="X222" s="7" t="n"/>
      <c r="Y222" s="7">
        <f>IF($E222="","",AB222*AE222/100)</f>
        <v/>
      </c>
      <c r="Z222" s="7">
        <f>IF($E222="","",AB222-Y222)</f>
        <v/>
      </c>
      <c r="AA222" s="7">
        <f>IF($E222="","",Z222-Q222)</f>
        <v/>
      </c>
      <c r="AB222" s="7" t="n"/>
      <c r="AE222">
        <f>IF($E222="","",IF($AQ222=1,0,IF($AP222=1,Settings!$C$6,Settings!$C$7))*100)</f>
        <v/>
      </c>
      <c r="AI222" s="7" t="n"/>
      <c r="AL222" s="11" t="n"/>
      <c r="AN222">
        <f>IF($E222="","",IF(COUNTIF($E$2:$E222,$E222)=1,1,0))</f>
        <v/>
      </c>
      <c r="AO222">
        <f>IF($AN222=1,SUMPRODUCT(--($AR$2:$AR$3001&lt;$AR222))+1,"")</f>
        <v/>
      </c>
      <c r="AP222">
        <f>IF($E222="","",IF(OR($U222=TRUE(),$U222="TRUE"),1,0))</f>
        <v/>
      </c>
      <c r="AQ222">
        <f>IF($E222="","",IF($AD222="Yes",1,0))</f>
        <v/>
      </c>
      <c r="AR222">
        <f>IF($AN222=1,IFERROR(VALUE(MID($E222,2,20)),1000000000)+ROW()/100000,"")</f>
        <v/>
      </c>
    </row>
    <row r="223">
      <c r="G223" s="11" t="n"/>
      <c r="Q223" s="7">
        <f>IF($E223="","",P223*AB223/100)</f>
        <v/>
      </c>
      <c r="R223" s="7" t="n"/>
      <c r="X223" s="7" t="n"/>
      <c r="Y223" s="7">
        <f>IF($E223="","",AB223*AE223/100)</f>
        <v/>
      </c>
      <c r="Z223" s="7">
        <f>IF($E223="","",AB223-Y223)</f>
        <v/>
      </c>
      <c r="AA223" s="7">
        <f>IF($E223="","",Z223-Q223)</f>
        <v/>
      </c>
      <c r="AB223" s="7" t="n"/>
      <c r="AE223">
        <f>IF($E223="","",IF($AQ223=1,0,IF($AP223=1,Settings!$C$6,Settings!$C$7))*100)</f>
        <v/>
      </c>
      <c r="AI223" s="7" t="n"/>
      <c r="AL223" s="11" t="n"/>
      <c r="AN223">
        <f>IF($E223="","",IF(COUNTIF($E$2:$E223,$E223)=1,1,0))</f>
        <v/>
      </c>
      <c r="AO223">
        <f>IF($AN223=1,SUMPRODUCT(--($AR$2:$AR$3001&lt;$AR223))+1,"")</f>
        <v/>
      </c>
      <c r="AP223">
        <f>IF($E223="","",IF(OR($U223=TRUE(),$U223="TRUE"),1,0))</f>
        <v/>
      </c>
      <c r="AQ223">
        <f>IF($E223="","",IF($AD223="Yes",1,0))</f>
        <v/>
      </c>
      <c r="AR223">
        <f>IF($AN223=1,IFERROR(VALUE(MID($E223,2,20)),1000000000)+ROW()/100000,"")</f>
        <v/>
      </c>
    </row>
    <row r="224">
      <c r="G224" s="11" t="n"/>
      <c r="Q224" s="7">
        <f>IF($E224="","",P224*AB224/100)</f>
        <v/>
      </c>
      <c r="R224" s="7" t="n"/>
      <c r="X224" s="7" t="n"/>
      <c r="Y224" s="7">
        <f>IF($E224="","",AB224*AE224/100)</f>
        <v/>
      </c>
      <c r="Z224" s="7">
        <f>IF($E224="","",AB224-Y224)</f>
        <v/>
      </c>
      <c r="AA224" s="7">
        <f>IF($E224="","",Z224-Q224)</f>
        <v/>
      </c>
      <c r="AB224" s="7" t="n"/>
      <c r="AE224">
        <f>IF($E224="","",IF($AQ224=1,0,IF($AP224=1,Settings!$C$6,Settings!$C$7))*100)</f>
        <v/>
      </c>
      <c r="AI224" s="7" t="n"/>
      <c r="AL224" s="11" t="n"/>
      <c r="AN224">
        <f>IF($E224="","",IF(COUNTIF($E$2:$E224,$E224)=1,1,0))</f>
        <v/>
      </c>
      <c r="AO224">
        <f>IF($AN224=1,SUMPRODUCT(--($AR$2:$AR$3001&lt;$AR224))+1,"")</f>
        <v/>
      </c>
      <c r="AP224">
        <f>IF($E224="","",IF(OR($U224=TRUE(),$U224="TRUE"),1,0))</f>
        <v/>
      </c>
      <c r="AQ224">
        <f>IF($E224="","",IF($AD224="Yes",1,0))</f>
        <v/>
      </c>
      <c r="AR224">
        <f>IF($AN224=1,IFERROR(VALUE(MID($E224,2,20)),1000000000)+ROW()/100000,"")</f>
        <v/>
      </c>
    </row>
    <row r="225">
      <c r="G225" s="11" t="n"/>
      <c r="Q225" s="7">
        <f>IF($E225="","",P225*AB225/100)</f>
        <v/>
      </c>
      <c r="R225" s="7" t="n"/>
      <c r="X225" s="7" t="n"/>
      <c r="Y225" s="7">
        <f>IF($E225="","",AB225*AE225/100)</f>
        <v/>
      </c>
      <c r="Z225" s="7">
        <f>IF($E225="","",AB225-Y225)</f>
        <v/>
      </c>
      <c r="AA225" s="7">
        <f>IF($E225="","",Z225-Q225)</f>
        <v/>
      </c>
      <c r="AB225" s="7" t="n"/>
      <c r="AE225">
        <f>IF($E225="","",IF($AQ225=1,0,IF($AP225=1,Settings!$C$6,Settings!$C$7))*100)</f>
        <v/>
      </c>
      <c r="AI225" s="7" t="n"/>
      <c r="AL225" s="11" t="n"/>
      <c r="AN225">
        <f>IF($E225="","",IF(COUNTIF($E$2:$E225,$E225)=1,1,0))</f>
        <v/>
      </c>
      <c r="AO225">
        <f>IF($AN225=1,SUMPRODUCT(--($AR$2:$AR$3001&lt;$AR225))+1,"")</f>
        <v/>
      </c>
      <c r="AP225">
        <f>IF($E225="","",IF(OR($U225=TRUE(),$U225="TRUE"),1,0))</f>
        <v/>
      </c>
      <c r="AQ225">
        <f>IF($E225="","",IF($AD225="Yes",1,0))</f>
        <v/>
      </c>
      <c r="AR225">
        <f>IF($AN225=1,IFERROR(VALUE(MID($E225,2,20)),1000000000)+ROW()/100000,"")</f>
        <v/>
      </c>
    </row>
    <row r="226">
      <c r="G226" s="11" t="n"/>
      <c r="Q226" s="7">
        <f>IF($E226="","",P226*AB226/100)</f>
        <v/>
      </c>
      <c r="R226" s="7" t="n"/>
      <c r="X226" s="7" t="n"/>
      <c r="Y226" s="7">
        <f>IF($E226="","",AB226*AE226/100)</f>
        <v/>
      </c>
      <c r="Z226" s="7">
        <f>IF($E226="","",AB226-Y226)</f>
        <v/>
      </c>
      <c r="AA226" s="7">
        <f>IF($E226="","",Z226-Q226)</f>
        <v/>
      </c>
      <c r="AB226" s="7" t="n"/>
      <c r="AE226">
        <f>IF($E226="","",IF($AQ226=1,0,IF($AP226=1,Settings!$C$6,Settings!$C$7))*100)</f>
        <v/>
      </c>
      <c r="AI226" s="7" t="n"/>
      <c r="AL226" s="11" t="n"/>
      <c r="AN226">
        <f>IF($E226="","",IF(COUNTIF($E$2:$E226,$E226)=1,1,0))</f>
        <v/>
      </c>
      <c r="AO226">
        <f>IF($AN226=1,SUMPRODUCT(--($AR$2:$AR$3001&lt;$AR226))+1,"")</f>
        <v/>
      </c>
      <c r="AP226">
        <f>IF($E226="","",IF(OR($U226=TRUE(),$U226="TRUE"),1,0))</f>
        <v/>
      </c>
      <c r="AQ226">
        <f>IF($E226="","",IF($AD226="Yes",1,0))</f>
        <v/>
      </c>
      <c r="AR226">
        <f>IF($AN226=1,IFERROR(VALUE(MID($E226,2,20)),1000000000)+ROW()/100000,"")</f>
        <v/>
      </c>
    </row>
    <row r="227">
      <c r="G227" s="11" t="n"/>
      <c r="Q227" s="7">
        <f>IF($E227="","",P227*AB227/100)</f>
        <v/>
      </c>
      <c r="R227" s="7" t="n"/>
      <c r="X227" s="7" t="n"/>
      <c r="Y227" s="7">
        <f>IF($E227="","",AB227*AE227/100)</f>
        <v/>
      </c>
      <c r="Z227" s="7">
        <f>IF($E227="","",AB227-Y227)</f>
        <v/>
      </c>
      <c r="AA227" s="7">
        <f>IF($E227="","",Z227-Q227)</f>
        <v/>
      </c>
      <c r="AB227" s="7" t="n"/>
      <c r="AE227">
        <f>IF($E227="","",IF($AQ227=1,0,IF($AP227=1,Settings!$C$6,Settings!$C$7))*100)</f>
        <v/>
      </c>
      <c r="AI227" s="7" t="n"/>
      <c r="AL227" s="11" t="n"/>
      <c r="AN227">
        <f>IF($E227="","",IF(COUNTIF($E$2:$E227,$E227)=1,1,0))</f>
        <v/>
      </c>
      <c r="AO227">
        <f>IF($AN227=1,SUMPRODUCT(--($AR$2:$AR$3001&lt;$AR227))+1,"")</f>
        <v/>
      </c>
      <c r="AP227">
        <f>IF($E227="","",IF(OR($U227=TRUE(),$U227="TRUE"),1,0))</f>
        <v/>
      </c>
      <c r="AQ227">
        <f>IF($E227="","",IF($AD227="Yes",1,0))</f>
        <v/>
      </c>
      <c r="AR227">
        <f>IF($AN227=1,IFERROR(VALUE(MID($E227,2,20)),1000000000)+ROW()/100000,"")</f>
        <v/>
      </c>
    </row>
    <row r="228">
      <c r="G228" s="11" t="n"/>
      <c r="Q228" s="7">
        <f>IF($E228="","",P228*AB228/100)</f>
        <v/>
      </c>
      <c r="R228" s="7" t="n"/>
      <c r="X228" s="7" t="n"/>
      <c r="Y228" s="7">
        <f>IF($E228="","",AB228*AE228/100)</f>
        <v/>
      </c>
      <c r="Z228" s="7">
        <f>IF($E228="","",AB228-Y228)</f>
        <v/>
      </c>
      <c r="AA228" s="7">
        <f>IF($E228="","",Z228-Q228)</f>
        <v/>
      </c>
      <c r="AB228" s="7" t="n"/>
      <c r="AE228">
        <f>IF($E228="","",IF($AQ228=1,0,IF($AP228=1,Settings!$C$6,Settings!$C$7))*100)</f>
        <v/>
      </c>
      <c r="AI228" s="7" t="n"/>
      <c r="AL228" s="11" t="n"/>
      <c r="AN228">
        <f>IF($E228="","",IF(COUNTIF($E$2:$E228,$E228)=1,1,0))</f>
        <v/>
      </c>
      <c r="AO228">
        <f>IF($AN228=1,SUMPRODUCT(--($AR$2:$AR$3001&lt;$AR228))+1,"")</f>
        <v/>
      </c>
      <c r="AP228">
        <f>IF($E228="","",IF(OR($U228=TRUE(),$U228="TRUE"),1,0))</f>
        <v/>
      </c>
      <c r="AQ228">
        <f>IF($E228="","",IF($AD228="Yes",1,0))</f>
        <v/>
      </c>
      <c r="AR228">
        <f>IF($AN228=1,IFERROR(VALUE(MID($E228,2,20)),1000000000)+ROW()/100000,"")</f>
        <v/>
      </c>
    </row>
    <row r="229">
      <c r="G229" s="11" t="n"/>
      <c r="Q229" s="7">
        <f>IF($E229="","",P229*AB229/100)</f>
        <v/>
      </c>
      <c r="R229" s="7" t="n"/>
      <c r="X229" s="7" t="n"/>
      <c r="Y229" s="7">
        <f>IF($E229="","",AB229*AE229/100)</f>
        <v/>
      </c>
      <c r="Z229" s="7">
        <f>IF($E229="","",AB229-Y229)</f>
        <v/>
      </c>
      <c r="AA229" s="7">
        <f>IF($E229="","",Z229-Q229)</f>
        <v/>
      </c>
      <c r="AB229" s="7" t="n"/>
      <c r="AE229">
        <f>IF($E229="","",IF($AQ229=1,0,IF($AP229=1,Settings!$C$6,Settings!$C$7))*100)</f>
        <v/>
      </c>
      <c r="AI229" s="7" t="n"/>
      <c r="AL229" s="11" t="n"/>
      <c r="AN229">
        <f>IF($E229="","",IF(COUNTIF($E$2:$E229,$E229)=1,1,0))</f>
        <v/>
      </c>
      <c r="AO229">
        <f>IF($AN229=1,SUMPRODUCT(--($AR$2:$AR$3001&lt;$AR229))+1,"")</f>
        <v/>
      </c>
      <c r="AP229">
        <f>IF($E229="","",IF(OR($U229=TRUE(),$U229="TRUE"),1,0))</f>
        <v/>
      </c>
      <c r="AQ229">
        <f>IF($E229="","",IF($AD229="Yes",1,0))</f>
        <v/>
      </c>
      <c r="AR229">
        <f>IF($AN229=1,IFERROR(VALUE(MID($E229,2,20)),1000000000)+ROW()/100000,"")</f>
        <v/>
      </c>
    </row>
    <row r="230">
      <c r="G230" s="11" t="n"/>
      <c r="Q230" s="7">
        <f>IF($E230="","",P230*AB230/100)</f>
        <v/>
      </c>
      <c r="R230" s="7" t="n"/>
      <c r="X230" s="7" t="n"/>
      <c r="Y230" s="7">
        <f>IF($E230="","",AB230*AE230/100)</f>
        <v/>
      </c>
      <c r="Z230" s="7">
        <f>IF($E230="","",AB230-Y230)</f>
        <v/>
      </c>
      <c r="AA230" s="7">
        <f>IF($E230="","",Z230-Q230)</f>
        <v/>
      </c>
      <c r="AB230" s="7" t="n"/>
      <c r="AE230">
        <f>IF($E230="","",IF($AQ230=1,0,IF($AP230=1,Settings!$C$6,Settings!$C$7))*100)</f>
        <v/>
      </c>
      <c r="AI230" s="7" t="n"/>
      <c r="AL230" s="11" t="n"/>
      <c r="AN230">
        <f>IF($E230="","",IF(COUNTIF($E$2:$E230,$E230)=1,1,0))</f>
        <v/>
      </c>
      <c r="AO230">
        <f>IF($AN230=1,SUMPRODUCT(--($AR$2:$AR$3001&lt;$AR230))+1,"")</f>
        <v/>
      </c>
      <c r="AP230">
        <f>IF($E230="","",IF(OR($U230=TRUE(),$U230="TRUE"),1,0))</f>
        <v/>
      </c>
      <c r="AQ230">
        <f>IF($E230="","",IF($AD230="Yes",1,0))</f>
        <v/>
      </c>
      <c r="AR230">
        <f>IF($AN230=1,IFERROR(VALUE(MID($E230,2,20)),1000000000)+ROW()/100000,"")</f>
        <v/>
      </c>
    </row>
    <row r="231">
      <c r="G231" s="11" t="n"/>
      <c r="Q231" s="7">
        <f>IF($E231="","",P231*AB231/100)</f>
        <v/>
      </c>
      <c r="R231" s="7" t="n"/>
      <c r="X231" s="7" t="n"/>
      <c r="Y231" s="7">
        <f>IF($E231="","",AB231*AE231/100)</f>
        <v/>
      </c>
      <c r="Z231" s="7">
        <f>IF($E231="","",AB231-Y231)</f>
        <v/>
      </c>
      <c r="AA231" s="7">
        <f>IF($E231="","",Z231-Q231)</f>
        <v/>
      </c>
      <c r="AB231" s="7" t="n"/>
      <c r="AE231">
        <f>IF($E231="","",IF($AQ231=1,0,IF($AP231=1,Settings!$C$6,Settings!$C$7))*100)</f>
        <v/>
      </c>
      <c r="AI231" s="7" t="n"/>
      <c r="AL231" s="11" t="n"/>
      <c r="AN231">
        <f>IF($E231="","",IF(COUNTIF($E$2:$E231,$E231)=1,1,0))</f>
        <v/>
      </c>
      <c r="AO231">
        <f>IF($AN231=1,SUMPRODUCT(--($AR$2:$AR$3001&lt;$AR231))+1,"")</f>
        <v/>
      </c>
      <c r="AP231">
        <f>IF($E231="","",IF(OR($U231=TRUE(),$U231="TRUE"),1,0))</f>
        <v/>
      </c>
      <c r="AQ231">
        <f>IF($E231="","",IF($AD231="Yes",1,0))</f>
        <v/>
      </c>
      <c r="AR231">
        <f>IF($AN231=1,IFERROR(VALUE(MID($E231,2,20)),1000000000)+ROW()/100000,"")</f>
        <v/>
      </c>
    </row>
    <row r="232">
      <c r="G232" s="11" t="n"/>
      <c r="Q232" s="7">
        <f>IF($E232="","",P232*AB232/100)</f>
        <v/>
      </c>
      <c r="R232" s="7" t="n"/>
      <c r="X232" s="7" t="n"/>
      <c r="Y232" s="7">
        <f>IF($E232="","",AB232*AE232/100)</f>
        <v/>
      </c>
      <c r="Z232" s="7">
        <f>IF($E232="","",AB232-Y232)</f>
        <v/>
      </c>
      <c r="AA232" s="7">
        <f>IF($E232="","",Z232-Q232)</f>
        <v/>
      </c>
      <c r="AB232" s="7" t="n"/>
      <c r="AE232">
        <f>IF($E232="","",IF($AQ232=1,0,IF($AP232=1,Settings!$C$6,Settings!$C$7))*100)</f>
        <v/>
      </c>
      <c r="AI232" s="7" t="n"/>
      <c r="AL232" s="11" t="n"/>
      <c r="AN232">
        <f>IF($E232="","",IF(COUNTIF($E$2:$E232,$E232)=1,1,0))</f>
        <v/>
      </c>
      <c r="AO232">
        <f>IF($AN232=1,SUMPRODUCT(--($AR$2:$AR$3001&lt;$AR232))+1,"")</f>
        <v/>
      </c>
      <c r="AP232">
        <f>IF($E232="","",IF(OR($U232=TRUE(),$U232="TRUE"),1,0))</f>
        <v/>
      </c>
      <c r="AQ232">
        <f>IF($E232="","",IF($AD232="Yes",1,0))</f>
        <v/>
      </c>
      <c r="AR232">
        <f>IF($AN232=1,IFERROR(VALUE(MID($E232,2,20)),1000000000)+ROW()/100000,"")</f>
        <v/>
      </c>
    </row>
    <row r="233">
      <c r="G233" s="11" t="n"/>
      <c r="Q233" s="7">
        <f>IF($E233="","",P233*AB233/100)</f>
        <v/>
      </c>
      <c r="R233" s="7" t="n"/>
      <c r="X233" s="7" t="n"/>
      <c r="Y233" s="7">
        <f>IF($E233="","",AB233*AE233/100)</f>
        <v/>
      </c>
      <c r="Z233" s="7">
        <f>IF($E233="","",AB233-Y233)</f>
        <v/>
      </c>
      <c r="AA233" s="7">
        <f>IF($E233="","",Z233-Q233)</f>
        <v/>
      </c>
      <c r="AB233" s="7" t="n"/>
      <c r="AE233">
        <f>IF($E233="","",IF($AQ233=1,0,IF($AP233=1,Settings!$C$6,Settings!$C$7))*100)</f>
        <v/>
      </c>
      <c r="AI233" s="7" t="n"/>
      <c r="AL233" s="11" t="n"/>
      <c r="AN233">
        <f>IF($E233="","",IF(COUNTIF($E$2:$E233,$E233)=1,1,0))</f>
        <v/>
      </c>
      <c r="AO233">
        <f>IF($AN233=1,SUMPRODUCT(--($AR$2:$AR$3001&lt;$AR233))+1,"")</f>
        <v/>
      </c>
      <c r="AP233">
        <f>IF($E233="","",IF(OR($U233=TRUE(),$U233="TRUE"),1,0))</f>
        <v/>
      </c>
      <c r="AQ233">
        <f>IF($E233="","",IF($AD233="Yes",1,0))</f>
        <v/>
      </c>
      <c r="AR233">
        <f>IF($AN233=1,IFERROR(VALUE(MID($E233,2,20)),1000000000)+ROW()/100000,"")</f>
        <v/>
      </c>
    </row>
    <row r="234">
      <c r="G234" s="11" t="n"/>
      <c r="Q234" s="7">
        <f>IF($E234="","",P234*AB234/100)</f>
        <v/>
      </c>
      <c r="R234" s="7" t="n"/>
      <c r="X234" s="7" t="n"/>
      <c r="Y234" s="7">
        <f>IF($E234="","",AB234*AE234/100)</f>
        <v/>
      </c>
      <c r="Z234" s="7">
        <f>IF($E234="","",AB234-Y234)</f>
        <v/>
      </c>
      <c r="AA234" s="7">
        <f>IF($E234="","",Z234-Q234)</f>
        <v/>
      </c>
      <c r="AB234" s="7" t="n"/>
      <c r="AE234">
        <f>IF($E234="","",IF($AQ234=1,0,IF($AP234=1,Settings!$C$6,Settings!$C$7))*100)</f>
        <v/>
      </c>
      <c r="AI234" s="7" t="n"/>
      <c r="AL234" s="11" t="n"/>
      <c r="AN234">
        <f>IF($E234="","",IF(COUNTIF($E$2:$E234,$E234)=1,1,0))</f>
        <v/>
      </c>
      <c r="AO234">
        <f>IF($AN234=1,SUMPRODUCT(--($AR$2:$AR$3001&lt;$AR234))+1,"")</f>
        <v/>
      </c>
      <c r="AP234">
        <f>IF($E234="","",IF(OR($U234=TRUE(),$U234="TRUE"),1,0))</f>
        <v/>
      </c>
      <c r="AQ234">
        <f>IF($E234="","",IF($AD234="Yes",1,0))</f>
        <v/>
      </c>
      <c r="AR234">
        <f>IF($AN234=1,IFERROR(VALUE(MID($E234,2,20)),1000000000)+ROW()/100000,"")</f>
        <v/>
      </c>
    </row>
    <row r="235">
      <c r="G235" s="11" t="n"/>
      <c r="Q235" s="7">
        <f>IF($E235="","",P235*AB235/100)</f>
        <v/>
      </c>
      <c r="R235" s="7" t="n"/>
      <c r="X235" s="7" t="n"/>
      <c r="Y235" s="7">
        <f>IF($E235="","",AB235*AE235/100)</f>
        <v/>
      </c>
      <c r="Z235" s="7">
        <f>IF($E235="","",AB235-Y235)</f>
        <v/>
      </c>
      <c r="AA235" s="7">
        <f>IF($E235="","",Z235-Q235)</f>
        <v/>
      </c>
      <c r="AB235" s="7" t="n"/>
      <c r="AE235">
        <f>IF($E235="","",IF($AQ235=1,0,IF($AP235=1,Settings!$C$6,Settings!$C$7))*100)</f>
        <v/>
      </c>
      <c r="AI235" s="7" t="n"/>
      <c r="AL235" s="11" t="n"/>
      <c r="AN235">
        <f>IF($E235="","",IF(COUNTIF($E$2:$E235,$E235)=1,1,0))</f>
        <v/>
      </c>
      <c r="AO235">
        <f>IF($AN235=1,SUMPRODUCT(--($AR$2:$AR$3001&lt;$AR235))+1,"")</f>
        <v/>
      </c>
      <c r="AP235">
        <f>IF($E235="","",IF(OR($U235=TRUE(),$U235="TRUE"),1,0))</f>
        <v/>
      </c>
      <c r="AQ235">
        <f>IF($E235="","",IF($AD235="Yes",1,0))</f>
        <v/>
      </c>
      <c r="AR235">
        <f>IF($AN235=1,IFERROR(VALUE(MID($E235,2,20)),1000000000)+ROW()/100000,"")</f>
        <v/>
      </c>
    </row>
    <row r="236">
      <c r="G236" s="11" t="n"/>
      <c r="Q236" s="7">
        <f>IF($E236="","",P236*AB236/100)</f>
        <v/>
      </c>
      <c r="R236" s="7" t="n"/>
      <c r="X236" s="7" t="n"/>
      <c r="Y236" s="7">
        <f>IF($E236="","",AB236*AE236/100)</f>
        <v/>
      </c>
      <c r="Z236" s="7">
        <f>IF($E236="","",AB236-Y236)</f>
        <v/>
      </c>
      <c r="AA236" s="7">
        <f>IF($E236="","",Z236-Q236)</f>
        <v/>
      </c>
      <c r="AB236" s="7" t="n"/>
      <c r="AE236">
        <f>IF($E236="","",IF($AQ236=1,0,IF($AP236=1,Settings!$C$6,Settings!$C$7))*100)</f>
        <v/>
      </c>
      <c r="AI236" s="7" t="n"/>
      <c r="AL236" s="11" t="n"/>
      <c r="AN236">
        <f>IF($E236="","",IF(COUNTIF($E$2:$E236,$E236)=1,1,0))</f>
        <v/>
      </c>
      <c r="AO236">
        <f>IF($AN236=1,SUMPRODUCT(--($AR$2:$AR$3001&lt;$AR236))+1,"")</f>
        <v/>
      </c>
      <c r="AP236">
        <f>IF($E236="","",IF(OR($U236=TRUE(),$U236="TRUE"),1,0))</f>
        <v/>
      </c>
      <c r="AQ236">
        <f>IF($E236="","",IF($AD236="Yes",1,0))</f>
        <v/>
      </c>
      <c r="AR236">
        <f>IF($AN236=1,IFERROR(VALUE(MID($E236,2,20)),1000000000)+ROW()/100000,"")</f>
        <v/>
      </c>
    </row>
    <row r="237">
      <c r="G237" s="11" t="n"/>
      <c r="Q237" s="7">
        <f>IF($E237="","",P237*AB237/100)</f>
        <v/>
      </c>
      <c r="R237" s="7" t="n"/>
      <c r="X237" s="7" t="n"/>
      <c r="Y237" s="7">
        <f>IF($E237="","",AB237*AE237/100)</f>
        <v/>
      </c>
      <c r="Z237" s="7">
        <f>IF($E237="","",AB237-Y237)</f>
        <v/>
      </c>
      <c r="AA237" s="7">
        <f>IF($E237="","",Z237-Q237)</f>
        <v/>
      </c>
      <c r="AB237" s="7" t="n"/>
      <c r="AE237">
        <f>IF($E237="","",IF($AQ237=1,0,IF($AP237=1,Settings!$C$6,Settings!$C$7))*100)</f>
        <v/>
      </c>
      <c r="AI237" s="7" t="n"/>
      <c r="AL237" s="11" t="n"/>
      <c r="AN237">
        <f>IF($E237="","",IF(COUNTIF($E$2:$E237,$E237)=1,1,0))</f>
        <v/>
      </c>
      <c r="AO237">
        <f>IF($AN237=1,SUMPRODUCT(--($AR$2:$AR$3001&lt;$AR237))+1,"")</f>
        <v/>
      </c>
      <c r="AP237">
        <f>IF($E237="","",IF(OR($U237=TRUE(),$U237="TRUE"),1,0))</f>
        <v/>
      </c>
      <c r="AQ237">
        <f>IF($E237="","",IF($AD237="Yes",1,0))</f>
        <v/>
      </c>
      <c r="AR237">
        <f>IF($AN237=1,IFERROR(VALUE(MID($E237,2,20)),1000000000)+ROW()/100000,"")</f>
        <v/>
      </c>
    </row>
    <row r="238">
      <c r="G238" s="11" t="n"/>
      <c r="Q238" s="7">
        <f>IF($E238="","",P238*AB238/100)</f>
        <v/>
      </c>
      <c r="R238" s="7" t="n"/>
      <c r="X238" s="7" t="n"/>
      <c r="Y238" s="7">
        <f>IF($E238="","",AB238*AE238/100)</f>
        <v/>
      </c>
      <c r="Z238" s="7">
        <f>IF($E238="","",AB238-Y238)</f>
        <v/>
      </c>
      <c r="AA238" s="7">
        <f>IF($E238="","",Z238-Q238)</f>
        <v/>
      </c>
      <c r="AB238" s="7" t="n"/>
      <c r="AE238">
        <f>IF($E238="","",IF($AQ238=1,0,IF($AP238=1,Settings!$C$6,Settings!$C$7))*100)</f>
        <v/>
      </c>
      <c r="AI238" s="7" t="n"/>
      <c r="AL238" s="11" t="n"/>
      <c r="AN238">
        <f>IF($E238="","",IF(COUNTIF($E$2:$E238,$E238)=1,1,0))</f>
        <v/>
      </c>
      <c r="AO238">
        <f>IF($AN238=1,SUMPRODUCT(--($AR$2:$AR$3001&lt;$AR238))+1,"")</f>
        <v/>
      </c>
      <c r="AP238">
        <f>IF($E238="","",IF(OR($U238=TRUE(),$U238="TRUE"),1,0))</f>
        <v/>
      </c>
      <c r="AQ238">
        <f>IF($E238="","",IF($AD238="Yes",1,0))</f>
        <v/>
      </c>
      <c r="AR238">
        <f>IF($AN238=1,IFERROR(VALUE(MID($E238,2,20)),1000000000)+ROW()/100000,"")</f>
        <v/>
      </c>
    </row>
    <row r="239">
      <c r="G239" s="11" t="n"/>
      <c r="Q239" s="7">
        <f>IF($E239="","",P239*AB239/100)</f>
        <v/>
      </c>
      <c r="R239" s="7" t="n"/>
      <c r="X239" s="7" t="n"/>
      <c r="Y239" s="7">
        <f>IF($E239="","",AB239*AE239/100)</f>
        <v/>
      </c>
      <c r="Z239" s="7">
        <f>IF($E239="","",AB239-Y239)</f>
        <v/>
      </c>
      <c r="AA239" s="7">
        <f>IF($E239="","",Z239-Q239)</f>
        <v/>
      </c>
      <c r="AB239" s="7" t="n"/>
      <c r="AE239">
        <f>IF($E239="","",IF($AQ239=1,0,IF($AP239=1,Settings!$C$6,Settings!$C$7))*100)</f>
        <v/>
      </c>
      <c r="AI239" s="7" t="n"/>
      <c r="AL239" s="11" t="n"/>
      <c r="AN239">
        <f>IF($E239="","",IF(COUNTIF($E$2:$E239,$E239)=1,1,0))</f>
        <v/>
      </c>
      <c r="AO239">
        <f>IF($AN239=1,SUMPRODUCT(--($AR$2:$AR$3001&lt;$AR239))+1,"")</f>
        <v/>
      </c>
      <c r="AP239">
        <f>IF($E239="","",IF(OR($U239=TRUE(),$U239="TRUE"),1,0))</f>
        <v/>
      </c>
      <c r="AQ239">
        <f>IF($E239="","",IF($AD239="Yes",1,0))</f>
        <v/>
      </c>
      <c r="AR239">
        <f>IF($AN239=1,IFERROR(VALUE(MID($E239,2,20)),1000000000)+ROW()/100000,"")</f>
        <v/>
      </c>
    </row>
    <row r="240">
      <c r="G240" s="11" t="n"/>
      <c r="Q240" s="7">
        <f>IF($E240="","",P240*AB240/100)</f>
        <v/>
      </c>
      <c r="R240" s="7" t="n"/>
      <c r="X240" s="7" t="n"/>
      <c r="Y240" s="7">
        <f>IF($E240="","",AB240*AE240/100)</f>
        <v/>
      </c>
      <c r="Z240" s="7">
        <f>IF($E240="","",AB240-Y240)</f>
        <v/>
      </c>
      <c r="AA240" s="7">
        <f>IF($E240="","",Z240-Q240)</f>
        <v/>
      </c>
      <c r="AB240" s="7" t="n"/>
      <c r="AE240">
        <f>IF($E240="","",IF($AQ240=1,0,IF($AP240=1,Settings!$C$6,Settings!$C$7))*100)</f>
        <v/>
      </c>
      <c r="AI240" s="7" t="n"/>
      <c r="AL240" s="11" t="n"/>
      <c r="AN240">
        <f>IF($E240="","",IF(COUNTIF($E$2:$E240,$E240)=1,1,0))</f>
        <v/>
      </c>
      <c r="AO240">
        <f>IF($AN240=1,SUMPRODUCT(--($AR$2:$AR$3001&lt;$AR240))+1,"")</f>
        <v/>
      </c>
      <c r="AP240">
        <f>IF($E240="","",IF(OR($U240=TRUE(),$U240="TRUE"),1,0))</f>
        <v/>
      </c>
      <c r="AQ240">
        <f>IF($E240="","",IF($AD240="Yes",1,0))</f>
        <v/>
      </c>
      <c r="AR240">
        <f>IF($AN240=1,IFERROR(VALUE(MID($E240,2,20)),1000000000)+ROW()/100000,"")</f>
        <v/>
      </c>
    </row>
    <row r="241">
      <c r="G241" s="11" t="n"/>
      <c r="Q241" s="7">
        <f>IF($E241="","",P241*AB241/100)</f>
        <v/>
      </c>
      <c r="R241" s="7" t="n"/>
      <c r="X241" s="7" t="n"/>
      <c r="Y241" s="7">
        <f>IF($E241="","",AB241*AE241/100)</f>
        <v/>
      </c>
      <c r="Z241" s="7">
        <f>IF($E241="","",AB241-Y241)</f>
        <v/>
      </c>
      <c r="AA241" s="7">
        <f>IF($E241="","",Z241-Q241)</f>
        <v/>
      </c>
      <c r="AB241" s="7" t="n"/>
      <c r="AE241">
        <f>IF($E241="","",IF($AQ241=1,0,IF($AP241=1,Settings!$C$6,Settings!$C$7))*100)</f>
        <v/>
      </c>
      <c r="AI241" s="7" t="n"/>
      <c r="AL241" s="11" t="n"/>
      <c r="AN241">
        <f>IF($E241="","",IF(COUNTIF($E$2:$E241,$E241)=1,1,0))</f>
        <v/>
      </c>
      <c r="AO241">
        <f>IF($AN241=1,SUMPRODUCT(--($AR$2:$AR$3001&lt;$AR241))+1,"")</f>
        <v/>
      </c>
      <c r="AP241">
        <f>IF($E241="","",IF(OR($U241=TRUE(),$U241="TRUE"),1,0))</f>
        <v/>
      </c>
      <c r="AQ241">
        <f>IF($E241="","",IF($AD241="Yes",1,0))</f>
        <v/>
      </c>
      <c r="AR241">
        <f>IF($AN241=1,IFERROR(VALUE(MID($E241,2,20)),1000000000)+ROW()/100000,"")</f>
        <v/>
      </c>
    </row>
    <row r="242">
      <c r="G242" s="11" t="n"/>
      <c r="Q242" s="7">
        <f>IF($E242="","",P242*AB242/100)</f>
        <v/>
      </c>
      <c r="R242" s="7" t="n"/>
      <c r="X242" s="7" t="n"/>
      <c r="Y242" s="7">
        <f>IF($E242="","",AB242*AE242/100)</f>
        <v/>
      </c>
      <c r="Z242" s="7">
        <f>IF($E242="","",AB242-Y242)</f>
        <v/>
      </c>
      <c r="AA242" s="7">
        <f>IF($E242="","",Z242-Q242)</f>
        <v/>
      </c>
      <c r="AB242" s="7" t="n"/>
      <c r="AE242">
        <f>IF($E242="","",IF($AQ242=1,0,IF($AP242=1,Settings!$C$6,Settings!$C$7))*100)</f>
        <v/>
      </c>
      <c r="AI242" s="7" t="n"/>
      <c r="AL242" s="11" t="n"/>
      <c r="AN242">
        <f>IF($E242="","",IF(COUNTIF($E$2:$E242,$E242)=1,1,0))</f>
        <v/>
      </c>
      <c r="AO242">
        <f>IF($AN242=1,SUMPRODUCT(--($AR$2:$AR$3001&lt;$AR242))+1,"")</f>
        <v/>
      </c>
      <c r="AP242">
        <f>IF($E242="","",IF(OR($U242=TRUE(),$U242="TRUE"),1,0))</f>
        <v/>
      </c>
      <c r="AQ242">
        <f>IF($E242="","",IF($AD242="Yes",1,0))</f>
        <v/>
      </c>
      <c r="AR242">
        <f>IF($AN242=1,IFERROR(VALUE(MID($E242,2,20)),1000000000)+ROW()/100000,"")</f>
        <v/>
      </c>
    </row>
    <row r="243">
      <c r="G243" s="11" t="n"/>
      <c r="Q243" s="7">
        <f>IF($E243="","",P243*AB243/100)</f>
        <v/>
      </c>
      <c r="R243" s="7" t="n"/>
      <c r="X243" s="7" t="n"/>
      <c r="Y243" s="7">
        <f>IF($E243="","",AB243*AE243/100)</f>
        <v/>
      </c>
      <c r="Z243" s="7">
        <f>IF($E243="","",AB243-Y243)</f>
        <v/>
      </c>
      <c r="AA243" s="7">
        <f>IF($E243="","",Z243-Q243)</f>
        <v/>
      </c>
      <c r="AB243" s="7" t="n"/>
      <c r="AE243">
        <f>IF($E243="","",IF($AQ243=1,0,IF($AP243=1,Settings!$C$6,Settings!$C$7))*100)</f>
        <v/>
      </c>
      <c r="AI243" s="7" t="n"/>
      <c r="AL243" s="11" t="n"/>
      <c r="AN243">
        <f>IF($E243="","",IF(COUNTIF($E$2:$E243,$E243)=1,1,0))</f>
        <v/>
      </c>
      <c r="AO243">
        <f>IF($AN243=1,SUMPRODUCT(--($AR$2:$AR$3001&lt;$AR243))+1,"")</f>
        <v/>
      </c>
      <c r="AP243">
        <f>IF($E243="","",IF(OR($U243=TRUE(),$U243="TRUE"),1,0))</f>
        <v/>
      </c>
      <c r="AQ243">
        <f>IF($E243="","",IF($AD243="Yes",1,0))</f>
        <v/>
      </c>
      <c r="AR243">
        <f>IF($AN243=1,IFERROR(VALUE(MID($E243,2,20)),1000000000)+ROW()/100000,"")</f>
        <v/>
      </c>
    </row>
    <row r="244">
      <c r="G244" s="11" t="n"/>
      <c r="Q244" s="7">
        <f>IF($E244="","",P244*AB244/100)</f>
        <v/>
      </c>
      <c r="R244" s="7" t="n"/>
      <c r="X244" s="7" t="n"/>
      <c r="Y244" s="7">
        <f>IF($E244="","",AB244*AE244/100)</f>
        <v/>
      </c>
      <c r="Z244" s="7">
        <f>IF($E244="","",AB244-Y244)</f>
        <v/>
      </c>
      <c r="AA244" s="7">
        <f>IF($E244="","",Z244-Q244)</f>
        <v/>
      </c>
      <c r="AB244" s="7" t="n"/>
      <c r="AE244">
        <f>IF($E244="","",IF($AQ244=1,0,IF($AP244=1,Settings!$C$6,Settings!$C$7))*100)</f>
        <v/>
      </c>
      <c r="AI244" s="7" t="n"/>
      <c r="AL244" s="11" t="n"/>
      <c r="AN244">
        <f>IF($E244="","",IF(COUNTIF($E$2:$E244,$E244)=1,1,0))</f>
        <v/>
      </c>
      <c r="AO244">
        <f>IF($AN244=1,SUMPRODUCT(--($AR$2:$AR$3001&lt;$AR244))+1,"")</f>
        <v/>
      </c>
      <c r="AP244">
        <f>IF($E244="","",IF(OR($U244=TRUE(),$U244="TRUE"),1,0))</f>
        <v/>
      </c>
      <c r="AQ244">
        <f>IF($E244="","",IF($AD244="Yes",1,0))</f>
        <v/>
      </c>
      <c r="AR244">
        <f>IF($AN244=1,IFERROR(VALUE(MID($E244,2,20)),1000000000)+ROW()/100000,"")</f>
        <v/>
      </c>
    </row>
    <row r="245">
      <c r="G245" s="11" t="n"/>
      <c r="Q245" s="7">
        <f>IF($E245="","",P245*AB245/100)</f>
        <v/>
      </c>
      <c r="R245" s="7" t="n"/>
      <c r="X245" s="7" t="n"/>
      <c r="Y245" s="7">
        <f>IF($E245="","",AB245*AE245/100)</f>
        <v/>
      </c>
      <c r="Z245" s="7">
        <f>IF($E245="","",AB245-Y245)</f>
        <v/>
      </c>
      <c r="AA245" s="7">
        <f>IF($E245="","",Z245-Q245)</f>
        <v/>
      </c>
      <c r="AB245" s="7" t="n"/>
      <c r="AE245">
        <f>IF($E245="","",IF($AQ245=1,0,IF($AP245=1,Settings!$C$6,Settings!$C$7))*100)</f>
        <v/>
      </c>
      <c r="AI245" s="7" t="n"/>
      <c r="AL245" s="11" t="n"/>
      <c r="AN245">
        <f>IF($E245="","",IF(COUNTIF($E$2:$E245,$E245)=1,1,0))</f>
        <v/>
      </c>
      <c r="AO245">
        <f>IF($AN245=1,SUMPRODUCT(--($AR$2:$AR$3001&lt;$AR245))+1,"")</f>
        <v/>
      </c>
      <c r="AP245">
        <f>IF($E245="","",IF(OR($U245=TRUE(),$U245="TRUE"),1,0))</f>
        <v/>
      </c>
      <c r="AQ245">
        <f>IF($E245="","",IF($AD245="Yes",1,0))</f>
        <v/>
      </c>
      <c r="AR245">
        <f>IF($AN245=1,IFERROR(VALUE(MID($E245,2,20)),1000000000)+ROW()/100000,"")</f>
        <v/>
      </c>
    </row>
    <row r="246">
      <c r="G246" s="11" t="n"/>
      <c r="Q246" s="7">
        <f>IF($E246="","",P246*AB246/100)</f>
        <v/>
      </c>
      <c r="R246" s="7" t="n"/>
      <c r="X246" s="7" t="n"/>
      <c r="Y246" s="7">
        <f>IF($E246="","",AB246*AE246/100)</f>
        <v/>
      </c>
      <c r="Z246" s="7">
        <f>IF($E246="","",AB246-Y246)</f>
        <v/>
      </c>
      <c r="AA246" s="7">
        <f>IF($E246="","",Z246-Q246)</f>
        <v/>
      </c>
      <c r="AB246" s="7" t="n"/>
      <c r="AE246">
        <f>IF($E246="","",IF($AQ246=1,0,IF($AP246=1,Settings!$C$6,Settings!$C$7))*100)</f>
        <v/>
      </c>
      <c r="AI246" s="7" t="n"/>
      <c r="AL246" s="11" t="n"/>
      <c r="AN246">
        <f>IF($E246="","",IF(COUNTIF($E$2:$E246,$E246)=1,1,0))</f>
        <v/>
      </c>
      <c r="AO246">
        <f>IF($AN246=1,SUMPRODUCT(--($AR$2:$AR$3001&lt;$AR246))+1,"")</f>
        <v/>
      </c>
      <c r="AP246">
        <f>IF($E246="","",IF(OR($U246=TRUE(),$U246="TRUE"),1,0))</f>
        <v/>
      </c>
      <c r="AQ246">
        <f>IF($E246="","",IF($AD246="Yes",1,0))</f>
        <v/>
      </c>
      <c r="AR246">
        <f>IF($AN246=1,IFERROR(VALUE(MID($E246,2,20)),1000000000)+ROW()/100000,"")</f>
        <v/>
      </c>
    </row>
    <row r="247">
      <c r="G247" s="11" t="n"/>
      <c r="Q247" s="7">
        <f>IF($E247="","",P247*AB247/100)</f>
        <v/>
      </c>
      <c r="R247" s="7" t="n"/>
      <c r="X247" s="7" t="n"/>
      <c r="Y247" s="7">
        <f>IF($E247="","",AB247*AE247/100)</f>
        <v/>
      </c>
      <c r="Z247" s="7">
        <f>IF($E247="","",AB247-Y247)</f>
        <v/>
      </c>
      <c r="AA247" s="7">
        <f>IF($E247="","",Z247-Q247)</f>
        <v/>
      </c>
      <c r="AB247" s="7" t="n"/>
      <c r="AE247">
        <f>IF($E247="","",IF($AQ247=1,0,IF($AP247=1,Settings!$C$6,Settings!$C$7))*100)</f>
        <v/>
      </c>
      <c r="AI247" s="7" t="n"/>
      <c r="AL247" s="11" t="n"/>
      <c r="AN247">
        <f>IF($E247="","",IF(COUNTIF($E$2:$E247,$E247)=1,1,0))</f>
        <v/>
      </c>
      <c r="AO247">
        <f>IF($AN247=1,SUMPRODUCT(--($AR$2:$AR$3001&lt;$AR247))+1,"")</f>
        <v/>
      </c>
      <c r="AP247">
        <f>IF($E247="","",IF(OR($U247=TRUE(),$U247="TRUE"),1,0))</f>
        <v/>
      </c>
      <c r="AQ247">
        <f>IF($E247="","",IF($AD247="Yes",1,0))</f>
        <v/>
      </c>
      <c r="AR247">
        <f>IF($AN247=1,IFERROR(VALUE(MID($E247,2,20)),1000000000)+ROW()/100000,"")</f>
        <v/>
      </c>
    </row>
    <row r="248">
      <c r="G248" s="11" t="n"/>
      <c r="Q248" s="7">
        <f>IF($E248="","",P248*AB248/100)</f>
        <v/>
      </c>
      <c r="R248" s="7" t="n"/>
      <c r="X248" s="7" t="n"/>
      <c r="Y248" s="7">
        <f>IF($E248="","",AB248*AE248/100)</f>
        <v/>
      </c>
      <c r="Z248" s="7">
        <f>IF($E248="","",AB248-Y248)</f>
        <v/>
      </c>
      <c r="AA248" s="7">
        <f>IF($E248="","",Z248-Q248)</f>
        <v/>
      </c>
      <c r="AB248" s="7" t="n"/>
      <c r="AE248">
        <f>IF($E248="","",IF($AQ248=1,0,IF($AP248=1,Settings!$C$6,Settings!$C$7))*100)</f>
        <v/>
      </c>
      <c r="AI248" s="7" t="n"/>
      <c r="AL248" s="11" t="n"/>
      <c r="AN248">
        <f>IF($E248="","",IF(COUNTIF($E$2:$E248,$E248)=1,1,0))</f>
        <v/>
      </c>
      <c r="AO248">
        <f>IF($AN248=1,SUMPRODUCT(--($AR$2:$AR$3001&lt;$AR248))+1,"")</f>
        <v/>
      </c>
      <c r="AP248">
        <f>IF($E248="","",IF(OR($U248=TRUE(),$U248="TRUE"),1,0))</f>
        <v/>
      </c>
      <c r="AQ248">
        <f>IF($E248="","",IF($AD248="Yes",1,0))</f>
        <v/>
      </c>
      <c r="AR248">
        <f>IF($AN248=1,IFERROR(VALUE(MID($E248,2,20)),1000000000)+ROW()/100000,"")</f>
        <v/>
      </c>
    </row>
    <row r="249">
      <c r="G249" s="11" t="n"/>
      <c r="Q249" s="7">
        <f>IF($E249="","",P249*AB249/100)</f>
        <v/>
      </c>
      <c r="R249" s="7" t="n"/>
      <c r="X249" s="7" t="n"/>
      <c r="Y249" s="7">
        <f>IF($E249="","",AB249*AE249/100)</f>
        <v/>
      </c>
      <c r="Z249" s="7">
        <f>IF($E249="","",AB249-Y249)</f>
        <v/>
      </c>
      <c r="AA249" s="7">
        <f>IF($E249="","",Z249-Q249)</f>
        <v/>
      </c>
      <c r="AB249" s="7" t="n"/>
      <c r="AE249">
        <f>IF($E249="","",IF($AQ249=1,0,IF($AP249=1,Settings!$C$6,Settings!$C$7))*100)</f>
        <v/>
      </c>
      <c r="AI249" s="7" t="n"/>
      <c r="AL249" s="11" t="n"/>
      <c r="AN249">
        <f>IF($E249="","",IF(COUNTIF($E$2:$E249,$E249)=1,1,0))</f>
        <v/>
      </c>
      <c r="AO249">
        <f>IF($AN249=1,SUMPRODUCT(--($AR$2:$AR$3001&lt;$AR249))+1,"")</f>
        <v/>
      </c>
      <c r="AP249">
        <f>IF($E249="","",IF(OR($U249=TRUE(),$U249="TRUE"),1,0))</f>
        <v/>
      </c>
      <c r="AQ249">
        <f>IF($E249="","",IF($AD249="Yes",1,0))</f>
        <v/>
      </c>
      <c r="AR249">
        <f>IF($AN249=1,IFERROR(VALUE(MID($E249,2,20)),1000000000)+ROW()/100000,"")</f>
        <v/>
      </c>
    </row>
    <row r="250">
      <c r="G250" s="11" t="n"/>
      <c r="Q250" s="7">
        <f>IF($E250="","",P250*AB250/100)</f>
        <v/>
      </c>
      <c r="R250" s="7" t="n"/>
      <c r="X250" s="7" t="n"/>
      <c r="Y250" s="7">
        <f>IF($E250="","",AB250*AE250/100)</f>
        <v/>
      </c>
      <c r="Z250" s="7">
        <f>IF($E250="","",AB250-Y250)</f>
        <v/>
      </c>
      <c r="AA250" s="7">
        <f>IF($E250="","",Z250-Q250)</f>
        <v/>
      </c>
      <c r="AB250" s="7" t="n"/>
      <c r="AE250">
        <f>IF($E250="","",IF($AQ250=1,0,IF($AP250=1,Settings!$C$6,Settings!$C$7))*100)</f>
        <v/>
      </c>
      <c r="AI250" s="7" t="n"/>
      <c r="AL250" s="11" t="n"/>
      <c r="AN250">
        <f>IF($E250="","",IF(COUNTIF($E$2:$E250,$E250)=1,1,0))</f>
        <v/>
      </c>
      <c r="AO250">
        <f>IF($AN250=1,SUMPRODUCT(--($AR$2:$AR$3001&lt;$AR250))+1,"")</f>
        <v/>
      </c>
      <c r="AP250">
        <f>IF($E250="","",IF(OR($U250=TRUE(),$U250="TRUE"),1,0))</f>
        <v/>
      </c>
      <c r="AQ250">
        <f>IF($E250="","",IF($AD250="Yes",1,0))</f>
        <v/>
      </c>
      <c r="AR250">
        <f>IF($AN250=1,IFERROR(VALUE(MID($E250,2,20)),1000000000)+ROW()/100000,"")</f>
        <v/>
      </c>
    </row>
    <row r="251">
      <c r="G251" s="11" t="n"/>
      <c r="Q251" s="7">
        <f>IF($E251="","",P251*AB251/100)</f>
        <v/>
      </c>
      <c r="R251" s="7" t="n"/>
      <c r="X251" s="7" t="n"/>
      <c r="Y251" s="7">
        <f>IF($E251="","",AB251*AE251/100)</f>
        <v/>
      </c>
      <c r="Z251" s="7">
        <f>IF($E251="","",AB251-Y251)</f>
        <v/>
      </c>
      <c r="AA251" s="7">
        <f>IF($E251="","",Z251-Q251)</f>
        <v/>
      </c>
      <c r="AB251" s="7" t="n"/>
      <c r="AE251">
        <f>IF($E251="","",IF($AQ251=1,0,IF($AP251=1,Settings!$C$6,Settings!$C$7))*100)</f>
        <v/>
      </c>
      <c r="AI251" s="7" t="n"/>
      <c r="AL251" s="11" t="n"/>
      <c r="AN251">
        <f>IF($E251="","",IF(COUNTIF($E$2:$E251,$E251)=1,1,0))</f>
        <v/>
      </c>
      <c r="AO251">
        <f>IF($AN251=1,SUMPRODUCT(--($AR$2:$AR$3001&lt;$AR251))+1,"")</f>
        <v/>
      </c>
      <c r="AP251">
        <f>IF($E251="","",IF(OR($U251=TRUE(),$U251="TRUE"),1,0))</f>
        <v/>
      </c>
      <c r="AQ251">
        <f>IF($E251="","",IF($AD251="Yes",1,0))</f>
        <v/>
      </c>
      <c r="AR251">
        <f>IF($AN251=1,IFERROR(VALUE(MID($E251,2,20)),1000000000)+ROW()/100000,"")</f>
        <v/>
      </c>
    </row>
    <row r="252">
      <c r="G252" s="11" t="n"/>
      <c r="Q252" s="7">
        <f>IF($E252="","",P252*AB252/100)</f>
        <v/>
      </c>
      <c r="R252" s="7" t="n"/>
      <c r="X252" s="7" t="n"/>
      <c r="Y252" s="7">
        <f>IF($E252="","",AB252*AE252/100)</f>
        <v/>
      </c>
      <c r="Z252" s="7">
        <f>IF($E252="","",AB252-Y252)</f>
        <v/>
      </c>
      <c r="AA252" s="7">
        <f>IF($E252="","",Z252-Q252)</f>
        <v/>
      </c>
      <c r="AB252" s="7" t="n"/>
      <c r="AE252">
        <f>IF($E252="","",IF($AQ252=1,0,IF($AP252=1,Settings!$C$6,Settings!$C$7))*100)</f>
        <v/>
      </c>
      <c r="AI252" s="7" t="n"/>
      <c r="AL252" s="11" t="n"/>
      <c r="AN252">
        <f>IF($E252="","",IF(COUNTIF($E$2:$E252,$E252)=1,1,0))</f>
        <v/>
      </c>
      <c r="AO252">
        <f>IF($AN252=1,SUMPRODUCT(--($AR$2:$AR$3001&lt;$AR252))+1,"")</f>
        <v/>
      </c>
      <c r="AP252">
        <f>IF($E252="","",IF(OR($U252=TRUE(),$U252="TRUE"),1,0))</f>
        <v/>
      </c>
      <c r="AQ252">
        <f>IF($E252="","",IF($AD252="Yes",1,0))</f>
        <v/>
      </c>
      <c r="AR252">
        <f>IF($AN252=1,IFERROR(VALUE(MID($E252,2,20)),1000000000)+ROW()/100000,"")</f>
        <v/>
      </c>
    </row>
    <row r="253">
      <c r="G253" s="11" t="n"/>
      <c r="Q253" s="7">
        <f>IF($E253="","",P253*AB253/100)</f>
        <v/>
      </c>
      <c r="R253" s="7" t="n"/>
      <c r="X253" s="7" t="n"/>
      <c r="Y253" s="7">
        <f>IF($E253="","",AB253*AE253/100)</f>
        <v/>
      </c>
      <c r="Z253" s="7">
        <f>IF($E253="","",AB253-Y253)</f>
        <v/>
      </c>
      <c r="AA253" s="7">
        <f>IF($E253="","",Z253-Q253)</f>
        <v/>
      </c>
      <c r="AB253" s="7" t="n"/>
      <c r="AE253">
        <f>IF($E253="","",IF($AQ253=1,0,IF($AP253=1,Settings!$C$6,Settings!$C$7))*100)</f>
        <v/>
      </c>
      <c r="AI253" s="7" t="n"/>
      <c r="AL253" s="11" t="n"/>
      <c r="AN253">
        <f>IF($E253="","",IF(COUNTIF($E$2:$E253,$E253)=1,1,0))</f>
        <v/>
      </c>
      <c r="AO253">
        <f>IF($AN253=1,SUMPRODUCT(--($AR$2:$AR$3001&lt;$AR253))+1,"")</f>
        <v/>
      </c>
      <c r="AP253">
        <f>IF($E253="","",IF(OR($U253=TRUE(),$U253="TRUE"),1,0))</f>
        <v/>
      </c>
      <c r="AQ253">
        <f>IF($E253="","",IF($AD253="Yes",1,0))</f>
        <v/>
      </c>
      <c r="AR253">
        <f>IF($AN253=1,IFERROR(VALUE(MID($E253,2,20)),1000000000)+ROW()/100000,"")</f>
        <v/>
      </c>
    </row>
    <row r="254">
      <c r="G254" s="11" t="n"/>
      <c r="Q254" s="7">
        <f>IF($E254="","",P254*AB254/100)</f>
        <v/>
      </c>
      <c r="R254" s="7" t="n"/>
      <c r="X254" s="7" t="n"/>
      <c r="Y254" s="7">
        <f>IF($E254="","",AB254*AE254/100)</f>
        <v/>
      </c>
      <c r="Z254" s="7">
        <f>IF($E254="","",AB254-Y254)</f>
        <v/>
      </c>
      <c r="AA254" s="7">
        <f>IF($E254="","",Z254-Q254)</f>
        <v/>
      </c>
      <c r="AB254" s="7" t="n"/>
      <c r="AE254">
        <f>IF($E254="","",IF($AQ254=1,0,IF($AP254=1,Settings!$C$6,Settings!$C$7))*100)</f>
        <v/>
      </c>
      <c r="AI254" s="7" t="n"/>
      <c r="AL254" s="11" t="n"/>
      <c r="AN254">
        <f>IF($E254="","",IF(COUNTIF($E$2:$E254,$E254)=1,1,0))</f>
        <v/>
      </c>
      <c r="AO254">
        <f>IF($AN254=1,SUMPRODUCT(--($AR$2:$AR$3001&lt;$AR254))+1,"")</f>
        <v/>
      </c>
      <c r="AP254">
        <f>IF($E254="","",IF(OR($U254=TRUE(),$U254="TRUE"),1,0))</f>
        <v/>
      </c>
      <c r="AQ254">
        <f>IF($E254="","",IF($AD254="Yes",1,0))</f>
        <v/>
      </c>
      <c r="AR254">
        <f>IF($AN254=1,IFERROR(VALUE(MID($E254,2,20)),1000000000)+ROW()/100000,"")</f>
        <v/>
      </c>
    </row>
    <row r="255">
      <c r="G255" s="11" t="n"/>
      <c r="Q255" s="7">
        <f>IF($E255="","",P255*AB255/100)</f>
        <v/>
      </c>
      <c r="R255" s="7" t="n"/>
      <c r="X255" s="7" t="n"/>
      <c r="Y255" s="7">
        <f>IF($E255="","",AB255*AE255/100)</f>
        <v/>
      </c>
      <c r="Z255" s="7">
        <f>IF($E255="","",AB255-Y255)</f>
        <v/>
      </c>
      <c r="AA255" s="7">
        <f>IF($E255="","",Z255-Q255)</f>
        <v/>
      </c>
      <c r="AB255" s="7" t="n"/>
      <c r="AE255">
        <f>IF($E255="","",IF($AQ255=1,0,IF($AP255=1,Settings!$C$6,Settings!$C$7))*100)</f>
        <v/>
      </c>
      <c r="AI255" s="7" t="n"/>
      <c r="AL255" s="11" t="n"/>
      <c r="AN255">
        <f>IF($E255="","",IF(COUNTIF($E$2:$E255,$E255)=1,1,0))</f>
        <v/>
      </c>
      <c r="AO255">
        <f>IF($AN255=1,SUMPRODUCT(--($AR$2:$AR$3001&lt;$AR255))+1,"")</f>
        <v/>
      </c>
      <c r="AP255">
        <f>IF($E255="","",IF(OR($U255=TRUE(),$U255="TRUE"),1,0))</f>
        <v/>
      </c>
      <c r="AQ255">
        <f>IF($E255="","",IF($AD255="Yes",1,0))</f>
        <v/>
      </c>
      <c r="AR255">
        <f>IF($AN255=1,IFERROR(VALUE(MID($E255,2,20)),1000000000)+ROW()/100000,"")</f>
        <v/>
      </c>
    </row>
    <row r="256">
      <c r="G256" s="11" t="n"/>
      <c r="Q256" s="7">
        <f>IF($E256="","",P256*AB256/100)</f>
        <v/>
      </c>
      <c r="R256" s="7" t="n"/>
      <c r="X256" s="7" t="n"/>
      <c r="Y256" s="7">
        <f>IF($E256="","",AB256*AE256/100)</f>
        <v/>
      </c>
      <c r="Z256" s="7">
        <f>IF($E256="","",AB256-Y256)</f>
        <v/>
      </c>
      <c r="AA256" s="7">
        <f>IF($E256="","",Z256-Q256)</f>
        <v/>
      </c>
      <c r="AB256" s="7" t="n"/>
      <c r="AE256">
        <f>IF($E256="","",IF($AQ256=1,0,IF($AP256=1,Settings!$C$6,Settings!$C$7))*100)</f>
        <v/>
      </c>
      <c r="AI256" s="7" t="n"/>
      <c r="AL256" s="11" t="n"/>
      <c r="AN256">
        <f>IF($E256="","",IF(COUNTIF($E$2:$E256,$E256)=1,1,0))</f>
        <v/>
      </c>
      <c r="AO256">
        <f>IF($AN256=1,SUMPRODUCT(--($AR$2:$AR$3001&lt;$AR256))+1,"")</f>
        <v/>
      </c>
      <c r="AP256">
        <f>IF($E256="","",IF(OR($U256=TRUE(),$U256="TRUE"),1,0))</f>
        <v/>
      </c>
      <c r="AQ256">
        <f>IF($E256="","",IF($AD256="Yes",1,0))</f>
        <v/>
      </c>
      <c r="AR256">
        <f>IF($AN256=1,IFERROR(VALUE(MID($E256,2,20)),1000000000)+ROW()/100000,"")</f>
        <v/>
      </c>
    </row>
    <row r="257">
      <c r="G257" s="11" t="n"/>
      <c r="Q257" s="7">
        <f>IF($E257="","",P257*AB257/100)</f>
        <v/>
      </c>
      <c r="R257" s="7" t="n"/>
      <c r="X257" s="7" t="n"/>
      <c r="Y257" s="7">
        <f>IF($E257="","",AB257*AE257/100)</f>
        <v/>
      </c>
      <c r="Z257" s="7">
        <f>IF($E257="","",AB257-Y257)</f>
        <v/>
      </c>
      <c r="AA257" s="7">
        <f>IF($E257="","",Z257-Q257)</f>
        <v/>
      </c>
      <c r="AB257" s="7" t="n"/>
      <c r="AE257">
        <f>IF($E257="","",IF($AQ257=1,0,IF($AP257=1,Settings!$C$6,Settings!$C$7))*100)</f>
        <v/>
      </c>
      <c r="AI257" s="7" t="n"/>
      <c r="AL257" s="11" t="n"/>
      <c r="AN257">
        <f>IF($E257="","",IF(COUNTIF($E$2:$E257,$E257)=1,1,0))</f>
        <v/>
      </c>
      <c r="AO257">
        <f>IF($AN257=1,SUMPRODUCT(--($AR$2:$AR$3001&lt;$AR257))+1,"")</f>
        <v/>
      </c>
      <c r="AP257">
        <f>IF($E257="","",IF(OR($U257=TRUE(),$U257="TRUE"),1,0))</f>
        <v/>
      </c>
      <c r="AQ257">
        <f>IF($E257="","",IF($AD257="Yes",1,0))</f>
        <v/>
      </c>
      <c r="AR257">
        <f>IF($AN257=1,IFERROR(VALUE(MID($E257,2,20)),1000000000)+ROW()/100000,"")</f>
        <v/>
      </c>
    </row>
    <row r="258">
      <c r="G258" s="11" t="n"/>
      <c r="Q258" s="7">
        <f>IF($E258="","",P258*AB258/100)</f>
        <v/>
      </c>
      <c r="R258" s="7" t="n"/>
      <c r="X258" s="7" t="n"/>
      <c r="Y258" s="7">
        <f>IF($E258="","",AB258*AE258/100)</f>
        <v/>
      </c>
      <c r="Z258" s="7">
        <f>IF($E258="","",AB258-Y258)</f>
        <v/>
      </c>
      <c r="AA258" s="7">
        <f>IF($E258="","",Z258-Q258)</f>
        <v/>
      </c>
      <c r="AB258" s="7" t="n"/>
      <c r="AE258">
        <f>IF($E258="","",IF($AQ258=1,0,IF($AP258=1,Settings!$C$6,Settings!$C$7))*100)</f>
        <v/>
      </c>
      <c r="AI258" s="7" t="n"/>
      <c r="AL258" s="11" t="n"/>
      <c r="AN258">
        <f>IF($E258="","",IF(COUNTIF($E$2:$E258,$E258)=1,1,0))</f>
        <v/>
      </c>
      <c r="AO258">
        <f>IF($AN258=1,SUMPRODUCT(--($AR$2:$AR$3001&lt;$AR258))+1,"")</f>
        <v/>
      </c>
      <c r="AP258">
        <f>IF($E258="","",IF(OR($U258=TRUE(),$U258="TRUE"),1,0))</f>
        <v/>
      </c>
      <c r="AQ258">
        <f>IF($E258="","",IF($AD258="Yes",1,0))</f>
        <v/>
      </c>
      <c r="AR258">
        <f>IF($AN258=1,IFERROR(VALUE(MID($E258,2,20)),1000000000)+ROW()/100000,"")</f>
        <v/>
      </c>
    </row>
    <row r="259">
      <c r="G259" s="11" t="n"/>
      <c r="Q259" s="7">
        <f>IF($E259="","",P259*AB259/100)</f>
        <v/>
      </c>
      <c r="R259" s="7" t="n"/>
      <c r="X259" s="7" t="n"/>
      <c r="Y259" s="7">
        <f>IF($E259="","",AB259*AE259/100)</f>
        <v/>
      </c>
      <c r="Z259" s="7">
        <f>IF($E259="","",AB259-Y259)</f>
        <v/>
      </c>
      <c r="AA259" s="7">
        <f>IF($E259="","",Z259-Q259)</f>
        <v/>
      </c>
      <c r="AB259" s="7" t="n"/>
      <c r="AE259">
        <f>IF($E259="","",IF($AQ259=1,0,IF($AP259=1,Settings!$C$6,Settings!$C$7))*100)</f>
        <v/>
      </c>
      <c r="AI259" s="7" t="n"/>
      <c r="AL259" s="11" t="n"/>
      <c r="AN259">
        <f>IF($E259="","",IF(COUNTIF($E$2:$E259,$E259)=1,1,0))</f>
        <v/>
      </c>
      <c r="AO259">
        <f>IF($AN259=1,SUMPRODUCT(--($AR$2:$AR$3001&lt;$AR259))+1,"")</f>
        <v/>
      </c>
      <c r="AP259">
        <f>IF($E259="","",IF(OR($U259=TRUE(),$U259="TRUE"),1,0))</f>
        <v/>
      </c>
      <c r="AQ259">
        <f>IF($E259="","",IF($AD259="Yes",1,0))</f>
        <v/>
      </c>
      <c r="AR259">
        <f>IF($AN259=1,IFERROR(VALUE(MID($E259,2,20)),1000000000)+ROW()/100000,"")</f>
        <v/>
      </c>
    </row>
    <row r="260">
      <c r="G260" s="11" t="n"/>
      <c r="Q260" s="7">
        <f>IF($E260="","",P260*AB260/100)</f>
        <v/>
      </c>
      <c r="R260" s="7" t="n"/>
      <c r="X260" s="7" t="n"/>
      <c r="Y260" s="7">
        <f>IF($E260="","",AB260*AE260/100)</f>
        <v/>
      </c>
      <c r="Z260" s="7">
        <f>IF($E260="","",AB260-Y260)</f>
        <v/>
      </c>
      <c r="AA260" s="7">
        <f>IF($E260="","",Z260-Q260)</f>
        <v/>
      </c>
      <c r="AB260" s="7" t="n"/>
      <c r="AE260">
        <f>IF($E260="","",IF($AQ260=1,0,IF($AP260=1,Settings!$C$6,Settings!$C$7))*100)</f>
        <v/>
      </c>
      <c r="AI260" s="7" t="n"/>
      <c r="AL260" s="11" t="n"/>
      <c r="AN260">
        <f>IF($E260="","",IF(COUNTIF($E$2:$E260,$E260)=1,1,0))</f>
        <v/>
      </c>
      <c r="AO260">
        <f>IF($AN260=1,SUMPRODUCT(--($AR$2:$AR$3001&lt;$AR260))+1,"")</f>
        <v/>
      </c>
      <c r="AP260">
        <f>IF($E260="","",IF(OR($U260=TRUE(),$U260="TRUE"),1,0))</f>
        <v/>
      </c>
      <c r="AQ260">
        <f>IF($E260="","",IF($AD260="Yes",1,0))</f>
        <v/>
      </c>
      <c r="AR260">
        <f>IF($AN260=1,IFERROR(VALUE(MID($E260,2,20)),1000000000)+ROW()/100000,"")</f>
        <v/>
      </c>
    </row>
    <row r="261">
      <c r="G261" s="11" t="n"/>
      <c r="Q261" s="7">
        <f>IF($E261="","",P261*AB261/100)</f>
        <v/>
      </c>
      <c r="R261" s="7" t="n"/>
      <c r="X261" s="7" t="n"/>
      <c r="Y261" s="7">
        <f>IF($E261="","",AB261*AE261/100)</f>
        <v/>
      </c>
      <c r="Z261" s="7">
        <f>IF($E261="","",AB261-Y261)</f>
        <v/>
      </c>
      <c r="AA261" s="7">
        <f>IF($E261="","",Z261-Q261)</f>
        <v/>
      </c>
      <c r="AB261" s="7" t="n"/>
      <c r="AE261">
        <f>IF($E261="","",IF($AQ261=1,0,IF($AP261=1,Settings!$C$6,Settings!$C$7))*100)</f>
        <v/>
      </c>
      <c r="AI261" s="7" t="n"/>
      <c r="AL261" s="11" t="n"/>
      <c r="AN261">
        <f>IF($E261="","",IF(COUNTIF($E$2:$E261,$E261)=1,1,0))</f>
        <v/>
      </c>
      <c r="AO261">
        <f>IF($AN261=1,SUMPRODUCT(--($AR$2:$AR$3001&lt;$AR261))+1,"")</f>
        <v/>
      </c>
      <c r="AP261">
        <f>IF($E261="","",IF(OR($U261=TRUE(),$U261="TRUE"),1,0))</f>
        <v/>
      </c>
      <c r="AQ261">
        <f>IF($E261="","",IF($AD261="Yes",1,0))</f>
        <v/>
      </c>
      <c r="AR261">
        <f>IF($AN261=1,IFERROR(VALUE(MID($E261,2,20)),1000000000)+ROW()/100000,"")</f>
        <v/>
      </c>
    </row>
    <row r="262">
      <c r="G262" s="11" t="n"/>
      <c r="Q262" s="7">
        <f>IF($E262="","",P262*AB262/100)</f>
        <v/>
      </c>
      <c r="R262" s="7" t="n"/>
      <c r="X262" s="7" t="n"/>
      <c r="Y262" s="7">
        <f>IF($E262="","",AB262*AE262/100)</f>
        <v/>
      </c>
      <c r="Z262" s="7">
        <f>IF($E262="","",AB262-Y262)</f>
        <v/>
      </c>
      <c r="AA262" s="7">
        <f>IF($E262="","",Z262-Q262)</f>
        <v/>
      </c>
      <c r="AB262" s="7" t="n"/>
      <c r="AE262">
        <f>IF($E262="","",IF($AQ262=1,0,IF($AP262=1,Settings!$C$6,Settings!$C$7))*100)</f>
        <v/>
      </c>
      <c r="AI262" s="7" t="n"/>
      <c r="AL262" s="11" t="n"/>
      <c r="AN262">
        <f>IF($E262="","",IF(COUNTIF($E$2:$E262,$E262)=1,1,0))</f>
        <v/>
      </c>
      <c r="AO262">
        <f>IF($AN262=1,SUMPRODUCT(--($AR$2:$AR$3001&lt;$AR262))+1,"")</f>
        <v/>
      </c>
      <c r="AP262">
        <f>IF($E262="","",IF(OR($U262=TRUE(),$U262="TRUE"),1,0))</f>
        <v/>
      </c>
      <c r="AQ262">
        <f>IF($E262="","",IF($AD262="Yes",1,0))</f>
        <v/>
      </c>
      <c r="AR262">
        <f>IF($AN262=1,IFERROR(VALUE(MID($E262,2,20)),1000000000)+ROW()/100000,"")</f>
        <v/>
      </c>
    </row>
    <row r="263">
      <c r="G263" s="11" t="n"/>
      <c r="Q263" s="7">
        <f>IF($E263="","",P263*AB263/100)</f>
        <v/>
      </c>
      <c r="R263" s="7" t="n"/>
      <c r="X263" s="7" t="n"/>
      <c r="Y263" s="7">
        <f>IF($E263="","",AB263*AE263/100)</f>
        <v/>
      </c>
      <c r="Z263" s="7">
        <f>IF($E263="","",AB263-Y263)</f>
        <v/>
      </c>
      <c r="AA263" s="7">
        <f>IF($E263="","",Z263-Q263)</f>
        <v/>
      </c>
      <c r="AB263" s="7" t="n"/>
      <c r="AE263">
        <f>IF($E263="","",IF($AQ263=1,0,IF($AP263=1,Settings!$C$6,Settings!$C$7))*100)</f>
        <v/>
      </c>
      <c r="AI263" s="7" t="n"/>
      <c r="AL263" s="11" t="n"/>
      <c r="AN263">
        <f>IF($E263="","",IF(COUNTIF($E$2:$E263,$E263)=1,1,0))</f>
        <v/>
      </c>
      <c r="AO263">
        <f>IF($AN263=1,SUMPRODUCT(--($AR$2:$AR$3001&lt;$AR263))+1,"")</f>
        <v/>
      </c>
      <c r="AP263">
        <f>IF($E263="","",IF(OR($U263=TRUE(),$U263="TRUE"),1,0))</f>
        <v/>
      </c>
      <c r="AQ263">
        <f>IF($E263="","",IF($AD263="Yes",1,0))</f>
        <v/>
      </c>
      <c r="AR263">
        <f>IF($AN263=1,IFERROR(VALUE(MID($E263,2,20)),1000000000)+ROW()/100000,"")</f>
        <v/>
      </c>
    </row>
    <row r="264">
      <c r="G264" s="11" t="n"/>
      <c r="Q264" s="7">
        <f>IF($E264="","",P264*AB264/100)</f>
        <v/>
      </c>
      <c r="R264" s="7" t="n"/>
      <c r="X264" s="7" t="n"/>
      <c r="Y264" s="7">
        <f>IF($E264="","",AB264*AE264/100)</f>
        <v/>
      </c>
      <c r="Z264" s="7">
        <f>IF($E264="","",AB264-Y264)</f>
        <v/>
      </c>
      <c r="AA264" s="7">
        <f>IF($E264="","",Z264-Q264)</f>
        <v/>
      </c>
      <c r="AB264" s="7" t="n"/>
      <c r="AE264">
        <f>IF($E264="","",IF($AQ264=1,0,IF($AP264=1,Settings!$C$6,Settings!$C$7))*100)</f>
        <v/>
      </c>
      <c r="AI264" s="7" t="n"/>
      <c r="AL264" s="11" t="n"/>
      <c r="AN264">
        <f>IF($E264="","",IF(COUNTIF($E$2:$E264,$E264)=1,1,0))</f>
        <v/>
      </c>
      <c r="AO264">
        <f>IF($AN264=1,SUMPRODUCT(--($AR$2:$AR$3001&lt;$AR264))+1,"")</f>
        <v/>
      </c>
      <c r="AP264">
        <f>IF($E264="","",IF(OR($U264=TRUE(),$U264="TRUE"),1,0))</f>
        <v/>
      </c>
      <c r="AQ264">
        <f>IF($E264="","",IF($AD264="Yes",1,0))</f>
        <v/>
      </c>
      <c r="AR264">
        <f>IF($AN264=1,IFERROR(VALUE(MID($E264,2,20)),1000000000)+ROW()/100000,"")</f>
        <v/>
      </c>
    </row>
    <row r="265">
      <c r="G265" s="11" t="n"/>
      <c r="Q265" s="7">
        <f>IF($E265="","",P265*AB265/100)</f>
        <v/>
      </c>
      <c r="R265" s="7" t="n"/>
      <c r="X265" s="7" t="n"/>
      <c r="Y265" s="7">
        <f>IF($E265="","",AB265*AE265/100)</f>
        <v/>
      </c>
      <c r="Z265" s="7">
        <f>IF($E265="","",AB265-Y265)</f>
        <v/>
      </c>
      <c r="AA265" s="7">
        <f>IF($E265="","",Z265-Q265)</f>
        <v/>
      </c>
      <c r="AB265" s="7" t="n"/>
      <c r="AE265">
        <f>IF($E265="","",IF($AQ265=1,0,IF($AP265=1,Settings!$C$6,Settings!$C$7))*100)</f>
        <v/>
      </c>
      <c r="AI265" s="7" t="n"/>
      <c r="AL265" s="11" t="n"/>
      <c r="AN265">
        <f>IF($E265="","",IF(COUNTIF($E$2:$E265,$E265)=1,1,0))</f>
        <v/>
      </c>
      <c r="AO265">
        <f>IF($AN265=1,SUMPRODUCT(--($AR$2:$AR$3001&lt;$AR265))+1,"")</f>
        <v/>
      </c>
      <c r="AP265">
        <f>IF($E265="","",IF(OR($U265=TRUE(),$U265="TRUE"),1,0))</f>
        <v/>
      </c>
      <c r="AQ265">
        <f>IF($E265="","",IF($AD265="Yes",1,0))</f>
        <v/>
      </c>
      <c r="AR265">
        <f>IF($AN265=1,IFERROR(VALUE(MID($E265,2,20)),1000000000)+ROW()/100000,"")</f>
        <v/>
      </c>
    </row>
    <row r="266">
      <c r="G266" s="11" t="n"/>
      <c r="Q266" s="7">
        <f>IF($E266="","",P266*AB266/100)</f>
        <v/>
      </c>
      <c r="R266" s="7" t="n"/>
      <c r="X266" s="7" t="n"/>
      <c r="Y266" s="7">
        <f>IF($E266="","",AB266*AE266/100)</f>
        <v/>
      </c>
      <c r="Z266" s="7">
        <f>IF($E266="","",AB266-Y266)</f>
        <v/>
      </c>
      <c r="AA266" s="7">
        <f>IF($E266="","",Z266-Q266)</f>
        <v/>
      </c>
      <c r="AB266" s="7" t="n"/>
      <c r="AE266">
        <f>IF($E266="","",IF($AQ266=1,0,IF($AP266=1,Settings!$C$6,Settings!$C$7))*100)</f>
        <v/>
      </c>
      <c r="AI266" s="7" t="n"/>
      <c r="AL266" s="11" t="n"/>
      <c r="AN266">
        <f>IF($E266="","",IF(COUNTIF($E$2:$E266,$E266)=1,1,0))</f>
        <v/>
      </c>
      <c r="AO266">
        <f>IF($AN266=1,SUMPRODUCT(--($AR$2:$AR$3001&lt;$AR266))+1,"")</f>
        <v/>
      </c>
      <c r="AP266">
        <f>IF($E266="","",IF(OR($U266=TRUE(),$U266="TRUE"),1,0))</f>
        <v/>
      </c>
      <c r="AQ266">
        <f>IF($E266="","",IF($AD266="Yes",1,0))</f>
        <v/>
      </c>
      <c r="AR266">
        <f>IF($AN266=1,IFERROR(VALUE(MID($E266,2,20)),1000000000)+ROW()/100000,"")</f>
        <v/>
      </c>
    </row>
    <row r="267">
      <c r="G267" s="11" t="n"/>
      <c r="Q267" s="7">
        <f>IF($E267="","",P267*AB267/100)</f>
        <v/>
      </c>
      <c r="R267" s="7" t="n"/>
      <c r="X267" s="7" t="n"/>
      <c r="Y267" s="7">
        <f>IF($E267="","",AB267*AE267/100)</f>
        <v/>
      </c>
      <c r="Z267" s="7">
        <f>IF($E267="","",AB267-Y267)</f>
        <v/>
      </c>
      <c r="AA267" s="7">
        <f>IF($E267="","",Z267-Q267)</f>
        <v/>
      </c>
      <c r="AB267" s="7" t="n"/>
      <c r="AE267">
        <f>IF($E267="","",IF($AQ267=1,0,IF($AP267=1,Settings!$C$6,Settings!$C$7))*100)</f>
        <v/>
      </c>
      <c r="AI267" s="7" t="n"/>
      <c r="AL267" s="11" t="n"/>
      <c r="AN267">
        <f>IF($E267="","",IF(COUNTIF($E$2:$E267,$E267)=1,1,0))</f>
        <v/>
      </c>
      <c r="AO267">
        <f>IF($AN267=1,SUMPRODUCT(--($AR$2:$AR$3001&lt;$AR267))+1,"")</f>
        <v/>
      </c>
      <c r="AP267">
        <f>IF($E267="","",IF(OR($U267=TRUE(),$U267="TRUE"),1,0))</f>
        <v/>
      </c>
      <c r="AQ267">
        <f>IF($E267="","",IF($AD267="Yes",1,0))</f>
        <v/>
      </c>
      <c r="AR267">
        <f>IF($AN267=1,IFERROR(VALUE(MID($E267,2,20)),1000000000)+ROW()/100000,"")</f>
        <v/>
      </c>
    </row>
    <row r="268">
      <c r="G268" s="11" t="n"/>
      <c r="Q268" s="7">
        <f>IF($E268="","",P268*AB268/100)</f>
        <v/>
      </c>
      <c r="R268" s="7" t="n"/>
      <c r="X268" s="7" t="n"/>
      <c r="Y268" s="7">
        <f>IF($E268="","",AB268*AE268/100)</f>
        <v/>
      </c>
      <c r="Z268" s="7">
        <f>IF($E268="","",AB268-Y268)</f>
        <v/>
      </c>
      <c r="AA268" s="7">
        <f>IF($E268="","",Z268-Q268)</f>
        <v/>
      </c>
      <c r="AB268" s="7" t="n"/>
      <c r="AE268">
        <f>IF($E268="","",IF($AQ268=1,0,IF($AP268=1,Settings!$C$6,Settings!$C$7))*100)</f>
        <v/>
      </c>
      <c r="AI268" s="7" t="n"/>
      <c r="AL268" s="11" t="n"/>
      <c r="AN268">
        <f>IF($E268="","",IF(COUNTIF($E$2:$E268,$E268)=1,1,0))</f>
        <v/>
      </c>
      <c r="AO268">
        <f>IF($AN268=1,SUMPRODUCT(--($AR$2:$AR$3001&lt;$AR268))+1,"")</f>
        <v/>
      </c>
      <c r="AP268">
        <f>IF($E268="","",IF(OR($U268=TRUE(),$U268="TRUE"),1,0))</f>
        <v/>
      </c>
      <c r="AQ268">
        <f>IF($E268="","",IF($AD268="Yes",1,0))</f>
        <v/>
      </c>
      <c r="AR268">
        <f>IF($AN268=1,IFERROR(VALUE(MID($E268,2,20)),1000000000)+ROW()/100000,"")</f>
        <v/>
      </c>
    </row>
    <row r="269">
      <c r="G269" s="11" t="n"/>
      <c r="Q269" s="7">
        <f>IF($E269="","",P269*AB269/100)</f>
        <v/>
      </c>
      <c r="R269" s="7" t="n"/>
      <c r="X269" s="7" t="n"/>
      <c r="Y269" s="7">
        <f>IF($E269="","",AB269*AE269/100)</f>
        <v/>
      </c>
      <c r="Z269" s="7">
        <f>IF($E269="","",AB269-Y269)</f>
        <v/>
      </c>
      <c r="AA269" s="7">
        <f>IF($E269="","",Z269-Q269)</f>
        <v/>
      </c>
      <c r="AB269" s="7" t="n"/>
      <c r="AE269">
        <f>IF($E269="","",IF($AQ269=1,0,IF($AP269=1,Settings!$C$6,Settings!$C$7))*100)</f>
        <v/>
      </c>
      <c r="AI269" s="7" t="n"/>
      <c r="AL269" s="11" t="n"/>
      <c r="AN269">
        <f>IF($E269="","",IF(COUNTIF($E$2:$E269,$E269)=1,1,0))</f>
        <v/>
      </c>
      <c r="AO269">
        <f>IF($AN269=1,SUMPRODUCT(--($AR$2:$AR$3001&lt;$AR269))+1,"")</f>
        <v/>
      </c>
      <c r="AP269">
        <f>IF($E269="","",IF(OR($U269=TRUE(),$U269="TRUE"),1,0))</f>
        <v/>
      </c>
      <c r="AQ269">
        <f>IF($E269="","",IF($AD269="Yes",1,0))</f>
        <v/>
      </c>
      <c r="AR269">
        <f>IF($AN269=1,IFERROR(VALUE(MID($E269,2,20)),1000000000)+ROW()/100000,"")</f>
        <v/>
      </c>
    </row>
    <row r="270">
      <c r="G270" s="11" t="n"/>
      <c r="Q270" s="7">
        <f>IF($E270="","",P270*AB270/100)</f>
        <v/>
      </c>
      <c r="R270" s="7" t="n"/>
      <c r="X270" s="7" t="n"/>
      <c r="Y270" s="7">
        <f>IF($E270="","",AB270*AE270/100)</f>
        <v/>
      </c>
      <c r="Z270" s="7">
        <f>IF($E270="","",AB270-Y270)</f>
        <v/>
      </c>
      <c r="AA270" s="7">
        <f>IF($E270="","",Z270-Q270)</f>
        <v/>
      </c>
      <c r="AB270" s="7" t="n"/>
      <c r="AE270">
        <f>IF($E270="","",IF($AQ270=1,0,IF($AP270=1,Settings!$C$6,Settings!$C$7))*100)</f>
        <v/>
      </c>
      <c r="AI270" s="7" t="n"/>
      <c r="AL270" s="11" t="n"/>
      <c r="AN270">
        <f>IF($E270="","",IF(COUNTIF($E$2:$E270,$E270)=1,1,0))</f>
        <v/>
      </c>
      <c r="AO270">
        <f>IF($AN270=1,SUMPRODUCT(--($AR$2:$AR$3001&lt;$AR270))+1,"")</f>
        <v/>
      </c>
      <c r="AP270">
        <f>IF($E270="","",IF(OR($U270=TRUE(),$U270="TRUE"),1,0))</f>
        <v/>
      </c>
      <c r="AQ270">
        <f>IF($E270="","",IF($AD270="Yes",1,0))</f>
        <v/>
      </c>
      <c r="AR270">
        <f>IF($AN270=1,IFERROR(VALUE(MID($E270,2,20)),1000000000)+ROW()/100000,"")</f>
        <v/>
      </c>
    </row>
    <row r="271">
      <c r="G271" s="11" t="n"/>
      <c r="Q271" s="7">
        <f>IF($E271="","",P271*AB271/100)</f>
        <v/>
      </c>
      <c r="R271" s="7" t="n"/>
      <c r="X271" s="7" t="n"/>
      <c r="Y271" s="7">
        <f>IF($E271="","",AB271*AE271/100)</f>
        <v/>
      </c>
      <c r="Z271" s="7">
        <f>IF($E271="","",AB271-Y271)</f>
        <v/>
      </c>
      <c r="AA271" s="7">
        <f>IF($E271="","",Z271-Q271)</f>
        <v/>
      </c>
      <c r="AB271" s="7" t="n"/>
      <c r="AE271">
        <f>IF($E271="","",IF($AQ271=1,0,IF($AP271=1,Settings!$C$6,Settings!$C$7))*100)</f>
        <v/>
      </c>
      <c r="AI271" s="7" t="n"/>
      <c r="AL271" s="11" t="n"/>
      <c r="AN271">
        <f>IF($E271="","",IF(COUNTIF($E$2:$E271,$E271)=1,1,0))</f>
        <v/>
      </c>
      <c r="AO271">
        <f>IF($AN271=1,SUMPRODUCT(--($AR$2:$AR$3001&lt;$AR271))+1,"")</f>
        <v/>
      </c>
      <c r="AP271">
        <f>IF($E271="","",IF(OR($U271=TRUE(),$U271="TRUE"),1,0))</f>
        <v/>
      </c>
      <c r="AQ271">
        <f>IF($E271="","",IF($AD271="Yes",1,0))</f>
        <v/>
      </c>
      <c r="AR271">
        <f>IF($AN271=1,IFERROR(VALUE(MID($E271,2,20)),1000000000)+ROW()/100000,"")</f>
        <v/>
      </c>
    </row>
    <row r="272">
      <c r="G272" s="11" t="n"/>
      <c r="Q272" s="7">
        <f>IF($E272="","",P272*AB272/100)</f>
        <v/>
      </c>
      <c r="R272" s="7" t="n"/>
      <c r="X272" s="7" t="n"/>
      <c r="Y272" s="7">
        <f>IF($E272="","",AB272*AE272/100)</f>
        <v/>
      </c>
      <c r="Z272" s="7">
        <f>IF($E272="","",AB272-Y272)</f>
        <v/>
      </c>
      <c r="AA272" s="7">
        <f>IF($E272="","",Z272-Q272)</f>
        <v/>
      </c>
      <c r="AB272" s="7" t="n"/>
      <c r="AE272">
        <f>IF($E272="","",IF($AQ272=1,0,IF($AP272=1,Settings!$C$6,Settings!$C$7))*100)</f>
        <v/>
      </c>
      <c r="AI272" s="7" t="n"/>
      <c r="AL272" s="11" t="n"/>
      <c r="AN272">
        <f>IF($E272="","",IF(COUNTIF($E$2:$E272,$E272)=1,1,0))</f>
        <v/>
      </c>
      <c r="AO272">
        <f>IF($AN272=1,SUMPRODUCT(--($AR$2:$AR$3001&lt;$AR272))+1,"")</f>
        <v/>
      </c>
      <c r="AP272">
        <f>IF($E272="","",IF(OR($U272=TRUE(),$U272="TRUE"),1,0))</f>
        <v/>
      </c>
      <c r="AQ272">
        <f>IF($E272="","",IF($AD272="Yes",1,0))</f>
        <v/>
      </c>
      <c r="AR272">
        <f>IF($AN272=1,IFERROR(VALUE(MID($E272,2,20)),1000000000)+ROW()/100000,"")</f>
        <v/>
      </c>
    </row>
    <row r="273">
      <c r="G273" s="11" t="n"/>
      <c r="Q273" s="7">
        <f>IF($E273="","",P273*AB273/100)</f>
        <v/>
      </c>
      <c r="R273" s="7" t="n"/>
      <c r="X273" s="7" t="n"/>
      <c r="Y273" s="7">
        <f>IF($E273="","",AB273*AE273/100)</f>
        <v/>
      </c>
      <c r="Z273" s="7">
        <f>IF($E273="","",AB273-Y273)</f>
        <v/>
      </c>
      <c r="AA273" s="7">
        <f>IF($E273="","",Z273-Q273)</f>
        <v/>
      </c>
      <c r="AB273" s="7" t="n"/>
      <c r="AE273">
        <f>IF($E273="","",IF($AQ273=1,0,IF($AP273=1,Settings!$C$6,Settings!$C$7))*100)</f>
        <v/>
      </c>
      <c r="AI273" s="7" t="n"/>
      <c r="AL273" s="11" t="n"/>
      <c r="AN273">
        <f>IF($E273="","",IF(COUNTIF($E$2:$E273,$E273)=1,1,0))</f>
        <v/>
      </c>
      <c r="AO273">
        <f>IF($AN273=1,SUMPRODUCT(--($AR$2:$AR$3001&lt;$AR273))+1,"")</f>
        <v/>
      </c>
      <c r="AP273">
        <f>IF($E273="","",IF(OR($U273=TRUE(),$U273="TRUE"),1,0))</f>
        <v/>
      </c>
      <c r="AQ273">
        <f>IF($E273="","",IF($AD273="Yes",1,0))</f>
        <v/>
      </c>
      <c r="AR273">
        <f>IF($AN273=1,IFERROR(VALUE(MID($E273,2,20)),1000000000)+ROW()/100000,"")</f>
        <v/>
      </c>
    </row>
    <row r="274">
      <c r="G274" s="11" t="n"/>
      <c r="Q274" s="7">
        <f>IF($E274="","",P274*AB274/100)</f>
        <v/>
      </c>
      <c r="R274" s="7" t="n"/>
      <c r="X274" s="7" t="n"/>
      <c r="Y274" s="7">
        <f>IF($E274="","",AB274*AE274/100)</f>
        <v/>
      </c>
      <c r="Z274" s="7">
        <f>IF($E274="","",AB274-Y274)</f>
        <v/>
      </c>
      <c r="AA274" s="7">
        <f>IF($E274="","",Z274-Q274)</f>
        <v/>
      </c>
      <c r="AB274" s="7" t="n"/>
      <c r="AE274">
        <f>IF($E274="","",IF($AQ274=1,0,IF($AP274=1,Settings!$C$6,Settings!$C$7))*100)</f>
        <v/>
      </c>
      <c r="AI274" s="7" t="n"/>
      <c r="AL274" s="11" t="n"/>
      <c r="AN274">
        <f>IF($E274="","",IF(COUNTIF($E$2:$E274,$E274)=1,1,0))</f>
        <v/>
      </c>
      <c r="AO274">
        <f>IF($AN274=1,SUMPRODUCT(--($AR$2:$AR$3001&lt;$AR274))+1,"")</f>
        <v/>
      </c>
      <c r="AP274">
        <f>IF($E274="","",IF(OR($U274=TRUE(),$U274="TRUE"),1,0))</f>
        <v/>
      </c>
      <c r="AQ274">
        <f>IF($E274="","",IF($AD274="Yes",1,0))</f>
        <v/>
      </c>
      <c r="AR274">
        <f>IF($AN274=1,IFERROR(VALUE(MID($E274,2,20)),1000000000)+ROW()/100000,"")</f>
        <v/>
      </c>
    </row>
    <row r="275">
      <c r="G275" s="11" t="n"/>
      <c r="Q275" s="7">
        <f>IF($E275="","",P275*AB275/100)</f>
        <v/>
      </c>
      <c r="R275" s="7" t="n"/>
      <c r="X275" s="7" t="n"/>
      <c r="Y275" s="7">
        <f>IF($E275="","",AB275*AE275/100)</f>
        <v/>
      </c>
      <c r="Z275" s="7">
        <f>IF($E275="","",AB275-Y275)</f>
        <v/>
      </c>
      <c r="AA275" s="7">
        <f>IF($E275="","",Z275-Q275)</f>
        <v/>
      </c>
      <c r="AB275" s="7" t="n"/>
      <c r="AE275">
        <f>IF($E275="","",IF($AQ275=1,0,IF($AP275=1,Settings!$C$6,Settings!$C$7))*100)</f>
        <v/>
      </c>
      <c r="AI275" s="7" t="n"/>
      <c r="AL275" s="11" t="n"/>
      <c r="AN275">
        <f>IF($E275="","",IF(COUNTIF($E$2:$E275,$E275)=1,1,0))</f>
        <v/>
      </c>
      <c r="AO275">
        <f>IF($AN275=1,SUMPRODUCT(--($AR$2:$AR$3001&lt;$AR275))+1,"")</f>
        <v/>
      </c>
      <c r="AP275">
        <f>IF($E275="","",IF(OR($U275=TRUE(),$U275="TRUE"),1,0))</f>
        <v/>
      </c>
      <c r="AQ275">
        <f>IF($E275="","",IF($AD275="Yes",1,0))</f>
        <v/>
      </c>
      <c r="AR275">
        <f>IF($AN275=1,IFERROR(VALUE(MID($E275,2,20)),1000000000)+ROW()/100000,"")</f>
        <v/>
      </c>
    </row>
    <row r="276">
      <c r="G276" s="11" t="n"/>
      <c r="Q276" s="7">
        <f>IF($E276="","",P276*AB276/100)</f>
        <v/>
      </c>
      <c r="R276" s="7" t="n"/>
      <c r="X276" s="7" t="n"/>
      <c r="Y276" s="7">
        <f>IF($E276="","",AB276*AE276/100)</f>
        <v/>
      </c>
      <c r="Z276" s="7">
        <f>IF($E276="","",AB276-Y276)</f>
        <v/>
      </c>
      <c r="AA276" s="7">
        <f>IF($E276="","",Z276-Q276)</f>
        <v/>
      </c>
      <c r="AB276" s="7" t="n"/>
      <c r="AE276">
        <f>IF($E276="","",IF($AQ276=1,0,IF($AP276=1,Settings!$C$6,Settings!$C$7))*100)</f>
        <v/>
      </c>
      <c r="AI276" s="7" t="n"/>
      <c r="AL276" s="11" t="n"/>
      <c r="AN276">
        <f>IF($E276="","",IF(COUNTIF($E$2:$E276,$E276)=1,1,0))</f>
        <v/>
      </c>
      <c r="AO276">
        <f>IF($AN276=1,SUMPRODUCT(--($AR$2:$AR$3001&lt;$AR276))+1,"")</f>
        <v/>
      </c>
      <c r="AP276">
        <f>IF($E276="","",IF(OR($U276=TRUE(),$U276="TRUE"),1,0))</f>
        <v/>
      </c>
      <c r="AQ276">
        <f>IF($E276="","",IF($AD276="Yes",1,0))</f>
        <v/>
      </c>
      <c r="AR276">
        <f>IF($AN276=1,IFERROR(VALUE(MID($E276,2,20)),1000000000)+ROW()/100000,"")</f>
        <v/>
      </c>
    </row>
    <row r="277">
      <c r="G277" s="11" t="n"/>
      <c r="Q277" s="7">
        <f>IF($E277="","",P277*AB277/100)</f>
        <v/>
      </c>
      <c r="R277" s="7" t="n"/>
      <c r="X277" s="7" t="n"/>
      <c r="Y277" s="7">
        <f>IF($E277="","",AB277*AE277/100)</f>
        <v/>
      </c>
      <c r="Z277" s="7">
        <f>IF($E277="","",AB277-Y277)</f>
        <v/>
      </c>
      <c r="AA277" s="7">
        <f>IF($E277="","",Z277-Q277)</f>
        <v/>
      </c>
      <c r="AB277" s="7" t="n"/>
      <c r="AE277">
        <f>IF($E277="","",IF($AQ277=1,0,IF($AP277=1,Settings!$C$6,Settings!$C$7))*100)</f>
        <v/>
      </c>
      <c r="AI277" s="7" t="n"/>
      <c r="AL277" s="11" t="n"/>
      <c r="AN277">
        <f>IF($E277="","",IF(COUNTIF($E$2:$E277,$E277)=1,1,0))</f>
        <v/>
      </c>
      <c r="AO277">
        <f>IF($AN277=1,SUMPRODUCT(--($AR$2:$AR$3001&lt;$AR277))+1,"")</f>
        <v/>
      </c>
      <c r="AP277">
        <f>IF($E277="","",IF(OR($U277=TRUE(),$U277="TRUE"),1,0))</f>
        <v/>
      </c>
      <c r="AQ277">
        <f>IF($E277="","",IF($AD277="Yes",1,0))</f>
        <v/>
      </c>
      <c r="AR277">
        <f>IF($AN277=1,IFERROR(VALUE(MID($E277,2,20)),1000000000)+ROW()/100000,"")</f>
        <v/>
      </c>
    </row>
    <row r="278">
      <c r="G278" s="11" t="n"/>
      <c r="Q278" s="7">
        <f>IF($E278="","",P278*AB278/100)</f>
        <v/>
      </c>
      <c r="R278" s="7" t="n"/>
      <c r="X278" s="7" t="n"/>
      <c r="Y278" s="7">
        <f>IF($E278="","",AB278*AE278/100)</f>
        <v/>
      </c>
      <c r="Z278" s="7">
        <f>IF($E278="","",AB278-Y278)</f>
        <v/>
      </c>
      <c r="AA278" s="7">
        <f>IF($E278="","",Z278-Q278)</f>
        <v/>
      </c>
      <c r="AB278" s="7" t="n"/>
      <c r="AE278">
        <f>IF($E278="","",IF($AQ278=1,0,IF($AP278=1,Settings!$C$6,Settings!$C$7))*100)</f>
        <v/>
      </c>
      <c r="AI278" s="7" t="n"/>
      <c r="AL278" s="11" t="n"/>
      <c r="AN278">
        <f>IF($E278="","",IF(COUNTIF($E$2:$E278,$E278)=1,1,0))</f>
        <v/>
      </c>
      <c r="AO278">
        <f>IF($AN278=1,SUMPRODUCT(--($AR$2:$AR$3001&lt;$AR278))+1,"")</f>
        <v/>
      </c>
      <c r="AP278">
        <f>IF($E278="","",IF(OR($U278=TRUE(),$U278="TRUE"),1,0))</f>
        <v/>
      </c>
      <c r="AQ278">
        <f>IF($E278="","",IF($AD278="Yes",1,0))</f>
        <v/>
      </c>
      <c r="AR278">
        <f>IF($AN278=1,IFERROR(VALUE(MID($E278,2,20)),1000000000)+ROW()/100000,"")</f>
        <v/>
      </c>
    </row>
    <row r="279">
      <c r="G279" s="11" t="n"/>
      <c r="Q279" s="7">
        <f>IF($E279="","",P279*AB279/100)</f>
        <v/>
      </c>
      <c r="R279" s="7" t="n"/>
      <c r="X279" s="7" t="n"/>
      <c r="Y279" s="7">
        <f>IF($E279="","",AB279*AE279/100)</f>
        <v/>
      </c>
      <c r="Z279" s="7">
        <f>IF($E279="","",AB279-Y279)</f>
        <v/>
      </c>
      <c r="AA279" s="7">
        <f>IF($E279="","",Z279-Q279)</f>
        <v/>
      </c>
      <c r="AB279" s="7" t="n"/>
      <c r="AE279">
        <f>IF($E279="","",IF($AQ279=1,0,IF($AP279=1,Settings!$C$6,Settings!$C$7))*100)</f>
        <v/>
      </c>
      <c r="AI279" s="7" t="n"/>
      <c r="AL279" s="11" t="n"/>
      <c r="AN279">
        <f>IF($E279="","",IF(COUNTIF($E$2:$E279,$E279)=1,1,0))</f>
        <v/>
      </c>
      <c r="AO279">
        <f>IF($AN279=1,SUMPRODUCT(--($AR$2:$AR$3001&lt;$AR279))+1,"")</f>
        <v/>
      </c>
      <c r="AP279">
        <f>IF($E279="","",IF(OR($U279=TRUE(),$U279="TRUE"),1,0))</f>
        <v/>
      </c>
      <c r="AQ279">
        <f>IF($E279="","",IF($AD279="Yes",1,0))</f>
        <v/>
      </c>
      <c r="AR279">
        <f>IF($AN279=1,IFERROR(VALUE(MID($E279,2,20)),1000000000)+ROW()/100000,"")</f>
        <v/>
      </c>
    </row>
    <row r="280">
      <c r="G280" s="11" t="n"/>
      <c r="Q280" s="7">
        <f>IF($E280="","",P280*AB280/100)</f>
        <v/>
      </c>
      <c r="R280" s="7" t="n"/>
      <c r="X280" s="7" t="n"/>
      <c r="Y280" s="7">
        <f>IF($E280="","",AB280*AE280/100)</f>
        <v/>
      </c>
      <c r="Z280" s="7">
        <f>IF($E280="","",AB280-Y280)</f>
        <v/>
      </c>
      <c r="AA280" s="7">
        <f>IF($E280="","",Z280-Q280)</f>
        <v/>
      </c>
      <c r="AB280" s="7" t="n"/>
      <c r="AE280">
        <f>IF($E280="","",IF($AQ280=1,0,IF($AP280=1,Settings!$C$6,Settings!$C$7))*100)</f>
        <v/>
      </c>
      <c r="AI280" s="7" t="n"/>
      <c r="AL280" s="11" t="n"/>
      <c r="AN280">
        <f>IF($E280="","",IF(COUNTIF($E$2:$E280,$E280)=1,1,0))</f>
        <v/>
      </c>
      <c r="AO280">
        <f>IF($AN280=1,SUMPRODUCT(--($AR$2:$AR$3001&lt;$AR280))+1,"")</f>
        <v/>
      </c>
      <c r="AP280">
        <f>IF($E280="","",IF(OR($U280=TRUE(),$U280="TRUE"),1,0))</f>
        <v/>
      </c>
      <c r="AQ280">
        <f>IF($E280="","",IF($AD280="Yes",1,0))</f>
        <v/>
      </c>
      <c r="AR280">
        <f>IF($AN280=1,IFERROR(VALUE(MID($E280,2,20)),1000000000)+ROW()/100000,"")</f>
        <v/>
      </c>
    </row>
    <row r="281">
      <c r="G281" s="11" t="n"/>
      <c r="Q281" s="7">
        <f>IF($E281="","",P281*AB281/100)</f>
        <v/>
      </c>
      <c r="R281" s="7" t="n"/>
      <c r="X281" s="7" t="n"/>
      <c r="Y281" s="7">
        <f>IF($E281="","",AB281*AE281/100)</f>
        <v/>
      </c>
      <c r="Z281" s="7">
        <f>IF($E281="","",AB281-Y281)</f>
        <v/>
      </c>
      <c r="AA281" s="7">
        <f>IF($E281="","",Z281-Q281)</f>
        <v/>
      </c>
      <c r="AB281" s="7" t="n"/>
      <c r="AE281">
        <f>IF($E281="","",IF($AQ281=1,0,IF($AP281=1,Settings!$C$6,Settings!$C$7))*100)</f>
        <v/>
      </c>
      <c r="AI281" s="7" t="n"/>
      <c r="AL281" s="11" t="n"/>
      <c r="AN281">
        <f>IF($E281="","",IF(COUNTIF($E$2:$E281,$E281)=1,1,0))</f>
        <v/>
      </c>
      <c r="AO281">
        <f>IF($AN281=1,SUMPRODUCT(--($AR$2:$AR$3001&lt;$AR281))+1,"")</f>
        <v/>
      </c>
      <c r="AP281">
        <f>IF($E281="","",IF(OR($U281=TRUE(),$U281="TRUE"),1,0))</f>
        <v/>
      </c>
      <c r="AQ281">
        <f>IF($E281="","",IF($AD281="Yes",1,0))</f>
        <v/>
      </c>
      <c r="AR281">
        <f>IF($AN281=1,IFERROR(VALUE(MID($E281,2,20)),1000000000)+ROW()/100000,"")</f>
        <v/>
      </c>
    </row>
    <row r="282">
      <c r="G282" s="11" t="n"/>
      <c r="Q282" s="7">
        <f>IF($E282="","",P282*AB282/100)</f>
        <v/>
      </c>
      <c r="R282" s="7" t="n"/>
      <c r="X282" s="7" t="n"/>
      <c r="Y282" s="7">
        <f>IF($E282="","",AB282*AE282/100)</f>
        <v/>
      </c>
      <c r="Z282" s="7">
        <f>IF($E282="","",AB282-Y282)</f>
        <v/>
      </c>
      <c r="AA282" s="7">
        <f>IF($E282="","",Z282-Q282)</f>
        <v/>
      </c>
      <c r="AB282" s="7" t="n"/>
      <c r="AE282">
        <f>IF($E282="","",IF($AQ282=1,0,IF($AP282=1,Settings!$C$6,Settings!$C$7))*100)</f>
        <v/>
      </c>
      <c r="AI282" s="7" t="n"/>
      <c r="AL282" s="11" t="n"/>
      <c r="AN282">
        <f>IF($E282="","",IF(COUNTIF($E$2:$E282,$E282)=1,1,0))</f>
        <v/>
      </c>
      <c r="AO282">
        <f>IF($AN282=1,SUMPRODUCT(--($AR$2:$AR$3001&lt;$AR282))+1,"")</f>
        <v/>
      </c>
      <c r="AP282">
        <f>IF($E282="","",IF(OR($U282=TRUE(),$U282="TRUE"),1,0))</f>
        <v/>
      </c>
      <c r="AQ282">
        <f>IF($E282="","",IF($AD282="Yes",1,0))</f>
        <v/>
      </c>
      <c r="AR282">
        <f>IF($AN282=1,IFERROR(VALUE(MID($E282,2,20)),1000000000)+ROW()/100000,"")</f>
        <v/>
      </c>
    </row>
    <row r="283">
      <c r="G283" s="11" t="n"/>
      <c r="Q283" s="7">
        <f>IF($E283="","",P283*AB283/100)</f>
        <v/>
      </c>
      <c r="R283" s="7" t="n"/>
      <c r="X283" s="7" t="n"/>
      <c r="Y283" s="7">
        <f>IF($E283="","",AB283*AE283/100)</f>
        <v/>
      </c>
      <c r="Z283" s="7">
        <f>IF($E283="","",AB283-Y283)</f>
        <v/>
      </c>
      <c r="AA283" s="7">
        <f>IF($E283="","",Z283-Q283)</f>
        <v/>
      </c>
      <c r="AB283" s="7" t="n"/>
      <c r="AE283">
        <f>IF($E283="","",IF($AQ283=1,0,IF($AP283=1,Settings!$C$6,Settings!$C$7))*100)</f>
        <v/>
      </c>
      <c r="AI283" s="7" t="n"/>
      <c r="AL283" s="11" t="n"/>
      <c r="AN283">
        <f>IF($E283="","",IF(COUNTIF($E$2:$E283,$E283)=1,1,0))</f>
        <v/>
      </c>
      <c r="AO283">
        <f>IF($AN283=1,SUMPRODUCT(--($AR$2:$AR$3001&lt;$AR283))+1,"")</f>
        <v/>
      </c>
      <c r="AP283">
        <f>IF($E283="","",IF(OR($U283=TRUE(),$U283="TRUE"),1,0))</f>
        <v/>
      </c>
      <c r="AQ283">
        <f>IF($E283="","",IF($AD283="Yes",1,0))</f>
        <v/>
      </c>
      <c r="AR283">
        <f>IF($AN283=1,IFERROR(VALUE(MID($E283,2,20)),1000000000)+ROW()/100000,"")</f>
        <v/>
      </c>
    </row>
    <row r="284">
      <c r="G284" s="11" t="n"/>
      <c r="Q284" s="7">
        <f>IF($E284="","",P284*AB284/100)</f>
        <v/>
      </c>
      <c r="R284" s="7" t="n"/>
      <c r="X284" s="7" t="n"/>
      <c r="Y284" s="7">
        <f>IF($E284="","",AB284*AE284/100)</f>
        <v/>
      </c>
      <c r="Z284" s="7">
        <f>IF($E284="","",AB284-Y284)</f>
        <v/>
      </c>
      <c r="AA284" s="7">
        <f>IF($E284="","",Z284-Q284)</f>
        <v/>
      </c>
      <c r="AB284" s="7" t="n"/>
      <c r="AE284">
        <f>IF($E284="","",IF($AQ284=1,0,IF($AP284=1,Settings!$C$6,Settings!$C$7))*100)</f>
        <v/>
      </c>
      <c r="AI284" s="7" t="n"/>
      <c r="AL284" s="11" t="n"/>
      <c r="AN284">
        <f>IF($E284="","",IF(COUNTIF($E$2:$E284,$E284)=1,1,0))</f>
        <v/>
      </c>
      <c r="AO284">
        <f>IF($AN284=1,SUMPRODUCT(--($AR$2:$AR$3001&lt;$AR284))+1,"")</f>
        <v/>
      </c>
      <c r="AP284">
        <f>IF($E284="","",IF(OR($U284=TRUE(),$U284="TRUE"),1,0))</f>
        <v/>
      </c>
      <c r="AQ284">
        <f>IF($E284="","",IF($AD284="Yes",1,0))</f>
        <v/>
      </c>
      <c r="AR284">
        <f>IF($AN284=1,IFERROR(VALUE(MID($E284,2,20)),1000000000)+ROW()/100000,"")</f>
        <v/>
      </c>
    </row>
    <row r="285">
      <c r="G285" s="11" t="n"/>
      <c r="Q285" s="7">
        <f>IF($E285="","",P285*AB285/100)</f>
        <v/>
      </c>
      <c r="R285" s="7" t="n"/>
      <c r="X285" s="7" t="n"/>
      <c r="Y285" s="7">
        <f>IF($E285="","",AB285*AE285/100)</f>
        <v/>
      </c>
      <c r="Z285" s="7">
        <f>IF($E285="","",AB285-Y285)</f>
        <v/>
      </c>
      <c r="AA285" s="7">
        <f>IF($E285="","",Z285-Q285)</f>
        <v/>
      </c>
      <c r="AB285" s="7" t="n"/>
      <c r="AE285">
        <f>IF($E285="","",IF($AQ285=1,0,IF($AP285=1,Settings!$C$6,Settings!$C$7))*100)</f>
        <v/>
      </c>
      <c r="AI285" s="7" t="n"/>
      <c r="AL285" s="11" t="n"/>
      <c r="AN285">
        <f>IF($E285="","",IF(COUNTIF($E$2:$E285,$E285)=1,1,0))</f>
        <v/>
      </c>
      <c r="AO285">
        <f>IF($AN285=1,SUMPRODUCT(--($AR$2:$AR$3001&lt;$AR285))+1,"")</f>
        <v/>
      </c>
      <c r="AP285">
        <f>IF($E285="","",IF(OR($U285=TRUE(),$U285="TRUE"),1,0))</f>
        <v/>
      </c>
      <c r="AQ285">
        <f>IF($E285="","",IF($AD285="Yes",1,0))</f>
        <v/>
      </c>
      <c r="AR285">
        <f>IF($AN285=1,IFERROR(VALUE(MID($E285,2,20)),1000000000)+ROW()/100000,"")</f>
        <v/>
      </c>
    </row>
    <row r="286">
      <c r="G286" s="11" t="n"/>
      <c r="Q286" s="7">
        <f>IF($E286="","",P286*AB286/100)</f>
        <v/>
      </c>
      <c r="R286" s="7" t="n"/>
      <c r="X286" s="7" t="n"/>
      <c r="Y286" s="7">
        <f>IF($E286="","",AB286*AE286/100)</f>
        <v/>
      </c>
      <c r="Z286" s="7">
        <f>IF($E286="","",AB286-Y286)</f>
        <v/>
      </c>
      <c r="AA286" s="7">
        <f>IF($E286="","",Z286-Q286)</f>
        <v/>
      </c>
      <c r="AB286" s="7" t="n"/>
      <c r="AE286">
        <f>IF($E286="","",IF($AQ286=1,0,IF($AP286=1,Settings!$C$6,Settings!$C$7))*100)</f>
        <v/>
      </c>
      <c r="AI286" s="7" t="n"/>
      <c r="AL286" s="11" t="n"/>
      <c r="AN286">
        <f>IF($E286="","",IF(COUNTIF($E$2:$E286,$E286)=1,1,0))</f>
        <v/>
      </c>
      <c r="AO286">
        <f>IF($AN286=1,SUMPRODUCT(--($AR$2:$AR$3001&lt;$AR286))+1,"")</f>
        <v/>
      </c>
      <c r="AP286">
        <f>IF($E286="","",IF(OR($U286=TRUE(),$U286="TRUE"),1,0))</f>
        <v/>
      </c>
      <c r="AQ286">
        <f>IF($E286="","",IF($AD286="Yes",1,0))</f>
        <v/>
      </c>
      <c r="AR286">
        <f>IF($AN286=1,IFERROR(VALUE(MID($E286,2,20)),1000000000)+ROW()/100000,"")</f>
        <v/>
      </c>
    </row>
    <row r="287">
      <c r="G287" s="11" t="n"/>
      <c r="Q287" s="7">
        <f>IF($E287="","",P287*AB287/100)</f>
        <v/>
      </c>
      <c r="R287" s="7" t="n"/>
      <c r="X287" s="7" t="n"/>
      <c r="Y287" s="7">
        <f>IF($E287="","",AB287*AE287/100)</f>
        <v/>
      </c>
      <c r="Z287" s="7">
        <f>IF($E287="","",AB287-Y287)</f>
        <v/>
      </c>
      <c r="AA287" s="7">
        <f>IF($E287="","",Z287-Q287)</f>
        <v/>
      </c>
      <c r="AB287" s="7" t="n"/>
      <c r="AE287">
        <f>IF($E287="","",IF($AQ287=1,0,IF($AP287=1,Settings!$C$6,Settings!$C$7))*100)</f>
        <v/>
      </c>
      <c r="AI287" s="7" t="n"/>
      <c r="AL287" s="11" t="n"/>
      <c r="AN287">
        <f>IF($E287="","",IF(COUNTIF($E$2:$E287,$E287)=1,1,0))</f>
        <v/>
      </c>
      <c r="AO287">
        <f>IF($AN287=1,SUMPRODUCT(--($AR$2:$AR$3001&lt;$AR287))+1,"")</f>
        <v/>
      </c>
      <c r="AP287">
        <f>IF($E287="","",IF(OR($U287=TRUE(),$U287="TRUE"),1,0))</f>
        <v/>
      </c>
      <c r="AQ287">
        <f>IF($E287="","",IF($AD287="Yes",1,0))</f>
        <v/>
      </c>
      <c r="AR287">
        <f>IF($AN287=1,IFERROR(VALUE(MID($E287,2,20)),1000000000)+ROW()/100000,"")</f>
        <v/>
      </c>
    </row>
    <row r="288">
      <c r="G288" s="11" t="n"/>
      <c r="Q288" s="7">
        <f>IF($E288="","",P288*AB288/100)</f>
        <v/>
      </c>
      <c r="R288" s="7" t="n"/>
      <c r="X288" s="7" t="n"/>
      <c r="Y288" s="7">
        <f>IF($E288="","",AB288*AE288/100)</f>
        <v/>
      </c>
      <c r="Z288" s="7">
        <f>IF($E288="","",AB288-Y288)</f>
        <v/>
      </c>
      <c r="AA288" s="7">
        <f>IF($E288="","",Z288-Q288)</f>
        <v/>
      </c>
      <c r="AB288" s="7" t="n"/>
      <c r="AE288">
        <f>IF($E288="","",IF($AQ288=1,0,IF($AP288=1,Settings!$C$6,Settings!$C$7))*100)</f>
        <v/>
      </c>
      <c r="AI288" s="7" t="n"/>
      <c r="AL288" s="11" t="n"/>
      <c r="AN288">
        <f>IF($E288="","",IF(COUNTIF($E$2:$E288,$E288)=1,1,0))</f>
        <v/>
      </c>
      <c r="AO288">
        <f>IF($AN288=1,SUMPRODUCT(--($AR$2:$AR$3001&lt;$AR288))+1,"")</f>
        <v/>
      </c>
      <c r="AP288">
        <f>IF($E288="","",IF(OR($U288=TRUE(),$U288="TRUE"),1,0))</f>
        <v/>
      </c>
      <c r="AQ288">
        <f>IF($E288="","",IF($AD288="Yes",1,0))</f>
        <v/>
      </c>
      <c r="AR288">
        <f>IF($AN288=1,IFERROR(VALUE(MID($E288,2,20)),1000000000)+ROW()/100000,"")</f>
        <v/>
      </c>
    </row>
    <row r="289">
      <c r="G289" s="11" t="n"/>
      <c r="Q289" s="7">
        <f>IF($E289="","",P289*AB289/100)</f>
        <v/>
      </c>
      <c r="R289" s="7" t="n"/>
      <c r="X289" s="7" t="n"/>
      <c r="Y289" s="7">
        <f>IF($E289="","",AB289*AE289/100)</f>
        <v/>
      </c>
      <c r="Z289" s="7">
        <f>IF($E289="","",AB289-Y289)</f>
        <v/>
      </c>
      <c r="AA289" s="7">
        <f>IF($E289="","",Z289-Q289)</f>
        <v/>
      </c>
      <c r="AB289" s="7" t="n"/>
      <c r="AE289">
        <f>IF($E289="","",IF($AQ289=1,0,IF($AP289=1,Settings!$C$6,Settings!$C$7))*100)</f>
        <v/>
      </c>
      <c r="AI289" s="7" t="n"/>
      <c r="AL289" s="11" t="n"/>
      <c r="AN289">
        <f>IF($E289="","",IF(COUNTIF($E$2:$E289,$E289)=1,1,0))</f>
        <v/>
      </c>
      <c r="AO289">
        <f>IF($AN289=1,SUMPRODUCT(--($AR$2:$AR$3001&lt;$AR289))+1,"")</f>
        <v/>
      </c>
      <c r="AP289">
        <f>IF($E289="","",IF(OR($U289=TRUE(),$U289="TRUE"),1,0))</f>
        <v/>
      </c>
      <c r="AQ289">
        <f>IF($E289="","",IF($AD289="Yes",1,0))</f>
        <v/>
      </c>
      <c r="AR289">
        <f>IF($AN289=1,IFERROR(VALUE(MID($E289,2,20)),1000000000)+ROW()/100000,"")</f>
        <v/>
      </c>
    </row>
    <row r="290">
      <c r="G290" s="11" t="n"/>
      <c r="Q290" s="7">
        <f>IF($E290="","",P290*AB290/100)</f>
        <v/>
      </c>
      <c r="R290" s="7" t="n"/>
      <c r="X290" s="7" t="n"/>
      <c r="Y290" s="7">
        <f>IF($E290="","",AB290*AE290/100)</f>
        <v/>
      </c>
      <c r="Z290" s="7">
        <f>IF($E290="","",AB290-Y290)</f>
        <v/>
      </c>
      <c r="AA290" s="7">
        <f>IF($E290="","",Z290-Q290)</f>
        <v/>
      </c>
      <c r="AB290" s="7" t="n"/>
      <c r="AE290">
        <f>IF($E290="","",IF($AQ290=1,0,IF($AP290=1,Settings!$C$6,Settings!$C$7))*100)</f>
        <v/>
      </c>
      <c r="AI290" s="7" t="n"/>
      <c r="AL290" s="11" t="n"/>
      <c r="AN290">
        <f>IF($E290="","",IF(COUNTIF($E$2:$E290,$E290)=1,1,0))</f>
        <v/>
      </c>
      <c r="AO290">
        <f>IF($AN290=1,SUMPRODUCT(--($AR$2:$AR$3001&lt;$AR290))+1,"")</f>
        <v/>
      </c>
      <c r="AP290">
        <f>IF($E290="","",IF(OR($U290=TRUE(),$U290="TRUE"),1,0))</f>
        <v/>
      </c>
      <c r="AQ290">
        <f>IF($E290="","",IF($AD290="Yes",1,0))</f>
        <v/>
      </c>
      <c r="AR290">
        <f>IF($AN290=1,IFERROR(VALUE(MID($E290,2,20)),1000000000)+ROW()/100000,"")</f>
        <v/>
      </c>
    </row>
    <row r="291">
      <c r="G291" s="11" t="n"/>
      <c r="Q291" s="7">
        <f>IF($E291="","",P291*AB291/100)</f>
        <v/>
      </c>
      <c r="R291" s="7" t="n"/>
      <c r="X291" s="7" t="n"/>
      <c r="Y291" s="7">
        <f>IF($E291="","",AB291*AE291/100)</f>
        <v/>
      </c>
      <c r="Z291" s="7">
        <f>IF($E291="","",AB291-Y291)</f>
        <v/>
      </c>
      <c r="AA291" s="7">
        <f>IF($E291="","",Z291-Q291)</f>
        <v/>
      </c>
      <c r="AB291" s="7" t="n"/>
      <c r="AE291">
        <f>IF($E291="","",IF($AQ291=1,0,IF($AP291=1,Settings!$C$6,Settings!$C$7))*100)</f>
        <v/>
      </c>
      <c r="AI291" s="7" t="n"/>
      <c r="AL291" s="11" t="n"/>
      <c r="AN291">
        <f>IF($E291="","",IF(COUNTIF($E$2:$E291,$E291)=1,1,0))</f>
        <v/>
      </c>
      <c r="AO291">
        <f>IF($AN291=1,SUMPRODUCT(--($AR$2:$AR$3001&lt;$AR291))+1,"")</f>
        <v/>
      </c>
      <c r="AP291">
        <f>IF($E291="","",IF(OR($U291=TRUE(),$U291="TRUE"),1,0))</f>
        <v/>
      </c>
      <c r="AQ291">
        <f>IF($E291="","",IF($AD291="Yes",1,0))</f>
        <v/>
      </c>
      <c r="AR291">
        <f>IF($AN291=1,IFERROR(VALUE(MID($E291,2,20)),1000000000)+ROW()/100000,"")</f>
        <v/>
      </c>
    </row>
    <row r="292">
      <c r="G292" s="11" t="n"/>
      <c r="Q292" s="7">
        <f>IF($E292="","",P292*AB292/100)</f>
        <v/>
      </c>
      <c r="R292" s="7" t="n"/>
      <c r="X292" s="7" t="n"/>
      <c r="Y292" s="7">
        <f>IF($E292="","",AB292*AE292/100)</f>
        <v/>
      </c>
      <c r="Z292" s="7">
        <f>IF($E292="","",AB292-Y292)</f>
        <v/>
      </c>
      <c r="AA292" s="7">
        <f>IF($E292="","",Z292-Q292)</f>
        <v/>
      </c>
      <c r="AB292" s="7" t="n"/>
      <c r="AE292">
        <f>IF($E292="","",IF($AQ292=1,0,IF($AP292=1,Settings!$C$6,Settings!$C$7))*100)</f>
        <v/>
      </c>
      <c r="AI292" s="7" t="n"/>
      <c r="AL292" s="11" t="n"/>
      <c r="AN292">
        <f>IF($E292="","",IF(COUNTIF($E$2:$E292,$E292)=1,1,0))</f>
        <v/>
      </c>
      <c r="AO292">
        <f>IF($AN292=1,SUMPRODUCT(--($AR$2:$AR$3001&lt;$AR292))+1,"")</f>
        <v/>
      </c>
      <c r="AP292">
        <f>IF($E292="","",IF(OR($U292=TRUE(),$U292="TRUE"),1,0))</f>
        <v/>
      </c>
      <c r="AQ292">
        <f>IF($E292="","",IF($AD292="Yes",1,0))</f>
        <v/>
      </c>
      <c r="AR292">
        <f>IF($AN292=1,IFERROR(VALUE(MID($E292,2,20)),1000000000)+ROW()/100000,"")</f>
        <v/>
      </c>
    </row>
    <row r="293">
      <c r="G293" s="11" t="n"/>
      <c r="Q293" s="7">
        <f>IF($E293="","",P293*AB293/100)</f>
        <v/>
      </c>
      <c r="R293" s="7" t="n"/>
      <c r="X293" s="7" t="n"/>
      <c r="Y293" s="7">
        <f>IF($E293="","",AB293*AE293/100)</f>
        <v/>
      </c>
      <c r="Z293" s="7">
        <f>IF($E293="","",AB293-Y293)</f>
        <v/>
      </c>
      <c r="AA293" s="7">
        <f>IF($E293="","",Z293-Q293)</f>
        <v/>
      </c>
      <c r="AB293" s="7" t="n"/>
      <c r="AE293">
        <f>IF($E293="","",IF($AQ293=1,0,IF($AP293=1,Settings!$C$6,Settings!$C$7))*100)</f>
        <v/>
      </c>
      <c r="AI293" s="7" t="n"/>
      <c r="AL293" s="11" t="n"/>
      <c r="AN293">
        <f>IF($E293="","",IF(COUNTIF($E$2:$E293,$E293)=1,1,0))</f>
        <v/>
      </c>
      <c r="AO293">
        <f>IF($AN293=1,SUMPRODUCT(--($AR$2:$AR$3001&lt;$AR293))+1,"")</f>
        <v/>
      </c>
      <c r="AP293">
        <f>IF($E293="","",IF(OR($U293=TRUE(),$U293="TRUE"),1,0))</f>
        <v/>
      </c>
      <c r="AQ293">
        <f>IF($E293="","",IF($AD293="Yes",1,0))</f>
        <v/>
      </c>
      <c r="AR293">
        <f>IF($AN293=1,IFERROR(VALUE(MID($E293,2,20)),1000000000)+ROW()/100000,"")</f>
        <v/>
      </c>
    </row>
    <row r="294">
      <c r="G294" s="11" t="n"/>
      <c r="Q294" s="7">
        <f>IF($E294="","",P294*AB294/100)</f>
        <v/>
      </c>
      <c r="R294" s="7" t="n"/>
      <c r="X294" s="7" t="n"/>
      <c r="Y294" s="7">
        <f>IF($E294="","",AB294*AE294/100)</f>
        <v/>
      </c>
      <c r="Z294" s="7">
        <f>IF($E294="","",AB294-Y294)</f>
        <v/>
      </c>
      <c r="AA294" s="7">
        <f>IF($E294="","",Z294-Q294)</f>
        <v/>
      </c>
      <c r="AB294" s="7" t="n"/>
      <c r="AE294">
        <f>IF($E294="","",IF($AQ294=1,0,IF($AP294=1,Settings!$C$6,Settings!$C$7))*100)</f>
        <v/>
      </c>
      <c r="AI294" s="7" t="n"/>
      <c r="AL294" s="11" t="n"/>
      <c r="AN294">
        <f>IF($E294="","",IF(COUNTIF($E$2:$E294,$E294)=1,1,0))</f>
        <v/>
      </c>
      <c r="AO294">
        <f>IF($AN294=1,SUMPRODUCT(--($AR$2:$AR$3001&lt;$AR294))+1,"")</f>
        <v/>
      </c>
      <c r="AP294">
        <f>IF($E294="","",IF(OR($U294=TRUE(),$U294="TRUE"),1,0))</f>
        <v/>
      </c>
      <c r="AQ294">
        <f>IF($E294="","",IF($AD294="Yes",1,0))</f>
        <v/>
      </c>
      <c r="AR294">
        <f>IF($AN294=1,IFERROR(VALUE(MID($E294,2,20)),1000000000)+ROW()/100000,"")</f>
        <v/>
      </c>
    </row>
    <row r="295">
      <c r="G295" s="11" t="n"/>
      <c r="Q295" s="7">
        <f>IF($E295="","",P295*AB295/100)</f>
        <v/>
      </c>
      <c r="R295" s="7" t="n"/>
      <c r="X295" s="7" t="n"/>
      <c r="Y295" s="7">
        <f>IF($E295="","",AB295*AE295/100)</f>
        <v/>
      </c>
      <c r="Z295" s="7">
        <f>IF($E295="","",AB295-Y295)</f>
        <v/>
      </c>
      <c r="AA295" s="7">
        <f>IF($E295="","",Z295-Q295)</f>
        <v/>
      </c>
      <c r="AB295" s="7" t="n"/>
      <c r="AE295">
        <f>IF($E295="","",IF($AQ295=1,0,IF($AP295=1,Settings!$C$6,Settings!$C$7))*100)</f>
        <v/>
      </c>
      <c r="AI295" s="7" t="n"/>
      <c r="AL295" s="11" t="n"/>
      <c r="AN295">
        <f>IF($E295="","",IF(COUNTIF($E$2:$E295,$E295)=1,1,0))</f>
        <v/>
      </c>
      <c r="AO295">
        <f>IF($AN295=1,SUMPRODUCT(--($AR$2:$AR$3001&lt;$AR295))+1,"")</f>
        <v/>
      </c>
      <c r="AP295">
        <f>IF($E295="","",IF(OR($U295=TRUE(),$U295="TRUE"),1,0))</f>
        <v/>
      </c>
      <c r="AQ295">
        <f>IF($E295="","",IF($AD295="Yes",1,0))</f>
        <v/>
      </c>
      <c r="AR295">
        <f>IF($AN295=1,IFERROR(VALUE(MID($E295,2,20)),1000000000)+ROW()/100000,"")</f>
        <v/>
      </c>
    </row>
    <row r="296">
      <c r="G296" s="11" t="n"/>
      <c r="Q296" s="7">
        <f>IF($E296="","",P296*AB296/100)</f>
        <v/>
      </c>
      <c r="R296" s="7" t="n"/>
      <c r="X296" s="7" t="n"/>
      <c r="Y296" s="7">
        <f>IF($E296="","",AB296*AE296/100)</f>
        <v/>
      </c>
      <c r="Z296" s="7">
        <f>IF($E296="","",AB296-Y296)</f>
        <v/>
      </c>
      <c r="AA296" s="7">
        <f>IF($E296="","",Z296-Q296)</f>
        <v/>
      </c>
      <c r="AB296" s="7" t="n"/>
      <c r="AE296">
        <f>IF($E296="","",IF($AQ296=1,0,IF($AP296=1,Settings!$C$6,Settings!$C$7))*100)</f>
        <v/>
      </c>
      <c r="AI296" s="7" t="n"/>
      <c r="AL296" s="11" t="n"/>
      <c r="AN296">
        <f>IF($E296="","",IF(COUNTIF($E$2:$E296,$E296)=1,1,0))</f>
        <v/>
      </c>
      <c r="AO296">
        <f>IF($AN296=1,SUMPRODUCT(--($AR$2:$AR$3001&lt;$AR296))+1,"")</f>
        <v/>
      </c>
      <c r="AP296">
        <f>IF($E296="","",IF(OR($U296=TRUE(),$U296="TRUE"),1,0))</f>
        <v/>
      </c>
      <c r="AQ296">
        <f>IF($E296="","",IF($AD296="Yes",1,0))</f>
        <v/>
      </c>
      <c r="AR296">
        <f>IF($AN296=1,IFERROR(VALUE(MID($E296,2,20)),1000000000)+ROW()/100000,"")</f>
        <v/>
      </c>
    </row>
    <row r="297">
      <c r="G297" s="11" t="n"/>
      <c r="Q297" s="7">
        <f>IF($E297="","",P297*AB297/100)</f>
        <v/>
      </c>
      <c r="R297" s="7" t="n"/>
      <c r="X297" s="7" t="n"/>
      <c r="Y297" s="7">
        <f>IF($E297="","",AB297*AE297/100)</f>
        <v/>
      </c>
      <c r="Z297" s="7">
        <f>IF($E297="","",AB297-Y297)</f>
        <v/>
      </c>
      <c r="AA297" s="7">
        <f>IF($E297="","",Z297-Q297)</f>
        <v/>
      </c>
      <c r="AB297" s="7" t="n"/>
      <c r="AE297">
        <f>IF($E297="","",IF($AQ297=1,0,IF($AP297=1,Settings!$C$6,Settings!$C$7))*100)</f>
        <v/>
      </c>
      <c r="AI297" s="7" t="n"/>
      <c r="AL297" s="11" t="n"/>
      <c r="AN297">
        <f>IF($E297="","",IF(COUNTIF($E$2:$E297,$E297)=1,1,0))</f>
        <v/>
      </c>
      <c r="AO297">
        <f>IF($AN297=1,SUMPRODUCT(--($AR$2:$AR$3001&lt;$AR297))+1,"")</f>
        <v/>
      </c>
      <c r="AP297">
        <f>IF($E297="","",IF(OR($U297=TRUE(),$U297="TRUE"),1,0))</f>
        <v/>
      </c>
      <c r="AQ297">
        <f>IF($E297="","",IF($AD297="Yes",1,0))</f>
        <v/>
      </c>
      <c r="AR297">
        <f>IF($AN297=1,IFERROR(VALUE(MID($E297,2,20)),1000000000)+ROW()/100000,"")</f>
        <v/>
      </c>
    </row>
    <row r="298">
      <c r="G298" s="11" t="n"/>
      <c r="Q298" s="7">
        <f>IF($E298="","",P298*AB298/100)</f>
        <v/>
      </c>
      <c r="R298" s="7" t="n"/>
      <c r="X298" s="7" t="n"/>
      <c r="Y298" s="7">
        <f>IF($E298="","",AB298*AE298/100)</f>
        <v/>
      </c>
      <c r="Z298" s="7">
        <f>IF($E298="","",AB298-Y298)</f>
        <v/>
      </c>
      <c r="AA298" s="7">
        <f>IF($E298="","",Z298-Q298)</f>
        <v/>
      </c>
      <c r="AB298" s="7" t="n"/>
      <c r="AE298">
        <f>IF($E298="","",IF($AQ298=1,0,IF($AP298=1,Settings!$C$6,Settings!$C$7))*100)</f>
        <v/>
      </c>
      <c r="AI298" s="7" t="n"/>
      <c r="AL298" s="11" t="n"/>
      <c r="AN298">
        <f>IF($E298="","",IF(COUNTIF($E$2:$E298,$E298)=1,1,0))</f>
        <v/>
      </c>
      <c r="AO298">
        <f>IF($AN298=1,SUMPRODUCT(--($AR$2:$AR$3001&lt;$AR298))+1,"")</f>
        <v/>
      </c>
      <c r="AP298">
        <f>IF($E298="","",IF(OR($U298=TRUE(),$U298="TRUE"),1,0))</f>
        <v/>
      </c>
      <c r="AQ298">
        <f>IF($E298="","",IF($AD298="Yes",1,0))</f>
        <v/>
      </c>
      <c r="AR298">
        <f>IF($AN298=1,IFERROR(VALUE(MID($E298,2,20)),1000000000)+ROW()/100000,"")</f>
        <v/>
      </c>
    </row>
    <row r="299">
      <c r="G299" s="11" t="n"/>
      <c r="Q299" s="7">
        <f>IF($E299="","",P299*AB299/100)</f>
        <v/>
      </c>
      <c r="R299" s="7" t="n"/>
      <c r="X299" s="7" t="n"/>
      <c r="Y299" s="7">
        <f>IF($E299="","",AB299*AE299/100)</f>
        <v/>
      </c>
      <c r="Z299" s="7">
        <f>IF($E299="","",AB299-Y299)</f>
        <v/>
      </c>
      <c r="AA299" s="7">
        <f>IF($E299="","",Z299-Q299)</f>
        <v/>
      </c>
      <c r="AB299" s="7" t="n"/>
      <c r="AE299">
        <f>IF($E299="","",IF($AQ299=1,0,IF($AP299=1,Settings!$C$6,Settings!$C$7))*100)</f>
        <v/>
      </c>
      <c r="AI299" s="7" t="n"/>
      <c r="AL299" s="11" t="n"/>
      <c r="AN299">
        <f>IF($E299="","",IF(COUNTIF($E$2:$E299,$E299)=1,1,0))</f>
        <v/>
      </c>
      <c r="AO299">
        <f>IF($AN299=1,SUMPRODUCT(--($AR$2:$AR$3001&lt;$AR299))+1,"")</f>
        <v/>
      </c>
      <c r="AP299">
        <f>IF($E299="","",IF(OR($U299=TRUE(),$U299="TRUE"),1,0))</f>
        <v/>
      </c>
      <c r="AQ299">
        <f>IF($E299="","",IF($AD299="Yes",1,0))</f>
        <v/>
      </c>
      <c r="AR299">
        <f>IF($AN299=1,IFERROR(VALUE(MID($E299,2,20)),1000000000)+ROW()/100000,"")</f>
        <v/>
      </c>
    </row>
    <row r="300">
      <c r="G300" s="11" t="n"/>
      <c r="Q300" s="7">
        <f>IF($E300="","",P300*AB300/100)</f>
        <v/>
      </c>
      <c r="R300" s="7" t="n"/>
      <c r="X300" s="7" t="n"/>
      <c r="Y300" s="7">
        <f>IF($E300="","",AB300*AE300/100)</f>
        <v/>
      </c>
      <c r="Z300" s="7">
        <f>IF($E300="","",AB300-Y300)</f>
        <v/>
      </c>
      <c r="AA300" s="7">
        <f>IF($E300="","",Z300-Q300)</f>
        <v/>
      </c>
      <c r="AB300" s="7" t="n"/>
      <c r="AE300">
        <f>IF($E300="","",IF($AQ300=1,0,IF($AP300=1,Settings!$C$6,Settings!$C$7))*100)</f>
        <v/>
      </c>
      <c r="AI300" s="7" t="n"/>
      <c r="AL300" s="11" t="n"/>
      <c r="AN300">
        <f>IF($E300="","",IF(COUNTIF($E$2:$E300,$E300)=1,1,0))</f>
        <v/>
      </c>
      <c r="AO300">
        <f>IF($AN300=1,SUMPRODUCT(--($AR$2:$AR$3001&lt;$AR300))+1,"")</f>
        <v/>
      </c>
      <c r="AP300">
        <f>IF($E300="","",IF(OR($U300=TRUE(),$U300="TRUE"),1,0))</f>
        <v/>
      </c>
      <c r="AQ300">
        <f>IF($E300="","",IF($AD300="Yes",1,0))</f>
        <v/>
      </c>
      <c r="AR300">
        <f>IF($AN300=1,IFERROR(VALUE(MID($E300,2,20)),1000000000)+ROW()/100000,"")</f>
        <v/>
      </c>
    </row>
    <row r="301">
      <c r="G301" s="11" t="n"/>
      <c r="Q301" s="7">
        <f>IF($E301="","",P301*AB301/100)</f>
        <v/>
      </c>
      <c r="R301" s="7" t="n"/>
      <c r="X301" s="7" t="n"/>
      <c r="Y301" s="7">
        <f>IF($E301="","",AB301*AE301/100)</f>
        <v/>
      </c>
      <c r="Z301" s="7">
        <f>IF($E301="","",AB301-Y301)</f>
        <v/>
      </c>
      <c r="AA301" s="7">
        <f>IF($E301="","",Z301-Q301)</f>
        <v/>
      </c>
      <c r="AB301" s="7" t="n"/>
      <c r="AE301">
        <f>IF($E301="","",IF($AQ301=1,0,IF($AP301=1,Settings!$C$6,Settings!$C$7))*100)</f>
        <v/>
      </c>
      <c r="AI301" s="7" t="n"/>
      <c r="AL301" s="11" t="n"/>
      <c r="AN301">
        <f>IF($E301="","",IF(COUNTIF($E$2:$E301,$E301)=1,1,0))</f>
        <v/>
      </c>
      <c r="AO301">
        <f>IF($AN301=1,SUMPRODUCT(--($AR$2:$AR$3001&lt;$AR301))+1,"")</f>
        <v/>
      </c>
      <c r="AP301">
        <f>IF($E301="","",IF(OR($U301=TRUE(),$U301="TRUE"),1,0))</f>
        <v/>
      </c>
      <c r="AQ301">
        <f>IF($E301="","",IF($AD301="Yes",1,0))</f>
        <v/>
      </c>
      <c r="AR301">
        <f>IF($AN301=1,IFERROR(VALUE(MID($E301,2,20)),1000000000)+ROW()/100000,"")</f>
        <v/>
      </c>
    </row>
    <row r="302">
      <c r="G302" s="11" t="n"/>
      <c r="Q302" s="7">
        <f>IF($E302="","",P302*AB302/100)</f>
        <v/>
      </c>
      <c r="R302" s="7" t="n"/>
      <c r="X302" s="7" t="n"/>
      <c r="Y302" s="7">
        <f>IF($E302="","",AB302*AE302/100)</f>
        <v/>
      </c>
      <c r="Z302" s="7">
        <f>IF($E302="","",AB302-Y302)</f>
        <v/>
      </c>
      <c r="AA302" s="7">
        <f>IF($E302="","",Z302-Q302)</f>
        <v/>
      </c>
      <c r="AB302" s="7" t="n"/>
      <c r="AE302">
        <f>IF($E302="","",IF($AQ302=1,0,IF($AP302=1,Settings!$C$6,Settings!$C$7))*100)</f>
        <v/>
      </c>
      <c r="AI302" s="7" t="n"/>
      <c r="AL302" s="11" t="n"/>
      <c r="AN302">
        <f>IF($E302="","",IF(COUNTIF($E$2:$E302,$E302)=1,1,0))</f>
        <v/>
      </c>
      <c r="AO302">
        <f>IF($AN302=1,SUMPRODUCT(--($AR$2:$AR$3001&lt;$AR302))+1,"")</f>
        <v/>
      </c>
      <c r="AP302">
        <f>IF($E302="","",IF(OR($U302=TRUE(),$U302="TRUE"),1,0))</f>
        <v/>
      </c>
      <c r="AQ302">
        <f>IF($E302="","",IF($AD302="Yes",1,0))</f>
        <v/>
      </c>
      <c r="AR302">
        <f>IF($AN302=1,IFERROR(VALUE(MID($E302,2,20)),1000000000)+ROW()/100000,"")</f>
        <v/>
      </c>
    </row>
    <row r="303">
      <c r="G303" s="11" t="n"/>
      <c r="Q303" s="7">
        <f>IF($E303="","",P303*AB303/100)</f>
        <v/>
      </c>
      <c r="R303" s="7" t="n"/>
      <c r="X303" s="7" t="n"/>
      <c r="Y303" s="7">
        <f>IF($E303="","",AB303*AE303/100)</f>
        <v/>
      </c>
      <c r="Z303" s="7">
        <f>IF($E303="","",AB303-Y303)</f>
        <v/>
      </c>
      <c r="AA303" s="7">
        <f>IF($E303="","",Z303-Q303)</f>
        <v/>
      </c>
      <c r="AB303" s="7" t="n"/>
      <c r="AE303">
        <f>IF($E303="","",IF($AQ303=1,0,IF($AP303=1,Settings!$C$6,Settings!$C$7))*100)</f>
        <v/>
      </c>
      <c r="AI303" s="7" t="n"/>
      <c r="AL303" s="11" t="n"/>
      <c r="AN303">
        <f>IF($E303="","",IF(COUNTIF($E$2:$E303,$E303)=1,1,0))</f>
        <v/>
      </c>
      <c r="AO303">
        <f>IF($AN303=1,SUMPRODUCT(--($AR$2:$AR$3001&lt;$AR303))+1,"")</f>
        <v/>
      </c>
      <c r="AP303">
        <f>IF($E303="","",IF(OR($U303=TRUE(),$U303="TRUE"),1,0))</f>
        <v/>
      </c>
      <c r="AQ303">
        <f>IF($E303="","",IF($AD303="Yes",1,0))</f>
        <v/>
      </c>
      <c r="AR303">
        <f>IF($AN303=1,IFERROR(VALUE(MID($E303,2,20)),1000000000)+ROW()/100000,"")</f>
        <v/>
      </c>
    </row>
    <row r="304">
      <c r="G304" s="11" t="n"/>
      <c r="Q304" s="7">
        <f>IF($E304="","",P304*AB304/100)</f>
        <v/>
      </c>
      <c r="R304" s="7" t="n"/>
      <c r="X304" s="7" t="n"/>
      <c r="Y304" s="7">
        <f>IF($E304="","",AB304*AE304/100)</f>
        <v/>
      </c>
      <c r="Z304" s="7">
        <f>IF($E304="","",AB304-Y304)</f>
        <v/>
      </c>
      <c r="AA304" s="7">
        <f>IF($E304="","",Z304-Q304)</f>
        <v/>
      </c>
      <c r="AB304" s="7" t="n"/>
      <c r="AE304">
        <f>IF($E304="","",IF($AQ304=1,0,IF($AP304=1,Settings!$C$6,Settings!$C$7))*100)</f>
        <v/>
      </c>
      <c r="AI304" s="7" t="n"/>
      <c r="AL304" s="11" t="n"/>
      <c r="AN304">
        <f>IF($E304="","",IF(COUNTIF($E$2:$E304,$E304)=1,1,0))</f>
        <v/>
      </c>
      <c r="AO304">
        <f>IF($AN304=1,SUMPRODUCT(--($AR$2:$AR$3001&lt;$AR304))+1,"")</f>
        <v/>
      </c>
      <c r="AP304">
        <f>IF($E304="","",IF(OR($U304=TRUE(),$U304="TRUE"),1,0))</f>
        <v/>
      </c>
      <c r="AQ304">
        <f>IF($E304="","",IF($AD304="Yes",1,0))</f>
        <v/>
      </c>
      <c r="AR304">
        <f>IF($AN304=1,IFERROR(VALUE(MID($E304,2,20)),1000000000)+ROW()/100000,"")</f>
        <v/>
      </c>
    </row>
    <row r="305">
      <c r="G305" s="11" t="n"/>
      <c r="Q305" s="7">
        <f>IF($E305="","",P305*AB305/100)</f>
        <v/>
      </c>
      <c r="R305" s="7" t="n"/>
      <c r="X305" s="7" t="n"/>
      <c r="Y305" s="7">
        <f>IF($E305="","",AB305*AE305/100)</f>
        <v/>
      </c>
      <c r="Z305" s="7">
        <f>IF($E305="","",AB305-Y305)</f>
        <v/>
      </c>
      <c r="AA305" s="7">
        <f>IF($E305="","",Z305-Q305)</f>
        <v/>
      </c>
      <c r="AB305" s="7" t="n"/>
      <c r="AE305">
        <f>IF($E305="","",IF($AQ305=1,0,IF($AP305=1,Settings!$C$6,Settings!$C$7))*100)</f>
        <v/>
      </c>
      <c r="AI305" s="7" t="n"/>
      <c r="AL305" s="11" t="n"/>
      <c r="AN305">
        <f>IF($E305="","",IF(COUNTIF($E$2:$E305,$E305)=1,1,0))</f>
        <v/>
      </c>
      <c r="AO305">
        <f>IF($AN305=1,SUMPRODUCT(--($AR$2:$AR$3001&lt;$AR305))+1,"")</f>
        <v/>
      </c>
      <c r="AP305">
        <f>IF($E305="","",IF(OR($U305=TRUE(),$U305="TRUE"),1,0))</f>
        <v/>
      </c>
      <c r="AQ305">
        <f>IF($E305="","",IF($AD305="Yes",1,0))</f>
        <v/>
      </c>
      <c r="AR305">
        <f>IF($AN305=1,IFERROR(VALUE(MID($E305,2,20)),1000000000)+ROW()/100000,"")</f>
        <v/>
      </c>
    </row>
    <row r="306">
      <c r="G306" s="11" t="n"/>
      <c r="Q306" s="7">
        <f>IF($E306="","",P306*AB306/100)</f>
        <v/>
      </c>
      <c r="R306" s="7" t="n"/>
      <c r="X306" s="7" t="n"/>
      <c r="Y306" s="7">
        <f>IF($E306="","",AB306*AE306/100)</f>
        <v/>
      </c>
      <c r="Z306" s="7">
        <f>IF($E306="","",AB306-Y306)</f>
        <v/>
      </c>
      <c r="AA306" s="7">
        <f>IF($E306="","",Z306-Q306)</f>
        <v/>
      </c>
      <c r="AB306" s="7" t="n"/>
      <c r="AE306">
        <f>IF($E306="","",IF($AQ306=1,0,IF($AP306=1,Settings!$C$6,Settings!$C$7))*100)</f>
        <v/>
      </c>
      <c r="AI306" s="7" t="n"/>
      <c r="AL306" s="11" t="n"/>
      <c r="AN306">
        <f>IF($E306="","",IF(COUNTIF($E$2:$E306,$E306)=1,1,0))</f>
        <v/>
      </c>
      <c r="AO306">
        <f>IF($AN306=1,SUMPRODUCT(--($AR$2:$AR$3001&lt;$AR306))+1,"")</f>
        <v/>
      </c>
      <c r="AP306">
        <f>IF($E306="","",IF(OR($U306=TRUE(),$U306="TRUE"),1,0))</f>
        <v/>
      </c>
      <c r="AQ306">
        <f>IF($E306="","",IF($AD306="Yes",1,0))</f>
        <v/>
      </c>
      <c r="AR306">
        <f>IF($AN306=1,IFERROR(VALUE(MID($E306,2,20)),1000000000)+ROW()/100000,"")</f>
        <v/>
      </c>
    </row>
    <row r="307">
      <c r="G307" s="11" t="n"/>
      <c r="Q307" s="7">
        <f>IF($E307="","",P307*AB307/100)</f>
        <v/>
      </c>
      <c r="R307" s="7" t="n"/>
      <c r="X307" s="7" t="n"/>
      <c r="Y307" s="7">
        <f>IF($E307="","",AB307*AE307/100)</f>
        <v/>
      </c>
      <c r="Z307" s="7">
        <f>IF($E307="","",AB307-Y307)</f>
        <v/>
      </c>
      <c r="AA307" s="7">
        <f>IF($E307="","",Z307-Q307)</f>
        <v/>
      </c>
      <c r="AB307" s="7" t="n"/>
      <c r="AE307">
        <f>IF($E307="","",IF($AQ307=1,0,IF($AP307=1,Settings!$C$6,Settings!$C$7))*100)</f>
        <v/>
      </c>
      <c r="AI307" s="7" t="n"/>
      <c r="AL307" s="11" t="n"/>
      <c r="AN307">
        <f>IF($E307="","",IF(COUNTIF($E$2:$E307,$E307)=1,1,0))</f>
        <v/>
      </c>
      <c r="AO307">
        <f>IF($AN307=1,SUMPRODUCT(--($AR$2:$AR$3001&lt;$AR307))+1,"")</f>
        <v/>
      </c>
      <c r="AP307">
        <f>IF($E307="","",IF(OR($U307=TRUE(),$U307="TRUE"),1,0))</f>
        <v/>
      </c>
      <c r="AQ307">
        <f>IF($E307="","",IF($AD307="Yes",1,0))</f>
        <v/>
      </c>
      <c r="AR307">
        <f>IF($AN307=1,IFERROR(VALUE(MID($E307,2,20)),1000000000)+ROW()/100000,"")</f>
        <v/>
      </c>
    </row>
    <row r="308">
      <c r="G308" s="11" t="n"/>
      <c r="Q308" s="7">
        <f>IF($E308="","",P308*AB308/100)</f>
        <v/>
      </c>
      <c r="R308" s="7" t="n"/>
      <c r="X308" s="7" t="n"/>
      <c r="Y308" s="7">
        <f>IF($E308="","",AB308*AE308/100)</f>
        <v/>
      </c>
      <c r="Z308" s="7">
        <f>IF($E308="","",AB308-Y308)</f>
        <v/>
      </c>
      <c r="AA308" s="7">
        <f>IF($E308="","",Z308-Q308)</f>
        <v/>
      </c>
      <c r="AB308" s="7" t="n"/>
      <c r="AE308">
        <f>IF($E308="","",IF($AQ308=1,0,IF($AP308=1,Settings!$C$6,Settings!$C$7))*100)</f>
        <v/>
      </c>
      <c r="AI308" s="7" t="n"/>
      <c r="AL308" s="11" t="n"/>
      <c r="AN308">
        <f>IF($E308="","",IF(COUNTIF($E$2:$E308,$E308)=1,1,0))</f>
        <v/>
      </c>
      <c r="AO308">
        <f>IF($AN308=1,SUMPRODUCT(--($AR$2:$AR$3001&lt;$AR308))+1,"")</f>
        <v/>
      </c>
      <c r="AP308">
        <f>IF($E308="","",IF(OR($U308=TRUE(),$U308="TRUE"),1,0))</f>
        <v/>
      </c>
      <c r="AQ308">
        <f>IF($E308="","",IF($AD308="Yes",1,0))</f>
        <v/>
      </c>
      <c r="AR308">
        <f>IF($AN308=1,IFERROR(VALUE(MID($E308,2,20)),1000000000)+ROW()/100000,"")</f>
        <v/>
      </c>
    </row>
    <row r="309">
      <c r="G309" s="11" t="n"/>
      <c r="Q309" s="7">
        <f>IF($E309="","",P309*AB309/100)</f>
        <v/>
      </c>
      <c r="R309" s="7" t="n"/>
      <c r="X309" s="7" t="n"/>
      <c r="Y309" s="7">
        <f>IF($E309="","",AB309*AE309/100)</f>
        <v/>
      </c>
      <c r="Z309" s="7">
        <f>IF($E309="","",AB309-Y309)</f>
        <v/>
      </c>
      <c r="AA309" s="7">
        <f>IF($E309="","",Z309-Q309)</f>
        <v/>
      </c>
      <c r="AB309" s="7" t="n"/>
      <c r="AE309">
        <f>IF($E309="","",IF($AQ309=1,0,IF($AP309=1,Settings!$C$6,Settings!$C$7))*100)</f>
        <v/>
      </c>
      <c r="AI309" s="7" t="n"/>
      <c r="AL309" s="11" t="n"/>
      <c r="AN309">
        <f>IF($E309="","",IF(COUNTIF($E$2:$E309,$E309)=1,1,0))</f>
        <v/>
      </c>
      <c r="AO309">
        <f>IF($AN309=1,SUMPRODUCT(--($AR$2:$AR$3001&lt;$AR309))+1,"")</f>
        <v/>
      </c>
      <c r="AP309">
        <f>IF($E309="","",IF(OR($U309=TRUE(),$U309="TRUE"),1,0))</f>
        <v/>
      </c>
      <c r="AQ309">
        <f>IF($E309="","",IF($AD309="Yes",1,0))</f>
        <v/>
      </c>
      <c r="AR309">
        <f>IF($AN309=1,IFERROR(VALUE(MID($E309,2,20)),1000000000)+ROW()/100000,"")</f>
        <v/>
      </c>
    </row>
    <row r="310">
      <c r="G310" s="11" t="n"/>
      <c r="Q310" s="7">
        <f>IF($E310="","",P310*AB310/100)</f>
        <v/>
      </c>
      <c r="R310" s="7" t="n"/>
      <c r="X310" s="7" t="n"/>
      <c r="Y310" s="7">
        <f>IF($E310="","",AB310*AE310/100)</f>
        <v/>
      </c>
      <c r="Z310" s="7">
        <f>IF($E310="","",AB310-Y310)</f>
        <v/>
      </c>
      <c r="AA310" s="7">
        <f>IF($E310="","",Z310-Q310)</f>
        <v/>
      </c>
      <c r="AB310" s="7" t="n"/>
      <c r="AE310">
        <f>IF($E310="","",IF($AQ310=1,0,IF($AP310=1,Settings!$C$6,Settings!$C$7))*100)</f>
        <v/>
      </c>
      <c r="AI310" s="7" t="n"/>
      <c r="AL310" s="11" t="n"/>
      <c r="AN310">
        <f>IF($E310="","",IF(COUNTIF($E$2:$E310,$E310)=1,1,0))</f>
        <v/>
      </c>
      <c r="AO310">
        <f>IF($AN310=1,SUMPRODUCT(--($AR$2:$AR$3001&lt;$AR310))+1,"")</f>
        <v/>
      </c>
      <c r="AP310">
        <f>IF($E310="","",IF(OR($U310=TRUE(),$U310="TRUE"),1,0))</f>
        <v/>
      </c>
      <c r="AQ310">
        <f>IF($E310="","",IF($AD310="Yes",1,0))</f>
        <v/>
      </c>
      <c r="AR310">
        <f>IF($AN310=1,IFERROR(VALUE(MID($E310,2,20)),1000000000)+ROW()/100000,"")</f>
        <v/>
      </c>
    </row>
    <row r="311">
      <c r="G311" s="11" t="n"/>
      <c r="Q311" s="7">
        <f>IF($E311="","",P311*AB311/100)</f>
        <v/>
      </c>
      <c r="R311" s="7" t="n"/>
      <c r="X311" s="7" t="n"/>
      <c r="Y311" s="7">
        <f>IF($E311="","",AB311*AE311/100)</f>
        <v/>
      </c>
      <c r="Z311" s="7">
        <f>IF($E311="","",AB311-Y311)</f>
        <v/>
      </c>
      <c r="AA311" s="7">
        <f>IF($E311="","",Z311-Q311)</f>
        <v/>
      </c>
      <c r="AB311" s="7" t="n"/>
      <c r="AE311">
        <f>IF($E311="","",IF($AQ311=1,0,IF($AP311=1,Settings!$C$6,Settings!$C$7))*100)</f>
        <v/>
      </c>
      <c r="AI311" s="7" t="n"/>
      <c r="AL311" s="11" t="n"/>
      <c r="AN311">
        <f>IF($E311="","",IF(COUNTIF($E$2:$E311,$E311)=1,1,0))</f>
        <v/>
      </c>
      <c r="AO311">
        <f>IF($AN311=1,SUMPRODUCT(--($AR$2:$AR$3001&lt;$AR311))+1,"")</f>
        <v/>
      </c>
      <c r="AP311">
        <f>IF($E311="","",IF(OR($U311=TRUE(),$U311="TRUE"),1,0))</f>
        <v/>
      </c>
      <c r="AQ311">
        <f>IF($E311="","",IF($AD311="Yes",1,0))</f>
        <v/>
      </c>
      <c r="AR311">
        <f>IF($AN311=1,IFERROR(VALUE(MID($E311,2,20)),1000000000)+ROW()/100000,"")</f>
        <v/>
      </c>
    </row>
    <row r="312">
      <c r="G312" s="11" t="n"/>
      <c r="Q312" s="7">
        <f>IF($E312="","",P312*AB312/100)</f>
        <v/>
      </c>
      <c r="R312" s="7" t="n"/>
      <c r="X312" s="7" t="n"/>
      <c r="Y312" s="7">
        <f>IF($E312="","",AB312*AE312/100)</f>
        <v/>
      </c>
      <c r="Z312" s="7">
        <f>IF($E312="","",AB312-Y312)</f>
        <v/>
      </c>
      <c r="AA312" s="7">
        <f>IF($E312="","",Z312-Q312)</f>
        <v/>
      </c>
      <c r="AB312" s="7" t="n"/>
      <c r="AE312">
        <f>IF($E312="","",IF($AQ312=1,0,IF($AP312=1,Settings!$C$6,Settings!$C$7))*100)</f>
        <v/>
      </c>
      <c r="AI312" s="7" t="n"/>
      <c r="AL312" s="11" t="n"/>
      <c r="AN312">
        <f>IF($E312="","",IF(COUNTIF($E$2:$E312,$E312)=1,1,0))</f>
        <v/>
      </c>
      <c r="AO312">
        <f>IF($AN312=1,SUMPRODUCT(--($AR$2:$AR$3001&lt;$AR312))+1,"")</f>
        <v/>
      </c>
      <c r="AP312">
        <f>IF($E312="","",IF(OR($U312=TRUE(),$U312="TRUE"),1,0))</f>
        <v/>
      </c>
      <c r="AQ312">
        <f>IF($E312="","",IF($AD312="Yes",1,0))</f>
        <v/>
      </c>
      <c r="AR312">
        <f>IF($AN312=1,IFERROR(VALUE(MID($E312,2,20)),1000000000)+ROW()/100000,"")</f>
        <v/>
      </c>
    </row>
    <row r="313">
      <c r="G313" s="11" t="n"/>
      <c r="Q313" s="7">
        <f>IF($E313="","",P313*AB313/100)</f>
        <v/>
      </c>
      <c r="R313" s="7" t="n"/>
      <c r="X313" s="7" t="n"/>
      <c r="Y313" s="7">
        <f>IF($E313="","",AB313*AE313/100)</f>
        <v/>
      </c>
      <c r="Z313" s="7">
        <f>IF($E313="","",AB313-Y313)</f>
        <v/>
      </c>
      <c r="AA313" s="7">
        <f>IF($E313="","",Z313-Q313)</f>
        <v/>
      </c>
      <c r="AB313" s="7" t="n"/>
      <c r="AE313">
        <f>IF($E313="","",IF($AQ313=1,0,IF($AP313=1,Settings!$C$6,Settings!$C$7))*100)</f>
        <v/>
      </c>
      <c r="AI313" s="7" t="n"/>
      <c r="AL313" s="11" t="n"/>
      <c r="AN313">
        <f>IF($E313="","",IF(COUNTIF($E$2:$E313,$E313)=1,1,0))</f>
        <v/>
      </c>
      <c r="AO313">
        <f>IF($AN313=1,SUMPRODUCT(--($AR$2:$AR$3001&lt;$AR313))+1,"")</f>
        <v/>
      </c>
      <c r="AP313">
        <f>IF($E313="","",IF(OR($U313=TRUE(),$U313="TRUE"),1,0))</f>
        <v/>
      </c>
      <c r="AQ313">
        <f>IF($E313="","",IF($AD313="Yes",1,0))</f>
        <v/>
      </c>
      <c r="AR313">
        <f>IF($AN313=1,IFERROR(VALUE(MID($E313,2,20)),1000000000)+ROW()/100000,"")</f>
        <v/>
      </c>
    </row>
    <row r="314">
      <c r="G314" s="11" t="n"/>
      <c r="Q314" s="7">
        <f>IF($E314="","",P314*AB314/100)</f>
        <v/>
      </c>
      <c r="R314" s="7" t="n"/>
      <c r="X314" s="7" t="n"/>
      <c r="Y314" s="7">
        <f>IF($E314="","",AB314*AE314/100)</f>
        <v/>
      </c>
      <c r="Z314" s="7">
        <f>IF($E314="","",AB314-Y314)</f>
        <v/>
      </c>
      <c r="AA314" s="7">
        <f>IF($E314="","",Z314-Q314)</f>
        <v/>
      </c>
      <c r="AB314" s="7" t="n"/>
      <c r="AE314">
        <f>IF($E314="","",IF($AQ314=1,0,IF($AP314=1,Settings!$C$6,Settings!$C$7))*100)</f>
        <v/>
      </c>
      <c r="AI314" s="7" t="n"/>
      <c r="AL314" s="11" t="n"/>
      <c r="AN314">
        <f>IF($E314="","",IF(COUNTIF($E$2:$E314,$E314)=1,1,0))</f>
        <v/>
      </c>
      <c r="AO314">
        <f>IF($AN314=1,SUMPRODUCT(--($AR$2:$AR$3001&lt;$AR314))+1,"")</f>
        <v/>
      </c>
      <c r="AP314">
        <f>IF($E314="","",IF(OR($U314=TRUE(),$U314="TRUE"),1,0))</f>
        <v/>
      </c>
      <c r="AQ314">
        <f>IF($E314="","",IF($AD314="Yes",1,0))</f>
        <v/>
      </c>
      <c r="AR314">
        <f>IF($AN314=1,IFERROR(VALUE(MID($E314,2,20)),1000000000)+ROW()/100000,"")</f>
        <v/>
      </c>
    </row>
    <row r="315">
      <c r="G315" s="11" t="n"/>
      <c r="Q315" s="7">
        <f>IF($E315="","",P315*AB315/100)</f>
        <v/>
      </c>
      <c r="R315" s="7" t="n"/>
      <c r="X315" s="7" t="n"/>
      <c r="Y315" s="7">
        <f>IF($E315="","",AB315*AE315/100)</f>
        <v/>
      </c>
      <c r="Z315" s="7">
        <f>IF($E315="","",AB315-Y315)</f>
        <v/>
      </c>
      <c r="AA315" s="7">
        <f>IF($E315="","",Z315-Q315)</f>
        <v/>
      </c>
      <c r="AB315" s="7" t="n"/>
      <c r="AE315">
        <f>IF($E315="","",IF($AQ315=1,0,IF($AP315=1,Settings!$C$6,Settings!$C$7))*100)</f>
        <v/>
      </c>
      <c r="AI315" s="7" t="n"/>
      <c r="AL315" s="11" t="n"/>
      <c r="AN315">
        <f>IF($E315="","",IF(COUNTIF($E$2:$E315,$E315)=1,1,0))</f>
        <v/>
      </c>
      <c r="AO315">
        <f>IF($AN315=1,SUMPRODUCT(--($AR$2:$AR$3001&lt;$AR315))+1,"")</f>
        <v/>
      </c>
      <c r="AP315">
        <f>IF($E315="","",IF(OR($U315=TRUE(),$U315="TRUE"),1,0))</f>
        <v/>
      </c>
      <c r="AQ315">
        <f>IF($E315="","",IF($AD315="Yes",1,0))</f>
        <v/>
      </c>
      <c r="AR315">
        <f>IF($AN315=1,IFERROR(VALUE(MID($E315,2,20)),1000000000)+ROW()/100000,"")</f>
        <v/>
      </c>
    </row>
    <row r="316">
      <c r="G316" s="11" t="n"/>
      <c r="Q316" s="7">
        <f>IF($E316="","",P316*AB316/100)</f>
        <v/>
      </c>
      <c r="R316" s="7" t="n"/>
      <c r="X316" s="7" t="n"/>
      <c r="Y316" s="7">
        <f>IF($E316="","",AB316*AE316/100)</f>
        <v/>
      </c>
      <c r="Z316" s="7">
        <f>IF($E316="","",AB316-Y316)</f>
        <v/>
      </c>
      <c r="AA316" s="7">
        <f>IF($E316="","",Z316-Q316)</f>
        <v/>
      </c>
      <c r="AB316" s="7" t="n"/>
      <c r="AE316">
        <f>IF($E316="","",IF($AQ316=1,0,IF($AP316=1,Settings!$C$6,Settings!$C$7))*100)</f>
        <v/>
      </c>
      <c r="AI316" s="7" t="n"/>
      <c r="AL316" s="11" t="n"/>
      <c r="AN316">
        <f>IF($E316="","",IF(COUNTIF($E$2:$E316,$E316)=1,1,0))</f>
        <v/>
      </c>
      <c r="AO316">
        <f>IF($AN316=1,SUMPRODUCT(--($AR$2:$AR$3001&lt;$AR316))+1,"")</f>
        <v/>
      </c>
      <c r="AP316">
        <f>IF($E316="","",IF(OR($U316=TRUE(),$U316="TRUE"),1,0))</f>
        <v/>
      </c>
      <c r="AQ316">
        <f>IF($E316="","",IF($AD316="Yes",1,0))</f>
        <v/>
      </c>
      <c r="AR316">
        <f>IF($AN316=1,IFERROR(VALUE(MID($E316,2,20)),1000000000)+ROW()/100000,"")</f>
        <v/>
      </c>
    </row>
    <row r="317">
      <c r="G317" s="11" t="n"/>
      <c r="Q317" s="7">
        <f>IF($E317="","",P317*AB317/100)</f>
        <v/>
      </c>
      <c r="R317" s="7" t="n"/>
      <c r="X317" s="7" t="n"/>
      <c r="Y317" s="7">
        <f>IF($E317="","",AB317*AE317/100)</f>
        <v/>
      </c>
      <c r="Z317" s="7">
        <f>IF($E317="","",AB317-Y317)</f>
        <v/>
      </c>
      <c r="AA317" s="7">
        <f>IF($E317="","",Z317-Q317)</f>
        <v/>
      </c>
      <c r="AB317" s="7" t="n"/>
      <c r="AE317">
        <f>IF($E317="","",IF($AQ317=1,0,IF($AP317=1,Settings!$C$6,Settings!$C$7))*100)</f>
        <v/>
      </c>
      <c r="AI317" s="7" t="n"/>
      <c r="AL317" s="11" t="n"/>
      <c r="AN317">
        <f>IF($E317="","",IF(COUNTIF($E$2:$E317,$E317)=1,1,0))</f>
        <v/>
      </c>
      <c r="AO317">
        <f>IF($AN317=1,SUMPRODUCT(--($AR$2:$AR$3001&lt;$AR317))+1,"")</f>
        <v/>
      </c>
      <c r="AP317">
        <f>IF($E317="","",IF(OR($U317=TRUE(),$U317="TRUE"),1,0))</f>
        <v/>
      </c>
      <c r="AQ317">
        <f>IF($E317="","",IF($AD317="Yes",1,0))</f>
        <v/>
      </c>
      <c r="AR317">
        <f>IF($AN317=1,IFERROR(VALUE(MID($E317,2,20)),1000000000)+ROW()/100000,"")</f>
        <v/>
      </c>
    </row>
    <row r="318">
      <c r="G318" s="11" t="n"/>
      <c r="Q318" s="7">
        <f>IF($E318="","",P318*AB318/100)</f>
        <v/>
      </c>
      <c r="R318" s="7" t="n"/>
      <c r="X318" s="7" t="n"/>
      <c r="Y318" s="7">
        <f>IF($E318="","",AB318*AE318/100)</f>
        <v/>
      </c>
      <c r="Z318" s="7">
        <f>IF($E318="","",AB318-Y318)</f>
        <v/>
      </c>
      <c r="AA318" s="7">
        <f>IF($E318="","",Z318-Q318)</f>
        <v/>
      </c>
      <c r="AB318" s="7" t="n"/>
      <c r="AE318">
        <f>IF($E318="","",IF($AQ318=1,0,IF($AP318=1,Settings!$C$6,Settings!$C$7))*100)</f>
        <v/>
      </c>
      <c r="AI318" s="7" t="n"/>
      <c r="AL318" s="11" t="n"/>
      <c r="AN318">
        <f>IF($E318="","",IF(COUNTIF($E$2:$E318,$E318)=1,1,0))</f>
        <v/>
      </c>
      <c r="AO318">
        <f>IF($AN318=1,SUMPRODUCT(--($AR$2:$AR$3001&lt;$AR318))+1,"")</f>
        <v/>
      </c>
      <c r="AP318">
        <f>IF($E318="","",IF(OR($U318=TRUE(),$U318="TRUE"),1,0))</f>
        <v/>
      </c>
      <c r="AQ318">
        <f>IF($E318="","",IF($AD318="Yes",1,0))</f>
        <v/>
      </c>
      <c r="AR318">
        <f>IF($AN318=1,IFERROR(VALUE(MID($E318,2,20)),1000000000)+ROW()/100000,"")</f>
        <v/>
      </c>
    </row>
    <row r="319">
      <c r="G319" s="11" t="n"/>
      <c r="Q319" s="7">
        <f>IF($E319="","",P319*AB319/100)</f>
        <v/>
      </c>
      <c r="R319" s="7" t="n"/>
      <c r="X319" s="7" t="n"/>
      <c r="Y319" s="7">
        <f>IF($E319="","",AB319*AE319/100)</f>
        <v/>
      </c>
      <c r="Z319" s="7">
        <f>IF($E319="","",AB319-Y319)</f>
        <v/>
      </c>
      <c r="AA319" s="7">
        <f>IF($E319="","",Z319-Q319)</f>
        <v/>
      </c>
      <c r="AB319" s="7" t="n"/>
      <c r="AE319">
        <f>IF($E319="","",IF($AQ319=1,0,IF($AP319=1,Settings!$C$6,Settings!$C$7))*100)</f>
        <v/>
      </c>
      <c r="AI319" s="7" t="n"/>
      <c r="AL319" s="11" t="n"/>
      <c r="AN319">
        <f>IF($E319="","",IF(COUNTIF($E$2:$E319,$E319)=1,1,0))</f>
        <v/>
      </c>
      <c r="AO319">
        <f>IF($AN319=1,SUMPRODUCT(--($AR$2:$AR$3001&lt;$AR319))+1,"")</f>
        <v/>
      </c>
      <c r="AP319">
        <f>IF($E319="","",IF(OR($U319=TRUE(),$U319="TRUE"),1,0))</f>
        <v/>
      </c>
      <c r="AQ319">
        <f>IF($E319="","",IF($AD319="Yes",1,0))</f>
        <v/>
      </c>
      <c r="AR319">
        <f>IF($AN319=1,IFERROR(VALUE(MID($E319,2,20)),1000000000)+ROW()/100000,"")</f>
        <v/>
      </c>
    </row>
    <row r="320">
      <c r="G320" s="11" t="n"/>
      <c r="Q320" s="7">
        <f>IF($E320="","",P320*AB320/100)</f>
        <v/>
      </c>
      <c r="R320" s="7" t="n"/>
      <c r="X320" s="7" t="n"/>
      <c r="Y320" s="7">
        <f>IF($E320="","",AB320*AE320/100)</f>
        <v/>
      </c>
      <c r="Z320" s="7">
        <f>IF($E320="","",AB320-Y320)</f>
        <v/>
      </c>
      <c r="AA320" s="7">
        <f>IF($E320="","",Z320-Q320)</f>
        <v/>
      </c>
      <c r="AB320" s="7" t="n"/>
      <c r="AE320">
        <f>IF($E320="","",IF($AQ320=1,0,IF($AP320=1,Settings!$C$6,Settings!$C$7))*100)</f>
        <v/>
      </c>
      <c r="AI320" s="7" t="n"/>
      <c r="AL320" s="11" t="n"/>
      <c r="AN320">
        <f>IF($E320="","",IF(COUNTIF($E$2:$E320,$E320)=1,1,0))</f>
        <v/>
      </c>
      <c r="AO320">
        <f>IF($AN320=1,SUMPRODUCT(--($AR$2:$AR$3001&lt;$AR320))+1,"")</f>
        <v/>
      </c>
      <c r="AP320">
        <f>IF($E320="","",IF(OR($U320=TRUE(),$U320="TRUE"),1,0))</f>
        <v/>
      </c>
      <c r="AQ320">
        <f>IF($E320="","",IF($AD320="Yes",1,0))</f>
        <v/>
      </c>
      <c r="AR320">
        <f>IF($AN320=1,IFERROR(VALUE(MID($E320,2,20)),1000000000)+ROW()/100000,"")</f>
        <v/>
      </c>
    </row>
    <row r="321">
      <c r="G321" s="11" t="n"/>
      <c r="Q321" s="7">
        <f>IF($E321="","",P321*AB321/100)</f>
        <v/>
      </c>
      <c r="R321" s="7" t="n"/>
      <c r="X321" s="7" t="n"/>
      <c r="Y321" s="7">
        <f>IF($E321="","",AB321*AE321/100)</f>
        <v/>
      </c>
      <c r="Z321" s="7">
        <f>IF($E321="","",AB321-Y321)</f>
        <v/>
      </c>
      <c r="AA321" s="7">
        <f>IF($E321="","",Z321-Q321)</f>
        <v/>
      </c>
      <c r="AB321" s="7" t="n"/>
      <c r="AE321">
        <f>IF($E321="","",IF($AQ321=1,0,IF($AP321=1,Settings!$C$6,Settings!$C$7))*100)</f>
        <v/>
      </c>
      <c r="AI321" s="7" t="n"/>
      <c r="AL321" s="11" t="n"/>
      <c r="AN321">
        <f>IF($E321="","",IF(COUNTIF($E$2:$E321,$E321)=1,1,0))</f>
        <v/>
      </c>
      <c r="AO321">
        <f>IF($AN321=1,SUMPRODUCT(--($AR$2:$AR$3001&lt;$AR321))+1,"")</f>
        <v/>
      </c>
      <c r="AP321">
        <f>IF($E321="","",IF(OR($U321=TRUE(),$U321="TRUE"),1,0))</f>
        <v/>
      </c>
      <c r="AQ321">
        <f>IF($E321="","",IF($AD321="Yes",1,0))</f>
        <v/>
      </c>
      <c r="AR321">
        <f>IF($AN321=1,IFERROR(VALUE(MID($E321,2,20)),1000000000)+ROW()/100000,"")</f>
        <v/>
      </c>
    </row>
    <row r="322">
      <c r="G322" s="11" t="n"/>
      <c r="Q322" s="7">
        <f>IF($E322="","",P322*AB322/100)</f>
        <v/>
      </c>
      <c r="R322" s="7" t="n"/>
      <c r="X322" s="7" t="n"/>
      <c r="Y322" s="7">
        <f>IF($E322="","",AB322*AE322/100)</f>
        <v/>
      </c>
      <c r="Z322" s="7">
        <f>IF($E322="","",AB322-Y322)</f>
        <v/>
      </c>
      <c r="AA322" s="7">
        <f>IF($E322="","",Z322-Q322)</f>
        <v/>
      </c>
      <c r="AB322" s="7" t="n"/>
      <c r="AE322">
        <f>IF($E322="","",IF($AQ322=1,0,IF($AP322=1,Settings!$C$6,Settings!$C$7))*100)</f>
        <v/>
      </c>
      <c r="AI322" s="7" t="n"/>
      <c r="AL322" s="11" t="n"/>
      <c r="AN322">
        <f>IF($E322="","",IF(COUNTIF($E$2:$E322,$E322)=1,1,0))</f>
        <v/>
      </c>
      <c r="AO322">
        <f>IF($AN322=1,SUMPRODUCT(--($AR$2:$AR$3001&lt;$AR322))+1,"")</f>
        <v/>
      </c>
      <c r="AP322">
        <f>IF($E322="","",IF(OR($U322=TRUE(),$U322="TRUE"),1,0))</f>
        <v/>
      </c>
      <c r="AQ322">
        <f>IF($E322="","",IF($AD322="Yes",1,0))</f>
        <v/>
      </c>
      <c r="AR322">
        <f>IF($AN322=1,IFERROR(VALUE(MID($E322,2,20)),1000000000)+ROW()/100000,"")</f>
        <v/>
      </c>
    </row>
    <row r="323">
      <c r="G323" s="11" t="n"/>
      <c r="Q323" s="7">
        <f>IF($E323="","",P323*AB323/100)</f>
        <v/>
      </c>
      <c r="R323" s="7" t="n"/>
      <c r="X323" s="7" t="n"/>
      <c r="Y323" s="7">
        <f>IF($E323="","",AB323*AE323/100)</f>
        <v/>
      </c>
      <c r="Z323" s="7">
        <f>IF($E323="","",AB323-Y323)</f>
        <v/>
      </c>
      <c r="AA323" s="7">
        <f>IF($E323="","",Z323-Q323)</f>
        <v/>
      </c>
      <c r="AB323" s="7" t="n"/>
      <c r="AE323">
        <f>IF($E323="","",IF($AQ323=1,0,IF($AP323=1,Settings!$C$6,Settings!$C$7))*100)</f>
        <v/>
      </c>
      <c r="AI323" s="7" t="n"/>
      <c r="AL323" s="11" t="n"/>
      <c r="AN323">
        <f>IF($E323="","",IF(COUNTIF($E$2:$E323,$E323)=1,1,0))</f>
        <v/>
      </c>
      <c r="AO323">
        <f>IF($AN323=1,SUMPRODUCT(--($AR$2:$AR$3001&lt;$AR323))+1,"")</f>
        <v/>
      </c>
      <c r="AP323">
        <f>IF($E323="","",IF(OR($U323=TRUE(),$U323="TRUE"),1,0))</f>
        <v/>
      </c>
      <c r="AQ323">
        <f>IF($E323="","",IF($AD323="Yes",1,0))</f>
        <v/>
      </c>
      <c r="AR323">
        <f>IF($AN323=1,IFERROR(VALUE(MID($E323,2,20)),1000000000)+ROW()/100000,"")</f>
        <v/>
      </c>
    </row>
    <row r="324">
      <c r="G324" s="11" t="n"/>
      <c r="Q324" s="7">
        <f>IF($E324="","",P324*AB324/100)</f>
        <v/>
      </c>
      <c r="R324" s="7" t="n"/>
      <c r="X324" s="7" t="n"/>
      <c r="Y324" s="7">
        <f>IF($E324="","",AB324*AE324/100)</f>
        <v/>
      </c>
      <c r="Z324" s="7">
        <f>IF($E324="","",AB324-Y324)</f>
        <v/>
      </c>
      <c r="AA324" s="7">
        <f>IF($E324="","",Z324-Q324)</f>
        <v/>
      </c>
      <c r="AB324" s="7" t="n"/>
      <c r="AE324">
        <f>IF($E324="","",IF($AQ324=1,0,IF($AP324=1,Settings!$C$6,Settings!$C$7))*100)</f>
        <v/>
      </c>
      <c r="AI324" s="7" t="n"/>
      <c r="AL324" s="11" t="n"/>
      <c r="AN324">
        <f>IF($E324="","",IF(COUNTIF($E$2:$E324,$E324)=1,1,0))</f>
        <v/>
      </c>
      <c r="AO324">
        <f>IF($AN324=1,SUMPRODUCT(--($AR$2:$AR$3001&lt;$AR324))+1,"")</f>
        <v/>
      </c>
      <c r="AP324">
        <f>IF($E324="","",IF(OR($U324=TRUE(),$U324="TRUE"),1,0))</f>
        <v/>
      </c>
      <c r="AQ324">
        <f>IF($E324="","",IF($AD324="Yes",1,0))</f>
        <v/>
      </c>
      <c r="AR324">
        <f>IF($AN324=1,IFERROR(VALUE(MID($E324,2,20)),1000000000)+ROW()/100000,"")</f>
        <v/>
      </c>
    </row>
    <row r="325">
      <c r="G325" s="11" t="n"/>
      <c r="Q325" s="7">
        <f>IF($E325="","",P325*AB325/100)</f>
        <v/>
      </c>
      <c r="R325" s="7" t="n"/>
      <c r="X325" s="7" t="n"/>
      <c r="Y325" s="7">
        <f>IF($E325="","",AB325*AE325/100)</f>
        <v/>
      </c>
      <c r="Z325" s="7">
        <f>IF($E325="","",AB325-Y325)</f>
        <v/>
      </c>
      <c r="AA325" s="7">
        <f>IF($E325="","",Z325-Q325)</f>
        <v/>
      </c>
      <c r="AB325" s="7" t="n"/>
      <c r="AE325">
        <f>IF($E325="","",IF($AQ325=1,0,IF($AP325=1,Settings!$C$6,Settings!$C$7))*100)</f>
        <v/>
      </c>
      <c r="AI325" s="7" t="n"/>
      <c r="AL325" s="11" t="n"/>
      <c r="AN325">
        <f>IF($E325="","",IF(COUNTIF($E$2:$E325,$E325)=1,1,0))</f>
        <v/>
      </c>
      <c r="AO325">
        <f>IF($AN325=1,SUMPRODUCT(--($AR$2:$AR$3001&lt;$AR325))+1,"")</f>
        <v/>
      </c>
      <c r="AP325">
        <f>IF($E325="","",IF(OR($U325=TRUE(),$U325="TRUE"),1,0))</f>
        <v/>
      </c>
      <c r="AQ325">
        <f>IF($E325="","",IF($AD325="Yes",1,0))</f>
        <v/>
      </c>
      <c r="AR325">
        <f>IF($AN325=1,IFERROR(VALUE(MID($E325,2,20)),1000000000)+ROW()/100000,"")</f>
        <v/>
      </c>
    </row>
    <row r="326">
      <c r="G326" s="11" t="n"/>
      <c r="Q326" s="7">
        <f>IF($E326="","",P326*AB326/100)</f>
        <v/>
      </c>
      <c r="R326" s="7" t="n"/>
      <c r="X326" s="7" t="n"/>
      <c r="Y326" s="7">
        <f>IF($E326="","",AB326*AE326/100)</f>
        <v/>
      </c>
      <c r="Z326" s="7">
        <f>IF($E326="","",AB326-Y326)</f>
        <v/>
      </c>
      <c r="AA326" s="7">
        <f>IF($E326="","",Z326-Q326)</f>
        <v/>
      </c>
      <c r="AB326" s="7" t="n"/>
      <c r="AE326">
        <f>IF($E326="","",IF($AQ326=1,0,IF($AP326=1,Settings!$C$6,Settings!$C$7))*100)</f>
        <v/>
      </c>
      <c r="AI326" s="7" t="n"/>
      <c r="AL326" s="11" t="n"/>
      <c r="AN326">
        <f>IF($E326="","",IF(COUNTIF($E$2:$E326,$E326)=1,1,0))</f>
        <v/>
      </c>
      <c r="AO326">
        <f>IF($AN326=1,SUMPRODUCT(--($AR$2:$AR$3001&lt;$AR326))+1,"")</f>
        <v/>
      </c>
      <c r="AP326">
        <f>IF($E326="","",IF(OR($U326=TRUE(),$U326="TRUE"),1,0))</f>
        <v/>
      </c>
      <c r="AQ326">
        <f>IF($E326="","",IF($AD326="Yes",1,0))</f>
        <v/>
      </c>
      <c r="AR326">
        <f>IF($AN326=1,IFERROR(VALUE(MID($E326,2,20)),1000000000)+ROW()/100000,"")</f>
        <v/>
      </c>
    </row>
    <row r="327">
      <c r="G327" s="11" t="n"/>
      <c r="Q327" s="7">
        <f>IF($E327="","",P327*AB327/100)</f>
        <v/>
      </c>
      <c r="R327" s="7" t="n"/>
      <c r="X327" s="7" t="n"/>
      <c r="Y327" s="7">
        <f>IF($E327="","",AB327*AE327/100)</f>
        <v/>
      </c>
      <c r="Z327" s="7">
        <f>IF($E327="","",AB327-Y327)</f>
        <v/>
      </c>
      <c r="AA327" s="7">
        <f>IF($E327="","",Z327-Q327)</f>
        <v/>
      </c>
      <c r="AB327" s="7" t="n"/>
      <c r="AE327">
        <f>IF($E327="","",IF($AQ327=1,0,IF($AP327=1,Settings!$C$6,Settings!$C$7))*100)</f>
        <v/>
      </c>
      <c r="AI327" s="7" t="n"/>
      <c r="AL327" s="11" t="n"/>
      <c r="AN327">
        <f>IF($E327="","",IF(COUNTIF($E$2:$E327,$E327)=1,1,0))</f>
        <v/>
      </c>
      <c r="AO327">
        <f>IF($AN327=1,SUMPRODUCT(--($AR$2:$AR$3001&lt;$AR327))+1,"")</f>
        <v/>
      </c>
      <c r="AP327">
        <f>IF($E327="","",IF(OR($U327=TRUE(),$U327="TRUE"),1,0))</f>
        <v/>
      </c>
      <c r="AQ327">
        <f>IF($E327="","",IF($AD327="Yes",1,0))</f>
        <v/>
      </c>
      <c r="AR327">
        <f>IF($AN327=1,IFERROR(VALUE(MID($E327,2,20)),1000000000)+ROW()/100000,"")</f>
        <v/>
      </c>
    </row>
    <row r="328">
      <c r="G328" s="11" t="n"/>
      <c r="Q328" s="7">
        <f>IF($E328="","",P328*AB328/100)</f>
        <v/>
      </c>
      <c r="R328" s="7" t="n"/>
      <c r="X328" s="7" t="n"/>
      <c r="Y328" s="7">
        <f>IF($E328="","",AB328*AE328/100)</f>
        <v/>
      </c>
      <c r="Z328" s="7">
        <f>IF($E328="","",AB328-Y328)</f>
        <v/>
      </c>
      <c r="AA328" s="7">
        <f>IF($E328="","",Z328-Q328)</f>
        <v/>
      </c>
      <c r="AB328" s="7" t="n"/>
      <c r="AE328">
        <f>IF($E328="","",IF($AQ328=1,0,IF($AP328=1,Settings!$C$6,Settings!$C$7))*100)</f>
        <v/>
      </c>
      <c r="AI328" s="7" t="n"/>
      <c r="AL328" s="11" t="n"/>
      <c r="AN328">
        <f>IF($E328="","",IF(COUNTIF($E$2:$E328,$E328)=1,1,0))</f>
        <v/>
      </c>
      <c r="AO328">
        <f>IF($AN328=1,SUMPRODUCT(--($AR$2:$AR$3001&lt;$AR328))+1,"")</f>
        <v/>
      </c>
      <c r="AP328">
        <f>IF($E328="","",IF(OR($U328=TRUE(),$U328="TRUE"),1,0))</f>
        <v/>
      </c>
      <c r="AQ328">
        <f>IF($E328="","",IF($AD328="Yes",1,0))</f>
        <v/>
      </c>
      <c r="AR328">
        <f>IF($AN328=1,IFERROR(VALUE(MID($E328,2,20)),1000000000)+ROW()/100000,"")</f>
        <v/>
      </c>
    </row>
    <row r="329">
      <c r="G329" s="11" t="n"/>
      <c r="Q329" s="7">
        <f>IF($E329="","",P329*AB329/100)</f>
        <v/>
      </c>
      <c r="R329" s="7" t="n"/>
      <c r="X329" s="7" t="n"/>
      <c r="Y329" s="7">
        <f>IF($E329="","",AB329*AE329/100)</f>
        <v/>
      </c>
      <c r="Z329" s="7">
        <f>IF($E329="","",AB329-Y329)</f>
        <v/>
      </c>
      <c r="AA329" s="7">
        <f>IF($E329="","",Z329-Q329)</f>
        <v/>
      </c>
      <c r="AB329" s="7" t="n"/>
      <c r="AE329">
        <f>IF($E329="","",IF($AQ329=1,0,IF($AP329=1,Settings!$C$6,Settings!$C$7))*100)</f>
        <v/>
      </c>
      <c r="AI329" s="7" t="n"/>
      <c r="AL329" s="11" t="n"/>
      <c r="AN329">
        <f>IF($E329="","",IF(COUNTIF($E$2:$E329,$E329)=1,1,0))</f>
        <v/>
      </c>
      <c r="AO329">
        <f>IF($AN329=1,SUMPRODUCT(--($AR$2:$AR$3001&lt;$AR329))+1,"")</f>
        <v/>
      </c>
      <c r="AP329">
        <f>IF($E329="","",IF(OR($U329=TRUE(),$U329="TRUE"),1,0))</f>
        <v/>
      </c>
      <c r="AQ329">
        <f>IF($E329="","",IF($AD329="Yes",1,0))</f>
        <v/>
      </c>
      <c r="AR329">
        <f>IF($AN329=1,IFERROR(VALUE(MID($E329,2,20)),1000000000)+ROW()/100000,"")</f>
        <v/>
      </c>
    </row>
    <row r="330">
      <c r="G330" s="11" t="n"/>
      <c r="Q330" s="7">
        <f>IF($E330="","",P330*AB330/100)</f>
        <v/>
      </c>
      <c r="R330" s="7" t="n"/>
      <c r="X330" s="7" t="n"/>
      <c r="Y330" s="7">
        <f>IF($E330="","",AB330*AE330/100)</f>
        <v/>
      </c>
      <c r="Z330" s="7">
        <f>IF($E330="","",AB330-Y330)</f>
        <v/>
      </c>
      <c r="AA330" s="7">
        <f>IF($E330="","",Z330-Q330)</f>
        <v/>
      </c>
      <c r="AB330" s="7" t="n"/>
      <c r="AE330">
        <f>IF($E330="","",IF($AQ330=1,0,IF($AP330=1,Settings!$C$6,Settings!$C$7))*100)</f>
        <v/>
      </c>
      <c r="AI330" s="7" t="n"/>
      <c r="AL330" s="11" t="n"/>
      <c r="AN330">
        <f>IF($E330="","",IF(COUNTIF($E$2:$E330,$E330)=1,1,0))</f>
        <v/>
      </c>
      <c r="AO330">
        <f>IF($AN330=1,SUMPRODUCT(--($AR$2:$AR$3001&lt;$AR330))+1,"")</f>
        <v/>
      </c>
      <c r="AP330">
        <f>IF($E330="","",IF(OR($U330=TRUE(),$U330="TRUE"),1,0))</f>
        <v/>
      </c>
      <c r="AQ330">
        <f>IF($E330="","",IF($AD330="Yes",1,0))</f>
        <v/>
      </c>
      <c r="AR330">
        <f>IF($AN330=1,IFERROR(VALUE(MID($E330,2,20)),1000000000)+ROW()/100000,"")</f>
        <v/>
      </c>
    </row>
    <row r="331">
      <c r="G331" s="11" t="n"/>
      <c r="Q331" s="7">
        <f>IF($E331="","",P331*AB331/100)</f>
        <v/>
      </c>
      <c r="R331" s="7" t="n"/>
      <c r="X331" s="7" t="n"/>
      <c r="Y331" s="7">
        <f>IF($E331="","",AB331*AE331/100)</f>
        <v/>
      </c>
      <c r="Z331" s="7">
        <f>IF($E331="","",AB331-Y331)</f>
        <v/>
      </c>
      <c r="AA331" s="7">
        <f>IF($E331="","",Z331-Q331)</f>
        <v/>
      </c>
      <c r="AB331" s="7" t="n"/>
      <c r="AE331">
        <f>IF($E331="","",IF($AQ331=1,0,IF($AP331=1,Settings!$C$6,Settings!$C$7))*100)</f>
        <v/>
      </c>
      <c r="AI331" s="7" t="n"/>
      <c r="AL331" s="11" t="n"/>
      <c r="AN331">
        <f>IF($E331="","",IF(COUNTIF($E$2:$E331,$E331)=1,1,0))</f>
        <v/>
      </c>
      <c r="AO331">
        <f>IF($AN331=1,SUMPRODUCT(--($AR$2:$AR$3001&lt;$AR331))+1,"")</f>
        <v/>
      </c>
      <c r="AP331">
        <f>IF($E331="","",IF(OR($U331=TRUE(),$U331="TRUE"),1,0))</f>
        <v/>
      </c>
      <c r="AQ331">
        <f>IF($E331="","",IF($AD331="Yes",1,0))</f>
        <v/>
      </c>
      <c r="AR331">
        <f>IF($AN331=1,IFERROR(VALUE(MID($E331,2,20)),1000000000)+ROW()/100000,"")</f>
        <v/>
      </c>
    </row>
    <row r="332">
      <c r="G332" s="11" t="n"/>
      <c r="Q332" s="7">
        <f>IF($E332="","",P332*AB332/100)</f>
        <v/>
      </c>
      <c r="R332" s="7" t="n"/>
      <c r="X332" s="7" t="n"/>
      <c r="Y332" s="7">
        <f>IF($E332="","",AB332*AE332/100)</f>
        <v/>
      </c>
      <c r="Z332" s="7">
        <f>IF($E332="","",AB332-Y332)</f>
        <v/>
      </c>
      <c r="AA332" s="7">
        <f>IF($E332="","",Z332-Q332)</f>
        <v/>
      </c>
      <c r="AB332" s="7" t="n"/>
      <c r="AE332">
        <f>IF($E332="","",IF($AQ332=1,0,IF($AP332=1,Settings!$C$6,Settings!$C$7))*100)</f>
        <v/>
      </c>
      <c r="AI332" s="7" t="n"/>
      <c r="AL332" s="11" t="n"/>
      <c r="AN332">
        <f>IF($E332="","",IF(COUNTIF($E$2:$E332,$E332)=1,1,0))</f>
        <v/>
      </c>
      <c r="AO332">
        <f>IF($AN332=1,SUMPRODUCT(--($AR$2:$AR$3001&lt;$AR332))+1,"")</f>
        <v/>
      </c>
      <c r="AP332">
        <f>IF($E332="","",IF(OR($U332=TRUE(),$U332="TRUE"),1,0))</f>
        <v/>
      </c>
      <c r="AQ332">
        <f>IF($E332="","",IF($AD332="Yes",1,0))</f>
        <v/>
      </c>
      <c r="AR332">
        <f>IF($AN332=1,IFERROR(VALUE(MID($E332,2,20)),1000000000)+ROW()/100000,"")</f>
        <v/>
      </c>
    </row>
    <row r="333">
      <c r="G333" s="11" t="n"/>
      <c r="Q333" s="7">
        <f>IF($E333="","",P333*AB333/100)</f>
        <v/>
      </c>
      <c r="R333" s="7" t="n"/>
      <c r="X333" s="7" t="n"/>
      <c r="Y333" s="7">
        <f>IF($E333="","",AB333*AE333/100)</f>
        <v/>
      </c>
      <c r="Z333" s="7">
        <f>IF($E333="","",AB333-Y333)</f>
        <v/>
      </c>
      <c r="AA333" s="7">
        <f>IF($E333="","",Z333-Q333)</f>
        <v/>
      </c>
      <c r="AB333" s="7" t="n"/>
      <c r="AE333">
        <f>IF($E333="","",IF($AQ333=1,0,IF($AP333=1,Settings!$C$6,Settings!$C$7))*100)</f>
        <v/>
      </c>
      <c r="AI333" s="7" t="n"/>
      <c r="AL333" s="11" t="n"/>
      <c r="AN333">
        <f>IF($E333="","",IF(COUNTIF($E$2:$E333,$E333)=1,1,0))</f>
        <v/>
      </c>
      <c r="AO333">
        <f>IF($AN333=1,SUMPRODUCT(--($AR$2:$AR$3001&lt;$AR333))+1,"")</f>
        <v/>
      </c>
      <c r="AP333">
        <f>IF($E333="","",IF(OR($U333=TRUE(),$U333="TRUE"),1,0))</f>
        <v/>
      </c>
      <c r="AQ333">
        <f>IF($E333="","",IF($AD333="Yes",1,0))</f>
        <v/>
      </c>
      <c r="AR333">
        <f>IF($AN333=1,IFERROR(VALUE(MID($E333,2,20)),1000000000)+ROW()/100000,"")</f>
        <v/>
      </c>
    </row>
    <row r="334">
      <c r="G334" s="11" t="n"/>
      <c r="Q334" s="7">
        <f>IF($E334="","",P334*AB334/100)</f>
        <v/>
      </c>
      <c r="R334" s="7" t="n"/>
      <c r="X334" s="7" t="n"/>
      <c r="Y334" s="7">
        <f>IF($E334="","",AB334*AE334/100)</f>
        <v/>
      </c>
      <c r="Z334" s="7">
        <f>IF($E334="","",AB334-Y334)</f>
        <v/>
      </c>
      <c r="AA334" s="7">
        <f>IF($E334="","",Z334-Q334)</f>
        <v/>
      </c>
      <c r="AB334" s="7" t="n"/>
      <c r="AE334">
        <f>IF($E334="","",IF($AQ334=1,0,IF($AP334=1,Settings!$C$6,Settings!$C$7))*100)</f>
        <v/>
      </c>
      <c r="AI334" s="7" t="n"/>
      <c r="AL334" s="11" t="n"/>
      <c r="AN334">
        <f>IF($E334="","",IF(COUNTIF($E$2:$E334,$E334)=1,1,0))</f>
        <v/>
      </c>
      <c r="AO334">
        <f>IF($AN334=1,SUMPRODUCT(--($AR$2:$AR$3001&lt;$AR334))+1,"")</f>
        <v/>
      </c>
      <c r="AP334">
        <f>IF($E334="","",IF(OR($U334=TRUE(),$U334="TRUE"),1,0))</f>
        <v/>
      </c>
      <c r="AQ334">
        <f>IF($E334="","",IF($AD334="Yes",1,0))</f>
        <v/>
      </c>
      <c r="AR334">
        <f>IF($AN334=1,IFERROR(VALUE(MID($E334,2,20)),1000000000)+ROW()/100000,"")</f>
        <v/>
      </c>
    </row>
    <row r="335">
      <c r="G335" s="11" t="n"/>
      <c r="Q335" s="7">
        <f>IF($E335="","",P335*AB335/100)</f>
        <v/>
      </c>
      <c r="R335" s="7" t="n"/>
      <c r="X335" s="7" t="n"/>
      <c r="Y335" s="7">
        <f>IF($E335="","",AB335*AE335/100)</f>
        <v/>
      </c>
      <c r="Z335" s="7">
        <f>IF($E335="","",AB335-Y335)</f>
        <v/>
      </c>
      <c r="AA335" s="7">
        <f>IF($E335="","",Z335-Q335)</f>
        <v/>
      </c>
      <c r="AB335" s="7" t="n"/>
      <c r="AE335">
        <f>IF($E335="","",IF($AQ335=1,0,IF($AP335=1,Settings!$C$6,Settings!$C$7))*100)</f>
        <v/>
      </c>
      <c r="AI335" s="7" t="n"/>
      <c r="AL335" s="11" t="n"/>
      <c r="AN335">
        <f>IF($E335="","",IF(COUNTIF($E$2:$E335,$E335)=1,1,0))</f>
        <v/>
      </c>
      <c r="AO335">
        <f>IF($AN335=1,SUMPRODUCT(--($AR$2:$AR$3001&lt;$AR335))+1,"")</f>
        <v/>
      </c>
      <c r="AP335">
        <f>IF($E335="","",IF(OR($U335=TRUE(),$U335="TRUE"),1,0))</f>
        <v/>
      </c>
      <c r="AQ335">
        <f>IF($E335="","",IF($AD335="Yes",1,0))</f>
        <v/>
      </c>
      <c r="AR335">
        <f>IF($AN335=1,IFERROR(VALUE(MID($E335,2,20)),1000000000)+ROW()/100000,"")</f>
        <v/>
      </c>
    </row>
    <row r="336">
      <c r="G336" s="11" t="n"/>
      <c r="Q336" s="7">
        <f>IF($E336="","",P336*AB336/100)</f>
        <v/>
      </c>
      <c r="R336" s="7" t="n"/>
      <c r="X336" s="7" t="n"/>
      <c r="Y336" s="7">
        <f>IF($E336="","",AB336*AE336/100)</f>
        <v/>
      </c>
      <c r="Z336" s="7">
        <f>IF($E336="","",AB336-Y336)</f>
        <v/>
      </c>
      <c r="AA336" s="7">
        <f>IF($E336="","",Z336-Q336)</f>
        <v/>
      </c>
      <c r="AB336" s="7" t="n"/>
      <c r="AE336">
        <f>IF($E336="","",IF($AQ336=1,0,IF($AP336=1,Settings!$C$6,Settings!$C$7))*100)</f>
        <v/>
      </c>
      <c r="AI336" s="7" t="n"/>
      <c r="AL336" s="11" t="n"/>
      <c r="AN336">
        <f>IF($E336="","",IF(COUNTIF($E$2:$E336,$E336)=1,1,0))</f>
        <v/>
      </c>
      <c r="AO336">
        <f>IF($AN336=1,SUMPRODUCT(--($AR$2:$AR$3001&lt;$AR336))+1,"")</f>
        <v/>
      </c>
      <c r="AP336">
        <f>IF($E336="","",IF(OR($U336=TRUE(),$U336="TRUE"),1,0))</f>
        <v/>
      </c>
      <c r="AQ336">
        <f>IF($E336="","",IF($AD336="Yes",1,0))</f>
        <v/>
      </c>
      <c r="AR336">
        <f>IF($AN336=1,IFERROR(VALUE(MID($E336,2,20)),1000000000)+ROW()/100000,"")</f>
        <v/>
      </c>
    </row>
    <row r="337">
      <c r="G337" s="11" t="n"/>
      <c r="Q337" s="7">
        <f>IF($E337="","",P337*AB337/100)</f>
        <v/>
      </c>
      <c r="R337" s="7" t="n"/>
      <c r="X337" s="7" t="n"/>
      <c r="Y337" s="7">
        <f>IF($E337="","",AB337*AE337/100)</f>
        <v/>
      </c>
      <c r="Z337" s="7">
        <f>IF($E337="","",AB337-Y337)</f>
        <v/>
      </c>
      <c r="AA337" s="7">
        <f>IF($E337="","",Z337-Q337)</f>
        <v/>
      </c>
      <c r="AB337" s="7" t="n"/>
      <c r="AE337">
        <f>IF($E337="","",IF($AQ337=1,0,IF($AP337=1,Settings!$C$6,Settings!$C$7))*100)</f>
        <v/>
      </c>
      <c r="AI337" s="7" t="n"/>
      <c r="AL337" s="11" t="n"/>
      <c r="AN337">
        <f>IF($E337="","",IF(COUNTIF($E$2:$E337,$E337)=1,1,0))</f>
        <v/>
      </c>
      <c r="AO337">
        <f>IF($AN337=1,SUMPRODUCT(--($AR$2:$AR$3001&lt;$AR337))+1,"")</f>
        <v/>
      </c>
      <c r="AP337">
        <f>IF($E337="","",IF(OR($U337=TRUE(),$U337="TRUE"),1,0))</f>
        <v/>
      </c>
      <c r="AQ337">
        <f>IF($E337="","",IF($AD337="Yes",1,0))</f>
        <v/>
      </c>
      <c r="AR337">
        <f>IF($AN337=1,IFERROR(VALUE(MID($E337,2,20)),1000000000)+ROW()/100000,"")</f>
        <v/>
      </c>
    </row>
    <row r="338">
      <c r="G338" s="11" t="n"/>
      <c r="Q338" s="7">
        <f>IF($E338="","",P338*AB338/100)</f>
        <v/>
      </c>
      <c r="R338" s="7" t="n"/>
      <c r="X338" s="7" t="n"/>
      <c r="Y338" s="7">
        <f>IF($E338="","",AB338*AE338/100)</f>
        <v/>
      </c>
      <c r="Z338" s="7">
        <f>IF($E338="","",AB338-Y338)</f>
        <v/>
      </c>
      <c r="AA338" s="7">
        <f>IF($E338="","",Z338-Q338)</f>
        <v/>
      </c>
      <c r="AB338" s="7" t="n"/>
      <c r="AE338">
        <f>IF($E338="","",IF($AQ338=1,0,IF($AP338=1,Settings!$C$6,Settings!$C$7))*100)</f>
        <v/>
      </c>
      <c r="AI338" s="7" t="n"/>
      <c r="AL338" s="11" t="n"/>
      <c r="AN338">
        <f>IF($E338="","",IF(COUNTIF($E$2:$E338,$E338)=1,1,0))</f>
        <v/>
      </c>
      <c r="AO338">
        <f>IF($AN338=1,SUMPRODUCT(--($AR$2:$AR$3001&lt;$AR338))+1,"")</f>
        <v/>
      </c>
      <c r="AP338">
        <f>IF($E338="","",IF(OR($U338=TRUE(),$U338="TRUE"),1,0))</f>
        <v/>
      </c>
      <c r="AQ338">
        <f>IF($E338="","",IF($AD338="Yes",1,0))</f>
        <v/>
      </c>
      <c r="AR338">
        <f>IF($AN338=1,IFERROR(VALUE(MID($E338,2,20)),1000000000)+ROW()/100000,"")</f>
        <v/>
      </c>
    </row>
    <row r="339">
      <c r="G339" s="11" t="n"/>
      <c r="Q339" s="7">
        <f>IF($E339="","",P339*AB339/100)</f>
        <v/>
      </c>
      <c r="R339" s="7" t="n"/>
      <c r="X339" s="7" t="n"/>
      <c r="Y339" s="7">
        <f>IF($E339="","",AB339*AE339/100)</f>
        <v/>
      </c>
      <c r="Z339" s="7">
        <f>IF($E339="","",AB339-Y339)</f>
        <v/>
      </c>
      <c r="AA339" s="7">
        <f>IF($E339="","",Z339-Q339)</f>
        <v/>
      </c>
      <c r="AB339" s="7" t="n"/>
      <c r="AE339">
        <f>IF($E339="","",IF($AQ339=1,0,IF($AP339=1,Settings!$C$6,Settings!$C$7))*100)</f>
        <v/>
      </c>
      <c r="AI339" s="7" t="n"/>
      <c r="AL339" s="11" t="n"/>
      <c r="AN339">
        <f>IF($E339="","",IF(COUNTIF($E$2:$E339,$E339)=1,1,0))</f>
        <v/>
      </c>
      <c r="AO339">
        <f>IF($AN339=1,SUMPRODUCT(--($AR$2:$AR$3001&lt;$AR339))+1,"")</f>
        <v/>
      </c>
      <c r="AP339">
        <f>IF($E339="","",IF(OR($U339=TRUE(),$U339="TRUE"),1,0))</f>
        <v/>
      </c>
      <c r="AQ339">
        <f>IF($E339="","",IF($AD339="Yes",1,0))</f>
        <v/>
      </c>
      <c r="AR339">
        <f>IF($AN339=1,IFERROR(VALUE(MID($E339,2,20)),1000000000)+ROW()/100000,"")</f>
        <v/>
      </c>
    </row>
    <row r="340">
      <c r="G340" s="11" t="n"/>
      <c r="Q340" s="7">
        <f>IF($E340="","",P340*AB340/100)</f>
        <v/>
      </c>
      <c r="R340" s="7" t="n"/>
      <c r="X340" s="7" t="n"/>
      <c r="Y340" s="7">
        <f>IF($E340="","",AB340*AE340/100)</f>
        <v/>
      </c>
      <c r="Z340" s="7">
        <f>IF($E340="","",AB340-Y340)</f>
        <v/>
      </c>
      <c r="AA340" s="7">
        <f>IF($E340="","",Z340-Q340)</f>
        <v/>
      </c>
      <c r="AB340" s="7" t="n"/>
      <c r="AE340">
        <f>IF($E340="","",IF($AQ340=1,0,IF($AP340=1,Settings!$C$6,Settings!$C$7))*100)</f>
        <v/>
      </c>
      <c r="AI340" s="7" t="n"/>
      <c r="AL340" s="11" t="n"/>
      <c r="AN340">
        <f>IF($E340="","",IF(COUNTIF($E$2:$E340,$E340)=1,1,0))</f>
        <v/>
      </c>
      <c r="AO340">
        <f>IF($AN340=1,SUMPRODUCT(--($AR$2:$AR$3001&lt;$AR340))+1,"")</f>
        <v/>
      </c>
      <c r="AP340">
        <f>IF($E340="","",IF(OR($U340=TRUE(),$U340="TRUE"),1,0))</f>
        <v/>
      </c>
      <c r="AQ340">
        <f>IF($E340="","",IF($AD340="Yes",1,0))</f>
        <v/>
      </c>
      <c r="AR340">
        <f>IF($AN340=1,IFERROR(VALUE(MID($E340,2,20)),1000000000)+ROW()/100000,"")</f>
        <v/>
      </c>
    </row>
    <row r="341">
      <c r="G341" s="11" t="n"/>
      <c r="Q341" s="7">
        <f>IF($E341="","",P341*AB341/100)</f>
        <v/>
      </c>
      <c r="R341" s="7" t="n"/>
      <c r="X341" s="7" t="n"/>
      <c r="Y341" s="7">
        <f>IF($E341="","",AB341*AE341/100)</f>
        <v/>
      </c>
      <c r="Z341" s="7">
        <f>IF($E341="","",AB341-Y341)</f>
        <v/>
      </c>
      <c r="AA341" s="7">
        <f>IF($E341="","",Z341-Q341)</f>
        <v/>
      </c>
      <c r="AB341" s="7" t="n"/>
      <c r="AE341">
        <f>IF($E341="","",IF($AQ341=1,0,IF($AP341=1,Settings!$C$6,Settings!$C$7))*100)</f>
        <v/>
      </c>
      <c r="AI341" s="7" t="n"/>
      <c r="AL341" s="11" t="n"/>
      <c r="AN341">
        <f>IF($E341="","",IF(COUNTIF($E$2:$E341,$E341)=1,1,0))</f>
        <v/>
      </c>
      <c r="AO341">
        <f>IF($AN341=1,SUMPRODUCT(--($AR$2:$AR$3001&lt;$AR341))+1,"")</f>
        <v/>
      </c>
      <c r="AP341">
        <f>IF($E341="","",IF(OR($U341=TRUE(),$U341="TRUE"),1,0))</f>
        <v/>
      </c>
      <c r="AQ341">
        <f>IF($E341="","",IF($AD341="Yes",1,0))</f>
        <v/>
      </c>
      <c r="AR341">
        <f>IF($AN341=1,IFERROR(VALUE(MID($E341,2,20)),1000000000)+ROW()/100000,"")</f>
        <v/>
      </c>
    </row>
    <row r="342">
      <c r="G342" s="11" t="n"/>
      <c r="Q342" s="7">
        <f>IF($E342="","",P342*AB342/100)</f>
        <v/>
      </c>
      <c r="R342" s="7" t="n"/>
      <c r="X342" s="7" t="n"/>
      <c r="Y342" s="7">
        <f>IF($E342="","",AB342*AE342/100)</f>
        <v/>
      </c>
      <c r="Z342" s="7">
        <f>IF($E342="","",AB342-Y342)</f>
        <v/>
      </c>
      <c r="AA342" s="7">
        <f>IF($E342="","",Z342-Q342)</f>
        <v/>
      </c>
      <c r="AB342" s="7" t="n"/>
      <c r="AE342">
        <f>IF($E342="","",IF($AQ342=1,0,IF($AP342=1,Settings!$C$6,Settings!$C$7))*100)</f>
        <v/>
      </c>
      <c r="AI342" s="7" t="n"/>
      <c r="AL342" s="11" t="n"/>
      <c r="AN342">
        <f>IF($E342="","",IF(COUNTIF($E$2:$E342,$E342)=1,1,0))</f>
        <v/>
      </c>
      <c r="AO342">
        <f>IF($AN342=1,SUMPRODUCT(--($AR$2:$AR$3001&lt;$AR342))+1,"")</f>
        <v/>
      </c>
      <c r="AP342">
        <f>IF($E342="","",IF(OR($U342=TRUE(),$U342="TRUE"),1,0))</f>
        <v/>
      </c>
      <c r="AQ342">
        <f>IF($E342="","",IF($AD342="Yes",1,0))</f>
        <v/>
      </c>
      <c r="AR342">
        <f>IF($AN342=1,IFERROR(VALUE(MID($E342,2,20)),1000000000)+ROW()/100000,"")</f>
        <v/>
      </c>
    </row>
    <row r="343">
      <c r="G343" s="11" t="n"/>
      <c r="Q343" s="7">
        <f>IF($E343="","",P343*AB343/100)</f>
        <v/>
      </c>
      <c r="R343" s="7" t="n"/>
      <c r="X343" s="7" t="n"/>
      <c r="Y343" s="7">
        <f>IF($E343="","",AB343*AE343/100)</f>
        <v/>
      </c>
      <c r="Z343" s="7">
        <f>IF($E343="","",AB343-Y343)</f>
        <v/>
      </c>
      <c r="AA343" s="7">
        <f>IF($E343="","",Z343-Q343)</f>
        <v/>
      </c>
      <c r="AB343" s="7" t="n"/>
      <c r="AE343">
        <f>IF($E343="","",IF($AQ343=1,0,IF($AP343=1,Settings!$C$6,Settings!$C$7))*100)</f>
        <v/>
      </c>
      <c r="AI343" s="7" t="n"/>
      <c r="AL343" s="11" t="n"/>
      <c r="AN343">
        <f>IF($E343="","",IF(COUNTIF($E$2:$E343,$E343)=1,1,0))</f>
        <v/>
      </c>
      <c r="AO343">
        <f>IF($AN343=1,SUMPRODUCT(--($AR$2:$AR$3001&lt;$AR343))+1,"")</f>
        <v/>
      </c>
      <c r="AP343">
        <f>IF($E343="","",IF(OR($U343=TRUE(),$U343="TRUE"),1,0))</f>
        <v/>
      </c>
      <c r="AQ343">
        <f>IF($E343="","",IF($AD343="Yes",1,0))</f>
        <v/>
      </c>
      <c r="AR343">
        <f>IF($AN343=1,IFERROR(VALUE(MID($E343,2,20)),1000000000)+ROW()/100000,"")</f>
        <v/>
      </c>
    </row>
    <row r="344">
      <c r="G344" s="11" t="n"/>
      <c r="Q344" s="7">
        <f>IF($E344="","",P344*AB344/100)</f>
        <v/>
      </c>
      <c r="R344" s="7" t="n"/>
      <c r="X344" s="7" t="n"/>
      <c r="Y344" s="7">
        <f>IF($E344="","",AB344*AE344/100)</f>
        <v/>
      </c>
      <c r="Z344" s="7">
        <f>IF($E344="","",AB344-Y344)</f>
        <v/>
      </c>
      <c r="AA344" s="7">
        <f>IF($E344="","",Z344-Q344)</f>
        <v/>
      </c>
      <c r="AB344" s="7" t="n"/>
      <c r="AE344">
        <f>IF($E344="","",IF($AQ344=1,0,IF($AP344=1,Settings!$C$6,Settings!$C$7))*100)</f>
        <v/>
      </c>
      <c r="AI344" s="7" t="n"/>
      <c r="AL344" s="11" t="n"/>
      <c r="AN344">
        <f>IF($E344="","",IF(COUNTIF($E$2:$E344,$E344)=1,1,0))</f>
        <v/>
      </c>
      <c r="AO344">
        <f>IF($AN344=1,SUMPRODUCT(--($AR$2:$AR$3001&lt;$AR344))+1,"")</f>
        <v/>
      </c>
      <c r="AP344">
        <f>IF($E344="","",IF(OR($U344=TRUE(),$U344="TRUE"),1,0))</f>
        <v/>
      </c>
      <c r="AQ344">
        <f>IF($E344="","",IF($AD344="Yes",1,0))</f>
        <v/>
      </c>
      <c r="AR344">
        <f>IF($AN344=1,IFERROR(VALUE(MID($E344,2,20)),1000000000)+ROW()/100000,"")</f>
        <v/>
      </c>
    </row>
    <row r="345">
      <c r="G345" s="11" t="n"/>
      <c r="Q345" s="7">
        <f>IF($E345="","",P345*AB345/100)</f>
        <v/>
      </c>
      <c r="R345" s="7" t="n"/>
      <c r="X345" s="7" t="n"/>
      <c r="Y345" s="7">
        <f>IF($E345="","",AB345*AE345/100)</f>
        <v/>
      </c>
      <c r="Z345" s="7">
        <f>IF($E345="","",AB345-Y345)</f>
        <v/>
      </c>
      <c r="AA345" s="7">
        <f>IF($E345="","",Z345-Q345)</f>
        <v/>
      </c>
      <c r="AB345" s="7" t="n"/>
      <c r="AE345">
        <f>IF($E345="","",IF($AQ345=1,0,IF($AP345=1,Settings!$C$6,Settings!$C$7))*100)</f>
        <v/>
      </c>
      <c r="AI345" s="7" t="n"/>
      <c r="AL345" s="11" t="n"/>
      <c r="AN345">
        <f>IF($E345="","",IF(COUNTIF($E$2:$E345,$E345)=1,1,0))</f>
        <v/>
      </c>
      <c r="AO345">
        <f>IF($AN345=1,SUMPRODUCT(--($AR$2:$AR$3001&lt;$AR345))+1,"")</f>
        <v/>
      </c>
      <c r="AP345">
        <f>IF($E345="","",IF(OR($U345=TRUE(),$U345="TRUE"),1,0))</f>
        <v/>
      </c>
      <c r="AQ345">
        <f>IF($E345="","",IF($AD345="Yes",1,0))</f>
        <v/>
      </c>
      <c r="AR345">
        <f>IF($AN345=1,IFERROR(VALUE(MID($E345,2,20)),1000000000)+ROW()/100000,"")</f>
        <v/>
      </c>
    </row>
    <row r="346">
      <c r="G346" s="11" t="n"/>
      <c r="Q346" s="7">
        <f>IF($E346="","",P346*AB346/100)</f>
        <v/>
      </c>
      <c r="R346" s="7" t="n"/>
      <c r="X346" s="7" t="n"/>
      <c r="Y346" s="7">
        <f>IF($E346="","",AB346*AE346/100)</f>
        <v/>
      </c>
      <c r="Z346" s="7">
        <f>IF($E346="","",AB346-Y346)</f>
        <v/>
      </c>
      <c r="AA346" s="7">
        <f>IF($E346="","",Z346-Q346)</f>
        <v/>
      </c>
      <c r="AB346" s="7" t="n"/>
      <c r="AE346">
        <f>IF($E346="","",IF($AQ346=1,0,IF($AP346=1,Settings!$C$6,Settings!$C$7))*100)</f>
        <v/>
      </c>
      <c r="AI346" s="7" t="n"/>
      <c r="AL346" s="11" t="n"/>
      <c r="AN346">
        <f>IF($E346="","",IF(COUNTIF($E$2:$E346,$E346)=1,1,0))</f>
        <v/>
      </c>
      <c r="AO346">
        <f>IF($AN346=1,SUMPRODUCT(--($AR$2:$AR$3001&lt;$AR346))+1,"")</f>
        <v/>
      </c>
      <c r="AP346">
        <f>IF($E346="","",IF(OR($U346=TRUE(),$U346="TRUE"),1,0))</f>
        <v/>
      </c>
      <c r="AQ346">
        <f>IF($E346="","",IF($AD346="Yes",1,0))</f>
        <v/>
      </c>
      <c r="AR346">
        <f>IF($AN346=1,IFERROR(VALUE(MID($E346,2,20)),1000000000)+ROW()/100000,"")</f>
        <v/>
      </c>
    </row>
    <row r="347">
      <c r="G347" s="11" t="n"/>
      <c r="Q347" s="7">
        <f>IF($E347="","",P347*AB347/100)</f>
        <v/>
      </c>
      <c r="R347" s="7" t="n"/>
      <c r="X347" s="7" t="n"/>
      <c r="Y347" s="7">
        <f>IF($E347="","",AB347*AE347/100)</f>
        <v/>
      </c>
      <c r="Z347" s="7">
        <f>IF($E347="","",AB347-Y347)</f>
        <v/>
      </c>
      <c r="AA347" s="7">
        <f>IF($E347="","",Z347-Q347)</f>
        <v/>
      </c>
      <c r="AB347" s="7" t="n"/>
      <c r="AE347">
        <f>IF($E347="","",IF($AQ347=1,0,IF($AP347=1,Settings!$C$6,Settings!$C$7))*100)</f>
        <v/>
      </c>
      <c r="AI347" s="7" t="n"/>
      <c r="AL347" s="11" t="n"/>
      <c r="AN347">
        <f>IF($E347="","",IF(COUNTIF($E$2:$E347,$E347)=1,1,0))</f>
        <v/>
      </c>
      <c r="AO347">
        <f>IF($AN347=1,SUMPRODUCT(--($AR$2:$AR$3001&lt;$AR347))+1,"")</f>
        <v/>
      </c>
      <c r="AP347">
        <f>IF($E347="","",IF(OR($U347=TRUE(),$U347="TRUE"),1,0))</f>
        <v/>
      </c>
      <c r="AQ347">
        <f>IF($E347="","",IF($AD347="Yes",1,0))</f>
        <v/>
      </c>
      <c r="AR347">
        <f>IF($AN347=1,IFERROR(VALUE(MID($E347,2,20)),1000000000)+ROW()/100000,"")</f>
        <v/>
      </c>
    </row>
    <row r="348">
      <c r="G348" s="11" t="n"/>
      <c r="Q348" s="7">
        <f>IF($E348="","",P348*AB348/100)</f>
        <v/>
      </c>
      <c r="R348" s="7" t="n"/>
      <c r="X348" s="7" t="n"/>
      <c r="Y348" s="7">
        <f>IF($E348="","",AB348*AE348/100)</f>
        <v/>
      </c>
      <c r="Z348" s="7">
        <f>IF($E348="","",AB348-Y348)</f>
        <v/>
      </c>
      <c r="AA348" s="7">
        <f>IF($E348="","",Z348-Q348)</f>
        <v/>
      </c>
      <c r="AB348" s="7" t="n"/>
      <c r="AE348">
        <f>IF($E348="","",IF($AQ348=1,0,IF($AP348=1,Settings!$C$6,Settings!$C$7))*100)</f>
        <v/>
      </c>
      <c r="AI348" s="7" t="n"/>
      <c r="AL348" s="11" t="n"/>
      <c r="AN348">
        <f>IF($E348="","",IF(COUNTIF($E$2:$E348,$E348)=1,1,0))</f>
        <v/>
      </c>
      <c r="AO348">
        <f>IF($AN348=1,SUMPRODUCT(--($AR$2:$AR$3001&lt;$AR348))+1,"")</f>
        <v/>
      </c>
      <c r="AP348">
        <f>IF($E348="","",IF(OR($U348=TRUE(),$U348="TRUE"),1,0))</f>
        <v/>
      </c>
      <c r="AQ348">
        <f>IF($E348="","",IF($AD348="Yes",1,0))</f>
        <v/>
      </c>
      <c r="AR348">
        <f>IF($AN348=1,IFERROR(VALUE(MID($E348,2,20)),1000000000)+ROW()/100000,"")</f>
        <v/>
      </c>
    </row>
    <row r="349">
      <c r="G349" s="11" t="n"/>
      <c r="Q349" s="7">
        <f>IF($E349="","",P349*AB349/100)</f>
        <v/>
      </c>
      <c r="R349" s="7" t="n"/>
      <c r="X349" s="7" t="n"/>
      <c r="Y349" s="7">
        <f>IF($E349="","",AB349*AE349/100)</f>
        <v/>
      </c>
      <c r="Z349" s="7">
        <f>IF($E349="","",AB349-Y349)</f>
        <v/>
      </c>
      <c r="AA349" s="7">
        <f>IF($E349="","",Z349-Q349)</f>
        <v/>
      </c>
      <c r="AB349" s="7" t="n"/>
      <c r="AE349">
        <f>IF($E349="","",IF($AQ349=1,0,IF($AP349=1,Settings!$C$6,Settings!$C$7))*100)</f>
        <v/>
      </c>
      <c r="AI349" s="7" t="n"/>
      <c r="AL349" s="11" t="n"/>
      <c r="AN349">
        <f>IF($E349="","",IF(COUNTIF($E$2:$E349,$E349)=1,1,0))</f>
        <v/>
      </c>
      <c r="AO349">
        <f>IF($AN349=1,SUMPRODUCT(--($AR$2:$AR$3001&lt;$AR349))+1,"")</f>
        <v/>
      </c>
      <c r="AP349">
        <f>IF($E349="","",IF(OR($U349=TRUE(),$U349="TRUE"),1,0))</f>
        <v/>
      </c>
      <c r="AQ349">
        <f>IF($E349="","",IF($AD349="Yes",1,0))</f>
        <v/>
      </c>
      <c r="AR349">
        <f>IF($AN349=1,IFERROR(VALUE(MID($E349,2,20)),1000000000)+ROW()/100000,"")</f>
        <v/>
      </c>
    </row>
    <row r="350">
      <c r="G350" s="11" t="n"/>
      <c r="Q350" s="7">
        <f>IF($E350="","",P350*AB350/100)</f>
        <v/>
      </c>
      <c r="R350" s="7" t="n"/>
      <c r="X350" s="7" t="n"/>
      <c r="Y350" s="7">
        <f>IF($E350="","",AB350*AE350/100)</f>
        <v/>
      </c>
      <c r="Z350" s="7">
        <f>IF($E350="","",AB350-Y350)</f>
        <v/>
      </c>
      <c r="AA350" s="7">
        <f>IF($E350="","",Z350-Q350)</f>
        <v/>
      </c>
      <c r="AB350" s="7" t="n"/>
      <c r="AE350">
        <f>IF($E350="","",IF($AQ350=1,0,IF($AP350=1,Settings!$C$6,Settings!$C$7))*100)</f>
        <v/>
      </c>
      <c r="AI350" s="7" t="n"/>
      <c r="AL350" s="11" t="n"/>
      <c r="AN350">
        <f>IF($E350="","",IF(COUNTIF($E$2:$E350,$E350)=1,1,0))</f>
        <v/>
      </c>
      <c r="AO350">
        <f>IF($AN350=1,SUMPRODUCT(--($AR$2:$AR$3001&lt;$AR350))+1,"")</f>
        <v/>
      </c>
      <c r="AP350">
        <f>IF($E350="","",IF(OR($U350=TRUE(),$U350="TRUE"),1,0))</f>
        <v/>
      </c>
      <c r="AQ350">
        <f>IF($E350="","",IF($AD350="Yes",1,0))</f>
        <v/>
      </c>
      <c r="AR350">
        <f>IF($AN350=1,IFERROR(VALUE(MID($E350,2,20)),1000000000)+ROW()/100000,"")</f>
        <v/>
      </c>
    </row>
    <row r="351">
      <c r="G351" s="11" t="n"/>
      <c r="Q351" s="7">
        <f>IF($E351="","",P351*AB351/100)</f>
        <v/>
      </c>
      <c r="R351" s="7" t="n"/>
      <c r="X351" s="7" t="n"/>
      <c r="Y351" s="7">
        <f>IF($E351="","",AB351*AE351/100)</f>
        <v/>
      </c>
      <c r="Z351" s="7">
        <f>IF($E351="","",AB351-Y351)</f>
        <v/>
      </c>
      <c r="AA351" s="7">
        <f>IF($E351="","",Z351-Q351)</f>
        <v/>
      </c>
      <c r="AB351" s="7" t="n"/>
      <c r="AE351">
        <f>IF($E351="","",IF($AQ351=1,0,IF($AP351=1,Settings!$C$6,Settings!$C$7))*100)</f>
        <v/>
      </c>
      <c r="AI351" s="7" t="n"/>
      <c r="AL351" s="11" t="n"/>
      <c r="AN351">
        <f>IF($E351="","",IF(COUNTIF($E$2:$E351,$E351)=1,1,0))</f>
        <v/>
      </c>
      <c r="AO351">
        <f>IF($AN351=1,SUMPRODUCT(--($AR$2:$AR$3001&lt;$AR351))+1,"")</f>
        <v/>
      </c>
      <c r="AP351">
        <f>IF($E351="","",IF(OR($U351=TRUE(),$U351="TRUE"),1,0))</f>
        <v/>
      </c>
      <c r="AQ351">
        <f>IF($E351="","",IF($AD351="Yes",1,0))</f>
        <v/>
      </c>
      <c r="AR351">
        <f>IF($AN351=1,IFERROR(VALUE(MID($E351,2,20)),1000000000)+ROW()/100000,"")</f>
        <v/>
      </c>
    </row>
    <row r="352">
      <c r="G352" s="11" t="n"/>
      <c r="Q352" s="7">
        <f>IF($E352="","",P352*AB352/100)</f>
        <v/>
      </c>
      <c r="R352" s="7" t="n"/>
      <c r="X352" s="7" t="n"/>
      <c r="Y352" s="7">
        <f>IF($E352="","",AB352*AE352/100)</f>
        <v/>
      </c>
      <c r="Z352" s="7">
        <f>IF($E352="","",AB352-Y352)</f>
        <v/>
      </c>
      <c r="AA352" s="7">
        <f>IF($E352="","",Z352-Q352)</f>
        <v/>
      </c>
      <c r="AB352" s="7" t="n"/>
      <c r="AE352">
        <f>IF($E352="","",IF($AQ352=1,0,IF($AP352=1,Settings!$C$6,Settings!$C$7))*100)</f>
        <v/>
      </c>
      <c r="AI352" s="7" t="n"/>
      <c r="AL352" s="11" t="n"/>
      <c r="AN352">
        <f>IF($E352="","",IF(COUNTIF($E$2:$E352,$E352)=1,1,0))</f>
        <v/>
      </c>
      <c r="AO352">
        <f>IF($AN352=1,SUMPRODUCT(--($AR$2:$AR$3001&lt;$AR352))+1,"")</f>
        <v/>
      </c>
      <c r="AP352">
        <f>IF($E352="","",IF(OR($U352=TRUE(),$U352="TRUE"),1,0))</f>
        <v/>
      </c>
      <c r="AQ352">
        <f>IF($E352="","",IF($AD352="Yes",1,0))</f>
        <v/>
      </c>
      <c r="AR352">
        <f>IF($AN352=1,IFERROR(VALUE(MID($E352,2,20)),1000000000)+ROW()/100000,"")</f>
        <v/>
      </c>
    </row>
    <row r="353">
      <c r="G353" s="11" t="n"/>
      <c r="Q353" s="7">
        <f>IF($E353="","",P353*AB353/100)</f>
        <v/>
      </c>
      <c r="R353" s="7" t="n"/>
      <c r="X353" s="7" t="n"/>
      <c r="Y353" s="7">
        <f>IF($E353="","",AB353*AE353/100)</f>
        <v/>
      </c>
      <c r="Z353" s="7">
        <f>IF($E353="","",AB353-Y353)</f>
        <v/>
      </c>
      <c r="AA353" s="7">
        <f>IF($E353="","",Z353-Q353)</f>
        <v/>
      </c>
      <c r="AB353" s="7" t="n"/>
      <c r="AE353">
        <f>IF($E353="","",IF($AQ353=1,0,IF($AP353=1,Settings!$C$6,Settings!$C$7))*100)</f>
        <v/>
      </c>
      <c r="AI353" s="7" t="n"/>
      <c r="AL353" s="11" t="n"/>
      <c r="AN353">
        <f>IF($E353="","",IF(COUNTIF($E$2:$E353,$E353)=1,1,0))</f>
        <v/>
      </c>
      <c r="AO353">
        <f>IF($AN353=1,SUMPRODUCT(--($AR$2:$AR$3001&lt;$AR353))+1,"")</f>
        <v/>
      </c>
      <c r="AP353">
        <f>IF($E353="","",IF(OR($U353=TRUE(),$U353="TRUE"),1,0))</f>
        <v/>
      </c>
      <c r="AQ353">
        <f>IF($E353="","",IF($AD353="Yes",1,0))</f>
        <v/>
      </c>
      <c r="AR353">
        <f>IF($AN353=1,IFERROR(VALUE(MID($E353,2,20)),1000000000)+ROW()/100000,"")</f>
        <v/>
      </c>
    </row>
    <row r="354">
      <c r="G354" s="11" t="n"/>
      <c r="Q354" s="7">
        <f>IF($E354="","",P354*AB354/100)</f>
        <v/>
      </c>
      <c r="R354" s="7" t="n"/>
      <c r="X354" s="7" t="n"/>
      <c r="Y354" s="7">
        <f>IF($E354="","",AB354*AE354/100)</f>
        <v/>
      </c>
      <c r="Z354" s="7">
        <f>IF($E354="","",AB354-Y354)</f>
        <v/>
      </c>
      <c r="AA354" s="7">
        <f>IF($E354="","",Z354-Q354)</f>
        <v/>
      </c>
      <c r="AB354" s="7" t="n"/>
      <c r="AE354">
        <f>IF($E354="","",IF($AQ354=1,0,IF($AP354=1,Settings!$C$6,Settings!$C$7))*100)</f>
        <v/>
      </c>
      <c r="AI354" s="7" t="n"/>
      <c r="AL354" s="11" t="n"/>
      <c r="AN354">
        <f>IF($E354="","",IF(COUNTIF($E$2:$E354,$E354)=1,1,0))</f>
        <v/>
      </c>
      <c r="AO354">
        <f>IF($AN354=1,SUMPRODUCT(--($AR$2:$AR$3001&lt;$AR354))+1,"")</f>
        <v/>
      </c>
      <c r="AP354">
        <f>IF($E354="","",IF(OR($U354=TRUE(),$U354="TRUE"),1,0))</f>
        <v/>
      </c>
      <c r="AQ354">
        <f>IF($E354="","",IF($AD354="Yes",1,0))</f>
        <v/>
      </c>
      <c r="AR354">
        <f>IF($AN354=1,IFERROR(VALUE(MID($E354,2,20)),1000000000)+ROW()/100000,"")</f>
        <v/>
      </c>
    </row>
    <row r="355">
      <c r="G355" s="11" t="n"/>
      <c r="Q355" s="7">
        <f>IF($E355="","",P355*AB355/100)</f>
        <v/>
      </c>
      <c r="R355" s="7" t="n"/>
      <c r="X355" s="7" t="n"/>
      <c r="Y355" s="7">
        <f>IF($E355="","",AB355*AE355/100)</f>
        <v/>
      </c>
      <c r="Z355" s="7">
        <f>IF($E355="","",AB355-Y355)</f>
        <v/>
      </c>
      <c r="AA355" s="7">
        <f>IF($E355="","",Z355-Q355)</f>
        <v/>
      </c>
      <c r="AB355" s="7" t="n"/>
      <c r="AE355">
        <f>IF($E355="","",IF($AQ355=1,0,IF($AP355=1,Settings!$C$6,Settings!$C$7))*100)</f>
        <v/>
      </c>
      <c r="AI355" s="7" t="n"/>
      <c r="AL355" s="11" t="n"/>
      <c r="AN355">
        <f>IF($E355="","",IF(COUNTIF($E$2:$E355,$E355)=1,1,0))</f>
        <v/>
      </c>
      <c r="AO355">
        <f>IF($AN355=1,SUMPRODUCT(--($AR$2:$AR$3001&lt;$AR355))+1,"")</f>
        <v/>
      </c>
      <c r="AP355">
        <f>IF($E355="","",IF(OR($U355=TRUE(),$U355="TRUE"),1,0))</f>
        <v/>
      </c>
      <c r="AQ355">
        <f>IF($E355="","",IF($AD355="Yes",1,0))</f>
        <v/>
      </c>
      <c r="AR355">
        <f>IF($AN355=1,IFERROR(VALUE(MID($E355,2,20)),1000000000)+ROW()/100000,"")</f>
        <v/>
      </c>
    </row>
    <row r="356">
      <c r="G356" s="11" t="n"/>
      <c r="Q356" s="7">
        <f>IF($E356="","",P356*AB356/100)</f>
        <v/>
      </c>
      <c r="R356" s="7" t="n"/>
      <c r="X356" s="7" t="n"/>
      <c r="Y356" s="7">
        <f>IF($E356="","",AB356*AE356/100)</f>
        <v/>
      </c>
      <c r="Z356" s="7">
        <f>IF($E356="","",AB356-Y356)</f>
        <v/>
      </c>
      <c r="AA356" s="7">
        <f>IF($E356="","",Z356-Q356)</f>
        <v/>
      </c>
      <c r="AB356" s="7" t="n"/>
      <c r="AE356">
        <f>IF($E356="","",IF($AQ356=1,0,IF($AP356=1,Settings!$C$6,Settings!$C$7))*100)</f>
        <v/>
      </c>
      <c r="AI356" s="7" t="n"/>
      <c r="AL356" s="11" t="n"/>
      <c r="AN356">
        <f>IF($E356="","",IF(COUNTIF($E$2:$E356,$E356)=1,1,0))</f>
        <v/>
      </c>
      <c r="AO356">
        <f>IF($AN356=1,SUMPRODUCT(--($AR$2:$AR$3001&lt;$AR356))+1,"")</f>
        <v/>
      </c>
      <c r="AP356">
        <f>IF($E356="","",IF(OR($U356=TRUE(),$U356="TRUE"),1,0))</f>
        <v/>
      </c>
      <c r="AQ356">
        <f>IF($E356="","",IF($AD356="Yes",1,0))</f>
        <v/>
      </c>
      <c r="AR356">
        <f>IF($AN356=1,IFERROR(VALUE(MID($E356,2,20)),1000000000)+ROW()/100000,"")</f>
        <v/>
      </c>
    </row>
    <row r="357">
      <c r="G357" s="11" t="n"/>
      <c r="Q357" s="7">
        <f>IF($E357="","",P357*AB357/100)</f>
        <v/>
      </c>
      <c r="R357" s="7" t="n"/>
      <c r="X357" s="7" t="n"/>
      <c r="Y357" s="7">
        <f>IF($E357="","",AB357*AE357/100)</f>
        <v/>
      </c>
      <c r="Z357" s="7">
        <f>IF($E357="","",AB357-Y357)</f>
        <v/>
      </c>
      <c r="AA357" s="7">
        <f>IF($E357="","",Z357-Q357)</f>
        <v/>
      </c>
      <c r="AB357" s="7" t="n"/>
      <c r="AE357">
        <f>IF($E357="","",IF($AQ357=1,0,IF($AP357=1,Settings!$C$6,Settings!$C$7))*100)</f>
        <v/>
      </c>
      <c r="AI357" s="7" t="n"/>
      <c r="AL357" s="11" t="n"/>
      <c r="AN357">
        <f>IF($E357="","",IF(COUNTIF($E$2:$E357,$E357)=1,1,0))</f>
        <v/>
      </c>
      <c r="AO357">
        <f>IF($AN357=1,SUMPRODUCT(--($AR$2:$AR$3001&lt;$AR357))+1,"")</f>
        <v/>
      </c>
      <c r="AP357">
        <f>IF($E357="","",IF(OR($U357=TRUE(),$U357="TRUE"),1,0))</f>
        <v/>
      </c>
      <c r="AQ357">
        <f>IF($E357="","",IF($AD357="Yes",1,0))</f>
        <v/>
      </c>
      <c r="AR357">
        <f>IF($AN357=1,IFERROR(VALUE(MID($E357,2,20)),1000000000)+ROW()/100000,"")</f>
        <v/>
      </c>
    </row>
    <row r="358">
      <c r="G358" s="11" t="n"/>
      <c r="Q358" s="7">
        <f>IF($E358="","",P358*AB358/100)</f>
        <v/>
      </c>
      <c r="R358" s="7" t="n"/>
      <c r="X358" s="7" t="n"/>
      <c r="Y358" s="7">
        <f>IF($E358="","",AB358*AE358/100)</f>
        <v/>
      </c>
      <c r="Z358" s="7">
        <f>IF($E358="","",AB358-Y358)</f>
        <v/>
      </c>
      <c r="AA358" s="7">
        <f>IF($E358="","",Z358-Q358)</f>
        <v/>
      </c>
      <c r="AB358" s="7" t="n"/>
      <c r="AE358">
        <f>IF($E358="","",IF($AQ358=1,0,IF($AP358=1,Settings!$C$6,Settings!$C$7))*100)</f>
        <v/>
      </c>
      <c r="AI358" s="7" t="n"/>
      <c r="AL358" s="11" t="n"/>
      <c r="AN358">
        <f>IF($E358="","",IF(COUNTIF($E$2:$E358,$E358)=1,1,0))</f>
        <v/>
      </c>
      <c r="AO358">
        <f>IF($AN358=1,SUMPRODUCT(--($AR$2:$AR$3001&lt;$AR358))+1,"")</f>
        <v/>
      </c>
      <c r="AP358">
        <f>IF($E358="","",IF(OR($U358=TRUE(),$U358="TRUE"),1,0))</f>
        <v/>
      </c>
      <c r="AQ358">
        <f>IF($E358="","",IF($AD358="Yes",1,0))</f>
        <v/>
      </c>
      <c r="AR358">
        <f>IF($AN358=1,IFERROR(VALUE(MID($E358,2,20)),1000000000)+ROW()/100000,"")</f>
        <v/>
      </c>
    </row>
    <row r="359">
      <c r="G359" s="11" t="n"/>
      <c r="Q359" s="7">
        <f>IF($E359="","",P359*AB359/100)</f>
        <v/>
      </c>
      <c r="R359" s="7" t="n"/>
      <c r="X359" s="7" t="n"/>
      <c r="Y359" s="7">
        <f>IF($E359="","",AB359*AE359/100)</f>
        <v/>
      </c>
      <c r="Z359" s="7">
        <f>IF($E359="","",AB359-Y359)</f>
        <v/>
      </c>
      <c r="AA359" s="7">
        <f>IF($E359="","",Z359-Q359)</f>
        <v/>
      </c>
      <c r="AB359" s="7" t="n"/>
      <c r="AE359">
        <f>IF($E359="","",IF($AQ359=1,0,IF($AP359=1,Settings!$C$6,Settings!$C$7))*100)</f>
        <v/>
      </c>
      <c r="AI359" s="7" t="n"/>
      <c r="AL359" s="11" t="n"/>
      <c r="AN359">
        <f>IF($E359="","",IF(COUNTIF($E$2:$E359,$E359)=1,1,0))</f>
        <v/>
      </c>
      <c r="AO359">
        <f>IF($AN359=1,SUMPRODUCT(--($AR$2:$AR$3001&lt;$AR359))+1,"")</f>
        <v/>
      </c>
      <c r="AP359">
        <f>IF($E359="","",IF(OR($U359=TRUE(),$U359="TRUE"),1,0))</f>
        <v/>
      </c>
      <c r="AQ359">
        <f>IF($E359="","",IF($AD359="Yes",1,0))</f>
        <v/>
      </c>
      <c r="AR359">
        <f>IF($AN359=1,IFERROR(VALUE(MID($E359,2,20)),1000000000)+ROW()/100000,"")</f>
        <v/>
      </c>
    </row>
    <row r="360">
      <c r="G360" s="11" t="n"/>
      <c r="Q360" s="7">
        <f>IF($E360="","",P360*AB360/100)</f>
        <v/>
      </c>
      <c r="R360" s="7" t="n"/>
      <c r="X360" s="7" t="n"/>
      <c r="Y360" s="7">
        <f>IF($E360="","",AB360*AE360/100)</f>
        <v/>
      </c>
      <c r="Z360" s="7">
        <f>IF($E360="","",AB360-Y360)</f>
        <v/>
      </c>
      <c r="AA360" s="7">
        <f>IF($E360="","",Z360-Q360)</f>
        <v/>
      </c>
      <c r="AB360" s="7" t="n"/>
      <c r="AE360">
        <f>IF($E360="","",IF($AQ360=1,0,IF($AP360=1,Settings!$C$6,Settings!$C$7))*100)</f>
        <v/>
      </c>
      <c r="AI360" s="7" t="n"/>
      <c r="AL360" s="11" t="n"/>
      <c r="AN360">
        <f>IF($E360="","",IF(COUNTIF($E$2:$E360,$E360)=1,1,0))</f>
        <v/>
      </c>
      <c r="AO360">
        <f>IF($AN360=1,SUMPRODUCT(--($AR$2:$AR$3001&lt;$AR360))+1,"")</f>
        <v/>
      </c>
      <c r="AP360">
        <f>IF($E360="","",IF(OR($U360=TRUE(),$U360="TRUE"),1,0))</f>
        <v/>
      </c>
      <c r="AQ360">
        <f>IF($E360="","",IF($AD360="Yes",1,0))</f>
        <v/>
      </c>
      <c r="AR360">
        <f>IF($AN360=1,IFERROR(VALUE(MID($E360,2,20)),1000000000)+ROW()/100000,"")</f>
        <v/>
      </c>
    </row>
    <row r="361">
      <c r="G361" s="11" t="n"/>
      <c r="Q361" s="7">
        <f>IF($E361="","",P361*AB361/100)</f>
        <v/>
      </c>
      <c r="R361" s="7" t="n"/>
      <c r="X361" s="7" t="n"/>
      <c r="Y361" s="7">
        <f>IF($E361="","",AB361*AE361/100)</f>
        <v/>
      </c>
      <c r="Z361" s="7">
        <f>IF($E361="","",AB361-Y361)</f>
        <v/>
      </c>
      <c r="AA361" s="7">
        <f>IF($E361="","",Z361-Q361)</f>
        <v/>
      </c>
      <c r="AB361" s="7" t="n"/>
      <c r="AE361">
        <f>IF($E361="","",IF($AQ361=1,0,IF($AP361=1,Settings!$C$6,Settings!$C$7))*100)</f>
        <v/>
      </c>
      <c r="AI361" s="7" t="n"/>
      <c r="AL361" s="11" t="n"/>
      <c r="AN361">
        <f>IF($E361="","",IF(COUNTIF($E$2:$E361,$E361)=1,1,0))</f>
        <v/>
      </c>
      <c r="AO361">
        <f>IF($AN361=1,SUMPRODUCT(--($AR$2:$AR$3001&lt;$AR361))+1,"")</f>
        <v/>
      </c>
      <c r="AP361">
        <f>IF($E361="","",IF(OR($U361=TRUE(),$U361="TRUE"),1,0))</f>
        <v/>
      </c>
      <c r="AQ361">
        <f>IF($E361="","",IF($AD361="Yes",1,0))</f>
        <v/>
      </c>
      <c r="AR361">
        <f>IF($AN361=1,IFERROR(VALUE(MID($E361,2,20)),1000000000)+ROW()/100000,"")</f>
        <v/>
      </c>
    </row>
    <row r="362">
      <c r="G362" s="11" t="n"/>
      <c r="Q362" s="7">
        <f>IF($E362="","",P362*AB362/100)</f>
        <v/>
      </c>
      <c r="R362" s="7" t="n"/>
      <c r="X362" s="7" t="n"/>
      <c r="Y362" s="7">
        <f>IF($E362="","",AB362*AE362/100)</f>
        <v/>
      </c>
      <c r="Z362" s="7">
        <f>IF($E362="","",AB362-Y362)</f>
        <v/>
      </c>
      <c r="AA362" s="7">
        <f>IF($E362="","",Z362-Q362)</f>
        <v/>
      </c>
      <c r="AB362" s="7" t="n"/>
      <c r="AE362">
        <f>IF($E362="","",IF($AQ362=1,0,IF($AP362=1,Settings!$C$6,Settings!$C$7))*100)</f>
        <v/>
      </c>
      <c r="AI362" s="7" t="n"/>
      <c r="AL362" s="11" t="n"/>
      <c r="AN362">
        <f>IF($E362="","",IF(COUNTIF($E$2:$E362,$E362)=1,1,0))</f>
        <v/>
      </c>
      <c r="AO362">
        <f>IF($AN362=1,SUMPRODUCT(--($AR$2:$AR$3001&lt;$AR362))+1,"")</f>
        <v/>
      </c>
      <c r="AP362">
        <f>IF($E362="","",IF(OR($U362=TRUE(),$U362="TRUE"),1,0))</f>
        <v/>
      </c>
      <c r="AQ362">
        <f>IF($E362="","",IF($AD362="Yes",1,0))</f>
        <v/>
      </c>
      <c r="AR362">
        <f>IF($AN362=1,IFERROR(VALUE(MID($E362,2,20)),1000000000)+ROW()/100000,"")</f>
        <v/>
      </c>
    </row>
    <row r="363">
      <c r="G363" s="11" t="n"/>
      <c r="Q363" s="7">
        <f>IF($E363="","",P363*AB363/100)</f>
        <v/>
      </c>
      <c r="R363" s="7" t="n"/>
      <c r="X363" s="7" t="n"/>
      <c r="Y363" s="7">
        <f>IF($E363="","",AB363*AE363/100)</f>
        <v/>
      </c>
      <c r="Z363" s="7">
        <f>IF($E363="","",AB363-Y363)</f>
        <v/>
      </c>
      <c r="AA363" s="7">
        <f>IF($E363="","",Z363-Q363)</f>
        <v/>
      </c>
      <c r="AB363" s="7" t="n"/>
      <c r="AE363">
        <f>IF($E363="","",IF($AQ363=1,0,IF($AP363=1,Settings!$C$6,Settings!$C$7))*100)</f>
        <v/>
      </c>
      <c r="AI363" s="7" t="n"/>
      <c r="AL363" s="11" t="n"/>
      <c r="AN363">
        <f>IF($E363="","",IF(COUNTIF($E$2:$E363,$E363)=1,1,0))</f>
        <v/>
      </c>
      <c r="AO363">
        <f>IF($AN363=1,SUMPRODUCT(--($AR$2:$AR$3001&lt;$AR363))+1,"")</f>
        <v/>
      </c>
      <c r="AP363">
        <f>IF($E363="","",IF(OR($U363=TRUE(),$U363="TRUE"),1,0))</f>
        <v/>
      </c>
      <c r="AQ363">
        <f>IF($E363="","",IF($AD363="Yes",1,0))</f>
        <v/>
      </c>
      <c r="AR363">
        <f>IF($AN363=1,IFERROR(VALUE(MID($E363,2,20)),1000000000)+ROW()/100000,"")</f>
        <v/>
      </c>
    </row>
    <row r="364">
      <c r="G364" s="11" t="n"/>
      <c r="Q364" s="7">
        <f>IF($E364="","",P364*AB364/100)</f>
        <v/>
      </c>
      <c r="R364" s="7" t="n"/>
      <c r="X364" s="7" t="n"/>
      <c r="Y364" s="7">
        <f>IF($E364="","",AB364*AE364/100)</f>
        <v/>
      </c>
      <c r="Z364" s="7">
        <f>IF($E364="","",AB364-Y364)</f>
        <v/>
      </c>
      <c r="AA364" s="7">
        <f>IF($E364="","",Z364-Q364)</f>
        <v/>
      </c>
      <c r="AB364" s="7" t="n"/>
      <c r="AE364">
        <f>IF($E364="","",IF($AQ364=1,0,IF($AP364=1,Settings!$C$6,Settings!$C$7))*100)</f>
        <v/>
      </c>
      <c r="AI364" s="7" t="n"/>
      <c r="AL364" s="11" t="n"/>
      <c r="AN364">
        <f>IF($E364="","",IF(COUNTIF($E$2:$E364,$E364)=1,1,0))</f>
        <v/>
      </c>
      <c r="AO364">
        <f>IF($AN364=1,SUMPRODUCT(--($AR$2:$AR$3001&lt;$AR364))+1,"")</f>
        <v/>
      </c>
      <c r="AP364">
        <f>IF($E364="","",IF(OR($U364=TRUE(),$U364="TRUE"),1,0))</f>
        <v/>
      </c>
      <c r="AQ364">
        <f>IF($E364="","",IF($AD364="Yes",1,0))</f>
        <v/>
      </c>
      <c r="AR364">
        <f>IF($AN364=1,IFERROR(VALUE(MID($E364,2,20)),1000000000)+ROW()/100000,"")</f>
        <v/>
      </c>
    </row>
    <row r="365">
      <c r="G365" s="11" t="n"/>
      <c r="Q365" s="7">
        <f>IF($E365="","",P365*AB365/100)</f>
        <v/>
      </c>
      <c r="R365" s="7" t="n"/>
      <c r="X365" s="7" t="n"/>
      <c r="Y365" s="7">
        <f>IF($E365="","",AB365*AE365/100)</f>
        <v/>
      </c>
      <c r="Z365" s="7">
        <f>IF($E365="","",AB365-Y365)</f>
        <v/>
      </c>
      <c r="AA365" s="7">
        <f>IF($E365="","",Z365-Q365)</f>
        <v/>
      </c>
      <c r="AB365" s="7" t="n"/>
      <c r="AE365">
        <f>IF($E365="","",IF($AQ365=1,0,IF($AP365=1,Settings!$C$6,Settings!$C$7))*100)</f>
        <v/>
      </c>
      <c r="AI365" s="7" t="n"/>
      <c r="AL365" s="11" t="n"/>
      <c r="AN365">
        <f>IF($E365="","",IF(COUNTIF($E$2:$E365,$E365)=1,1,0))</f>
        <v/>
      </c>
      <c r="AO365">
        <f>IF($AN365=1,SUMPRODUCT(--($AR$2:$AR$3001&lt;$AR365))+1,"")</f>
        <v/>
      </c>
      <c r="AP365">
        <f>IF($E365="","",IF(OR($U365=TRUE(),$U365="TRUE"),1,0))</f>
        <v/>
      </c>
      <c r="AQ365">
        <f>IF($E365="","",IF($AD365="Yes",1,0))</f>
        <v/>
      </c>
      <c r="AR365">
        <f>IF($AN365=1,IFERROR(VALUE(MID($E365,2,20)),1000000000)+ROW()/100000,"")</f>
        <v/>
      </c>
    </row>
    <row r="366">
      <c r="G366" s="11" t="n"/>
      <c r="Q366" s="7">
        <f>IF($E366="","",P366*AB366/100)</f>
        <v/>
      </c>
      <c r="R366" s="7" t="n"/>
      <c r="X366" s="7" t="n"/>
      <c r="Y366" s="7">
        <f>IF($E366="","",AB366*AE366/100)</f>
        <v/>
      </c>
      <c r="Z366" s="7">
        <f>IF($E366="","",AB366-Y366)</f>
        <v/>
      </c>
      <c r="AA366" s="7">
        <f>IF($E366="","",Z366-Q366)</f>
        <v/>
      </c>
      <c r="AB366" s="7" t="n"/>
      <c r="AE366">
        <f>IF($E366="","",IF($AQ366=1,0,IF($AP366=1,Settings!$C$6,Settings!$C$7))*100)</f>
        <v/>
      </c>
      <c r="AI366" s="7" t="n"/>
      <c r="AL366" s="11" t="n"/>
      <c r="AN366">
        <f>IF($E366="","",IF(COUNTIF($E$2:$E366,$E366)=1,1,0))</f>
        <v/>
      </c>
      <c r="AO366">
        <f>IF($AN366=1,SUMPRODUCT(--($AR$2:$AR$3001&lt;$AR366))+1,"")</f>
        <v/>
      </c>
      <c r="AP366">
        <f>IF($E366="","",IF(OR($U366=TRUE(),$U366="TRUE"),1,0))</f>
        <v/>
      </c>
      <c r="AQ366">
        <f>IF($E366="","",IF($AD366="Yes",1,0))</f>
        <v/>
      </c>
      <c r="AR366">
        <f>IF($AN366=1,IFERROR(VALUE(MID($E366,2,20)),1000000000)+ROW()/100000,"")</f>
        <v/>
      </c>
    </row>
    <row r="367">
      <c r="G367" s="11" t="n"/>
      <c r="Q367" s="7">
        <f>IF($E367="","",P367*AB367/100)</f>
        <v/>
      </c>
      <c r="R367" s="7" t="n"/>
      <c r="X367" s="7" t="n"/>
      <c r="Y367" s="7">
        <f>IF($E367="","",AB367*AE367/100)</f>
        <v/>
      </c>
      <c r="Z367" s="7">
        <f>IF($E367="","",AB367-Y367)</f>
        <v/>
      </c>
      <c r="AA367" s="7">
        <f>IF($E367="","",Z367-Q367)</f>
        <v/>
      </c>
      <c r="AB367" s="7" t="n"/>
      <c r="AE367">
        <f>IF($E367="","",IF($AQ367=1,0,IF($AP367=1,Settings!$C$6,Settings!$C$7))*100)</f>
        <v/>
      </c>
      <c r="AI367" s="7" t="n"/>
      <c r="AL367" s="11" t="n"/>
      <c r="AN367">
        <f>IF($E367="","",IF(COUNTIF($E$2:$E367,$E367)=1,1,0))</f>
        <v/>
      </c>
      <c r="AO367">
        <f>IF($AN367=1,SUMPRODUCT(--($AR$2:$AR$3001&lt;$AR367))+1,"")</f>
        <v/>
      </c>
      <c r="AP367">
        <f>IF($E367="","",IF(OR($U367=TRUE(),$U367="TRUE"),1,0))</f>
        <v/>
      </c>
      <c r="AQ367">
        <f>IF($E367="","",IF($AD367="Yes",1,0))</f>
        <v/>
      </c>
      <c r="AR367">
        <f>IF($AN367=1,IFERROR(VALUE(MID($E367,2,20)),1000000000)+ROW()/100000,"")</f>
        <v/>
      </c>
    </row>
    <row r="368">
      <c r="G368" s="11" t="n"/>
      <c r="Q368" s="7">
        <f>IF($E368="","",P368*AB368/100)</f>
        <v/>
      </c>
      <c r="R368" s="7" t="n"/>
      <c r="X368" s="7" t="n"/>
      <c r="Y368" s="7">
        <f>IF($E368="","",AB368*AE368/100)</f>
        <v/>
      </c>
      <c r="Z368" s="7">
        <f>IF($E368="","",AB368-Y368)</f>
        <v/>
      </c>
      <c r="AA368" s="7">
        <f>IF($E368="","",Z368-Q368)</f>
        <v/>
      </c>
      <c r="AB368" s="7" t="n"/>
      <c r="AE368">
        <f>IF($E368="","",IF($AQ368=1,0,IF($AP368=1,Settings!$C$6,Settings!$C$7))*100)</f>
        <v/>
      </c>
      <c r="AI368" s="7" t="n"/>
      <c r="AL368" s="11" t="n"/>
      <c r="AN368">
        <f>IF($E368="","",IF(COUNTIF($E$2:$E368,$E368)=1,1,0))</f>
        <v/>
      </c>
      <c r="AO368">
        <f>IF($AN368=1,SUMPRODUCT(--($AR$2:$AR$3001&lt;$AR368))+1,"")</f>
        <v/>
      </c>
      <c r="AP368">
        <f>IF($E368="","",IF(OR($U368=TRUE(),$U368="TRUE"),1,0))</f>
        <v/>
      </c>
      <c r="AQ368">
        <f>IF($E368="","",IF($AD368="Yes",1,0))</f>
        <v/>
      </c>
      <c r="AR368">
        <f>IF($AN368=1,IFERROR(VALUE(MID($E368,2,20)),1000000000)+ROW()/100000,"")</f>
        <v/>
      </c>
    </row>
    <row r="369">
      <c r="G369" s="11" t="n"/>
      <c r="Q369" s="7">
        <f>IF($E369="","",P369*AB369/100)</f>
        <v/>
      </c>
      <c r="R369" s="7" t="n"/>
      <c r="X369" s="7" t="n"/>
      <c r="Y369" s="7">
        <f>IF($E369="","",AB369*AE369/100)</f>
        <v/>
      </c>
      <c r="Z369" s="7">
        <f>IF($E369="","",AB369-Y369)</f>
        <v/>
      </c>
      <c r="AA369" s="7">
        <f>IF($E369="","",Z369-Q369)</f>
        <v/>
      </c>
      <c r="AB369" s="7" t="n"/>
      <c r="AE369">
        <f>IF($E369="","",IF($AQ369=1,0,IF($AP369=1,Settings!$C$6,Settings!$C$7))*100)</f>
        <v/>
      </c>
      <c r="AI369" s="7" t="n"/>
      <c r="AL369" s="11" t="n"/>
      <c r="AN369">
        <f>IF($E369="","",IF(COUNTIF($E$2:$E369,$E369)=1,1,0))</f>
        <v/>
      </c>
      <c r="AO369">
        <f>IF($AN369=1,SUMPRODUCT(--($AR$2:$AR$3001&lt;$AR369))+1,"")</f>
        <v/>
      </c>
      <c r="AP369">
        <f>IF($E369="","",IF(OR($U369=TRUE(),$U369="TRUE"),1,0))</f>
        <v/>
      </c>
      <c r="AQ369">
        <f>IF($E369="","",IF($AD369="Yes",1,0))</f>
        <v/>
      </c>
      <c r="AR369">
        <f>IF($AN369=1,IFERROR(VALUE(MID($E369,2,20)),1000000000)+ROW()/100000,"")</f>
        <v/>
      </c>
    </row>
    <row r="370">
      <c r="G370" s="11" t="n"/>
      <c r="Q370" s="7">
        <f>IF($E370="","",P370*AB370/100)</f>
        <v/>
      </c>
      <c r="R370" s="7" t="n"/>
      <c r="X370" s="7" t="n"/>
      <c r="Y370" s="7">
        <f>IF($E370="","",AB370*AE370/100)</f>
        <v/>
      </c>
      <c r="Z370" s="7">
        <f>IF($E370="","",AB370-Y370)</f>
        <v/>
      </c>
      <c r="AA370" s="7">
        <f>IF($E370="","",Z370-Q370)</f>
        <v/>
      </c>
      <c r="AB370" s="7" t="n"/>
      <c r="AE370">
        <f>IF($E370="","",IF($AQ370=1,0,IF($AP370=1,Settings!$C$6,Settings!$C$7))*100)</f>
        <v/>
      </c>
      <c r="AI370" s="7" t="n"/>
      <c r="AL370" s="11" t="n"/>
      <c r="AN370">
        <f>IF($E370="","",IF(COUNTIF($E$2:$E370,$E370)=1,1,0))</f>
        <v/>
      </c>
      <c r="AO370">
        <f>IF($AN370=1,SUMPRODUCT(--($AR$2:$AR$3001&lt;$AR370))+1,"")</f>
        <v/>
      </c>
      <c r="AP370">
        <f>IF($E370="","",IF(OR($U370=TRUE(),$U370="TRUE"),1,0))</f>
        <v/>
      </c>
      <c r="AQ370">
        <f>IF($E370="","",IF($AD370="Yes",1,0))</f>
        <v/>
      </c>
      <c r="AR370">
        <f>IF($AN370=1,IFERROR(VALUE(MID($E370,2,20)),1000000000)+ROW()/100000,"")</f>
        <v/>
      </c>
    </row>
    <row r="371">
      <c r="G371" s="11" t="n"/>
      <c r="Q371" s="7">
        <f>IF($E371="","",P371*AB371/100)</f>
        <v/>
      </c>
      <c r="R371" s="7" t="n"/>
      <c r="X371" s="7" t="n"/>
      <c r="Y371" s="7">
        <f>IF($E371="","",AB371*AE371/100)</f>
        <v/>
      </c>
      <c r="Z371" s="7">
        <f>IF($E371="","",AB371-Y371)</f>
        <v/>
      </c>
      <c r="AA371" s="7">
        <f>IF($E371="","",Z371-Q371)</f>
        <v/>
      </c>
      <c r="AB371" s="7" t="n"/>
      <c r="AE371">
        <f>IF($E371="","",IF($AQ371=1,0,IF($AP371=1,Settings!$C$6,Settings!$C$7))*100)</f>
        <v/>
      </c>
      <c r="AI371" s="7" t="n"/>
      <c r="AL371" s="11" t="n"/>
      <c r="AN371">
        <f>IF($E371="","",IF(COUNTIF($E$2:$E371,$E371)=1,1,0))</f>
        <v/>
      </c>
      <c r="AO371">
        <f>IF($AN371=1,SUMPRODUCT(--($AR$2:$AR$3001&lt;$AR371))+1,"")</f>
        <v/>
      </c>
      <c r="AP371">
        <f>IF($E371="","",IF(OR($U371=TRUE(),$U371="TRUE"),1,0))</f>
        <v/>
      </c>
      <c r="AQ371">
        <f>IF($E371="","",IF($AD371="Yes",1,0))</f>
        <v/>
      </c>
      <c r="AR371">
        <f>IF($AN371=1,IFERROR(VALUE(MID($E371,2,20)),1000000000)+ROW()/100000,"")</f>
        <v/>
      </c>
    </row>
    <row r="372">
      <c r="G372" s="11" t="n"/>
      <c r="Q372" s="7">
        <f>IF($E372="","",P372*AB372/100)</f>
        <v/>
      </c>
      <c r="R372" s="7" t="n"/>
      <c r="X372" s="7" t="n"/>
      <c r="Y372" s="7">
        <f>IF($E372="","",AB372*AE372/100)</f>
        <v/>
      </c>
      <c r="Z372" s="7">
        <f>IF($E372="","",AB372-Y372)</f>
        <v/>
      </c>
      <c r="AA372" s="7">
        <f>IF($E372="","",Z372-Q372)</f>
        <v/>
      </c>
      <c r="AB372" s="7" t="n"/>
      <c r="AE372">
        <f>IF($E372="","",IF($AQ372=1,0,IF($AP372=1,Settings!$C$6,Settings!$C$7))*100)</f>
        <v/>
      </c>
      <c r="AI372" s="7" t="n"/>
      <c r="AL372" s="11" t="n"/>
      <c r="AN372">
        <f>IF($E372="","",IF(COUNTIF($E$2:$E372,$E372)=1,1,0))</f>
        <v/>
      </c>
      <c r="AO372">
        <f>IF($AN372=1,SUMPRODUCT(--($AR$2:$AR$3001&lt;$AR372))+1,"")</f>
        <v/>
      </c>
      <c r="AP372">
        <f>IF($E372="","",IF(OR($U372=TRUE(),$U372="TRUE"),1,0))</f>
        <v/>
      </c>
      <c r="AQ372">
        <f>IF($E372="","",IF($AD372="Yes",1,0))</f>
        <v/>
      </c>
      <c r="AR372">
        <f>IF($AN372=1,IFERROR(VALUE(MID($E372,2,20)),1000000000)+ROW()/100000,"")</f>
        <v/>
      </c>
    </row>
    <row r="373">
      <c r="G373" s="11" t="n"/>
      <c r="Q373" s="7">
        <f>IF($E373="","",P373*AB373/100)</f>
        <v/>
      </c>
      <c r="R373" s="7" t="n"/>
      <c r="X373" s="7" t="n"/>
      <c r="Y373" s="7">
        <f>IF($E373="","",AB373*AE373/100)</f>
        <v/>
      </c>
      <c r="Z373" s="7">
        <f>IF($E373="","",AB373-Y373)</f>
        <v/>
      </c>
      <c r="AA373" s="7">
        <f>IF($E373="","",Z373-Q373)</f>
        <v/>
      </c>
      <c r="AB373" s="7" t="n"/>
      <c r="AE373">
        <f>IF($E373="","",IF($AQ373=1,0,IF($AP373=1,Settings!$C$6,Settings!$C$7))*100)</f>
        <v/>
      </c>
      <c r="AI373" s="7" t="n"/>
      <c r="AL373" s="11" t="n"/>
      <c r="AN373">
        <f>IF($E373="","",IF(COUNTIF($E$2:$E373,$E373)=1,1,0))</f>
        <v/>
      </c>
      <c r="AO373">
        <f>IF($AN373=1,SUMPRODUCT(--($AR$2:$AR$3001&lt;$AR373))+1,"")</f>
        <v/>
      </c>
      <c r="AP373">
        <f>IF($E373="","",IF(OR($U373=TRUE(),$U373="TRUE"),1,0))</f>
        <v/>
      </c>
      <c r="AQ373">
        <f>IF($E373="","",IF($AD373="Yes",1,0))</f>
        <v/>
      </c>
      <c r="AR373">
        <f>IF($AN373=1,IFERROR(VALUE(MID($E373,2,20)),1000000000)+ROW()/100000,"")</f>
        <v/>
      </c>
    </row>
    <row r="374">
      <c r="G374" s="11" t="n"/>
      <c r="Q374" s="7">
        <f>IF($E374="","",P374*AB374/100)</f>
        <v/>
      </c>
      <c r="R374" s="7" t="n"/>
      <c r="X374" s="7" t="n"/>
      <c r="Y374" s="7">
        <f>IF($E374="","",AB374*AE374/100)</f>
        <v/>
      </c>
      <c r="Z374" s="7">
        <f>IF($E374="","",AB374-Y374)</f>
        <v/>
      </c>
      <c r="AA374" s="7">
        <f>IF($E374="","",Z374-Q374)</f>
        <v/>
      </c>
      <c r="AB374" s="7" t="n"/>
      <c r="AE374">
        <f>IF($E374="","",IF($AQ374=1,0,IF($AP374=1,Settings!$C$6,Settings!$C$7))*100)</f>
        <v/>
      </c>
      <c r="AI374" s="7" t="n"/>
      <c r="AL374" s="11" t="n"/>
      <c r="AN374">
        <f>IF($E374="","",IF(COUNTIF($E$2:$E374,$E374)=1,1,0))</f>
        <v/>
      </c>
      <c r="AO374">
        <f>IF($AN374=1,SUMPRODUCT(--($AR$2:$AR$3001&lt;$AR374))+1,"")</f>
        <v/>
      </c>
      <c r="AP374">
        <f>IF($E374="","",IF(OR($U374=TRUE(),$U374="TRUE"),1,0))</f>
        <v/>
      </c>
      <c r="AQ374">
        <f>IF($E374="","",IF($AD374="Yes",1,0))</f>
        <v/>
      </c>
      <c r="AR374">
        <f>IF($AN374=1,IFERROR(VALUE(MID($E374,2,20)),1000000000)+ROW()/100000,"")</f>
        <v/>
      </c>
    </row>
    <row r="375">
      <c r="G375" s="11" t="n"/>
      <c r="Q375" s="7">
        <f>IF($E375="","",P375*AB375/100)</f>
        <v/>
      </c>
      <c r="R375" s="7" t="n"/>
      <c r="X375" s="7" t="n"/>
      <c r="Y375" s="7">
        <f>IF($E375="","",AB375*AE375/100)</f>
        <v/>
      </c>
      <c r="Z375" s="7">
        <f>IF($E375="","",AB375-Y375)</f>
        <v/>
      </c>
      <c r="AA375" s="7">
        <f>IF($E375="","",Z375-Q375)</f>
        <v/>
      </c>
      <c r="AB375" s="7" t="n"/>
      <c r="AE375">
        <f>IF($E375="","",IF($AQ375=1,0,IF($AP375=1,Settings!$C$6,Settings!$C$7))*100)</f>
        <v/>
      </c>
      <c r="AI375" s="7" t="n"/>
      <c r="AL375" s="11" t="n"/>
      <c r="AN375">
        <f>IF($E375="","",IF(COUNTIF($E$2:$E375,$E375)=1,1,0))</f>
        <v/>
      </c>
      <c r="AO375">
        <f>IF($AN375=1,SUMPRODUCT(--($AR$2:$AR$3001&lt;$AR375))+1,"")</f>
        <v/>
      </c>
      <c r="AP375">
        <f>IF($E375="","",IF(OR($U375=TRUE(),$U375="TRUE"),1,0))</f>
        <v/>
      </c>
      <c r="AQ375">
        <f>IF($E375="","",IF($AD375="Yes",1,0))</f>
        <v/>
      </c>
      <c r="AR375">
        <f>IF($AN375=1,IFERROR(VALUE(MID($E375,2,20)),1000000000)+ROW()/100000,"")</f>
        <v/>
      </c>
    </row>
    <row r="376">
      <c r="G376" s="11" t="n"/>
      <c r="Q376" s="7">
        <f>IF($E376="","",P376*AB376/100)</f>
        <v/>
      </c>
      <c r="R376" s="7" t="n"/>
      <c r="X376" s="7" t="n"/>
      <c r="Y376" s="7">
        <f>IF($E376="","",AB376*AE376/100)</f>
        <v/>
      </c>
      <c r="Z376" s="7">
        <f>IF($E376="","",AB376-Y376)</f>
        <v/>
      </c>
      <c r="AA376" s="7">
        <f>IF($E376="","",Z376-Q376)</f>
        <v/>
      </c>
      <c r="AB376" s="7" t="n"/>
      <c r="AE376">
        <f>IF($E376="","",IF($AQ376=1,0,IF($AP376=1,Settings!$C$6,Settings!$C$7))*100)</f>
        <v/>
      </c>
      <c r="AI376" s="7" t="n"/>
      <c r="AL376" s="11" t="n"/>
      <c r="AN376">
        <f>IF($E376="","",IF(COUNTIF($E$2:$E376,$E376)=1,1,0))</f>
        <v/>
      </c>
      <c r="AO376">
        <f>IF($AN376=1,SUMPRODUCT(--($AR$2:$AR$3001&lt;$AR376))+1,"")</f>
        <v/>
      </c>
      <c r="AP376">
        <f>IF($E376="","",IF(OR($U376=TRUE(),$U376="TRUE"),1,0))</f>
        <v/>
      </c>
      <c r="AQ376">
        <f>IF($E376="","",IF($AD376="Yes",1,0))</f>
        <v/>
      </c>
      <c r="AR376">
        <f>IF($AN376=1,IFERROR(VALUE(MID($E376,2,20)),1000000000)+ROW()/100000,"")</f>
        <v/>
      </c>
    </row>
    <row r="377">
      <c r="G377" s="11" t="n"/>
      <c r="Q377" s="7">
        <f>IF($E377="","",P377*AB377/100)</f>
        <v/>
      </c>
      <c r="R377" s="7" t="n"/>
      <c r="X377" s="7" t="n"/>
      <c r="Y377" s="7">
        <f>IF($E377="","",AB377*AE377/100)</f>
        <v/>
      </c>
      <c r="Z377" s="7">
        <f>IF($E377="","",AB377-Y377)</f>
        <v/>
      </c>
      <c r="AA377" s="7">
        <f>IF($E377="","",Z377-Q377)</f>
        <v/>
      </c>
      <c r="AB377" s="7" t="n"/>
      <c r="AE377">
        <f>IF($E377="","",IF($AQ377=1,0,IF($AP377=1,Settings!$C$6,Settings!$C$7))*100)</f>
        <v/>
      </c>
      <c r="AI377" s="7" t="n"/>
      <c r="AL377" s="11" t="n"/>
      <c r="AN377">
        <f>IF($E377="","",IF(COUNTIF($E$2:$E377,$E377)=1,1,0))</f>
        <v/>
      </c>
      <c r="AO377">
        <f>IF($AN377=1,SUMPRODUCT(--($AR$2:$AR$3001&lt;$AR377))+1,"")</f>
        <v/>
      </c>
      <c r="AP377">
        <f>IF($E377="","",IF(OR($U377=TRUE(),$U377="TRUE"),1,0))</f>
        <v/>
      </c>
      <c r="AQ377">
        <f>IF($E377="","",IF($AD377="Yes",1,0))</f>
        <v/>
      </c>
      <c r="AR377">
        <f>IF($AN377=1,IFERROR(VALUE(MID($E377,2,20)),1000000000)+ROW()/100000,"")</f>
        <v/>
      </c>
    </row>
    <row r="378">
      <c r="G378" s="11" t="n"/>
      <c r="Q378" s="7">
        <f>IF($E378="","",P378*AB378/100)</f>
        <v/>
      </c>
      <c r="R378" s="7" t="n"/>
      <c r="X378" s="7" t="n"/>
      <c r="Y378" s="7">
        <f>IF($E378="","",AB378*AE378/100)</f>
        <v/>
      </c>
      <c r="Z378" s="7">
        <f>IF($E378="","",AB378-Y378)</f>
        <v/>
      </c>
      <c r="AA378" s="7">
        <f>IF($E378="","",Z378-Q378)</f>
        <v/>
      </c>
      <c r="AB378" s="7" t="n"/>
      <c r="AE378">
        <f>IF($E378="","",IF($AQ378=1,0,IF($AP378=1,Settings!$C$6,Settings!$C$7))*100)</f>
        <v/>
      </c>
      <c r="AI378" s="7" t="n"/>
      <c r="AL378" s="11" t="n"/>
      <c r="AN378">
        <f>IF($E378="","",IF(COUNTIF($E$2:$E378,$E378)=1,1,0))</f>
        <v/>
      </c>
      <c r="AO378">
        <f>IF($AN378=1,SUMPRODUCT(--($AR$2:$AR$3001&lt;$AR378))+1,"")</f>
        <v/>
      </c>
      <c r="AP378">
        <f>IF($E378="","",IF(OR($U378=TRUE(),$U378="TRUE"),1,0))</f>
        <v/>
      </c>
      <c r="AQ378">
        <f>IF($E378="","",IF($AD378="Yes",1,0))</f>
        <v/>
      </c>
      <c r="AR378">
        <f>IF($AN378=1,IFERROR(VALUE(MID($E378,2,20)),1000000000)+ROW()/100000,"")</f>
        <v/>
      </c>
    </row>
    <row r="379">
      <c r="G379" s="11" t="n"/>
      <c r="Q379" s="7">
        <f>IF($E379="","",P379*AB379/100)</f>
        <v/>
      </c>
      <c r="R379" s="7" t="n"/>
      <c r="X379" s="7" t="n"/>
      <c r="Y379" s="7">
        <f>IF($E379="","",AB379*AE379/100)</f>
        <v/>
      </c>
      <c r="Z379" s="7">
        <f>IF($E379="","",AB379-Y379)</f>
        <v/>
      </c>
      <c r="AA379" s="7">
        <f>IF($E379="","",Z379-Q379)</f>
        <v/>
      </c>
      <c r="AB379" s="7" t="n"/>
      <c r="AE379">
        <f>IF($E379="","",IF($AQ379=1,0,IF($AP379=1,Settings!$C$6,Settings!$C$7))*100)</f>
        <v/>
      </c>
      <c r="AI379" s="7" t="n"/>
      <c r="AL379" s="11" t="n"/>
      <c r="AN379">
        <f>IF($E379="","",IF(COUNTIF($E$2:$E379,$E379)=1,1,0))</f>
        <v/>
      </c>
      <c r="AO379">
        <f>IF($AN379=1,SUMPRODUCT(--($AR$2:$AR$3001&lt;$AR379))+1,"")</f>
        <v/>
      </c>
      <c r="AP379">
        <f>IF($E379="","",IF(OR($U379=TRUE(),$U379="TRUE"),1,0))</f>
        <v/>
      </c>
      <c r="AQ379">
        <f>IF($E379="","",IF($AD379="Yes",1,0))</f>
        <v/>
      </c>
      <c r="AR379">
        <f>IF($AN379=1,IFERROR(VALUE(MID($E379,2,20)),1000000000)+ROW()/100000,"")</f>
        <v/>
      </c>
    </row>
    <row r="380">
      <c r="G380" s="11" t="n"/>
      <c r="Q380" s="7">
        <f>IF($E380="","",P380*AB380/100)</f>
        <v/>
      </c>
      <c r="R380" s="7" t="n"/>
      <c r="X380" s="7" t="n"/>
      <c r="Y380" s="7">
        <f>IF($E380="","",AB380*AE380/100)</f>
        <v/>
      </c>
      <c r="Z380" s="7">
        <f>IF($E380="","",AB380-Y380)</f>
        <v/>
      </c>
      <c r="AA380" s="7">
        <f>IF($E380="","",Z380-Q380)</f>
        <v/>
      </c>
      <c r="AB380" s="7" t="n"/>
      <c r="AE380">
        <f>IF($E380="","",IF($AQ380=1,0,IF($AP380=1,Settings!$C$6,Settings!$C$7))*100)</f>
        <v/>
      </c>
      <c r="AI380" s="7" t="n"/>
      <c r="AL380" s="11" t="n"/>
      <c r="AN380">
        <f>IF($E380="","",IF(COUNTIF($E$2:$E380,$E380)=1,1,0))</f>
        <v/>
      </c>
      <c r="AO380">
        <f>IF($AN380=1,SUMPRODUCT(--($AR$2:$AR$3001&lt;$AR380))+1,"")</f>
        <v/>
      </c>
      <c r="AP380">
        <f>IF($E380="","",IF(OR($U380=TRUE(),$U380="TRUE"),1,0))</f>
        <v/>
      </c>
      <c r="AQ380">
        <f>IF($E380="","",IF($AD380="Yes",1,0))</f>
        <v/>
      </c>
      <c r="AR380">
        <f>IF($AN380=1,IFERROR(VALUE(MID($E380,2,20)),1000000000)+ROW()/100000,"")</f>
        <v/>
      </c>
    </row>
    <row r="381">
      <c r="G381" s="11" t="n"/>
      <c r="Q381" s="7">
        <f>IF($E381="","",P381*AB381/100)</f>
        <v/>
      </c>
      <c r="R381" s="7" t="n"/>
      <c r="X381" s="7" t="n"/>
      <c r="Y381" s="7">
        <f>IF($E381="","",AB381*AE381/100)</f>
        <v/>
      </c>
      <c r="Z381" s="7">
        <f>IF($E381="","",AB381-Y381)</f>
        <v/>
      </c>
      <c r="AA381" s="7">
        <f>IF($E381="","",Z381-Q381)</f>
        <v/>
      </c>
      <c r="AB381" s="7" t="n"/>
      <c r="AE381">
        <f>IF($E381="","",IF($AQ381=1,0,IF($AP381=1,Settings!$C$6,Settings!$C$7))*100)</f>
        <v/>
      </c>
      <c r="AI381" s="7" t="n"/>
      <c r="AL381" s="11" t="n"/>
      <c r="AN381">
        <f>IF($E381="","",IF(COUNTIF($E$2:$E381,$E381)=1,1,0))</f>
        <v/>
      </c>
      <c r="AO381">
        <f>IF($AN381=1,SUMPRODUCT(--($AR$2:$AR$3001&lt;$AR381))+1,"")</f>
        <v/>
      </c>
      <c r="AP381">
        <f>IF($E381="","",IF(OR($U381=TRUE(),$U381="TRUE"),1,0))</f>
        <v/>
      </c>
      <c r="AQ381">
        <f>IF($E381="","",IF($AD381="Yes",1,0))</f>
        <v/>
      </c>
      <c r="AR381">
        <f>IF($AN381=1,IFERROR(VALUE(MID($E381,2,20)),1000000000)+ROW()/100000,"")</f>
        <v/>
      </c>
    </row>
    <row r="382">
      <c r="G382" s="11" t="n"/>
      <c r="Q382" s="7">
        <f>IF($E382="","",P382*AB382/100)</f>
        <v/>
      </c>
      <c r="R382" s="7" t="n"/>
      <c r="X382" s="7" t="n"/>
      <c r="Y382" s="7">
        <f>IF($E382="","",AB382*AE382/100)</f>
        <v/>
      </c>
      <c r="Z382" s="7">
        <f>IF($E382="","",AB382-Y382)</f>
        <v/>
      </c>
      <c r="AA382" s="7">
        <f>IF($E382="","",Z382-Q382)</f>
        <v/>
      </c>
      <c r="AB382" s="7" t="n"/>
      <c r="AE382">
        <f>IF($E382="","",IF($AQ382=1,0,IF($AP382=1,Settings!$C$6,Settings!$C$7))*100)</f>
        <v/>
      </c>
      <c r="AI382" s="7" t="n"/>
      <c r="AL382" s="11" t="n"/>
      <c r="AN382">
        <f>IF($E382="","",IF(COUNTIF($E$2:$E382,$E382)=1,1,0))</f>
        <v/>
      </c>
      <c r="AO382">
        <f>IF($AN382=1,SUMPRODUCT(--($AR$2:$AR$3001&lt;$AR382))+1,"")</f>
        <v/>
      </c>
      <c r="AP382">
        <f>IF($E382="","",IF(OR($U382=TRUE(),$U382="TRUE"),1,0))</f>
        <v/>
      </c>
      <c r="AQ382">
        <f>IF($E382="","",IF($AD382="Yes",1,0))</f>
        <v/>
      </c>
      <c r="AR382">
        <f>IF($AN382=1,IFERROR(VALUE(MID($E382,2,20)),1000000000)+ROW()/100000,"")</f>
        <v/>
      </c>
    </row>
    <row r="383">
      <c r="G383" s="11" t="n"/>
      <c r="Q383" s="7">
        <f>IF($E383="","",P383*AB383/100)</f>
        <v/>
      </c>
      <c r="R383" s="7" t="n"/>
      <c r="X383" s="7" t="n"/>
      <c r="Y383" s="7">
        <f>IF($E383="","",AB383*AE383/100)</f>
        <v/>
      </c>
      <c r="Z383" s="7">
        <f>IF($E383="","",AB383-Y383)</f>
        <v/>
      </c>
      <c r="AA383" s="7">
        <f>IF($E383="","",Z383-Q383)</f>
        <v/>
      </c>
      <c r="AB383" s="7" t="n"/>
      <c r="AE383">
        <f>IF($E383="","",IF($AQ383=1,0,IF($AP383=1,Settings!$C$6,Settings!$C$7))*100)</f>
        <v/>
      </c>
      <c r="AI383" s="7" t="n"/>
      <c r="AL383" s="11" t="n"/>
      <c r="AN383">
        <f>IF($E383="","",IF(COUNTIF($E$2:$E383,$E383)=1,1,0))</f>
        <v/>
      </c>
      <c r="AO383">
        <f>IF($AN383=1,SUMPRODUCT(--($AR$2:$AR$3001&lt;$AR383))+1,"")</f>
        <v/>
      </c>
      <c r="AP383">
        <f>IF($E383="","",IF(OR($U383=TRUE(),$U383="TRUE"),1,0))</f>
        <v/>
      </c>
      <c r="AQ383">
        <f>IF($E383="","",IF($AD383="Yes",1,0))</f>
        <v/>
      </c>
      <c r="AR383">
        <f>IF($AN383=1,IFERROR(VALUE(MID($E383,2,20)),1000000000)+ROW()/100000,"")</f>
        <v/>
      </c>
    </row>
    <row r="384">
      <c r="G384" s="11" t="n"/>
      <c r="Q384" s="7">
        <f>IF($E384="","",P384*AB384/100)</f>
        <v/>
      </c>
      <c r="R384" s="7" t="n"/>
      <c r="X384" s="7" t="n"/>
      <c r="Y384" s="7">
        <f>IF($E384="","",AB384*AE384/100)</f>
        <v/>
      </c>
      <c r="Z384" s="7">
        <f>IF($E384="","",AB384-Y384)</f>
        <v/>
      </c>
      <c r="AA384" s="7">
        <f>IF($E384="","",Z384-Q384)</f>
        <v/>
      </c>
      <c r="AB384" s="7" t="n"/>
      <c r="AE384">
        <f>IF($E384="","",IF($AQ384=1,0,IF($AP384=1,Settings!$C$6,Settings!$C$7))*100)</f>
        <v/>
      </c>
      <c r="AI384" s="7" t="n"/>
      <c r="AL384" s="11" t="n"/>
      <c r="AN384">
        <f>IF($E384="","",IF(COUNTIF($E$2:$E384,$E384)=1,1,0))</f>
        <v/>
      </c>
      <c r="AO384">
        <f>IF($AN384=1,SUMPRODUCT(--($AR$2:$AR$3001&lt;$AR384))+1,"")</f>
        <v/>
      </c>
      <c r="AP384">
        <f>IF($E384="","",IF(OR($U384=TRUE(),$U384="TRUE"),1,0))</f>
        <v/>
      </c>
      <c r="AQ384">
        <f>IF($E384="","",IF($AD384="Yes",1,0))</f>
        <v/>
      </c>
      <c r="AR384">
        <f>IF($AN384=1,IFERROR(VALUE(MID($E384,2,20)),1000000000)+ROW()/100000,"")</f>
        <v/>
      </c>
    </row>
    <row r="385">
      <c r="G385" s="11" t="n"/>
      <c r="Q385" s="7">
        <f>IF($E385="","",P385*AB385/100)</f>
        <v/>
      </c>
      <c r="R385" s="7" t="n"/>
      <c r="X385" s="7" t="n"/>
      <c r="Y385" s="7">
        <f>IF($E385="","",AB385*AE385/100)</f>
        <v/>
      </c>
      <c r="Z385" s="7">
        <f>IF($E385="","",AB385-Y385)</f>
        <v/>
      </c>
      <c r="AA385" s="7">
        <f>IF($E385="","",Z385-Q385)</f>
        <v/>
      </c>
      <c r="AB385" s="7" t="n"/>
      <c r="AE385">
        <f>IF($E385="","",IF($AQ385=1,0,IF($AP385=1,Settings!$C$6,Settings!$C$7))*100)</f>
        <v/>
      </c>
      <c r="AI385" s="7" t="n"/>
      <c r="AL385" s="11" t="n"/>
      <c r="AN385">
        <f>IF($E385="","",IF(COUNTIF($E$2:$E385,$E385)=1,1,0))</f>
        <v/>
      </c>
      <c r="AO385">
        <f>IF($AN385=1,SUMPRODUCT(--($AR$2:$AR$3001&lt;$AR385))+1,"")</f>
        <v/>
      </c>
      <c r="AP385">
        <f>IF($E385="","",IF(OR($U385=TRUE(),$U385="TRUE"),1,0))</f>
        <v/>
      </c>
      <c r="AQ385">
        <f>IF($E385="","",IF($AD385="Yes",1,0))</f>
        <v/>
      </c>
      <c r="AR385">
        <f>IF($AN385=1,IFERROR(VALUE(MID($E385,2,20)),1000000000)+ROW()/100000,"")</f>
        <v/>
      </c>
    </row>
    <row r="386">
      <c r="G386" s="11" t="n"/>
      <c r="Q386" s="7">
        <f>IF($E386="","",P386*AB386/100)</f>
        <v/>
      </c>
      <c r="R386" s="7" t="n"/>
      <c r="X386" s="7" t="n"/>
      <c r="Y386" s="7">
        <f>IF($E386="","",AB386*AE386/100)</f>
        <v/>
      </c>
      <c r="Z386" s="7">
        <f>IF($E386="","",AB386-Y386)</f>
        <v/>
      </c>
      <c r="AA386" s="7">
        <f>IF($E386="","",Z386-Q386)</f>
        <v/>
      </c>
      <c r="AB386" s="7" t="n"/>
      <c r="AE386">
        <f>IF($E386="","",IF($AQ386=1,0,IF($AP386=1,Settings!$C$6,Settings!$C$7))*100)</f>
        <v/>
      </c>
      <c r="AI386" s="7" t="n"/>
      <c r="AL386" s="11" t="n"/>
      <c r="AN386">
        <f>IF($E386="","",IF(COUNTIF($E$2:$E386,$E386)=1,1,0))</f>
        <v/>
      </c>
      <c r="AO386">
        <f>IF($AN386=1,SUMPRODUCT(--($AR$2:$AR$3001&lt;$AR386))+1,"")</f>
        <v/>
      </c>
      <c r="AP386">
        <f>IF($E386="","",IF(OR($U386=TRUE(),$U386="TRUE"),1,0))</f>
        <v/>
      </c>
      <c r="AQ386">
        <f>IF($E386="","",IF($AD386="Yes",1,0))</f>
        <v/>
      </c>
      <c r="AR386">
        <f>IF($AN386=1,IFERROR(VALUE(MID($E386,2,20)),1000000000)+ROW()/100000,"")</f>
        <v/>
      </c>
    </row>
    <row r="387">
      <c r="G387" s="11" t="n"/>
      <c r="Q387" s="7">
        <f>IF($E387="","",P387*AB387/100)</f>
        <v/>
      </c>
      <c r="R387" s="7" t="n"/>
      <c r="X387" s="7" t="n"/>
      <c r="Y387" s="7">
        <f>IF($E387="","",AB387*AE387/100)</f>
        <v/>
      </c>
      <c r="Z387" s="7">
        <f>IF($E387="","",AB387-Y387)</f>
        <v/>
      </c>
      <c r="AA387" s="7">
        <f>IF($E387="","",Z387-Q387)</f>
        <v/>
      </c>
      <c r="AB387" s="7" t="n"/>
      <c r="AE387">
        <f>IF($E387="","",IF($AQ387=1,0,IF($AP387=1,Settings!$C$6,Settings!$C$7))*100)</f>
        <v/>
      </c>
      <c r="AI387" s="7" t="n"/>
      <c r="AL387" s="11" t="n"/>
      <c r="AN387">
        <f>IF($E387="","",IF(COUNTIF($E$2:$E387,$E387)=1,1,0))</f>
        <v/>
      </c>
      <c r="AO387">
        <f>IF($AN387=1,SUMPRODUCT(--($AR$2:$AR$3001&lt;$AR387))+1,"")</f>
        <v/>
      </c>
      <c r="AP387">
        <f>IF($E387="","",IF(OR($U387=TRUE(),$U387="TRUE"),1,0))</f>
        <v/>
      </c>
      <c r="AQ387">
        <f>IF($E387="","",IF($AD387="Yes",1,0))</f>
        <v/>
      </c>
      <c r="AR387">
        <f>IF($AN387=1,IFERROR(VALUE(MID($E387,2,20)),1000000000)+ROW()/100000,"")</f>
        <v/>
      </c>
    </row>
    <row r="388">
      <c r="G388" s="11" t="n"/>
      <c r="Q388" s="7">
        <f>IF($E388="","",P388*AB388/100)</f>
        <v/>
      </c>
      <c r="R388" s="7" t="n"/>
      <c r="X388" s="7" t="n"/>
      <c r="Y388" s="7">
        <f>IF($E388="","",AB388*AE388/100)</f>
        <v/>
      </c>
      <c r="Z388" s="7">
        <f>IF($E388="","",AB388-Y388)</f>
        <v/>
      </c>
      <c r="AA388" s="7">
        <f>IF($E388="","",Z388-Q388)</f>
        <v/>
      </c>
      <c r="AB388" s="7" t="n"/>
      <c r="AE388">
        <f>IF($E388="","",IF($AQ388=1,0,IF($AP388=1,Settings!$C$6,Settings!$C$7))*100)</f>
        <v/>
      </c>
      <c r="AI388" s="7" t="n"/>
      <c r="AL388" s="11" t="n"/>
      <c r="AN388">
        <f>IF($E388="","",IF(COUNTIF($E$2:$E388,$E388)=1,1,0))</f>
        <v/>
      </c>
      <c r="AO388">
        <f>IF($AN388=1,SUMPRODUCT(--($AR$2:$AR$3001&lt;$AR388))+1,"")</f>
        <v/>
      </c>
      <c r="AP388">
        <f>IF($E388="","",IF(OR($U388=TRUE(),$U388="TRUE"),1,0))</f>
        <v/>
      </c>
      <c r="AQ388">
        <f>IF($E388="","",IF($AD388="Yes",1,0))</f>
        <v/>
      </c>
      <c r="AR388">
        <f>IF($AN388=1,IFERROR(VALUE(MID($E388,2,20)),1000000000)+ROW()/100000,"")</f>
        <v/>
      </c>
    </row>
    <row r="389">
      <c r="G389" s="11" t="n"/>
      <c r="Q389" s="7">
        <f>IF($E389="","",P389*AB389/100)</f>
        <v/>
      </c>
      <c r="R389" s="7" t="n"/>
      <c r="X389" s="7" t="n"/>
      <c r="Y389" s="7">
        <f>IF($E389="","",AB389*AE389/100)</f>
        <v/>
      </c>
      <c r="Z389" s="7">
        <f>IF($E389="","",AB389-Y389)</f>
        <v/>
      </c>
      <c r="AA389" s="7">
        <f>IF($E389="","",Z389-Q389)</f>
        <v/>
      </c>
      <c r="AB389" s="7" t="n"/>
      <c r="AE389">
        <f>IF($E389="","",IF($AQ389=1,0,IF($AP389=1,Settings!$C$6,Settings!$C$7))*100)</f>
        <v/>
      </c>
      <c r="AI389" s="7" t="n"/>
      <c r="AL389" s="11" t="n"/>
      <c r="AN389">
        <f>IF($E389="","",IF(COUNTIF($E$2:$E389,$E389)=1,1,0))</f>
        <v/>
      </c>
      <c r="AO389">
        <f>IF($AN389=1,SUMPRODUCT(--($AR$2:$AR$3001&lt;$AR389))+1,"")</f>
        <v/>
      </c>
      <c r="AP389">
        <f>IF($E389="","",IF(OR($U389=TRUE(),$U389="TRUE"),1,0))</f>
        <v/>
      </c>
      <c r="AQ389">
        <f>IF($E389="","",IF($AD389="Yes",1,0))</f>
        <v/>
      </c>
      <c r="AR389">
        <f>IF($AN389=1,IFERROR(VALUE(MID($E389,2,20)),1000000000)+ROW()/100000,"")</f>
        <v/>
      </c>
    </row>
    <row r="390">
      <c r="G390" s="11" t="n"/>
      <c r="Q390" s="7">
        <f>IF($E390="","",P390*AB390/100)</f>
        <v/>
      </c>
      <c r="R390" s="7" t="n"/>
      <c r="X390" s="7" t="n"/>
      <c r="Y390" s="7">
        <f>IF($E390="","",AB390*AE390/100)</f>
        <v/>
      </c>
      <c r="Z390" s="7">
        <f>IF($E390="","",AB390-Y390)</f>
        <v/>
      </c>
      <c r="AA390" s="7">
        <f>IF($E390="","",Z390-Q390)</f>
        <v/>
      </c>
      <c r="AB390" s="7" t="n"/>
      <c r="AE390">
        <f>IF($E390="","",IF($AQ390=1,0,IF($AP390=1,Settings!$C$6,Settings!$C$7))*100)</f>
        <v/>
      </c>
      <c r="AI390" s="7" t="n"/>
      <c r="AL390" s="11" t="n"/>
      <c r="AN390">
        <f>IF($E390="","",IF(COUNTIF($E$2:$E390,$E390)=1,1,0))</f>
        <v/>
      </c>
      <c r="AO390">
        <f>IF($AN390=1,SUMPRODUCT(--($AR$2:$AR$3001&lt;$AR390))+1,"")</f>
        <v/>
      </c>
      <c r="AP390">
        <f>IF($E390="","",IF(OR($U390=TRUE(),$U390="TRUE"),1,0))</f>
        <v/>
      </c>
      <c r="AQ390">
        <f>IF($E390="","",IF($AD390="Yes",1,0))</f>
        <v/>
      </c>
      <c r="AR390">
        <f>IF($AN390=1,IFERROR(VALUE(MID($E390,2,20)),1000000000)+ROW()/100000,"")</f>
        <v/>
      </c>
    </row>
    <row r="391">
      <c r="G391" s="11" t="n"/>
      <c r="Q391" s="7">
        <f>IF($E391="","",P391*AB391/100)</f>
        <v/>
      </c>
      <c r="R391" s="7" t="n"/>
      <c r="X391" s="7" t="n"/>
      <c r="Y391" s="7">
        <f>IF($E391="","",AB391*AE391/100)</f>
        <v/>
      </c>
      <c r="Z391" s="7">
        <f>IF($E391="","",AB391-Y391)</f>
        <v/>
      </c>
      <c r="AA391" s="7">
        <f>IF($E391="","",Z391-Q391)</f>
        <v/>
      </c>
      <c r="AB391" s="7" t="n"/>
      <c r="AE391">
        <f>IF($E391="","",IF($AQ391=1,0,IF($AP391=1,Settings!$C$6,Settings!$C$7))*100)</f>
        <v/>
      </c>
      <c r="AI391" s="7" t="n"/>
      <c r="AL391" s="11" t="n"/>
      <c r="AN391">
        <f>IF($E391="","",IF(COUNTIF($E$2:$E391,$E391)=1,1,0))</f>
        <v/>
      </c>
      <c r="AO391">
        <f>IF($AN391=1,SUMPRODUCT(--($AR$2:$AR$3001&lt;$AR391))+1,"")</f>
        <v/>
      </c>
      <c r="AP391">
        <f>IF($E391="","",IF(OR($U391=TRUE(),$U391="TRUE"),1,0))</f>
        <v/>
      </c>
      <c r="AQ391">
        <f>IF($E391="","",IF($AD391="Yes",1,0))</f>
        <v/>
      </c>
      <c r="AR391">
        <f>IF($AN391=1,IFERROR(VALUE(MID($E391,2,20)),1000000000)+ROW()/100000,"")</f>
        <v/>
      </c>
    </row>
    <row r="392">
      <c r="G392" s="11" t="n"/>
      <c r="Q392" s="7">
        <f>IF($E392="","",P392*AB392/100)</f>
        <v/>
      </c>
      <c r="R392" s="7" t="n"/>
      <c r="X392" s="7" t="n"/>
      <c r="Y392" s="7">
        <f>IF($E392="","",AB392*AE392/100)</f>
        <v/>
      </c>
      <c r="Z392" s="7">
        <f>IF($E392="","",AB392-Y392)</f>
        <v/>
      </c>
      <c r="AA392" s="7">
        <f>IF($E392="","",Z392-Q392)</f>
        <v/>
      </c>
      <c r="AB392" s="7" t="n"/>
      <c r="AE392">
        <f>IF($E392="","",IF($AQ392=1,0,IF($AP392=1,Settings!$C$6,Settings!$C$7))*100)</f>
        <v/>
      </c>
      <c r="AI392" s="7" t="n"/>
      <c r="AL392" s="11" t="n"/>
      <c r="AN392">
        <f>IF($E392="","",IF(COUNTIF($E$2:$E392,$E392)=1,1,0))</f>
        <v/>
      </c>
      <c r="AO392">
        <f>IF($AN392=1,SUMPRODUCT(--($AR$2:$AR$3001&lt;$AR392))+1,"")</f>
        <v/>
      </c>
      <c r="AP392">
        <f>IF($E392="","",IF(OR($U392=TRUE(),$U392="TRUE"),1,0))</f>
        <v/>
      </c>
      <c r="AQ392">
        <f>IF($E392="","",IF($AD392="Yes",1,0))</f>
        <v/>
      </c>
      <c r="AR392">
        <f>IF($AN392=1,IFERROR(VALUE(MID($E392,2,20)),1000000000)+ROW()/100000,"")</f>
        <v/>
      </c>
    </row>
    <row r="393">
      <c r="G393" s="11" t="n"/>
      <c r="Q393" s="7">
        <f>IF($E393="","",P393*AB393/100)</f>
        <v/>
      </c>
      <c r="R393" s="7" t="n"/>
      <c r="X393" s="7" t="n"/>
      <c r="Y393" s="7">
        <f>IF($E393="","",AB393*AE393/100)</f>
        <v/>
      </c>
      <c r="Z393" s="7">
        <f>IF($E393="","",AB393-Y393)</f>
        <v/>
      </c>
      <c r="AA393" s="7">
        <f>IF($E393="","",Z393-Q393)</f>
        <v/>
      </c>
      <c r="AB393" s="7" t="n"/>
      <c r="AE393">
        <f>IF($E393="","",IF($AQ393=1,0,IF($AP393=1,Settings!$C$6,Settings!$C$7))*100)</f>
        <v/>
      </c>
      <c r="AI393" s="7" t="n"/>
      <c r="AL393" s="11" t="n"/>
      <c r="AN393">
        <f>IF($E393="","",IF(COUNTIF($E$2:$E393,$E393)=1,1,0))</f>
        <v/>
      </c>
      <c r="AO393">
        <f>IF($AN393=1,SUMPRODUCT(--($AR$2:$AR$3001&lt;$AR393))+1,"")</f>
        <v/>
      </c>
      <c r="AP393">
        <f>IF($E393="","",IF(OR($U393=TRUE(),$U393="TRUE"),1,0))</f>
        <v/>
      </c>
      <c r="AQ393">
        <f>IF($E393="","",IF($AD393="Yes",1,0))</f>
        <v/>
      </c>
      <c r="AR393">
        <f>IF($AN393=1,IFERROR(VALUE(MID($E393,2,20)),1000000000)+ROW()/100000,"")</f>
        <v/>
      </c>
    </row>
    <row r="394">
      <c r="G394" s="11" t="n"/>
      <c r="Q394" s="7">
        <f>IF($E394="","",P394*AB394/100)</f>
        <v/>
      </c>
      <c r="R394" s="7" t="n"/>
      <c r="X394" s="7" t="n"/>
      <c r="Y394" s="7">
        <f>IF($E394="","",AB394*AE394/100)</f>
        <v/>
      </c>
      <c r="Z394" s="7">
        <f>IF($E394="","",AB394-Y394)</f>
        <v/>
      </c>
      <c r="AA394" s="7">
        <f>IF($E394="","",Z394-Q394)</f>
        <v/>
      </c>
      <c r="AB394" s="7" t="n"/>
      <c r="AE394">
        <f>IF($E394="","",IF($AQ394=1,0,IF($AP394=1,Settings!$C$6,Settings!$C$7))*100)</f>
        <v/>
      </c>
      <c r="AI394" s="7" t="n"/>
      <c r="AL394" s="11" t="n"/>
      <c r="AN394">
        <f>IF($E394="","",IF(COUNTIF($E$2:$E394,$E394)=1,1,0))</f>
        <v/>
      </c>
      <c r="AO394">
        <f>IF($AN394=1,SUMPRODUCT(--($AR$2:$AR$3001&lt;$AR394))+1,"")</f>
        <v/>
      </c>
      <c r="AP394">
        <f>IF($E394="","",IF(OR($U394=TRUE(),$U394="TRUE"),1,0))</f>
        <v/>
      </c>
      <c r="AQ394">
        <f>IF($E394="","",IF($AD394="Yes",1,0))</f>
        <v/>
      </c>
      <c r="AR394">
        <f>IF($AN394=1,IFERROR(VALUE(MID($E394,2,20)),1000000000)+ROW()/100000,"")</f>
        <v/>
      </c>
    </row>
    <row r="395">
      <c r="G395" s="11" t="n"/>
      <c r="Q395" s="7">
        <f>IF($E395="","",P395*AB395/100)</f>
        <v/>
      </c>
      <c r="R395" s="7" t="n"/>
      <c r="X395" s="7" t="n"/>
      <c r="Y395" s="7">
        <f>IF($E395="","",AB395*AE395/100)</f>
        <v/>
      </c>
      <c r="Z395" s="7">
        <f>IF($E395="","",AB395-Y395)</f>
        <v/>
      </c>
      <c r="AA395" s="7">
        <f>IF($E395="","",Z395-Q395)</f>
        <v/>
      </c>
      <c r="AB395" s="7" t="n"/>
      <c r="AE395">
        <f>IF($E395="","",IF($AQ395=1,0,IF($AP395=1,Settings!$C$6,Settings!$C$7))*100)</f>
        <v/>
      </c>
      <c r="AI395" s="7" t="n"/>
      <c r="AL395" s="11" t="n"/>
      <c r="AN395">
        <f>IF($E395="","",IF(COUNTIF($E$2:$E395,$E395)=1,1,0))</f>
        <v/>
      </c>
      <c r="AO395">
        <f>IF($AN395=1,SUMPRODUCT(--($AR$2:$AR$3001&lt;$AR395))+1,"")</f>
        <v/>
      </c>
      <c r="AP395">
        <f>IF($E395="","",IF(OR($U395=TRUE(),$U395="TRUE"),1,0))</f>
        <v/>
      </c>
      <c r="AQ395">
        <f>IF($E395="","",IF($AD395="Yes",1,0))</f>
        <v/>
      </c>
      <c r="AR395">
        <f>IF($AN395=1,IFERROR(VALUE(MID($E395,2,20)),1000000000)+ROW()/100000,"")</f>
        <v/>
      </c>
    </row>
    <row r="396">
      <c r="G396" s="11" t="n"/>
      <c r="Q396" s="7">
        <f>IF($E396="","",P396*AB396/100)</f>
        <v/>
      </c>
      <c r="R396" s="7" t="n"/>
      <c r="X396" s="7" t="n"/>
      <c r="Y396" s="7">
        <f>IF($E396="","",AB396*AE396/100)</f>
        <v/>
      </c>
      <c r="Z396" s="7">
        <f>IF($E396="","",AB396-Y396)</f>
        <v/>
      </c>
      <c r="AA396" s="7">
        <f>IF($E396="","",Z396-Q396)</f>
        <v/>
      </c>
      <c r="AB396" s="7" t="n"/>
      <c r="AE396">
        <f>IF($E396="","",IF($AQ396=1,0,IF($AP396=1,Settings!$C$6,Settings!$C$7))*100)</f>
        <v/>
      </c>
      <c r="AI396" s="7" t="n"/>
      <c r="AL396" s="11" t="n"/>
      <c r="AN396">
        <f>IF($E396="","",IF(COUNTIF($E$2:$E396,$E396)=1,1,0))</f>
        <v/>
      </c>
      <c r="AO396">
        <f>IF($AN396=1,SUMPRODUCT(--($AR$2:$AR$3001&lt;$AR396))+1,"")</f>
        <v/>
      </c>
      <c r="AP396">
        <f>IF($E396="","",IF(OR($U396=TRUE(),$U396="TRUE"),1,0))</f>
        <v/>
      </c>
      <c r="AQ396">
        <f>IF($E396="","",IF($AD396="Yes",1,0))</f>
        <v/>
      </c>
      <c r="AR396">
        <f>IF($AN396=1,IFERROR(VALUE(MID($E396,2,20)),1000000000)+ROW()/100000,"")</f>
        <v/>
      </c>
    </row>
    <row r="397">
      <c r="G397" s="11" t="n"/>
      <c r="Q397" s="7">
        <f>IF($E397="","",P397*AB397/100)</f>
        <v/>
      </c>
      <c r="R397" s="7" t="n"/>
      <c r="X397" s="7" t="n"/>
      <c r="Y397" s="7">
        <f>IF($E397="","",AB397*AE397/100)</f>
        <v/>
      </c>
      <c r="Z397" s="7">
        <f>IF($E397="","",AB397-Y397)</f>
        <v/>
      </c>
      <c r="AA397" s="7">
        <f>IF($E397="","",Z397-Q397)</f>
        <v/>
      </c>
      <c r="AB397" s="7" t="n"/>
      <c r="AE397">
        <f>IF($E397="","",IF($AQ397=1,0,IF($AP397=1,Settings!$C$6,Settings!$C$7))*100)</f>
        <v/>
      </c>
      <c r="AI397" s="7" t="n"/>
      <c r="AL397" s="11" t="n"/>
      <c r="AN397">
        <f>IF($E397="","",IF(COUNTIF($E$2:$E397,$E397)=1,1,0))</f>
        <v/>
      </c>
      <c r="AO397">
        <f>IF($AN397=1,SUMPRODUCT(--($AR$2:$AR$3001&lt;$AR397))+1,"")</f>
        <v/>
      </c>
      <c r="AP397">
        <f>IF($E397="","",IF(OR($U397=TRUE(),$U397="TRUE"),1,0))</f>
        <v/>
      </c>
      <c r="AQ397">
        <f>IF($E397="","",IF($AD397="Yes",1,0))</f>
        <v/>
      </c>
      <c r="AR397">
        <f>IF($AN397=1,IFERROR(VALUE(MID($E397,2,20)),1000000000)+ROW()/100000,"")</f>
        <v/>
      </c>
    </row>
    <row r="398">
      <c r="G398" s="11" t="n"/>
      <c r="Q398" s="7">
        <f>IF($E398="","",P398*AB398/100)</f>
        <v/>
      </c>
      <c r="R398" s="7" t="n"/>
      <c r="X398" s="7" t="n"/>
      <c r="Y398" s="7">
        <f>IF($E398="","",AB398*AE398/100)</f>
        <v/>
      </c>
      <c r="Z398" s="7">
        <f>IF($E398="","",AB398-Y398)</f>
        <v/>
      </c>
      <c r="AA398" s="7">
        <f>IF($E398="","",Z398-Q398)</f>
        <v/>
      </c>
      <c r="AB398" s="7" t="n"/>
      <c r="AE398">
        <f>IF($E398="","",IF($AQ398=1,0,IF($AP398=1,Settings!$C$6,Settings!$C$7))*100)</f>
        <v/>
      </c>
      <c r="AI398" s="7" t="n"/>
      <c r="AL398" s="11" t="n"/>
      <c r="AN398">
        <f>IF($E398="","",IF(COUNTIF($E$2:$E398,$E398)=1,1,0))</f>
        <v/>
      </c>
      <c r="AO398">
        <f>IF($AN398=1,SUMPRODUCT(--($AR$2:$AR$3001&lt;$AR398))+1,"")</f>
        <v/>
      </c>
      <c r="AP398">
        <f>IF($E398="","",IF(OR($U398=TRUE(),$U398="TRUE"),1,0))</f>
        <v/>
      </c>
      <c r="AQ398">
        <f>IF($E398="","",IF($AD398="Yes",1,0))</f>
        <v/>
      </c>
      <c r="AR398">
        <f>IF($AN398=1,IFERROR(VALUE(MID($E398,2,20)),1000000000)+ROW()/100000,"")</f>
        <v/>
      </c>
    </row>
    <row r="399">
      <c r="G399" s="11" t="n"/>
      <c r="Q399" s="7">
        <f>IF($E399="","",P399*AB399/100)</f>
        <v/>
      </c>
      <c r="R399" s="7" t="n"/>
      <c r="X399" s="7" t="n"/>
      <c r="Y399" s="7">
        <f>IF($E399="","",AB399*AE399/100)</f>
        <v/>
      </c>
      <c r="Z399" s="7">
        <f>IF($E399="","",AB399-Y399)</f>
        <v/>
      </c>
      <c r="AA399" s="7">
        <f>IF($E399="","",Z399-Q399)</f>
        <v/>
      </c>
      <c r="AB399" s="7" t="n"/>
      <c r="AE399">
        <f>IF($E399="","",IF($AQ399=1,0,IF($AP399=1,Settings!$C$6,Settings!$C$7))*100)</f>
        <v/>
      </c>
      <c r="AI399" s="7" t="n"/>
      <c r="AL399" s="11" t="n"/>
      <c r="AN399">
        <f>IF($E399="","",IF(COUNTIF($E$2:$E399,$E399)=1,1,0))</f>
        <v/>
      </c>
      <c r="AO399">
        <f>IF($AN399=1,SUMPRODUCT(--($AR$2:$AR$3001&lt;$AR399))+1,"")</f>
        <v/>
      </c>
      <c r="AP399">
        <f>IF($E399="","",IF(OR($U399=TRUE(),$U399="TRUE"),1,0))</f>
        <v/>
      </c>
      <c r="AQ399">
        <f>IF($E399="","",IF($AD399="Yes",1,0))</f>
        <v/>
      </c>
      <c r="AR399">
        <f>IF($AN399=1,IFERROR(VALUE(MID($E399,2,20)),1000000000)+ROW()/100000,"")</f>
        <v/>
      </c>
    </row>
    <row r="400">
      <c r="G400" s="11" t="n"/>
      <c r="Q400" s="7">
        <f>IF($E400="","",P400*AB400/100)</f>
        <v/>
      </c>
      <c r="R400" s="7" t="n"/>
      <c r="X400" s="7" t="n"/>
      <c r="Y400" s="7">
        <f>IF($E400="","",AB400*AE400/100)</f>
        <v/>
      </c>
      <c r="Z400" s="7">
        <f>IF($E400="","",AB400-Y400)</f>
        <v/>
      </c>
      <c r="AA400" s="7">
        <f>IF($E400="","",Z400-Q400)</f>
        <v/>
      </c>
      <c r="AB400" s="7" t="n"/>
      <c r="AE400">
        <f>IF($E400="","",IF($AQ400=1,0,IF($AP400=1,Settings!$C$6,Settings!$C$7))*100)</f>
        <v/>
      </c>
      <c r="AI400" s="7" t="n"/>
      <c r="AL400" s="11" t="n"/>
      <c r="AN400">
        <f>IF($E400="","",IF(COUNTIF($E$2:$E400,$E400)=1,1,0))</f>
        <v/>
      </c>
      <c r="AO400">
        <f>IF($AN400=1,SUMPRODUCT(--($AR$2:$AR$3001&lt;$AR400))+1,"")</f>
        <v/>
      </c>
      <c r="AP400">
        <f>IF($E400="","",IF(OR($U400=TRUE(),$U400="TRUE"),1,0))</f>
        <v/>
      </c>
      <c r="AQ400">
        <f>IF($E400="","",IF($AD400="Yes",1,0))</f>
        <v/>
      </c>
      <c r="AR400">
        <f>IF($AN400=1,IFERROR(VALUE(MID($E400,2,20)),1000000000)+ROW()/100000,"")</f>
        <v/>
      </c>
    </row>
    <row r="401">
      <c r="G401" s="11" t="n"/>
      <c r="Q401" s="7">
        <f>IF($E401="","",P401*AB401/100)</f>
        <v/>
      </c>
      <c r="R401" s="7" t="n"/>
      <c r="X401" s="7" t="n"/>
      <c r="Y401" s="7">
        <f>IF($E401="","",AB401*AE401/100)</f>
        <v/>
      </c>
      <c r="Z401" s="7">
        <f>IF($E401="","",AB401-Y401)</f>
        <v/>
      </c>
      <c r="AA401" s="7">
        <f>IF($E401="","",Z401-Q401)</f>
        <v/>
      </c>
      <c r="AB401" s="7" t="n"/>
      <c r="AE401">
        <f>IF($E401="","",IF($AQ401=1,0,IF($AP401=1,Settings!$C$6,Settings!$C$7))*100)</f>
        <v/>
      </c>
      <c r="AI401" s="7" t="n"/>
      <c r="AL401" s="11" t="n"/>
      <c r="AN401">
        <f>IF($E401="","",IF(COUNTIF($E$2:$E401,$E401)=1,1,0))</f>
        <v/>
      </c>
      <c r="AO401">
        <f>IF($AN401=1,SUMPRODUCT(--($AR$2:$AR$3001&lt;$AR401))+1,"")</f>
        <v/>
      </c>
      <c r="AP401">
        <f>IF($E401="","",IF(OR($U401=TRUE(),$U401="TRUE"),1,0))</f>
        <v/>
      </c>
      <c r="AQ401">
        <f>IF($E401="","",IF($AD401="Yes",1,0))</f>
        <v/>
      </c>
      <c r="AR401">
        <f>IF($AN401=1,IFERROR(VALUE(MID($E401,2,20)),1000000000)+ROW()/100000,"")</f>
        <v/>
      </c>
    </row>
    <row r="402">
      <c r="G402" s="11" t="n"/>
      <c r="Q402" s="7">
        <f>IF($E402="","",P402*AB402/100)</f>
        <v/>
      </c>
      <c r="R402" s="7" t="n"/>
      <c r="X402" s="7" t="n"/>
      <c r="Y402" s="7">
        <f>IF($E402="","",AB402*AE402/100)</f>
        <v/>
      </c>
      <c r="Z402" s="7">
        <f>IF($E402="","",AB402-Y402)</f>
        <v/>
      </c>
      <c r="AA402" s="7">
        <f>IF($E402="","",Z402-Q402)</f>
        <v/>
      </c>
      <c r="AB402" s="7" t="n"/>
      <c r="AE402">
        <f>IF($E402="","",IF($AQ402=1,0,IF($AP402=1,Settings!$C$6,Settings!$C$7))*100)</f>
        <v/>
      </c>
      <c r="AI402" s="7" t="n"/>
      <c r="AL402" s="11" t="n"/>
      <c r="AN402">
        <f>IF($E402="","",IF(COUNTIF($E$2:$E402,$E402)=1,1,0))</f>
        <v/>
      </c>
      <c r="AO402">
        <f>IF($AN402=1,SUMPRODUCT(--($AR$2:$AR$3001&lt;$AR402))+1,"")</f>
        <v/>
      </c>
      <c r="AP402">
        <f>IF($E402="","",IF(OR($U402=TRUE(),$U402="TRUE"),1,0))</f>
        <v/>
      </c>
      <c r="AQ402">
        <f>IF($E402="","",IF($AD402="Yes",1,0))</f>
        <v/>
      </c>
      <c r="AR402">
        <f>IF($AN402=1,IFERROR(VALUE(MID($E402,2,20)),1000000000)+ROW()/100000,"")</f>
        <v/>
      </c>
    </row>
    <row r="403">
      <c r="G403" s="11" t="n"/>
      <c r="Q403" s="7">
        <f>IF($E403="","",P403*AB403/100)</f>
        <v/>
      </c>
      <c r="R403" s="7" t="n"/>
      <c r="X403" s="7" t="n"/>
      <c r="Y403" s="7">
        <f>IF($E403="","",AB403*AE403/100)</f>
        <v/>
      </c>
      <c r="Z403" s="7">
        <f>IF($E403="","",AB403-Y403)</f>
        <v/>
      </c>
      <c r="AA403" s="7">
        <f>IF($E403="","",Z403-Q403)</f>
        <v/>
      </c>
      <c r="AB403" s="7" t="n"/>
      <c r="AE403">
        <f>IF($E403="","",IF($AQ403=1,0,IF($AP403=1,Settings!$C$6,Settings!$C$7))*100)</f>
        <v/>
      </c>
      <c r="AI403" s="7" t="n"/>
      <c r="AL403" s="11" t="n"/>
      <c r="AN403">
        <f>IF($E403="","",IF(COUNTIF($E$2:$E403,$E403)=1,1,0))</f>
        <v/>
      </c>
      <c r="AO403">
        <f>IF($AN403=1,SUMPRODUCT(--($AR$2:$AR$3001&lt;$AR403))+1,"")</f>
        <v/>
      </c>
      <c r="AP403">
        <f>IF($E403="","",IF(OR($U403=TRUE(),$U403="TRUE"),1,0))</f>
        <v/>
      </c>
      <c r="AQ403">
        <f>IF($E403="","",IF($AD403="Yes",1,0))</f>
        <v/>
      </c>
      <c r="AR403">
        <f>IF($AN403=1,IFERROR(VALUE(MID($E403,2,20)),1000000000)+ROW()/100000,"")</f>
        <v/>
      </c>
    </row>
    <row r="404">
      <c r="G404" s="11" t="n"/>
      <c r="Q404" s="7">
        <f>IF($E404="","",P404*AB404/100)</f>
        <v/>
      </c>
      <c r="R404" s="7" t="n"/>
      <c r="X404" s="7" t="n"/>
      <c r="Y404" s="7">
        <f>IF($E404="","",AB404*AE404/100)</f>
        <v/>
      </c>
      <c r="Z404" s="7">
        <f>IF($E404="","",AB404-Y404)</f>
        <v/>
      </c>
      <c r="AA404" s="7">
        <f>IF($E404="","",Z404-Q404)</f>
        <v/>
      </c>
      <c r="AB404" s="7" t="n"/>
      <c r="AE404">
        <f>IF($E404="","",IF($AQ404=1,0,IF($AP404=1,Settings!$C$6,Settings!$C$7))*100)</f>
        <v/>
      </c>
      <c r="AI404" s="7" t="n"/>
      <c r="AL404" s="11" t="n"/>
      <c r="AN404">
        <f>IF($E404="","",IF(COUNTIF($E$2:$E404,$E404)=1,1,0))</f>
        <v/>
      </c>
      <c r="AO404">
        <f>IF($AN404=1,SUMPRODUCT(--($AR$2:$AR$3001&lt;$AR404))+1,"")</f>
        <v/>
      </c>
      <c r="AP404">
        <f>IF($E404="","",IF(OR($U404=TRUE(),$U404="TRUE"),1,0))</f>
        <v/>
      </c>
      <c r="AQ404">
        <f>IF($E404="","",IF($AD404="Yes",1,0))</f>
        <v/>
      </c>
      <c r="AR404">
        <f>IF($AN404=1,IFERROR(VALUE(MID($E404,2,20)),1000000000)+ROW()/100000,"")</f>
        <v/>
      </c>
    </row>
    <row r="405">
      <c r="G405" s="11" t="n"/>
      <c r="Q405" s="7">
        <f>IF($E405="","",P405*AB405/100)</f>
        <v/>
      </c>
      <c r="R405" s="7" t="n"/>
      <c r="X405" s="7" t="n"/>
      <c r="Y405" s="7">
        <f>IF($E405="","",AB405*AE405/100)</f>
        <v/>
      </c>
      <c r="Z405" s="7">
        <f>IF($E405="","",AB405-Y405)</f>
        <v/>
      </c>
      <c r="AA405" s="7">
        <f>IF($E405="","",Z405-Q405)</f>
        <v/>
      </c>
      <c r="AB405" s="7" t="n"/>
      <c r="AE405">
        <f>IF($E405="","",IF($AQ405=1,0,IF($AP405=1,Settings!$C$6,Settings!$C$7))*100)</f>
        <v/>
      </c>
      <c r="AI405" s="7" t="n"/>
      <c r="AL405" s="11" t="n"/>
      <c r="AN405">
        <f>IF($E405="","",IF(COUNTIF($E$2:$E405,$E405)=1,1,0))</f>
        <v/>
      </c>
      <c r="AO405">
        <f>IF($AN405=1,SUMPRODUCT(--($AR$2:$AR$3001&lt;$AR405))+1,"")</f>
        <v/>
      </c>
      <c r="AP405">
        <f>IF($E405="","",IF(OR($U405=TRUE(),$U405="TRUE"),1,0))</f>
        <v/>
      </c>
      <c r="AQ405">
        <f>IF($E405="","",IF($AD405="Yes",1,0))</f>
        <v/>
      </c>
      <c r="AR405">
        <f>IF($AN405=1,IFERROR(VALUE(MID($E405,2,20)),1000000000)+ROW()/100000,"")</f>
        <v/>
      </c>
    </row>
    <row r="406">
      <c r="G406" s="11" t="n"/>
      <c r="Q406" s="7">
        <f>IF($E406="","",P406*AB406/100)</f>
        <v/>
      </c>
      <c r="R406" s="7" t="n"/>
      <c r="X406" s="7" t="n"/>
      <c r="Y406" s="7">
        <f>IF($E406="","",AB406*AE406/100)</f>
        <v/>
      </c>
      <c r="Z406" s="7">
        <f>IF($E406="","",AB406-Y406)</f>
        <v/>
      </c>
      <c r="AA406" s="7">
        <f>IF($E406="","",Z406-Q406)</f>
        <v/>
      </c>
      <c r="AB406" s="7" t="n"/>
      <c r="AE406">
        <f>IF($E406="","",IF($AQ406=1,0,IF($AP406=1,Settings!$C$6,Settings!$C$7))*100)</f>
        <v/>
      </c>
      <c r="AI406" s="7" t="n"/>
      <c r="AL406" s="11" t="n"/>
      <c r="AN406">
        <f>IF($E406="","",IF(COUNTIF($E$2:$E406,$E406)=1,1,0))</f>
        <v/>
      </c>
      <c r="AO406">
        <f>IF($AN406=1,SUMPRODUCT(--($AR$2:$AR$3001&lt;$AR406))+1,"")</f>
        <v/>
      </c>
      <c r="AP406">
        <f>IF($E406="","",IF(OR($U406=TRUE(),$U406="TRUE"),1,0))</f>
        <v/>
      </c>
      <c r="AQ406">
        <f>IF($E406="","",IF($AD406="Yes",1,0))</f>
        <v/>
      </c>
      <c r="AR406">
        <f>IF($AN406=1,IFERROR(VALUE(MID($E406,2,20)),1000000000)+ROW()/100000,"")</f>
        <v/>
      </c>
    </row>
    <row r="407">
      <c r="G407" s="11" t="n"/>
      <c r="Q407" s="7">
        <f>IF($E407="","",P407*AB407/100)</f>
        <v/>
      </c>
      <c r="R407" s="7" t="n"/>
      <c r="X407" s="7" t="n"/>
      <c r="Y407" s="7">
        <f>IF($E407="","",AB407*AE407/100)</f>
        <v/>
      </c>
      <c r="Z407" s="7">
        <f>IF($E407="","",AB407-Y407)</f>
        <v/>
      </c>
      <c r="AA407" s="7">
        <f>IF($E407="","",Z407-Q407)</f>
        <v/>
      </c>
      <c r="AB407" s="7" t="n"/>
      <c r="AE407">
        <f>IF($E407="","",IF($AQ407=1,0,IF($AP407=1,Settings!$C$6,Settings!$C$7))*100)</f>
        <v/>
      </c>
      <c r="AI407" s="7" t="n"/>
      <c r="AL407" s="11" t="n"/>
      <c r="AN407">
        <f>IF($E407="","",IF(COUNTIF($E$2:$E407,$E407)=1,1,0))</f>
        <v/>
      </c>
      <c r="AO407">
        <f>IF($AN407=1,SUMPRODUCT(--($AR$2:$AR$3001&lt;$AR407))+1,"")</f>
        <v/>
      </c>
      <c r="AP407">
        <f>IF($E407="","",IF(OR($U407=TRUE(),$U407="TRUE"),1,0))</f>
        <v/>
      </c>
      <c r="AQ407">
        <f>IF($E407="","",IF($AD407="Yes",1,0))</f>
        <v/>
      </c>
      <c r="AR407">
        <f>IF($AN407=1,IFERROR(VALUE(MID($E407,2,20)),1000000000)+ROW()/100000,"")</f>
        <v/>
      </c>
    </row>
    <row r="408">
      <c r="G408" s="11" t="n"/>
      <c r="Q408" s="7">
        <f>IF($E408="","",P408*AB408/100)</f>
        <v/>
      </c>
      <c r="R408" s="7" t="n"/>
      <c r="X408" s="7" t="n"/>
      <c r="Y408" s="7">
        <f>IF($E408="","",AB408*AE408/100)</f>
        <v/>
      </c>
      <c r="Z408" s="7">
        <f>IF($E408="","",AB408-Y408)</f>
        <v/>
      </c>
      <c r="AA408" s="7">
        <f>IF($E408="","",Z408-Q408)</f>
        <v/>
      </c>
      <c r="AB408" s="7" t="n"/>
      <c r="AE408">
        <f>IF($E408="","",IF($AQ408=1,0,IF($AP408=1,Settings!$C$6,Settings!$C$7))*100)</f>
        <v/>
      </c>
      <c r="AI408" s="7" t="n"/>
      <c r="AL408" s="11" t="n"/>
      <c r="AN408">
        <f>IF($E408="","",IF(COUNTIF($E$2:$E408,$E408)=1,1,0))</f>
        <v/>
      </c>
      <c r="AO408">
        <f>IF($AN408=1,SUMPRODUCT(--($AR$2:$AR$3001&lt;$AR408))+1,"")</f>
        <v/>
      </c>
      <c r="AP408">
        <f>IF($E408="","",IF(OR($U408=TRUE(),$U408="TRUE"),1,0))</f>
        <v/>
      </c>
      <c r="AQ408">
        <f>IF($E408="","",IF($AD408="Yes",1,0))</f>
        <v/>
      </c>
      <c r="AR408">
        <f>IF($AN408=1,IFERROR(VALUE(MID($E408,2,20)),1000000000)+ROW()/100000,"")</f>
        <v/>
      </c>
    </row>
    <row r="409">
      <c r="G409" s="11" t="n"/>
      <c r="Q409" s="7">
        <f>IF($E409="","",P409*AB409/100)</f>
        <v/>
      </c>
      <c r="R409" s="7" t="n"/>
      <c r="X409" s="7" t="n"/>
      <c r="Y409" s="7">
        <f>IF($E409="","",AB409*AE409/100)</f>
        <v/>
      </c>
      <c r="Z409" s="7">
        <f>IF($E409="","",AB409-Y409)</f>
        <v/>
      </c>
      <c r="AA409" s="7">
        <f>IF($E409="","",Z409-Q409)</f>
        <v/>
      </c>
      <c r="AB409" s="7" t="n"/>
      <c r="AE409">
        <f>IF($E409="","",IF($AQ409=1,0,IF($AP409=1,Settings!$C$6,Settings!$C$7))*100)</f>
        <v/>
      </c>
      <c r="AI409" s="7" t="n"/>
      <c r="AL409" s="11" t="n"/>
      <c r="AN409">
        <f>IF($E409="","",IF(COUNTIF($E$2:$E409,$E409)=1,1,0))</f>
        <v/>
      </c>
      <c r="AO409">
        <f>IF($AN409=1,SUMPRODUCT(--($AR$2:$AR$3001&lt;$AR409))+1,"")</f>
        <v/>
      </c>
      <c r="AP409">
        <f>IF($E409="","",IF(OR($U409=TRUE(),$U409="TRUE"),1,0))</f>
        <v/>
      </c>
      <c r="AQ409">
        <f>IF($E409="","",IF($AD409="Yes",1,0))</f>
        <v/>
      </c>
      <c r="AR409">
        <f>IF($AN409=1,IFERROR(VALUE(MID($E409,2,20)),1000000000)+ROW()/100000,"")</f>
        <v/>
      </c>
    </row>
    <row r="410">
      <c r="G410" s="11" t="n"/>
      <c r="Q410" s="7">
        <f>IF($E410="","",P410*AB410/100)</f>
        <v/>
      </c>
      <c r="R410" s="7" t="n"/>
      <c r="X410" s="7" t="n"/>
      <c r="Y410" s="7">
        <f>IF($E410="","",AB410*AE410/100)</f>
        <v/>
      </c>
      <c r="Z410" s="7">
        <f>IF($E410="","",AB410-Y410)</f>
        <v/>
      </c>
      <c r="AA410" s="7">
        <f>IF($E410="","",Z410-Q410)</f>
        <v/>
      </c>
      <c r="AB410" s="7" t="n"/>
      <c r="AE410">
        <f>IF($E410="","",IF($AQ410=1,0,IF($AP410=1,Settings!$C$6,Settings!$C$7))*100)</f>
        <v/>
      </c>
      <c r="AI410" s="7" t="n"/>
      <c r="AL410" s="11" t="n"/>
      <c r="AN410">
        <f>IF($E410="","",IF(COUNTIF($E$2:$E410,$E410)=1,1,0))</f>
        <v/>
      </c>
      <c r="AO410">
        <f>IF($AN410=1,SUMPRODUCT(--($AR$2:$AR$3001&lt;$AR410))+1,"")</f>
        <v/>
      </c>
      <c r="AP410">
        <f>IF($E410="","",IF(OR($U410=TRUE(),$U410="TRUE"),1,0))</f>
        <v/>
      </c>
      <c r="AQ410">
        <f>IF($E410="","",IF($AD410="Yes",1,0))</f>
        <v/>
      </c>
      <c r="AR410">
        <f>IF($AN410=1,IFERROR(VALUE(MID($E410,2,20)),1000000000)+ROW()/100000,"")</f>
        <v/>
      </c>
    </row>
    <row r="411">
      <c r="G411" s="11" t="n"/>
      <c r="Q411" s="7">
        <f>IF($E411="","",P411*AB411/100)</f>
        <v/>
      </c>
      <c r="R411" s="7" t="n"/>
      <c r="X411" s="7" t="n"/>
      <c r="Y411" s="7">
        <f>IF($E411="","",AB411*AE411/100)</f>
        <v/>
      </c>
      <c r="Z411" s="7">
        <f>IF($E411="","",AB411-Y411)</f>
        <v/>
      </c>
      <c r="AA411" s="7">
        <f>IF($E411="","",Z411-Q411)</f>
        <v/>
      </c>
      <c r="AB411" s="7" t="n"/>
      <c r="AE411">
        <f>IF($E411="","",IF($AQ411=1,0,IF($AP411=1,Settings!$C$6,Settings!$C$7))*100)</f>
        <v/>
      </c>
      <c r="AI411" s="7" t="n"/>
      <c r="AL411" s="11" t="n"/>
      <c r="AN411">
        <f>IF($E411="","",IF(COUNTIF($E$2:$E411,$E411)=1,1,0))</f>
        <v/>
      </c>
      <c r="AO411">
        <f>IF($AN411=1,SUMPRODUCT(--($AR$2:$AR$3001&lt;$AR411))+1,"")</f>
        <v/>
      </c>
      <c r="AP411">
        <f>IF($E411="","",IF(OR($U411=TRUE(),$U411="TRUE"),1,0))</f>
        <v/>
      </c>
      <c r="AQ411">
        <f>IF($E411="","",IF($AD411="Yes",1,0))</f>
        <v/>
      </c>
      <c r="AR411">
        <f>IF($AN411=1,IFERROR(VALUE(MID($E411,2,20)),1000000000)+ROW()/100000,"")</f>
        <v/>
      </c>
    </row>
    <row r="412">
      <c r="G412" s="11" t="n"/>
      <c r="Q412" s="7">
        <f>IF($E412="","",P412*AB412/100)</f>
        <v/>
      </c>
      <c r="R412" s="7" t="n"/>
      <c r="X412" s="7" t="n"/>
      <c r="Y412" s="7">
        <f>IF($E412="","",AB412*AE412/100)</f>
        <v/>
      </c>
      <c r="Z412" s="7">
        <f>IF($E412="","",AB412-Y412)</f>
        <v/>
      </c>
      <c r="AA412" s="7">
        <f>IF($E412="","",Z412-Q412)</f>
        <v/>
      </c>
      <c r="AB412" s="7" t="n"/>
      <c r="AE412">
        <f>IF($E412="","",IF($AQ412=1,0,IF($AP412=1,Settings!$C$6,Settings!$C$7))*100)</f>
        <v/>
      </c>
      <c r="AI412" s="7" t="n"/>
      <c r="AL412" s="11" t="n"/>
      <c r="AN412">
        <f>IF($E412="","",IF(COUNTIF($E$2:$E412,$E412)=1,1,0))</f>
        <v/>
      </c>
      <c r="AO412">
        <f>IF($AN412=1,SUMPRODUCT(--($AR$2:$AR$3001&lt;$AR412))+1,"")</f>
        <v/>
      </c>
      <c r="AP412">
        <f>IF($E412="","",IF(OR($U412=TRUE(),$U412="TRUE"),1,0))</f>
        <v/>
      </c>
      <c r="AQ412">
        <f>IF($E412="","",IF($AD412="Yes",1,0))</f>
        <v/>
      </c>
      <c r="AR412">
        <f>IF($AN412=1,IFERROR(VALUE(MID($E412,2,20)),1000000000)+ROW()/100000,"")</f>
        <v/>
      </c>
    </row>
    <row r="413">
      <c r="G413" s="11" t="n"/>
      <c r="Q413" s="7">
        <f>IF($E413="","",P413*AB413/100)</f>
        <v/>
      </c>
      <c r="R413" s="7" t="n"/>
      <c r="X413" s="7" t="n"/>
      <c r="Y413" s="7">
        <f>IF($E413="","",AB413*AE413/100)</f>
        <v/>
      </c>
      <c r="Z413" s="7">
        <f>IF($E413="","",AB413-Y413)</f>
        <v/>
      </c>
      <c r="AA413" s="7">
        <f>IF($E413="","",Z413-Q413)</f>
        <v/>
      </c>
      <c r="AB413" s="7" t="n"/>
      <c r="AE413">
        <f>IF($E413="","",IF($AQ413=1,0,IF($AP413=1,Settings!$C$6,Settings!$C$7))*100)</f>
        <v/>
      </c>
      <c r="AI413" s="7" t="n"/>
      <c r="AL413" s="11" t="n"/>
      <c r="AN413">
        <f>IF($E413="","",IF(COUNTIF($E$2:$E413,$E413)=1,1,0))</f>
        <v/>
      </c>
      <c r="AO413">
        <f>IF($AN413=1,SUMPRODUCT(--($AR$2:$AR$3001&lt;$AR413))+1,"")</f>
        <v/>
      </c>
      <c r="AP413">
        <f>IF($E413="","",IF(OR($U413=TRUE(),$U413="TRUE"),1,0))</f>
        <v/>
      </c>
      <c r="AQ413">
        <f>IF($E413="","",IF($AD413="Yes",1,0))</f>
        <v/>
      </c>
      <c r="AR413">
        <f>IF($AN413=1,IFERROR(VALUE(MID($E413,2,20)),1000000000)+ROW()/100000,"")</f>
        <v/>
      </c>
    </row>
    <row r="414">
      <c r="G414" s="11" t="n"/>
      <c r="Q414" s="7">
        <f>IF($E414="","",P414*AB414/100)</f>
        <v/>
      </c>
      <c r="R414" s="7" t="n"/>
      <c r="X414" s="7" t="n"/>
      <c r="Y414" s="7">
        <f>IF($E414="","",AB414*AE414/100)</f>
        <v/>
      </c>
      <c r="Z414" s="7">
        <f>IF($E414="","",AB414-Y414)</f>
        <v/>
      </c>
      <c r="AA414" s="7">
        <f>IF($E414="","",Z414-Q414)</f>
        <v/>
      </c>
      <c r="AB414" s="7" t="n"/>
      <c r="AE414">
        <f>IF($E414="","",IF($AQ414=1,0,IF($AP414=1,Settings!$C$6,Settings!$C$7))*100)</f>
        <v/>
      </c>
      <c r="AI414" s="7" t="n"/>
      <c r="AL414" s="11" t="n"/>
      <c r="AN414">
        <f>IF($E414="","",IF(COUNTIF($E$2:$E414,$E414)=1,1,0))</f>
        <v/>
      </c>
      <c r="AO414">
        <f>IF($AN414=1,SUMPRODUCT(--($AR$2:$AR$3001&lt;$AR414))+1,"")</f>
        <v/>
      </c>
      <c r="AP414">
        <f>IF($E414="","",IF(OR($U414=TRUE(),$U414="TRUE"),1,0))</f>
        <v/>
      </c>
      <c r="AQ414">
        <f>IF($E414="","",IF($AD414="Yes",1,0))</f>
        <v/>
      </c>
      <c r="AR414">
        <f>IF($AN414=1,IFERROR(VALUE(MID($E414,2,20)),1000000000)+ROW()/100000,"")</f>
        <v/>
      </c>
    </row>
    <row r="415">
      <c r="G415" s="11" t="n"/>
      <c r="Q415" s="7">
        <f>IF($E415="","",P415*AB415/100)</f>
        <v/>
      </c>
      <c r="R415" s="7" t="n"/>
      <c r="X415" s="7" t="n"/>
      <c r="Y415" s="7">
        <f>IF($E415="","",AB415*AE415/100)</f>
        <v/>
      </c>
      <c r="Z415" s="7">
        <f>IF($E415="","",AB415-Y415)</f>
        <v/>
      </c>
      <c r="AA415" s="7">
        <f>IF($E415="","",Z415-Q415)</f>
        <v/>
      </c>
      <c r="AB415" s="7" t="n"/>
      <c r="AE415">
        <f>IF($E415="","",IF($AQ415=1,0,IF($AP415=1,Settings!$C$6,Settings!$C$7))*100)</f>
        <v/>
      </c>
      <c r="AI415" s="7" t="n"/>
      <c r="AL415" s="11" t="n"/>
      <c r="AN415">
        <f>IF($E415="","",IF(COUNTIF($E$2:$E415,$E415)=1,1,0))</f>
        <v/>
      </c>
      <c r="AO415">
        <f>IF($AN415=1,SUMPRODUCT(--($AR$2:$AR$3001&lt;$AR415))+1,"")</f>
        <v/>
      </c>
      <c r="AP415">
        <f>IF($E415="","",IF(OR($U415=TRUE(),$U415="TRUE"),1,0))</f>
        <v/>
      </c>
      <c r="AQ415">
        <f>IF($E415="","",IF($AD415="Yes",1,0))</f>
        <v/>
      </c>
      <c r="AR415">
        <f>IF($AN415=1,IFERROR(VALUE(MID($E415,2,20)),1000000000)+ROW()/100000,"")</f>
        <v/>
      </c>
    </row>
    <row r="416">
      <c r="G416" s="11" t="n"/>
      <c r="Q416" s="7">
        <f>IF($E416="","",P416*AB416/100)</f>
        <v/>
      </c>
      <c r="R416" s="7" t="n"/>
      <c r="X416" s="7" t="n"/>
      <c r="Y416" s="7">
        <f>IF($E416="","",AB416*AE416/100)</f>
        <v/>
      </c>
      <c r="Z416" s="7">
        <f>IF($E416="","",AB416-Y416)</f>
        <v/>
      </c>
      <c r="AA416" s="7">
        <f>IF($E416="","",Z416-Q416)</f>
        <v/>
      </c>
      <c r="AB416" s="7" t="n"/>
      <c r="AE416">
        <f>IF($E416="","",IF($AQ416=1,0,IF($AP416=1,Settings!$C$6,Settings!$C$7))*100)</f>
        <v/>
      </c>
      <c r="AI416" s="7" t="n"/>
      <c r="AL416" s="11" t="n"/>
      <c r="AN416">
        <f>IF($E416="","",IF(COUNTIF($E$2:$E416,$E416)=1,1,0))</f>
        <v/>
      </c>
      <c r="AO416">
        <f>IF($AN416=1,SUMPRODUCT(--($AR$2:$AR$3001&lt;$AR416))+1,"")</f>
        <v/>
      </c>
      <c r="AP416">
        <f>IF($E416="","",IF(OR($U416=TRUE(),$U416="TRUE"),1,0))</f>
        <v/>
      </c>
      <c r="AQ416">
        <f>IF($E416="","",IF($AD416="Yes",1,0))</f>
        <v/>
      </c>
      <c r="AR416">
        <f>IF($AN416=1,IFERROR(VALUE(MID($E416,2,20)),1000000000)+ROW()/100000,"")</f>
        <v/>
      </c>
    </row>
    <row r="417">
      <c r="G417" s="11" t="n"/>
      <c r="Q417" s="7">
        <f>IF($E417="","",P417*AB417/100)</f>
        <v/>
      </c>
      <c r="R417" s="7" t="n"/>
      <c r="X417" s="7" t="n"/>
      <c r="Y417" s="7">
        <f>IF($E417="","",AB417*AE417/100)</f>
        <v/>
      </c>
      <c r="Z417" s="7">
        <f>IF($E417="","",AB417-Y417)</f>
        <v/>
      </c>
      <c r="AA417" s="7">
        <f>IF($E417="","",Z417-Q417)</f>
        <v/>
      </c>
      <c r="AB417" s="7" t="n"/>
      <c r="AE417">
        <f>IF($E417="","",IF($AQ417=1,0,IF($AP417=1,Settings!$C$6,Settings!$C$7))*100)</f>
        <v/>
      </c>
      <c r="AI417" s="7" t="n"/>
      <c r="AL417" s="11" t="n"/>
      <c r="AN417">
        <f>IF($E417="","",IF(COUNTIF($E$2:$E417,$E417)=1,1,0))</f>
        <v/>
      </c>
      <c r="AO417">
        <f>IF($AN417=1,SUMPRODUCT(--($AR$2:$AR$3001&lt;$AR417))+1,"")</f>
        <v/>
      </c>
      <c r="AP417">
        <f>IF($E417="","",IF(OR($U417=TRUE(),$U417="TRUE"),1,0))</f>
        <v/>
      </c>
      <c r="AQ417">
        <f>IF($E417="","",IF($AD417="Yes",1,0))</f>
        <v/>
      </c>
      <c r="AR417">
        <f>IF($AN417=1,IFERROR(VALUE(MID($E417,2,20)),1000000000)+ROW()/100000,"")</f>
        <v/>
      </c>
    </row>
    <row r="418">
      <c r="G418" s="11" t="n"/>
      <c r="Q418" s="7">
        <f>IF($E418="","",P418*AB418/100)</f>
        <v/>
      </c>
      <c r="R418" s="7" t="n"/>
      <c r="X418" s="7" t="n"/>
      <c r="Y418" s="7">
        <f>IF($E418="","",AB418*AE418/100)</f>
        <v/>
      </c>
      <c r="Z418" s="7">
        <f>IF($E418="","",AB418-Y418)</f>
        <v/>
      </c>
      <c r="AA418" s="7">
        <f>IF($E418="","",Z418-Q418)</f>
        <v/>
      </c>
      <c r="AB418" s="7" t="n"/>
      <c r="AE418">
        <f>IF($E418="","",IF($AQ418=1,0,IF($AP418=1,Settings!$C$6,Settings!$C$7))*100)</f>
        <v/>
      </c>
      <c r="AI418" s="7" t="n"/>
      <c r="AL418" s="11" t="n"/>
      <c r="AN418">
        <f>IF($E418="","",IF(COUNTIF($E$2:$E418,$E418)=1,1,0))</f>
        <v/>
      </c>
      <c r="AO418">
        <f>IF($AN418=1,SUMPRODUCT(--($AR$2:$AR$3001&lt;$AR418))+1,"")</f>
        <v/>
      </c>
      <c r="AP418">
        <f>IF($E418="","",IF(OR($U418=TRUE(),$U418="TRUE"),1,0))</f>
        <v/>
      </c>
      <c r="AQ418">
        <f>IF($E418="","",IF($AD418="Yes",1,0))</f>
        <v/>
      </c>
      <c r="AR418">
        <f>IF($AN418=1,IFERROR(VALUE(MID($E418,2,20)),1000000000)+ROW()/100000,"")</f>
        <v/>
      </c>
    </row>
    <row r="419">
      <c r="G419" s="11" t="n"/>
      <c r="Q419" s="7">
        <f>IF($E419="","",P419*AB419/100)</f>
        <v/>
      </c>
      <c r="R419" s="7" t="n"/>
      <c r="X419" s="7" t="n"/>
      <c r="Y419" s="7">
        <f>IF($E419="","",AB419*AE419/100)</f>
        <v/>
      </c>
      <c r="Z419" s="7">
        <f>IF($E419="","",AB419-Y419)</f>
        <v/>
      </c>
      <c r="AA419" s="7">
        <f>IF($E419="","",Z419-Q419)</f>
        <v/>
      </c>
      <c r="AB419" s="7" t="n"/>
      <c r="AE419">
        <f>IF($E419="","",IF($AQ419=1,0,IF($AP419=1,Settings!$C$6,Settings!$C$7))*100)</f>
        <v/>
      </c>
      <c r="AI419" s="7" t="n"/>
      <c r="AL419" s="11" t="n"/>
      <c r="AN419">
        <f>IF($E419="","",IF(COUNTIF($E$2:$E419,$E419)=1,1,0))</f>
        <v/>
      </c>
      <c r="AO419">
        <f>IF($AN419=1,SUMPRODUCT(--($AR$2:$AR$3001&lt;$AR419))+1,"")</f>
        <v/>
      </c>
      <c r="AP419">
        <f>IF($E419="","",IF(OR($U419=TRUE(),$U419="TRUE"),1,0))</f>
        <v/>
      </c>
      <c r="AQ419">
        <f>IF($E419="","",IF($AD419="Yes",1,0))</f>
        <v/>
      </c>
      <c r="AR419">
        <f>IF($AN419=1,IFERROR(VALUE(MID($E419,2,20)),1000000000)+ROW()/100000,"")</f>
        <v/>
      </c>
    </row>
    <row r="420">
      <c r="G420" s="11" t="n"/>
      <c r="Q420" s="7">
        <f>IF($E420="","",P420*AB420/100)</f>
        <v/>
      </c>
      <c r="R420" s="7" t="n"/>
      <c r="X420" s="7" t="n"/>
      <c r="Y420" s="7">
        <f>IF($E420="","",AB420*AE420/100)</f>
        <v/>
      </c>
      <c r="Z420" s="7">
        <f>IF($E420="","",AB420-Y420)</f>
        <v/>
      </c>
      <c r="AA420" s="7">
        <f>IF($E420="","",Z420-Q420)</f>
        <v/>
      </c>
      <c r="AB420" s="7" t="n"/>
      <c r="AE420">
        <f>IF($E420="","",IF($AQ420=1,0,IF($AP420=1,Settings!$C$6,Settings!$C$7))*100)</f>
        <v/>
      </c>
      <c r="AI420" s="7" t="n"/>
      <c r="AL420" s="11" t="n"/>
      <c r="AN420">
        <f>IF($E420="","",IF(COUNTIF($E$2:$E420,$E420)=1,1,0))</f>
        <v/>
      </c>
      <c r="AO420">
        <f>IF($AN420=1,SUMPRODUCT(--($AR$2:$AR$3001&lt;$AR420))+1,"")</f>
        <v/>
      </c>
      <c r="AP420">
        <f>IF($E420="","",IF(OR($U420=TRUE(),$U420="TRUE"),1,0))</f>
        <v/>
      </c>
      <c r="AQ420">
        <f>IF($E420="","",IF($AD420="Yes",1,0))</f>
        <v/>
      </c>
      <c r="AR420">
        <f>IF($AN420=1,IFERROR(VALUE(MID($E420,2,20)),1000000000)+ROW()/100000,"")</f>
        <v/>
      </c>
    </row>
    <row r="421">
      <c r="G421" s="11" t="n"/>
      <c r="Q421" s="7">
        <f>IF($E421="","",P421*AB421/100)</f>
        <v/>
      </c>
      <c r="R421" s="7" t="n"/>
      <c r="X421" s="7" t="n"/>
      <c r="Y421" s="7">
        <f>IF($E421="","",AB421*AE421/100)</f>
        <v/>
      </c>
      <c r="Z421" s="7">
        <f>IF($E421="","",AB421-Y421)</f>
        <v/>
      </c>
      <c r="AA421" s="7">
        <f>IF($E421="","",Z421-Q421)</f>
        <v/>
      </c>
      <c r="AB421" s="7" t="n"/>
      <c r="AE421">
        <f>IF($E421="","",IF($AQ421=1,0,IF($AP421=1,Settings!$C$6,Settings!$C$7))*100)</f>
        <v/>
      </c>
      <c r="AI421" s="7" t="n"/>
      <c r="AL421" s="11" t="n"/>
      <c r="AN421">
        <f>IF($E421="","",IF(COUNTIF($E$2:$E421,$E421)=1,1,0))</f>
        <v/>
      </c>
      <c r="AO421">
        <f>IF($AN421=1,SUMPRODUCT(--($AR$2:$AR$3001&lt;$AR421))+1,"")</f>
        <v/>
      </c>
      <c r="AP421">
        <f>IF($E421="","",IF(OR($U421=TRUE(),$U421="TRUE"),1,0))</f>
        <v/>
      </c>
      <c r="AQ421">
        <f>IF($E421="","",IF($AD421="Yes",1,0))</f>
        <v/>
      </c>
      <c r="AR421">
        <f>IF($AN421=1,IFERROR(VALUE(MID($E421,2,20)),1000000000)+ROW()/100000,"")</f>
        <v/>
      </c>
    </row>
    <row r="422">
      <c r="G422" s="11" t="n"/>
      <c r="Q422" s="7">
        <f>IF($E422="","",P422*AB422/100)</f>
        <v/>
      </c>
      <c r="R422" s="7" t="n"/>
      <c r="X422" s="7" t="n"/>
      <c r="Y422" s="7">
        <f>IF($E422="","",AB422*AE422/100)</f>
        <v/>
      </c>
      <c r="Z422" s="7">
        <f>IF($E422="","",AB422-Y422)</f>
        <v/>
      </c>
      <c r="AA422" s="7">
        <f>IF($E422="","",Z422-Q422)</f>
        <v/>
      </c>
      <c r="AB422" s="7" t="n"/>
      <c r="AE422">
        <f>IF($E422="","",IF($AQ422=1,0,IF($AP422=1,Settings!$C$6,Settings!$C$7))*100)</f>
        <v/>
      </c>
      <c r="AI422" s="7" t="n"/>
      <c r="AL422" s="11" t="n"/>
      <c r="AN422">
        <f>IF($E422="","",IF(COUNTIF($E$2:$E422,$E422)=1,1,0))</f>
        <v/>
      </c>
      <c r="AO422">
        <f>IF($AN422=1,SUMPRODUCT(--($AR$2:$AR$3001&lt;$AR422))+1,"")</f>
        <v/>
      </c>
      <c r="AP422">
        <f>IF($E422="","",IF(OR($U422=TRUE(),$U422="TRUE"),1,0))</f>
        <v/>
      </c>
      <c r="AQ422">
        <f>IF($E422="","",IF($AD422="Yes",1,0))</f>
        <v/>
      </c>
      <c r="AR422">
        <f>IF($AN422=1,IFERROR(VALUE(MID($E422,2,20)),1000000000)+ROW()/100000,"")</f>
        <v/>
      </c>
    </row>
    <row r="423">
      <c r="G423" s="11" t="n"/>
      <c r="Q423" s="7">
        <f>IF($E423="","",P423*AB423/100)</f>
        <v/>
      </c>
      <c r="R423" s="7" t="n"/>
      <c r="X423" s="7" t="n"/>
      <c r="Y423" s="7">
        <f>IF($E423="","",AB423*AE423/100)</f>
        <v/>
      </c>
      <c r="Z423" s="7">
        <f>IF($E423="","",AB423-Y423)</f>
        <v/>
      </c>
      <c r="AA423" s="7">
        <f>IF($E423="","",Z423-Q423)</f>
        <v/>
      </c>
      <c r="AB423" s="7" t="n"/>
      <c r="AE423">
        <f>IF($E423="","",IF($AQ423=1,0,IF($AP423=1,Settings!$C$6,Settings!$C$7))*100)</f>
        <v/>
      </c>
      <c r="AI423" s="7" t="n"/>
      <c r="AL423" s="11" t="n"/>
      <c r="AN423">
        <f>IF($E423="","",IF(COUNTIF($E$2:$E423,$E423)=1,1,0))</f>
        <v/>
      </c>
      <c r="AO423">
        <f>IF($AN423=1,SUMPRODUCT(--($AR$2:$AR$3001&lt;$AR423))+1,"")</f>
        <v/>
      </c>
      <c r="AP423">
        <f>IF($E423="","",IF(OR($U423=TRUE(),$U423="TRUE"),1,0))</f>
        <v/>
      </c>
      <c r="AQ423">
        <f>IF($E423="","",IF($AD423="Yes",1,0))</f>
        <v/>
      </c>
      <c r="AR423">
        <f>IF($AN423=1,IFERROR(VALUE(MID($E423,2,20)),1000000000)+ROW()/100000,"")</f>
        <v/>
      </c>
    </row>
    <row r="424">
      <c r="G424" s="11" t="n"/>
      <c r="Q424" s="7">
        <f>IF($E424="","",P424*AB424/100)</f>
        <v/>
      </c>
      <c r="R424" s="7" t="n"/>
      <c r="X424" s="7" t="n"/>
      <c r="Y424" s="7">
        <f>IF($E424="","",AB424*AE424/100)</f>
        <v/>
      </c>
      <c r="Z424" s="7">
        <f>IF($E424="","",AB424-Y424)</f>
        <v/>
      </c>
      <c r="AA424" s="7">
        <f>IF($E424="","",Z424-Q424)</f>
        <v/>
      </c>
      <c r="AB424" s="7" t="n"/>
      <c r="AE424">
        <f>IF($E424="","",IF($AQ424=1,0,IF($AP424=1,Settings!$C$6,Settings!$C$7))*100)</f>
        <v/>
      </c>
      <c r="AI424" s="7" t="n"/>
      <c r="AL424" s="11" t="n"/>
      <c r="AN424">
        <f>IF($E424="","",IF(COUNTIF($E$2:$E424,$E424)=1,1,0))</f>
        <v/>
      </c>
      <c r="AO424">
        <f>IF($AN424=1,SUMPRODUCT(--($AR$2:$AR$3001&lt;$AR424))+1,"")</f>
        <v/>
      </c>
      <c r="AP424">
        <f>IF($E424="","",IF(OR($U424=TRUE(),$U424="TRUE"),1,0))</f>
        <v/>
      </c>
      <c r="AQ424">
        <f>IF($E424="","",IF($AD424="Yes",1,0))</f>
        <v/>
      </c>
      <c r="AR424">
        <f>IF($AN424=1,IFERROR(VALUE(MID($E424,2,20)),1000000000)+ROW()/100000,"")</f>
        <v/>
      </c>
    </row>
    <row r="425">
      <c r="G425" s="11" t="n"/>
      <c r="Q425" s="7">
        <f>IF($E425="","",P425*AB425/100)</f>
        <v/>
      </c>
      <c r="R425" s="7" t="n"/>
      <c r="X425" s="7" t="n"/>
      <c r="Y425" s="7">
        <f>IF($E425="","",AB425*AE425/100)</f>
        <v/>
      </c>
      <c r="Z425" s="7">
        <f>IF($E425="","",AB425-Y425)</f>
        <v/>
      </c>
      <c r="AA425" s="7">
        <f>IF($E425="","",Z425-Q425)</f>
        <v/>
      </c>
      <c r="AB425" s="7" t="n"/>
      <c r="AE425">
        <f>IF($E425="","",IF($AQ425=1,0,IF($AP425=1,Settings!$C$6,Settings!$C$7))*100)</f>
        <v/>
      </c>
      <c r="AI425" s="7" t="n"/>
      <c r="AL425" s="11" t="n"/>
      <c r="AN425">
        <f>IF($E425="","",IF(COUNTIF($E$2:$E425,$E425)=1,1,0))</f>
        <v/>
      </c>
      <c r="AO425">
        <f>IF($AN425=1,SUMPRODUCT(--($AR$2:$AR$3001&lt;$AR425))+1,"")</f>
        <v/>
      </c>
      <c r="AP425">
        <f>IF($E425="","",IF(OR($U425=TRUE(),$U425="TRUE"),1,0))</f>
        <v/>
      </c>
      <c r="AQ425">
        <f>IF($E425="","",IF($AD425="Yes",1,0))</f>
        <v/>
      </c>
      <c r="AR425">
        <f>IF($AN425=1,IFERROR(VALUE(MID($E425,2,20)),1000000000)+ROW()/100000,"")</f>
        <v/>
      </c>
    </row>
    <row r="426">
      <c r="G426" s="11" t="n"/>
      <c r="Q426" s="7">
        <f>IF($E426="","",P426*AB426/100)</f>
        <v/>
      </c>
      <c r="R426" s="7" t="n"/>
      <c r="X426" s="7" t="n"/>
      <c r="Y426" s="7">
        <f>IF($E426="","",AB426*AE426/100)</f>
        <v/>
      </c>
      <c r="Z426" s="7">
        <f>IF($E426="","",AB426-Y426)</f>
        <v/>
      </c>
      <c r="AA426" s="7">
        <f>IF($E426="","",Z426-Q426)</f>
        <v/>
      </c>
      <c r="AB426" s="7" t="n"/>
      <c r="AE426">
        <f>IF($E426="","",IF($AQ426=1,0,IF($AP426=1,Settings!$C$6,Settings!$C$7))*100)</f>
        <v/>
      </c>
      <c r="AI426" s="7" t="n"/>
      <c r="AL426" s="11" t="n"/>
      <c r="AN426">
        <f>IF($E426="","",IF(COUNTIF($E$2:$E426,$E426)=1,1,0))</f>
        <v/>
      </c>
      <c r="AO426">
        <f>IF($AN426=1,SUMPRODUCT(--($AR$2:$AR$3001&lt;$AR426))+1,"")</f>
        <v/>
      </c>
      <c r="AP426">
        <f>IF($E426="","",IF(OR($U426=TRUE(),$U426="TRUE"),1,0))</f>
        <v/>
      </c>
      <c r="AQ426">
        <f>IF($E426="","",IF($AD426="Yes",1,0))</f>
        <v/>
      </c>
      <c r="AR426">
        <f>IF($AN426=1,IFERROR(VALUE(MID($E426,2,20)),1000000000)+ROW()/100000,"")</f>
        <v/>
      </c>
    </row>
    <row r="427">
      <c r="G427" s="11" t="n"/>
      <c r="Q427" s="7">
        <f>IF($E427="","",P427*AB427/100)</f>
        <v/>
      </c>
      <c r="R427" s="7" t="n"/>
      <c r="X427" s="7" t="n"/>
      <c r="Y427" s="7">
        <f>IF($E427="","",AB427*AE427/100)</f>
        <v/>
      </c>
      <c r="Z427" s="7">
        <f>IF($E427="","",AB427-Y427)</f>
        <v/>
      </c>
      <c r="AA427" s="7">
        <f>IF($E427="","",Z427-Q427)</f>
        <v/>
      </c>
      <c r="AB427" s="7" t="n"/>
      <c r="AE427">
        <f>IF($E427="","",IF($AQ427=1,0,IF($AP427=1,Settings!$C$6,Settings!$C$7))*100)</f>
        <v/>
      </c>
      <c r="AI427" s="7" t="n"/>
      <c r="AL427" s="11" t="n"/>
      <c r="AN427">
        <f>IF($E427="","",IF(COUNTIF($E$2:$E427,$E427)=1,1,0))</f>
        <v/>
      </c>
      <c r="AO427">
        <f>IF($AN427=1,SUMPRODUCT(--($AR$2:$AR$3001&lt;$AR427))+1,"")</f>
        <v/>
      </c>
      <c r="AP427">
        <f>IF($E427="","",IF(OR($U427=TRUE(),$U427="TRUE"),1,0))</f>
        <v/>
      </c>
      <c r="AQ427">
        <f>IF($E427="","",IF($AD427="Yes",1,0))</f>
        <v/>
      </c>
      <c r="AR427">
        <f>IF($AN427=1,IFERROR(VALUE(MID($E427,2,20)),1000000000)+ROW()/100000,"")</f>
        <v/>
      </c>
    </row>
    <row r="428">
      <c r="G428" s="11" t="n"/>
      <c r="Q428" s="7">
        <f>IF($E428="","",P428*AB428/100)</f>
        <v/>
      </c>
      <c r="R428" s="7" t="n"/>
      <c r="X428" s="7" t="n"/>
      <c r="Y428" s="7">
        <f>IF($E428="","",AB428*AE428/100)</f>
        <v/>
      </c>
      <c r="Z428" s="7">
        <f>IF($E428="","",AB428-Y428)</f>
        <v/>
      </c>
      <c r="AA428" s="7">
        <f>IF($E428="","",Z428-Q428)</f>
        <v/>
      </c>
      <c r="AB428" s="7" t="n"/>
      <c r="AE428">
        <f>IF($E428="","",IF($AQ428=1,0,IF($AP428=1,Settings!$C$6,Settings!$C$7))*100)</f>
        <v/>
      </c>
      <c r="AI428" s="7" t="n"/>
      <c r="AL428" s="11" t="n"/>
      <c r="AN428">
        <f>IF($E428="","",IF(COUNTIF($E$2:$E428,$E428)=1,1,0))</f>
        <v/>
      </c>
      <c r="AO428">
        <f>IF($AN428=1,SUMPRODUCT(--($AR$2:$AR$3001&lt;$AR428))+1,"")</f>
        <v/>
      </c>
      <c r="AP428">
        <f>IF($E428="","",IF(OR($U428=TRUE(),$U428="TRUE"),1,0))</f>
        <v/>
      </c>
      <c r="AQ428">
        <f>IF($E428="","",IF($AD428="Yes",1,0))</f>
        <v/>
      </c>
      <c r="AR428">
        <f>IF($AN428=1,IFERROR(VALUE(MID($E428,2,20)),1000000000)+ROW()/100000,"")</f>
        <v/>
      </c>
    </row>
    <row r="429">
      <c r="G429" s="11" t="n"/>
      <c r="Q429" s="7">
        <f>IF($E429="","",P429*AB429/100)</f>
        <v/>
      </c>
      <c r="R429" s="7" t="n"/>
      <c r="X429" s="7" t="n"/>
      <c r="Y429" s="7">
        <f>IF($E429="","",AB429*AE429/100)</f>
        <v/>
      </c>
      <c r="Z429" s="7">
        <f>IF($E429="","",AB429-Y429)</f>
        <v/>
      </c>
      <c r="AA429" s="7">
        <f>IF($E429="","",Z429-Q429)</f>
        <v/>
      </c>
      <c r="AB429" s="7" t="n"/>
      <c r="AE429">
        <f>IF($E429="","",IF($AQ429=1,0,IF($AP429=1,Settings!$C$6,Settings!$C$7))*100)</f>
        <v/>
      </c>
      <c r="AI429" s="7" t="n"/>
      <c r="AL429" s="11" t="n"/>
      <c r="AN429">
        <f>IF($E429="","",IF(COUNTIF($E$2:$E429,$E429)=1,1,0))</f>
        <v/>
      </c>
      <c r="AO429">
        <f>IF($AN429=1,SUMPRODUCT(--($AR$2:$AR$3001&lt;$AR429))+1,"")</f>
        <v/>
      </c>
      <c r="AP429">
        <f>IF($E429="","",IF(OR($U429=TRUE(),$U429="TRUE"),1,0))</f>
        <v/>
      </c>
      <c r="AQ429">
        <f>IF($E429="","",IF($AD429="Yes",1,0))</f>
        <v/>
      </c>
      <c r="AR429">
        <f>IF($AN429=1,IFERROR(VALUE(MID($E429,2,20)),1000000000)+ROW()/100000,"")</f>
        <v/>
      </c>
    </row>
    <row r="430">
      <c r="G430" s="11" t="n"/>
      <c r="Q430" s="7">
        <f>IF($E430="","",P430*AB430/100)</f>
        <v/>
      </c>
      <c r="R430" s="7" t="n"/>
      <c r="X430" s="7" t="n"/>
      <c r="Y430" s="7">
        <f>IF($E430="","",AB430*AE430/100)</f>
        <v/>
      </c>
      <c r="Z430" s="7">
        <f>IF($E430="","",AB430-Y430)</f>
        <v/>
      </c>
      <c r="AA430" s="7">
        <f>IF($E430="","",Z430-Q430)</f>
        <v/>
      </c>
      <c r="AB430" s="7" t="n"/>
      <c r="AE430">
        <f>IF($E430="","",IF($AQ430=1,0,IF($AP430=1,Settings!$C$6,Settings!$C$7))*100)</f>
        <v/>
      </c>
      <c r="AI430" s="7" t="n"/>
      <c r="AL430" s="11" t="n"/>
      <c r="AN430">
        <f>IF($E430="","",IF(COUNTIF($E$2:$E430,$E430)=1,1,0))</f>
        <v/>
      </c>
      <c r="AO430">
        <f>IF($AN430=1,SUMPRODUCT(--($AR$2:$AR$3001&lt;$AR430))+1,"")</f>
        <v/>
      </c>
      <c r="AP430">
        <f>IF($E430="","",IF(OR($U430=TRUE(),$U430="TRUE"),1,0))</f>
        <v/>
      </c>
      <c r="AQ430">
        <f>IF($E430="","",IF($AD430="Yes",1,0))</f>
        <v/>
      </c>
      <c r="AR430">
        <f>IF($AN430=1,IFERROR(VALUE(MID($E430,2,20)),1000000000)+ROW()/100000,"")</f>
        <v/>
      </c>
    </row>
    <row r="431">
      <c r="G431" s="11" t="n"/>
      <c r="Q431" s="7">
        <f>IF($E431="","",P431*AB431/100)</f>
        <v/>
      </c>
      <c r="R431" s="7" t="n"/>
      <c r="X431" s="7" t="n"/>
      <c r="Y431" s="7">
        <f>IF($E431="","",AB431*AE431/100)</f>
        <v/>
      </c>
      <c r="Z431" s="7">
        <f>IF($E431="","",AB431-Y431)</f>
        <v/>
      </c>
      <c r="AA431" s="7">
        <f>IF($E431="","",Z431-Q431)</f>
        <v/>
      </c>
      <c r="AB431" s="7" t="n"/>
      <c r="AE431">
        <f>IF($E431="","",IF($AQ431=1,0,IF($AP431=1,Settings!$C$6,Settings!$C$7))*100)</f>
        <v/>
      </c>
      <c r="AI431" s="7" t="n"/>
      <c r="AL431" s="11" t="n"/>
      <c r="AN431">
        <f>IF($E431="","",IF(COUNTIF($E$2:$E431,$E431)=1,1,0))</f>
        <v/>
      </c>
      <c r="AO431">
        <f>IF($AN431=1,SUMPRODUCT(--($AR$2:$AR$3001&lt;$AR431))+1,"")</f>
        <v/>
      </c>
      <c r="AP431">
        <f>IF($E431="","",IF(OR($U431=TRUE(),$U431="TRUE"),1,0))</f>
        <v/>
      </c>
      <c r="AQ431">
        <f>IF($E431="","",IF($AD431="Yes",1,0))</f>
        <v/>
      </c>
      <c r="AR431">
        <f>IF($AN431=1,IFERROR(VALUE(MID($E431,2,20)),1000000000)+ROW()/100000,"")</f>
        <v/>
      </c>
    </row>
    <row r="432">
      <c r="G432" s="11" t="n"/>
      <c r="Q432" s="7">
        <f>IF($E432="","",P432*AB432/100)</f>
        <v/>
      </c>
      <c r="R432" s="7" t="n"/>
      <c r="X432" s="7" t="n"/>
      <c r="Y432" s="7">
        <f>IF($E432="","",AB432*AE432/100)</f>
        <v/>
      </c>
      <c r="Z432" s="7">
        <f>IF($E432="","",AB432-Y432)</f>
        <v/>
      </c>
      <c r="AA432" s="7">
        <f>IF($E432="","",Z432-Q432)</f>
        <v/>
      </c>
      <c r="AB432" s="7" t="n"/>
      <c r="AE432">
        <f>IF($E432="","",IF($AQ432=1,0,IF($AP432=1,Settings!$C$6,Settings!$C$7))*100)</f>
        <v/>
      </c>
      <c r="AI432" s="7" t="n"/>
      <c r="AL432" s="11" t="n"/>
      <c r="AN432">
        <f>IF($E432="","",IF(COUNTIF($E$2:$E432,$E432)=1,1,0))</f>
        <v/>
      </c>
      <c r="AO432">
        <f>IF($AN432=1,SUMPRODUCT(--($AR$2:$AR$3001&lt;$AR432))+1,"")</f>
        <v/>
      </c>
      <c r="AP432">
        <f>IF($E432="","",IF(OR($U432=TRUE(),$U432="TRUE"),1,0))</f>
        <v/>
      </c>
      <c r="AQ432">
        <f>IF($E432="","",IF($AD432="Yes",1,0))</f>
        <v/>
      </c>
      <c r="AR432">
        <f>IF($AN432=1,IFERROR(VALUE(MID($E432,2,20)),1000000000)+ROW()/100000,"")</f>
        <v/>
      </c>
    </row>
    <row r="433">
      <c r="G433" s="11" t="n"/>
      <c r="Q433" s="7">
        <f>IF($E433="","",P433*AB433/100)</f>
        <v/>
      </c>
      <c r="R433" s="7" t="n"/>
      <c r="X433" s="7" t="n"/>
      <c r="Y433" s="7">
        <f>IF($E433="","",AB433*AE433/100)</f>
        <v/>
      </c>
      <c r="Z433" s="7">
        <f>IF($E433="","",AB433-Y433)</f>
        <v/>
      </c>
      <c r="AA433" s="7">
        <f>IF($E433="","",Z433-Q433)</f>
        <v/>
      </c>
      <c r="AB433" s="7" t="n"/>
      <c r="AE433">
        <f>IF($E433="","",IF($AQ433=1,0,IF($AP433=1,Settings!$C$6,Settings!$C$7))*100)</f>
        <v/>
      </c>
      <c r="AI433" s="7" t="n"/>
      <c r="AL433" s="11" t="n"/>
      <c r="AN433">
        <f>IF($E433="","",IF(COUNTIF($E$2:$E433,$E433)=1,1,0))</f>
        <v/>
      </c>
      <c r="AO433">
        <f>IF($AN433=1,SUMPRODUCT(--($AR$2:$AR$3001&lt;$AR433))+1,"")</f>
        <v/>
      </c>
      <c r="AP433">
        <f>IF($E433="","",IF(OR($U433=TRUE(),$U433="TRUE"),1,0))</f>
        <v/>
      </c>
      <c r="AQ433">
        <f>IF($E433="","",IF($AD433="Yes",1,0))</f>
        <v/>
      </c>
      <c r="AR433">
        <f>IF($AN433=1,IFERROR(VALUE(MID($E433,2,20)),1000000000)+ROW()/100000,"")</f>
        <v/>
      </c>
    </row>
    <row r="434">
      <c r="G434" s="11" t="n"/>
      <c r="Q434" s="7">
        <f>IF($E434="","",P434*AB434/100)</f>
        <v/>
      </c>
      <c r="R434" s="7" t="n"/>
      <c r="X434" s="7" t="n"/>
      <c r="Y434" s="7">
        <f>IF($E434="","",AB434*AE434/100)</f>
        <v/>
      </c>
      <c r="Z434" s="7">
        <f>IF($E434="","",AB434-Y434)</f>
        <v/>
      </c>
      <c r="AA434" s="7">
        <f>IF($E434="","",Z434-Q434)</f>
        <v/>
      </c>
      <c r="AB434" s="7" t="n"/>
      <c r="AE434">
        <f>IF($E434="","",IF($AQ434=1,0,IF($AP434=1,Settings!$C$6,Settings!$C$7))*100)</f>
        <v/>
      </c>
      <c r="AI434" s="7" t="n"/>
      <c r="AL434" s="11" t="n"/>
      <c r="AN434">
        <f>IF($E434="","",IF(COUNTIF($E$2:$E434,$E434)=1,1,0))</f>
        <v/>
      </c>
      <c r="AO434">
        <f>IF($AN434=1,SUMPRODUCT(--($AR$2:$AR$3001&lt;$AR434))+1,"")</f>
        <v/>
      </c>
      <c r="AP434">
        <f>IF($E434="","",IF(OR($U434=TRUE(),$U434="TRUE"),1,0))</f>
        <v/>
      </c>
      <c r="AQ434">
        <f>IF($E434="","",IF($AD434="Yes",1,0))</f>
        <v/>
      </c>
      <c r="AR434">
        <f>IF($AN434=1,IFERROR(VALUE(MID($E434,2,20)),1000000000)+ROW()/100000,"")</f>
        <v/>
      </c>
    </row>
    <row r="435">
      <c r="G435" s="11" t="n"/>
      <c r="Q435" s="7">
        <f>IF($E435="","",P435*AB435/100)</f>
        <v/>
      </c>
      <c r="R435" s="7" t="n"/>
      <c r="X435" s="7" t="n"/>
      <c r="Y435" s="7">
        <f>IF($E435="","",AB435*AE435/100)</f>
        <v/>
      </c>
      <c r="Z435" s="7">
        <f>IF($E435="","",AB435-Y435)</f>
        <v/>
      </c>
      <c r="AA435" s="7">
        <f>IF($E435="","",Z435-Q435)</f>
        <v/>
      </c>
      <c r="AB435" s="7" t="n"/>
      <c r="AE435">
        <f>IF($E435="","",IF($AQ435=1,0,IF($AP435=1,Settings!$C$6,Settings!$C$7))*100)</f>
        <v/>
      </c>
      <c r="AI435" s="7" t="n"/>
      <c r="AL435" s="11" t="n"/>
      <c r="AN435">
        <f>IF($E435="","",IF(COUNTIF($E$2:$E435,$E435)=1,1,0))</f>
        <v/>
      </c>
      <c r="AO435">
        <f>IF($AN435=1,SUMPRODUCT(--($AR$2:$AR$3001&lt;$AR435))+1,"")</f>
        <v/>
      </c>
      <c r="AP435">
        <f>IF($E435="","",IF(OR($U435=TRUE(),$U435="TRUE"),1,0))</f>
        <v/>
      </c>
      <c r="AQ435">
        <f>IF($E435="","",IF($AD435="Yes",1,0))</f>
        <v/>
      </c>
      <c r="AR435">
        <f>IF($AN435=1,IFERROR(VALUE(MID($E435,2,20)),1000000000)+ROW()/100000,"")</f>
        <v/>
      </c>
    </row>
    <row r="436">
      <c r="G436" s="11" t="n"/>
      <c r="Q436" s="7">
        <f>IF($E436="","",P436*AB436/100)</f>
        <v/>
      </c>
      <c r="R436" s="7" t="n"/>
      <c r="X436" s="7" t="n"/>
      <c r="Y436" s="7">
        <f>IF($E436="","",AB436*AE436/100)</f>
        <v/>
      </c>
      <c r="Z436" s="7">
        <f>IF($E436="","",AB436-Y436)</f>
        <v/>
      </c>
      <c r="AA436" s="7">
        <f>IF($E436="","",Z436-Q436)</f>
        <v/>
      </c>
      <c r="AB436" s="7" t="n"/>
      <c r="AE436">
        <f>IF($E436="","",IF($AQ436=1,0,IF($AP436=1,Settings!$C$6,Settings!$C$7))*100)</f>
        <v/>
      </c>
      <c r="AI436" s="7" t="n"/>
      <c r="AL436" s="11" t="n"/>
      <c r="AN436">
        <f>IF($E436="","",IF(COUNTIF($E$2:$E436,$E436)=1,1,0))</f>
        <v/>
      </c>
      <c r="AO436">
        <f>IF($AN436=1,SUMPRODUCT(--($AR$2:$AR$3001&lt;$AR436))+1,"")</f>
        <v/>
      </c>
      <c r="AP436">
        <f>IF($E436="","",IF(OR($U436=TRUE(),$U436="TRUE"),1,0))</f>
        <v/>
      </c>
      <c r="AQ436">
        <f>IF($E436="","",IF($AD436="Yes",1,0))</f>
        <v/>
      </c>
      <c r="AR436">
        <f>IF($AN436=1,IFERROR(VALUE(MID($E436,2,20)),1000000000)+ROW()/100000,"")</f>
        <v/>
      </c>
    </row>
    <row r="437">
      <c r="G437" s="11" t="n"/>
      <c r="Q437" s="7">
        <f>IF($E437="","",P437*AB437/100)</f>
        <v/>
      </c>
      <c r="R437" s="7" t="n"/>
      <c r="X437" s="7" t="n"/>
      <c r="Y437" s="7">
        <f>IF($E437="","",AB437*AE437/100)</f>
        <v/>
      </c>
      <c r="Z437" s="7">
        <f>IF($E437="","",AB437-Y437)</f>
        <v/>
      </c>
      <c r="AA437" s="7">
        <f>IF($E437="","",Z437-Q437)</f>
        <v/>
      </c>
      <c r="AB437" s="7" t="n"/>
      <c r="AE437">
        <f>IF($E437="","",IF($AQ437=1,0,IF($AP437=1,Settings!$C$6,Settings!$C$7))*100)</f>
        <v/>
      </c>
      <c r="AI437" s="7" t="n"/>
      <c r="AL437" s="11" t="n"/>
      <c r="AN437">
        <f>IF($E437="","",IF(COUNTIF($E$2:$E437,$E437)=1,1,0))</f>
        <v/>
      </c>
      <c r="AO437">
        <f>IF($AN437=1,SUMPRODUCT(--($AR$2:$AR$3001&lt;$AR437))+1,"")</f>
        <v/>
      </c>
      <c r="AP437">
        <f>IF($E437="","",IF(OR($U437=TRUE(),$U437="TRUE"),1,0))</f>
        <v/>
      </c>
      <c r="AQ437">
        <f>IF($E437="","",IF($AD437="Yes",1,0))</f>
        <v/>
      </c>
      <c r="AR437">
        <f>IF($AN437=1,IFERROR(VALUE(MID($E437,2,20)),1000000000)+ROW()/100000,"")</f>
        <v/>
      </c>
    </row>
    <row r="438">
      <c r="G438" s="11" t="n"/>
      <c r="Q438" s="7">
        <f>IF($E438="","",P438*AB438/100)</f>
        <v/>
      </c>
      <c r="R438" s="7" t="n"/>
      <c r="X438" s="7" t="n"/>
      <c r="Y438" s="7">
        <f>IF($E438="","",AB438*AE438/100)</f>
        <v/>
      </c>
      <c r="Z438" s="7">
        <f>IF($E438="","",AB438-Y438)</f>
        <v/>
      </c>
      <c r="AA438" s="7">
        <f>IF($E438="","",Z438-Q438)</f>
        <v/>
      </c>
      <c r="AB438" s="7" t="n"/>
      <c r="AE438">
        <f>IF($E438="","",IF($AQ438=1,0,IF($AP438=1,Settings!$C$6,Settings!$C$7))*100)</f>
        <v/>
      </c>
      <c r="AI438" s="7" t="n"/>
      <c r="AL438" s="11" t="n"/>
      <c r="AN438">
        <f>IF($E438="","",IF(COUNTIF($E$2:$E438,$E438)=1,1,0))</f>
        <v/>
      </c>
      <c r="AO438">
        <f>IF($AN438=1,SUMPRODUCT(--($AR$2:$AR$3001&lt;$AR438))+1,"")</f>
        <v/>
      </c>
      <c r="AP438">
        <f>IF($E438="","",IF(OR($U438=TRUE(),$U438="TRUE"),1,0))</f>
        <v/>
      </c>
      <c r="AQ438">
        <f>IF($E438="","",IF($AD438="Yes",1,0))</f>
        <v/>
      </c>
      <c r="AR438">
        <f>IF($AN438=1,IFERROR(VALUE(MID($E438,2,20)),1000000000)+ROW()/100000,"")</f>
        <v/>
      </c>
    </row>
    <row r="439">
      <c r="G439" s="11" t="n"/>
      <c r="Q439" s="7">
        <f>IF($E439="","",P439*AB439/100)</f>
        <v/>
      </c>
      <c r="R439" s="7" t="n"/>
      <c r="X439" s="7" t="n"/>
      <c r="Y439" s="7">
        <f>IF($E439="","",AB439*AE439/100)</f>
        <v/>
      </c>
      <c r="Z439" s="7">
        <f>IF($E439="","",AB439-Y439)</f>
        <v/>
      </c>
      <c r="AA439" s="7">
        <f>IF($E439="","",Z439-Q439)</f>
        <v/>
      </c>
      <c r="AB439" s="7" t="n"/>
      <c r="AE439">
        <f>IF($E439="","",IF($AQ439=1,0,IF($AP439=1,Settings!$C$6,Settings!$C$7))*100)</f>
        <v/>
      </c>
      <c r="AI439" s="7" t="n"/>
      <c r="AL439" s="11" t="n"/>
      <c r="AN439">
        <f>IF($E439="","",IF(COUNTIF($E$2:$E439,$E439)=1,1,0))</f>
        <v/>
      </c>
      <c r="AO439">
        <f>IF($AN439=1,SUMPRODUCT(--($AR$2:$AR$3001&lt;$AR439))+1,"")</f>
        <v/>
      </c>
      <c r="AP439">
        <f>IF($E439="","",IF(OR($U439=TRUE(),$U439="TRUE"),1,0))</f>
        <v/>
      </c>
      <c r="AQ439">
        <f>IF($E439="","",IF($AD439="Yes",1,0))</f>
        <v/>
      </c>
      <c r="AR439">
        <f>IF($AN439=1,IFERROR(VALUE(MID($E439,2,20)),1000000000)+ROW()/100000,"")</f>
        <v/>
      </c>
    </row>
    <row r="440">
      <c r="G440" s="11" t="n"/>
      <c r="Q440" s="7">
        <f>IF($E440="","",P440*AB440/100)</f>
        <v/>
      </c>
      <c r="R440" s="7" t="n"/>
      <c r="X440" s="7" t="n"/>
      <c r="Y440" s="7">
        <f>IF($E440="","",AB440*AE440/100)</f>
        <v/>
      </c>
      <c r="Z440" s="7">
        <f>IF($E440="","",AB440-Y440)</f>
        <v/>
      </c>
      <c r="AA440" s="7">
        <f>IF($E440="","",Z440-Q440)</f>
        <v/>
      </c>
      <c r="AB440" s="7" t="n"/>
      <c r="AE440">
        <f>IF($E440="","",IF($AQ440=1,0,IF($AP440=1,Settings!$C$6,Settings!$C$7))*100)</f>
        <v/>
      </c>
      <c r="AI440" s="7" t="n"/>
      <c r="AL440" s="11" t="n"/>
      <c r="AN440">
        <f>IF($E440="","",IF(COUNTIF($E$2:$E440,$E440)=1,1,0))</f>
        <v/>
      </c>
      <c r="AO440">
        <f>IF($AN440=1,SUMPRODUCT(--($AR$2:$AR$3001&lt;$AR440))+1,"")</f>
        <v/>
      </c>
      <c r="AP440">
        <f>IF($E440="","",IF(OR($U440=TRUE(),$U440="TRUE"),1,0))</f>
        <v/>
      </c>
      <c r="AQ440">
        <f>IF($E440="","",IF($AD440="Yes",1,0))</f>
        <v/>
      </c>
      <c r="AR440">
        <f>IF($AN440=1,IFERROR(VALUE(MID($E440,2,20)),1000000000)+ROW()/100000,"")</f>
        <v/>
      </c>
    </row>
    <row r="441">
      <c r="G441" s="11" t="n"/>
      <c r="Q441" s="7">
        <f>IF($E441="","",P441*AB441/100)</f>
        <v/>
      </c>
      <c r="R441" s="7" t="n"/>
      <c r="X441" s="7" t="n"/>
      <c r="Y441" s="7">
        <f>IF($E441="","",AB441*AE441/100)</f>
        <v/>
      </c>
      <c r="Z441" s="7">
        <f>IF($E441="","",AB441-Y441)</f>
        <v/>
      </c>
      <c r="AA441" s="7">
        <f>IF($E441="","",Z441-Q441)</f>
        <v/>
      </c>
      <c r="AB441" s="7" t="n"/>
      <c r="AE441">
        <f>IF($E441="","",IF($AQ441=1,0,IF($AP441=1,Settings!$C$6,Settings!$C$7))*100)</f>
        <v/>
      </c>
      <c r="AI441" s="7" t="n"/>
      <c r="AL441" s="11" t="n"/>
      <c r="AN441">
        <f>IF($E441="","",IF(COUNTIF($E$2:$E441,$E441)=1,1,0))</f>
        <v/>
      </c>
      <c r="AO441">
        <f>IF($AN441=1,SUMPRODUCT(--($AR$2:$AR$3001&lt;$AR441))+1,"")</f>
        <v/>
      </c>
      <c r="AP441">
        <f>IF($E441="","",IF(OR($U441=TRUE(),$U441="TRUE"),1,0))</f>
        <v/>
      </c>
      <c r="AQ441">
        <f>IF($E441="","",IF($AD441="Yes",1,0))</f>
        <v/>
      </c>
      <c r="AR441">
        <f>IF($AN441=1,IFERROR(VALUE(MID($E441,2,20)),1000000000)+ROW()/100000,"")</f>
        <v/>
      </c>
    </row>
    <row r="442">
      <c r="G442" s="11" t="n"/>
      <c r="Q442" s="7">
        <f>IF($E442="","",P442*AB442/100)</f>
        <v/>
      </c>
      <c r="R442" s="7" t="n"/>
      <c r="X442" s="7" t="n"/>
      <c r="Y442" s="7">
        <f>IF($E442="","",AB442*AE442/100)</f>
        <v/>
      </c>
      <c r="Z442" s="7">
        <f>IF($E442="","",AB442-Y442)</f>
        <v/>
      </c>
      <c r="AA442" s="7">
        <f>IF($E442="","",Z442-Q442)</f>
        <v/>
      </c>
      <c r="AB442" s="7" t="n"/>
      <c r="AE442">
        <f>IF($E442="","",IF($AQ442=1,0,IF($AP442=1,Settings!$C$6,Settings!$C$7))*100)</f>
        <v/>
      </c>
      <c r="AI442" s="7" t="n"/>
      <c r="AL442" s="11" t="n"/>
      <c r="AN442">
        <f>IF($E442="","",IF(COUNTIF($E$2:$E442,$E442)=1,1,0))</f>
        <v/>
      </c>
      <c r="AO442">
        <f>IF($AN442=1,SUMPRODUCT(--($AR$2:$AR$3001&lt;$AR442))+1,"")</f>
        <v/>
      </c>
      <c r="AP442">
        <f>IF($E442="","",IF(OR($U442=TRUE(),$U442="TRUE"),1,0))</f>
        <v/>
      </c>
      <c r="AQ442">
        <f>IF($E442="","",IF($AD442="Yes",1,0))</f>
        <v/>
      </c>
      <c r="AR442">
        <f>IF($AN442=1,IFERROR(VALUE(MID($E442,2,20)),1000000000)+ROW()/100000,"")</f>
        <v/>
      </c>
    </row>
    <row r="443">
      <c r="G443" s="11" t="n"/>
      <c r="Q443" s="7">
        <f>IF($E443="","",P443*AB443/100)</f>
        <v/>
      </c>
      <c r="R443" s="7" t="n"/>
      <c r="X443" s="7" t="n"/>
      <c r="Y443" s="7">
        <f>IF($E443="","",AB443*AE443/100)</f>
        <v/>
      </c>
      <c r="Z443" s="7">
        <f>IF($E443="","",AB443-Y443)</f>
        <v/>
      </c>
      <c r="AA443" s="7">
        <f>IF($E443="","",Z443-Q443)</f>
        <v/>
      </c>
      <c r="AB443" s="7" t="n"/>
      <c r="AE443">
        <f>IF($E443="","",IF($AQ443=1,0,IF($AP443=1,Settings!$C$6,Settings!$C$7))*100)</f>
        <v/>
      </c>
      <c r="AI443" s="7" t="n"/>
      <c r="AL443" s="11" t="n"/>
      <c r="AN443">
        <f>IF($E443="","",IF(COUNTIF($E$2:$E443,$E443)=1,1,0))</f>
        <v/>
      </c>
      <c r="AO443">
        <f>IF($AN443=1,SUMPRODUCT(--($AR$2:$AR$3001&lt;$AR443))+1,"")</f>
        <v/>
      </c>
      <c r="AP443">
        <f>IF($E443="","",IF(OR($U443=TRUE(),$U443="TRUE"),1,0))</f>
        <v/>
      </c>
      <c r="AQ443">
        <f>IF($E443="","",IF($AD443="Yes",1,0))</f>
        <v/>
      </c>
      <c r="AR443">
        <f>IF($AN443=1,IFERROR(VALUE(MID($E443,2,20)),1000000000)+ROW()/100000,"")</f>
        <v/>
      </c>
    </row>
    <row r="444">
      <c r="G444" s="11" t="n"/>
      <c r="Q444" s="7">
        <f>IF($E444="","",P444*AB444/100)</f>
        <v/>
      </c>
      <c r="R444" s="7" t="n"/>
      <c r="X444" s="7" t="n"/>
      <c r="Y444" s="7">
        <f>IF($E444="","",AB444*AE444/100)</f>
        <v/>
      </c>
      <c r="Z444" s="7">
        <f>IF($E444="","",AB444-Y444)</f>
        <v/>
      </c>
      <c r="AA444" s="7">
        <f>IF($E444="","",Z444-Q444)</f>
        <v/>
      </c>
      <c r="AB444" s="7" t="n"/>
      <c r="AE444">
        <f>IF($E444="","",IF($AQ444=1,0,IF($AP444=1,Settings!$C$6,Settings!$C$7))*100)</f>
        <v/>
      </c>
      <c r="AI444" s="7" t="n"/>
      <c r="AL444" s="11" t="n"/>
      <c r="AN444">
        <f>IF($E444="","",IF(COUNTIF($E$2:$E444,$E444)=1,1,0))</f>
        <v/>
      </c>
      <c r="AO444">
        <f>IF($AN444=1,SUMPRODUCT(--($AR$2:$AR$3001&lt;$AR444))+1,"")</f>
        <v/>
      </c>
      <c r="AP444">
        <f>IF($E444="","",IF(OR($U444=TRUE(),$U444="TRUE"),1,0))</f>
        <v/>
      </c>
      <c r="AQ444">
        <f>IF($E444="","",IF($AD444="Yes",1,0))</f>
        <v/>
      </c>
      <c r="AR444">
        <f>IF($AN444=1,IFERROR(VALUE(MID($E444,2,20)),1000000000)+ROW()/100000,"")</f>
        <v/>
      </c>
    </row>
    <row r="445">
      <c r="G445" s="11" t="n"/>
      <c r="Q445" s="7">
        <f>IF($E445="","",P445*AB445/100)</f>
        <v/>
      </c>
      <c r="R445" s="7" t="n"/>
      <c r="X445" s="7" t="n"/>
      <c r="Y445" s="7">
        <f>IF($E445="","",AB445*AE445/100)</f>
        <v/>
      </c>
      <c r="Z445" s="7">
        <f>IF($E445="","",AB445-Y445)</f>
        <v/>
      </c>
      <c r="AA445" s="7">
        <f>IF($E445="","",Z445-Q445)</f>
        <v/>
      </c>
      <c r="AB445" s="7" t="n"/>
      <c r="AE445">
        <f>IF($E445="","",IF($AQ445=1,0,IF($AP445=1,Settings!$C$6,Settings!$C$7))*100)</f>
        <v/>
      </c>
      <c r="AI445" s="7" t="n"/>
      <c r="AL445" s="11" t="n"/>
      <c r="AN445">
        <f>IF($E445="","",IF(COUNTIF($E$2:$E445,$E445)=1,1,0))</f>
        <v/>
      </c>
      <c r="AO445">
        <f>IF($AN445=1,SUMPRODUCT(--($AR$2:$AR$3001&lt;$AR445))+1,"")</f>
        <v/>
      </c>
      <c r="AP445">
        <f>IF($E445="","",IF(OR($U445=TRUE(),$U445="TRUE"),1,0))</f>
        <v/>
      </c>
      <c r="AQ445">
        <f>IF($E445="","",IF($AD445="Yes",1,0))</f>
        <v/>
      </c>
      <c r="AR445">
        <f>IF($AN445=1,IFERROR(VALUE(MID($E445,2,20)),1000000000)+ROW()/100000,"")</f>
        <v/>
      </c>
    </row>
    <row r="446">
      <c r="G446" s="11" t="n"/>
      <c r="Q446" s="7">
        <f>IF($E446="","",P446*AB446/100)</f>
        <v/>
      </c>
      <c r="R446" s="7" t="n"/>
      <c r="X446" s="7" t="n"/>
      <c r="Y446" s="7">
        <f>IF($E446="","",AB446*AE446/100)</f>
        <v/>
      </c>
      <c r="Z446" s="7">
        <f>IF($E446="","",AB446-Y446)</f>
        <v/>
      </c>
      <c r="AA446" s="7">
        <f>IF($E446="","",Z446-Q446)</f>
        <v/>
      </c>
      <c r="AB446" s="7" t="n"/>
      <c r="AE446">
        <f>IF($E446="","",IF($AQ446=1,0,IF($AP446=1,Settings!$C$6,Settings!$C$7))*100)</f>
        <v/>
      </c>
      <c r="AI446" s="7" t="n"/>
      <c r="AL446" s="11" t="n"/>
      <c r="AN446">
        <f>IF($E446="","",IF(COUNTIF($E$2:$E446,$E446)=1,1,0))</f>
        <v/>
      </c>
      <c r="AO446">
        <f>IF($AN446=1,SUMPRODUCT(--($AR$2:$AR$3001&lt;$AR446))+1,"")</f>
        <v/>
      </c>
      <c r="AP446">
        <f>IF($E446="","",IF(OR($U446=TRUE(),$U446="TRUE"),1,0))</f>
        <v/>
      </c>
      <c r="AQ446">
        <f>IF($E446="","",IF($AD446="Yes",1,0))</f>
        <v/>
      </c>
      <c r="AR446">
        <f>IF($AN446=1,IFERROR(VALUE(MID($E446,2,20)),1000000000)+ROW()/100000,"")</f>
        <v/>
      </c>
    </row>
    <row r="447">
      <c r="G447" s="11" t="n"/>
      <c r="Q447" s="7">
        <f>IF($E447="","",P447*AB447/100)</f>
        <v/>
      </c>
      <c r="R447" s="7" t="n"/>
      <c r="X447" s="7" t="n"/>
      <c r="Y447" s="7">
        <f>IF($E447="","",AB447*AE447/100)</f>
        <v/>
      </c>
      <c r="Z447" s="7">
        <f>IF($E447="","",AB447-Y447)</f>
        <v/>
      </c>
      <c r="AA447" s="7">
        <f>IF($E447="","",Z447-Q447)</f>
        <v/>
      </c>
      <c r="AB447" s="7" t="n"/>
      <c r="AE447">
        <f>IF($E447="","",IF($AQ447=1,0,IF($AP447=1,Settings!$C$6,Settings!$C$7))*100)</f>
        <v/>
      </c>
      <c r="AI447" s="7" t="n"/>
      <c r="AL447" s="11" t="n"/>
      <c r="AN447">
        <f>IF($E447="","",IF(COUNTIF($E$2:$E447,$E447)=1,1,0))</f>
        <v/>
      </c>
      <c r="AO447">
        <f>IF($AN447=1,SUMPRODUCT(--($AR$2:$AR$3001&lt;$AR447))+1,"")</f>
        <v/>
      </c>
      <c r="AP447">
        <f>IF($E447="","",IF(OR($U447=TRUE(),$U447="TRUE"),1,0))</f>
        <v/>
      </c>
      <c r="AQ447">
        <f>IF($E447="","",IF($AD447="Yes",1,0))</f>
        <v/>
      </c>
      <c r="AR447">
        <f>IF($AN447=1,IFERROR(VALUE(MID($E447,2,20)),1000000000)+ROW()/100000,"")</f>
        <v/>
      </c>
    </row>
    <row r="448">
      <c r="G448" s="11" t="n"/>
      <c r="Q448" s="7">
        <f>IF($E448="","",P448*AB448/100)</f>
        <v/>
      </c>
      <c r="R448" s="7" t="n"/>
      <c r="X448" s="7" t="n"/>
      <c r="Y448" s="7">
        <f>IF($E448="","",AB448*AE448/100)</f>
        <v/>
      </c>
      <c r="Z448" s="7">
        <f>IF($E448="","",AB448-Y448)</f>
        <v/>
      </c>
      <c r="AA448" s="7">
        <f>IF($E448="","",Z448-Q448)</f>
        <v/>
      </c>
      <c r="AB448" s="7" t="n"/>
      <c r="AE448">
        <f>IF($E448="","",IF($AQ448=1,0,IF($AP448=1,Settings!$C$6,Settings!$C$7))*100)</f>
        <v/>
      </c>
      <c r="AI448" s="7" t="n"/>
      <c r="AL448" s="11" t="n"/>
      <c r="AN448">
        <f>IF($E448="","",IF(COUNTIF($E$2:$E448,$E448)=1,1,0))</f>
        <v/>
      </c>
      <c r="AO448">
        <f>IF($AN448=1,SUMPRODUCT(--($AR$2:$AR$3001&lt;$AR448))+1,"")</f>
        <v/>
      </c>
      <c r="AP448">
        <f>IF($E448="","",IF(OR($U448=TRUE(),$U448="TRUE"),1,0))</f>
        <v/>
      </c>
      <c r="AQ448">
        <f>IF($E448="","",IF($AD448="Yes",1,0))</f>
        <v/>
      </c>
      <c r="AR448">
        <f>IF($AN448=1,IFERROR(VALUE(MID($E448,2,20)),1000000000)+ROW()/100000,"")</f>
        <v/>
      </c>
    </row>
    <row r="449">
      <c r="G449" s="11" t="n"/>
      <c r="Q449" s="7">
        <f>IF($E449="","",P449*AB449/100)</f>
        <v/>
      </c>
      <c r="R449" s="7" t="n"/>
      <c r="X449" s="7" t="n"/>
      <c r="Y449" s="7">
        <f>IF($E449="","",AB449*AE449/100)</f>
        <v/>
      </c>
      <c r="Z449" s="7">
        <f>IF($E449="","",AB449-Y449)</f>
        <v/>
      </c>
      <c r="AA449" s="7">
        <f>IF($E449="","",Z449-Q449)</f>
        <v/>
      </c>
      <c r="AB449" s="7" t="n"/>
      <c r="AE449">
        <f>IF($E449="","",IF($AQ449=1,0,IF($AP449=1,Settings!$C$6,Settings!$C$7))*100)</f>
        <v/>
      </c>
      <c r="AI449" s="7" t="n"/>
      <c r="AL449" s="11" t="n"/>
      <c r="AN449">
        <f>IF($E449="","",IF(COUNTIF($E$2:$E449,$E449)=1,1,0))</f>
        <v/>
      </c>
      <c r="AO449">
        <f>IF($AN449=1,SUMPRODUCT(--($AR$2:$AR$3001&lt;$AR449))+1,"")</f>
        <v/>
      </c>
      <c r="AP449">
        <f>IF($E449="","",IF(OR($U449=TRUE(),$U449="TRUE"),1,0))</f>
        <v/>
      </c>
      <c r="AQ449">
        <f>IF($E449="","",IF($AD449="Yes",1,0))</f>
        <v/>
      </c>
      <c r="AR449">
        <f>IF($AN449=1,IFERROR(VALUE(MID($E449,2,20)),1000000000)+ROW()/100000,"")</f>
        <v/>
      </c>
    </row>
    <row r="450">
      <c r="G450" s="11" t="n"/>
      <c r="Q450" s="7">
        <f>IF($E450="","",P450*AB450/100)</f>
        <v/>
      </c>
      <c r="R450" s="7" t="n"/>
      <c r="X450" s="7" t="n"/>
      <c r="Y450" s="7">
        <f>IF($E450="","",AB450*AE450/100)</f>
        <v/>
      </c>
      <c r="Z450" s="7">
        <f>IF($E450="","",AB450-Y450)</f>
        <v/>
      </c>
      <c r="AA450" s="7">
        <f>IF($E450="","",Z450-Q450)</f>
        <v/>
      </c>
      <c r="AB450" s="7" t="n"/>
      <c r="AE450">
        <f>IF($E450="","",IF($AQ450=1,0,IF($AP450=1,Settings!$C$6,Settings!$C$7))*100)</f>
        <v/>
      </c>
      <c r="AI450" s="7" t="n"/>
      <c r="AL450" s="11" t="n"/>
      <c r="AN450">
        <f>IF($E450="","",IF(COUNTIF($E$2:$E450,$E450)=1,1,0))</f>
        <v/>
      </c>
      <c r="AO450">
        <f>IF($AN450=1,SUMPRODUCT(--($AR$2:$AR$3001&lt;$AR450))+1,"")</f>
        <v/>
      </c>
      <c r="AP450">
        <f>IF($E450="","",IF(OR($U450=TRUE(),$U450="TRUE"),1,0))</f>
        <v/>
      </c>
      <c r="AQ450">
        <f>IF($E450="","",IF($AD450="Yes",1,0))</f>
        <v/>
      </c>
      <c r="AR450">
        <f>IF($AN450=1,IFERROR(VALUE(MID($E450,2,20)),1000000000)+ROW()/100000,"")</f>
        <v/>
      </c>
    </row>
    <row r="451">
      <c r="G451" s="11" t="n"/>
      <c r="Q451" s="7">
        <f>IF($E451="","",P451*AB451/100)</f>
        <v/>
      </c>
      <c r="R451" s="7" t="n"/>
      <c r="X451" s="7" t="n"/>
      <c r="Y451" s="7">
        <f>IF($E451="","",AB451*AE451/100)</f>
        <v/>
      </c>
      <c r="Z451" s="7">
        <f>IF($E451="","",AB451-Y451)</f>
        <v/>
      </c>
      <c r="AA451" s="7">
        <f>IF($E451="","",Z451-Q451)</f>
        <v/>
      </c>
      <c r="AB451" s="7" t="n"/>
      <c r="AE451">
        <f>IF($E451="","",IF($AQ451=1,0,IF($AP451=1,Settings!$C$6,Settings!$C$7))*100)</f>
        <v/>
      </c>
      <c r="AI451" s="7" t="n"/>
      <c r="AL451" s="11" t="n"/>
      <c r="AN451">
        <f>IF($E451="","",IF(COUNTIF($E$2:$E451,$E451)=1,1,0))</f>
        <v/>
      </c>
      <c r="AO451">
        <f>IF($AN451=1,SUMPRODUCT(--($AR$2:$AR$3001&lt;$AR451))+1,"")</f>
        <v/>
      </c>
      <c r="AP451">
        <f>IF($E451="","",IF(OR($U451=TRUE(),$U451="TRUE"),1,0))</f>
        <v/>
      </c>
      <c r="AQ451">
        <f>IF($E451="","",IF($AD451="Yes",1,0))</f>
        <v/>
      </c>
      <c r="AR451">
        <f>IF($AN451=1,IFERROR(VALUE(MID($E451,2,20)),1000000000)+ROW()/100000,"")</f>
        <v/>
      </c>
    </row>
    <row r="452">
      <c r="G452" s="11" t="n"/>
      <c r="Q452" s="7">
        <f>IF($E452="","",P452*AB452/100)</f>
        <v/>
      </c>
      <c r="R452" s="7" t="n"/>
      <c r="X452" s="7" t="n"/>
      <c r="Y452" s="7">
        <f>IF($E452="","",AB452*AE452/100)</f>
        <v/>
      </c>
      <c r="Z452" s="7">
        <f>IF($E452="","",AB452-Y452)</f>
        <v/>
      </c>
      <c r="AA452" s="7">
        <f>IF($E452="","",Z452-Q452)</f>
        <v/>
      </c>
      <c r="AB452" s="7" t="n"/>
      <c r="AE452">
        <f>IF($E452="","",IF($AQ452=1,0,IF($AP452=1,Settings!$C$6,Settings!$C$7))*100)</f>
        <v/>
      </c>
      <c r="AI452" s="7" t="n"/>
      <c r="AL452" s="11" t="n"/>
      <c r="AN452">
        <f>IF($E452="","",IF(COUNTIF($E$2:$E452,$E452)=1,1,0))</f>
        <v/>
      </c>
      <c r="AO452">
        <f>IF($AN452=1,SUMPRODUCT(--($AR$2:$AR$3001&lt;$AR452))+1,"")</f>
        <v/>
      </c>
      <c r="AP452">
        <f>IF($E452="","",IF(OR($U452=TRUE(),$U452="TRUE"),1,0))</f>
        <v/>
      </c>
      <c r="AQ452">
        <f>IF($E452="","",IF($AD452="Yes",1,0))</f>
        <v/>
      </c>
      <c r="AR452">
        <f>IF($AN452=1,IFERROR(VALUE(MID($E452,2,20)),1000000000)+ROW()/100000,"")</f>
        <v/>
      </c>
    </row>
    <row r="453">
      <c r="G453" s="11" t="n"/>
      <c r="Q453" s="7">
        <f>IF($E453="","",P453*AB453/100)</f>
        <v/>
      </c>
      <c r="R453" s="7" t="n"/>
      <c r="X453" s="7" t="n"/>
      <c r="Y453" s="7">
        <f>IF($E453="","",AB453*AE453/100)</f>
        <v/>
      </c>
      <c r="Z453" s="7">
        <f>IF($E453="","",AB453-Y453)</f>
        <v/>
      </c>
      <c r="AA453" s="7">
        <f>IF($E453="","",Z453-Q453)</f>
        <v/>
      </c>
      <c r="AB453" s="7" t="n"/>
      <c r="AE453">
        <f>IF($E453="","",IF($AQ453=1,0,IF($AP453=1,Settings!$C$6,Settings!$C$7))*100)</f>
        <v/>
      </c>
      <c r="AI453" s="7" t="n"/>
      <c r="AL453" s="11" t="n"/>
      <c r="AN453">
        <f>IF($E453="","",IF(COUNTIF($E$2:$E453,$E453)=1,1,0))</f>
        <v/>
      </c>
      <c r="AO453">
        <f>IF($AN453=1,SUMPRODUCT(--($AR$2:$AR$3001&lt;$AR453))+1,"")</f>
        <v/>
      </c>
      <c r="AP453">
        <f>IF($E453="","",IF(OR($U453=TRUE(),$U453="TRUE"),1,0))</f>
        <v/>
      </c>
      <c r="AQ453">
        <f>IF($E453="","",IF($AD453="Yes",1,0))</f>
        <v/>
      </c>
      <c r="AR453">
        <f>IF($AN453=1,IFERROR(VALUE(MID($E453,2,20)),1000000000)+ROW()/100000,"")</f>
        <v/>
      </c>
    </row>
    <row r="454">
      <c r="G454" s="11" t="n"/>
      <c r="Q454" s="7">
        <f>IF($E454="","",P454*AB454/100)</f>
        <v/>
      </c>
      <c r="R454" s="7" t="n"/>
      <c r="X454" s="7" t="n"/>
      <c r="Y454" s="7">
        <f>IF($E454="","",AB454*AE454/100)</f>
        <v/>
      </c>
      <c r="Z454" s="7">
        <f>IF($E454="","",AB454-Y454)</f>
        <v/>
      </c>
      <c r="AA454" s="7">
        <f>IF($E454="","",Z454-Q454)</f>
        <v/>
      </c>
      <c r="AB454" s="7" t="n"/>
      <c r="AE454">
        <f>IF($E454="","",IF($AQ454=1,0,IF($AP454=1,Settings!$C$6,Settings!$C$7))*100)</f>
        <v/>
      </c>
      <c r="AI454" s="7" t="n"/>
      <c r="AL454" s="11" t="n"/>
      <c r="AN454">
        <f>IF($E454="","",IF(COUNTIF($E$2:$E454,$E454)=1,1,0))</f>
        <v/>
      </c>
      <c r="AO454">
        <f>IF($AN454=1,SUMPRODUCT(--($AR$2:$AR$3001&lt;$AR454))+1,"")</f>
        <v/>
      </c>
      <c r="AP454">
        <f>IF($E454="","",IF(OR($U454=TRUE(),$U454="TRUE"),1,0))</f>
        <v/>
      </c>
      <c r="AQ454">
        <f>IF($E454="","",IF($AD454="Yes",1,0))</f>
        <v/>
      </c>
      <c r="AR454">
        <f>IF($AN454=1,IFERROR(VALUE(MID($E454,2,20)),1000000000)+ROW()/100000,"")</f>
        <v/>
      </c>
    </row>
    <row r="455">
      <c r="G455" s="11" t="n"/>
      <c r="Q455" s="7">
        <f>IF($E455="","",P455*AB455/100)</f>
        <v/>
      </c>
      <c r="R455" s="7" t="n"/>
      <c r="X455" s="7" t="n"/>
      <c r="Y455" s="7">
        <f>IF($E455="","",AB455*AE455/100)</f>
        <v/>
      </c>
      <c r="Z455" s="7">
        <f>IF($E455="","",AB455-Y455)</f>
        <v/>
      </c>
      <c r="AA455" s="7">
        <f>IF($E455="","",Z455-Q455)</f>
        <v/>
      </c>
      <c r="AB455" s="7" t="n"/>
      <c r="AE455">
        <f>IF($E455="","",IF($AQ455=1,0,IF($AP455=1,Settings!$C$6,Settings!$C$7))*100)</f>
        <v/>
      </c>
      <c r="AI455" s="7" t="n"/>
      <c r="AL455" s="11" t="n"/>
      <c r="AN455">
        <f>IF($E455="","",IF(COUNTIF($E$2:$E455,$E455)=1,1,0))</f>
        <v/>
      </c>
      <c r="AO455">
        <f>IF($AN455=1,SUMPRODUCT(--($AR$2:$AR$3001&lt;$AR455))+1,"")</f>
        <v/>
      </c>
      <c r="AP455">
        <f>IF($E455="","",IF(OR($U455=TRUE(),$U455="TRUE"),1,0))</f>
        <v/>
      </c>
      <c r="AQ455">
        <f>IF($E455="","",IF($AD455="Yes",1,0))</f>
        <v/>
      </c>
      <c r="AR455">
        <f>IF($AN455=1,IFERROR(VALUE(MID($E455,2,20)),1000000000)+ROW()/100000,"")</f>
        <v/>
      </c>
    </row>
    <row r="456">
      <c r="G456" s="11" t="n"/>
      <c r="Q456" s="7">
        <f>IF($E456="","",P456*AB456/100)</f>
        <v/>
      </c>
      <c r="R456" s="7" t="n"/>
      <c r="X456" s="7" t="n"/>
      <c r="Y456" s="7">
        <f>IF($E456="","",AB456*AE456/100)</f>
        <v/>
      </c>
      <c r="Z456" s="7">
        <f>IF($E456="","",AB456-Y456)</f>
        <v/>
      </c>
      <c r="AA456" s="7">
        <f>IF($E456="","",Z456-Q456)</f>
        <v/>
      </c>
      <c r="AB456" s="7" t="n"/>
      <c r="AE456">
        <f>IF($E456="","",IF($AQ456=1,0,IF($AP456=1,Settings!$C$6,Settings!$C$7))*100)</f>
        <v/>
      </c>
      <c r="AI456" s="7" t="n"/>
      <c r="AL456" s="11" t="n"/>
      <c r="AN456">
        <f>IF($E456="","",IF(COUNTIF($E$2:$E456,$E456)=1,1,0))</f>
        <v/>
      </c>
      <c r="AO456">
        <f>IF($AN456=1,SUMPRODUCT(--($AR$2:$AR$3001&lt;$AR456))+1,"")</f>
        <v/>
      </c>
      <c r="AP456">
        <f>IF($E456="","",IF(OR($U456=TRUE(),$U456="TRUE"),1,0))</f>
        <v/>
      </c>
      <c r="AQ456">
        <f>IF($E456="","",IF($AD456="Yes",1,0))</f>
        <v/>
      </c>
      <c r="AR456">
        <f>IF($AN456=1,IFERROR(VALUE(MID($E456,2,20)),1000000000)+ROW()/100000,"")</f>
        <v/>
      </c>
    </row>
    <row r="457">
      <c r="G457" s="11" t="n"/>
      <c r="Q457" s="7">
        <f>IF($E457="","",P457*AB457/100)</f>
        <v/>
      </c>
      <c r="R457" s="7" t="n"/>
      <c r="X457" s="7" t="n"/>
      <c r="Y457" s="7">
        <f>IF($E457="","",AB457*AE457/100)</f>
        <v/>
      </c>
      <c r="Z457" s="7">
        <f>IF($E457="","",AB457-Y457)</f>
        <v/>
      </c>
      <c r="AA457" s="7">
        <f>IF($E457="","",Z457-Q457)</f>
        <v/>
      </c>
      <c r="AB457" s="7" t="n"/>
      <c r="AE457">
        <f>IF($E457="","",IF($AQ457=1,0,IF($AP457=1,Settings!$C$6,Settings!$C$7))*100)</f>
        <v/>
      </c>
      <c r="AI457" s="7" t="n"/>
      <c r="AL457" s="11" t="n"/>
      <c r="AN457">
        <f>IF($E457="","",IF(COUNTIF($E$2:$E457,$E457)=1,1,0))</f>
        <v/>
      </c>
      <c r="AO457">
        <f>IF($AN457=1,SUMPRODUCT(--($AR$2:$AR$3001&lt;$AR457))+1,"")</f>
        <v/>
      </c>
      <c r="AP457">
        <f>IF($E457="","",IF(OR($U457=TRUE(),$U457="TRUE"),1,0))</f>
        <v/>
      </c>
      <c r="AQ457">
        <f>IF($E457="","",IF($AD457="Yes",1,0))</f>
        <v/>
      </c>
      <c r="AR457">
        <f>IF($AN457=1,IFERROR(VALUE(MID($E457,2,20)),1000000000)+ROW()/100000,"")</f>
        <v/>
      </c>
    </row>
    <row r="458">
      <c r="G458" s="11" t="n"/>
      <c r="Q458" s="7">
        <f>IF($E458="","",P458*AB458/100)</f>
        <v/>
      </c>
      <c r="R458" s="7" t="n"/>
      <c r="X458" s="7" t="n"/>
      <c r="Y458" s="7">
        <f>IF($E458="","",AB458*AE458/100)</f>
        <v/>
      </c>
      <c r="Z458" s="7">
        <f>IF($E458="","",AB458-Y458)</f>
        <v/>
      </c>
      <c r="AA458" s="7">
        <f>IF($E458="","",Z458-Q458)</f>
        <v/>
      </c>
      <c r="AB458" s="7" t="n"/>
      <c r="AE458">
        <f>IF($E458="","",IF($AQ458=1,0,IF($AP458=1,Settings!$C$6,Settings!$C$7))*100)</f>
        <v/>
      </c>
      <c r="AI458" s="7" t="n"/>
      <c r="AL458" s="11" t="n"/>
      <c r="AN458">
        <f>IF($E458="","",IF(COUNTIF($E$2:$E458,$E458)=1,1,0))</f>
        <v/>
      </c>
      <c r="AO458">
        <f>IF($AN458=1,SUMPRODUCT(--($AR$2:$AR$3001&lt;$AR458))+1,"")</f>
        <v/>
      </c>
      <c r="AP458">
        <f>IF($E458="","",IF(OR($U458=TRUE(),$U458="TRUE"),1,0))</f>
        <v/>
      </c>
      <c r="AQ458">
        <f>IF($E458="","",IF($AD458="Yes",1,0))</f>
        <v/>
      </c>
      <c r="AR458">
        <f>IF($AN458=1,IFERROR(VALUE(MID($E458,2,20)),1000000000)+ROW()/100000,"")</f>
        <v/>
      </c>
    </row>
    <row r="459">
      <c r="G459" s="11" t="n"/>
      <c r="Q459" s="7">
        <f>IF($E459="","",P459*AB459/100)</f>
        <v/>
      </c>
      <c r="R459" s="7" t="n"/>
      <c r="X459" s="7" t="n"/>
      <c r="Y459" s="7">
        <f>IF($E459="","",AB459*AE459/100)</f>
        <v/>
      </c>
      <c r="Z459" s="7">
        <f>IF($E459="","",AB459-Y459)</f>
        <v/>
      </c>
      <c r="AA459" s="7">
        <f>IF($E459="","",Z459-Q459)</f>
        <v/>
      </c>
      <c r="AB459" s="7" t="n"/>
      <c r="AE459">
        <f>IF($E459="","",IF($AQ459=1,0,IF($AP459=1,Settings!$C$6,Settings!$C$7))*100)</f>
        <v/>
      </c>
      <c r="AI459" s="7" t="n"/>
      <c r="AL459" s="11" t="n"/>
      <c r="AN459">
        <f>IF($E459="","",IF(COUNTIF($E$2:$E459,$E459)=1,1,0))</f>
        <v/>
      </c>
      <c r="AO459">
        <f>IF($AN459=1,SUMPRODUCT(--($AR$2:$AR$3001&lt;$AR459))+1,"")</f>
        <v/>
      </c>
      <c r="AP459">
        <f>IF($E459="","",IF(OR($U459=TRUE(),$U459="TRUE"),1,0))</f>
        <v/>
      </c>
      <c r="AQ459">
        <f>IF($E459="","",IF($AD459="Yes",1,0))</f>
        <v/>
      </c>
      <c r="AR459">
        <f>IF($AN459=1,IFERROR(VALUE(MID($E459,2,20)),1000000000)+ROW()/100000,"")</f>
        <v/>
      </c>
    </row>
    <row r="460">
      <c r="G460" s="11" t="n"/>
      <c r="Q460" s="7">
        <f>IF($E460="","",P460*AB460/100)</f>
        <v/>
      </c>
      <c r="R460" s="7" t="n"/>
      <c r="X460" s="7" t="n"/>
      <c r="Y460" s="7">
        <f>IF($E460="","",AB460*AE460/100)</f>
        <v/>
      </c>
      <c r="Z460" s="7">
        <f>IF($E460="","",AB460-Y460)</f>
        <v/>
      </c>
      <c r="AA460" s="7">
        <f>IF($E460="","",Z460-Q460)</f>
        <v/>
      </c>
      <c r="AB460" s="7" t="n"/>
      <c r="AE460">
        <f>IF($E460="","",IF($AQ460=1,0,IF($AP460=1,Settings!$C$6,Settings!$C$7))*100)</f>
        <v/>
      </c>
      <c r="AI460" s="7" t="n"/>
      <c r="AL460" s="11" t="n"/>
      <c r="AN460">
        <f>IF($E460="","",IF(COUNTIF($E$2:$E460,$E460)=1,1,0))</f>
        <v/>
      </c>
      <c r="AO460">
        <f>IF($AN460=1,SUMPRODUCT(--($AR$2:$AR$3001&lt;$AR460))+1,"")</f>
        <v/>
      </c>
      <c r="AP460">
        <f>IF($E460="","",IF(OR($U460=TRUE(),$U460="TRUE"),1,0))</f>
        <v/>
      </c>
      <c r="AQ460">
        <f>IF($E460="","",IF($AD460="Yes",1,0))</f>
        <v/>
      </c>
      <c r="AR460">
        <f>IF($AN460=1,IFERROR(VALUE(MID($E460,2,20)),1000000000)+ROW()/100000,"")</f>
        <v/>
      </c>
    </row>
    <row r="461">
      <c r="G461" s="11" t="n"/>
      <c r="Q461" s="7">
        <f>IF($E461="","",P461*AB461/100)</f>
        <v/>
      </c>
      <c r="R461" s="7" t="n"/>
      <c r="X461" s="7" t="n"/>
      <c r="Y461" s="7">
        <f>IF($E461="","",AB461*AE461/100)</f>
        <v/>
      </c>
      <c r="Z461" s="7">
        <f>IF($E461="","",AB461-Y461)</f>
        <v/>
      </c>
      <c r="AA461" s="7">
        <f>IF($E461="","",Z461-Q461)</f>
        <v/>
      </c>
      <c r="AB461" s="7" t="n"/>
      <c r="AE461">
        <f>IF($E461="","",IF($AQ461=1,0,IF($AP461=1,Settings!$C$6,Settings!$C$7))*100)</f>
        <v/>
      </c>
      <c r="AI461" s="7" t="n"/>
      <c r="AL461" s="11" t="n"/>
      <c r="AN461">
        <f>IF($E461="","",IF(COUNTIF($E$2:$E461,$E461)=1,1,0))</f>
        <v/>
      </c>
      <c r="AO461">
        <f>IF($AN461=1,SUMPRODUCT(--($AR$2:$AR$3001&lt;$AR461))+1,"")</f>
        <v/>
      </c>
      <c r="AP461">
        <f>IF($E461="","",IF(OR($U461=TRUE(),$U461="TRUE"),1,0))</f>
        <v/>
      </c>
      <c r="AQ461">
        <f>IF($E461="","",IF($AD461="Yes",1,0))</f>
        <v/>
      </c>
      <c r="AR461">
        <f>IF($AN461=1,IFERROR(VALUE(MID($E461,2,20)),1000000000)+ROW()/100000,"")</f>
        <v/>
      </c>
    </row>
    <row r="462">
      <c r="G462" s="11" t="n"/>
      <c r="Q462" s="7">
        <f>IF($E462="","",P462*AB462/100)</f>
        <v/>
      </c>
      <c r="R462" s="7" t="n"/>
      <c r="X462" s="7" t="n"/>
      <c r="Y462" s="7">
        <f>IF($E462="","",AB462*AE462/100)</f>
        <v/>
      </c>
      <c r="Z462" s="7">
        <f>IF($E462="","",AB462-Y462)</f>
        <v/>
      </c>
      <c r="AA462" s="7">
        <f>IF($E462="","",Z462-Q462)</f>
        <v/>
      </c>
      <c r="AB462" s="7" t="n"/>
      <c r="AE462">
        <f>IF($E462="","",IF($AQ462=1,0,IF($AP462=1,Settings!$C$6,Settings!$C$7))*100)</f>
        <v/>
      </c>
      <c r="AI462" s="7" t="n"/>
      <c r="AL462" s="11" t="n"/>
      <c r="AN462">
        <f>IF($E462="","",IF(COUNTIF($E$2:$E462,$E462)=1,1,0))</f>
        <v/>
      </c>
      <c r="AO462">
        <f>IF($AN462=1,SUMPRODUCT(--($AR$2:$AR$3001&lt;$AR462))+1,"")</f>
        <v/>
      </c>
      <c r="AP462">
        <f>IF($E462="","",IF(OR($U462=TRUE(),$U462="TRUE"),1,0))</f>
        <v/>
      </c>
      <c r="AQ462">
        <f>IF($E462="","",IF($AD462="Yes",1,0))</f>
        <v/>
      </c>
      <c r="AR462">
        <f>IF($AN462=1,IFERROR(VALUE(MID($E462,2,20)),1000000000)+ROW()/100000,"")</f>
        <v/>
      </c>
    </row>
    <row r="463">
      <c r="G463" s="11" t="n"/>
      <c r="Q463" s="7">
        <f>IF($E463="","",P463*AB463/100)</f>
        <v/>
      </c>
      <c r="R463" s="7" t="n"/>
      <c r="X463" s="7" t="n"/>
      <c r="Y463" s="7">
        <f>IF($E463="","",AB463*AE463/100)</f>
        <v/>
      </c>
      <c r="Z463" s="7">
        <f>IF($E463="","",AB463-Y463)</f>
        <v/>
      </c>
      <c r="AA463" s="7">
        <f>IF($E463="","",Z463-Q463)</f>
        <v/>
      </c>
      <c r="AB463" s="7" t="n"/>
      <c r="AE463">
        <f>IF($E463="","",IF($AQ463=1,0,IF($AP463=1,Settings!$C$6,Settings!$C$7))*100)</f>
        <v/>
      </c>
      <c r="AI463" s="7" t="n"/>
      <c r="AL463" s="11" t="n"/>
      <c r="AN463">
        <f>IF($E463="","",IF(COUNTIF($E$2:$E463,$E463)=1,1,0))</f>
        <v/>
      </c>
      <c r="AO463">
        <f>IF($AN463=1,SUMPRODUCT(--($AR$2:$AR$3001&lt;$AR463))+1,"")</f>
        <v/>
      </c>
      <c r="AP463">
        <f>IF($E463="","",IF(OR($U463=TRUE(),$U463="TRUE"),1,0))</f>
        <v/>
      </c>
      <c r="AQ463">
        <f>IF($E463="","",IF($AD463="Yes",1,0))</f>
        <v/>
      </c>
      <c r="AR463">
        <f>IF($AN463=1,IFERROR(VALUE(MID($E463,2,20)),1000000000)+ROW()/100000,"")</f>
        <v/>
      </c>
    </row>
    <row r="464">
      <c r="G464" s="11" t="n"/>
      <c r="Q464" s="7">
        <f>IF($E464="","",P464*AB464/100)</f>
        <v/>
      </c>
      <c r="R464" s="7" t="n"/>
      <c r="X464" s="7" t="n"/>
      <c r="Y464" s="7">
        <f>IF($E464="","",AB464*AE464/100)</f>
        <v/>
      </c>
      <c r="Z464" s="7">
        <f>IF($E464="","",AB464-Y464)</f>
        <v/>
      </c>
      <c r="AA464" s="7">
        <f>IF($E464="","",Z464-Q464)</f>
        <v/>
      </c>
      <c r="AB464" s="7" t="n"/>
      <c r="AE464">
        <f>IF($E464="","",IF($AQ464=1,0,IF($AP464=1,Settings!$C$6,Settings!$C$7))*100)</f>
        <v/>
      </c>
      <c r="AI464" s="7" t="n"/>
      <c r="AL464" s="11" t="n"/>
      <c r="AN464">
        <f>IF($E464="","",IF(COUNTIF($E$2:$E464,$E464)=1,1,0))</f>
        <v/>
      </c>
      <c r="AO464">
        <f>IF($AN464=1,SUMPRODUCT(--($AR$2:$AR$3001&lt;$AR464))+1,"")</f>
        <v/>
      </c>
      <c r="AP464">
        <f>IF($E464="","",IF(OR($U464=TRUE(),$U464="TRUE"),1,0))</f>
        <v/>
      </c>
      <c r="AQ464">
        <f>IF($E464="","",IF($AD464="Yes",1,0))</f>
        <v/>
      </c>
      <c r="AR464">
        <f>IF($AN464=1,IFERROR(VALUE(MID($E464,2,20)),1000000000)+ROW()/100000,"")</f>
        <v/>
      </c>
    </row>
    <row r="465">
      <c r="G465" s="11" t="n"/>
      <c r="Q465" s="7">
        <f>IF($E465="","",P465*AB465/100)</f>
        <v/>
      </c>
      <c r="R465" s="7" t="n"/>
      <c r="X465" s="7" t="n"/>
      <c r="Y465" s="7">
        <f>IF($E465="","",AB465*AE465/100)</f>
        <v/>
      </c>
      <c r="Z465" s="7">
        <f>IF($E465="","",AB465-Y465)</f>
        <v/>
      </c>
      <c r="AA465" s="7">
        <f>IF($E465="","",Z465-Q465)</f>
        <v/>
      </c>
      <c r="AB465" s="7" t="n"/>
      <c r="AE465">
        <f>IF($E465="","",IF($AQ465=1,0,IF($AP465=1,Settings!$C$6,Settings!$C$7))*100)</f>
        <v/>
      </c>
      <c r="AI465" s="7" t="n"/>
      <c r="AL465" s="11" t="n"/>
      <c r="AN465">
        <f>IF($E465="","",IF(COUNTIF($E$2:$E465,$E465)=1,1,0))</f>
        <v/>
      </c>
      <c r="AO465">
        <f>IF($AN465=1,SUMPRODUCT(--($AR$2:$AR$3001&lt;$AR465))+1,"")</f>
        <v/>
      </c>
      <c r="AP465">
        <f>IF($E465="","",IF(OR($U465=TRUE(),$U465="TRUE"),1,0))</f>
        <v/>
      </c>
      <c r="AQ465">
        <f>IF($E465="","",IF($AD465="Yes",1,0))</f>
        <v/>
      </c>
      <c r="AR465">
        <f>IF($AN465=1,IFERROR(VALUE(MID($E465,2,20)),1000000000)+ROW()/100000,"")</f>
        <v/>
      </c>
    </row>
    <row r="466">
      <c r="G466" s="11" t="n"/>
      <c r="Q466" s="7">
        <f>IF($E466="","",P466*AB466/100)</f>
        <v/>
      </c>
      <c r="R466" s="7" t="n"/>
      <c r="X466" s="7" t="n"/>
      <c r="Y466" s="7">
        <f>IF($E466="","",AB466*AE466/100)</f>
        <v/>
      </c>
      <c r="Z466" s="7">
        <f>IF($E466="","",AB466-Y466)</f>
        <v/>
      </c>
      <c r="AA466" s="7">
        <f>IF($E466="","",Z466-Q466)</f>
        <v/>
      </c>
      <c r="AB466" s="7" t="n"/>
      <c r="AE466">
        <f>IF($E466="","",IF($AQ466=1,0,IF($AP466=1,Settings!$C$6,Settings!$C$7))*100)</f>
        <v/>
      </c>
      <c r="AI466" s="7" t="n"/>
      <c r="AL466" s="11" t="n"/>
      <c r="AN466">
        <f>IF($E466="","",IF(COUNTIF($E$2:$E466,$E466)=1,1,0))</f>
        <v/>
      </c>
      <c r="AO466">
        <f>IF($AN466=1,SUMPRODUCT(--($AR$2:$AR$3001&lt;$AR466))+1,"")</f>
        <v/>
      </c>
      <c r="AP466">
        <f>IF($E466="","",IF(OR($U466=TRUE(),$U466="TRUE"),1,0))</f>
        <v/>
      </c>
      <c r="AQ466">
        <f>IF($E466="","",IF($AD466="Yes",1,0))</f>
        <v/>
      </c>
      <c r="AR466">
        <f>IF($AN466=1,IFERROR(VALUE(MID($E466,2,20)),1000000000)+ROW()/100000,"")</f>
        <v/>
      </c>
    </row>
    <row r="467">
      <c r="G467" s="11" t="n"/>
      <c r="Q467" s="7">
        <f>IF($E467="","",P467*AB467/100)</f>
        <v/>
      </c>
      <c r="R467" s="7" t="n"/>
      <c r="X467" s="7" t="n"/>
      <c r="Y467" s="7">
        <f>IF($E467="","",AB467*AE467/100)</f>
        <v/>
      </c>
      <c r="Z467" s="7">
        <f>IF($E467="","",AB467-Y467)</f>
        <v/>
      </c>
      <c r="AA467" s="7">
        <f>IF($E467="","",Z467-Q467)</f>
        <v/>
      </c>
      <c r="AB467" s="7" t="n"/>
      <c r="AE467">
        <f>IF($E467="","",IF($AQ467=1,0,IF($AP467=1,Settings!$C$6,Settings!$C$7))*100)</f>
        <v/>
      </c>
      <c r="AI467" s="7" t="n"/>
      <c r="AL467" s="11" t="n"/>
      <c r="AN467">
        <f>IF($E467="","",IF(COUNTIF($E$2:$E467,$E467)=1,1,0))</f>
        <v/>
      </c>
      <c r="AO467">
        <f>IF($AN467=1,SUMPRODUCT(--($AR$2:$AR$3001&lt;$AR467))+1,"")</f>
        <v/>
      </c>
      <c r="AP467">
        <f>IF($E467="","",IF(OR($U467=TRUE(),$U467="TRUE"),1,0))</f>
        <v/>
      </c>
      <c r="AQ467">
        <f>IF($E467="","",IF($AD467="Yes",1,0))</f>
        <v/>
      </c>
      <c r="AR467">
        <f>IF($AN467=1,IFERROR(VALUE(MID($E467,2,20)),1000000000)+ROW()/100000,"")</f>
        <v/>
      </c>
    </row>
    <row r="468">
      <c r="G468" s="11" t="n"/>
      <c r="Q468" s="7">
        <f>IF($E468="","",P468*AB468/100)</f>
        <v/>
      </c>
      <c r="R468" s="7" t="n"/>
      <c r="X468" s="7" t="n"/>
      <c r="Y468" s="7">
        <f>IF($E468="","",AB468*AE468/100)</f>
        <v/>
      </c>
      <c r="Z468" s="7">
        <f>IF($E468="","",AB468-Y468)</f>
        <v/>
      </c>
      <c r="AA468" s="7">
        <f>IF($E468="","",Z468-Q468)</f>
        <v/>
      </c>
      <c r="AB468" s="7" t="n"/>
      <c r="AE468">
        <f>IF($E468="","",IF($AQ468=1,0,IF($AP468=1,Settings!$C$6,Settings!$C$7))*100)</f>
        <v/>
      </c>
      <c r="AI468" s="7" t="n"/>
      <c r="AL468" s="11" t="n"/>
      <c r="AN468">
        <f>IF($E468="","",IF(COUNTIF($E$2:$E468,$E468)=1,1,0))</f>
        <v/>
      </c>
      <c r="AO468">
        <f>IF($AN468=1,SUMPRODUCT(--($AR$2:$AR$3001&lt;$AR468))+1,"")</f>
        <v/>
      </c>
      <c r="AP468">
        <f>IF($E468="","",IF(OR($U468=TRUE(),$U468="TRUE"),1,0))</f>
        <v/>
      </c>
      <c r="AQ468">
        <f>IF($E468="","",IF($AD468="Yes",1,0))</f>
        <v/>
      </c>
      <c r="AR468">
        <f>IF($AN468=1,IFERROR(VALUE(MID($E468,2,20)),1000000000)+ROW()/100000,"")</f>
        <v/>
      </c>
    </row>
    <row r="469">
      <c r="G469" s="11" t="n"/>
      <c r="Q469" s="7">
        <f>IF($E469="","",P469*AB469/100)</f>
        <v/>
      </c>
      <c r="R469" s="7" t="n"/>
      <c r="X469" s="7" t="n"/>
      <c r="Y469" s="7">
        <f>IF($E469="","",AB469*AE469/100)</f>
        <v/>
      </c>
      <c r="Z469" s="7">
        <f>IF($E469="","",AB469-Y469)</f>
        <v/>
      </c>
      <c r="AA469" s="7">
        <f>IF($E469="","",Z469-Q469)</f>
        <v/>
      </c>
      <c r="AB469" s="7" t="n"/>
      <c r="AE469">
        <f>IF($E469="","",IF($AQ469=1,0,IF($AP469=1,Settings!$C$6,Settings!$C$7))*100)</f>
        <v/>
      </c>
      <c r="AI469" s="7" t="n"/>
      <c r="AL469" s="11" t="n"/>
      <c r="AN469">
        <f>IF($E469="","",IF(COUNTIF($E$2:$E469,$E469)=1,1,0))</f>
        <v/>
      </c>
      <c r="AO469">
        <f>IF($AN469=1,SUMPRODUCT(--($AR$2:$AR$3001&lt;$AR469))+1,"")</f>
        <v/>
      </c>
      <c r="AP469">
        <f>IF($E469="","",IF(OR($U469=TRUE(),$U469="TRUE"),1,0))</f>
        <v/>
      </c>
      <c r="AQ469">
        <f>IF($E469="","",IF($AD469="Yes",1,0))</f>
        <v/>
      </c>
      <c r="AR469">
        <f>IF($AN469=1,IFERROR(VALUE(MID($E469,2,20)),1000000000)+ROW()/100000,"")</f>
        <v/>
      </c>
    </row>
    <row r="470">
      <c r="G470" s="11" t="n"/>
      <c r="Q470" s="7">
        <f>IF($E470="","",P470*AB470/100)</f>
        <v/>
      </c>
      <c r="R470" s="7" t="n"/>
      <c r="X470" s="7" t="n"/>
      <c r="Y470" s="7">
        <f>IF($E470="","",AB470*AE470/100)</f>
        <v/>
      </c>
      <c r="Z470" s="7">
        <f>IF($E470="","",AB470-Y470)</f>
        <v/>
      </c>
      <c r="AA470" s="7">
        <f>IF($E470="","",Z470-Q470)</f>
        <v/>
      </c>
      <c r="AB470" s="7" t="n"/>
      <c r="AE470">
        <f>IF($E470="","",IF($AQ470=1,0,IF($AP470=1,Settings!$C$6,Settings!$C$7))*100)</f>
        <v/>
      </c>
      <c r="AI470" s="7" t="n"/>
      <c r="AL470" s="11" t="n"/>
      <c r="AN470">
        <f>IF($E470="","",IF(COUNTIF($E$2:$E470,$E470)=1,1,0))</f>
        <v/>
      </c>
      <c r="AO470">
        <f>IF($AN470=1,SUMPRODUCT(--($AR$2:$AR$3001&lt;$AR470))+1,"")</f>
        <v/>
      </c>
      <c r="AP470">
        <f>IF($E470="","",IF(OR($U470=TRUE(),$U470="TRUE"),1,0))</f>
        <v/>
      </c>
      <c r="AQ470">
        <f>IF($E470="","",IF($AD470="Yes",1,0))</f>
        <v/>
      </c>
      <c r="AR470">
        <f>IF($AN470=1,IFERROR(VALUE(MID($E470,2,20)),1000000000)+ROW()/100000,"")</f>
        <v/>
      </c>
    </row>
    <row r="471">
      <c r="G471" s="11" t="n"/>
      <c r="Q471" s="7">
        <f>IF($E471="","",P471*AB471/100)</f>
        <v/>
      </c>
      <c r="R471" s="7" t="n"/>
      <c r="X471" s="7" t="n"/>
      <c r="Y471" s="7">
        <f>IF($E471="","",AB471*AE471/100)</f>
        <v/>
      </c>
      <c r="Z471" s="7">
        <f>IF($E471="","",AB471-Y471)</f>
        <v/>
      </c>
      <c r="AA471" s="7">
        <f>IF($E471="","",Z471-Q471)</f>
        <v/>
      </c>
      <c r="AB471" s="7" t="n"/>
      <c r="AE471">
        <f>IF($E471="","",IF($AQ471=1,0,IF($AP471=1,Settings!$C$6,Settings!$C$7))*100)</f>
        <v/>
      </c>
      <c r="AI471" s="7" t="n"/>
      <c r="AL471" s="11" t="n"/>
      <c r="AN471">
        <f>IF($E471="","",IF(COUNTIF($E$2:$E471,$E471)=1,1,0))</f>
        <v/>
      </c>
      <c r="AO471">
        <f>IF($AN471=1,SUMPRODUCT(--($AR$2:$AR$3001&lt;$AR471))+1,"")</f>
        <v/>
      </c>
      <c r="AP471">
        <f>IF($E471="","",IF(OR($U471=TRUE(),$U471="TRUE"),1,0))</f>
        <v/>
      </c>
      <c r="AQ471">
        <f>IF($E471="","",IF($AD471="Yes",1,0))</f>
        <v/>
      </c>
      <c r="AR471">
        <f>IF($AN471=1,IFERROR(VALUE(MID($E471,2,20)),1000000000)+ROW()/100000,"")</f>
        <v/>
      </c>
    </row>
    <row r="472">
      <c r="G472" s="11" t="n"/>
      <c r="Q472" s="7">
        <f>IF($E472="","",P472*AB472/100)</f>
        <v/>
      </c>
      <c r="R472" s="7" t="n"/>
      <c r="X472" s="7" t="n"/>
      <c r="Y472" s="7">
        <f>IF($E472="","",AB472*AE472/100)</f>
        <v/>
      </c>
      <c r="Z472" s="7">
        <f>IF($E472="","",AB472-Y472)</f>
        <v/>
      </c>
      <c r="AA472" s="7">
        <f>IF($E472="","",Z472-Q472)</f>
        <v/>
      </c>
      <c r="AB472" s="7" t="n"/>
      <c r="AE472">
        <f>IF($E472="","",IF($AQ472=1,0,IF($AP472=1,Settings!$C$6,Settings!$C$7))*100)</f>
        <v/>
      </c>
      <c r="AI472" s="7" t="n"/>
      <c r="AL472" s="11" t="n"/>
      <c r="AN472">
        <f>IF($E472="","",IF(COUNTIF($E$2:$E472,$E472)=1,1,0))</f>
        <v/>
      </c>
      <c r="AO472">
        <f>IF($AN472=1,SUMPRODUCT(--($AR$2:$AR$3001&lt;$AR472))+1,"")</f>
        <v/>
      </c>
      <c r="AP472">
        <f>IF($E472="","",IF(OR($U472=TRUE(),$U472="TRUE"),1,0))</f>
        <v/>
      </c>
      <c r="AQ472">
        <f>IF($E472="","",IF($AD472="Yes",1,0))</f>
        <v/>
      </c>
      <c r="AR472">
        <f>IF($AN472=1,IFERROR(VALUE(MID($E472,2,20)),1000000000)+ROW()/100000,"")</f>
        <v/>
      </c>
    </row>
    <row r="473">
      <c r="G473" s="11" t="n"/>
      <c r="Q473" s="7">
        <f>IF($E473="","",P473*AB473/100)</f>
        <v/>
      </c>
      <c r="R473" s="7" t="n"/>
      <c r="X473" s="7" t="n"/>
      <c r="Y473" s="7">
        <f>IF($E473="","",AB473*AE473/100)</f>
        <v/>
      </c>
      <c r="Z473" s="7">
        <f>IF($E473="","",AB473-Y473)</f>
        <v/>
      </c>
      <c r="AA473" s="7">
        <f>IF($E473="","",Z473-Q473)</f>
        <v/>
      </c>
      <c r="AB473" s="7" t="n"/>
      <c r="AE473">
        <f>IF($E473="","",IF($AQ473=1,0,IF($AP473=1,Settings!$C$6,Settings!$C$7))*100)</f>
        <v/>
      </c>
      <c r="AI473" s="7" t="n"/>
      <c r="AL473" s="11" t="n"/>
      <c r="AN473">
        <f>IF($E473="","",IF(COUNTIF($E$2:$E473,$E473)=1,1,0))</f>
        <v/>
      </c>
      <c r="AO473">
        <f>IF($AN473=1,SUMPRODUCT(--($AR$2:$AR$3001&lt;$AR473))+1,"")</f>
        <v/>
      </c>
      <c r="AP473">
        <f>IF($E473="","",IF(OR($U473=TRUE(),$U473="TRUE"),1,0))</f>
        <v/>
      </c>
      <c r="AQ473">
        <f>IF($E473="","",IF($AD473="Yes",1,0))</f>
        <v/>
      </c>
      <c r="AR473">
        <f>IF($AN473=1,IFERROR(VALUE(MID($E473,2,20)),1000000000)+ROW()/100000,"")</f>
        <v/>
      </c>
    </row>
    <row r="474">
      <c r="G474" s="11" t="n"/>
      <c r="Q474" s="7">
        <f>IF($E474="","",P474*AB474/100)</f>
        <v/>
      </c>
      <c r="R474" s="7" t="n"/>
      <c r="X474" s="7" t="n"/>
      <c r="Y474" s="7">
        <f>IF($E474="","",AB474*AE474/100)</f>
        <v/>
      </c>
      <c r="Z474" s="7">
        <f>IF($E474="","",AB474-Y474)</f>
        <v/>
      </c>
      <c r="AA474" s="7">
        <f>IF($E474="","",Z474-Q474)</f>
        <v/>
      </c>
      <c r="AB474" s="7" t="n"/>
      <c r="AE474">
        <f>IF($E474="","",IF($AQ474=1,0,IF($AP474=1,Settings!$C$6,Settings!$C$7))*100)</f>
        <v/>
      </c>
      <c r="AI474" s="7" t="n"/>
      <c r="AL474" s="11" t="n"/>
      <c r="AN474">
        <f>IF($E474="","",IF(COUNTIF($E$2:$E474,$E474)=1,1,0))</f>
        <v/>
      </c>
      <c r="AO474">
        <f>IF($AN474=1,SUMPRODUCT(--($AR$2:$AR$3001&lt;$AR474))+1,"")</f>
        <v/>
      </c>
      <c r="AP474">
        <f>IF($E474="","",IF(OR($U474=TRUE(),$U474="TRUE"),1,0))</f>
        <v/>
      </c>
      <c r="AQ474">
        <f>IF($E474="","",IF($AD474="Yes",1,0))</f>
        <v/>
      </c>
      <c r="AR474">
        <f>IF($AN474=1,IFERROR(VALUE(MID($E474,2,20)),1000000000)+ROW()/100000,"")</f>
        <v/>
      </c>
    </row>
    <row r="475">
      <c r="G475" s="11" t="n"/>
      <c r="Q475" s="7">
        <f>IF($E475="","",P475*AB475/100)</f>
        <v/>
      </c>
      <c r="R475" s="7" t="n"/>
      <c r="X475" s="7" t="n"/>
      <c r="Y475" s="7">
        <f>IF($E475="","",AB475*AE475/100)</f>
        <v/>
      </c>
      <c r="Z475" s="7">
        <f>IF($E475="","",AB475-Y475)</f>
        <v/>
      </c>
      <c r="AA475" s="7">
        <f>IF($E475="","",Z475-Q475)</f>
        <v/>
      </c>
      <c r="AB475" s="7" t="n"/>
      <c r="AE475">
        <f>IF($E475="","",IF($AQ475=1,0,IF($AP475=1,Settings!$C$6,Settings!$C$7))*100)</f>
        <v/>
      </c>
      <c r="AI475" s="7" t="n"/>
      <c r="AL475" s="11" t="n"/>
      <c r="AN475">
        <f>IF($E475="","",IF(COUNTIF($E$2:$E475,$E475)=1,1,0))</f>
        <v/>
      </c>
      <c r="AO475">
        <f>IF($AN475=1,SUMPRODUCT(--($AR$2:$AR$3001&lt;$AR475))+1,"")</f>
        <v/>
      </c>
      <c r="AP475">
        <f>IF($E475="","",IF(OR($U475=TRUE(),$U475="TRUE"),1,0))</f>
        <v/>
      </c>
      <c r="AQ475">
        <f>IF($E475="","",IF($AD475="Yes",1,0))</f>
        <v/>
      </c>
      <c r="AR475">
        <f>IF($AN475=1,IFERROR(VALUE(MID($E475,2,20)),1000000000)+ROW()/100000,"")</f>
        <v/>
      </c>
    </row>
    <row r="476">
      <c r="G476" s="11" t="n"/>
      <c r="Q476" s="7">
        <f>IF($E476="","",P476*AB476/100)</f>
        <v/>
      </c>
      <c r="R476" s="7" t="n"/>
      <c r="X476" s="7" t="n"/>
      <c r="Y476" s="7">
        <f>IF($E476="","",AB476*AE476/100)</f>
        <v/>
      </c>
      <c r="Z476" s="7">
        <f>IF($E476="","",AB476-Y476)</f>
        <v/>
      </c>
      <c r="AA476" s="7">
        <f>IF($E476="","",Z476-Q476)</f>
        <v/>
      </c>
      <c r="AB476" s="7" t="n"/>
      <c r="AE476">
        <f>IF($E476="","",IF($AQ476=1,0,IF($AP476=1,Settings!$C$6,Settings!$C$7))*100)</f>
        <v/>
      </c>
      <c r="AI476" s="7" t="n"/>
      <c r="AL476" s="11" t="n"/>
      <c r="AN476">
        <f>IF($E476="","",IF(COUNTIF($E$2:$E476,$E476)=1,1,0))</f>
        <v/>
      </c>
      <c r="AO476">
        <f>IF($AN476=1,SUMPRODUCT(--($AR$2:$AR$3001&lt;$AR476))+1,"")</f>
        <v/>
      </c>
      <c r="AP476">
        <f>IF($E476="","",IF(OR($U476=TRUE(),$U476="TRUE"),1,0))</f>
        <v/>
      </c>
      <c r="AQ476">
        <f>IF($E476="","",IF($AD476="Yes",1,0))</f>
        <v/>
      </c>
      <c r="AR476">
        <f>IF($AN476=1,IFERROR(VALUE(MID($E476,2,20)),1000000000)+ROW()/100000,"")</f>
        <v/>
      </c>
    </row>
    <row r="477">
      <c r="G477" s="11" t="n"/>
      <c r="Q477" s="7">
        <f>IF($E477="","",P477*AB477/100)</f>
        <v/>
      </c>
      <c r="R477" s="7" t="n"/>
      <c r="X477" s="7" t="n"/>
      <c r="Y477" s="7">
        <f>IF($E477="","",AB477*AE477/100)</f>
        <v/>
      </c>
      <c r="Z477" s="7">
        <f>IF($E477="","",AB477-Y477)</f>
        <v/>
      </c>
      <c r="AA477" s="7">
        <f>IF($E477="","",Z477-Q477)</f>
        <v/>
      </c>
      <c r="AB477" s="7" t="n"/>
      <c r="AE477">
        <f>IF($E477="","",IF($AQ477=1,0,IF($AP477=1,Settings!$C$6,Settings!$C$7))*100)</f>
        <v/>
      </c>
      <c r="AI477" s="7" t="n"/>
      <c r="AL477" s="11" t="n"/>
      <c r="AN477">
        <f>IF($E477="","",IF(COUNTIF($E$2:$E477,$E477)=1,1,0))</f>
        <v/>
      </c>
      <c r="AO477">
        <f>IF($AN477=1,SUMPRODUCT(--($AR$2:$AR$3001&lt;$AR477))+1,"")</f>
        <v/>
      </c>
      <c r="AP477">
        <f>IF($E477="","",IF(OR($U477=TRUE(),$U477="TRUE"),1,0))</f>
        <v/>
      </c>
      <c r="AQ477">
        <f>IF($E477="","",IF($AD477="Yes",1,0))</f>
        <v/>
      </c>
      <c r="AR477">
        <f>IF($AN477=1,IFERROR(VALUE(MID($E477,2,20)),1000000000)+ROW()/100000,"")</f>
        <v/>
      </c>
    </row>
    <row r="478">
      <c r="G478" s="11" t="n"/>
      <c r="Q478" s="7">
        <f>IF($E478="","",P478*AB478/100)</f>
        <v/>
      </c>
      <c r="R478" s="7" t="n"/>
      <c r="X478" s="7" t="n"/>
      <c r="Y478" s="7">
        <f>IF($E478="","",AB478*AE478/100)</f>
        <v/>
      </c>
      <c r="Z478" s="7">
        <f>IF($E478="","",AB478-Y478)</f>
        <v/>
      </c>
      <c r="AA478" s="7">
        <f>IF($E478="","",Z478-Q478)</f>
        <v/>
      </c>
      <c r="AB478" s="7" t="n"/>
      <c r="AE478">
        <f>IF($E478="","",IF($AQ478=1,0,IF($AP478=1,Settings!$C$6,Settings!$C$7))*100)</f>
        <v/>
      </c>
      <c r="AI478" s="7" t="n"/>
      <c r="AL478" s="11" t="n"/>
      <c r="AN478">
        <f>IF($E478="","",IF(COUNTIF($E$2:$E478,$E478)=1,1,0))</f>
        <v/>
      </c>
      <c r="AO478">
        <f>IF($AN478=1,SUMPRODUCT(--($AR$2:$AR$3001&lt;$AR478))+1,"")</f>
        <v/>
      </c>
      <c r="AP478">
        <f>IF($E478="","",IF(OR($U478=TRUE(),$U478="TRUE"),1,0))</f>
        <v/>
      </c>
      <c r="AQ478">
        <f>IF($E478="","",IF($AD478="Yes",1,0))</f>
        <v/>
      </c>
      <c r="AR478">
        <f>IF($AN478=1,IFERROR(VALUE(MID($E478,2,20)),1000000000)+ROW()/100000,"")</f>
        <v/>
      </c>
    </row>
    <row r="479">
      <c r="G479" s="11" t="n"/>
      <c r="Q479" s="7">
        <f>IF($E479="","",P479*AB479/100)</f>
        <v/>
      </c>
      <c r="R479" s="7" t="n"/>
      <c r="X479" s="7" t="n"/>
      <c r="Y479" s="7">
        <f>IF($E479="","",AB479*AE479/100)</f>
        <v/>
      </c>
      <c r="Z479" s="7">
        <f>IF($E479="","",AB479-Y479)</f>
        <v/>
      </c>
      <c r="AA479" s="7">
        <f>IF($E479="","",Z479-Q479)</f>
        <v/>
      </c>
      <c r="AB479" s="7" t="n"/>
      <c r="AE479">
        <f>IF($E479="","",IF($AQ479=1,0,IF($AP479=1,Settings!$C$6,Settings!$C$7))*100)</f>
        <v/>
      </c>
      <c r="AI479" s="7" t="n"/>
      <c r="AL479" s="11" t="n"/>
      <c r="AN479">
        <f>IF($E479="","",IF(COUNTIF($E$2:$E479,$E479)=1,1,0))</f>
        <v/>
      </c>
      <c r="AO479">
        <f>IF($AN479=1,SUMPRODUCT(--($AR$2:$AR$3001&lt;$AR479))+1,"")</f>
        <v/>
      </c>
      <c r="AP479">
        <f>IF($E479="","",IF(OR($U479=TRUE(),$U479="TRUE"),1,0))</f>
        <v/>
      </c>
      <c r="AQ479">
        <f>IF($E479="","",IF($AD479="Yes",1,0))</f>
        <v/>
      </c>
      <c r="AR479">
        <f>IF($AN479=1,IFERROR(VALUE(MID($E479,2,20)),1000000000)+ROW()/100000,"")</f>
        <v/>
      </c>
    </row>
    <row r="480">
      <c r="G480" s="11" t="n"/>
      <c r="Q480" s="7">
        <f>IF($E480="","",P480*AB480/100)</f>
        <v/>
      </c>
      <c r="R480" s="7" t="n"/>
      <c r="X480" s="7" t="n"/>
      <c r="Y480" s="7">
        <f>IF($E480="","",AB480*AE480/100)</f>
        <v/>
      </c>
      <c r="Z480" s="7">
        <f>IF($E480="","",AB480-Y480)</f>
        <v/>
      </c>
      <c r="AA480" s="7">
        <f>IF($E480="","",Z480-Q480)</f>
        <v/>
      </c>
      <c r="AB480" s="7" t="n"/>
      <c r="AE480">
        <f>IF($E480="","",IF($AQ480=1,0,IF($AP480=1,Settings!$C$6,Settings!$C$7))*100)</f>
        <v/>
      </c>
      <c r="AI480" s="7" t="n"/>
      <c r="AL480" s="11" t="n"/>
      <c r="AN480">
        <f>IF($E480="","",IF(COUNTIF($E$2:$E480,$E480)=1,1,0))</f>
        <v/>
      </c>
      <c r="AO480">
        <f>IF($AN480=1,SUMPRODUCT(--($AR$2:$AR$3001&lt;$AR480))+1,"")</f>
        <v/>
      </c>
      <c r="AP480">
        <f>IF($E480="","",IF(OR($U480=TRUE(),$U480="TRUE"),1,0))</f>
        <v/>
      </c>
      <c r="AQ480">
        <f>IF($E480="","",IF($AD480="Yes",1,0))</f>
        <v/>
      </c>
      <c r="AR480">
        <f>IF($AN480=1,IFERROR(VALUE(MID($E480,2,20)),1000000000)+ROW()/100000,"")</f>
        <v/>
      </c>
    </row>
    <row r="481">
      <c r="G481" s="11" t="n"/>
      <c r="Q481" s="7">
        <f>IF($E481="","",P481*AB481/100)</f>
        <v/>
      </c>
      <c r="R481" s="7" t="n"/>
      <c r="X481" s="7" t="n"/>
      <c r="Y481" s="7">
        <f>IF($E481="","",AB481*AE481/100)</f>
        <v/>
      </c>
      <c r="Z481" s="7">
        <f>IF($E481="","",AB481-Y481)</f>
        <v/>
      </c>
      <c r="AA481" s="7">
        <f>IF($E481="","",Z481-Q481)</f>
        <v/>
      </c>
      <c r="AB481" s="7" t="n"/>
      <c r="AE481">
        <f>IF($E481="","",IF($AQ481=1,0,IF($AP481=1,Settings!$C$6,Settings!$C$7))*100)</f>
        <v/>
      </c>
      <c r="AI481" s="7" t="n"/>
      <c r="AL481" s="11" t="n"/>
      <c r="AN481">
        <f>IF($E481="","",IF(COUNTIF($E$2:$E481,$E481)=1,1,0))</f>
        <v/>
      </c>
      <c r="AO481">
        <f>IF($AN481=1,SUMPRODUCT(--($AR$2:$AR$3001&lt;$AR481))+1,"")</f>
        <v/>
      </c>
      <c r="AP481">
        <f>IF($E481="","",IF(OR($U481=TRUE(),$U481="TRUE"),1,0))</f>
        <v/>
      </c>
      <c r="AQ481">
        <f>IF($E481="","",IF($AD481="Yes",1,0))</f>
        <v/>
      </c>
      <c r="AR481">
        <f>IF($AN481=1,IFERROR(VALUE(MID($E481,2,20)),1000000000)+ROW()/100000,"")</f>
        <v/>
      </c>
    </row>
    <row r="482">
      <c r="G482" s="11" t="n"/>
      <c r="Q482" s="7">
        <f>IF($E482="","",P482*AB482/100)</f>
        <v/>
      </c>
      <c r="R482" s="7" t="n"/>
      <c r="X482" s="7" t="n"/>
      <c r="Y482" s="7">
        <f>IF($E482="","",AB482*AE482/100)</f>
        <v/>
      </c>
      <c r="Z482" s="7">
        <f>IF($E482="","",AB482-Y482)</f>
        <v/>
      </c>
      <c r="AA482" s="7">
        <f>IF($E482="","",Z482-Q482)</f>
        <v/>
      </c>
      <c r="AB482" s="7" t="n"/>
      <c r="AE482">
        <f>IF($E482="","",IF($AQ482=1,0,IF($AP482=1,Settings!$C$6,Settings!$C$7))*100)</f>
        <v/>
      </c>
      <c r="AI482" s="7" t="n"/>
      <c r="AL482" s="11" t="n"/>
      <c r="AN482">
        <f>IF($E482="","",IF(COUNTIF($E$2:$E482,$E482)=1,1,0))</f>
        <v/>
      </c>
      <c r="AO482">
        <f>IF($AN482=1,SUMPRODUCT(--($AR$2:$AR$3001&lt;$AR482))+1,"")</f>
        <v/>
      </c>
      <c r="AP482">
        <f>IF($E482="","",IF(OR($U482=TRUE(),$U482="TRUE"),1,0))</f>
        <v/>
      </c>
      <c r="AQ482">
        <f>IF($E482="","",IF($AD482="Yes",1,0))</f>
        <v/>
      </c>
      <c r="AR482">
        <f>IF($AN482=1,IFERROR(VALUE(MID($E482,2,20)),1000000000)+ROW()/100000,"")</f>
        <v/>
      </c>
    </row>
    <row r="483">
      <c r="G483" s="11" t="n"/>
      <c r="Q483" s="7">
        <f>IF($E483="","",P483*AB483/100)</f>
        <v/>
      </c>
      <c r="R483" s="7" t="n"/>
      <c r="X483" s="7" t="n"/>
      <c r="Y483" s="7">
        <f>IF($E483="","",AB483*AE483/100)</f>
        <v/>
      </c>
      <c r="Z483" s="7">
        <f>IF($E483="","",AB483-Y483)</f>
        <v/>
      </c>
      <c r="AA483" s="7">
        <f>IF($E483="","",Z483-Q483)</f>
        <v/>
      </c>
      <c r="AB483" s="7" t="n"/>
      <c r="AE483">
        <f>IF($E483="","",IF($AQ483=1,0,IF($AP483=1,Settings!$C$6,Settings!$C$7))*100)</f>
        <v/>
      </c>
      <c r="AI483" s="7" t="n"/>
      <c r="AL483" s="11" t="n"/>
      <c r="AN483">
        <f>IF($E483="","",IF(COUNTIF($E$2:$E483,$E483)=1,1,0))</f>
        <v/>
      </c>
      <c r="AO483">
        <f>IF($AN483=1,SUMPRODUCT(--($AR$2:$AR$3001&lt;$AR483))+1,"")</f>
        <v/>
      </c>
      <c r="AP483">
        <f>IF($E483="","",IF(OR($U483=TRUE(),$U483="TRUE"),1,0))</f>
        <v/>
      </c>
      <c r="AQ483">
        <f>IF($E483="","",IF($AD483="Yes",1,0))</f>
        <v/>
      </c>
      <c r="AR483">
        <f>IF($AN483=1,IFERROR(VALUE(MID($E483,2,20)),1000000000)+ROW()/100000,"")</f>
        <v/>
      </c>
    </row>
    <row r="484">
      <c r="G484" s="11" t="n"/>
      <c r="Q484" s="7">
        <f>IF($E484="","",P484*AB484/100)</f>
        <v/>
      </c>
      <c r="R484" s="7" t="n"/>
      <c r="X484" s="7" t="n"/>
      <c r="Y484" s="7">
        <f>IF($E484="","",AB484*AE484/100)</f>
        <v/>
      </c>
      <c r="Z484" s="7">
        <f>IF($E484="","",AB484-Y484)</f>
        <v/>
      </c>
      <c r="AA484" s="7">
        <f>IF($E484="","",Z484-Q484)</f>
        <v/>
      </c>
      <c r="AB484" s="7" t="n"/>
      <c r="AE484">
        <f>IF($E484="","",IF($AQ484=1,0,IF($AP484=1,Settings!$C$6,Settings!$C$7))*100)</f>
        <v/>
      </c>
      <c r="AI484" s="7" t="n"/>
      <c r="AL484" s="11" t="n"/>
      <c r="AN484">
        <f>IF($E484="","",IF(COUNTIF($E$2:$E484,$E484)=1,1,0))</f>
        <v/>
      </c>
      <c r="AO484">
        <f>IF($AN484=1,SUMPRODUCT(--($AR$2:$AR$3001&lt;$AR484))+1,"")</f>
        <v/>
      </c>
      <c r="AP484">
        <f>IF($E484="","",IF(OR($U484=TRUE(),$U484="TRUE"),1,0))</f>
        <v/>
      </c>
      <c r="AQ484">
        <f>IF($E484="","",IF($AD484="Yes",1,0))</f>
        <v/>
      </c>
      <c r="AR484">
        <f>IF($AN484=1,IFERROR(VALUE(MID($E484,2,20)),1000000000)+ROW()/100000,"")</f>
        <v/>
      </c>
    </row>
    <row r="485">
      <c r="G485" s="11" t="n"/>
      <c r="Q485" s="7">
        <f>IF($E485="","",P485*AB485/100)</f>
        <v/>
      </c>
      <c r="R485" s="7" t="n"/>
      <c r="X485" s="7" t="n"/>
      <c r="Y485" s="7">
        <f>IF($E485="","",AB485*AE485/100)</f>
        <v/>
      </c>
      <c r="Z485" s="7">
        <f>IF($E485="","",AB485-Y485)</f>
        <v/>
      </c>
      <c r="AA485" s="7">
        <f>IF($E485="","",Z485-Q485)</f>
        <v/>
      </c>
      <c r="AB485" s="7" t="n"/>
      <c r="AE485">
        <f>IF($E485="","",IF($AQ485=1,0,IF($AP485=1,Settings!$C$6,Settings!$C$7))*100)</f>
        <v/>
      </c>
      <c r="AI485" s="7" t="n"/>
      <c r="AL485" s="11" t="n"/>
      <c r="AN485">
        <f>IF($E485="","",IF(COUNTIF($E$2:$E485,$E485)=1,1,0))</f>
        <v/>
      </c>
      <c r="AO485">
        <f>IF($AN485=1,SUMPRODUCT(--($AR$2:$AR$3001&lt;$AR485))+1,"")</f>
        <v/>
      </c>
      <c r="AP485">
        <f>IF($E485="","",IF(OR($U485=TRUE(),$U485="TRUE"),1,0))</f>
        <v/>
      </c>
      <c r="AQ485">
        <f>IF($E485="","",IF($AD485="Yes",1,0))</f>
        <v/>
      </c>
      <c r="AR485">
        <f>IF($AN485=1,IFERROR(VALUE(MID($E485,2,20)),1000000000)+ROW()/100000,"")</f>
        <v/>
      </c>
    </row>
    <row r="486">
      <c r="G486" s="11" t="n"/>
      <c r="Q486" s="7">
        <f>IF($E486="","",P486*AB486/100)</f>
        <v/>
      </c>
      <c r="R486" s="7" t="n"/>
      <c r="X486" s="7" t="n"/>
      <c r="Y486" s="7">
        <f>IF($E486="","",AB486*AE486/100)</f>
        <v/>
      </c>
      <c r="Z486" s="7">
        <f>IF($E486="","",AB486-Y486)</f>
        <v/>
      </c>
      <c r="AA486" s="7">
        <f>IF($E486="","",Z486-Q486)</f>
        <v/>
      </c>
      <c r="AB486" s="7" t="n"/>
      <c r="AE486">
        <f>IF($E486="","",IF($AQ486=1,0,IF($AP486=1,Settings!$C$6,Settings!$C$7))*100)</f>
        <v/>
      </c>
      <c r="AI486" s="7" t="n"/>
      <c r="AL486" s="11" t="n"/>
      <c r="AN486">
        <f>IF($E486="","",IF(COUNTIF($E$2:$E486,$E486)=1,1,0))</f>
        <v/>
      </c>
      <c r="AO486">
        <f>IF($AN486=1,SUMPRODUCT(--($AR$2:$AR$3001&lt;$AR486))+1,"")</f>
        <v/>
      </c>
      <c r="AP486">
        <f>IF($E486="","",IF(OR($U486=TRUE(),$U486="TRUE"),1,0))</f>
        <v/>
      </c>
      <c r="AQ486">
        <f>IF($E486="","",IF($AD486="Yes",1,0))</f>
        <v/>
      </c>
      <c r="AR486">
        <f>IF($AN486=1,IFERROR(VALUE(MID($E486,2,20)),1000000000)+ROW()/100000,"")</f>
        <v/>
      </c>
    </row>
    <row r="487">
      <c r="G487" s="11" t="n"/>
      <c r="Q487" s="7">
        <f>IF($E487="","",P487*AB487/100)</f>
        <v/>
      </c>
      <c r="R487" s="7" t="n"/>
      <c r="X487" s="7" t="n"/>
      <c r="Y487" s="7">
        <f>IF($E487="","",AB487*AE487/100)</f>
        <v/>
      </c>
      <c r="Z487" s="7">
        <f>IF($E487="","",AB487-Y487)</f>
        <v/>
      </c>
      <c r="AA487" s="7">
        <f>IF($E487="","",Z487-Q487)</f>
        <v/>
      </c>
      <c r="AB487" s="7" t="n"/>
      <c r="AE487">
        <f>IF($E487="","",IF($AQ487=1,0,IF($AP487=1,Settings!$C$6,Settings!$C$7))*100)</f>
        <v/>
      </c>
      <c r="AI487" s="7" t="n"/>
      <c r="AL487" s="11" t="n"/>
      <c r="AN487">
        <f>IF($E487="","",IF(COUNTIF($E$2:$E487,$E487)=1,1,0))</f>
        <v/>
      </c>
      <c r="AO487">
        <f>IF($AN487=1,SUMPRODUCT(--($AR$2:$AR$3001&lt;$AR487))+1,"")</f>
        <v/>
      </c>
      <c r="AP487">
        <f>IF($E487="","",IF(OR($U487=TRUE(),$U487="TRUE"),1,0))</f>
        <v/>
      </c>
      <c r="AQ487">
        <f>IF($E487="","",IF($AD487="Yes",1,0))</f>
        <v/>
      </c>
      <c r="AR487">
        <f>IF($AN487=1,IFERROR(VALUE(MID($E487,2,20)),1000000000)+ROW()/100000,"")</f>
        <v/>
      </c>
    </row>
    <row r="488">
      <c r="G488" s="11" t="n"/>
      <c r="Q488" s="7">
        <f>IF($E488="","",P488*AB488/100)</f>
        <v/>
      </c>
      <c r="R488" s="7" t="n"/>
      <c r="X488" s="7" t="n"/>
      <c r="Y488" s="7">
        <f>IF($E488="","",AB488*AE488/100)</f>
        <v/>
      </c>
      <c r="Z488" s="7">
        <f>IF($E488="","",AB488-Y488)</f>
        <v/>
      </c>
      <c r="AA488" s="7">
        <f>IF($E488="","",Z488-Q488)</f>
        <v/>
      </c>
      <c r="AB488" s="7" t="n"/>
      <c r="AE488">
        <f>IF($E488="","",IF($AQ488=1,0,IF($AP488=1,Settings!$C$6,Settings!$C$7))*100)</f>
        <v/>
      </c>
      <c r="AI488" s="7" t="n"/>
      <c r="AL488" s="11" t="n"/>
      <c r="AN488">
        <f>IF($E488="","",IF(COUNTIF($E$2:$E488,$E488)=1,1,0))</f>
        <v/>
      </c>
      <c r="AO488">
        <f>IF($AN488=1,SUMPRODUCT(--($AR$2:$AR$3001&lt;$AR488))+1,"")</f>
        <v/>
      </c>
      <c r="AP488">
        <f>IF($E488="","",IF(OR($U488=TRUE(),$U488="TRUE"),1,0))</f>
        <v/>
      </c>
      <c r="AQ488">
        <f>IF($E488="","",IF($AD488="Yes",1,0))</f>
        <v/>
      </c>
      <c r="AR488">
        <f>IF($AN488=1,IFERROR(VALUE(MID($E488,2,20)),1000000000)+ROW()/100000,"")</f>
        <v/>
      </c>
    </row>
    <row r="489">
      <c r="G489" s="11" t="n"/>
      <c r="Q489" s="7">
        <f>IF($E489="","",P489*AB489/100)</f>
        <v/>
      </c>
      <c r="R489" s="7" t="n"/>
      <c r="X489" s="7" t="n"/>
      <c r="Y489" s="7">
        <f>IF($E489="","",AB489*AE489/100)</f>
        <v/>
      </c>
      <c r="Z489" s="7">
        <f>IF($E489="","",AB489-Y489)</f>
        <v/>
      </c>
      <c r="AA489" s="7">
        <f>IF($E489="","",Z489-Q489)</f>
        <v/>
      </c>
      <c r="AB489" s="7" t="n"/>
      <c r="AE489">
        <f>IF($E489="","",IF($AQ489=1,0,IF($AP489=1,Settings!$C$6,Settings!$C$7))*100)</f>
        <v/>
      </c>
      <c r="AI489" s="7" t="n"/>
      <c r="AL489" s="11" t="n"/>
      <c r="AN489">
        <f>IF($E489="","",IF(COUNTIF($E$2:$E489,$E489)=1,1,0))</f>
        <v/>
      </c>
      <c r="AO489">
        <f>IF($AN489=1,SUMPRODUCT(--($AR$2:$AR$3001&lt;$AR489))+1,"")</f>
        <v/>
      </c>
      <c r="AP489">
        <f>IF($E489="","",IF(OR($U489=TRUE(),$U489="TRUE"),1,0))</f>
        <v/>
      </c>
      <c r="AQ489">
        <f>IF($E489="","",IF($AD489="Yes",1,0))</f>
        <v/>
      </c>
      <c r="AR489">
        <f>IF($AN489=1,IFERROR(VALUE(MID($E489,2,20)),1000000000)+ROW()/100000,"")</f>
        <v/>
      </c>
    </row>
    <row r="490">
      <c r="G490" s="11" t="n"/>
      <c r="Q490" s="7">
        <f>IF($E490="","",P490*AB490/100)</f>
        <v/>
      </c>
      <c r="R490" s="7" t="n"/>
      <c r="X490" s="7" t="n"/>
      <c r="Y490" s="7">
        <f>IF($E490="","",AB490*AE490/100)</f>
        <v/>
      </c>
      <c r="Z490" s="7">
        <f>IF($E490="","",AB490-Y490)</f>
        <v/>
      </c>
      <c r="AA490" s="7">
        <f>IF($E490="","",Z490-Q490)</f>
        <v/>
      </c>
      <c r="AB490" s="7" t="n"/>
      <c r="AE490">
        <f>IF($E490="","",IF($AQ490=1,0,IF($AP490=1,Settings!$C$6,Settings!$C$7))*100)</f>
        <v/>
      </c>
      <c r="AI490" s="7" t="n"/>
      <c r="AL490" s="11" t="n"/>
      <c r="AN490">
        <f>IF($E490="","",IF(COUNTIF($E$2:$E490,$E490)=1,1,0))</f>
        <v/>
      </c>
      <c r="AO490">
        <f>IF($AN490=1,SUMPRODUCT(--($AR$2:$AR$3001&lt;$AR490))+1,"")</f>
        <v/>
      </c>
      <c r="AP490">
        <f>IF($E490="","",IF(OR($U490=TRUE(),$U490="TRUE"),1,0))</f>
        <v/>
      </c>
      <c r="AQ490">
        <f>IF($E490="","",IF($AD490="Yes",1,0))</f>
        <v/>
      </c>
      <c r="AR490">
        <f>IF($AN490=1,IFERROR(VALUE(MID($E490,2,20)),1000000000)+ROW()/100000,"")</f>
        <v/>
      </c>
    </row>
    <row r="491">
      <c r="G491" s="11" t="n"/>
      <c r="Q491" s="7">
        <f>IF($E491="","",P491*AB491/100)</f>
        <v/>
      </c>
      <c r="R491" s="7" t="n"/>
      <c r="X491" s="7" t="n"/>
      <c r="Y491" s="7">
        <f>IF($E491="","",AB491*AE491/100)</f>
        <v/>
      </c>
      <c r="Z491" s="7">
        <f>IF($E491="","",AB491-Y491)</f>
        <v/>
      </c>
      <c r="AA491" s="7">
        <f>IF($E491="","",Z491-Q491)</f>
        <v/>
      </c>
      <c r="AB491" s="7" t="n"/>
      <c r="AE491">
        <f>IF($E491="","",IF($AQ491=1,0,IF($AP491=1,Settings!$C$6,Settings!$C$7))*100)</f>
        <v/>
      </c>
      <c r="AI491" s="7" t="n"/>
      <c r="AL491" s="11" t="n"/>
      <c r="AN491">
        <f>IF($E491="","",IF(COUNTIF($E$2:$E491,$E491)=1,1,0))</f>
        <v/>
      </c>
      <c r="AO491">
        <f>IF($AN491=1,SUMPRODUCT(--($AR$2:$AR$3001&lt;$AR491))+1,"")</f>
        <v/>
      </c>
      <c r="AP491">
        <f>IF($E491="","",IF(OR($U491=TRUE(),$U491="TRUE"),1,0))</f>
        <v/>
      </c>
      <c r="AQ491">
        <f>IF($E491="","",IF($AD491="Yes",1,0))</f>
        <v/>
      </c>
      <c r="AR491">
        <f>IF($AN491=1,IFERROR(VALUE(MID($E491,2,20)),1000000000)+ROW()/100000,"")</f>
        <v/>
      </c>
    </row>
    <row r="492">
      <c r="G492" s="11" t="n"/>
      <c r="Q492" s="7">
        <f>IF($E492="","",P492*AB492/100)</f>
        <v/>
      </c>
      <c r="R492" s="7" t="n"/>
      <c r="X492" s="7" t="n"/>
      <c r="Y492" s="7">
        <f>IF($E492="","",AB492*AE492/100)</f>
        <v/>
      </c>
      <c r="Z492" s="7">
        <f>IF($E492="","",AB492-Y492)</f>
        <v/>
      </c>
      <c r="AA492" s="7">
        <f>IF($E492="","",Z492-Q492)</f>
        <v/>
      </c>
      <c r="AB492" s="7" t="n"/>
      <c r="AE492">
        <f>IF($E492="","",IF($AQ492=1,0,IF($AP492=1,Settings!$C$6,Settings!$C$7))*100)</f>
        <v/>
      </c>
      <c r="AI492" s="7" t="n"/>
      <c r="AL492" s="11" t="n"/>
      <c r="AN492">
        <f>IF($E492="","",IF(COUNTIF($E$2:$E492,$E492)=1,1,0))</f>
        <v/>
      </c>
      <c r="AO492">
        <f>IF($AN492=1,SUMPRODUCT(--($AR$2:$AR$3001&lt;$AR492))+1,"")</f>
        <v/>
      </c>
      <c r="AP492">
        <f>IF($E492="","",IF(OR($U492=TRUE(),$U492="TRUE"),1,0))</f>
        <v/>
      </c>
      <c r="AQ492">
        <f>IF($E492="","",IF($AD492="Yes",1,0))</f>
        <v/>
      </c>
      <c r="AR492">
        <f>IF($AN492=1,IFERROR(VALUE(MID($E492,2,20)),1000000000)+ROW()/100000,"")</f>
        <v/>
      </c>
    </row>
    <row r="493">
      <c r="G493" s="11" t="n"/>
      <c r="Q493" s="7">
        <f>IF($E493="","",P493*AB493/100)</f>
        <v/>
      </c>
      <c r="R493" s="7" t="n"/>
      <c r="X493" s="7" t="n"/>
      <c r="Y493" s="7">
        <f>IF($E493="","",AB493*AE493/100)</f>
        <v/>
      </c>
      <c r="Z493" s="7">
        <f>IF($E493="","",AB493-Y493)</f>
        <v/>
      </c>
      <c r="AA493" s="7">
        <f>IF($E493="","",Z493-Q493)</f>
        <v/>
      </c>
      <c r="AB493" s="7" t="n"/>
      <c r="AE493">
        <f>IF($E493="","",IF($AQ493=1,0,IF($AP493=1,Settings!$C$6,Settings!$C$7))*100)</f>
        <v/>
      </c>
      <c r="AI493" s="7" t="n"/>
      <c r="AL493" s="11" t="n"/>
      <c r="AN493">
        <f>IF($E493="","",IF(COUNTIF($E$2:$E493,$E493)=1,1,0))</f>
        <v/>
      </c>
      <c r="AO493">
        <f>IF($AN493=1,SUMPRODUCT(--($AR$2:$AR$3001&lt;$AR493))+1,"")</f>
        <v/>
      </c>
      <c r="AP493">
        <f>IF($E493="","",IF(OR($U493=TRUE(),$U493="TRUE"),1,0))</f>
        <v/>
      </c>
      <c r="AQ493">
        <f>IF($E493="","",IF($AD493="Yes",1,0))</f>
        <v/>
      </c>
      <c r="AR493">
        <f>IF($AN493=1,IFERROR(VALUE(MID($E493,2,20)),1000000000)+ROW()/100000,"")</f>
        <v/>
      </c>
    </row>
    <row r="494">
      <c r="G494" s="11" t="n"/>
      <c r="Q494" s="7">
        <f>IF($E494="","",P494*AB494/100)</f>
        <v/>
      </c>
      <c r="R494" s="7" t="n"/>
      <c r="X494" s="7" t="n"/>
      <c r="Y494" s="7">
        <f>IF($E494="","",AB494*AE494/100)</f>
        <v/>
      </c>
      <c r="Z494" s="7">
        <f>IF($E494="","",AB494-Y494)</f>
        <v/>
      </c>
      <c r="AA494" s="7">
        <f>IF($E494="","",Z494-Q494)</f>
        <v/>
      </c>
      <c r="AB494" s="7" t="n"/>
      <c r="AE494">
        <f>IF($E494="","",IF($AQ494=1,0,IF($AP494=1,Settings!$C$6,Settings!$C$7))*100)</f>
        <v/>
      </c>
      <c r="AI494" s="7" t="n"/>
      <c r="AL494" s="11" t="n"/>
      <c r="AN494">
        <f>IF($E494="","",IF(COUNTIF($E$2:$E494,$E494)=1,1,0))</f>
        <v/>
      </c>
      <c r="AO494">
        <f>IF($AN494=1,SUMPRODUCT(--($AR$2:$AR$3001&lt;$AR494))+1,"")</f>
        <v/>
      </c>
      <c r="AP494">
        <f>IF($E494="","",IF(OR($U494=TRUE(),$U494="TRUE"),1,0))</f>
        <v/>
      </c>
      <c r="AQ494">
        <f>IF($E494="","",IF($AD494="Yes",1,0))</f>
        <v/>
      </c>
      <c r="AR494">
        <f>IF($AN494=1,IFERROR(VALUE(MID($E494,2,20)),1000000000)+ROW()/100000,"")</f>
        <v/>
      </c>
    </row>
    <row r="495">
      <c r="G495" s="11" t="n"/>
      <c r="Q495" s="7">
        <f>IF($E495="","",P495*AB495/100)</f>
        <v/>
      </c>
      <c r="R495" s="7" t="n"/>
      <c r="X495" s="7" t="n"/>
      <c r="Y495" s="7">
        <f>IF($E495="","",AB495*AE495/100)</f>
        <v/>
      </c>
      <c r="Z495" s="7">
        <f>IF($E495="","",AB495-Y495)</f>
        <v/>
      </c>
      <c r="AA495" s="7">
        <f>IF($E495="","",Z495-Q495)</f>
        <v/>
      </c>
      <c r="AB495" s="7" t="n"/>
      <c r="AE495">
        <f>IF($E495="","",IF($AQ495=1,0,IF($AP495=1,Settings!$C$6,Settings!$C$7))*100)</f>
        <v/>
      </c>
      <c r="AI495" s="7" t="n"/>
      <c r="AL495" s="11" t="n"/>
      <c r="AN495">
        <f>IF($E495="","",IF(COUNTIF($E$2:$E495,$E495)=1,1,0))</f>
        <v/>
      </c>
      <c r="AO495">
        <f>IF($AN495=1,SUMPRODUCT(--($AR$2:$AR$3001&lt;$AR495))+1,"")</f>
        <v/>
      </c>
      <c r="AP495">
        <f>IF($E495="","",IF(OR($U495=TRUE(),$U495="TRUE"),1,0))</f>
        <v/>
      </c>
      <c r="AQ495">
        <f>IF($E495="","",IF($AD495="Yes",1,0))</f>
        <v/>
      </c>
      <c r="AR495">
        <f>IF($AN495=1,IFERROR(VALUE(MID($E495,2,20)),1000000000)+ROW()/100000,"")</f>
        <v/>
      </c>
    </row>
    <row r="496">
      <c r="G496" s="11" t="n"/>
      <c r="Q496" s="7">
        <f>IF($E496="","",P496*AB496/100)</f>
        <v/>
      </c>
      <c r="R496" s="7" t="n"/>
      <c r="X496" s="7" t="n"/>
      <c r="Y496" s="7">
        <f>IF($E496="","",AB496*AE496/100)</f>
        <v/>
      </c>
      <c r="Z496" s="7">
        <f>IF($E496="","",AB496-Y496)</f>
        <v/>
      </c>
      <c r="AA496" s="7">
        <f>IF($E496="","",Z496-Q496)</f>
        <v/>
      </c>
      <c r="AB496" s="7" t="n"/>
      <c r="AE496">
        <f>IF($E496="","",IF($AQ496=1,0,IF($AP496=1,Settings!$C$6,Settings!$C$7))*100)</f>
        <v/>
      </c>
      <c r="AI496" s="7" t="n"/>
      <c r="AL496" s="11" t="n"/>
      <c r="AN496">
        <f>IF($E496="","",IF(COUNTIF($E$2:$E496,$E496)=1,1,0))</f>
        <v/>
      </c>
      <c r="AO496">
        <f>IF($AN496=1,SUMPRODUCT(--($AR$2:$AR$3001&lt;$AR496))+1,"")</f>
        <v/>
      </c>
      <c r="AP496">
        <f>IF($E496="","",IF(OR($U496=TRUE(),$U496="TRUE"),1,0))</f>
        <v/>
      </c>
      <c r="AQ496">
        <f>IF($E496="","",IF($AD496="Yes",1,0))</f>
        <v/>
      </c>
      <c r="AR496">
        <f>IF($AN496=1,IFERROR(VALUE(MID($E496,2,20)),1000000000)+ROW()/100000,"")</f>
        <v/>
      </c>
    </row>
    <row r="497">
      <c r="G497" s="11" t="n"/>
      <c r="Q497" s="7">
        <f>IF($E497="","",P497*AB497/100)</f>
        <v/>
      </c>
      <c r="R497" s="7" t="n"/>
      <c r="X497" s="7" t="n"/>
      <c r="Y497" s="7">
        <f>IF($E497="","",AB497*AE497/100)</f>
        <v/>
      </c>
      <c r="Z497" s="7">
        <f>IF($E497="","",AB497-Y497)</f>
        <v/>
      </c>
      <c r="AA497" s="7">
        <f>IF($E497="","",Z497-Q497)</f>
        <v/>
      </c>
      <c r="AB497" s="7" t="n"/>
      <c r="AE497">
        <f>IF($E497="","",IF($AQ497=1,0,IF($AP497=1,Settings!$C$6,Settings!$C$7))*100)</f>
        <v/>
      </c>
      <c r="AI497" s="7" t="n"/>
      <c r="AL497" s="11" t="n"/>
      <c r="AN497">
        <f>IF($E497="","",IF(COUNTIF($E$2:$E497,$E497)=1,1,0))</f>
        <v/>
      </c>
      <c r="AO497">
        <f>IF($AN497=1,SUMPRODUCT(--($AR$2:$AR$3001&lt;$AR497))+1,"")</f>
        <v/>
      </c>
      <c r="AP497">
        <f>IF($E497="","",IF(OR($U497=TRUE(),$U497="TRUE"),1,0))</f>
        <v/>
      </c>
      <c r="AQ497">
        <f>IF($E497="","",IF($AD497="Yes",1,0))</f>
        <v/>
      </c>
      <c r="AR497">
        <f>IF($AN497=1,IFERROR(VALUE(MID($E497,2,20)),1000000000)+ROW()/100000,"")</f>
        <v/>
      </c>
    </row>
    <row r="498">
      <c r="G498" s="11" t="n"/>
      <c r="Q498" s="7">
        <f>IF($E498="","",P498*AB498/100)</f>
        <v/>
      </c>
      <c r="R498" s="7" t="n"/>
      <c r="X498" s="7" t="n"/>
      <c r="Y498" s="7">
        <f>IF($E498="","",AB498*AE498/100)</f>
        <v/>
      </c>
      <c r="Z498" s="7">
        <f>IF($E498="","",AB498-Y498)</f>
        <v/>
      </c>
      <c r="AA498" s="7">
        <f>IF($E498="","",Z498-Q498)</f>
        <v/>
      </c>
      <c r="AB498" s="7" t="n"/>
      <c r="AE498">
        <f>IF($E498="","",IF($AQ498=1,0,IF($AP498=1,Settings!$C$6,Settings!$C$7))*100)</f>
        <v/>
      </c>
      <c r="AI498" s="7" t="n"/>
      <c r="AL498" s="11" t="n"/>
      <c r="AN498">
        <f>IF($E498="","",IF(COUNTIF($E$2:$E498,$E498)=1,1,0))</f>
        <v/>
      </c>
      <c r="AO498">
        <f>IF($AN498=1,SUMPRODUCT(--($AR$2:$AR$3001&lt;$AR498))+1,"")</f>
        <v/>
      </c>
      <c r="AP498">
        <f>IF($E498="","",IF(OR($U498=TRUE(),$U498="TRUE"),1,0))</f>
        <v/>
      </c>
      <c r="AQ498">
        <f>IF($E498="","",IF($AD498="Yes",1,0))</f>
        <v/>
      </c>
      <c r="AR498">
        <f>IF($AN498=1,IFERROR(VALUE(MID($E498,2,20)),1000000000)+ROW()/100000,"")</f>
        <v/>
      </c>
    </row>
    <row r="499">
      <c r="G499" s="11" t="n"/>
      <c r="Q499" s="7">
        <f>IF($E499="","",P499*AB499/100)</f>
        <v/>
      </c>
      <c r="R499" s="7" t="n"/>
      <c r="X499" s="7" t="n"/>
      <c r="Y499" s="7">
        <f>IF($E499="","",AB499*AE499/100)</f>
        <v/>
      </c>
      <c r="Z499" s="7">
        <f>IF($E499="","",AB499-Y499)</f>
        <v/>
      </c>
      <c r="AA499" s="7">
        <f>IF($E499="","",Z499-Q499)</f>
        <v/>
      </c>
      <c r="AB499" s="7" t="n"/>
      <c r="AE499">
        <f>IF($E499="","",IF($AQ499=1,0,IF($AP499=1,Settings!$C$6,Settings!$C$7))*100)</f>
        <v/>
      </c>
      <c r="AI499" s="7" t="n"/>
      <c r="AL499" s="11" t="n"/>
      <c r="AN499">
        <f>IF($E499="","",IF(COUNTIF($E$2:$E499,$E499)=1,1,0))</f>
        <v/>
      </c>
      <c r="AO499">
        <f>IF($AN499=1,SUMPRODUCT(--($AR$2:$AR$3001&lt;$AR499))+1,"")</f>
        <v/>
      </c>
      <c r="AP499">
        <f>IF($E499="","",IF(OR($U499=TRUE(),$U499="TRUE"),1,0))</f>
        <v/>
      </c>
      <c r="AQ499">
        <f>IF($E499="","",IF($AD499="Yes",1,0))</f>
        <v/>
      </c>
      <c r="AR499">
        <f>IF($AN499=1,IFERROR(VALUE(MID($E499,2,20)),1000000000)+ROW()/100000,"")</f>
        <v/>
      </c>
    </row>
    <row r="500">
      <c r="G500" s="11" t="n"/>
      <c r="Q500" s="7">
        <f>IF($E500="","",P500*AB500/100)</f>
        <v/>
      </c>
      <c r="R500" s="7" t="n"/>
      <c r="X500" s="7" t="n"/>
      <c r="Y500" s="7">
        <f>IF($E500="","",AB500*AE500/100)</f>
        <v/>
      </c>
      <c r="Z500" s="7">
        <f>IF($E500="","",AB500-Y500)</f>
        <v/>
      </c>
      <c r="AA500" s="7">
        <f>IF($E500="","",Z500-Q500)</f>
        <v/>
      </c>
      <c r="AB500" s="7" t="n"/>
      <c r="AE500">
        <f>IF($E500="","",IF($AQ500=1,0,IF($AP500=1,Settings!$C$6,Settings!$C$7))*100)</f>
        <v/>
      </c>
      <c r="AI500" s="7" t="n"/>
      <c r="AL500" s="11" t="n"/>
      <c r="AN500">
        <f>IF($E500="","",IF(COUNTIF($E$2:$E500,$E500)=1,1,0))</f>
        <v/>
      </c>
      <c r="AO500">
        <f>IF($AN500=1,SUMPRODUCT(--($AR$2:$AR$3001&lt;$AR500))+1,"")</f>
        <v/>
      </c>
      <c r="AP500">
        <f>IF($E500="","",IF(OR($U500=TRUE(),$U500="TRUE"),1,0))</f>
        <v/>
      </c>
      <c r="AQ500">
        <f>IF($E500="","",IF($AD500="Yes",1,0))</f>
        <v/>
      </c>
      <c r="AR500">
        <f>IF($AN500=1,IFERROR(VALUE(MID($E500,2,20)),1000000000)+ROW()/100000,"")</f>
        <v/>
      </c>
    </row>
    <row r="501">
      <c r="G501" s="11" t="n"/>
      <c r="Q501" s="7">
        <f>IF($E501="","",P501*AB501/100)</f>
        <v/>
      </c>
      <c r="R501" s="7" t="n"/>
      <c r="X501" s="7" t="n"/>
      <c r="Y501" s="7">
        <f>IF($E501="","",AB501*AE501/100)</f>
        <v/>
      </c>
      <c r="Z501" s="7">
        <f>IF($E501="","",AB501-Y501)</f>
        <v/>
      </c>
      <c r="AA501" s="7">
        <f>IF($E501="","",Z501-Q501)</f>
        <v/>
      </c>
      <c r="AB501" s="7" t="n"/>
      <c r="AE501">
        <f>IF($E501="","",IF($AQ501=1,0,IF($AP501=1,Settings!$C$6,Settings!$C$7))*100)</f>
        <v/>
      </c>
      <c r="AI501" s="7" t="n"/>
      <c r="AL501" s="11" t="n"/>
      <c r="AN501">
        <f>IF($E501="","",IF(COUNTIF($E$2:$E501,$E501)=1,1,0))</f>
        <v/>
      </c>
      <c r="AO501">
        <f>IF($AN501=1,SUMPRODUCT(--($AR$2:$AR$3001&lt;$AR501))+1,"")</f>
        <v/>
      </c>
      <c r="AP501">
        <f>IF($E501="","",IF(OR($U501=TRUE(),$U501="TRUE"),1,0))</f>
        <v/>
      </c>
      <c r="AQ501">
        <f>IF($E501="","",IF($AD501="Yes",1,0))</f>
        <v/>
      </c>
      <c r="AR501">
        <f>IF($AN501=1,IFERROR(VALUE(MID($E501,2,20)),1000000000)+ROW()/100000,"")</f>
        <v/>
      </c>
    </row>
    <row r="502">
      <c r="G502" s="11" t="n"/>
      <c r="Q502" s="7">
        <f>IF($E502="","",P502*AB502/100)</f>
        <v/>
      </c>
      <c r="R502" s="7" t="n"/>
      <c r="X502" s="7" t="n"/>
      <c r="Y502" s="7">
        <f>IF($E502="","",AB502*AE502/100)</f>
        <v/>
      </c>
      <c r="Z502" s="7">
        <f>IF($E502="","",AB502-Y502)</f>
        <v/>
      </c>
      <c r="AA502" s="7">
        <f>IF($E502="","",Z502-Q502)</f>
        <v/>
      </c>
      <c r="AB502" s="7" t="n"/>
      <c r="AE502">
        <f>IF($E502="","",IF($AQ502=1,0,IF($AP502=1,Settings!$C$6,Settings!$C$7))*100)</f>
        <v/>
      </c>
      <c r="AI502" s="7" t="n"/>
      <c r="AL502" s="11" t="n"/>
      <c r="AN502">
        <f>IF($E502="","",IF(COUNTIF($E$2:$E502,$E502)=1,1,0))</f>
        <v/>
      </c>
      <c r="AO502">
        <f>IF($AN502=1,SUMPRODUCT(--($AR$2:$AR$3001&lt;$AR502))+1,"")</f>
        <v/>
      </c>
      <c r="AP502">
        <f>IF($E502="","",IF(OR($U502=TRUE(),$U502="TRUE"),1,0))</f>
        <v/>
      </c>
      <c r="AQ502">
        <f>IF($E502="","",IF($AD502="Yes",1,0))</f>
        <v/>
      </c>
      <c r="AR502">
        <f>IF($AN502=1,IFERROR(VALUE(MID($E502,2,20)),1000000000)+ROW()/100000,"")</f>
        <v/>
      </c>
    </row>
    <row r="503">
      <c r="G503" s="11" t="n"/>
      <c r="Q503" s="7">
        <f>IF($E503="","",P503*AB503/100)</f>
        <v/>
      </c>
      <c r="R503" s="7" t="n"/>
      <c r="X503" s="7" t="n"/>
      <c r="Y503" s="7">
        <f>IF($E503="","",AB503*AE503/100)</f>
        <v/>
      </c>
      <c r="Z503" s="7">
        <f>IF($E503="","",AB503-Y503)</f>
        <v/>
      </c>
      <c r="AA503" s="7">
        <f>IF($E503="","",Z503-Q503)</f>
        <v/>
      </c>
      <c r="AB503" s="7" t="n"/>
      <c r="AE503">
        <f>IF($E503="","",IF($AQ503=1,0,IF($AP503=1,Settings!$C$6,Settings!$C$7))*100)</f>
        <v/>
      </c>
      <c r="AI503" s="7" t="n"/>
      <c r="AL503" s="11" t="n"/>
      <c r="AN503">
        <f>IF($E503="","",IF(COUNTIF($E$2:$E503,$E503)=1,1,0))</f>
        <v/>
      </c>
      <c r="AO503">
        <f>IF($AN503=1,SUMPRODUCT(--($AR$2:$AR$3001&lt;$AR503))+1,"")</f>
        <v/>
      </c>
      <c r="AP503">
        <f>IF($E503="","",IF(OR($U503=TRUE(),$U503="TRUE"),1,0))</f>
        <v/>
      </c>
      <c r="AQ503">
        <f>IF($E503="","",IF($AD503="Yes",1,0))</f>
        <v/>
      </c>
      <c r="AR503">
        <f>IF($AN503=1,IFERROR(VALUE(MID($E503,2,20)),1000000000)+ROW()/100000,"")</f>
        <v/>
      </c>
    </row>
    <row r="504">
      <c r="G504" s="11" t="n"/>
      <c r="Q504" s="7">
        <f>IF($E504="","",P504*AB504/100)</f>
        <v/>
      </c>
      <c r="R504" s="7" t="n"/>
      <c r="X504" s="7" t="n"/>
      <c r="Y504" s="7">
        <f>IF($E504="","",AB504*AE504/100)</f>
        <v/>
      </c>
      <c r="Z504" s="7">
        <f>IF($E504="","",AB504-Y504)</f>
        <v/>
      </c>
      <c r="AA504" s="7">
        <f>IF($E504="","",Z504-Q504)</f>
        <v/>
      </c>
      <c r="AB504" s="7" t="n"/>
      <c r="AE504">
        <f>IF($E504="","",IF($AQ504=1,0,IF($AP504=1,Settings!$C$6,Settings!$C$7))*100)</f>
        <v/>
      </c>
      <c r="AI504" s="7" t="n"/>
      <c r="AL504" s="11" t="n"/>
      <c r="AN504">
        <f>IF($E504="","",IF(COUNTIF($E$2:$E504,$E504)=1,1,0))</f>
        <v/>
      </c>
      <c r="AO504">
        <f>IF($AN504=1,SUMPRODUCT(--($AR$2:$AR$3001&lt;$AR504))+1,"")</f>
        <v/>
      </c>
      <c r="AP504">
        <f>IF($E504="","",IF(OR($U504=TRUE(),$U504="TRUE"),1,0))</f>
        <v/>
      </c>
      <c r="AQ504">
        <f>IF($E504="","",IF($AD504="Yes",1,0))</f>
        <v/>
      </c>
      <c r="AR504">
        <f>IF($AN504=1,IFERROR(VALUE(MID($E504,2,20)),1000000000)+ROW()/100000,"")</f>
        <v/>
      </c>
    </row>
    <row r="505">
      <c r="G505" s="11" t="n"/>
      <c r="Q505" s="7">
        <f>IF($E505="","",P505*AB505/100)</f>
        <v/>
      </c>
      <c r="R505" s="7" t="n"/>
      <c r="X505" s="7" t="n"/>
      <c r="Y505" s="7">
        <f>IF($E505="","",AB505*AE505/100)</f>
        <v/>
      </c>
      <c r="Z505" s="7">
        <f>IF($E505="","",AB505-Y505)</f>
        <v/>
      </c>
      <c r="AA505" s="7">
        <f>IF($E505="","",Z505-Q505)</f>
        <v/>
      </c>
      <c r="AB505" s="7" t="n"/>
      <c r="AE505">
        <f>IF($E505="","",IF($AQ505=1,0,IF($AP505=1,Settings!$C$6,Settings!$C$7))*100)</f>
        <v/>
      </c>
      <c r="AI505" s="7" t="n"/>
      <c r="AL505" s="11" t="n"/>
      <c r="AN505">
        <f>IF($E505="","",IF(COUNTIF($E$2:$E505,$E505)=1,1,0))</f>
        <v/>
      </c>
      <c r="AO505">
        <f>IF($AN505=1,SUMPRODUCT(--($AR$2:$AR$3001&lt;$AR505))+1,"")</f>
        <v/>
      </c>
      <c r="AP505">
        <f>IF($E505="","",IF(OR($U505=TRUE(),$U505="TRUE"),1,0))</f>
        <v/>
      </c>
      <c r="AQ505">
        <f>IF($E505="","",IF($AD505="Yes",1,0))</f>
        <v/>
      </c>
      <c r="AR505">
        <f>IF($AN505=1,IFERROR(VALUE(MID($E505,2,20)),1000000000)+ROW()/100000,"")</f>
        <v/>
      </c>
    </row>
    <row r="506">
      <c r="G506" s="11" t="n"/>
      <c r="Q506" s="7">
        <f>IF($E506="","",P506*AB506/100)</f>
        <v/>
      </c>
      <c r="R506" s="7" t="n"/>
      <c r="X506" s="7" t="n"/>
      <c r="Y506" s="7">
        <f>IF($E506="","",AB506*AE506/100)</f>
        <v/>
      </c>
      <c r="Z506" s="7">
        <f>IF($E506="","",AB506-Y506)</f>
        <v/>
      </c>
      <c r="AA506" s="7">
        <f>IF($E506="","",Z506-Q506)</f>
        <v/>
      </c>
      <c r="AB506" s="7" t="n"/>
      <c r="AE506">
        <f>IF($E506="","",IF($AQ506=1,0,IF($AP506=1,Settings!$C$6,Settings!$C$7))*100)</f>
        <v/>
      </c>
      <c r="AI506" s="7" t="n"/>
      <c r="AL506" s="11" t="n"/>
      <c r="AN506">
        <f>IF($E506="","",IF(COUNTIF($E$2:$E506,$E506)=1,1,0))</f>
        <v/>
      </c>
      <c r="AO506">
        <f>IF($AN506=1,SUMPRODUCT(--($AR$2:$AR$3001&lt;$AR506))+1,"")</f>
        <v/>
      </c>
      <c r="AP506">
        <f>IF($E506="","",IF(OR($U506=TRUE(),$U506="TRUE"),1,0))</f>
        <v/>
      </c>
      <c r="AQ506">
        <f>IF($E506="","",IF($AD506="Yes",1,0))</f>
        <v/>
      </c>
      <c r="AR506">
        <f>IF($AN506=1,IFERROR(VALUE(MID($E506,2,20)),1000000000)+ROW()/100000,"")</f>
        <v/>
      </c>
    </row>
    <row r="507">
      <c r="G507" s="11" t="n"/>
      <c r="Q507" s="7">
        <f>IF($E507="","",P507*AB507/100)</f>
        <v/>
      </c>
      <c r="R507" s="7" t="n"/>
      <c r="X507" s="7" t="n"/>
      <c r="Y507" s="7">
        <f>IF($E507="","",AB507*AE507/100)</f>
        <v/>
      </c>
      <c r="Z507" s="7">
        <f>IF($E507="","",AB507-Y507)</f>
        <v/>
      </c>
      <c r="AA507" s="7">
        <f>IF($E507="","",Z507-Q507)</f>
        <v/>
      </c>
      <c r="AB507" s="7" t="n"/>
      <c r="AE507">
        <f>IF($E507="","",IF($AQ507=1,0,IF($AP507=1,Settings!$C$6,Settings!$C$7))*100)</f>
        <v/>
      </c>
      <c r="AI507" s="7" t="n"/>
      <c r="AL507" s="11" t="n"/>
      <c r="AN507">
        <f>IF($E507="","",IF(COUNTIF($E$2:$E507,$E507)=1,1,0))</f>
        <v/>
      </c>
      <c r="AO507">
        <f>IF($AN507=1,SUMPRODUCT(--($AR$2:$AR$3001&lt;$AR507))+1,"")</f>
        <v/>
      </c>
      <c r="AP507">
        <f>IF($E507="","",IF(OR($U507=TRUE(),$U507="TRUE"),1,0))</f>
        <v/>
      </c>
      <c r="AQ507">
        <f>IF($E507="","",IF($AD507="Yes",1,0))</f>
        <v/>
      </c>
      <c r="AR507">
        <f>IF($AN507=1,IFERROR(VALUE(MID($E507,2,20)),1000000000)+ROW()/100000,"")</f>
        <v/>
      </c>
    </row>
    <row r="508">
      <c r="G508" s="11" t="n"/>
      <c r="Q508" s="7">
        <f>IF($E508="","",P508*AB508/100)</f>
        <v/>
      </c>
      <c r="R508" s="7" t="n"/>
      <c r="X508" s="7" t="n"/>
      <c r="Y508" s="7">
        <f>IF($E508="","",AB508*AE508/100)</f>
        <v/>
      </c>
      <c r="Z508" s="7">
        <f>IF($E508="","",AB508-Y508)</f>
        <v/>
      </c>
      <c r="AA508" s="7">
        <f>IF($E508="","",Z508-Q508)</f>
        <v/>
      </c>
      <c r="AB508" s="7" t="n"/>
      <c r="AE508">
        <f>IF($E508="","",IF($AQ508=1,0,IF($AP508=1,Settings!$C$6,Settings!$C$7))*100)</f>
        <v/>
      </c>
      <c r="AI508" s="7" t="n"/>
      <c r="AL508" s="11" t="n"/>
      <c r="AN508">
        <f>IF($E508="","",IF(COUNTIF($E$2:$E508,$E508)=1,1,0))</f>
        <v/>
      </c>
      <c r="AO508">
        <f>IF($AN508=1,SUMPRODUCT(--($AR$2:$AR$3001&lt;$AR508))+1,"")</f>
        <v/>
      </c>
      <c r="AP508">
        <f>IF($E508="","",IF(OR($U508=TRUE(),$U508="TRUE"),1,0))</f>
        <v/>
      </c>
      <c r="AQ508">
        <f>IF($E508="","",IF($AD508="Yes",1,0))</f>
        <v/>
      </c>
      <c r="AR508">
        <f>IF($AN508=1,IFERROR(VALUE(MID($E508,2,20)),1000000000)+ROW()/100000,"")</f>
        <v/>
      </c>
    </row>
    <row r="509">
      <c r="G509" s="11" t="n"/>
      <c r="Q509" s="7">
        <f>IF($E509="","",P509*AB509/100)</f>
        <v/>
      </c>
      <c r="R509" s="7" t="n"/>
      <c r="X509" s="7" t="n"/>
      <c r="Y509" s="7">
        <f>IF($E509="","",AB509*AE509/100)</f>
        <v/>
      </c>
      <c r="Z509" s="7">
        <f>IF($E509="","",AB509-Y509)</f>
        <v/>
      </c>
      <c r="AA509" s="7">
        <f>IF($E509="","",Z509-Q509)</f>
        <v/>
      </c>
      <c r="AB509" s="7" t="n"/>
      <c r="AE509">
        <f>IF($E509="","",IF($AQ509=1,0,IF($AP509=1,Settings!$C$6,Settings!$C$7))*100)</f>
        <v/>
      </c>
      <c r="AI509" s="7" t="n"/>
      <c r="AL509" s="11" t="n"/>
      <c r="AN509">
        <f>IF($E509="","",IF(COUNTIF($E$2:$E509,$E509)=1,1,0))</f>
        <v/>
      </c>
      <c r="AO509">
        <f>IF($AN509=1,SUMPRODUCT(--($AR$2:$AR$3001&lt;$AR509))+1,"")</f>
        <v/>
      </c>
      <c r="AP509">
        <f>IF($E509="","",IF(OR($U509=TRUE(),$U509="TRUE"),1,0))</f>
        <v/>
      </c>
      <c r="AQ509">
        <f>IF($E509="","",IF($AD509="Yes",1,0))</f>
        <v/>
      </c>
      <c r="AR509">
        <f>IF($AN509=1,IFERROR(VALUE(MID($E509,2,20)),1000000000)+ROW()/100000,"")</f>
        <v/>
      </c>
    </row>
    <row r="510">
      <c r="G510" s="11" t="n"/>
      <c r="Q510" s="7">
        <f>IF($E510="","",P510*AB510/100)</f>
        <v/>
      </c>
      <c r="R510" s="7" t="n"/>
      <c r="X510" s="7" t="n"/>
      <c r="Y510" s="7">
        <f>IF($E510="","",AB510*AE510/100)</f>
        <v/>
      </c>
      <c r="Z510" s="7">
        <f>IF($E510="","",AB510-Y510)</f>
        <v/>
      </c>
      <c r="AA510" s="7">
        <f>IF($E510="","",Z510-Q510)</f>
        <v/>
      </c>
      <c r="AB510" s="7" t="n"/>
      <c r="AE510">
        <f>IF($E510="","",IF($AQ510=1,0,IF($AP510=1,Settings!$C$6,Settings!$C$7))*100)</f>
        <v/>
      </c>
      <c r="AI510" s="7" t="n"/>
      <c r="AL510" s="11" t="n"/>
      <c r="AN510">
        <f>IF($E510="","",IF(COUNTIF($E$2:$E510,$E510)=1,1,0))</f>
        <v/>
      </c>
      <c r="AO510">
        <f>IF($AN510=1,SUMPRODUCT(--($AR$2:$AR$3001&lt;$AR510))+1,"")</f>
        <v/>
      </c>
      <c r="AP510">
        <f>IF($E510="","",IF(OR($U510=TRUE(),$U510="TRUE"),1,0))</f>
        <v/>
      </c>
      <c r="AQ510">
        <f>IF($E510="","",IF($AD510="Yes",1,0))</f>
        <v/>
      </c>
      <c r="AR510">
        <f>IF($AN510=1,IFERROR(VALUE(MID($E510,2,20)),1000000000)+ROW()/100000,"")</f>
        <v/>
      </c>
    </row>
    <row r="511">
      <c r="G511" s="11" t="n"/>
      <c r="Q511" s="7">
        <f>IF($E511="","",P511*AB511/100)</f>
        <v/>
      </c>
      <c r="R511" s="7" t="n"/>
      <c r="X511" s="7" t="n"/>
      <c r="Y511" s="7">
        <f>IF($E511="","",AB511*AE511/100)</f>
        <v/>
      </c>
      <c r="Z511" s="7">
        <f>IF($E511="","",AB511-Y511)</f>
        <v/>
      </c>
      <c r="AA511" s="7">
        <f>IF($E511="","",Z511-Q511)</f>
        <v/>
      </c>
      <c r="AB511" s="7" t="n"/>
      <c r="AE511">
        <f>IF($E511="","",IF($AQ511=1,0,IF($AP511=1,Settings!$C$6,Settings!$C$7))*100)</f>
        <v/>
      </c>
      <c r="AI511" s="7" t="n"/>
      <c r="AL511" s="11" t="n"/>
      <c r="AN511">
        <f>IF($E511="","",IF(COUNTIF($E$2:$E511,$E511)=1,1,0))</f>
        <v/>
      </c>
      <c r="AO511">
        <f>IF($AN511=1,SUMPRODUCT(--($AR$2:$AR$3001&lt;$AR511))+1,"")</f>
        <v/>
      </c>
      <c r="AP511">
        <f>IF($E511="","",IF(OR($U511=TRUE(),$U511="TRUE"),1,0))</f>
        <v/>
      </c>
      <c r="AQ511">
        <f>IF($E511="","",IF($AD511="Yes",1,0))</f>
        <v/>
      </c>
      <c r="AR511">
        <f>IF($AN511=1,IFERROR(VALUE(MID($E511,2,20)),1000000000)+ROW()/100000,"")</f>
        <v/>
      </c>
    </row>
    <row r="512">
      <c r="G512" s="11" t="n"/>
      <c r="Q512" s="7">
        <f>IF($E512="","",P512*AB512/100)</f>
        <v/>
      </c>
      <c r="R512" s="7" t="n"/>
      <c r="X512" s="7" t="n"/>
      <c r="Y512" s="7">
        <f>IF($E512="","",AB512*AE512/100)</f>
        <v/>
      </c>
      <c r="Z512" s="7">
        <f>IF($E512="","",AB512-Y512)</f>
        <v/>
      </c>
      <c r="AA512" s="7">
        <f>IF($E512="","",Z512-Q512)</f>
        <v/>
      </c>
      <c r="AB512" s="7" t="n"/>
      <c r="AE512">
        <f>IF($E512="","",IF($AQ512=1,0,IF($AP512=1,Settings!$C$6,Settings!$C$7))*100)</f>
        <v/>
      </c>
      <c r="AI512" s="7" t="n"/>
      <c r="AL512" s="11" t="n"/>
      <c r="AN512">
        <f>IF($E512="","",IF(COUNTIF($E$2:$E512,$E512)=1,1,0))</f>
        <v/>
      </c>
      <c r="AO512">
        <f>IF($AN512=1,SUMPRODUCT(--($AR$2:$AR$3001&lt;$AR512))+1,"")</f>
        <v/>
      </c>
      <c r="AP512">
        <f>IF($E512="","",IF(OR($U512=TRUE(),$U512="TRUE"),1,0))</f>
        <v/>
      </c>
      <c r="AQ512">
        <f>IF($E512="","",IF($AD512="Yes",1,0))</f>
        <v/>
      </c>
      <c r="AR512">
        <f>IF($AN512=1,IFERROR(VALUE(MID($E512,2,20)),1000000000)+ROW()/100000,"")</f>
        <v/>
      </c>
    </row>
    <row r="513">
      <c r="G513" s="11" t="n"/>
      <c r="Q513" s="7">
        <f>IF($E513="","",P513*AB513/100)</f>
        <v/>
      </c>
      <c r="R513" s="7" t="n"/>
      <c r="X513" s="7" t="n"/>
      <c r="Y513" s="7">
        <f>IF($E513="","",AB513*AE513/100)</f>
        <v/>
      </c>
      <c r="Z513" s="7">
        <f>IF($E513="","",AB513-Y513)</f>
        <v/>
      </c>
      <c r="AA513" s="7">
        <f>IF($E513="","",Z513-Q513)</f>
        <v/>
      </c>
      <c r="AB513" s="7" t="n"/>
      <c r="AE513">
        <f>IF($E513="","",IF($AQ513=1,0,IF($AP513=1,Settings!$C$6,Settings!$C$7))*100)</f>
        <v/>
      </c>
      <c r="AI513" s="7" t="n"/>
      <c r="AL513" s="11" t="n"/>
      <c r="AN513">
        <f>IF($E513="","",IF(COUNTIF($E$2:$E513,$E513)=1,1,0))</f>
        <v/>
      </c>
      <c r="AO513">
        <f>IF($AN513=1,SUMPRODUCT(--($AR$2:$AR$3001&lt;$AR513))+1,"")</f>
        <v/>
      </c>
      <c r="AP513">
        <f>IF($E513="","",IF(OR($U513=TRUE(),$U513="TRUE"),1,0))</f>
        <v/>
      </c>
      <c r="AQ513">
        <f>IF($E513="","",IF($AD513="Yes",1,0))</f>
        <v/>
      </c>
      <c r="AR513">
        <f>IF($AN513=1,IFERROR(VALUE(MID($E513,2,20)),1000000000)+ROW()/100000,"")</f>
        <v/>
      </c>
    </row>
    <row r="514">
      <c r="G514" s="11" t="n"/>
      <c r="Q514" s="7">
        <f>IF($E514="","",P514*AB514/100)</f>
        <v/>
      </c>
      <c r="R514" s="7" t="n"/>
      <c r="X514" s="7" t="n"/>
      <c r="Y514" s="7">
        <f>IF($E514="","",AB514*AE514/100)</f>
        <v/>
      </c>
      <c r="Z514" s="7">
        <f>IF($E514="","",AB514-Y514)</f>
        <v/>
      </c>
      <c r="AA514" s="7">
        <f>IF($E514="","",Z514-Q514)</f>
        <v/>
      </c>
      <c r="AB514" s="7" t="n"/>
      <c r="AE514">
        <f>IF($E514="","",IF($AQ514=1,0,IF($AP514=1,Settings!$C$6,Settings!$C$7))*100)</f>
        <v/>
      </c>
      <c r="AI514" s="7" t="n"/>
      <c r="AL514" s="11" t="n"/>
      <c r="AN514">
        <f>IF($E514="","",IF(COUNTIF($E$2:$E514,$E514)=1,1,0))</f>
        <v/>
      </c>
      <c r="AO514">
        <f>IF($AN514=1,SUMPRODUCT(--($AR$2:$AR$3001&lt;$AR514))+1,"")</f>
        <v/>
      </c>
      <c r="AP514">
        <f>IF($E514="","",IF(OR($U514=TRUE(),$U514="TRUE"),1,0))</f>
        <v/>
      </c>
      <c r="AQ514">
        <f>IF($E514="","",IF($AD514="Yes",1,0))</f>
        <v/>
      </c>
      <c r="AR514">
        <f>IF($AN514=1,IFERROR(VALUE(MID($E514,2,20)),1000000000)+ROW()/100000,"")</f>
        <v/>
      </c>
    </row>
    <row r="515">
      <c r="G515" s="11" t="n"/>
      <c r="Q515" s="7">
        <f>IF($E515="","",P515*AB515/100)</f>
        <v/>
      </c>
      <c r="R515" s="7" t="n"/>
      <c r="X515" s="7" t="n"/>
      <c r="Y515" s="7">
        <f>IF($E515="","",AB515*AE515/100)</f>
        <v/>
      </c>
      <c r="Z515" s="7">
        <f>IF($E515="","",AB515-Y515)</f>
        <v/>
      </c>
      <c r="AA515" s="7">
        <f>IF($E515="","",Z515-Q515)</f>
        <v/>
      </c>
      <c r="AB515" s="7" t="n"/>
      <c r="AE515">
        <f>IF($E515="","",IF($AQ515=1,0,IF($AP515=1,Settings!$C$6,Settings!$C$7))*100)</f>
        <v/>
      </c>
      <c r="AI515" s="7" t="n"/>
      <c r="AL515" s="11" t="n"/>
      <c r="AN515">
        <f>IF($E515="","",IF(COUNTIF($E$2:$E515,$E515)=1,1,0))</f>
        <v/>
      </c>
      <c r="AO515">
        <f>IF($AN515=1,SUMPRODUCT(--($AR$2:$AR$3001&lt;$AR515))+1,"")</f>
        <v/>
      </c>
      <c r="AP515">
        <f>IF($E515="","",IF(OR($U515=TRUE(),$U515="TRUE"),1,0))</f>
        <v/>
      </c>
      <c r="AQ515">
        <f>IF($E515="","",IF($AD515="Yes",1,0))</f>
        <v/>
      </c>
      <c r="AR515">
        <f>IF($AN515=1,IFERROR(VALUE(MID($E515,2,20)),1000000000)+ROW()/100000,"")</f>
        <v/>
      </c>
    </row>
    <row r="516">
      <c r="G516" s="11" t="n"/>
      <c r="Q516" s="7">
        <f>IF($E516="","",P516*AB516/100)</f>
        <v/>
      </c>
      <c r="R516" s="7" t="n"/>
      <c r="X516" s="7" t="n"/>
      <c r="Y516" s="7">
        <f>IF($E516="","",AB516*AE516/100)</f>
        <v/>
      </c>
      <c r="Z516" s="7">
        <f>IF($E516="","",AB516-Y516)</f>
        <v/>
      </c>
      <c r="AA516" s="7">
        <f>IF($E516="","",Z516-Q516)</f>
        <v/>
      </c>
      <c r="AB516" s="7" t="n"/>
      <c r="AE516">
        <f>IF($E516="","",IF($AQ516=1,0,IF($AP516=1,Settings!$C$6,Settings!$C$7))*100)</f>
        <v/>
      </c>
      <c r="AI516" s="7" t="n"/>
      <c r="AL516" s="11" t="n"/>
      <c r="AN516">
        <f>IF($E516="","",IF(COUNTIF($E$2:$E516,$E516)=1,1,0))</f>
        <v/>
      </c>
      <c r="AO516">
        <f>IF($AN516=1,SUMPRODUCT(--($AR$2:$AR$3001&lt;$AR516))+1,"")</f>
        <v/>
      </c>
      <c r="AP516">
        <f>IF($E516="","",IF(OR($U516=TRUE(),$U516="TRUE"),1,0))</f>
        <v/>
      </c>
      <c r="AQ516">
        <f>IF($E516="","",IF($AD516="Yes",1,0))</f>
        <v/>
      </c>
      <c r="AR516">
        <f>IF($AN516=1,IFERROR(VALUE(MID($E516,2,20)),1000000000)+ROW()/100000,"")</f>
        <v/>
      </c>
    </row>
    <row r="517">
      <c r="G517" s="11" t="n"/>
      <c r="Q517" s="7">
        <f>IF($E517="","",P517*AB517/100)</f>
        <v/>
      </c>
      <c r="R517" s="7" t="n"/>
      <c r="X517" s="7" t="n"/>
      <c r="Y517" s="7">
        <f>IF($E517="","",AB517*AE517/100)</f>
        <v/>
      </c>
      <c r="Z517" s="7">
        <f>IF($E517="","",AB517-Y517)</f>
        <v/>
      </c>
      <c r="AA517" s="7">
        <f>IF($E517="","",Z517-Q517)</f>
        <v/>
      </c>
      <c r="AB517" s="7" t="n"/>
      <c r="AE517">
        <f>IF($E517="","",IF($AQ517=1,0,IF($AP517=1,Settings!$C$6,Settings!$C$7))*100)</f>
        <v/>
      </c>
      <c r="AI517" s="7" t="n"/>
      <c r="AL517" s="11" t="n"/>
      <c r="AN517">
        <f>IF($E517="","",IF(COUNTIF($E$2:$E517,$E517)=1,1,0))</f>
        <v/>
      </c>
      <c r="AO517">
        <f>IF($AN517=1,SUMPRODUCT(--($AR$2:$AR$3001&lt;$AR517))+1,"")</f>
        <v/>
      </c>
      <c r="AP517">
        <f>IF($E517="","",IF(OR($U517=TRUE(),$U517="TRUE"),1,0))</f>
        <v/>
      </c>
      <c r="AQ517">
        <f>IF($E517="","",IF($AD517="Yes",1,0))</f>
        <v/>
      </c>
      <c r="AR517">
        <f>IF($AN517=1,IFERROR(VALUE(MID($E517,2,20)),1000000000)+ROW()/100000,"")</f>
        <v/>
      </c>
    </row>
    <row r="518">
      <c r="G518" s="11" t="n"/>
      <c r="Q518" s="7">
        <f>IF($E518="","",P518*AB518/100)</f>
        <v/>
      </c>
      <c r="R518" s="7" t="n"/>
      <c r="X518" s="7" t="n"/>
      <c r="Y518" s="7">
        <f>IF($E518="","",AB518*AE518/100)</f>
        <v/>
      </c>
      <c r="Z518" s="7">
        <f>IF($E518="","",AB518-Y518)</f>
        <v/>
      </c>
      <c r="AA518" s="7">
        <f>IF($E518="","",Z518-Q518)</f>
        <v/>
      </c>
      <c r="AB518" s="7" t="n"/>
      <c r="AE518">
        <f>IF($E518="","",IF($AQ518=1,0,IF($AP518=1,Settings!$C$6,Settings!$C$7))*100)</f>
        <v/>
      </c>
      <c r="AI518" s="7" t="n"/>
      <c r="AL518" s="11" t="n"/>
      <c r="AN518">
        <f>IF($E518="","",IF(COUNTIF($E$2:$E518,$E518)=1,1,0))</f>
        <v/>
      </c>
      <c r="AO518">
        <f>IF($AN518=1,SUMPRODUCT(--($AR$2:$AR$3001&lt;$AR518))+1,"")</f>
        <v/>
      </c>
      <c r="AP518">
        <f>IF($E518="","",IF(OR($U518=TRUE(),$U518="TRUE"),1,0))</f>
        <v/>
      </c>
      <c r="AQ518">
        <f>IF($E518="","",IF($AD518="Yes",1,0))</f>
        <v/>
      </c>
      <c r="AR518">
        <f>IF($AN518=1,IFERROR(VALUE(MID($E518,2,20)),1000000000)+ROW()/100000,"")</f>
        <v/>
      </c>
    </row>
    <row r="519">
      <c r="G519" s="11" t="n"/>
      <c r="Q519" s="7">
        <f>IF($E519="","",P519*AB519/100)</f>
        <v/>
      </c>
      <c r="R519" s="7" t="n"/>
      <c r="X519" s="7" t="n"/>
      <c r="Y519" s="7">
        <f>IF($E519="","",AB519*AE519/100)</f>
        <v/>
      </c>
      <c r="Z519" s="7">
        <f>IF($E519="","",AB519-Y519)</f>
        <v/>
      </c>
      <c r="AA519" s="7">
        <f>IF($E519="","",Z519-Q519)</f>
        <v/>
      </c>
      <c r="AB519" s="7" t="n"/>
      <c r="AE519">
        <f>IF($E519="","",IF($AQ519=1,0,IF($AP519=1,Settings!$C$6,Settings!$C$7))*100)</f>
        <v/>
      </c>
      <c r="AI519" s="7" t="n"/>
      <c r="AL519" s="11" t="n"/>
      <c r="AN519">
        <f>IF($E519="","",IF(COUNTIF($E$2:$E519,$E519)=1,1,0))</f>
        <v/>
      </c>
      <c r="AO519">
        <f>IF($AN519=1,SUMPRODUCT(--($AR$2:$AR$3001&lt;$AR519))+1,"")</f>
        <v/>
      </c>
      <c r="AP519">
        <f>IF($E519="","",IF(OR($U519=TRUE(),$U519="TRUE"),1,0))</f>
        <v/>
      </c>
      <c r="AQ519">
        <f>IF($E519="","",IF($AD519="Yes",1,0))</f>
        <v/>
      </c>
      <c r="AR519">
        <f>IF($AN519=1,IFERROR(VALUE(MID($E519,2,20)),1000000000)+ROW()/100000,"")</f>
        <v/>
      </c>
    </row>
    <row r="520">
      <c r="G520" s="11" t="n"/>
      <c r="Q520" s="7">
        <f>IF($E520="","",P520*AB520/100)</f>
        <v/>
      </c>
      <c r="R520" s="7" t="n"/>
      <c r="X520" s="7" t="n"/>
      <c r="Y520" s="7">
        <f>IF($E520="","",AB520*AE520/100)</f>
        <v/>
      </c>
      <c r="Z520" s="7">
        <f>IF($E520="","",AB520-Y520)</f>
        <v/>
      </c>
      <c r="AA520" s="7">
        <f>IF($E520="","",Z520-Q520)</f>
        <v/>
      </c>
      <c r="AB520" s="7" t="n"/>
      <c r="AE520">
        <f>IF($E520="","",IF($AQ520=1,0,IF($AP520=1,Settings!$C$6,Settings!$C$7))*100)</f>
        <v/>
      </c>
      <c r="AI520" s="7" t="n"/>
      <c r="AL520" s="11" t="n"/>
      <c r="AN520">
        <f>IF($E520="","",IF(COUNTIF($E$2:$E520,$E520)=1,1,0))</f>
        <v/>
      </c>
      <c r="AO520">
        <f>IF($AN520=1,SUMPRODUCT(--($AR$2:$AR$3001&lt;$AR520))+1,"")</f>
        <v/>
      </c>
      <c r="AP520">
        <f>IF($E520="","",IF(OR($U520=TRUE(),$U520="TRUE"),1,0))</f>
        <v/>
      </c>
      <c r="AQ520">
        <f>IF($E520="","",IF($AD520="Yes",1,0))</f>
        <v/>
      </c>
      <c r="AR520">
        <f>IF($AN520=1,IFERROR(VALUE(MID($E520,2,20)),1000000000)+ROW()/100000,"")</f>
        <v/>
      </c>
    </row>
    <row r="521">
      <c r="G521" s="11" t="n"/>
      <c r="Q521" s="7">
        <f>IF($E521="","",P521*AB521/100)</f>
        <v/>
      </c>
      <c r="R521" s="7" t="n"/>
      <c r="X521" s="7" t="n"/>
      <c r="Y521" s="7">
        <f>IF($E521="","",AB521*AE521/100)</f>
        <v/>
      </c>
      <c r="Z521" s="7">
        <f>IF($E521="","",AB521-Y521)</f>
        <v/>
      </c>
      <c r="AA521" s="7">
        <f>IF($E521="","",Z521-Q521)</f>
        <v/>
      </c>
      <c r="AB521" s="7" t="n"/>
      <c r="AE521">
        <f>IF($E521="","",IF($AQ521=1,0,IF($AP521=1,Settings!$C$6,Settings!$C$7))*100)</f>
        <v/>
      </c>
      <c r="AI521" s="7" t="n"/>
      <c r="AL521" s="11" t="n"/>
      <c r="AN521">
        <f>IF($E521="","",IF(COUNTIF($E$2:$E521,$E521)=1,1,0))</f>
        <v/>
      </c>
      <c r="AO521">
        <f>IF($AN521=1,SUMPRODUCT(--($AR$2:$AR$3001&lt;$AR521))+1,"")</f>
        <v/>
      </c>
      <c r="AP521">
        <f>IF($E521="","",IF(OR($U521=TRUE(),$U521="TRUE"),1,0))</f>
        <v/>
      </c>
      <c r="AQ521">
        <f>IF($E521="","",IF($AD521="Yes",1,0))</f>
        <v/>
      </c>
      <c r="AR521">
        <f>IF($AN521=1,IFERROR(VALUE(MID($E521,2,20)),1000000000)+ROW()/100000,"")</f>
        <v/>
      </c>
    </row>
    <row r="522">
      <c r="G522" s="11" t="n"/>
      <c r="Q522" s="7">
        <f>IF($E522="","",P522*AB522/100)</f>
        <v/>
      </c>
      <c r="R522" s="7" t="n"/>
      <c r="X522" s="7" t="n"/>
      <c r="Y522" s="7">
        <f>IF($E522="","",AB522*AE522/100)</f>
        <v/>
      </c>
      <c r="Z522" s="7">
        <f>IF($E522="","",AB522-Y522)</f>
        <v/>
      </c>
      <c r="AA522" s="7">
        <f>IF($E522="","",Z522-Q522)</f>
        <v/>
      </c>
      <c r="AB522" s="7" t="n"/>
      <c r="AE522">
        <f>IF($E522="","",IF($AQ522=1,0,IF($AP522=1,Settings!$C$6,Settings!$C$7))*100)</f>
        <v/>
      </c>
      <c r="AI522" s="7" t="n"/>
      <c r="AL522" s="11" t="n"/>
      <c r="AN522">
        <f>IF($E522="","",IF(COUNTIF($E$2:$E522,$E522)=1,1,0))</f>
        <v/>
      </c>
      <c r="AO522">
        <f>IF($AN522=1,SUMPRODUCT(--($AR$2:$AR$3001&lt;$AR522))+1,"")</f>
        <v/>
      </c>
      <c r="AP522">
        <f>IF($E522="","",IF(OR($U522=TRUE(),$U522="TRUE"),1,0))</f>
        <v/>
      </c>
      <c r="AQ522">
        <f>IF($E522="","",IF($AD522="Yes",1,0))</f>
        <v/>
      </c>
      <c r="AR522">
        <f>IF($AN522=1,IFERROR(VALUE(MID($E522,2,20)),1000000000)+ROW()/100000,"")</f>
        <v/>
      </c>
    </row>
    <row r="523">
      <c r="G523" s="11" t="n"/>
      <c r="Q523" s="7">
        <f>IF($E523="","",P523*AB523/100)</f>
        <v/>
      </c>
      <c r="R523" s="7" t="n"/>
      <c r="X523" s="7" t="n"/>
      <c r="Y523" s="7">
        <f>IF($E523="","",AB523*AE523/100)</f>
        <v/>
      </c>
      <c r="Z523" s="7">
        <f>IF($E523="","",AB523-Y523)</f>
        <v/>
      </c>
      <c r="AA523" s="7">
        <f>IF($E523="","",Z523-Q523)</f>
        <v/>
      </c>
      <c r="AB523" s="7" t="n"/>
      <c r="AE523">
        <f>IF($E523="","",IF($AQ523=1,0,IF($AP523=1,Settings!$C$6,Settings!$C$7))*100)</f>
        <v/>
      </c>
      <c r="AI523" s="7" t="n"/>
      <c r="AL523" s="11" t="n"/>
      <c r="AN523">
        <f>IF($E523="","",IF(COUNTIF($E$2:$E523,$E523)=1,1,0))</f>
        <v/>
      </c>
      <c r="AO523">
        <f>IF($AN523=1,SUMPRODUCT(--($AR$2:$AR$3001&lt;$AR523))+1,"")</f>
        <v/>
      </c>
      <c r="AP523">
        <f>IF($E523="","",IF(OR($U523=TRUE(),$U523="TRUE"),1,0))</f>
        <v/>
      </c>
      <c r="AQ523">
        <f>IF($E523="","",IF($AD523="Yes",1,0))</f>
        <v/>
      </c>
      <c r="AR523">
        <f>IF($AN523=1,IFERROR(VALUE(MID($E523,2,20)),1000000000)+ROW()/100000,"")</f>
        <v/>
      </c>
    </row>
    <row r="524">
      <c r="G524" s="11" t="n"/>
      <c r="Q524" s="7">
        <f>IF($E524="","",P524*AB524/100)</f>
        <v/>
      </c>
      <c r="R524" s="7" t="n"/>
      <c r="X524" s="7" t="n"/>
      <c r="Y524" s="7">
        <f>IF($E524="","",AB524*AE524/100)</f>
        <v/>
      </c>
      <c r="Z524" s="7">
        <f>IF($E524="","",AB524-Y524)</f>
        <v/>
      </c>
      <c r="AA524" s="7">
        <f>IF($E524="","",Z524-Q524)</f>
        <v/>
      </c>
      <c r="AB524" s="7" t="n"/>
      <c r="AE524">
        <f>IF($E524="","",IF($AQ524=1,0,IF($AP524=1,Settings!$C$6,Settings!$C$7))*100)</f>
        <v/>
      </c>
      <c r="AI524" s="7" t="n"/>
      <c r="AL524" s="11" t="n"/>
      <c r="AN524">
        <f>IF($E524="","",IF(COUNTIF($E$2:$E524,$E524)=1,1,0))</f>
        <v/>
      </c>
      <c r="AO524">
        <f>IF($AN524=1,SUMPRODUCT(--($AR$2:$AR$3001&lt;$AR524))+1,"")</f>
        <v/>
      </c>
      <c r="AP524">
        <f>IF($E524="","",IF(OR($U524=TRUE(),$U524="TRUE"),1,0))</f>
        <v/>
      </c>
      <c r="AQ524">
        <f>IF($E524="","",IF($AD524="Yes",1,0))</f>
        <v/>
      </c>
      <c r="AR524">
        <f>IF($AN524=1,IFERROR(VALUE(MID($E524,2,20)),1000000000)+ROW()/100000,"")</f>
        <v/>
      </c>
    </row>
    <row r="525">
      <c r="G525" s="11" t="n"/>
      <c r="Q525" s="7">
        <f>IF($E525="","",P525*AB525/100)</f>
        <v/>
      </c>
      <c r="R525" s="7" t="n"/>
      <c r="X525" s="7" t="n"/>
      <c r="Y525" s="7">
        <f>IF($E525="","",AB525*AE525/100)</f>
        <v/>
      </c>
      <c r="Z525" s="7">
        <f>IF($E525="","",AB525-Y525)</f>
        <v/>
      </c>
      <c r="AA525" s="7">
        <f>IF($E525="","",Z525-Q525)</f>
        <v/>
      </c>
      <c r="AB525" s="7" t="n"/>
      <c r="AE525">
        <f>IF($E525="","",IF($AQ525=1,0,IF($AP525=1,Settings!$C$6,Settings!$C$7))*100)</f>
        <v/>
      </c>
      <c r="AI525" s="7" t="n"/>
      <c r="AL525" s="11" t="n"/>
      <c r="AN525">
        <f>IF($E525="","",IF(COUNTIF($E$2:$E525,$E525)=1,1,0))</f>
        <v/>
      </c>
      <c r="AO525">
        <f>IF($AN525=1,SUMPRODUCT(--($AR$2:$AR$3001&lt;$AR525))+1,"")</f>
        <v/>
      </c>
      <c r="AP525">
        <f>IF($E525="","",IF(OR($U525=TRUE(),$U525="TRUE"),1,0))</f>
        <v/>
      </c>
      <c r="AQ525">
        <f>IF($E525="","",IF($AD525="Yes",1,0))</f>
        <v/>
      </c>
      <c r="AR525">
        <f>IF($AN525=1,IFERROR(VALUE(MID($E525,2,20)),1000000000)+ROW()/100000,"")</f>
        <v/>
      </c>
    </row>
    <row r="526">
      <c r="G526" s="11" t="n"/>
      <c r="Q526" s="7">
        <f>IF($E526="","",P526*AB526/100)</f>
        <v/>
      </c>
      <c r="R526" s="7" t="n"/>
      <c r="X526" s="7" t="n"/>
      <c r="Y526" s="7">
        <f>IF($E526="","",AB526*AE526/100)</f>
        <v/>
      </c>
      <c r="Z526" s="7">
        <f>IF($E526="","",AB526-Y526)</f>
        <v/>
      </c>
      <c r="AA526" s="7">
        <f>IF($E526="","",Z526-Q526)</f>
        <v/>
      </c>
      <c r="AB526" s="7" t="n"/>
      <c r="AE526">
        <f>IF($E526="","",IF($AQ526=1,0,IF($AP526=1,Settings!$C$6,Settings!$C$7))*100)</f>
        <v/>
      </c>
      <c r="AI526" s="7" t="n"/>
      <c r="AL526" s="11" t="n"/>
      <c r="AN526">
        <f>IF($E526="","",IF(COUNTIF($E$2:$E526,$E526)=1,1,0))</f>
        <v/>
      </c>
      <c r="AO526">
        <f>IF($AN526=1,SUMPRODUCT(--($AR$2:$AR$3001&lt;$AR526))+1,"")</f>
        <v/>
      </c>
      <c r="AP526">
        <f>IF($E526="","",IF(OR($U526=TRUE(),$U526="TRUE"),1,0))</f>
        <v/>
      </c>
      <c r="AQ526">
        <f>IF($E526="","",IF($AD526="Yes",1,0))</f>
        <v/>
      </c>
      <c r="AR526">
        <f>IF($AN526=1,IFERROR(VALUE(MID($E526,2,20)),1000000000)+ROW()/100000,"")</f>
        <v/>
      </c>
    </row>
    <row r="527">
      <c r="G527" s="11" t="n"/>
      <c r="Q527" s="7">
        <f>IF($E527="","",P527*AB527/100)</f>
        <v/>
      </c>
      <c r="R527" s="7" t="n"/>
      <c r="X527" s="7" t="n"/>
      <c r="Y527" s="7">
        <f>IF($E527="","",AB527*AE527/100)</f>
        <v/>
      </c>
      <c r="Z527" s="7">
        <f>IF($E527="","",AB527-Y527)</f>
        <v/>
      </c>
      <c r="AA527" s="7">
        <f>IF($E527="","",Z527-Q527)</f>
        <v/>
      </c>
      <c r="AB527" s="7" t="n"/>
      <c r="AE527">
        <f>IF($E527="","",IF($AQ527=1,0,IF($AP527=1,Settings!$C$6,Settings!$C$7))*100)</f>
        <v/>
      </c>
      <c r="AI527" s="7" t="n"/>
      <c r="AL527" s="11" t="n"/>
      <c r="AN527">
        <f>IF($E527="","",IF(COUNTIF($E$2:$E527,$E527)=1,1,0))</f>
        <v/>
      </c>
      <c r="AO527">
        <f>IF($AN527=1,SUMPRODUCT(--($AR$2:$AR$3001&lt;$AR527))+1,"")</f>
        <v/>
      </c>
      <c r="AP527">
        <f>IF($E527="","",IF(OR($U527=TRUE(),$U527="TRUE"),1,0))</f>
        <v/>
      </c>
      <c r="AQ527">
        <f>IF($E527="","",IF($AD527="Yes",1,0))</f>
        <v/>
      </c>
      <c r="AR527">
        <f>IF($AN527=1,IFERROR(VALUE(MID($E527,2,20)),1000000000)+ROW()/100000,"")</f>
        <v/>
      </c>
    </row>
    <row r="528">
      <c r="G528" s="11" t="n"/>
      <c r="Q528" s="7">
        <f>IF($E528="","",P528*AB528/100)</f>
        <v/>
      </c>
      <c r="R528" s="7" t="n"/>
      <c r="X528" s="7" t="n"/>
      <c r="Y528" s="7">
        <f>IF($E528="","",AB528*AE528/100)</f>
        <v/>
      </c>
      <c r="Z528" s="7">
        <f>IF($E528="","",AB528-Y528)</f>
        <v/>
      </c>
      <c r="AA528" s="7">
        <f>IF($E528="","",Z528-Q528)</f>
        <v/>
      </c>
      <c r="AB528" s="7" t="n"/>
      <c r="AE528">
        <f>IF($E528="","",IF($AQ528=1,0,IF($AP528=1,Settings!$C$6,Settings!$C$7))*100)</f>
        <v/>
      </c>
      <c r="AI528" s="7" t="n"/>
      <c r="AL528" s="11" t="n"/>
      <c r="AN528">
        <f>IF($E528="","",IF(COUNTIF($E$2:$E528,$E528)=1,1,0))</f>
        <v/>
      </c>
      <c r="AO528">
        <f>IF($AN528=1,SUMPRODUCT(--($AR$2:$AR$3001&lt;$AR528))+1,"")</f>
        <v/>
      </c>
      <c r="AP528">
        <f>IF($E528="","",IF(OR($U528=TRUE(),$U528="TRUE"),1,0))</f>
        <v/>
      </c>
      <c r="AQ528">
        <f>IF($E528="","",IF($AD528="Yes",1,0))</f>
        <v/>
      </c>
      <c r="AR528">
        <f>IF($AN528=1,IFERROR(VALUE(MID($E528,2,20)),1000000000)+ROW()/100000,"")</f>
        <v/>
      </c>
    </row>
    <row r="529">
      <c r="G529" s="11" t="n"/>
      <c r="Q529" s="7">
        <f>IF($E529="","",P529*AB529/100)</f>
        <v/>
      </c>
      <c r="R529" s="7" t="n"/>
      <c r="X529" s="7" t="n"/>
      <c r="Y529" s="7">
        <f>IF($E529="","",AB529*AE529/100)</f>
        <v/>
      </c>
      <c r="Z529" s="7">
        <f>IF($E529="","",AB529-Y529)</f>
        <v/>
      </c>
      <c r="AA529" s="7">
        <f>IF($E529="","",Z529-Q529)</f>
        <v/>
      </c>
      <c r="AB529" s="7" t="n"/>
      <c r="AE529">
        <f>IF($E529="","",IF($AQ529=1,0,IF($AP529=1,Settings!$C$6,Settings!$C$7))*100)</f>
        <v/>
      </c>
      <c r="AI529" s="7" t="n"/>
      <c r="AL529" s="11" t="n"/>
      <c r="AN529">
        <f>IF($E529="","",IF(COUNTIF($E$2:$E529,$E529)=1,1,0))</f>
        <v/>
      </c>
      <c r="AO529">
        <f>IF($AN529=1,SUMPRODUCT(--($AR$2:$AR$3001&lt;$AR529))+1,"")</f>
        <v/>
      </c>
      <c r="AP529">
        <f>IF($E529="","",IF(OR($U529=TRUE(),$U529="TRUE"),1,0))</f>
        <v/>
      </c>
      <c r="AQ529">
        <f>IF($E529="","",IF($AD529="Yes",1,0))</f>
        <v/>
      </c>
      <c r="AR529">
        <f>IF($AN529=1,IFERROR(VALUE(MID($E529,2,20)),1000000000)+ROW()/100000,"")</f>
        <v/>
      </c>
    </row>
    <row r="530">
      <c r="G530" s="11" t="n"/>
      <c r="Q530" s="7">
        <f>IF($E530="","",P530*AB530/100)</f>
        <v/>
      </c>
      <c r="R530" s="7" t="n"/>
      <c r="X530" s="7" t="n"/>
      <c r="Y530" s="7">
        <f>IF($E530="","",AB530*AE530/100)</f>
        <v/>
      </c>
      <c r="Z530" s="7">
        <f>IF($E530="","",AB530-Y530)</f>
        <v/>
      </c>
      <c r="AA530" s="7">
        <f>IF($E530="","",Z530-Q530)</f>
        <v/>
      </c>
      <c r="AB530" s="7" t="n"/>
      <c r="AE530">
        <f>IF($E530="","",IF($AQ530=1,0,IF($AP530=1,Settings!$C$6,Settings!$C$7))*100)</f>
        <v/>
      </c>
      <c r="AI530" s="7" t="n"/>
      <c r="AL530" s="11" t="n"/>
      <c r="AN530">
        <f>IF($E530="","",IF(COUNTIF($E$2:$E530,$E530)=1,1,0))</f>
        <v/>
      </c>
      <c r="AO530">
        <f>IF($AN530=1,SUMPRODUCT(--($AR$2:$AR$3001&lt;$AR530))+1,"")</f>
        <v/>
      </c>
      <c r="AP530">
        <f>IF($E530="","",IF(OR($U530=TRUE(),$U530="TRUE"),1,0))</f>
        <v/>
      </c>
      <c r="AQ530">
        <f>IF($E530="","",IF($AD530="Yes",1,0))</f>
        <v/>
      </c>
      <c r="AR530">
        <f>IF($AN530=1,IFERROR(VALUE(MID($E530,2,20)),1000000000)+ROW()/100000,"")</f>
        <v/>
      </c>
    </row>
    <row r="531">
      <c r="G531" s="11" t="n"/>
      <c r="Q531" s="7">
        <f>IF($E531="","",P531*AB531/100)</f>
        <v/>
      </c>
      <c r="R531" s="7" t="n"/>
      <c r="X531" s="7" t="n"/>
      <c r="Y531" s="7">
        <f>IF($E531="","",AB531*AE531/100)</f>
        <v/>
      </c>
      <c r="Z531" s="7">
        <f>IF($E531="","",AB531-Y531)</f>
        <v/>
      </c>
      <c r="AA531" s="7">
        <f>IF($E531="","",Z531-Q531)</f>
        <v/>
      </c>
      <c r="AB531" s="7" t="n"/>
      <c r="AE531">
        <f>IF($E531="","",IF($AQ531=1,0,IF($AP531=1,Settings!$C$6,Settings!$C$7))*100)</f>
        <v/>
      </c>
      <c r="AI531" s="7" t="n"/>
      <c r="AL531" s="11" t="n"/>
      <c r="AN531">
        <f>IF($E531="","",IF(COUNTIF($E$2:$E531,$E531)=1,1,0))</f>
        <v/>
      </c>
      <c r="AO531">
        <f>IF($AN531=1,SUMPRODUCT(--($AR$2:$AR$3001&lt;$AR531))+1,"")</f>
        <v/>
      </c>
      <c r="AP531">
        <f>IF($E531="","",IF(OR($U531=TRUE(),$U531="TRUE"),1,0))</f>
        <v/>
      </c>
      <c r="AQ531">
        <f>IF($E531="","",IF($AD531="Yes",1,0))</f>
        <v/>
      </c>
      <c r="AR531">
        <f>IF($AN531=1,IFERROR(VALUE(MID($E531,2,20)),1000000000)+ROW()/100000,"")</f>
        <v/>
      </c>
    </row>
    <row r="532">
      <c r="G532" s="11" t="n"/>
      <c r="Q532" s="7">
        <f>IF($E532="","",P532*AB532/100)</f>
        <v/>
      </c>
      <c r="R532" s="7" t="n"/>
      <c r="X532" s="7" t="n"/>
      <c r="Y532" s="7">
        <f>IF($E532="","",AB532*AE532/100)</f>
        <v/>
      </c>
      <c r="Z532" s="7">
        <f>IF($E532="","",AB532-Y532)</f>
        <v/>
      </c>
      <c r="AA532" s="7">
        <f>IF($E532="","",Z532-Q532)</f>
        <v/>
      </c>
      <c r="AB532" s="7" t="n"/>
      <c r="AE532">
        <f>IF($E532="","",IF($AQ532=1,0,IF($AP532=1,Settings!$C$6,Settings!$C$7))*100)</f>
        <v/>
      </c>
      <c r="AI532" s="7" t="n"/>
      <c r="AL532" s="11" t="n"/>
      <c r="AN532">
        <f>IF($E532="","",IF(COUNTIF($E$2:$E532,$E532)=1,1,0))</f>
        <v/>
      </c>
      <c r="AO532">
        <f>IF($AN532=1,SUMPRODUCT(--($AR$2:$AR$3001&lt;$AR532))+1,"")</f>
        <v/>
      </c>
      <c r="AP532">
        <f>IF($E532="","",IF(OR($U532=TRUE(),$U532="TRUE"),1,0))</f>
        <v/>
      </c>
      <c r="AQ532">
        <f>IF($E532="","",IF($AD532="Yes",1,0))</f>
        <v/>
      </c>
      <c r="AR532">
        <f>IF($AN532=1,IFERROR(VALUE(MID($E532,2,20)),1000000000)+ROW()/100000,"")</f>
        <v/>
      </c>
    </row>
    <row r="533">
      <c r="G533" s="11" t="n"/>
      <c r="Q533" s="7">
        <f>IF($E533="","",P533*AB533/100)</f>
        <v/>
      </c>
      <c r="R533" s="7" t="n"/>
      <c r="X533" s="7" t="n"/>
      <c r="Y533" s="7">
        <f>IF($E533="","",AB533*AE533/100)</f>
        <v/>
      </c>
      <c r="Z533" s="7">
        <f>IF($E533="","",AB533-Y533)</f>
        <v/>
      </c>
      <c r="AA533" s="7">
        <f>IF($E533="","",Z533-Q533)</f>
        <v/>
      </c>
      <c r="AB533" s="7" t="n"/>
      <c r="AE533">
        <f>IF($E533="","",IF($AQ533=1,0,IF($AP533=1,Settings!$C$6,Settings!$C$7))*100)</f>
        <v/>
      </c>
      <c r="AI533" s="7" t="n"/>
      <c r="AL533" s="11" t="n"/>
      <c r="AN533">
        <f>IF($E533="","",IF(COUNTIF($E$2:$E533,$E533)=1,1,0))</f>
        <v/>
      </c>
      <c r="AO533">
        <f>IF($AN533=1,SUMPRODUCT(--($AR$2:$AR$3001&lt;$AR533))+1,"")</f>
        <v/>
      </c>
      <c r="AP533">
        <f>IF($E533="","",IF(OR($U533=TRUE(),$U533="TRUE"),1,0))</f>
        <v/>
      </c>
      <c r="AQ533">
        <f>IF($E533="","",IF($AD533="Yes",1,0))</f>
        <v/>
      </c>
      <c r="AR533">
        <f>IF($AN533=1,IFERROR(VALUE(MID($E533,2,20)),1000000000)+ROW()/100000,"")</f>
        <v/>
      </c>
    </row>
    <row r="534">
      <c r="G534" s="11" t="n"/>
      <c r="Q534" s="7">
        <f>IF($E534="","",P534*AB534/100)</f>
        <v/>
      </c>
      <c r="R534" s="7" t="n"/>
      <c r="X534" s="7" t="n"/>
      <c r="Y534" s="7">
        <f>IF($E534="","",AB534*AE534/100)</f>
        <v/>
      </c>
      <c r="Z534" s="7">
        <f>IF($E534="","",AB534-Y534)</f>
        <v/>
      </c>
      <c r="AA534" s="7">
        <f>IF($E534="","",Z534-Q534)</f>
        <v/>
      </c>
      <c r="AB534" s="7" t="n"/>
      <c r="AE534">
        <f>IF($E534="","",IF($AQ534=1,0,IF($AP534=1,Settings!$C$6,Settings!$C$7))*100)</f>
        <v/>
      </c>
      <c r="AI534" s="7" t="n"/>
      <c r="AL534" s="11" t="n"/>
      <c r="AN534">
        <f>IF($E534="","",IF(COUNTIF($E$2:$E534,$E534)=1,1,0))</f>
        <v/>
      </c>
      <c r="AO534">
        <f>IF($AN534=1,SUMPRODUCT(--($AR$2:$AR$3001&lt;$AR534))+1,"")</f>
        <v/>
      </c>
      <c r="AP534">
        <f>IF($E534="","",IF(OR($U534=TRUE(),$U534="TRUE"),1,0))</f>
        <v/>
      </c>
      <c r="AQ534">
        <f>IF($E534="","",IF($AD534="Yes",1,0))</f>
        <v/>
      </c>
      <c r="AR534">
        <f>IF($AN534=1,IFERROR(VALUE(MID($E534,2,20)),1000000000)+ROW()/100000,"")</f>
        <v/>
      </c>
    </row>
    <row r="535">
      <c r="G535" s="11" t="n"/>
      <c r="Q535" s="7">
        <f>IF($E535="","",P535*AB535/100)</f>
        <v/>
      </c>
      <c r="R535" s="7" t="n"/>
      <c r="X535" s="7" t="n"/>
      <c r="Y535" s="7">
        <f>IF($E535="","",AB535*AE535/100)</f>
        <v/>
      </c>
      <c r="Z535" s="7">
        <f>IF($E535="","",AB535-Y535)</f>
        <v/>
      </c>
      <c r="AA535" s="7">
        <f>IF($E535="","",Z535-Q535)</f>
        <v/>
      </c>
      <c r="AB535" s="7" t="n"/>
      <c r="AE535">
        <f>IF($E535="","",IF($AQ535=1,0,IF($AP535=1,Settings!$C$6,Settings!$C$7))*100)</f>
        <v/>
      </c>
      <c r="AI535" s="7" t="n"/>
      <c r="AL535" s="11" t="n"/>
      <c r="AN535">
        <f>IF($E535="","",IF(COUNTIF($E$2:$E535,$E535)=1,1,0))</f>
        <v/>
      </c>
      <c r="AO535">
        <f>IF($AN535=1,SUMPRODUCT(--($AR$2:$AR$3001&lt;$AR535))+1,"")</f>
        <v/>
      </c>
      <c r="AP535">
        <f>IF($E535="","",IF(OR($U535=TRUE(),$U535="TRUE"),1,0))</f>
        <v/>
      </c>
      <c r="AQ535">
        <f>IF($E535="","",IF($AD535="Yes",1,0))</f>
        <v/>
      </c>
      <c r="AR535">
        <f>IF($AN535=1,IFERROR(VALUE(MID($E535,2,20)),1000000000)+ROW()/100000,"")</f>
        <v/>
      </c>
    </row>
    <row r="536">
      <c r="G536" s="11" t="n"/>
      <c r="Q536" s="7">
        <f>IF($E536="","",P536*AB536/100)</f>
        <v/>
      </c>
      <c r="R536" s="7" t="n"/>
      <c r="X536" s="7" t="n"/>
      <c r="Y536" s="7">
        <f>IF($E536="","",AB536*AE536/100)</f>
        <v/>
      </c>
      <c r="Z536" s="7">
        <f>IF($E536="","",AB536-Y536)</f>
        <v/>
      </c>
      <c r="AA536" s="7">
        <f>IF($E536="","",Z536-Q536)</f>
        <v/>
      </c>
      <c r="AB536" s="7" t="n"/>
      <c r="AE536">
        <f>IF($E536="","",IF($AQ536=1,0,IF($AP536=1,Settings!$C$6,Settings!$C$7))*100)</f>
        <v/>
      </c>
      <c r="AI536" s="7" t="n"/>
      <c r="AL536" s="11" t="n"/>
      <c r="AN536">
        <f>IF($E536="","",IF(COUNTIF($E$2:$E536,$E536)=1,1,0))</f>
        <v/>
      </c>
      <c r="AO536">
        <f>IF($AN536=1,SUMPRODUCT(--($AR$2:$AR$3001&lt;$AR536))+1,"")</f>
        <v/>
      </c>
      <c r="AP536">
        <f>IF($E536="","",IF(OR($U536=TRUE(),$U536="TRUE"),1,0))</f>
        <v/>
      </c>
      <c r="AQ536">
        <f>IF($E536="","",IF($AD536="Yes",1,0))</f>
        <v/>
      </c>
      <c r="AR536">
        <f>IF($AN536=1,IFERROR(VALUE(MID($E536,2,20)),1000000000)+ROW()/100000,"")</f>
        <v/>
      </c>
    </row>
    <row r="537">
      <c r="G537" s="11" t="n"/>
      <c r="Q537" s="7">
        <f>IF($E537="","",P537*AB537/100)</f>
        <v/>
      </c>
      <c r="R537" s="7" t="n"/>
      <c r="X537" s="7" t="n"/>
      <c r="Y537" s="7">
        <f>IF($E537="","",AB537*AE537/100)</f>
        <v/>
      </c>
      <c r="Z537" s="7">
        <f>IF($E537="","",AB537-Y537)</f>
        <v/>
      </c>
      <c r="AA537" s="7">
        <f>IF($E537="","",Z537-Q537)</f>
        <v/>
      </c>
      <c r="AB537" s="7" t="n"/>
      <c r="AE537">
        <f>IF($E537="","",IF($AQ537=1,0,IF($AP537=1,Settings!$C$6,Settings!$C$7))*100)</f>
        <v/>
      </c>
      <c r="AI537" s="7" t="n"/>
      <c r="AL537" s="11" t="n"/>
      <c r="AN537">
        <f>IF($E537="","",IF(COUNTIF($E$2:$E537,$E537)=1,1,0))</f>
        <v/>
      </c>
      <c r="AO537">
        <f>IF($AN537=1,SUMPRODUCT(--($AR$2:$AR$3001&lt;$AR537))+1,"")</f>
        <v/>
      </c>
      <c r="AP537">
        <f>IF($E537="","",IF(OR($U537=TRUE(),$U537="TRUE"),1,0))</f>
        <v/>
      </c>
      <c r="AQ537">
        <f>IF($E537="","",IF($AD537="Yes",1,0))</f>
        <v/>
      </c>
      <c r="AR537">
        <f>IF($AN537=1,IFERROR(VALUE(MID($E537,2,20)),1000000000)+ROW()/100000,"")</f>
        <v/>
      </c>
    </row>
    <row r="538">
      <c r="G538" s="11" t="n"/>
      <c r="Q538" s="7">
        <f>IF($E538="","",P538*AB538/100)</f>
        <v/>
      </c>
      <c r="R538" s="7" t="n"/>
      <c r="X538" s="7" t="n"/>
      <c r="Y538" s="7">
        <f>IF($E538="","",AB538*AE538/100)</f>
        <v/>
      </c>
      <c r="Z538" s="7">
        <f>IF($E538="","",AB538-Y538)</f>
        <v/>
      </c>
      <c r="AA538" s="7">
        <f>IF($E538="","",Z538-Q538)</f>
        <v/>
      </c>
      <c r="AB538" s="7" t="n"/>
      <c r="AE538">
        <f>IF($E538="","",IF($AQ538=1,0,IF($AP538=1,Settings!$C$6,Settings!$C$7))*100)</f>
        <v/>
      </c>
      <c r="AI538" s="7" t="n"/>
      <c r="AL538" s="11" t="n"/>
      <c r="AN538">
        <f>IF($E538="","",IF(COUNTIF($E$2:$E538,$E538)=1,1,0))</f>
        <v/>
      </c>
      <c r="AO538">
        <f>IF($AN538=1,SUMPRODUCT(--($AR$2:$AR$3001&lt;$AR538))+1,"")</f>
        <v/>
      </c>
      <c r="AP538">
        <f>IF($E538="","",IF(OR($U538=TRUE(),$U538="TRUE"),1,0))</f>
        <v/>
      </c>
      <c r="AQ538">
        <f>IF($E538="","",IF($AD538="Yes",1,0))</f>
        <v/>
      </c>
      <c r="AR538">
        <f>IF($AN538=1,IFERROR(VALUE(MID($E538,2,20)),1000000000)+ROW()/100000,"")</f>
        <v/>
      </c>
    </row>
    <row r="539">
      <c r="G539" s="11" t="n"/>
      <c r="Q539" s="7">
        <f>IF($E539="","",P539*AB539/100)</f>
        <v/>
      </c>
      <c r="R539" s="7" t="n"/>
      <c r="X539" s="7" t="n"/>
      <c r="Y539" s="7">
        <f>IF($E539="","",AB539*AE539/100)</f>
        <v/>
      </c>
      <c r="Z539" s="7">
        <f>IF($E539="","",AB539-Y539)</f>
        <v/>
      </c>
      <c r="AA539" s="7">
        <f>IF($E539="","",Z539-Q539)</f>
        <v/>
      </c>
      <c r="AB539" s="7" t="n"/>
      <c r="AE539">
        <f>IF($E539="","",IF($AQ539=1,0,IF($AP539=1,Settings!$C$6,Settings!$C$7))*100)</f>
        <v/>
      </c>
      <c r="AI539" s="7" t="n"/>
      <c r="AL539" s="11" t="n"/>
      <c r="AN539">
        <f>IF($E539="","",IF(COUNTIF($E$2:$E539,$E539)=1,1,0))</f>
        <v/>
      </c>
      <c r="AO539">
        <f>IF($AN539=1,SUMPRODUCT(--($AR$2:$AR$3001&lt;$AR539))+1,"")</f>
        <v/>
      </c>
      <c r="AP539">
        <f>IF($E539="","",IF(OR($U539=TRUE(),$U539="TRUE"),1,0))</f>
        <v/>
      </c>
      <c r="AQ539">
        <f>IF($E539="","",IF($AD539="Yes",1,0))</f>
        <v/>
      </c>
      <c r="AR539">
        <f>IF($AN539=1,IFERROR(VALUE(MID($E539,2,20)),1000000000)+ROW()/100000,"")</f>
        <v/>
      </c>
    </row>
    <row r="540">
      <c r="G540" s="11" t="n"/>
      <c r="Q540" s="7">
        <f>IF($E540="","",P540*AB540/100)</f>
        <v/>
      </c>
      <c r="R540" s="7" t="n"/>
      <c r="X540" s="7" t="n"/>
      <c r="Y540" s="7">
        <f>IF($E540="","",AB540*AE540/100)</f>
        <v/>
      </c>
      <c r="Z540" s="7">
        <f>IF($E540="","",AB540-Y540)</f>
        <v/>
      </c>
      <c r="AA540" s="7">
        <f>IF($E540="","",Z540-Q540)</f>
        <v/>
      </c>
      <c r="AB540" s="7" t="n"/>
      <c r="AE540">
        <f>IF($E540="","",IF($AQ540=1,0,IF($AP540=1,Settings!$C$6,Settings!$C$7))*100)</f>
        <v/>
      </c>
      <c r="AI540" s="7" t="n"/>
      <c r="AL540" s="11" t="n"/>
      <c r="AN540">
        <f>IF($E540="","",IF(COUNTIF($E$2:$E540,$E540)=1,1,0))</f>
        <v/>
      </c>
      <c r="AO540">
        <f>IF($AN540=1,SUMPRODUCT(--($AR$2:$AR$3001&lt;$AR540))+1,"")</f>
        <v/>
      </c>
      <c r="AP540">
        <f>IF($E540="","",IF(OR($U540=TRUE(),$U540="TRUE"),1,0))</f>
        <v/>
      </c>
      <c r="AQ540">
        <f>IF($E540="","",IF($AD540="Yes",1,0))</f>
        <v/>
      </c>
      <c r="AR540">
        <f>IF($AN540=1,IFERROR(VALUE(MID($E540,2,20)),1000000000)+ROW()/100000,"")</f>
        <v/>
      </c>
    </row>
    <row r="541">
      <c r="G541" s="11" t="n"/>
      <c r="Q541" s="7">
        <f>IF($E541="","",P541*AB541/100)</f>
        <v/>
      </c>
      <c r="R541" s="7" t="n"/>
      <c r="X541" s="7" t="n"/>
      <c r="Y541" s="7">
        <f>IF($E541="","",AB541*AE541/100)</f>
        <v/>
      </c>
      <c r="Z541" s="7">
        <f>IF($E541="","",AB541-Y541)</f>
        <v/>
      </c>
      <c r="AA541" s="7">
        <f>IF($E541="","",Z541-Q541)</f>
        <v/>
      </c>
      <c r="AB541" s="7" t="n"/>
      <c r="AE541">
        <f>IF($E541="","",IF($AQ541=1,0,IF($AP541=1,Settings!$C$6,Settings!$C$7))*100)</f>
        <v/>
      </c>
      <c r="AI541" s="7" t="n"/>
      <c r="AL541" s="11" t="n"/>
      <c r="AN541">
        <f>IF($E541="","",IF(COUNTIF($E$2:$E541,$E541)=1,1,0))</f>
        <v/>
      </c>
      <c r="AO541">
        <f>IF($AN541=1,SUMPRODUCT(--($AR$2:$AR$3001&lt;$AR541))+1,"")</f>
        <v/>
      </c>
      <c r="AP541">
        <f>IF($E541="","",IF(OR($U541=TRUE(),$U541="TRUE"),1,0))</f>
        <v/>
      </c>
      <c r="AQ541">
        <f>IF($E541="","",IF($AD541="Yes",1,0))</f>
        <v/>
      </c>
      <c r="AR541">
        <f>IF($AN541=1,IFERROR(VALUE(MID($E541,2,20)),1000000000)+ROW()/100000,"")</f>
        <v/>
      </c>
    </row>
    <row r="542">
      <c r="G542" s="11" t="n"/>
      <c r="Q542" s="7">
        <f>IF($E542="","",P542*AB542/100)</f>
        <v/>
      </c>
      <c r="R542" s="7" t="n"/>
      <c r="X542" s="7" t="n"/>
      <c r="Y542" s="7">
        <f>IF($E542="","",AB542*AE542/100)</f>
        <v/>
      </c>
      <c r="Z542" s="7">
        <f>IF($E542="","",AB542-Y542)</f>
        <v/>
      </c>
      <c r="AA542" s="7">
        <f>IF($E542="","",Z542-Q542)</f>
        <v/>
      </c>
      <c r="AB542" s="7" t="n"/>
      <c r="AE542">
        <f>IF($E542="","",IF($AQ542=1,0,IF($AP542=1,Settings!$C$6,Settings!$C$7))*100)</f>
        <v/>
      </c>
      <c r="AI542" s="7" t="n"/>
      <c r="AL542" s="11" t="n"/>
      <c r="AN542">
        <f>IF($E542="","",IF(COUNTIF($E$2:$E542,$E542)=1,1,0))</f>
        <v/>
      </c>
      <c r="AO542">
        <f>IF($AN542=1,SUMPRODUCT(--($AR$2:$AR$3001&lt;$AR542))+1,"")</f>
        <v/>
      </c>
      <c r="AP542">
        <f>IF($E542="","",IF(OR($U542=TRUE(),$U542="TRUE"),1,0))</f>
        <v/>
      </c>
      <c r="AQ542">
        <f>IF($E542="","",IF($AD542="Yes",1,0))</f>
        <v/>
      </c>
      <c r="AR542">
        <f>IF($AN542=1,IFERROR(VALUE(MID($E542,2,20)),1000000000)+ROW()/100000,"")</f>
        <v/>
      </c>
    </row>
    <row r="543">
      <c r="G543" s="11" t="n"/>
      <c r="Q543" s="7">
        <f>IF($E543="","",P543*AB543/100)</f>
        <v/>
      </c>
      <c r="R543" s="7" t="n"/>
      <c r="X543" s="7" t="n"/>
      <c r="Y543" s="7">
        <f>IF($E543="","",AB543*AE543/100)</f>
        <v/>
      </c>
      <c r="Z543" s="7">
        <f>IF($E543="","",AB543-Y543)</f>
        <v/>
      </c>
      <c r="AA543" s="7">
        <f>IF($E543="","",Z543-Q543)</f>
        <v/>
      </c>
      <c r="AB543" s="7" t="n"/>
      <c r="AE543">
        <f>IF($E543="","",IF($AQ543=1,0,IF($AP543=1,Settings!$C$6,Settings!$C$7))*100)</f>
        <v/>
      </c>
      <c r="AI543" s="7" t="n"/>
      <c r="AL543" s="11" t="n"/>
      <c r="AN543">
        <f>IF($E543="","",IF(COUNTIF($E$2:$E543,$E543)=1,1,0))</f>
        <v/>
      </c>
      <c r="AO543">
        <f>IF($AN543=1,SUMPRODUCT(--($AR$2:$AR$3001&lt;$AR543))+1,"")</f>
        <v/>
      </c>
      <c r="AP543">
        <f>IF($E543="","",IF(OR($U543=TRUE(),$U543="TRUE"),1,0))</f>
        <v/>
      </c>
      <c r="AQ543">
        <f>IF($E543="","",IF($AD543="Yes",1,0))</f>
        <v/>
      </c>
      <c r="AR543">
        <f>IF($AN543=1,IFERROR(VALUE(MID($E543,2,20)),1000000000)+ROW()/100000,"")</f>
        <v/>
      </c>
    </row>
    <row r="544">
      <c r="G544" s="11" t="n"/>
      <c r="Q544" s="7">
        <f>IF($E544="","",P544*AB544/100)</f>
        <v/>
      </c>
      <c r="R544" s="7" t="n"/>
      <c r="X544" s="7" t="n"/>
      <c r="Y544" s="7">
        <f>IF($E544="","",AB544*AE544/100)</f>
        <v/>
      </c>
      <c r="Z544" s="7">
        <f>IF($E544="","",AB544-Y544)</f>
        <v/>
      </c>
      <c r="AA544" s="7">
        <f>IF($E544="","",Z544-Q544)</f>
        <v/>
      </c>
      <c r="AB544" s="7" t="n"/>
      <c r="AE544">
        <f>IF($E544="","",IF($AQ544=1,0,IF($AP544=1,Settings!$C$6,Settings!$C$7))*100)</f>
        <v/>
      </c>
      <c r="AI544" s="7" t="n"/>
      <c r="AL544" s="11" t="n"/>
      <c r="AN544">
        <f>IF($E544="","",IF(COUNTIF($E$2:$E544,$E544)=1,1,0))</f>
        <v/>
      </c>
      <c r="AO544">
        <f>IF($AN544=1,SUMPRODUCT(--($AR$2:$AR$3001&lt;$AR544))+1,"")</f>
        <v/>
      </c>
      <c r="AP544">
        <f>IF($E544="","",IF(OR($U544=TRUE(),$U544="TRUE"),1,0))</f>
        <v/>
      </c>
      <c r="AQ544">
        <f>IF($E544="","",IF($AD544="Yes",1,0))</f>
        <v/>
      </c>
      <c r="AR544">
        <f>IF($AN544=1,IFERROR(VALUE(MID($E544,2,20)),1000000000)+ROW()/100000,"")</f>
        <v/>
      </c>
    </row>
    <row r="545">
      <c r="G545" s="11" t="n"/>
      <c r="Q545" s="7">
        <f>IF($E545="","",P545*AB545/100)</f>
        <v/>
      </c>
      <c r="R545" s="7" t="n"/>
      <c r="X545" s="7" t="n"/>
      <c r="Y545" s="7">
        <f>IF($E545="","",AB545*AE545/100)</f>
        <v/>
      </c>
      <c r="Z545" s="7">
        <f>IF($E545="","",AB545-Y545)</f>
        <v/>
      </c>
      <c r="AA545" s="7">
        <f>IF($E545="","",Z545-Q545)</f>
        <v/>
      </c>
      <c r="AB545" s="7" t="n"/>
      <c r="AE545">
        <f>IF($E545="","",IF($AQ545=1,0,IF($AP545=1,Settings!$C$6,Settings!$C$7))*100)</f>
        <v/>
      </c>
      <c r="AI545" s="7" t="n"/>
      <c r="AL545" s="11" t="n"/>
      <c r="AN545">
        <f>IF($E545="","",IF(COUNTIF($E$2:$E545,$E545)=1,1,0))</f>
        <v/>
      </c>
      <c r="AO545">
        <f>IF($AN545=1,SUMPRODUCT(--($AR$2:$AR$3001&lt;$AR545))+1,"")</f>
        <v/>
      </c>
      <c r="AP545">
        <f>IF($E545="","",IF(OR($U545=TRUE(),$U545="TRUE"),1,0))</f>
        <v/>
      </c>
      <c r="AQ545">
        <f>IF($E545="","",IF($AD545="Yes",1,0))</f>
        <v/>
      </c>
      <c r="AR545">
        <f>IF($AN545=1,IFERROR(VALUE(MID($E545,2,20)),1000000000)+ROW()/100000,"")</f>
        <v/>
      </c>
    </row>
    <row r="546">
      <c r="G546" s="11" t="n"/>
      <c r="Q546" s="7">
        <f>IF($E546="","",P546*AB546/100)</f>
        <v/>
      </c>
      <c r="R546" s="7" t="n"/>
      <c r="X546" s="7" t="n"/>
      <c r="Y546" s="7">
        <f>IF($E546="","",AB546*AE546/100)</f>
        <v/>
      </c>
      <c r="Z546" s="7">
        <f>IF($E546="","",AB546-Y546)</f>
        <v/>
      </c>
      <c r="AA546" s="7">
        <f>IF($E546="","",Z546-Q546)</f>
        <v/>
      </c>
      <c r="AB546" s="7" t="n"/>
      <c r="AE546">
        <f>IF($E546="","",IF($AQ546=1,0,IF($AP546=1,Settings!$C$6,Settings!$C$7))*100)</f>
        <v/>
      </c>
      <c r="AI546" s="7" t="n"/>
      <c r="AL546" s="11" t="n"/>
      <c r="AN546">
        <f>IF($E546="","",IF(COUNTIF($E$2:$E546,$E546)=1,1,0))</f>
        <v/>
      </c>
      <c r="AO546">
        <f>IF($AN546=1,SUMPRODUCT(--($AR$2:$AR$3001&lt;$AR546))+1,"")</f>
        <v/>
      </c>
      <c r="AP546">
        <f>IF($E546="","",IF(OR($U546=TRUE(),$U546="TRUE"),1,0))</f>
        <v/>
      </c>
      <c r="AQ546">
        <f>IF($E546="","",IF($AD546="Yes",1,0))</f>
        <v/>
      </c>
      <c r="AR546">
        <f>IF($AN546=1,IFERROR(VALUE(MID($E546,2,20)),1000000000)+ROW()/100000,"")</f>
        <v/>
      </c>
    </row>
    <row r="547">
      <c r="G547" s="11" t="n"/>
      <c r="Q547" s="7">
        <f>IF($E547="","",P547*AB547/100)</f>
        <v/>
      </c>
      <c r="R547" s="7" t="n"/>
      <c r="X547" s="7" t="n"/>
      <c r="Y547" s="7">
        <f>IF($E547="","",AB547*AE547/100)</f>
        <v/>
      </c>
      <c r="Z547" s="7">
        <f>IF($E547="","",AB547-Y547)</f>
        <v/>
      </c>
      <c r="AA547" s="7">
        <f>IF($E547="","",Z547-Q547)</f>
        <v/>
      </c>
      <c r="AB547" s="7" t="n"/>
      <c r="AE547">
        <f>IF($E547="","",IF($AQ547=1,0,IF($AP547=1,Settings!$C$6,Settings!$C$7))*100)</f>
        <v/>
      </c>
      <c r="AI547" s="7" t="n"/>
      <c r="AL547" s="11" t="n"/>
      <c r="AN547">
        <f>IF($E547="","",IF(COUNTIF($E$2:$E547,$E547)=1,1,0))</f>
        <v/>
      </c>
      <c r="AO547">
        <f>IF($AN547=1,SUMPRODUCT(--($AR$2:$AR$3001&lt;$AR547))+1,"")</f>
        <v/>
      </c>
      <c r="AP547">
        <f>IF($E547="","",IF(OR($U547=TRUE(),$U547="TRUE"),1,0))</f>
        <v/>
      </c>
      <c r="AQ547">
        <f>IF($E547="","",IF($AD547="Yes",1,0))</f>
        <v/>
      </c>
      <c r="AR547">
        <f>IF($AN547=1,IFERROR(VALUE(MID($E547,2,20)),1000000000)+ROW()/100000,"")</f>
        <v/>
      </c>
    </row>
    <row r="548">
      <c r="G548" s="11" t="n"/>
      <c r="Q548" s="7">
        <f>IF($E548="","",P548*AB548/100)</f>
        <v/>
      </c>
      <c r="R548" s="7" t="n"/>
      <c r="X548" s="7" t="n"/>
      <c r="Y548" s="7">
        <f>IF($E548="","",AB548*AE548/100)</f>
        <v/>
      </c>
      <c r="Z548" s="7">
        <f>IF($E548="","",AB548-Y548)</f>
        <v/>
      </c>
      <c r="AA548" s="7">
        <f>IF($E548="","",Z548-Q548)</f>
        <v/>
      </c>
      <c r="AB548" s="7" t="n"/>
      <c r="AE548">
        <f>IF($E548="","",IF($AQ548=1,0,IF($AP548=1,Settings!$C$6,Settings!$C$7))*100)</f>
        <v/>
      </c>
      <c r="AI548" s="7" t="n"/>
      <c r="AL548" s="11" t="n"/>
      <c r="AN548">
        <f>IF($E548="","",IF(COUNTIF($E$2:$E548,$E548)=1,1,0))</f>
        <v/>
      </c>
      <c r="AO548">
        <f>IF($AN548=1,SUMPRODUCT(--($AR$2:$AR$3001&lt;$AR548))+1,"")</f>
        <v/>
      </c>
      <c r="AP548">
        <f>IF($E548="","",IF(OR($U548=TRUE(),$U548="TRUE"),1,0))</f>
        <v/>
      </c>
      <c r="AQ548">
        <f>IF($E548="","",IF($AD548="Yes",1,0))</f>
        <v/>
      </c>
      <c r="AR548">
        <f>IF($AN548=1,IFERROR(VALUE(MID($E548,2,20)),1000000000)+ROW()/100000,"")</f>
        <v/>
      </c>
    </row>
    <row r="549">
      <c r="G549" s="11" t="n"/>
      <c r="Q549" s="7">
        <f>IF($E549="","",P549*AB549/100)</f>
        <v/>
      </c>
      <c r="R549" s="7" t="n"/>
      <c r="X549" s="7" t="n"/>
      <c r="Y549" s="7">
        <f>IF($E549="","",AB549*AE549/100)</f>
        <v/>
      </c>
      <c r="Z549" s="7">
        <f>IF($E549="","",AB549-Y549)</f>
        <v/>
      </c>
      <c r="AA549" s="7">
        <f>IF($E549="","",Z549-Q549)</f>
        <v/>
      </c>
      <c r="AB549" s="7" t="n"/>
      <c r="AE549">
        <f>IF($E549="","",IF($AQ549=1,0,IF($AP549=1,Settings!$C$6,Settings!$C$7))*100)</f>
        <v/>
      </c>
      <c r="AI549" s="7" t="n"/>
      <c r="AL549" s="11" t="n"/>
      <c r="AN549">
        <f>IF($E549="","",IF(COUNTIF($E$2:$E549,$E549)=1,1,0))</f>
        <v/>
      </c>
      <c r="AO549">
        <f>IF($AN549=1,SUMPRODUCT(--($AR$2:$AR$3001&lt;$AR549))+1,"")</f>
        <v/>
      </c>
      <c r="AP549">
        <f>IF($E549="","",IF(OR($U549=TRUE(),$U549="TRUE"),1,0))</f>
        <v/>
      </c>
      <c r="AQ549">
        <f>IF($E549="","",IF($AD549="Yes",1,0))</f>
        <v/>
      </c>
      <c r="AR549">
        <f>IF($AN549=1,IFERROR(VALUE(MID($E549,2,20)),1000000000)+ROW()/100000,"")</f>
        <v/>
      </c>
    </row>
    <row r="550">
      <c r="G550" s="11" t="n"/>
      <c r="Q550" s="7">
        <f>IF($E550="","",P550*AB550/100)</f>
        <v/>
      </c>
      <c r="R550" s="7" t="n"/>
      <c r="X550" s="7" t="n"/>
      <c r="Y550" s="7">
        <f>IF($E550="","",AB550*AE550/100)</f>
        <v/>
      </c>
      <c r="Z550" s="7">
        <f>IF($E550="","",AB550-Y550)</f>
        <v/>
      </c>
      <c r="AA550" s="7">
        <f>IF($E550="","",Z550-Q550)</f>
        <v/>
      </c>
      <c r="AB550" s="7" t="n"/>
      <c r="AE550">
        <f>IF($E550="","",IF($AQ550=1,0,IF($AP550=1,Settings!$C$6,Settings!$C$7))*100)</f>
        <v/>
      </c>
      <c r="AI550" s="7" t="n"/>
      <c r="AL550" s="11" t="n"/>
      <c r="AN550">
        <f>IF($E550="","",IF(COUNTIF($E$2:$E550,$E550)=1,1,0))</f>
        <v/>
      </c>
      <c r="AO550">
        <f>IF($AN550=1,SUMPRODUCT(--($AR$2:$AR$3001&lt;$AR550))+1,"")</f>
        <v/>
      </c>
      <c r="AP550">
        <f>IF($E550="","",IF(OR($U550=TRUE(),$U550="TRUE"),1,0))</f>
        <v/>
      </c>
      <c r="AQ550">
        <f>IF($E550="","",IF($AD550="Yes",1,0))</f>
        <v/>
      </c>
      <c r="AR550">
        <f>IF($AN550=1,IFERROR(VALUE(MID($E550,2,20)),1000000000)+ROW()/100000,"")</f>
        <v/>
      </c>
    </row>
    <row r="551">
      <c r="G551" s="11" t="n"/>
      <c r="Q551" s="7">
        <f>IF($E551="","",P551*AB551/100)</f>
        <v/>
      </c>
      <c r="R551" s="7" t="n"/>
      <c r="X551" s="7" t="n"/>
      <c r="Y551" s="7">
        <f>IF($E551="","",AB551*AE551/100)</f>
        <v/>
      </c>
      <c r="Z551" s="7">
        <f>IF($E551="","",AB551-Y551)</f>
        <v/>
      </c>
      <c r="AA551" s="7">
        <f>IF($E551="","",Z551-Q551)</f>
        <v/>
      </c>
      <c r="AB551" s="7" t="n"/>
      <c r="AE551">
        <f>IF($E551="","",IF($AQ551=1,0,IF($AP551=1,Settings!$C$6,Settings!$C$7))*100)</f>
        <v/>
      </c>
      <c r="AI551" s="7" t="n"/>
      <c r="AL551" s="11" t="n"/>
      <c r="AN551">
        <f>IF($E551="","",IF(COUNTIF($E$2:$E551,$E551)=1,1,0))</f>
        <v/>
      </c>
      <c r="AO551">
        <f>IF($AN551=1,SUMPRODUCT(--($AR$2:$AR$3001&lt;$AR551))+1,"")</f>
        <v/>
      </c>
      <c r="AP551">
        <f>IF($E551="","",IF(OR($U551=TRUE(),$U551="TRUE"),1,0))</f>
        <v/>
      </c>
      <c r="AQ551">
        <f>IF($E551="","",IF($AD551="Yes",1,0))</f>
        <v/>
      </c>
      <c r="AR551">
        <f>IF($AN551=1,IFERROR(VALUE(MID($E551,2,20)),1000000000)+ROW()/100000,"")</f>
        <v/>
      </c>
    </row>
    <row r="552">
      <c r="G552" s="11" t="n"/>
      <c r="Q552" s="7">
        <f>IF($E552="","",P552*AB552/100)</f>
        <v/>
      </c>
      <c r="R552" s="7" t="n"/>
      <c r="X552" s="7" t="n"/>
      <c r="Y552" s="7">
        <f>IF($E552="","",AB552*AE552/100)</f>
        <v/>
      </c>
      <c r="Z552" s="7">
        <f>IF($E552="","",AB552-Y552)</f>
        <v/>
      </c>
      <c r="AA552" s="7">
        <f>IF($E552="","",Z552-Q552)</f>
        <v/>
      </c>
      <c r="AB552" s="7" t="n"/>
      <c r="AE552">
        <f>IF($E552="","",IF($AQ552=1,0,IF($AP552=1,Settings!$C$6,Settings!$C$7))*100)</f>
        <v/>
      </c>
      <c r="AI552" s="7" t="n"/>
      <c r="AL552" s="11" t="n"/>
      <c r="AN552">
        <f>IF($E552="","",IF(COUNTIF($E$2:$E552,$E552)=1,1,0))</f>
        <v/>
      </c>
      <c r="AO552">
        <f>IF($AN552=1,SUMPRODUCT(--($AR$2:$AR$3001&lt;$AR552))+1,"")</f>
        <v/>
      </c>
      <c r="AP552">
        <f>IF($E552="","",IF(OR($U552=TRUE(),$U552="TRUE"),1,0))</f>
        <v/>
      </c>
      <c r="AQ552">
        <f>IF($E552="","",IF($AD552="Yes",1,0))</f>
        <v/>
      </c>
      <c r="AR552">
        <f>IF($AN552=1,IFERROR(VALUE(MID($E552,2,20)),1000000000)+ROW()/100000,"")</f>
        <v/>
      </c>
    </row>
    <row r="553">
      <c r="G553" s="11" t="n"/>
      <c r="Q553" s="7">
        <f>IF($E553="","",P553*AB553/100)</f>
        <v/>
      </c>
      <c r="R553" s="7" t="n"/>
      <c r="X553" s="7" t="n"/>
      <c r="Y553" s="7">
        <f>IF($E553="","",AB553*AE553/100)</f>
        <v/>
      </c>
      <c r="Z553" s="7">
        <f>IF($E553="","",AB553-Y553)</f>
        <v/>
      </c>
      <c r="AA553" s="7">
        <f>IF($E553="","",Z553-Q553)</f>
        <v/>
      </c>
      <c r="AB553" s="7" t="n"/>
      <c r="AE553">
        <f>IF($E553="","",IF($AQ553=1,0,IF($AP553=1,Settings!$C$6,Settings!$C$7))*100)</f>
        <v/>
      </c>
      <c r="AI553" s="7" t="n"/>
      <c r="AL553" s="11" t="n"/>
      <c r="AN553">
        <f>IF($E553="","",IF(COUNTIF($E$2:$E553,$E553)=1,1,0))</f>
        <v/>
      </c>
      <c r="AO553">
        <f>IF($AN553=1,SUMPRODUCT(--($AR$2:$AR$3001&lt;$AR553))+1,"")</f>
        <v/>
      </c>
      <c r="AP553">
        <f>IF($E553="","",IF(OR($U553=TRUE(),$U553="TRUE"),1,0))</f>
        <v/>
      </c>
      <c r="AQ553">
        <f>IF($E553="","",IF($AD553="Yes",1,0))</f>
        <v/>
      </c>
      <c r="AR553">
        <f>IF($AN553=1,IFERROR(VALUE(MID($E553,2,20)),1000000000)+ROW()/100000,"")</f>
        <v/>
      </c>
    </row>
    <row r="554">
      <c r="G554" s="11" t="n"/>
      <c r="Q554" s="7">
        <f>IF($E554="","",P554*AB554/100)</f>
        <v/>
      </c>
      <c r="R554" s="7" t="n"/>
      <c r="X554" s="7" t="n"/>
      <c r="Y554" s="7">
        <f>IF($E554="","",AB554*AE554/100)</f>
        <v/>
      </c>
      <c r="Z554" s="7">
        <f>IF($E554="","",AB554-Y554)</f>
        <v/>
      </c>
      <c r="AA554" s="7">
        <f>IF($E554="","",Z554-Q554)</f>
        <v/>
      </c>
      <c r="AB554" s="7" t="n"/>
      <c r="AE554">
        <f>IF($E554="","",IF($AQ554=1,0,IF($AP554=1,Settings!$C$6,Settings!$C$7))*100)</f>
        <v/>
      </c>
      <c r="AI554" s="7" t="n"/>
      <c r="AL554" s="11" t="n"/>
      <c r="AN554">
        <f>IF($E554="","",IF(COUNTIF($E$2:$E554,$E554)=1,1,0))</f>
        <v/>
      </c>
      <c r="AO554">
        <f>IF($AN554=1,SUMPRODUCT(--($AR$2:$AR$3001&lt;$AR554))+1,"")</f>
        <v/>
      </c>
      <c r="AP554">
        <f>IF($E554="","",IF(OR($U554=TRUE(),$U554="TRUE"),1,0))</f>
        <v/>
      </c>
      <c r="AQ554">
        <f>IF($E554="","",IF($AD554="Yes",1,0))</f>
        <v/>
      </c>
      <c r="AR554">
        <f>IF($AN554=1,IFERROR(VALUE(MID($E554,2,20)),1000000000)+ROW()/100000,"")</f>
        <v/>
      </c>
    </row>
    <row r="555">
      <c r="G555" s="11" t="n"/>
      <c r="Q555" s="7">
        <f>IF($E555="","",P555*AB555/100)</f>
        <v/>
      </c>
      <c r="R555" s="7" t="n"/>
      <c r="X555" s="7" t="n"/>
      <c r="Y555" s="7">
        <f>IF($E555="","",AB555*AE555/100)</f>
        <v/>
      </c>
      <c r="Z555" s="7">
        <f>IF($E555="","",AB555-Y555)</f>
        <v/>
      </c>
      <c r="AA555" s="7">
        <f>IF($E555="","",Z555-Q555)</f>
        <v/>
      </c>
      <c r="AB555" s="7" t="n"/>
      <c r="AE555">
        <f>IF($E555="","",IF($AQ555=1,0,IF($AP555=1,Settings!$C$6,Settings!$C$7))*100)</f>
        <v/>
      </c>
      <c r="AI555" s="7" t="n"/>
      <c r="AL555" s="11" t="n"/>
      <c r="AN555">
        <f>IF($E555="","",IF(COUNTIF($E$2:$E555,$E555)=1,1,0))</f>
        <v/>
      </c>
      <c r="AO555">
        <f>IF($AN555=1,SUMPRODUCT(--($AR$2:$AR$3001&lt;$AR555))+1,"")</f>
        <v/>
      </c>
      <c r="AP555">
        <f>IF($E555="","",IF(OR($U555=TRUE(),$U555="TRUE"),1,0))</f>
        <v/>
      </c>
      <c r="AQ555">
        <f>IF($E555="","",IF($AD555="Yes",1,0))</f>
        <v/>
      </c>
      <c r="AR555">
        <f>IF($AN555=1,IFERROR(VALUE(MID($E555,2,20)),1000000000)+ROW()/100000,"")</f>
        <v/>
      </c>
    </row>
    <row r="556">
      <c r="G556" s="11" t="n"/>
      <c r="Q556" s="7">
        <f>IF($E556="","",P556*AB556/100)</f>
        <v/>
      </c>
      <c r="R556" s="7" t="n"/>
      <c r="X556" s="7" t="n"/>
      <c r="Y556" s="7">
        <f>IF($E556="","",AB556*AE556/100)</f>
        <v/>
      </c>
      <c r="Z556" s="7">
        <f>IF($E556="","",AB556-Y556)</f>
        <v/>
      </c>
      <c r="AA556" s="7">
        <f>IF($E556="","",Z556-Q556)</f>
        <v/>
      </c>
      <c r="AB556" s="7" t="n"/>
      <c r="AE556">
        <f>IF($E556="","",IF($AQ556=1,0,IF($AP556=1,Settings!$C$6,Settings!$C$7))*100)</f>
        <v/>
      </c>
      <c r="AI556" s="7" t="n"/>
      <c r="AL556" s="11" t="n"/>
      <c r="AN556">
        <f>IF($E556="","",IF(COUNTIF($E$2:$E556,$E556)=1,1,0))</f>
        <v/>
      </c>
      <c r="AO556">
        <f>IF($AN556=1,SUMPRODUCT(--($AR$2:$AR$3001&lt;$AR556))+1,"")</f>
        <v/>
      </c>
      <c r="AP556">
        <f>IF($E556="","",IF(OR($U556=TRUE(),$U556="TRUE"),1,0))</f>
        <v/>
      </c>
      <c r="AQ556">
        <f>IF($E556="","",IF($AD556="Yes",1,0))</f>
        <v/>
      </c>
      <c r="AR556">
        <f>IF($AN556=1,IFERROR(VALUE(MID($E556,2,20)),1000000000)+ROW()/100000,"")</f>
        <v/>
      </c>
    </row>
    <row r="557">
      <c r="G557" s="11" t="n"/>
      <c r="Q557" s="7">
        <f>IF($E557="","",P557*AB557/100)</f>
        <v/>
      </c>
      <c r="R557" s="7" t="n"/>
      <c r="X557" s="7" t="n"/>
      <c r="Y557" s="7">
        <f>IF($E557="","",AB557*AE557/100)</f>
        <v/>
      </c>
      <c r="Z557" s="7">
        <f>IF($E557="","",AB557-Y557)</f>
        <v/>
      </c>
      <c r="AA557" s="7">
        <f>IF($E557="","",Z557-Q557)</f>
        <v/>
      </c>
      <c r="AB557" s="7" t="n"/>
      <c r="AE557">
        <f>IF($E557="","",IF($AQ557=1,0,IF($AP557=1,Settings!$C$6,Settings!$C$7))*100)</f>
        <v/>
      </c>
      <c r="AI557" s="7" t="n"/>
      <c r="AL557" s="11" t="n"/>
      <c r="AN557">
        <f>IF($E557="","",IF(COUNTIF($E$2:$E557,$E557)=1,1,0))</f>
        <v/>
      </c>
      <c r="AO557">
        <f>IF($AN557=1,SUMPRODUCT(--($AR$2:$AR$3001&lt;$AR557))+1,"")</f>
        <v/>
      </c>
      <c r="AP557">
        <f>IF($E557="","",IF(OR($U557=TRUE(),$U557="TRUE"),1,0))</f>
        <v/>
      </c>
      <c r="AQ557">
        <f>IF($E557="","",IF($AD557="Yes",1,0))</f>
        <v/>
      </c>
      <c r="AR557">
        <f>IF($AN557=1,IFERROR(VALUE(MID($E557,2,20)),1000000000)+ROW()/100000,"")</f>
        <v/>
      </c>
    </row>
    <row r="558">
      <c r="G558" s="11" t="n"/>
      <c r="Q558" s="7">
        <f>IF($E558="","",P558*AB558/100)</f>
        <v/>
      </c>
      <c r="R558" s="7" t="n"/>
      <c r="X558" s="7" t="n"/>
      <c r="Y558" s="7">
        <f>IF($E558="","",AB558*AE558/100)</f>
        <v/>
      </c>
      <c r="Z558" s="7">
        <f>IF($E558="","",AB558-Y558)</f>
        <v/>
      </c>
      <c r="AA558" s="7">
        <f>IF($E558="","",Z558-Q558)</f>
        <v/>
      </c>
      <c r="AB558" s="7" t="n"/>
      <c r="AE558">
        <f>IF($E558="","",IF($AQ558=1,0,IF($AP558=1,Settings!$C$6,Settings!$C$7))*100)</f>
        <v/>
      </c>
      <c r="AI558" s="7" t="n"/>
      <c r="AL558" s="11" t="n"/>
      <c r="AN558">
        <f>IF($E558="","",IF(COUNTIF($E$2:$E558,$E558)=1,1,0))</f>
        <v/>
      </c>
      <c r="AO558">
        <f>IF($AN558=1,SUMPRODUCT(--($AR$2:$AR$3001&lt;$AR558))+1,"")</f>
        <v/>
      </c>
      <c r="AP558">
        <f>IF($E558="","",IF(OR($U558=TRUE(),$U558="TRUE"),1,0))</f>
        <v/>
      </c>
      <c r="AQ558">
        <f>IF($E558="","",IF($AD558="Yes",1,0))</f>
        <v/>
      </c>
      <c r="AR558">
        <f>IF($AN558=1,IFERROR(VALUE(MID($E558,2,20)),1000000000)+ROW()/100000,"")</f>
        <v/>
      </c>
    </row>
    <row r="559">
      <c r="G559" s="11" t="n"/>
      <c r="Q559" s="7">
        <f>IF($E559="","",P559*AB559/100)</f>
        <v/>
      </c>
      <c r="R559" s="7" t="n"/>
      <c r="X559" s="7" t="n"/>
      <c r="Y559" s="7">
        <f>IF($E559="","",AB559*AE559/100)</f>
        <v/>
      </c>
      <c r="Z559" s="7">
        <f>IF($E559="","",AB559-Y559)</f>
        <v/>
      </c>
      <c r="AA559" s="7">
        <f>IF($E559="","",Z559-Q559)</f>
        <v/>
      </c>
      <c r="AB559" s="7" t="n"/>
      <c r="AE559">
        <f>IF($E559="","",IF($AQ559=1,0,IF($AP559=1,Settings!$C$6,Settings!$C$7))*100)</f>
        <v/>
      </c>
      <c r="AI559" s="7" t="n"/>
      <c r="AL559" s="11" t="n"/>
      <c r="AN559">
        <f>IF($E559="","",IF(COUNTIF($E$2:$E559,$E559)=1,1,0))</f>
        <v/>
      </c>
      <c r="AO559">
        <f>IF($AN559=1,SUMPRODUCT(--($AR$2:$AR$3001&lt;$AR559))+1,"")</f>
        <v/>
      </c>
      <c r="AP559">
        <f>IF($E559="","",IF(OR($U559=TRUE(),$U559="TRUE"),1,0))</f>
        <v/>
      </c>
      <c r="AQ559">
        <f>IF($E559="","",IF($AD559="Yes",1,0))</f>
        <v/>
      </c>
      <c r="AR559">
        <f>IF($AN559=1,IFERROR(VALUE(MID($E559,2,20)),1000000000)+ROW()/100000,"")</f>
        <v/>
      </c>
    </row>
    <row r="560">
      <c r="G560" s="11" t="n"/>
      <c r="Q560" s="7">
        <f>IF($E560="","",P560*AB560/100)</f>
        <v/>
      </c>
      <c r="R560" s="7" t="n"/>
      <c r="X560" s="7" t="n"/>
      <c r="Y560" s="7">
        <f>IF($E560="","",AB560*AE560/100)</f>
        <v/>
      </c>
      <c r="Z560" s="7">
        <f>IF($E560="","",AB560-Y560)</f>
        <v/>
      </c>
      <c r="AA560" s="7">
        <f>IF($E560="","",Z560-Q560)</f>
        <v/>
      </c>
      <c r="AB560" s="7" t="n"/>
      <c r="AE560">
        <f>IF($E560="","",IF($AQ560=1,0,IF($AP560=1,Settings!$C$6,Settings!$C$7))*100)</f>
        <v/>
      </c>
      <c r="AI560" s="7" t="n"/>
      <c r="AL560" s="11" t="n"/>
      <c r="AN560">
        <f>IF($E560="","",IF(COUNTIF($E$2:$E560,$E560)=1,1,0))</f>
        <v/>
      </c>
      <c r="AO560">
        <f>IF($AN560=1,SUMPRODUCT(--($AR$2:$AR$3001&lt;$AR560))+1,"")</f>
        <v/>
      </c>
      <c r="AP560">
        <f>IF($E560="","",IF(OR($U560=TRUE(),$U560="TRUE"),1,0))</f>
        <v/>
      </c>
      <c r="AQ560">
        <f>IF($E560="","",IF($AD560="Yes",1,0))</f>
        <v/>
      </c>
      <c r="AR560">
        <f>IF($AN560=1,IFERROR(VALUE(MID($E560,2,20)),1000000000)+ROW()/100000,"")</f>
        <v/>
      </c>
    </row>
    <row r="561">
      <c r="G561" s="11" t="n"/>
      <c r="Q561" s="7">
        <f>IF($E561="","",P561*AB561/100)</f>
        <v/>
      </c>
      <c r="R561" s="7" t="n"/>
      <c r="X561" s="7" t="n"/>
      <c r="Y561" s="7">
        <f>IF($E561="","",AB561*AE561/100)</f>
        <v/>
      </c>
      <c r="Z561" s="7">
        <f>IF($E561="","",AB561-Y561)</f>
        <v/>
      </c>
      <c r="AA561" s="7">
        <f>IF($E561="","",Z561-Q561)</f>
        <v/>
      </c>
      <c r="AB561" s="7" t="n"/>
      <c r="AE561">
        <f>IF($E561="","",IF($AQ561=1,0,IF($AP561=1,Settings!$C$6,Settings!$C$7))*100)</f>
        <v/>
      </c>
      <c r="AI561" s="7" t="n"/>
      <c r="AL561" s="11" t="n"/>
      <c r="AN561">
        <f>IF($E561="","",IF(COUNTIF($E$2:$E561,$E561)=1,1,0))</f>
        <v/>
      </c>
      <c r="AO561">
        <f>IF($AN561=1,SUMPRODUCT(--($AR$2:$AR$3001&lt;$AR561))+1,"")</f>
        <v/>
      </c>
      <c r="AP561">
        <f>IF($E561="","",IF(OR($U561=TRUE(),$U561="TRUE"),1,0))</f>
        <v/>
      </c>
      <c r="AQ561">
        <f>IF($E561="","",IF($AD561="Yes",1,0))</f>
        <v/>
      </c>
      <c r="AR561">
        <f>IF($AN561=1,IFERROR(VALUE(MID($E561,2,20)),1000000000)+ROW()/100000,"")</f>
        <v/>
      </c>
    </row>
    <row r="562">
      <c r="G562" s="11" t="n"/>
      <c r="Q562" s="7">
        <f>IF($E562="","",P562*AB562/100)</f>
        <v/>
      </c>
      <c r="R562" s="7" t="n"/>
      <c r="X562" s="7" t="n"/>
      <c r="Y562" s="7">
        <f>IF($E562="","",AB562*AE562/100)</f>
        <v/>
      </c>
      <c r="Z562" s="7">
        <f>IF($E562="","",AB562-Y562)</f>
        <v/>
      </c>
      <c r="AA562" s="7">
        <f>IF($E562="","",Z562-Q562)</f>
        <v/>
      </c>
      <c r="AB562" s="7" t="n"/>
      <c r="AE562">
        <f>IF($E562="","",IF($AQ562=1,0,IF($AP562=1,Settings!$C$6,Settings!$C$7))*100)</f>
        <v/>
      </c>
      <c r="AI562" s="7" t="n"/>
      <c r="AL562" s="11" t="n"/>
      <c r="AN562">
        <f>IF($E562="","",IF(COUNTIF($E$2:$E562,$E562)=1,1,0))</f>
        <v/>
      </c>
      <c r="AO562">
        <f>IF($AN562=1,SUMPRODUCT(--($AR$2:$AR$3001&lt;$AR562))+1,"")</f>
        <v/>
      </c>
      <c r="AP562">
        <f>IF($E562="","",IF(OR($U562=TRUE(),$U562="TRUE"),1,0))</f>
        <v/>
      </c>
      <c r="AQ562">
        <f>IF($E562="","",IF($AD562="Yes",1,0))</f>
        <v/>
      </c>
      <c r="AR562">
        <f>IF($AN562=1,IFERROR(VALUE(MID($E562,2,20)),1000000000)+ROW()/100000,"")</f>
        <v/>
      </c>
    </row>
    <row r="563">
      <c r="G563" s="11" t="n"/>
      <c r="Q563" s="7">
        <f>IF($E563="","",P563*AB563/100)</f>
        <v/>
      </c>
      <c r="R563" s="7" t="n"/>
      <c r="X563" s="7" t="n"/>
      <c r="Y563" s="7">
        <f>IF($E563="","",AB563*AE563/100)</f>
        <v/>
      </c>
      <c r="Z563" s="7">
        <f>IF($E563="","",AB563-Y563)</f>
        <v/>
      </c>
      <c r="AA563" s="7">
        <f>IF($E563="","",Z563-Q563)</f>
        <v/>
      </c>
      <c r="AB563" s="7" t="n"/>
      <c r="AE563">
        <f>IF($E563="","",IF($AQ563=1,0,IF($AP563=1,Settings!$C$6,Settings!$C$7))*100)</f>
        <v/>
      </c>
      <c r="AI563" s="7" t="n"/>
      <c r="AL563" s="11" t="n"/>
      <c r="AN563">
        <f>IF($E563="","",IF(COUNTIF($E$2:$E563,$E563)=1,1,0))</f>
        <v/>
      </c>
      <c r="AO563">
        <f>IF($AN563=1,SUMPRODUCT(--($AR$2:$AR$3001&lt;$AR563))+1,"")</f>
        <v/>
      </c>
      <c r="AP563">
        <f>IF($E563="","",IF(OR($U563=TRUE(),$U563="TRUE"),1,0))</f>
        <v/>
      </c>
      <c r="AQ563">
        <f>IF($E563="","",IF($AD563="Yes",1,0))</f>
        <v/>
      </c>
      <c r="AR563">
        <f>IF($AN563=1,IFERROR(VALUE(MID($E563,2,20)),1000000000)+ROW()/100000,"")</f>
        <v/>
      </c>
    </row>
    <row r="564">
      <c r="G564" s="11" t="n"/>
      <c r="Q564" s="7">
        <f>IF($E564="","",P564*AB564/100)</f>
        <v/>
      </c>
      <c r="R564" s="7" t="n"/>
      <c r="X564" s="7" t="n"/>
      <c r="Y564" s="7">
        <f>IF($E564="","",AB564*AE564/100)</f>
        <v/>
      </c>
      <c r="Z564" s="7">
        <f>IF($E564="","",AB564-Y564)</f>
        <v/>
      </c>
      <c r="AA564" s="7">
        <f>IF($E564="","",Z564-Q564)</f>
        <v/>
      </c>
      <c r="AB564" s="7" t="n"/>
      <c r="AE564">
        <f>IF($E564="","",IF($AQ564=1,0,IF($AP564=1,Settings!$C$6,Settings!$C$7))*100)</f>
        <v/>
      </c>
      <c r="AI564" s="7" t="n"/>
      <c r="AL564" s="11" t="n"/>
      <c r="AN564">
        <f>IF($E564="","",IF(COUNTIF($E$2:$E564,$E564)=1,1,0))</f>
        <v/>
      </c>
      <c r="AO564">
        <f>IF($AN564=1,SUMPRODUCT(--($AR$2:$AR$3001&lt;$AR564))+1,"")</f>
        <v/>
      </c>
      <c r="AP564">
        <f>IF($E564="","",IF(OR($U564=TRUE(),$U564="TRUE"),1,0))</f>
        <v/>
      </c>
      <c r="AQ564">
        <f>IF($E564="","",IF($AD564="Yes",1,0))</f>
        <v/>
      </c>
      <c r="AR564">
        <f>IF($AN564=1,IFERROR(VALUE(MID($E564,2,20)),1000000000)+ROW()/100000,"")</f>
        <v/>
      </c>
    </row>
    <row r="565">
      <c r="G565" s="11" t="n"/>
      <c r="Q565" s="7">
        <f>IF($E565="","",P565*AB565/100)</f>
        <v/>
      </c>
      <c r="R565" s="7" t="n"/>
      <c r="X565" s="7" t="n"/>
      <c r="Y565" s="7">
        <f>IF($E565="","",AB565*AE565/100)</f>
        <v/>
      </c>
      <c r="Z565" s="7">
        <f>IF($E565="","",AB565-Y565)</f>
        <v/>
      </c>
      <c r="AA565" s="7">
        <f>IF($E565="","",Z565-Q565)</f>
        <v/>
      </c>
      <c r="AB565" s="7" t="n"/>
      <c r="AE565">
        <f>IF($E565="","",IF($AQ565=1,0,IF($AP565=1,Settings!$C$6,Settings!$C$7))*100)</f>
        <v/>
      </c>
      <c r="AI565" s="7" t="n"/>
      <c r="AL565" s="11" t="n"/>
      <c r="AN565">
        <f>IF($E565="","",IF(COUNTIF($E$2:$E565,$E565)=1,1,0))</f>
        <v/>
      </c>
      <c r="AO565">
        <f>IF($AN565=1,SUMPRODUCT(--($AR$2:$AR$3001&lt;$AR565))+1,"")</f>
        <v/>
      </c>
      <c r="AP565">
        <f>IF($E565="","",IF(OR($U565=TRUE(),$U565="TRUE"),1,0))</f>
        <v/>
      </c>
      <c r="AQ565">
        <f>IF($E565="","",IF($AD565="Yes",1,0))</f>
        <v/>
      </c>
      <c r="AR565">
        <f>IF($AN565=1,IFERROR(VALUE(MID($E565,2,20)),1000000000)+ROW()/100000,"")</f>
        <v/>
      </c>
    </row>
    <row r="566">
      <c r="G566" s="11" t="n"/>
      <c r="Q566" s="7">
        <f>IF($E566="","",P566*AB566/100)</f>
        <v/>
      </c>
      <c r="R566" s="7" t="n"/>
      <c r="X566" s="7" t="n"/>
      <c r="Y566" s="7">
        <f>IF($E566="","",AB566*AE566/100)</f>
        <v/>
      </c>
      <c r="Z566" s="7">
        <f>IF($E566="","",AB566-Y566)</f>
        <v/>
      </c>
      <c r="AA566" s="7">
        <f>IF($E566="","",Z566-Q566)</f>
        <v/>
      </c>
      <c r="AB566" s="7" t="n"/>
      <c r="AE566">
        <f>IF($E566="","",IF($AQ566=1,0,IF($AP566=1,Settings!$C$6,Settings!$C$7))*100)</f>
        <v/>
      </c>
      <c r="AI566" s="7" t="n"/>
      <c r="AL566" s="11" t="n"/>
      <c r="AN566">
        <f>IF($E566="","",IF(COUNTIF($E$2:$E566,$E566)=1,1,0))</f>
        <v/>
      </c>
      <c r="AO566">
        <f>IF($AN566=1,SUMPRODUCT(--($AR$2:$AR$3001&lt;$AR566))+1,"")</f>
        <v/>
      </c>
      <c r="AP566">
        <f>IF($E566="","",IF(OR($U566=TRUE(),$U566="TRUE"),1,0))</f>
        <v/>
      </c>
      <c r="AQ566">
        <f>IF($E566="","",IF($AD566="Yes",1,0))</f>
        <v/>
      </c>
      <c r="AR566">
        <f>IF($AN566=1,IFERROR(VALUE(MID($E566,2,20)),1000000000)+ROW()/100000,"")</f>
        <v/>
      </c>
    </row>
    <row r="567">
      <c r="G567" s="11" t="n"/>
      <c r="Q567" s="7">
        <f>IF($E567="","",P567*AB567/100)</f>
        <v/>
      </c>
      <c r="R567" s="7" t="n"/>
      <c r="X567" s="7" t="n"/>
      <c r="Y567" s="7">
        <f>IF($E567="","",AB567*AE567/100)</f>
        <v/>
      </c>
      <c r="Z567" s="7">
        <f>IF($E567="","",AB567-Y567)</f>
        <v/>
      </c>
      <c r="AA567" s="7">
        <f>IF($E567="","",Z567-Q567)</f>
        <v/>
      </c>
      <c r="AB567" s="7" t="n"/>
      <c r="AE567">
        <f>IF($E567="","",IF($AQ567=1,0,IF($AP567=1,Settings!$C$6,Settings!$C$7))*100)</f>
        <v/>
      </c>
      <c r="AI567" s="7" t="n"/>
      <c r="AL567" s="11" t="n"/>
      <c r="AN567">
        <f>IF($E567="","",IF(COUNTIF($E$2:$E567,$E567)=1,1,0))</f>
        <v/>
      </c>
      <c r="AO567">
        <f>IF($AN567=1,SUMPRODUCT(--($AR$2:$AR$3001&lt;$AR567))+1,"")</f>
        <v/>
      </c>
      <c r="AP567">
        <f>IF($E567="","",IF(OR($U567=TRUE(),$U567="TRUE"),1,0))</f>
        <v/>
      </c>
      <c r="AQ567">
        <f>IF($E567="","",IF($AD567="Yes",1,0))</f>
        <v/>
      </c>
      <c r="AR567">
        <f>IF($AN567=1,IFERROR(VALUE(MID($E567,2,20)),1000000000)+ROW()/100000,"")</f>
        <v/>
      </c>
    </row>
    <row r="568">
      <c r="G568" s="11" t="n"/>
      <c r="Q568" s="7">
        <f>IF($E568="","",P568*AB568/100)</f>
        <v/>
      </c>
      <c r="R568" s="7" t="n"/>
      <c r="X568" s="7" t="n"/>
      <c r="Y568" s="7">
        <f>IF($E568="","",AB568*AE568/100)</f>
        <v/>
      </c>
      <c r="Z568" s="7">
        <f>IF($E568="","",AB568-Y568)</f>
        <v/>
      </c>
      <c r="AA568" s="7">
        <f>IF($E568="","",Z568-Q568)</f>
        <v/>
      </c>
      <c r="AB568" s="7" t="n"/>
      <c r="AE568">
        <f>IF($E568="","",IF($AQ568=1,0,IF($AP568=1,Settings!$C$6,Settings!$C$7))*100)</f>
        <v/>
      </c>
      <c r="AI568" s="7" t="n"/>
      <c r="AL568" s="11" t="n"/>
      <c r="AN568">
        <f>IF($E568="","",IF(COUNTIF($E$2:$E568,$E568)=1,1,0))</f>
        <v/>
      </c>
      <c r="AO568">
        <f>IF($AN568=1,SUMPRODUCT(--($AR$2:$AR$3001&lt;$AR568))+1,"")</f>
        <v/>
      </c>
      <c r="AP568">
        <f>IF($E568="","",IF(OR($U568=TRUE(),$U568="TRUE"),1,0))</f>
        <v/>
      </c>
      <c r="AQ568">
        <f>IF($E568="","",IF($AD568="Yes",1,0))</f>
        <v/>
      </c>
      <c r="AR568">
        <f>IF($AN568=1,IFERROR(VALUE(MID($E568,2,20)),1000000000)+ROW()/100000,"")</f>
        <v/>
      </c>
    </row>
    <row r="569">
      <c r="G569" s="11" t="n"/>
      <c r="Q569" s="7">
        <f>IF($E569="","",P569*AB569/100)</f>
        <v/>
      </c>
      <c r="R569" s="7" t="n"/>
      <c r="X569" s="7" t="n"/>
      <c r="Y569" s="7">
        <f>IF($E569="","",AB569*AE569/100)</f>
        <v/>
      </c>
      <c r="Z569" s="7">
        <f>IF($E569="","",AB569-Y569)</f>
        <v/>
      </c>
      <c r="AA569" s="7">
        <f>IF($E569="","",Z569-Q569)</f>
        <v/>
      </c>
      <c r="AB569" s="7" t="n"/>
      <c r="AE569">
        <f>IF($E569="","",IF($AQ569=1,0,IF($AP569=1,Settings!$C$6,Settings!$C$7))*100)</f>
        <v/>
      </c>
      <c r="AI569" s="7" t="n"/>
      <c r="AL569" s="11" t="n"/>
      <c r="AN569">
        <f>IF($E569="","",IF(COUNTIF($E$2:$E569,$E569)=1,1,0))</f>
        <v/>
      </c>
      <c r="AO569">
        <f>IF($AN569=1,SUMPRODUCT(--($AR$2:$AR$3001&lt;$AR569))+1,"")</f>
        <v/>
      </c>
      <c r="AP569">
        <f>IF($E569="","",IF(OR($U569=TRUE(),$U569="TRUE"),1,0))</f>
        <v/>
      </c>
      <c r="AQ569">
        <f>IF($E569="","",IF($AD569="Yes",1,0))</f>
        <v/>
      </c>
      <c r="AR569">
        <f>IF($AN569=1,IFERROR(VALUE(MID($E569,2,20)),1000000000)+ROW()/100000,"")</f>
        <v/>
      </c>
    </row>
    <row r="570">
      <c r="G570" s="11" t="n"/>
      <c r="Q570" s="7">
        <f>IF($E570="","",P570*AB570/100)</f>
        <v/>
      </c>
      <c r="R570" s="7" t="n"/>
      <c r="X570" s="7" t="n"/>
      <c r="Y570" s="7">
        <f>IF($E570="","",AB570*AE570/100)</f>
        <v/>
      </c>
      <c r="Z570" s="7">
        <f>IF($E570="","",AB570-Y570)</f>
        <v/>
      </c>
      <c r="AA570" s="7">
        <f>IF($E570="","",Z570-Q570)</f>
        <v/>
      </c>
      <c r="AB570" s="7" t="n"/>
      <c r="AE570">
        <f>IF($E570="","",IF($AQ570=1,0,IF($AP570=1,Settings!$C$6,Settings!$C$7))*100)</f>
        <v/>
      </c>
      <c r="AI570" s="7" t="n"/>
      <c r="AL570" s="11" t="n"/>
      <c r="AN570">
        <f>IF($E570="","",IF(COUNTIF($E$2:$E570,$E570)=1,1,0))</f>
        <v/>
      </c>
      <c r="AO570">
        <f>IF($AN570=1,SUMPRODUCT(--($AR$2:$AR$3001&lt;$AR570))+1,"")</f>
        <v/>
      </c>
      <c r="AP570">
        <f>IF($E570="","",IF(OR($U570=TRUE(),$U570="TRUE"),1,0))</f>
        <v/>
      </c>
      <c r="AQ570">
        <f>IF($E570="","",IF($AD570="Yes",1,0))</f>
        <v/>
      </c>
      <c r="AR570">
        <f>IF($AN570=1,IFERROR(VALUE(MID($E570,2,20)),1000000000)+ROW()/100000,"")</f>
        <v/>
      </c>
    </row>
    <row r="571">
      <c r="G571" s="11" t="n"/>
      <c r="Q571" s="7">
        <f>IF($E571="","",P571*AB571/100)</f>
        <v/>
      </c>
      <c r="R571" s="7" t="n"/>
      <c r="X571" s="7" t="n"/>
      <c r="Y571" s="7">
        <f>IF($E571="","",AB571*AE571/100)</f>
        <v/>
      </c>
      <c r="Z571" s="7">
        <f>IF($E571="","",AB571-Y571)</f>
        <v/>
      </c>
      <c r="AA571" s="7">
        <f>IF($E571="","",Z571-Q571)</f>
        <v/>
      </c>
      <c r="AB571" s="7" t="n"/>
      <c r="AE571">
        <f>IF($E571="","",IF($AQ571=1,0,IF($AP571=1,Settings!$C$6,Settings!$C$7))*100)</f>
        <v/>
      </c>
      <c r="AI571" s="7" t="n"/>
      <c r="AL571" s="11" t="n"/>
      <c r="AN571">
        <f>IF($E571="","",IF(COUNTIF($E$2:$E571,$E571)=1,1,0))</f>
        <v/>
      </c>
      <c r="AO571">
        <f>IF($AN571=1,SUMPRODUCT(--($AR$2:$AR$3001&lt;$AR571))+1,"")</f>
        <v/>
      </c>
      <c r="AP571">
        <f>IF($E571="","",IF(OR($U571=TRUE(),$U571="TRUE"),1,0))</f>
        <v/>
      </c>
      <c r="AQ571">
        <f>IF($E571="","",IF($AD571="Yes",1,0))</f>
        <v/>
      </c>
      <c r="AR571">
        <f>IF($AN571=1,IFERROR(VALUE(MID($E571,2,20)),1000000000)+ROW()/100000,"")</f>
        <v/>
      </c>
    </row>
    <row r="572">
      <c r="G572" s="11" t="n"/>
      <c r="Q572" s="7">
        <f>IF($E572="","",P572*AB572/100)</f>
        <v/>
      </c>
      <c r="R572" s="7" t="n"/>
      <c r="X572" s="7" t="n"/>
      <c r="Y572" s="7">
        <f>IF($E572="","",AB572*AE572/100)</f>
        <v/>
      </c>
      <c r="Z572" s="7">
        <f>IF($E572="","",AB572-Y572)</f>
        <v/>
      </c>
      <c r="AA572" s="7">
        <f>IF($E572="","",Z572-Q572)</f>
        <v/>
      </c>
      <c r="AB572" s="7" t="n"/>
      <c r="AE572">
        <f>IF($E572="","",IF($AQ572=1,0,IF($AP572=1,Settings!$C$6,Settings!$C$7))*100)</f>
        <v/>
      </c>
      <c r="AI572" s="7" t="n"/>
      <c r="AL572" s="11" t="n"/>
      <c r="AN572">
        <f>IF($E572="","",IF(COUNTIF($E$2:$E572,$E572)=1,1,0))</f>
        <v/>
      </c>
      <c r="AO572">
        <f>IF($AN572=1,SUMPRODUCT(--($AR$2:$AR$3001&lt;$AR572))+1,"")</f>
        <v/>
      </c>
      <c r="AP572">
        <f>IF($E572="","",IF(OR($U572=TRUE(),$U572="TRUE"),1,0))</f>
        <v/>
      </c>
      <c r="AQ572">
        <f>IF($E572="","",IF($AD572="Yes",1,0))</f>
        <v/>
      </c>
      <c r="AR572">
        <f>IF($AN572=1,IFERROR(VALUE(MID($E572,2,20)),1000000000)+ROW()/100000,"")</f>
        <v/>
      </c>
    </row>
    <row r="573">
      <c r="G573" s="11" t="n"/>
      <c r="Q573" s="7">
        <f>IF($E573="","",P573*AB573/100)</f>
        <v/>
      </c>
      <c r="R573" s="7" t="n"/>
      <c r="X573" s="7" t="n"/>
      <c r="Y573" s="7">
        <f>IF($E573="","",AB573*AE573/100)</f>
        <v/>
      </c>
      <c r="Z573" s="7">
        <f>IF($E573="","",AB573-Y573)</f>
        <v/>
      </c>
      <c r="AA573" s="7">
        <f>IF($E573="","",Z573-Q573)</f>
        <v/>
      </c>
      <c r="AB573" s="7" t="n"/>
      <c r="AE573">
        <f>IF($E573="","",IF($AQ573=1,0,IF($AP573=1,Settings!$C$6,Settings!$C$7))*100)</f>
        <v/>
      </c>
      <c r="AI573" s="7" t="n"/>
      <c r="AL573" s="11" t="n"/>
      <c r="AN573">
        <f>IF($E573="","",IF(COUNTIF($E$2:$E573,$E573)=1,1,0))</f>
        <v/>
      </c>
      <c r="AO573">
        <f>IF($AN573=1,SUMPRODUCT(--($AR$2:$AR$3001&lt;$AR573))+1,"")</f>
        <v/>
      </c>
      <c r="AP573">
        <f>IF($E573="","",IF(OR($U573=TRUE(),$U573="TRUE"),1,0))</f>
        <v/>
      </c>
      <c r="AQ573">
        <f>IF($E573="","",IF($AD573="Yes",1,0))</f>
        <v/>
      </c>
      <c r="AR573">
        <f>IF($AN573=1,IFERROR(VALUE(MID($E573,2,20)),1000000000)+ROW()/100000,"")</f>
        <v/>
      </c>
    </row>
    <row r="574">
      <c r="G574" s="11" t="n"/>
      <c r="Q574" s="7">
        <f>IF($E574="","",P574*AB574/100)</f>
        <v/>
      </c>
      <c r="R574" s="7" t="n"/>
      <c r="X574" s="7" t="n"/>
      <c r="Y574" s="7">
        <f>IF($E574="","",AB574*AE574/100)</f>
        <v/>
      </c>
      <c r="Z574" s="7">
        <f>IF($E574="","",AB574-Y574)</f>
        <v/>
      </c>
      <c r="AA574" s="7">
        <f>IF($E574="","",Z574-Q574)</f>
        <v/>
      </c>
      <c r="AB574" s="7" t="n"/>
      <c r="AE574">
        <f>IF($E574="","",IF($AQ574=1,0,IF($AP574=1,Settings!$C$6,Settings!$C$7))*100)</f>
        <v/>
      </c>
      <c r="AI574" s="7" t="n"/>
      <c r="AL574" s="11" t="n"/>
      <c r="AN574">
        <f>IF($E574="","",IF(COUNTIF($E$2:$E574,$E574)=1,1,0))</f>
        <v/>
      </c>
      <c r="AO574">
        <f>IF($AN574=1,SUMPRODUCT(--($AR$2:$AR$3001&lt;$AR574))+1,"")</f>
        <v/>
      </c>
      <c r="AP574">
        <f>IF($E574="","",IF(OR($U574=TRUE(),$U574="TRUE"),1,0))</f>
        <v/>
      </c>
      <c r="AQ574">
        <f>IF($E574="","",IF($AD574="Yes",1,0))</f>
        <v/>
      </c>
      <c r="AR574">
        <f>IF($AN574=1,IFERROR(VALUE(MID($E574,2,20)),1000000000)+ROW()/100000,"")</f>
        <v/>
      </c>
    </row>
    <row r="575">
      <c r="G575" s="11" t="n"/>
      <c r="Q575" s="7">
        <f>IF($E575="","",P575*AB575/100)</f>
        <v/>
      </c>
      <c r="R575" s="7" t="n"/>
      <c r="X575" s="7" t="n"/>
      <c r="Y575" s="7">
        <f>IF($E575="","",AB575*AE575/100)</f>
        <v/>
      </c>
      <c r="Z575" s="7">
        <f>IF($E575="","",AB575-Y575)</f>
        <v/>
      </c>
      <c r="AA575" s="7">
        <f>IF($E575="","",Z575-Q575)</f>
        <v/>
      </c>
      <c r="AB575" s="7" t="n"/>
      <c r="AE575">
        <f>IF($E575="","",IF($AQ575=1,0,IF($AP575=1,Settings!$C$6,Settings!$C$7))*100)</f>
        <v/>
      </c>
      <c r="AI575" s="7" t="n"/>
      <c r="AL575" s="11" t="n"/>
      <c r="AN575">
        <f>IF($E575="","",IF(COUNTIF($E$2:$E575,$E575)=1,1,0))</f>
        <v/>
      </c>
      <c r="AO575">
        <f>IF($AN575=1,SUMPRODUCT(--($AR$2:$AR$3001&lt;$AR575))+1,"")</f>
        <v/>
      </c>
      <c r="AP575">
        <f>IF($E575="","",IF(OR($U575=TRUE(),$U575="TRUE"),1,0))</f>
        <v/>
      </c>
      <c r="AQ575">
        <f>IF($E575="","",IF($AD575="Yes",1,0))</f>
        <v/>
      </c>
      <c r="AR575">
        <f>IF($AN575=1,IFERROR(VALUE(MID($E575,2,20)),1000000000)+ROW()/100000,"")</f>
        <v/>
      </c>
    </row>
    <row r="576">
      <c r="G576" s="11" t="n"/>
      <c r="Q576" s="7">
        <f>IF($E576="","",P576*AB576/100)</f>
        <v/>
      </c>
      <c r="R576" s="7" t="n"/>
      <c r="X576" s="7" t="n"/>
      <c r="Y576" s="7">
        <f>IF($E576="","",AB576*AE576/100)</f>
        <v/>
      </c>
      <c r="Z576" s="7">
        <f>IF($E576="","",AB576-Y576)</f>
        <v/>
      </c>
      <c r="AA576" s="7">
        <f>IF($E576="","",Z576-Q576)</f>
        <v/>
      </c>
      <c r="AB576" s="7" t="n"/>
      <c r="AE576">
        <f>IF($E576="","",IF($AQ576=1,0,IF($AP576=1,Settings!$C$6,Settings!$C$7))*100)</f>
        <v/>
      </c>
      <c r="AI576" s="7" t="n"/>
      <c r="AL576" s="11" t="n"/>
      <c r="AN576">
        <f>IF($E576="","",IF(COUNTIF($E$2:$E576,$E576)=1,1,0))</f>
        <v/>
      </c>
      <c r="AO576">
        <f>IF($AN576=1,SUMPRODUCT(--($AR$2:$AR$3001&lt;$AR576))+1,"")</f>
        <v/>
      </c>
      <c r="AP576">
        <f>IF($E576="","",IF(OR($U576=TRUE(),$U576="TRUE"),1,0))</f>
        <v/>
      </c>
      <c r="AQ576">
        <f>IF($E576="","",IF($AD576="Yes",1,0))</f>
        <v/>
      </c>
      <c r="AR576">
        <f>IF($AN576=1,IFERROR(VALUE(MID($E576,2,20)),1000000000)+ROW()/100000,"")</f>
        <v/>
      </c>
    </row>
    <row r="577">
      <c r="G577" s="11" t="n"/>
      <c r="Q577" s="7">
        <f>IF($E577="","",P577*AB577/100)</f>
        <v/>
      </c>
      <c r="R577" s="7" t="n"/>
      <c r="X577" s="7" t="n"/>
      <c r="Y577" s="7">
        <f>IF($E577="","",AB577*AE577/100)</f>
        <v/>
      </c>
      <c r="Z577" s="7">
        <f>IF($E577="","",AB577-Y577)</f>
        <v/>
      </c>
      <c r="AA577" s="7">
        <f>IF($E577="","",Z577-Q577)</f>
        <v/>
      </c>
      <c r="AB577" s="7" t="n"/>
      <c r="AE577">
        <f>IF($E577="","",IF($AQ577=1,0,IF($AP577=1,Settings!$C$6,Settings!$C$7))*100)</f>
        <v/>
      </c>
      <c r="AI577" s="7" t="n"/>
      <c r="AL577" s="11" t="n"/>
      <c r="AN577">
        <f>IF($E577="","",IF(COUNTIF($E$2:$E577,$E577)=1,1,0))</f>
        <v/>
      </c>
      <c r="AO577">
        <f>IF($AN577=1,SUMPRODUCT(--($AR$2:$AR$3001&lt;$AR577))+1,"")</f>
        <v/>
      </c>
      <c r="AP577">
        <f>IF($E577="","",IF(OR($U577=TRUE(),$U577="TRUE"),1,0))</f>
        <v/>
      </c>
      <c r="AQ577">
        <f>IF($E577="","",IF($AD577="Yes",1,0))</f>
        <v/>
      </c>
      <c r="AR577">
        <f>IF($AN577=1,IFERROR(VALUE(MID($E577,2,20)),1000000000)+ROW()/100000,"")</f>
        <v/>
      </c>
    </row>
    <row r="578">
      <c r="G578" s="11" t="n"/>
      <c r="Q578" s="7">
        <f>IF($E578="","",P578*AB578/100)</f>
        <v/>
      </c>
      <c r="R578" s="7" t="n"/>
      <c r="X578" s="7" t="n"/>
      <c r="Y578" s="7">
        <f>IF($E578="","",AB578*AE578/100)</f>
        <v/>
      </c>
      <c r="Z578" s="7">
        <f>IF($E578="","",AB578-Y578)</f>
        <v/>
      </c>
      <c r="AA578" s="7">
        <f>IF($E578="","",Z578-Q578)</f>
        <v/>
      </c>
      <c r="AB578" s="7" t="n"/>
      <c r="AE578">
        <f>IF($E578="","",IF($AQ578=1,0,IF($AP578=1,Settings!$C$6,Settings!$C$7))*100)</f>
        <v/>
      </c>
      <c r="AI578" s="7" t="n"/>
      <c r="AL578" s="11" t="n"/>
      <c r="AN578">
        <f>IF($E578="","",IF(COUNTIF($E$2:$E578,$E578)=1,1,0))</f>
        <v/>
      </c>
      <c r="AO578">
        <f>IF($AN578=1,SUMPRODUCT(--($AR$2:$AR$3001&lt;$AR578))+1,"")</f>
        <v/>
      </c>
      <c r="AP578">
        <f>IF($E578="","",IF(OR($U578=TRUE(),$U578="TRUE"),1,0))</f>
        <v/>
      </c>
      <c r="AQ578">
        <f>IF($E578="","",IF($AD578="Yes",1,0))</f>
        <v/>
      </c>
      <c r="AR578">
        <f>IF($AN578=1,IFERROR(VALUE(MID($E578,2,20)),1000000000)+ROW()/100000,"")</f>
        <v/>
      </c>
    </row>
    <row r="579">
      <c r="G579" s="11" t="n"/>
      <c r="Q579" s="7">
        <f>IF($E579="","",P579*AB579/100)</f>
        <v/>
      </c>
      <c r="R579" s="7" t="n"/>
      <c r="X579" s="7" t="n"/>
      <c r="Y579" s="7">
        <f>IF($E579="","",AB579*AE579/100)</f>
        <v/>
      </c>
      <c r="Z579" s="7">
        <f>IF($E579="","",AB579-Y579)</f>
        <v/>
      </c>
      <c r="AA579" s="7">
        <f>IF($E579="","",Z579-Q579)</f>
        <v/>
      </c>
      <c r="AB579" s="7" t="n"/>
      <c r="AE579">
        <f>IF($E579="","",IF($AQ579=1,0,IF($AP579=1,Settings!$C$6,Settings!$C$7))*100)</f>
        <v/>
      </c>
      <c r="AI579" s="7" t="n"/>
      <c r="AL579" s="11" t="n"/>
      <c r="AN579">
        <f>IF($E579="","",IF(COUNTIF($E$2:$E579,$E579)=1,1,0))</f>
        <v/>
      </c>
      <c r="AO579">
        <f>IF($AN579=1,SUMPRODUCT(--($AR$2:$AR$3001&lt;$AR579))+1,"")</f>
        <v/>
      </c>
      <c r="AP579">
        <f>IF($E579="","",IF(OR($U579=TRUE(),$U579="TRUE"),1,0))</f>
        <v/>
      </c>
      <c r="AQ579">
        <f>IF($E579="","",IF($AD579="Yes",1,0))</f>
        <v/>
      </c>
      <c r="AR579">
        <f>IF($AN579=1,IFERROR(VALUE(MID($E579,2,20)),1000000000)+ROW()/100000,"")</f>
        <v/>
      </c>
    </row>
    <row r="580">
      <c r="G580" s="11" t="n"/>
      <c r="Q580" s="7">
        <f>IF($E580="","",P580*AB580/100)</f>
        <v/>
      </c>
      <c r="R580" s="7" t="n"/>
      <c r="X580" s="7" t="n"/>
      <c r="Y580" s="7">
        <f>IF($E580="","",AB580*AE580/100)</f>
        <v/>
      </c>
      <c r="Z580" s="7">
        <f>IF($E580="","",AB580-Y580)</f>
        <v/>
      </c>
      <c r="AA580" s="7">
        <f>IF($E580="","",Z580-Q580)</f>
        <v/>
      </c>
      <c r="AB580" s="7" t="n"/>
      <c r="AE580">
        <f>IF($E580="","",IF($AQ580=1,0,IF($AP580=1,Settings!$C$6,Settings!$C$7))*100)</f>
        <v/>
      </c>
      <c r="AI580" s="7" t="n"/>
      <c r="AL580" s="11" t="n"/>
      <c r="AN580">
        <f>IF($E580="","",IF(COUNTIF($E$2:$E580,$E580)=1,1,0))</f>
        <v/>
      </c>
      <c r="AO580">
        <f>IF($AN580=1,SUMPRODUCT(--($AR$2:$AR$3001&lt;$AR580))+1,"")</f>
        <v/>
      </c>
      <c r="AP580">
        <f>IF($E580="","",IF(OR($U580=TRUE(),$U580="TRUE"),1,0))</f>
        <v/>
      </c>
      <c r="AQ580">
        <f>IF($E580="","",IF($AD580="Yes",1,0))</f>
        <v/>
      </c>
      <c r="AR580">
        <f>IF($AN580=1,IFERROR(VALUE(MID($E580,2,20)),1000000000)+ROW()/100000,"")</f>
        <v/>
      </c>
    </row>
    <row r="581">
      <c r="G581" s="11" t="n"/>
      <c r="Q581" s="7">
        <f>IF($E581="","",P581*AB581/100)</f>
        <v/>
      </c>
      <c r="R581" s="7" t="n"/>
      <c r="X581" s="7" t="n"/>
      <c r="Y581" s="7">
        <f>IF($E581="","",AB581*AE581/100)</f>
        <v/>
      </c>
      <c r="Z581" s="7">
        <f>IF($E581="","",AB581-Y581)</f>
        <v/>
      </c>
      <c r="AA581" s="7">
        <f>IF($E581="","",Z581-Q581)</f>
        <v/>
      </c>
      <c r="AB581" s="7" t="n"/>
      <c r="AE581">
        <f>IF($E581="","",IF($AQ581=1,0,IF($AP581=1,Settings!$C$6,Settings!$C$7))*100)</f>
        <v/>
      </c>
      <c r="AI581" s="7" t="n"/>
      <c r="AL581" s="11" t="n"/>
      <c r="AN581">
        <f>IF($E581="","",IF(COUNTIF($E$2:$E581,$E581)=1,1,0))</f>
        <v/>
      </c>
      <c r="AO581">
        <f>IF($AN581=1,SUMPRODUCT(--($AR$2:$AR$3001&lt;$AR581))+1,"")</f>
        <v/>
      </c>
      <c r="AP581">
        <f>IF($E581="","",IF(OR($U581=TRUE(),$U581="TRUE"),1,0))</f>
        <v/>
      </c>
      <c r="AQ581">
        <f>IF($E581="","",IF($AD581="Yes",1,0))</f>
        <v/>
      </c>
      <c r="AR581">
        <f>IF($AN581=1,IFERROR(VALUE(MID($E581,2,20)),1000000000)+ROW()/100000,"")</f>
        <v/>
      </c>
    </row>
    <row r="582">
      <c r="G582" s="11" t="n"/>
      <c r="Q582" s="7">
        <f>IF($E582="","",P582*AB582/100)</f>
        <v/>
      </c>
      <c r="R582" s="7" t="n"/>
      <c r="X582" s="7" t="n"/>
      <c r="Y582" s="7">
        <f>IF($E582="","",AB582*AE582/100)</f>
        <v/>
      </c>
      <c r="Z582" s="7">
        <f>IF($E582="","",AB582-Y582)</f>
        <v/>
      </c>
      <c r="AA582" s="7">
        <f>IF($E582="","",Z582-Q582)</f>
        <v/>
      </c>
      <c r="AB582" s="7" t="n"/>
      <c r="AE582">
        <f>IF($E582="","",IF($AQ582=1,0,IF($AP582=1,Settings!$C$6,Settings!$C$7))*100)</f>
        <v/>
      </c>
      <c r="AI582" s="7" t="n"/>
      <c r="AL582" s="11" t="n"/>
      <c r="AN582">
        <f>IF($E582="","",IF(COUNTIF($E$2:$E582,$E582)=1,1,0))</f>
        <v/>
      </c>
      <c r="AO582">
        <f>IF($AN582=1,SUMPRODUCT(--($AR$2:$AR$3001&lt;$AR582))+1,"")</f>
        <v/>
      </c>
      <c r="AP582">
        <f>IF($E582="","",IF(OR($U582=TRUE(),$U582="TRUE"),1,0))</f>
        <v/>
      </c>
      <c r="AQ582">
        <f>IF($E582="","",IF($AD582="Yes",1,0))</f>
        <v/>
      </c>
      <c r="AR582">
        <f>IF($AN582=1,IFERROR(VALUE(MID($E582,2,20)),1000000000)+ROW()/100000,"")</f>
        <v/>
      </c>
    </row>
    <row r="583">
      <c r="G583" s="11" t="n"/>
      <c r="Q583" s="7">
        <f>IF($E583="","",P583*AB583/100)</f>
        <v/>
      </c>
      <c r="R583" s="7" t="n"/>
      <c r="X583" s="7" t="n"/>
      <c r="Y583" s="7">
        <f>IF($E583="","",AB583*AE583/100)</f>
        <v/>
      </c>
      <c r="Z583" s="7">
        <f>IF($E583="","",AB583-Y583)</f>
        <v/>
      </c>
      <c r="AA583" s="7">
        <f>IF($E583="","",Z583-Q583)</f>
        <v/>
      </c>
      <c r="AB583" s="7" t="n"/>
      <c r="AE583">
        <f>IF($E583="","",IF($AQ583=1,0,IF($AP583=1,Settings!$C$6,Settings!$C$7))*100)</f>
        <v/>
      </c>
      <c r="AI583" s="7" t="n"/>
      <c r="AL583" s="11" t="n"/>
      <c r="AN583">
        <f>IF($E583="","",IF(COUNTIF($E$2:$E583,$E583)=1,1,0))</f>
        <v/>
      </c>
      <c r="AO583">
        <f>IF($AN583=1,SUMPRODUCT(--($AR$2:$AR$3001&lt;$AR583))+1,"")</f>
        <v/>
      </c>
      <c r="AP583">
        <f>IF($E583="","",IF(OR($U583=TRUE(),$U583="TRUE"),1,0))</f>
        <v/>
      </c>
      <c r="AQ583">
        <f>IF($E583="","",IF($AD583="Yes",1,0))</f>
        <v/>
      </c>
      <c r="AR583">
        <f>IF($AN583=1,IFERROR(VALUE(MID($E583,2,20)),1000000000)+ROW()/100000,"")</f>
        <v/>
      </c>
    </row>
    <row r="584">
      <c r="G584" s="11" t="n"/>
      <c r="Q584" s="7">
        <f>IF($E584="","",P584*AB584/100)</f>
        <v/>
      </c>
      <c r="R584" s="7" t="n"/>
      <c r="X584" s="7" t="n"/>
      <c r="Y584" s="7">
        <f>IF($E584="","",AB584*AE584/100)</f>
        <v/>
      </c>
      <c r="Z584" s="7">
        <f>IF($E584="","",AB584-Y584)</f>
        <v/>
      </c>
      <c r="AA584" s="7">
        <f>IF($E584="","",Z584-Q584)</f>
        <v/>
      </c>
      <c r="AB584" s="7" t="n"/>
      <c r="AE584">
        <f>IF($E584="","",IF($AQ584=1,0,IF($AP584=1,Settings!$C$6,Settings!$C$7))*100)</f>
        <v/>
      </c>
      <c r="AI584" s="7" t="n"/>
      <c r="AL584" s="11" t="n"/>
      <c r="AN584">
        <f>IF($E584="","",IF(COUNTIF($E$2:$E584,$E584)=1,1,0))</f>
        <v/>
      </c>
      <c r="AO584">
        <f>IF($AN584=1,SUMPRODUCT(--($AR$2:$AR$3001&lt;$AR584))+1,"")</f>
        <v/>
      </c>
      <c r="AP584">
        <f>IF($E584="","",IF(OR($U584=TRUE(),$U584="TRUE"),1,0))</f>
        <v/>
      </c>
      <c r="AQ584">
        <f>IF($E584="","",IF($AD584="Yes",1,0))</f>
        <v/>
      </c>
      <c r="AR584">
        <f>IF($AN584=1,IFERROR(VALUE(MID($E584,2,20)),1000000000)+ROW()/100000,"")</f>
        <v/>
      </c>
    </row>
    <row r="585">
      <c r="G585" s="11" t="n"/>
      <c r="Q585" s="7">
        <f>IF($E585="","",P585*AB585/100)</f>
        <v/>
      </c>
      <c r="R585" s="7" t="n"/>
      <c r="X585" s="7" t="n"/>
      <c r="Y585" s="7">
        <f>IF($E585="","",AB585*AE585/100)</f>
        <v/>
      </c>
      <c r="Z585" s="7">
        <f>IF($E585="","",AB585-Y585)</f>
        <v/>
      </c>
      <c r="AA585" s="7">
        <f>IF($E585="","",Z585-Q585)</f>
        <v/>
      </c>
      <c r="AB585" s="7" t="n"/>
      <c r="AE585">
        <f>IF($E585="","",IF($AQ585=1,0,IF($AP585=1,Settings!$C$6,Settings!$C$7))*100)</f>
        <v/>
      </c>
      <c r="AI585" s="7" t="n"/>
      <c r="AL585" s="11" t="n"/>
      <c r="AN585">
        <f>IF($E585="","",IF(COUNTIF($E$2:$E585,$E585)=1,1,0))</f>
        <v/>
      </c>
      <c r="AO585">
        <f>IF($AN585=1,SUMPRODUCT(--($AR$2:$AR$3001&lt;$AR585))+1,"")</f>
        <v/>
      </c>
      <c r="AP585">
        <f>IF($E585="","",IF(OR($U585=TRUE(),$U585="TRUE"),1,0))</f>
        <v/>
      </c>
      <c r="AQ585">
        <f>IF($E585="","",IF($AD585="Yes",1,0))</f>
        <v/>
      </c>
      <c r="AR585">
        <f>IF($AN585=1,IFERROR(VALUE(MID($E585,2,20)),1000000000)+ROW()/100000,"")</f>
        <v/>
      </c>
    </row>
    <row r="586">
      <c r="G586" s="11" t="n"/>
      <c r="Q586" s="7">
        <f>IF($E586="","",P586*AB586/100)</f>
        <v/>
      </c>
      <c r="R586" s="7" t="n"/>
      <c r="X586" s="7" t="n"/>
      <c r="Y586" s="7">
        <f>IF($E586="","",AB586*AE586/100)</f>
        <v/>
      </c>
      <c r="Z586" s="7">
        <f>IF($E586="","",AB586-Y586)</f>
        <v/>
      </c>
      <c r="AA586" s="7">
        <f>IF($E586="","",Z586-Q586)</f>
        <v/>
      </c>
      <c r="AB586" s="7" t="n"/>
      <c r="AE586">
        <f>IF($E586="","",IF($AQ586=1,0,IF($AP586=1,Settings!$C$6,Settings!$C$7))*100)</f>
        <v/>
      </c>
      <c r="AI586" s="7" t="n"/>
      <c r="AL586" s="11" t="n"/>
      <c r="AN586">
        <f>IF($E586="","",IF(COUNTIF($E$2:$E586,$E586)=1,1,0))</f>
        <v/>
      </c>
      <c r="AO586">
        <f>IF($AN586=1,SUMPRODUCT(--($AR$2:$AR$3001&lt;$AR586))+1,"")</f>
        <v/>
      </c>
      <c r="AP586">
        <f>IF($E586="","",IF(OR($U586=TRUE(),$U586="TRUE"),1,0))</f>
        <v/>
      </c>
      <c r="AQ586">
        <f>IF($E586="","",IF($AD586="Yes",1,0))</f>
        <v/>
      </c>
      <c r="AR586">
        <f>IF($AN586=1,IFERROR(VALUE(MID($E586,2,20)),1000000000)+ROW()/100000,"")</f>
        <v/>
      </c>
    </row>
    <row r="587">
      <c r="G587" s="11" t="n"/>
      <c r="Q587" s="7">
        <f>IF($E587="","",P587*AB587/100)</f>
        <v/>
      </c>
      <c r="R587" s="7" t="n"/>
      <c r="X587" s="7" t="n"/>
      <c r="Y587" s="7">
        <f>IF($E587="","",AB587*AE587/100)</f>
        <v/>
      </c>
      <c r="Z587" s="7">
        <f>IF($E587="","",AB587-Y587)</f>
        <v/>
      </c>
      <c r="AA587" s="7">
        <f>IF($E587="","",Z587-Q587)</f>
        <v/>
      </c>
      <c r="AB587" s="7" t="n"/>
      <c r="AE587">
        <f>IF($E587="","",IF($AQ587=1,0,IF($AP587=1,Settings!$C$6,Settings!$C$7))*100)</f>
        <v/>
      </c>
      <c r="AI587" s="7" t="n"/>
      <c r="AL587" s="11" t="n"/>
      <c r="AN587">
        <f>IF($E587="","",IF(COUNTIF($E$2:$E587,$E587)=1,1,0))</f>
        <v/>
      </c>
      <c r="AO587">
        <f>IF($AN587=1,SUMPRODUCT(--($AR$2:$AR$3001&lt;$AR587))+1,"")</f>
        <v/>
      </c>
      <c r="AP587">
        <f>IF($E587="","",IF(OR($U587=TRUE(),$U587="TRUE"),1,0))</f>
        <v/>
      </c>
      <c r="AQ587">
        <f>IF($E587="","",IF($AD587="Yes",1,0))</f>
        <v/>
      </c>
      <c r="AR587">
        <f>IF($AN587=1,IFERROR(VALUE(MID($E587,2,20)),1000000000)+ROW()/100000,"")</f>
        <v/>
      </c>
    </row>
    <row r="588">
      <c r="G588" s="11" t="n"/>
      <c r="Q588" s="7">
        <f>IF($E588="","",P588*AB588/100)</f>
        <v/>
      </c>
      <c r="R588" s="7" t="n"/>
      <c r="X588" s="7" t="n"/>
      <c r="Y588" s="7">
        <f>IF($E588="","",AB588*AE588/100)</f>
        <v/>
      </c>
      <c r="Z588" s="7">
        <f>IF($E588="","",AB588-Y588)</f>
        <v/>
      </c>
      <c r="AA588" s="7">
        <f>IF($E588="","",Z588-Q588)</f>
        <v/>
      </c>
      <c r="AB588" s="7" t="n"/>
      <c r="AE588">
        <f>IF($E588="","",IF($AQ588=1,0,IF($AP588=1,Settings!$C$6,Settings!$C$7))*100)</f>
        <v/>
      </c>
      <c r="AI588" s="7" t="n"/>
      <c r="AL588" s="11" t="n"/>
      <c r="AN588">
        <f>IF($E588="","",IF(COUNTIF($E$2:$E588,$E588)=1,1,0))</f>
        <v/>
      </c>
      <c r="AO588">
        <f>IF($AN588=1,SUMPRODUCT(--($AR$2:$AR$3001&lt;$AR588))+1,"")</f>
        <v/>
      </c>
      <c r="AP588">
        <f>IF($E588="","",IF(OR($U588=TRUE(),$U588="TRUE"),1,0))</f>
        <v/>
      </c>
      <c r="AQ588">
        <f>IF($E588="","",IF($AD588="Yes",1,0))</f>
        <v/>
      </c>
      <c r="AR588">
        <f>IF($AN588=1,IFERROR(VALUE(MID($E588,2,20)),1000000000)+ROW()/100000,"")</f>
        <v/>
      </c>
    </row>
    <row r="589">
      <c r="G589" s="11" t="n"/>
      <c r="Q589" s="7">
        <f>IF($E589="","",P589*AB589/100)</f>
        <v/>
      </c>
      <c r="R589" s="7" t="n"/>
      <c r="X589" s="7" t="n"/>
      <c r="Y589" s="7">
        <f>IF($E589="","",AB589*AE589/100)</f>
        <v/>
      </c>
      <c r="Z589" s="7">
        <f>IF($E589="","",AB589-Y589)</f>
        <v/>
      </c>
      <c r="AA589" s="7">
        <f>IF($E589="","",Z589-Q589)</f>
        <v/>
      </c>
      <c r="AB589" s="7" t="n"/>
      <c r="AE589">
        <f>IF($E589="","",IF($AQ589=1,0,IF($AP589=1,Settings!$C$6,Settings!$C$7))*100)</f>
        <v/>
      </c>
      <c r="AI589" s="7" t="n"/>
      <c r="AL589" s="11" t="n"/>
      <c r="AN589">
        <f>IF($E589="","",IF(COUNTIF($E$2:$E589,$E589)=1,1,0))</f>
        <v/>
      </c>
      <c r="AO589">
        <f>IF($AN589=1,SUMPRODUCT(--($AR$2:$AR$3001&lt;$AR589))+1,"")</f>
        <v/>
      </c>
      <c r="AP589">
        <f>IF($E589="","",IF(OR($U589=TRUE(),$U589="TRUE"),1,0))</f>
        <v/>
      </c>
      <c r="AQ589">
        <f>IF($E589="","",IF($AD589="Yes",1,0))</f>
        <v/>
      </c>
      <c r="AR589">
        <f>IF($AN589=1,IFERROR(VALUE(MID($E589,2,20)),1000000000)+ROW()/100000,"")</f>
        <v/>
      </c>
    </row>
    <row r="590">
      <c r="G590" s="11" t="n"/>
      <c r="Q590" s="7">
        <f>IF($E590="","",P590*AB590/100)</f>
        <v/>
      </c>
      <c r="R590" s="7" t="n"/>
      <c r="X590" s="7" t="n"/>
      <c r="Y590" s="7">
        <f>IF($E590="","",AB590*AE590/100)</f>
        <v/>
      </c>
      <c r="Z590" s="7">
        <f>IF($E590="","",AB590-Y590)</f>
        <v/>
      </c>
      <c r="AA590" s="7">
        <f>IF($E590="","",Z590-Q590)</f>
        <v/>
      </c>
      <c r="AB590" s="7" t="n"/>
      <c r="AE590">
        <f>IF($E590="","",IF($AQ590=1,0,IF($AP590=1,Settings!$C$6,Settings!$C$7))*100)</f>
        <v/>
      </c>
      <c r="AI590" s="7" t="n"/>
      <c r="AL590" s="11" t="n"/>
      <c r="AN590">
        <f>IF($E590="","",IF(COUNTIF($E$2:$E590,$E590)=1,1,0))</f>
        <v/>
      </c>
      <c r="AO590">
        <f>IF($AN590=1,SUMPRODUCT(--($AR$2:$AR$3001&lt;$AR590))+1,"")</f>
        <v/>
      </c>
      <c r="AP590">
        <f>IF($E590="","",IF(OR($U590=TRUE(),$U590="TRUE"),1,0))</f>
        <v/>
      </c>
      <c r="AQ590">
        <f>IF($E590="","",IF($AD590="Yes",1,0))</f>
        <v/>
      </c>
      <c r="AR590">
        <f>IF($AN590=1,IFERROR(VALUE(MID($E590,2,20)),1000000000)+ROW()/100000,"")</f>
        <v/>
      </c>
    </row>
    <row r="591">
      <c r="G591" s="11" t="n"/>
      <c r="Q591" s="7">
        <f>IF($E591="","",P591*AB591/100)</f>
        <v/>
      </c>
      <c r="R591" s="7" t="n"/>
      <c r="X591" s="7" t="n"/>
      <c r="Y591" s="7">
        <f>IF($E591="","",AB591*AE591/100)</f>
        <v/>
      </c>
      <c r="Z591" s="7">
        <f>IF($E591="","",AB591-Y591)</f>
        <v/>
      </c>
      <c r="AA591" s="7">
        <f>IF($E591="","",Z591-Q591)</f>
        <v/>
      </c>
      <c r="AB591" s="7" t="n"/>
      <c r="AE591">
        <f>IF($E591="","",IF($AQ591=1,0,IF($AP591=1,Settings!$C$6,Settings!$C$7))*100)</f>
        <v/>
      </c>
      <c r="AI591" s="7" t="n"/>
      <c r="AL591" s="11" t="n"/>
      <c r="AN591">
        <f>IF($E591="","",IF(COUNTIF($E$2:$E591,$E591)=1,1,0))</f>
        <v/>
      </c>
      <c r="AO591">
        <f>IF($AN591=1,SUMPRODUCT(--($AR$2:$AR$3001&lt;$AR591))+1,"")</f>
        <v/>
      </c>
      <c r="AP591">
        <f>IF($E591="","",IF(OR($U591=TRUE(),$U591="TRUE"),1,0))</f>
        <v/>
      </c>
      <c r="AQ591">
        <f>IF($E591="","",IF($AD591="Yes",1,0))</f>
        <v/>
      </c>
      <c r="AR591">
        <f>IF($AN591=1,IFERROR(VALUE(MID($E591,2,20)),1000000000)+ROW()/100000,"")</f>
        <v/>
      </c>
    </row>
    <row r="592">
      <c r="G592" s="11" t="n"/>
      <c r="Q592" s="7">
        <f>IF($E592="","",P592*AB592/100)</f>
        <v/>
      </c>
      <c r="R592" s="7" t="n"/>
      <c r="X592" s="7" t="n"/>
      <c r="Y592" s="7">
        <f>IF($E592="","",AB592*AE592/100)</f>
        <v/>
      </c>
      <c r="Z592" s="7">
        <f>IF($E592="","",AB592-Y592)</f>
        <v/>
      </c>
      <c r="AA592" s="7">
        <f>IF($E592="","",Z592-Q592)</f>
        <v/>
      </c>
      <c r="AB592" s="7" t="n"/>
      <c r="AE592">
        <f>IF($E592="","",IF($AQ592=1,0,IF($AP592=1,Settings!$C$6,Settings!$C$7))*100)</f>
        <v/>
      </c>
      <c r="AI592" s="7" t="n"/>
      <c r="AL592" s="11" t="n"/>
      <c r="AN592">
        <f>IF($E592="","",IF(COUNTIF($E$2:$E592,$E592)=1,1,0))</f>
        <v/>
      </c>
      <c r="AO592">
        <f>IF($AN592=1,SUMPRODUCT(--($AR$2:$AR$3001&lt;$AR592))+1,"")</f>
        <v/>
      </c>
      <c r="AP592">
        <f>IF($E592="","",IF(OR($U592=TRUE(),$U592="TRUE"),1,0))</f>
        <v/>
      </c>
      <c r="AQ592">
        <f>IF($E592="","",IF($AD592="Yes",1,0))</f>
        <v/>
      </c>
      <c r="AR592">
        <f>IF($AN592=1,IFERROR(VALUE(MID($E592,2,20)),1000000000)+ROW()/100000,"")</f>
        <v/>
      </c>
    </row>
    <row r="593">
      <c r="G593" s="11" t="n"/>
      <c r="Q593" s="7">
        <f>IF($E593="","",P593*AB593/100)</f>
        <v/>
      </c>
      <c r="R593" s="7" t="n"/>
      <c r="X593" s="7" t="n"/>
      <c r="Y593" s="7">
        <f>IF($E593="","",AB593*AE593/100)</f>
        <v/>
      </c>
      <c r="Z593" s="7">
        <f>IF($E593="","",AB593-Y593)</f>
        <v/>
      </c>
      <c r="AA593" s="7">
        <f>IF($E593="","",Z593-Q593)</f>
        <v/>
      </c>
      <c r="AB593" s="7" t="n"/>
      <c r="AE593">
        <f>IF($E593="","",IF($AQ593=1,0,IF($AP593=1,Settings!$C$6,Settings!$C$7))*100)</f>
        <v/>
      </c>
      <c r="AI593" s="7" t="n"/>
      <c r="AL593" s="11" t="n"/>
      <c r="AN593">
        <f>IF($E593="","",IF(COUNTIF($E$2:$E593,$E593)=1,1,0))</f>
        <v/>
      </c>
      <c r="AO593">
        <f>IF($AN593=1,SUMPRODUCT(--($AR$2:$AR$3001&lt;$AR593))+1,"")</f>
        <v/>
      </c>
      <c r="AP593">
        <f>IF($E593="","",IF(OR($U593=TRUE(),$U593="TRUE"),1,0))</f>
        <v/>
      </c>
      <c r="AQ593">
        <f>IF($E593="","",IF($AD593="Yes",1,0))</f>
        <v/>
      </c>
      <c r="AR593">
        <f>IF($AN593=1,IFERROR(VALUE(MID($E593,2,20)),1000000000)+ROW()/100000,"")</f>
        <v/>
      </c>
    </row>
    <row r="594">
      <c r="G594" s="11" t="n"/>
      <c r="Q594" s="7">
        <f>IF($E594="","",P594*AB594/100)</f>
        <v/>
      </c>
      <c r="R594" s="7" t="n"/>
      <c r="X594" s="7" t="n"/>
      <c r="Y594" s="7">
        <f>IF($E594="","",AB594*AE594/100)</f>
        <v/>
      </c>
      <c r="Z594" s="7">
        <f>IF($E594="","",AB594-Y594)</f>
        <v/>
      </c>
      <c r="AA594" s="7">
        <f>IF($E594="","",Z594-Q594)</f>
        <v/>
      </c>
      <c r="AB594" s="7" t="n"/>
      <c r="AE594">
        <f>IF($E594="","",IF($AQ594=1,0,IF($AP594=1,Settings!$C$6,Settings!$C$7))*100)</f>
        <v/>
      </c>
      <c r="AI594" s="7" t="n"/>
      <c r="AL594" s="11" t="n"/>
      <c r="AN594">
        <f>IF($E594="","",IF(COUNTIF($E$2:$E594,$E594)=1,1,0))</f>
        <v/>
      </c>
      <c r="AO594">
        <f>IF($AN594=1,SUMPRODUCT(--($AR$2:$AR$3001&lt;$AR594))+1,"")</f>
        <v/>
      </c>
      <c r="AP594">
        <f>IF($E594="","",IF(OR($U594=TRUE(),$U594="TRUE"),1,0))</f>
        <v/>
      </c>
      <c r="AQ594">
        <f>IF($E594="","",IF($AD594="Yes",1,0))</f>
        <v/>
      </c>
      <c r="AR594">
        <f>IF($AN594=1,IFERROR(VALUE(MID($E594,2,20)),1000000000)+ROW()/100000,"")</f>
        <v/>
      </c>
    </row>
    <row r="595">
      <c r="G595" s="11" t="n"/>
      <c r="Q595" s="7">
        <f>IF($E595="","",P595*AB595/100)</f>
        <v/>
      </c>
      <c r="R595" s="7" t="n"/>
      <c r="X595" s="7" t="n"/>
      <c r="Y595" s="7">
        <f>IF($E595="","",AB595*AE595/100)</f>
        <v/>
      </c>
      <c r="Z595" s="7">
        <f>IF($E595="","",AB595-Y595)</f>
        <v/>
      </c>
      <c r="AA595" s="7">
        <f>IF($E595="","",Z595-Q595)</f>
        <v/>
      </c>
      <c r="AB595" s="7" t="n"/>
      <c r="AE595">
        <f>IF($E595="","",IF($AQ595=1,0,IF($AP595=1,Settings!$C$6,Settings!$C$7))*100)</f>
        <v/>
      </c>
      <c r="AI595" s="7" t="n"/>
      <c r="AL595" s="11" t="n"/>
      <c r="AN595">
        <f>IF($E595="","",IF(COUNTIF($E$2:$E595,$E595)=1,1,0))</f>
        <v/>
      </c>
      <c r="AO595">
        <f>IF($AN595=1,SUMPRODUCT(--($AR$2:$AR$3001&lt;$AR595))+1,"")</f>
        <v/>
      </c>
      <c r="AP595">
        <f>IF($E595="","",IF(OR($U595=TRUE(),$U595="TRUE"),1,0))</f>
        <v/>
      </c>
      <c r="AQ595">
        <f>IF($E595="","",IF($AD595="Yes",1,0))</f>
        <v/>
      </c>
      <c r="AR595">
        <f>IF($AN595=1,IFERROR(VALUE(MID($E595,2,20)),1000000000)+ROW()/100000,"")</f>
        <v/>
      </c>
    </row>
    <row r="596">
      <c r="G596" s="11" t="n"/>
      <c r="Q596" s="7">
        <f>IF($E596="","",P596*AB596/100)</f>
        <v/>
      </c>
      <c r="R596" s="7" t="n"/>
      <c r="X596" s="7" t="n"/>
      <c r="Y596" s="7">
        <f>IF($E596="","",AB596*AE596/100)</f>
        <v/>
      </c>
      <c r="Z596" s="7">
        <f>IF($E596="","",AB596-Y596)</f>
        <v/>
      </c>
      <c r="AA596" s="7">
        <f>IF($E596="","",Z596-Q596)</f>
        <v/>
      </c>
      <c r="AB596" s="7" t="n"/>
      <c r="AE596">
        <f>IF($E596="","",IF($AQ596=1,0,IF($AP596=1,Settings!$C$6,Settings!$C$7))*100)</f>
        <v/>
      </c>
      <c r="AI596" s="7" t="n"/>
      <c r="AL596" s="11" t="n"/>
      <c r="AN596">
        <f>IF($E596="","",IF(COUNTIF($E$2:$E596,$E596)=1,1,0))</f>
        <v/>
      </c>
      <c r="AO596">
        <f>IF($AN596=1,SUMPRODUCT(--($AR$2:$AR$3001&lt;$AR596))+1,"")</f>
        <v/>
      </c>
      <c r="AP596">
        <f>IF($E596="","",IF(OR($U596=TRUE(),$U596="TRUE"),1,0))</f>
        <v/>
      </c>
      <c r="AQ596">
        <f>IF($E596="","",IF($AD596="Yes",1,0))</f>
        <v/>
      </c>
      <c r="AR596">
        <f>IF($AN596=1,IFERROR(VALUE(MID($E596,2,20)),1000000000)+ROW()/100000,"")</f>
        <v/>
      </c>
    </row>
    <row r="597">
      <c r="G597" s="11" t="n"/>
      <c r="Q597" s="7">
        <f>IF($E597="","",P597*AB597/100)</f>
        <v/>
      </c>
      <c r="R597" s="7" t="n"/>
      <c r="X597" s="7" t="n"/>
      <c r="Y597" s="7">
        <f>IF($E597="","",AB597*AE597/100)</f>
        <v/>
      </c>
      <c r="Z597" s="7">
        <f>IF($E597="","",AB597-Y597)</f>
        <v/>
      </c>
      <c r="AA597" s="7">
        <f>IF($E597="","",Z597-Q597)</f>
        <v/>
      </c>
      <c r="AB597" s="7" t="n"/>
      <c r="AE597">
        <f>IF($E597="","",IF($AQ597=1,0,IF($AP597=1,Settings!$C$6,Settings!$C$7))*100)</f>
        <v/>
      </c>
      <c r="AI597" s="7" t="n"/>
      <c r="AL597" s="11" t="n"/>
      <c r="AN597">
        <f>IF($E597="","",IF(COUNTIF($E$2:$E597,$E597)=1,1,0))</f>
        <v/>
      </c>
      <c r="AO597">
        <f>IF($AN597=1,SUMPRODUCT(--($AR$2:$AR$3001&lt;$AR597))+1,"")</f>
        <v/>
      </c>
      <c r="AP597">
        <f>IF($E597="","",IF(OR($U597=TRUE(),$U597="TRUE"),1,0))</f>
        <v/>
      </c>
      <c r="AQ597">
        <f>IF($E597="","",IF($AD597="Yes",1,0))</f>
        <v/>
      </c>
      <c r="AR597">
        <f>IF($AN597=1,IFERROR(VALUE(MID($E597,2,20)),1000000000)+ROW()/100000,"")</f>
        <v/>
      </c>
    </row>
    <row r="598">
      <c r="G598" s="11" t="n"/>
      <c r="Q598" s="7">
        <f>IF($E598="","",P598*AB598/100)</f>
        <v/>
      </c>
      <c r="R598" s="7" t="n"/>
      <c r="X598" s="7" t="n"/>
      <c r="Y598" s="7">
        <f>IF($E598="","",AB598*AE598/100)</f>
        <v/>
      </c>
      <c r="Z598" s="7">
        <f>IF($E598="","",AB598-Y598)</f>
        <v/>
      </c>
      <c r="AA598" s="7">
        <f>IF($E598="","",Z598-Q598)</f>
        <v/>
      </c>
      <c r="AB598" s="7" t="n"/>
      <c r="AE598">
        <f>IF($E598="","",IF($AQ598=1,0,IF($AP598=1,Settings!$C$6,Settings!$C$7))*100)</f>
        <v/>
      </c>
      <c r="AI598" s="7" t="n"/>
      <c r="AL598" s="11" t="n"/>
      <c r="AN598">
        <f>IF($E598="","",IF(COUNTIF($E$2:$E598,$E598)=1,1,0))</f>
        <v/>
      </c>
      <c r="AO598">
        <f>IF($AN598=1,SUMPRODUCT(--($AR$2:$AR$3001&lt;$AR598))+1,"")</f>
        <v/>
      </c>
      <c r="AP598">
        <f>IF($E598="","",IF(OR($U598=TRUE(),$U598="TRUE"),1,0))</f>
        <v/>
      </c>
      <c r="AQ598">
        <f>IF($E598="","",IF($AD598="Yes",1,0))</f>
        <v/>
      </c>
      <c r="AR598">
        <f>IF($AN598=1,IFERROR(VALUE(MID($E598,2,20)),1000000000)+ROW()/100000,"")</f>
        <v/>
      </c>
    </row>
    <row r="599">
      <c r="G599" s="11" t="n"/>
      <c r="Q599" s="7">
        <f>IF($E599="","",P599*AB599/100)</f>
        <v/>
      </c>
      <c r="R599" s="7" t="n"/>
      <c r="X599" s="7" t="n"/>
      <c r="Y599" s="7">
        <f>IF($E599="","",AB599*AE599/100)</f>
        <v/>
      </c>
      <c r="Z599" s="7">
        <f>IF($E599="","",AB599-Y599)</f>
        <v/>
      </c>
      <c r="AA599" s="7">
        <f>IF($E599="","",Z599-Q599)</f>
        <v/>
      </c>
      <c r="AB599" s="7" t="n"/>
      <c r="AE599">
        <f>IF($E599="","",IF($AQ599=1,0,IF($AP599=1,Settings!$C$6,Settings!$C$7))*100)</f>
        <v/>
      </c>
      <c r="AI599" s="7" t="n"/>
      <c r="AL599" s="11" t="n"/>
      <c r="AN599">
        <f>IF($E599="","",IF(COUNTIF($E$2:$E599,$E599)=1,1,0))</f>
        <v/>
      </c>
      <c r="AO599">
        <f>IF($AN599=1,SUMPRODUCT(--($AR$2:$AR$3001&lt;$AR599))+1,"")</f>
        <v/>
      </c>
      <c r="AP599">
        <f>IF($E599="","",IF(OR($U599=TRUE(),$U599="TRUE"),1,0))</f>
        <v/>
      </c>
      <c r="AQ599">
        <f>IF($E599="","",IF($AD599="Yes",1,0))</f>
        <v/>
      </c>
      <c r="AR599">
        <f>IF($AN599=1,IFERROR(VALUE(MID($E599,2,20)),1000000000)+ROW()/100000,"")</f>
        <v/>
      </c>
    </row>
    <row r="600">
      <c r="G600" s="11" t="n"/>
      <c r="Q600" s="7">
        <f>IF($E600="","",P600*AB600/100)</f>
        <v/>
      </c>
      <c r="R600" s="7" t="n"/>
      <c r="X600" s="7" t="n"/>
      <c r="Y600" s="7">
        <f>IF($E600="","",AB600*AE600/100)</f>
        <v/>
      </c>
      <c r="Z600" s="7">
        <f>IF($E600="","",AB600-Y600)</f>
        <v/>
      </c>
      <c r="AA600" s="7">
        <f>IF($E600="","",Z600-Q600)</f>
        <v/>
      </c>
      <c r="AB600" s="7" t="n"/>
      <c r="AE600">
        <f>IF($E600="","",IF($AQ600=1,0,IF($AP600=1,Settings!$C$6,Settings!$C$7))*100)</f>
        <v/>
      </c>
      <c r="AI600" s="7" t="n"/>
      <c r="AL600" s="11" t="n"/>
      <c r="AN600">
        <f>IF($E600="","",IF(COUNTIF($E$2:$E600,$E600)=1,1,0))</f>
        <v/>
      </c>
      <c r="AO600">
        <f>IF($AN600=1,SUMPRODUCT(--($AR$2:$AR$3001&lt;$AR600))+1,"")</f>
        <v/>
      </c>
      <c r="AP600">
        <f>IF($E600="","",IF(OR($U600=TRUE(),$U600="TRUE"),1,0))</f>
        <v/>
      </c>
      <c r="AQ600">
        <f>IF($E600="","",IF($AD600="Yes",1,0))</f>
        <v/>
      </c>
      <c r="AR600">
        <f>IF($AN600=1,IFERROR(VALUE(MID($E600,2,20)),1000000000)+ROW()/100000,"")</f>
        <v/>
      </c>
    </row>
    <row r="601">
      <c r="G601" s="11" t="n"/>
      <c r="Q601" s="7">
        <f>IF($E601="","",P601*AB601/100)</f>
        <v/>
      </c>
      <c r="R601" s="7" t="n"/>
      <c r="X601" s="7" t="n"/>
      <c r="Y601" s="7">
        <f>IF($E601="","",AB601*AE601/100)</f>
        <v/>
      </c>
      <c r="Z601" s="7">
        <f>IF($E601="","",AB601-Y601)</f>
        <v/>
      </c>
      <c r="AA601" s="7">
        <f>IF($E601="","",Z601-Q601)</f>
        <v/>
      </c>
      <c r="AB601" s="7" t="n"/>
      <c r="AE601">
        <f>IF($E601="","",IF($AQ601=1,0,IF($AP601=1,Settings!$C$6,Settings!$C$7))*100)</f>
        <v/>
      </c>
      <c r="AI601" s="7" t="n"/>
      <c r="AL601" s="11" t="n"/>
      <c r="AN601">
        <f>IF($E601="","",IF(COUNTIF($E$2:$E601,$E601)=1,1,0))</f>
        <v/>
      </c>
      <c r="AO601">
        <f>IF($AN601=1,SUMPRODUCT(--($AR$2:$AR$3001&lt;$AR601))+1,"")</f>
        <v/>
      </c>
      <c r="AP601">
        <f>IF($E601="","",IF(OR($U601=TRUE(),$U601="TRUE"),1,0))</f>
        <v/>
      </c>
      <c r="AQ601">
        <f>IF($E601="","",IF($AD601="Yes",1,0))</f>
        <v/>
      </c>
      <c r="AR601">
        <f>IF($AN601=1,IFERROR(VALUE(MID($E601,2,20)),1000000000)+ROW()/100000,"")</f>
        <v/>
      </c>
    </row>
    <row r="602">
      <c r="G602" s="11" t="n"/>
      <c r="Q602" s="7">
        <f>IF($E602="","",P602*AB602/100)</f>
        <v/>
      </c>
      <c r="R602" s="7" t="n"/>
      <c r="X602" s="7" t="n"/>
      <c r="Y602" s="7">
        <f>IF($E602="","",AB602*AE602/100)</f>
        <v/>
      </c>
      <c r="Z602" s="7">
        <f>IF($E602="","",AB602-Y602)</f>
        <v/>
      </c>
      <c r="AA602" s="7">
        <f>IF($E602="","",Z602-Q602)</f>
        <v/>
      </c>
      <c r="AB602" s="7" t="n"/>
      <c r="AE602">
        <f>IF($E602="","",IF($AQ602=1,0,IF($AP602=1,Settings!$C$6,Settings!$C$7))*100)</f>
        <v/>
      </c>
      <c r="AI602" s="7" t="n"/>
      <c r="AL602" s="11" t="n"/>
      <c r="AN602">
        <f>IF($E602="","",IF(COUNTIF($E$2:$E602,$E602)=1,1,0))</f>
        <v/>
      </c>
      <c r="AO602">
        <f>IF($AN602=1,SUMPRODUCT(--($AR$2:$AR$3001&lt;$AR602))+1,"")</f>
        <v/>
      </c>
      <c r="AP602">
        <f>IF($E602="","",IF(OR($U602=TRUE(),$U602="TRUE"),1,0))</f>
        <v/>
      </c>
      <c r="AQ602">
        <f>IF($E602="","",IF($AD602="Yes",1,0))</f>
        <v/>
      </c>
      <c r="AR602">
        <f>IF($AN602=1,IFERROR(VALUE(MID($E602,2,20)),1000000000)+ROW()/100000,"")</f>
        <v/>
      </c>
    </row>
    <row r="603">
      <c r="G603" s="11" t="n"/>
      <c r="Q603" s="7">
        <f>IF($E603="","",P603*AB603/100)</f>
        <v/>
      </c>
      <c r="R603" s="7" t="n"/>
      <c r="X603" s="7" t="n"/>
      <c r="Y603" s="7">
        <f>IF($E603="","",AB603*AE603/100)</f>
        <v/>
      </c>
      <c r="Z603" s="7">
        <f>IF($E603="","",AB603-Y603)</f>
        <v/>
      </c>
      <c r="AA603" s="7">
        <f>IF($E603="","",Z603-Q603)</f>
        <v/>
      </c>
      <c r="AB603" s="7" t="n"/>
      <c r="AE603">
        <f>IF($E603="","",IF($AQ603=1,0,IF($AP603=1,Settings!$C$6,Settings!$C$7))*100)</f>
        <v/>
      </c>
      <c r="AI603" s="7" t="n"/>
      <c r="AL603" s="11" t="n"/>
      <c r="AN603">
        <f>IF($E603="","",IF(COUNTIF($E$2:$E603,$E603)=1,1,0))</f>
        <v/>
      </c>
      <c r="AO603">
        <f>IF($AN603=1,SUMPRODUCT(--($AR$2:$AR$3001&lt;$AR603))+1,"")</f>
        <v/>
      </c>
      <c r="AP603">
        <f>IF($E603="","",IF(OR($U603=TRUE(),$U603="TRUE"),1,0))</f>
        <v/>
      </c>
      <c r="AQ603">
        <f>IF($E603="","",IF($AD603="Yes",1,0))</f>
        <v/>
      </c>
      <c r="AR603">
        <f>IF($AN603=1,IFERROR(VALUE(MID($E603,2,20)),1000000000)+ROW()/100000,"")</f>
        <v/>
      </c>
    </row>
    <row r="604">
      <c r="G604" s="11" t="n"/>
      <c r="Q604" s="7">
        <f>IF($E604="","",P604*AB604/100)</f>
        <v/>
      </c>
      <c r="R604" s="7" t="n"/>
      <c r="X604" s="7" t="n"/>
      <c r="Y604" s="7">
        <f>IF($E604="","",AB604*AE604/100)</f>
        <v/>
      </c>
      <c r="Z604" s="7">
        <f>IF($E604="","",AB604-Y604)</f>
        <v/>
      </c>
      <c r="AA604" s="7">
        <f>IF($E604="","",Z604-Q604)</f>
        <v/>
      </c>
      <c r="AB604" s="7" t="n"/>
      <c r="AE604">
        <f>IF($E604="","",IF($AQ604=1,0,IF($AP604=1,Settings!$C$6,Settings!$C$7))*100)</f>
        <v/>
      </c>
      <c r="AI604" s="7" t="n"/>
      <c r="AL604" s="11" t="n"/>
      <c r="AN604">
        <f>IF($E604="","",IF(COUNTIF($E$2:$E604,$E604)=1,1,0))</f>
        <v/>
      </c>
      <c r="AO604">
        <f>IF($AN604=1,SUMPRODUCT(--($AR$2:$AR$3001&lt;$AR604))+1,"")</f>
        <v/>
      </c>
      <c r="AP604">
        <f>IF($E604="","",IF(OR($U604=TRUE(),$U604="TRUE"),1,0))</f>
        <v/>
      </c>
      <c r="AQ604">
        <f>IF($E604="","",IF($AD604="Yes",1,0))</f>
        <v/>
      </c>
      <c r="AR604">
        <f>IF($AN604=1,IFERROR(VALUE(MID($E604,2,20)),1000000000)+ROW()/100000,"")</f>
        <v/>
      </c>
    </row>
    <row r="605">
      <c r="G605" s="11" t="n"/>
      <c r="Q605" s="7">
        <f>IF($E605="","",P605*AB605/100)</f>
        <v/>
      </c>
      <c r="R605" s="7" t="n"/>
      <c r="X605" s="7" t="n"/>
      <c r="Y605" s="7">
        <f>IF($E605="","",AB605*AE605/100)</f>
        <v/>
      </c>
      <c r="Z605" s="7">
        <f>IF($E605="","",AB605-Y605)</f>
        <v/>
      </c>
      <c r="AA605" s="7">
        <f>IF($E605="","",Z605-Q605)</f>
        <v/>
      </c>
      <c r="AB605" s="7" t="n"/>
      <c r="AE605">
        <f>IF($E605="","",IF($AQ605=1,0,IF($AP605=1,Settings!$C$6,Settings!$C$7))*100)</f>
        <v/>
      </c>
      <c r="AI605" s="7" t="n"/>
      <c r="AL605" s="11" t="n"/>
      <c r="AN605">
        <f>IF($E605="","",IF(COUNTIF($E$2:$E605,$E605)=1,1,0))</f>
        <v/>
      </c>
      <c r="AO605">
        <f>IF($AN605=1,SUMPRODUCT(--($AR$2:$AR$3001&lt;$AR605))+1,"")</f>
        <v/>
      </c>
      <c r="AP605">
        <f>IF($E605="","",IF(OR($U605=TRUE(),$U605="TRUE"),1,0))</f>
        <v/>
      </c>
      <c r="AQ605">
        <f>IF($E605="","",IF($AD605="Yes",1,0))</f>
        <v/>
      </c>
      <c r="AR605">
        <f>IF($AN605=1,IFERROR(VALUE(MID($E605,2,20)),1000000000)+ROW()/100000,"")</f>
        <v/>
      </c>
    </row>
    <row r="606">
      <c r="G606" s="11" t="n"/>
      <c r="Q606" s="7">
        <f>IF($E606="","",P606*AB606/100)</f>
        <v/>
      </c>
      <c r="R606" s="7" t="n"/>
      <c r="X606" s="7" t="n"/>
      <c r="Y606" s="7">
        <f>IF($E606="","",AB606*AE606/100)</f>
        <v/>
      </c>
      <c r="Z606" s="7">
        <f>IF($E606="","",AB606-Y606)</f>
        <v/>
      </c>
      <c r="AA606" s="7">
        <f>IF($E606="","",Z606-Q606)</f>
        <v/>
      </c>
      <c r="AB606" s="7" t="n"/>
      <c r="AE606">
        <f>IF($E606="","",IF($AQ606=1,0,IF($AP606=1,Settings!$C$6,Settings!$C$7))*100)</f>
        <v/>
      </c>
      <c r="AI606" s="7" t="n"/>
      <c r="AL606" s="11" t="n"/>
      <c r="AN606">
        <f>IF($E606="","",IF(COUNTIF($E$2:$E606,$E606)=1,1,0))</f>
        <v/>
      </c>
      <c r="AO606">
        <f>IF($AN606=1,SUMPRODUCT(--($AR$2:$AR$3001&lt;$AR606))+1,"")</f>
        <v/>
      </c>
      <c r="AP606">
        <f>IF($E606="","",IF(OR($U606=TRUE(),$U606="TRUE"),1,0))</f>
        <v/>
      </c>
      <c r="AQ606">
        <f>IF($E606="","",IF($AD606="Yes",1,0))</f>
        <v/>
      </c>
      <c r="AR606">
        <f>IF($AN606=1,IFERROR(VALUE(MID($E606,2,20)),1000000000)+ROW()/100000,"")</f>
        <v/>
      </c>
    </row>
    <row r="607">
      <c r="G607" s="11" t="n"/>
      <c r="Q607" s="7">
        <f>IF($E607="","",P607*AB607/100)</f>
        <v/>
      </c>
      <c r="R607" s="7" t="n"/>
      <c r="X607" s="7" t="n"/>
      <c r="Y607" s="7">
        <f>IF($E607="","",AB607*AE607/100)</f>
        <v/>
      </c>
      <c r="Z607" s="7">
        <f>IF($E607="","",AB607-Y607)</f>
        <v/>
      </c>
      <c r="AA607" s="7">
        <f>IF($E607="","",Z607-Q607)</f>
        <v/>
      </c>
      <c r="AB607" s="7" t="n"/>
      <c r="AE607">
        <f>IF($E607="","",IF($AQ607=1,0,IF($AP607=1,Settings!$C$6,Settings!$C$7))*100)</f>
        <v/>
      </c>
      <c r="AI607" s="7" t="n"/>
      <c r="AL607" s="11" t="n"/>
      <c r="AN607">
        <f>IF($E607="","",IF(COUNTIF($E$2:$E607,$E607)=1,1,0))</f>
        <v/>
      </c>
      <c r="AO607">
        <f>IF($AN607=1,SUMPRODUCT(--($AR$2:$AR$3001&lt;$AR607))+1,"")</f>
        <v/>
      </c>
      <c r="AP607">
        <f>IF($E607="","",IF(OR($U607=TRUE(),$U607="TRUE"),1,0))</f>
        <v/>
      </c>
      <c r="AQ607">
        <f>IF($E607="","",IF($AD607="Yes",1,0))</f>
        <v/>
      </c>
      <c r="AR607">
        <f>IF($AN607=1,IFERROR(VALUE(MID($E607,2,20)),1000000000)+ROW()/100000,"")</f>
        <v/>
      </c>
    </row>
    <row r="608">
      <c r="G608" s="11" t="n"/>
      <c r="Q608" s="7">
        <f>IF($E608="","",P608*AB608/100)</f>
        <v/>
      </c>
      <c r="R608" s="7" t="n"/>
      <c r="X608" s="7" t="n"/>
      <c r="Y608" s="7">
        <f>IF($E608="","",AB608*AE608/100)</f>
        <v/>
      </c>
      <c r="Z608" s="7">
        <f>IF($E608="","",AB608-Y608)</f>
        <v/>
      </c>
      <c r="AA608" s="7">
        <f>IF($E608="","",Z608-Q608)</f>
        <v/>
      </c>
      <c r="AB608" s="7" t="n"/>
      <c r="AE608">
        <f>IF($E608="","",IF($AQ608=1,0,IF($AP608=1,Settings!$C$6,Settings!$C$7))*100)</f>
        <v/>
      </c>
      <c r="AI608" s="7" t="n"/>
      <c r="AL608" s="11" t="n"/>
      <c r="AN608">
        <f>IF($E608="","",IF(COUNTIF($E$2:$E608,$E608)=1,1,0))</f>
        <v/>
      </c>
      <c r="AO608">
        <f>IF($AN608=1,SUMPRODUCT(--($AR$2:$AR$3001&lt;$AR608))+1,"")</f>
        <v/>
      </c>
      <c r="AP608">
        <f>IF($E608="","",IF(OR($U608=TRUE(),$U608="TRUE"),1,0))</f>
        <v/>
      </c>
      <c r="AQ608">
        <f>IF($E608="","",IF($AD608="Yes",1,0))</f>
        <v/>
      </c>
      <c r="AR608">
        <f>IF($AN608=1,IFERROR(VALUE(MID($E608,2,20)),1000000000)+ROW()/100000,"")</f>
        <v/>
      </c>
    </row>
    <row r="609">
      <c r="G609" s="11" t="n"/>
      <c r="Q609" s="7">
        <f>IF($E609="","",P609*AB609/100)</f>
        <v/>
      </c>
      <c r="R609" s="7" t="n"/>
      <c r="X609" s="7" t="n"/>
      <c r="Y609" s="7">
        <f>IF($E609="","",AB609*AE609/100)</f>
        <v/>
      </c>
      <c r="Z609" s="7">
        <f>IF($E609="","",AB609-Y609)</f>
        <v/>
      </c>
      <c r="AA609" s="7">
        <f>IF($E609="","",Z609-Q609)</f>
        <v/>
      </c>
      <c r="AB609" s="7" t="n"/>
      <c r="AE609">
        <f>IF($E609="","",IF($AQ609=1,0,IF($AP609=1,Settings!$C$6,Settings!$C$7))*100)</f>
        <v/>
      </c>
      <c r="AI609" s="7" t="n"/>
      <c r="AL609" s="11" t="n"/>
      <c r="AN609">
        <f>IF($E609="","",IF(COUNTIF($E$2:$E609,$E609)=1,1,0))</f>
        <v/>
      </c>
      <c r="AO609">
        <f>IF($AN609=1,SUMPRODUCT(--($AR$2:$AR$3001&lt;$AR609))+1,"")</f>
        <v/>
      </c>
      <c r="AP609">
        <f>IF($E609="","",IF(OR($U609=TRUE(),$U609="TRUE"),1,0))</f>
        <v/>
      </c>
      <c r="AQ609">
        <f>IF($E609="","",IF($AD609="Yes",1,0))</f>
        <v/>
      </c>
      <c r="AR609">
        <f>IF($AN609=1,IFERROR(VALUE(MID($E609,2,20)),1000000000)+ROW()/100000,"")</f>
        <v/>
      </c>
    </row>
    <row r="610">
      <c r="G610" s="11" t="n"/>
      <c r="Q610" s="7">
        <f>IF($E610="","",P610*AB610/100)</f>
        <v/>
      </c>
      <c r="R610" s="7" t="n"/>
      <c r="X610" s="7" t="n"/>
      <c r="Y610" s="7">
        <f>IF($E610="","",AB610*AE610/100)</f>
        <v/>
      </c>
      <c r="Z610" s="7">
        <f>IF($E610="","",AB610-Y610)</f>
        <v/>
      </c>
      <c r="AA610" s="7">
        <f>IF($E610="","",Z610-Q610)</f>
        <v/>
      </c>
      <c r="AB610" s="7" t="n"/>
      <c r="AE610">
        <f>IF($E610="","",IF($AQ610=1,0,IF($AP610=1,Settings!$C$6,Settings!$C$7))*100)</f>
        <v/>
      </c>
      <c r="AI610" s="7" t="n"/>
      <c r="AL610" s="11" t="n"/>
      <c r="AN610">
        <f>IF($E610="","",IF(COUNTIF($E$2:$E610,$E610)=1,1,0))</f>
        <v/>
      </c>
      <c r="AO610">
        <f>IF($AN610=1,SUMPRODUCT(--($AR$2:$AR$3001&lt;$AR610))+1,"")</f>
        <v/>
      </c>
      <c r="AP610">
        <f>IF($E610="","",IF(OR($U610=TRUE(),$U610="TRUE"),1,0))</f>
        <v/>
      </c>
      <c r="AQ610">
        <f>IF($E610="","",IF($AD610="Yes",1,0))</f>
        <v/>
      </c>
      <c r="AR610">
        <f>IF($AN610=1,IFERROR(VALUE(MID($E610,2,20)),1000000000)+ROW()/100000,"")</f>
        <v/>
      </c>
    </row>
    <row r="611">
      <c r="G611" s="11" t="n"/>
      <c r="Q611" s="7">
        <f>IF($E611="","",P611*AB611/100)</f>
        <v/>
      </c>
      <c r="R611" s="7" t="n"/>
      <c r="X611" s="7" t="n"/>
      <c r="Y611" s="7">
        <f>IF($E611="","",AB611*AE611/100)</f>
        <v/>
      </c>
      <c r="Z611" s="7">
        <f>IF($E611="","",AB611-Y611)</f>
        <v/>
      </c>
      <c r="AA611" s="7">
        <f>IF($E611="","",Z611-Q611)</f>
        <v/>
      </c>
      <c r="AB611" s="7" t="n"/>
      <c r="AE611">
        <f>IF($E611="","",IF($AQ611=1,0,IF($AP611=1,Settings!$C$6,Settings!$C$7))*100)</f>
        <v/>
      </c>
      <c r="AI611" s="7" t="n"/>
      <c r="AL611" s="11" t="n"/>
      <c r="AN611">
        <f>IF($E611="","",IF(COUNTIF($E$2:$E611,$E611)=1,1,0))</f>
        <v/>
      </c>
      <c r="AO611">
        <f>IF($AN611=1,SUMPRODUCT(--($AR$2:$AR$3001&lt;$AR611))+1,"")</f>
        <v/>
      </c>
      <c r="AP611">
        <f>IF($E611="","",IF(OR($U611=TRUE(),$U611="TRUE"),1,0))</f>
        <v/>
      </c>
      <c r="AQ611">
        <f>IF($E611="","",IF($AD611="Yes",1,0))</f>
        <v/>
      </c>
      <c r="AR611">
        <f>IF($AN611=1,IFERROR(VALUE(MID($E611,2,20)),1000000000)+ROW()/100000,"")</f>
        <v/>
      </c>
    </row>
    <row r="612">
      <c r="G612" s="11" t="n"/>
      <c r="Q612" s="7">
        <f>IF($E612="","",P612*AB612/100)</f>
        <v/>
      </c>
      <c r="R612" s="7" t="n"/>
      <c r="X612" s="7" t="n"/>
      <c r="Y612" s="7">
        <f>IF($E612="","",AB612*AE612/100)</f>
        <v/>
      </c>
      <c r="Z612" s="7">
        <f>IF($E612="","",AB612-Y612)</f>
        <v/>
      </c>
      <c r="AA612" s="7">
        <f>IF($E612="","",Z612-Q612)</f>
        <v/>
      </c>
      <c r="AB612" s="7" t="n"/>
      <c r="AE612">
        <f>IF($E612="","",IF($AQ612=1,0,IF($AP612=1,Settings!$C$6,Settings!$C$7))*100)</f>
        <v/>
      </c>
      <c r="AI612" s="7" t="n"/>
      <c r="AL612" s="11" t="n"/>
      <c r="AN612">
        <f>IF($E612="","",IF(COUNTIF($E$2:$E612,$E612)=1,1,0))</f>
        <v/>
      </c>
      <c r="AO612">
        <f>IF($AN612=1,SUMPRODUCT(--($AR$2:$AR$3001&lt;$AR612))+1,"")</f>
        <v/>
      </c>
      <c r="AP612">
        <f>IF($E612="","",IF(OR($U612=TRUE(),$U612="TRUE"),1,0))</f>
        <v/>
      </c>
      <c r="AQ612">
        <f>IF($E612="","",IF($AD612="Yes",1,0))</f>
        <v/>
      </c>
      <c r="AR612">
        <f>IF($AN612=1,IFERROR(VALUE(MID($E612,2,20)),1000000000)+ROW()/100000,"")</f>
        <v/>
      </c>
    </row>
    <row r="613">
      <c r="G613" s="11" t="n"/>
      <c r="Q613" s="7">
        <f>IF($E613="","",P613*AB613/100)</f>
        <v/>
      </c>
      <c r="R613" s="7" t="n"/>
      <c r="X613" s="7" t="n"/>
      <c r="Y613" s="7">
        <f>IF($E613="","",AB613*AE613/100)</f>
        <v/>
      </c>
      <c r="Z613" s="7">
        <f>IF($E613="","",AB613-Y613)</f>
        <v/>
      </c>
      <c r="AA613" s="7">
        <f>IF($E613="","",Z613-Q613)</f>
        <v/>
      </c>
      <c r="AB613" s="7" t="n"/>
      <c r="AE613">
        <f>IF($E613="","",IF($AQ613=1,0,IF($AP613=1,Settings!$C$6,Settings!$C$7))*100)</f>
        <v/>
      </c>
      <c r="AI613" s="7" t="n"/>
      <c r="AL613" s="11" t="n"/>
      <c r="AN613">
        <f>IF($E613="","",IF(COUNTIF($E$2:$E613,$E613)=1,1,0))</f>
        <v/>
      </c>
      <c r="AO613">
        <f>IF($AN613=1,SUMPRODUCT(--($AR$2:$AR$3001&lt;$AR613))+1,"")</f>
        <v/>
      </c>
      <c r="AP613">
        <f>IF($E613="","",IF(OR($U613=TRUE(),$U613="TRUE"),1,0))</f>
        <v/>
      </c>
      <c r="AQ613">
        <f>IF($E613="","",IF($AD613="Yes",1,0))</f>
        <v/>
      </c>
      <c r="AR613">
        <f>IF($AN613=1,IFERROR(VALUE(MID($E613,2,20)),1000000000)+ROW()/100000,"")</f>
        <v/>
      </c>
    </row>
    <row r="614">
      <c r="G614" s="11" t="n"/>
      <c r="Q614" s="7">
        <f>IF($E614="","",P614*AB614/100)</f>
        <v/>
      </c>
      <c r="R614" s="7" t="n"/>
      <c r="X614" s="7" t="n"/>
      <c r="Y614" s="7">
        <f>IF($E614="","",AB614*AE614/100)</f>
        <v/>
      </c>
      <c r="Z614" s="7">
        <f>IF($E614="","",AB614-Y614)</f>
        <v/>
      </c>
      <c r="AA614" s="7">
        <f>IF($E614="","",Z614-Q614)</f>
        <v/>
      </c>
      <c r="AB614" s="7" t="n"/>
      <c r="AE614">
        <f>IF($E614="","",IF($AQ614=1,0,IF($AP614=1,Settings!$C$6,Settings!$C$7))*100)</f>
        <v/>
      </c>
      <c r="AI614" s="7" t="n"/>
      <c r="AL614" s="11" t="n"/>
      <c r="AN614">
        <f>IF($E614="","",IF(COUNTIF($E$2:$E614,$E614)=1,1,0))</f>
        <v/>
      </c>
      <c r="AO614">
        <f>IF($AN614=1,SUMPRODUCT(--($AR$2:$AR$3001&lt;$AR614))+1,"")</f>
        <v/>
      </c>
      <c r="AP614">
        <f>IF($E614="","",IF(OR($U614=TRUE(),$U614="TRUE"),1,0))</f>
        <v/>
      </c>
      <c r="AQ614">
        <f>IF($E614="","",IF($AD614="Yes",1,0))</f>
        <v/>
      </c>
      <c r="AR614">
        <f>IF($AN614=1,IFERROR(VALUE(MID($E614,2,20)),1000000000)+ROW()/100000,"")</f>
        <v/>
      </c>
    </row>
    <row r="615">
      <c r="G615" s="11" t="n"/>
      <c r="Q615" s="7">
        <f>IF($E615="","",P615*AB615/100)</f>
        <v/>
      </c>
      <c r="R615" s="7" t="n"/>
      <c r="X615" s="7" t="n"/>
      <c r="Y615" s="7">
        <f>IF($E615="","",AB615*AE615/100)</f>
        <v/>
      </c>
      <c r="Z615" s="7">
        <f>IF($E615="","",AB615-Y615)</f>
        <v/>
      </c>
      <c r="AA615" s="7">
        <f>IF($E615="","",Z615-Q615)</f>
        <v/>
      </c>
      <c r="AB615" s="7" t="n"/>
      <c r="AE615">
        <f>IF($E615="","",IF($AQ615=1,0,IF($AP615=1,Settings!$C$6,Settings!$C$7))*100)</f>
        <v/>
      </c>
      <c r="AI615" s="7" t="n"/>
      <c r="AL615" s="11" t="n"/>
      <c r="AN615">
        <f>IF($E615="","",IF(COUNTIF($E$2:$E615,$E615)=1,1,0))</f>
        <v/>
      </c>
      <c r="AO615">
        <f>IF($AN615=1,SUMPRODUCT(--($AR$2:$AR$3001&lt;$AR615))+1,"")</f>
        <v/>
      </c>
      <c r="AP615">
        <f>IF($E615="","",IF(OR($U615=TRUE(),$U615="TRUE"),1,0))</f>
        <v/>
      </c>
      <c r="AQ615">
        <f>IF($E615="","",IF($AD615="Yes",1,0))</f>
        <v/>
      </c>
      <c r="AR615">
        <f>IF($AN615=1,IFERROR(VALUE(MID($E615,2,20)),1000000000)+ROW()/100000,"")</f>
        <v/>
      </c>
    </row>
    <row r="616">
      <c r="G616" s="11" t="n"/>
      <c r="Q616" s="7">
        <f>IF($E616="","",P616*AB616/100)</f>
        <v/>
      </c>
      <c r="R616" s="7" t="n"/>
      <c r="X616" s="7" t="n"/>
      <c r="Y616" s="7">
        <f>IF($E616="","",AB616*AE616/100)</f>
        <v/>
      </c>
      <c r="Z616" s="7">
        <f>IF($E616="","",AB616-Y616)</f>
        <v/>
      </c>
      <c r="AA616" s="7">
        <f>IF($E616="","",Z616-Q616)</f>
        <v/>
      </c>
      <c r="AB616" s="7" t="n"/>
      <c r="AE616">
        <f>IF($E616="","",IF($AQ616=1,0,IF($AP616=1,Settings!$C$6,Settings!$C$7))*100)</f>
        <v/>
      </c>
      <c r="AI616" s="7" t="n"/>
      <c r="AL616" s="11" t="n"/>
      <c r="AN616">
        <f>IF($E616="","",IF(COUNTIF($E$2:$E616,$E616)=1,1,0))</f>
        <v/>
      </c>
      <c r="AO616">
        <f>IF($AN616=1,SUMPRODUCT(--($AR$2:$AR$3001&lt;$AR616))+1,"")</f>
        <v/>
      </c>
      <c r="AP616">
        <f>IF($E616="","",IF(OR($U616=TRUE(),$U616="TRUE"),1,0))</f>
        <v/>
      </c>
      <c r="AQ616">
        <f>IF($E616="","",IF($AD616="Yes",1,0))</f>
        <v/>
      </c>
      <c r="AR616">
        <f>IF($AN616=1,IFERROR(VALUE(MID($E616,2,20)),1000000000)+ROW()/100000,"")</f>
        <v/>
      </c>
    </row>
    <row r="617">
      <c r="G617" s="11" t="n"/>
      <c r="Q617" s="7">
        <f>IF($E617="","",P617*AB617/100)</f>
        <v/>
      </c>
      <c r="R617" s="7" t="n"/>
      <c r="X617" s="7" t="n"/>
      <c r="Y617" s="7">
        <f>IF($E617="","",AB617*AE617/100)</f>
        <v/>
      </c>
      <c r="Z617" s="7">
        <f>IF($E617="","",AB617-Y617)</f>
        <v/>
      </c>
      <c r="AA617" s="7">
        <f>IF($E617="","",Z617-Q617)</f>
        <v/>
      </c>
      <c r="AB617" s="7" t="n"/>
      <c r="AE617">
        <f>IF($E617="","",IF($AQ617=1,0,IF($AP617=1,Settings!$C$6,Settings!$C$7))*100)</f>
        <v/>
      </c>
      <c r="AI617" s="7" t="n"/>
      <c r="AL617" s="11" t="n"/>
      <c r="AN617">
        <f>IF($E617="","",IF(COUNTIF($E$2:$E617,$E617)=1,1,0))</f>
        <v/>
      </c>
      <c r="AO617">
        <f>IF($AN617=1,SUMPRODUCT(--($AR$2:$AR$3001&lt;$AR617))+1,"")</f>
        <v/>
      </c>
      <c r="AP617">
        <f>IF($E617="","",IF(OR($U617=TRUE(),$U617="TRUE"),1,0))</f>
        <v/>
      </c>
      <c r="AQ617">
        <f>IF($E617="","",IF($AD617="Yes",1,0))</f>
        <v/>
      </c>
      <c r="AR617">
        <f>IF($AN617=1,IFERROR(VALUE(MID($E617,2,20)),1000000000)+ROW()/100000,"")</f>
        <v/>
      </c>
    </row>
    <row r="618">
      <c r="G618" s="11" t="n"/>
      <c r="Q618" s="7">
        <f>IF($E618="","",P618*AB618/100)</f>
        <v/>
      </c>
      <c r="R618" s="7" t="n"/>
      <c r="X618" s="7" t="n"/>
      <c r="Y618" s="7">
        <f>IF($E618="","",AB618*AE618/100)</f>
        <v/>
      </c>
      <c r="Z618" s="7">
        <f>IF($E618="","",AB618-Y618)</f>
        <v/>
      </c>
      <c r="AA618" s="7">
        <f>IF($E618="","",Z618-Q618)</f>
        <v/>
      </c>
      <c r="AB618" s="7" t="n"/>
      <c r="AE618">
        <f>IF($E618="","",IF($AQ618=1,0,IF($AP618=1,Settings!$C$6,Settings!$C$7))*100)</f>
        <v/>
      </c>
      <c r="AI618" s="7" t="n"/>
      <c r="AL618" s="11" t="n"/>
      <c r="AN618">
        <f>IF($E618="","",IF(COUNTIF($E$2:$E618,$E618)=1,1,0))</f>
        <v/>
      </c>
      <c r="AO618">
        <f>IF($AN618=1,SUMPRODUCT(--($AR$2:$AR$3001&lt;$AR618))+1,"")</f>
        <v/>
      </c>
      <c r="AP618">
        <f>IF($E618="","",IF(OR($U618=TRUE(),$U618="TRUE"),1,0))</f>
        <v/>
      </c>
      <c r="AQ618">
        <f>IF($E618="","",IF($AD618="Yes",1,0))</f>
        <v/>
      </c>
      <c r="AR618">
        <f>IF($AN618=1,IFERROR(VALUE(MID($E618,2,20)),1000000000)+ROW()/100000,"")</f>
        <v/>
      </c>
    </row>
    <row r="619">
      <c r="G619" s="11" t="n"/>
      <c r="Q619" s="7">
        <f>IF($E619="","",P619*AB619/100)</f>
        <v/>
      </c>
      <c r="R619" s="7" t="n"/>
      <c r="X619" s="7" t="n"/>
      <c r="Y619" s="7">
        <f>IF($E619="","",AB619*AE619/100)</f>
        <v/>
      </c>
      <c r="Z619" s="7">
        <f>IF($E619="","",AB619-Y619)</f>
        <v/>
      </c>
      <c r="AA619" s="7">
        <f>IF($E619="","",Z619-Q619)</f>
        <v/>
      </c>
      <c r="AB619" s="7" t="n"/>
      <c r="AE619">
        <f>IF($E619="","",IF($AQ619=1,0,IF($AP619=1,Settings!$C$6,Settings!$C$7))*100)</f>
        <v/>
      </c>
      <c r="AI619" s="7" t="n"/>
      <c r="AL619" s="11" t="n"/>
      <c r="AN619">
        <f>IF($E619="","",IF(COUNTIF($E$2:$E619,$E619)=1,1,0))</f>
        <v/>
      </c>
      <c r="AO619">
        <f>IF($AN619=1,SUMPRODUCT(--($AR$2:$AR$3001&lt;$AR619))+1,"")</f>
        <v/>
      </c>
      <c r="AP619">
        <f>IF($E619="","",IF(OR($U619=TRUE(),$U619="TRUE"),1,0))</f>
        <v/>
      </c>
      <c r="AQ619">
        <f>IF($E619="","",IF($AD619="Yes",1,0))</f>
        <v/>
      </c>
      <c r="AR619">
        <f>IF($AN619=1,IFERROR(VALUE(MID($E619,2,20)),1000000000)+ROW()/100000,"")</f>
        <v/>
      </c>
    </row>
    <row r="620">
      <c r="G620" s="11" t="n"/>
      <c r="Q620" s="7">
        <f>IF($E620="","",P620*AB620/100)</f>
        <v/>
      </c>
      <c r="R620" s="7" t="n"/>
      <c r="X620" s="7" t="n"/>
      <c r="Y620" s="7">
        <f>IF($E620="","",AB620*AE620/100)</f>
        <v/>
      </c>
      <c r="Z620" s="7">
        <f>IF($E620="","",AB620-Y620)</f>
        <v/>
      </c>
      <c r="AA620" s="7">
        <f>IF($E620="","",Z620-Q620)</f>
        <v/>
      </c>
      <c r="AB620" s="7" t="n"/>
      <c r="AE620">
        <f>IF($E620="","",IF($AQ620=1,0,IF($AP620=1,Settings!$C$6,Settings!$C$7))*100)</f>
        <v/>
      </c>
      <c r="AI620" s="7" t="n"/>
      <c r="AL620" s="11" t="n"/>
      <c r="AN620">
        <f>IF($E620="","",IF(COUNTIF($E$2:$E620,$E620)=1,1,0))</f>
        <v/>
      </c>
      <c r="AO620">
        <f>IF($AN620=1,SUMPRODUCT(--($AR$2:$AR$3001&lt;$AR620))+1,"")</f>
        <v/>
      </c>
      <c r="AP620">
        <f>IF($E620="","",IF(OR($U620=TRUE(),$U620="TRUE"),1,0))</f>
        <v/>
      </c>
      <c r="AQ620">
        <f>IF($E620="","",IF($AD620="Yes",1,0))</f>
        <v/>
      </c>
      <c r="AR620">
        <f>IF($AN620=1,IFERROR(VALUE(MID($E620,2,20)),1000000000)+ROW()/100000,"")</f>
        <v/>
      </c>
    </row>
    <row r="621">
      <c r="G621" s="11" t="n"/>
      <c r="Q621" s="7">
        <f>IF($E621="","",P621*AB621/100)</f>
        <v/>
      </c>
      <c r="R621" s="7" t="n"/>
      <c r="X621" s="7" t="n"/>
      <c r="Y621" s="7">
        <f>IF($E621="","",AB621*AE621/100)</f>
        <v/>
      </c>
      <c r="Z621" s="7">
        <f>IF($E621="","",AB621-Y621)</f>
        <v/>
      </c>
      <c r="AA621" s="7">
        <f>IF($E621="","",Z621-Q621)</f>
        <v/>
      </c>
      <c r="AB621" s="7" t="n"/>
      <c r="AE621">
        <f>IF($E621="","",IF($AQ621=1,0,IF($AP621=1,Settings!$C$6,Settings!$C$7))*100)</f>
        <v/>
      </c>
      <c r="AI621" s="7" t="n"/>
      <c r="AL621" s="11" t="n"/>
      <c r="AN621">
        <f>IF($E621="","",IF(COUNTIF($E$2:$E621,$E621)=1,1,0))</f>
        <v/>
      </c>
      <c r="AO621">
        <f>IF($AN621=1,SUMPRODUCT(--($AR$2:$AR$3001&lt;$AR621))+1,"")</f>
        <v/>
      </c>
      <c r="AP621">
        <f>IF($E621="","",IF(OR($U621=TRUE(),$U621="TRUE"),1,0))</f>
        <v/>
      </c>
      <c r="AQ621">
        <f>IF($E621="","",IF($AD621="Yes",1,0))</f>
        <v/>
      </c>
      <c r="AR621">
        <f>IF($AN621=1,IFERROR(VALUE(MID($E621,2,20)),1000000000)+ROW()/100000,"")</f>
        <v/>
      </c>
    </row>
    <row r="622">
      <c r="G622" s="11" t="n"/>
      <c r="Q622" s="7">
        <f>IF($E622="","",P622*AB622/100)</f>
        <v/>
      </c>
      <c r="R622" s="7" t="n"/>
      <c r="X622" s="7" t="n"/>
      <c r="Y622" s="7">
        <f>IF($E622="","",AB622*AE622/100)</f>
        <v/>
      </c>
      <c r="Z622" s="7">
        <f>IF($E622="","",AB622-Y622)</f>
        <v/>
      </c>
      <c r="AA622" s="7">
        <f>IF($E622="","",Z622-Q622)</f>
        <v/>
      </c>
      <c r="AB622" s="7" t="n"/>
      <c r="AE622">
        <f>IF($E622="","",IF($AQ622=1,0,IF($AP622=1,Settings!$C$6,Settings!$C$7))*100)</f>
        <v/>
      </c>
      <c r="AI622" s="7" t="n"/>
      <c r="AL622" s="11" t="n"/>
      <c r="AN622">
        <f>IF($E622="","",IF(COUNTIF($E$2:$E622,$E622)=1,1,0))</f>
        <v/>
      </c>
      <c r="AO622">
        <f>IF($AN622=1,SUMPRODUCT(--($AR$2:$AR$3001&lt;$AR622))+1,"")</f>
        <v/>
      </c>
      <c r="AP622">
        <f>IF($E622="","",IF(OR($U622=TRUE(),$U622="TRUE"),1,0))</f>
        <v/>
      </c>
      <c r="AQ622">
        <f>IF($E622="","",IF($AD622="Yes",1,0))</f>
        <v/>
      </c>
      <c r="AR622">
        <f>IF($AN622=1,IFERROR(VALUE(MID($E622,2,20)),1000000000)+ROW()/100000,"")</f>
        <v/>
      </c>
    </row>
    <row r="623">
      <c r="G623" s="11" t="n"/>
      <c r="Q623" s="7">
        <f>IF($E623="","",P623*AB623/100)</f>
        <v/>
      </c>
      <c r="R623" s="7" t="n"/>
      <c r="X623" s="7" t="n"/>
      <c r="Y623" s="7">
        <f>IF($E623="","",AB623*AE623/100)</f>
        <v/>
      </c>
      <c r="Z623" s="7">
        <f>IF($E623="","",AB623-Y623)</f>
        <v/>
      </c>
      <c r="AA623" s="7">
        <f>IF($E623="","",Z623-Q623)</f>
        <v/>
      </c>
      <c r="AB623" s="7" t="n"/>
      <c r="AE623">
        <f>IF($E623="","",IF($AQ623=1,0,IF($AP623=1,Settings!$C$6,Settings!$C$7))*100)</f>
        <v/>
      </c>
      <c r="AI623" s="7" t="n"/>
      <c r="AL623" s="11" t="n"/>
      <c r="AN623">
        <f>IF($E623="","",IF(COUNTIF($E$2:$E623,$E623)=1,1,0))</f>
        <v/>
      </c>
      <c r="AO623">
        <f>IF($AN623=1,SUMPRODUCT(--($AR$2:$AR$3001&lt;$AR623))+1,"")</f>
        <v/>
      </c>
      <c r="AP623">
        <f>IF($E623="","",IF(OR($U623=TRUE(),$U623="TRUE"),1,0))</f>
        <v/>
      </c>
      <c r="AQ623">
        <f>IF($E623="","",IF($AD623="Yes",1,0))</f>
        <v/>
      </c>
      <c r="AR623">
        <f>IF($AN623=1,IFERROR(VALUE(MID($E623,2,20)),1000000000)+ROW()/100000,"")</f>
        <v/>
      </c>
    </row>
    <row r="624">
      <c r="G624" s="11" t="n"/>
      <c r="Q624" s="7">
        <f>IF($E624="","",P624*AB624/100)</f>
        <v/>
      </c>
      <c r="R624" s="7" t="n"/>
      <c r="X624" s="7" t="n"/>
      <c r="Y624" s="7">
        <f>IF($E624="","",AB624*AE624/100)</f>
        <v/>
      </c>
      <c r="Z624" s="7">
        <f>IF($E624="","",AB624-Y624)</f>
        <v/>
      </c>
      <c r="AA624" s="7">
        <f>IF($E624="","",Z624-Q624)</f>
        <v/>
      </c>
      <c r="AB624" s="7" t="n"/>
      <c r="AE624">
        <f>IF($E624="","",IF($AQ624=1,0,IF($AP624=1,Settings!$C$6,Settings!$C$7))*100)</f>
        <v/>
      </c>
      <c r="AI624" s="7" t="n"/>
      <c r="AL624" s="11" t="n"/>
      <c r="AN624">
        <f>IF($E624="","",IF(COUNTIF($E$2:$E624,$E624)=1,1,0))</f>
        <v/>
      </c>
      <c r="AO624">
        <f>IF($AN624=1,SUMPRODUCT(--($AR$2:$AR$3001&lt;$AR624))+1,"")</f>
        <v/>
      </c>
      <c r="AP624">
        <f>IF($E624="","",IF(OR($U624=TRUE(),$U624="TRUE"),1,0))</f>
        <v/>
      </c>
      <c r="AQ624">
        <f>IF($E624="","",IF($AD624="Yes",1,0))</f>
        <v/>
      </c>
      <c r="AR624">
        <f>IF($AN624=1,IFERROR(VALUE(MID($E624,2,20)),1000000000)+ROW()/100000,"")</f>
        <v/>
      </c>
    </row>
    <row r="625">
      <c r="G625" s="11" t="n"/>
      <c r="Q625" s="7">
        <f>IF($E625="","",P625*AB625/100)</f>
        <v/>
      </c>
      <c r="R625" s="7" t="n"/>
      <c r="X625" s="7" t="n"/>
      <c r="Y625" s="7">
        <f>IF($E625="","",AB625*AE625/100)</f>
        <v/>
      </c>
      <c r="Z625" s="7">
        <f>IF($E625="","",AB625-Y625)</f>
        <v/>
      </c>
      <c r="AA625" s="7">
        <f>IF($E625="","",Z625-Q625)</f>
        <v/>
      </c>
      <c r="AB625" s="7" t="n"/>
      <c r="AE625">
        <f>IF($E625="","",IF($AQ625=1,0,IF($AP625=1,Settings!$C$6,Settings!$C$7))*100)</f>
        <v/>
      </c>
      <c r="AI625" s="7" t="n"/>
      <c r="AL625" s="11" t="n"/>
      <c r="AN625">
        <f>IF($E625="","",IF(COUNTIF($E$2:$E625,$E625)=1,1,0))</f>
        <v/>
      </c>
      <c r="AO625">
        <f>IF($AN625=1,SUMPRODUCT(--($AR$2:$AR$3001&lt;$AR625))+1,"")</f>
        <v/>
      </c>
      <c r="AP625">
        <f>IF($E625="","",IF(OR($U625=TRUE(),$U625="TRUE"),1,0))</f>
        <v/>
      </c>
      <c r="AQ625">
        <f>IF($E625="","",IF($AD625="Yes",1,0))</f>
        <v/>
      </c>
      <c r="AR625">
        <f>IF($AN625=1,IFERROR(VALUE(MID($E625,2,20)),1000000000)+ROW()/100000,"")</f>
        <v/>
      </c>
    </row>
    <row r="626">
      <c r="G626" s="11" t="n"/>
      <c r="Q626" s="7">
        <f>IF($E626="","",P626*AB626/100)</f>
        <v/>
      </c>
      <c r="R626" s="7" t="n"/>
      <c r="X626" s="7" t="n"/>
      <c r="Y626" s="7">
        <f>IF($E626="","",AB626*AE626/100)</f>
        <v/>
      </c>
      <c r="Z626" s="7">
        <f>IF($E626="","",AB626-Y626)</f>
        <v/>
      </c>
      <c r="AA626" s="7">
        <f>IF($E626="","",Z626-Q626)</f>
        <v/>
      </c>
      <c r="AB626" s="7" t="n"/>
      <c r="AE626">
        <f>IF($E626="","",IF($AQ626=1,0,IF($AP626=1,Settings!$C$6,Settings!$C$7))*100)</f>
        <v/>
      </c>
      <c r="AI626" s="7" t="n"/>
      <c r="AL626" s="11" t="n"/>
      <c r="AN626">
        <f>IF($E626="","",IF(COUNTIF($E$2:$E626,$E626)=1,1,0))</f>
        <v/>
      </c>
      <c r="AO626">
        <f>IF($AN626=1,SUMPRODUCT(--($AR$2:$AR$3001&lt;$AR626))+1,"")</f>
        <v/>
      </c>
      <c r="AP626">
        <f>IF($E626="","",IF(OR($U626=TRUE(),$U626="TRUE"),1,0))</f>
        <v/>
      </c>
      <c r="AQ626">
        <f>IF($E626="","",IF($AD626="Yes",1,0))</f>
        <v/>
      </c>
      <c r="AR626">
        <f>IF($AN626=1,IFERROR(VALUE(MID($E626,2,20)),1000000000)+ROW()/100000,"")</f>
        <v/>
      </c>
    </row>
    <row r="627">
      <c r="G627" s="11" t="n"/>
      <c r="Q627" s="7">
        <f>IF($E627="","",P627*AB627/100)</f>
        <v/>
      </c>
      <c r="R627" s="7" t="n"/>
      <c r="X627" s="7" t="n"/>
      <c r="Y627" s="7">
        <f>IF($E627="","",AB627*AE627/100)</f>
        <v/>
      </c>
      <c r="Z627" s="7">
        <f>IF($E627="","",AB627-Y627)</f>
        <v/>
      </c>
      <c r="AA627" s="7">
        <f>IF($E627="","",Z627-Q627)</f>
        <v/>
      </c>
      <c r="AB627" s="7" t="n"/>
      <c r="AE627">
        <f>IF($E627="","",IF($AQ627=1,0,IF($AP627=1,Settings!$C$6,Settings!$C$7))*100)</f>
        <v/>
      </c>
      <c r="AI627" s="7" t="n"/>
      <c r="AL627" s="11" t="n"/>
      <c r="AN627">
        <f>IF($E627="","",IF(COUNTIF($E$2:$E627,$E627)=1,1,0))</f>
        <v/>
      </c>
      <c r="AO627">
        <f>IF($AN627=1,SUMPRODUCT(--($AR$2:$AR$3001&lt;$AR627))+1,"")</f>
        <v/>
      </c>
      <c r="AP627">
        <f>IF($E627="","",IF(OR($U627=TRUE(),$U627="TRUE"),1,0))</f>
        <v/>
      </c>
      <c r="AQ627">
        <f>IF($E627="","",IF($AD627="Yes",1,0))</f>
        <v/>
      </c>
      <c r="AR627">
        <f>IF($AN627=1,IFERROR(VALUE(MID($E627,2,20)),1000000000)+ROW()/100000,"")</f>
        <v/>
      </c>
    </row>
    <row r="628">
      <c r="G628" s="11" t="n"/>
      <c r="Q628" s="7">
        <f>IF($E628="","",P628*AB628/100)</f>
        <v/>
      </c>
      <c r="R628" s="7" t="n"/>
      <c r="X628" s="7" t="n"/>
      <c r="Y628" s="7">
        <f>IF($E628="","",AB628*AE628/100)</f>
        <v/>
      </c>
      <c r="Z628" s="7">
        <f>IF($E628="","",AB628-Y628)</f>
        <v/>
      </c>
      <c r="AA628" s="7">
        <f>IF($E628="","",Z628-Q628)</f>
        <v/>
      </c>
      <c r="AB628" s="7" t="n"/>
      <c r="AE628">
        <f>IF($E628="","",IF($AQ628=1,0,IF($AP628=1,Settings!$C$6,Settings!$C$7))*100)</f>
        <v/>
      </c>
      <c r="AI628" s="7" t="n"/>
      <c r="AL628" s="11" t="n"/>
      <c r="AN628">
        <f>IF($E628="","",IF(COUNTIF($E$2:$E628,$E628)=1,1,0))</f>
        <v/>
      </c>
      <c r="AO628">
        <f>IF($AN628=1,SUMPRODUCT(--($AR$2:$AR$3001&lt;$AR628))+1,"")</f>
        <v/>
      </c>
      <c r="AP628">
        <f>IF($E628="","",IF(OR($U628=TRUE(),$U628="TRUE"),1,0))</f>
        <v/>
      </c>
      <c r="AQ628">
        <f>IF($E628="","",IF($AD628="Yes",1,0))</f>
        <v/>
      </c>
      <c r="AR628">
        <f>IF($AN628=1,IFERROR(VALUE(MID($E628,2,20)),1000000000)+ROW()/100000,"")</f>
        <v/>
      </c>
    </row>
    <row r="629">
      <c r="G629" s="11" t="n"/>
      <c r="Q629" s="7">
        <f>IF($E629="","",P629*AB629/100)</f>
        <v/>
      </c>
      <c r="R629" s="7" t="n"/>
      <c r="X629" s="7" t="n"/>
      <c r="Y629" s="7">
        <f>IF($E629="","",AB629*AE629/100)</f>
        <v/>
      </c>
      <c r="Z629" s="7">
        <f>IF($E629="","",AB629-Y629)</f>
        <v/>
      </c>
      <c r="AA629" s="7">
        <f>IF($E629="","",Z629-Q629)</f>
        <v/>
      </c>
      <c r="AB629" s="7" t="n"/>
      <c r="AE629">
        <f>IF($E629="","",IF($AQ629=1,0,IF($AP629=1,Settings!$C$6,Settings!$C$7))*100)</f>
        <v/>
      </c>
      <c r="AI629" s="7" t="n"/>
      <c r="AL629" s="11" t="n"/>
      <c r="AN629">
        <f>IF($E629="","",IF(COUNTIF($E$2:$E629,$E629)=1,1,0))</f>
        <v/>
      </c>
      <c r="AO629">
        <f>IF($AN629=1,SUMPRODUCT(--($AR$2:$AR$3001&lt;$AR629))+1,"")</f>
        <v/>
      </c>
      <c r="AP629">
        <f>IF($E629="","",IF(OR($U629=TRUE(),$U629="TRUE"),1,0))</f>
        <v/>
      </c>
      <c r="AQ629">
        <f>IF($E629="","",IF($AD629="Yes",1,0))</f>
        <v/>
      </c>
      <c r="AR629">
        <f>IF($AN629=1,IFERROR(VALUE(MID($E629,2,20)),1000000000)+ROW()/100000,"")</f>
        <v/>
      </c>
    </row>
    <row r="630">
      <c r="G630" s="11" t="n"/>
      <c r="Q630" s="7">
        <f>IF($E630="","",P630*AB630/100)</f>
        <v/>
      </c>
      <c r="R630" s="7" t="n"/>
      <c r="X630" s="7" t="n"/>
      <c r="Y630" s="7">
        <f>IF($E630="","",AB630*AE630/100)</f>
        <v/>
      </c>
      <c r="Z630" s="7">
        <f>IF($E630="","",AB630-Y630)</f>
        <v/>
      </c>
      <c r="AA630" s="7">
        <f>IF($E630="","",Z630-Q630)</f>
        <v/>
      </c>
      <c r="AB630" s="7" t="n"/>
      <c r="AE630">
        <f>IF($E630="","",IF($AQ630=1,0,IF($AP630=1,Settings!$C$6,Settings!$C$7))*100)</f>
        <v/>
      </c>
      <c r="AI630" s="7" t="n"/>
      <c r="AL630" s="11" t="n"/>
      <c r="AN630">
        <f>IF($E630="","",IF(COUNTIF($E$2:$E630,$E630)=1,1,0))</f>
        <v/>
      </c>
      <c r="AO630">
        <f>IF($AN630=1,SUMPRODUCT(--($AR$2:$AR$3001&lt;$AR630))+1,"")</f>
        <v/>
      </c>
      <c r="AP630">
        <f>IF($E630="","",IF(OR($U630=TRUE(),$U630="TRUE"),1,0))</f>
        <v/>
      </c>
      <c r="AQ630">
        <f>IF($E630="","",IF($AD630="Yes",1,0))</f>
        <v/>
      </c>
      <c r="AR630">
        <f>IF($AN630=1,IFERROR(VALUE(MID($E630,2,20)),1000000000)+ROW()/100000,"")</f>
        <v/>
      </c>
    </row>
    <row r="631">
      <c r="G631" s="11" t="n"/>
      <c r="Q631" s="7">
        <f>IF($E631="","",P631*AB631/100)</f>
        <v/>
      </c>
      <c r="R631" s="7" t="n"/>
      <c r="X631" s="7" t="n"/>
      <c r="Y631" s="7">
        <f>IF($E631="","",AB631*AE631/100)</f>
        <v/>
      </c>
      <c r="Z631" s="7">
        <f>IF($E631="","",AB631-Y631)</f>
        <v/>
      </c>
      <c r="AA631" s="7">
        <f>IF($E631="","",Z631-Q631)</f>
        <v/>
      </c>
      <c r="AB631" s="7" t="n"/>
      <c r="AE631">
        <f>IF($E631="","",IF($AQ631=1,0,IF($AP631=1,Settings!$C$6,Settings!$C$7))*100)</f>
        <v/>
      </c>
      <c r="AI631" s="7" t="n"/>
      <c r="AL631" s="11" t="n"/>
      <c r="AN631">
        <f>IF($E631="","",IF(COUNTIF($E$2:$E631,$E631)=1,1,0))</f>
        <v/>
      </c>
      <c r="AO631">
        <f>IF($AN631=1,SUMPRODUCT(--($AR$2:$AR$3001&lt;$AR631))+1,"")</f>
        <v/>
      </c>
      <c r="AP631">
        <f>IF($E631="","",IF(OR($U631=TRUE(),$U631="TRUE"),1,0))</f>
        <v/>
      </c>
      <c r="AQ631">
        <f>IF($E631="","",IF($AD631="Yes",1,0))</f>
        <v/>
      </c>
      <c r="AR631">
        <f>IF($AN631=1,IFERROR(VALUE(MID($E631,2,20)),1000000000)+ROW()/100000,"")</f>
        <v/>
      </c>
    </row>
    <row r="632">
      <c r="G632" s="11" t="n"/>
      <c r="Q632" s="7">
        <f>IF($E632="","",P632*AB632/100)</f>
        <v/>
      </c>
      <c r="R632" s="7" t="n"/>
      <c r="X632" s="7" t="n"/>
      <c r="Y632" s="7">
        <f>IF($E632="","",AB632*AE632/100)</f>
        <v/>
      </c>
      <c r="Z632" s="7">
        <f>IF($E632="","",AB632-Y632)</f>
        <v/>
      </c>
      <c r="AA632" s="7">
        <f>IF($E632="","",Z632-Q632)</f>
        <v/>
      </c>
      <c r="AB632" s="7" t="n"/>
      <c r="AE632">
        <f>IF($E632="","",IF($AQ632=1,0,IF($AP632=1,Settings!$C$6,Settings!$C$7))*100)</f>
        <v/>
      </c>
      <c r="AI632" s="7" t="n"/>
      <c r="AL632" s="11" t="n"/>
      <c r="AN632">
        <f>IF($E632="","",IF(COUNTIF($E$2:$E632,$E632)=1,1,0))</f>
        <v/>
      </c>
      <c r="AO632">
        <f>IF($AN632=1,SUMPRODUCT(--($AR$2:$AR$3001&lt;$AR632))+1,"")</f>
        <v/>
      </c>
      <c r="AP632">
        <f>IF($E632="","",IF(OR($U632=TRUE(),$U632="TRUE"),1,0))</f>
        <v/>
      </c>
      <c r="AQ632">
        <f>IF($E632="","",IF($AD632="Yes",1,0))</f>
        <v/>
      </c>
      <c r="AR632">
        <f>IF($AN632=1,IFERROR(VALUE(MID($E632,2,20)),1000000000)+ROW()/100000,"")</f>
        <v/>
      </c>
    </row>
    <row r="633">
      <c r="G633" s="11" t="n"/>
      <c r="Q633" s="7">
        <f>IF($E633="","",P633*AB633/100)</f>
        <v/>
      </c>
      <c r="R633" s="7" t="n"/>
      <c r="X633" s="7" t="n"/>
      <c r="Y633" s="7">
        <f>IF($E633="","",AB633*AE633/100)</f>
        <v/>
      </c>
      <c r="Z633" s="7">
        <f>IF($E633="","",AB633-Y633)</f>
        <v/>
      </c>
      <c r="AA633" s="7">
        <f>IF($E633="","",Z633-Q633)</f>
        <v/>
      </c>
      <c r="AB633" s="7" t="n"/>
      <c r="AE633">
        <f>IF($E633="","",IF($AQ633=1,0,IF($AP633=1,Settings!$C$6,Settings!$C$7))*100)</f>
        <v/>
      </c>
      <c r="AI633" s="7" t="n"/>
      <c r="AL633" s="11" t="n"/>
      <c r="AN633">
        <f>IF($E633="","",IF(COUNTIF($E$2:$E633,$E633)=1,1,0))</f>
        <v/>
      </c>
      <c r="AO633">
        <f>IF($AN633=1,SUMPRODUCT(--($AR$2:$AR$3001&lt;$AR633))+1,"")</f>
        <v/>
      </c>
      <c r="AP633">
        <f>IF($E633="","",IF(OR($U633=TRUE(),$U633="TRUE"),1,0))</f>
        <v/>
      </c>
      <c r="AQ633">
        <f>IF($E633="","",IF($AD633="Yes",1,0))</f>
        <v/>
      </c>
      <c r="AR633">
        <f>IF($AN633=1,IFERROR(VALUE(MID($E633,2,20)),1000000000)+ROW()/100000,"")</f>
        <v/>
      </c>
    </row>
    <row r="634">
      <c r="G634" s="11" t="n"/>
      <c r="Q634" s="7">
        <f>IF($E634="","",P634*AB634/100)</f>
        <v/>
      </c>
      <c r="R634" s="7" t="n"/>
      <c r="X634" s="7" t="n"/>
      <c r="Y634" s="7">
        <f>IF($E634="","",AB634*AE634/100)</f>
        <v/>
      </c>
      <c r="Z634" s="7">
        <f>IF($E634="","",AB634-Y634)</f>
        <v/>
      </c>
      <c r="AA634" s="7">
        <f>IF($E634="","",Z634-Q634)</f>
        <v/>
      </c>
      <c r="AB634" s="7" t="n"/>
      <c r="AE634">
        <f>IF($E634="","",IF($AQ634=1,0,IF($AP634=1,Settings!$C$6,Settings!$C$7))*100)</f>
        <v/>
      </c>
      <c r="AI634" s="7" t="n"/>
      <c r="AL634" s="11" t="n"/>
      <c r="AN634">
        <f>IF($E634="","",IF(COUNTIF($E$2:$E634,$E634)=1,1,0))</f>
        <v/>
      </c>
      <c r="AO634">
        <f>IF($AN634=1,SUMPRODUCT(--($AR$2:$AR$3001&lt;$AR634))+1,"")</f>
        <v/>
      </c>
      <c r="AP634">
        <f>IF($E634="","",IF(OR($U634=TRUE(),$U634="TRUE"),1,0))</f>
        <v/>
      </c>
      <c r="AQ634">
        <f>IF($E634="","",IF($AD634="Yes",1,0))</f>
        <v/>
      </c>
      <c r="AR634">
        <f>IF($AN634=1,IFERROR(VALUE(MID($E634,2,20)),1000000000)+ROW()/100000,"")</f>
        <v/>
      </c>
    </row>
    <row r="635">
      <c r="G635" s="11" t="n"/>
      <c r="Q635" s="7">
        <f>IF($E635="","",P635*AB635/100)</f>
        <v/>
      </c>
      <c r="R635" s="7" t="n"/>
      <c r="X635" s="7" t="n"/>
      <c r="Y635" s="7">
        <f>IF($E635="","",AB635*AE635/100)</f>
        <v/>
      </c>
      <c r="Z635" s="7">
        <f>IF($E635="","",AB635-Y635)</f>
        <v/>
      </c>
      <c r="AA635" s="7">
        <f>IF($E635="","",Z635-Q635)</f>
        <v/>
      </c>
      <c r="AB635" s="7" t="n"/>
      <c r="AE635">
        <f>IF($E635="","",IF($AQ635=1,0,IF($AP635=1,Settings!$C$6,Settings!$C$7))*100)</f>
        <v/>
      </c>
      <c r="AI635" s="7" t="n"/>
      <c r="AL635" s="11" t="n"/>
      <c r="AN635">
        <f>IF($E635="","",IF(COUNTIF($E$2:$E635,$E635)=1,1,0))</f>
        <v/>
      </c>
      <c r="AO635">
        <f>IF($AN635=1,SUMPRODUCT(--($AR$2:$AR$3001&lt;$AR635))+1,"")</f>
        <v/>
      </c>
      <c r="AP635">
        <f>IF($E635="","",IF(OR($U635=TRUE(),$U635="TRUE"),1,0))</f>
        <v/>
      </c>
      <c r="AQ635">
        <f>IF($E635="","",IF($AD635="Yes",1,0))</f>
        <v/>
      </c>
      <c r="AR635">
        <f>IF($AN635=1,IFERROR(VALUE(MID($E635,2,20)),1000000000)+ROW()/100000,"")</f>
        <v/>
      </c>
    </row>
    <row r="636">
      <c r="G636" s="11" t="n"/>
      <c r="Q636" s="7">
        <f>IF($E636="","",P636*AB636/100)</f>
        <v/>
      </c>
      <c r="R636" s="7" t="n"/>
      <c r="X636" s="7" t="n"/>
      <c r="Y636" s="7">
        <f>IF($E636="","",AB636*AE636/100)</f>
        <v/>
      </c>
      <c r="Z636" s="7">
        <f>IF($E636="","",AB636-Y636)</f>
        <v/>
      </c>
      <c r="AA636" s="7">
        <f>IF($E636="","",Z636-Q636)</f>
        <v/>
      </c>
      <c r="AB636" s="7" t="n"/>
      <c r="AE636">
        <f>IF($E636="","",IF($AQ636=1,0,IF($AP636=1,Settings!$C$6,Settings!$C$7))*100)</f>
        <v/>
      </c>
      <c r="AI636" s="7" t="n"/>
      <c r="AL636" s="11" t="n"/>
      <c r="AN636">
        <f>IF($E636="","",IF(COUNTIF($E$2:$E636,$E636)=1,1,0))</f>
        <v/>
      </c>
      <c r="AO636">
        <f>IF($AN636=1,SUMPRODUCT(--($AR$2:$AR$3001&lt;$AR636))+1,"")</f>
        <v/>
      </c>
      <c r="AP636">
        <f>IF($E636="","",IF(OR($U636=TRUE(),$U636="TRUE"),1,0))</f>
        <v/>
      </c>
      <c r="AQ636">
        <f>IF($E636="","",IF($AD636="Yes",1,0))</f>
        <v/>
      </c>
      <c r="AR636">
        <f>IF($AN636=1,IFERROR(VALUE(MID($E636,2,20)),1000000000)+ROW()/100000,"")</f>
        <v/>
      </c>
    </row>
    <row r="637">
      <c r="G637" s="11" t="n"/>
      <c r="Q637" s="7">
        <f>IF($E637="","",P637*AB637/100)</f>
        <v/>
      </c>
      <c r="R637" s="7" t="n"/>
      <c r="X637" s="7" t="n"/>
      <c r="Y637" s="7">
        <f>IF($E637="","",AB637*AE637/100)</f>
        <v/>
      </c>
      <c r="Z637" s="7">
        <f>IF($E637="","",AB637-Y637)</f>
        <v/>
      </c>
      <c r="AA637" s="7">
        <f>IF($E637="","",Z637-Q637)</f>
        <v/>
      </c>
      <c r="AB637" s="7" t="n"/>
      <c r="AE637">
        <f>IF($E637="","",IF($AQ637=1,0,IF($AP637=1,Settings!$C$6,Settings!$C$7))*100)</f>
        <v/>
      </c>
      <c r="AI637" s="7" t="n"/>
      <c r="AL637" s="11" t="n"/>
      <c r="AN637">
        <f>IF($E637="","",IF(COUNTIF($E$2:$E637,$E637)=1,1,0))</f>
        <v/>
      </c>
      <c r="AO637">
        <f>IF($AN637=1,SUMPRODUCT(--($AR$2:$AR$3001&lt;$AR637))+1,"")</f>
        <v/>
      </c>
      <c r="AP637">
        <f>IF($E637="","",IF(OR($U637=TRUE(),$U637="TRUE"),1,0))</f>
        <v/>
      </c>
      <c r="AQ637">
        <f>IF($E637="","",IF($AD637="Yes",1,0))</f>
        <v/>
      </c>
      <c r="AR637">
        <f>IF($AN637=1,IFERROR(VALUE(MID($E637,2,20)),1000000000)+ROW()/100000,"")</f>
        <v/>
      </c>
    </row>
    <row r="638">
      <c r="G638" s="11" t="n"/>
      <c r="Q638" s="7">
        <f>IF($E638="","",P638*AB638/100)</f>
        <v/>
      </c>
      <c r="R638" s="7" t="n"/>
      <c r="X638" s="7" t="n"/>
      <c r="Y638" s="7">
        <f>IF($E638="","",AB638*AE638/100)</f>
        <v/>
      </c>
      <c r="Z638" s="7">
        <f>IF($E638="","",AB638-Y638)</f>
        <v/>
      </c>
      <c r="AA638" s="7">
        <f>IF($E638="","",Z638-Q638)</f>
        <v/>
      </c>
      <c r="AB638" s="7" t="n"/>
      <c r="AE638">
        <f>IF($E638="","",IF($AQ638=1,0,IF($AP638=1,Settings!$C$6,Settings!$C$7))*100)</f>
        <v/>
      </c>
      <c r="AI638" s="7" t="n"/>
      <c r="AL638" s="11" t="n"/>
      <c r="AN638">
        <f>IF($E638="","",IF(COUNTIF($E$2:$E638,$E638)=1,1,0))</f>
        <v/>
      </c>
      <c r="AO638">
        <f>IF($AN638=1,SUMPRODUCT(--($AR$2:$AR$3001&lt;$AR638))+1,"")</f>
        <v/>
      </c>
      <c r="AP638">
        <f>IF($E638="","",IF(OR($U638=TRUE(),$U638="TRUE"),1,0))</f>
        <v/>
      </c>
      <c r="AQ638">
        <f>IF($E638="","",IF($AD638="Yes",1,0))</f>
        <v/>
      </c>
      <c r="AR638">
        <f>IF($AN638=1,IFERROR(VALUE(MID($E638,2,20)),1000000000)+ROW()/100000,"")</f>
        <v/>
      </c>
    </row>
    <row r="639">
      <c r="G639" s="11" t="n"/>
      <c r="Q639" s="7">
        <f>IF($E639="","",P639*AB639/100)</f>
        <v/>
      </c>
      <c r="R639" s="7" t="n"/>
      <c r="X639" s="7" t="n"/>
      <c r="Y639" s="7">
        <f>IF($E639="","",AB639*AE639/100)</f>
        <v/>
      </c>
      <c r="Z639" s="7">
        <f>IF($E639="","",AB639-Y639)</f>
        <v/>
      </c>
      <c r="AA639" s="7">
        <f>IF($E639="","",Z639-Q639)</f>
        <v/>
      </c>
      <c r="AB639" s="7" t="n"/>
      <c r="AE639">
        <f>IF($E639="","",IF($AQ639=1,0,IF($AP639=1,Settings!$C$6,Settings!$C$7))*100)</f>
        <v/>
      </c>
      <c r="AI639" s="7" t="n"/>
      <c r="AL639" s="11" t="n"/>
      <c r="AN639">
        <f>IF($E639="","",IF(COUNTIF($E$2:$E639,$E639)=1,1,0))</f>
        <v/>
      </c>
      <c r="AO639">
        <f>IF($AN639=1,SUMPRODUCT(--($AR$2:$AR$3001&lt;$AR639))+1,"")</f>
        <v/>
      </c>
      <c r="AP639">
        <f>IF($E639="","",IF(OR($U639=TRUE(),$U639="TRUE"),1,0))</f>
        <v/>
      </c>
      <c r="AQ639">
        <f>IF($E639="","",IF($AD639="Yes",1,0))</f>
        <v/>
      </c>
      <c r="AR639">
        <f>IF($AN639=1,IFERROR(VALUE(MID($E639,2,20)),1000000000)+ROW()/100000,"")</f>
        <v/>
      </c>
    </row>
    <row r="640">
      <c r="G640" s="11" t="n"/>
      <c r="Q640" s="7">
        <f>IF($E640="","",P640*AB640/100)</f>
        <v/>
      </c>
      <c r="R640" s="7" t="n"/>
      <c r="X640" s="7" t="n"/>
      <c r="Y640" s="7">
        <f>IF($E640="","",AB640*AE640/100)</f>
        <v/>
      </c>
      <c r="Z640" s="7">
        <f>IF($E640="","",AB640-Y640)</f>
        <v/>
      </c>
      <c r="AA640" s="7">
        <f>IF($E640="","",Z640-Q640)</f>
        <v/>
      </c>
      <c r="AB640" s="7" t="n"/>
      <c r="AE640">
        <f>IF($E640="","",IF($AQ640=1,0,IF($AP640=1,Settings!$C$6,Settings!$C$7))*100)</f>
        <v/>
      </c>
      <c r="AI640" s="7" t="n"/>
      <c r="AL640" s="11" t="n"/>
      <c r="AN640">
        <f>IF($E640="","",IF(COUNTIF($E$2:$E640,$E640)=1,1,0))</f>
        <v/>
      </c>
      <c r="AO640">
        <f>IF($AN640=1,SUMPRODUCT(--($AR$2:$AR$3001&lt;$AR640))+1,"")</f>
        <v/>
      </c>
      <c r="AP640">
        <f>IF($E640="","",IF(OR($U640=TRUE(),$U640="TRUE"),1,0))</f>
        <v/>
      </c>
      <c r="AQ640">
        <f>IF($E640="","",IF($AD640="Yes",1,0))</f>
        <v/>
      </c>
      <c r="AR640">
        <f>IF($AN640=1,IFERROR(VALUE(MID($E640,2,20)),1000000000)+ROW()/100000,"")</f>
        <v/>
      </c>
    </row>
    <row r="641">
      <c r="G641" s="11" t="n"/>
      <c r="Q641" s="7">
        <f>IF($E641="","",P641*AB641/100)</f>
        <v/>
      </c>
      <c r="R641" s="7" t="n"/>
      <c r="X641" s="7" t="n"/>
      <c r="Y641" s="7">
        <f>IF($E641="","",AB641*AE641/100)</f>
        <v/>
      </c>
      <c r="Z641" s="7">
        <f>IF($E641="","",AB641-Y641)</f>
        <v/>
      </c>
      <c r="AA641" s="7">
        <f>IF($E641="","",Z641-Q641)</f>
        <v/>
      </c>
      <c r="AB641" s="7" t="n"/>
      <c r="AE641">
        <f>IF($E641="","",IF($AQ641=1,0,IF($AP641=1,Settings!$C$6,Settings!$C$7))*100)</f>
        <v/>
      </c>
      <c r="AI641" s="7" t="n"/>
      <c r="AL641" s="11" t="n"/>
      <c r="AN641">
        <f>IF($E641="","",IF(COUNTIF($E$2:$E641,$E641)=1,1,0))</f>
        <v/>
      </c>
      <c r="AO641">
        <f>IF($AN641=1,SUMPRODUCT(--($AR$2:$AR$3001&lt;$AR641))+1,"")</f>
        <v/>
      </c>
      <c r="AP641">
        <f>IF($E641="","",IF(OR($U641=TRUE(),$U641="TRUE"),1,0))</f>
        <v/>
      </c>
      <c r="AQ641">
        <f>IF($E641="","",IF($AD641="Yes",1,0))</f>
        <v/>
      </c>
      <c r="AR641">
        <f>IF($AN641=1,IFERROR(VALUE(MID($E641,2,20)),1000000000)+ROW()/100000,"")</f>
        <v/>
      </c>
    </row>
    <row r="642">
      <c r="G642" s="11" t="n"/>
      <c r="Q642" s="7">
        <f>IF($E642="","",P642*AB642/100)</f>
        <v/>
      </c>
      <c r="R642" s="7" t="n"/>
      <c r="X642" s="7" t="n"/>
      <c r="Y642" s="7">
        <f>IF($E642="","",AB642*AE642/100)</f>
        <v/>
      </c>
      <c r="Z642" s="7">
        <f>IF($E642="","",AB642-Y642)</f>
        <v/>
      </c>
      <c r="AA642" s="7">
        <f>IF($E642="","",Z642-Q642)</f>
        <v/>
      </c>
      <c r="AB642" s="7" t="n"/>
      <c r="AE642">
        <f>IF($E642="","",IF($AQ642=1,0,IF($AP642=1,Settings!$C$6,Settings!$C$7))*100)</f>
        <v/>
      </c>
      <c r="AI642" s="7" t="n"/>
      <c r="AL642" s="11" t="n"/>
      <c r="AN642">
        <f>IF($E642="","",IF(COUNTIF($E$2:$E642,$E642)=1,1,0))</f>
        <v/>
      </c>
      <c r="AO642">
        <f>IF($AN642=1,SUMPRODUCT(--($AR$2:$AR$3001&lt;$AR642))+1,"")</f>
        <v/>
      </c>
      <c r="AP642">
        <f>IF($E642="","",IF(OR($U642=TRUE(),$U642="TRUE"),1,0))</f>
        <v/>
      </c>
      <c r="AQ642">
        <f>IF($E642="","",IF($AD642="Yes",1,0))</f>
        <v/>
      </c>
      <c r="AR642">
        <f>IF($AN642=1,IFERROR(VALUE(MID($E642,2,20)),1000000000)+ROW()/100000,"")</f>
        <v/>
      </c>
    </row>
    <row r="643">
      <c r="G643" s="11" t="n"/>
      <c r="Q643" s="7">
        <f>IF($E643="","",P643*AB643/100)</f>
        <v/>
      </c>
      <c r="R643" s="7" t="n"/>
      <c r="X643" s="7" t="n"/>
      <c r="Y643" s="7">
        <f>IF($E643="","",AB643*AE643/100)</f>
        <v/>
      </c>
      <c r="Z643" s="7">
        <f>IF($E643="","",AB643-Y643)</f>
        <v/>
      </c>
      <c r="AA643" s="7">
        <f>IF($E643="","",Z643-Q643)</f>
        <v/>
      </c>
      <c r="AB643" s="7" t="n"/>
      <c r="AE643">
        <f>IF($E643="","",IF($AQ643=1,0,IF($AP643=1,Settings!$C$6,Settings!$C$7))*100)</f>
        <v/>
      </c>
      <c r="AI643" s="7" t="n"/>
      <c r="AL643" s="11" t="n"/>
      <c r="AN643">
        <f>IF($E643="","",IF(COUNTIF($E$2:$E643,$E643)=1,1,0))</f>
        <v/>
      </c>
      <c r="AO643">
        <f>IF($AN643=1,SUMPRODUCT(--($AR$2:$AR$3001&lt;$AR643))+1,"")</f>
        <v/>
      </c>
      <c r="AP643">
        <f>IF($E643="","",IF(OR($U643=TRUE(),$U643="TRUE"),1,0))</f>
        <v/>
      </c>
      <c r="AQ643">
        <f>IF($E643="","",IF($AD643="Yes",1,0))</f>
        <v/>
      </c>
      <c r="AR643">
        <f>IF($AN643=1,IFERROR(VALUE(MID($E643,2,20)),1000000000)+ROW()/100000,"")</f>
        <v/>
      </c>
    </row>
    <row r="644">
      <c r="G644" s="11" t="n"/>
      <c r="Q644" s="7">
        <f>IF($E644="","",P644*AB644/100)</f>
        <v/>
      </c>
      <c r="R644" s="7" t="n"/>
      <c r="X644" s="7" t="n"/>
      <c r="Y644" s="7">
        <f>IF($E644="","",AB644*AE644/100)</f>
        <v/>
      </c>
      <c r="Z644" s="7">
        <f>IF($E644="","",AB644-Y644)</f>
        <v/>
      </c>
      <c r="AA644" s="7">
        <f>IF($E644="","",Z644-Q644)</f>
        <v/>
      </c>
      <c r="AB644" s="7" t="n"/>
      <c r="AE644">
        <f>IF($E644="","",IF($AQ644=1,0,IF($AP644=1,Settings!$C$6,Settings!$C$7))*100)</f>
        <v/>
      </c>
      <c r="AI644" s="7" t="n"/>
      <c r="AL644" s="11" t="n"/>
      <c r="AN644">
        <f>IF($E644="","",IF(COUNTIF($E$2:$E644,$E644)=1,1,0))</f>
        <v/>
      </c>
      <c r="AO644">
        <f>IF($AN644=1,SUMPRODUCT(--($AR$2:$AR$3001&lt;$AR644))+1,"")</f>
        <v/>
      </c>
      <c r="AP644">
        <f>IF($E644="","",IF(OR($U644=TRUE(),$U644="TRUE"),1,0))</f>
        <v/>
      </c>
      <c r="AQ644">
        <f>IF($E644="","",IF($AD644="Yes",1,0))</f>
        <v/>
      </c>
      <c r="AR644">
        <f>IF($AN644=1,IFERROR(VALUE(MID($E644,2,20)),1000000000)+ROW()/100000,"")</f>
        <v/>
      </c>
    </row>
    <row r="645">
      <c r="G645" s="11" t="n"/>
      <c r="Q645" s="7">
        <f>IF($E645="","",P645*AB645/100)</f>
        <v/>
      </c>
      <c r="R645" s="7" t="n"/>
      <c r="X645" s="7" t="n"/>
      <c r="Y645" s="7">
        <f>IF($E645="","",AB645*AE645/100)</f>
        <v/>
      </c>
      <c r="Z645" s="7">
        <f>IF($E645="","",AB645-Y645)</f>
        <v/>
      </c>
      <c r="AA645" s="7">
        <f>IF($E645="","",Z645-Q645)</f>
        <v/>
      </c>
      <c r="AB645" s="7" t="n"/>
      <c r="AE645">
        <f>IF($E645="","",IF($AQ645=1,0,IF($AP645=1,Settings!$C$6,Settings!$C$7))*100)</f>
        <v/>
      </c>
      <c r="AI645" s="7" t="n"/>
      <c r="AL645" s="11" t="n"/>
      <c r="AN645">
        <f>IF($E645="","",IF(COUNTIF($E$2:$E645,$E645)=1,1,0))</f>
        <v/>
      </c>
      <c r="AO645">
        <f>IF($AN645=1,SUMPRODUCT(--($AR$2:$AR$3001&lt;$AR645))+1,"")</f>
        <v/>
      </c>
      <c r="AP645">
        <f>IF($E645="","",IF(OR($U645=TRUE(),$U645="TRUE"),1,0))</f>
        <v/>
      </c>
      <c r="AQ645">
        <f>IF($E645="","",IF($AD645="Yes",1,0))</f>
        <v/>
      </c>
      <c r="AR645">
        <f>IF($AN645=1,IFERROR(VALUE(MID($E645,2,20)),1000000000)+ROW()/100000,"")</f>
        <v/>
      </c>
    </row>
    <row r="646">
      <c r="G646" s="11" t="n"/>
      <c r="Q646" s="7">
        <f>IF($E646="","",P646*AB646/100)</f>
        <v/>
      </c>
      <c r="R646" s="7" t="n"/>
      <c r="X646" s="7" t="n"/>
      <c r="Y646" s="7">
        <f>IF($E646="","",AB646*AE646/100)</f>
        <v/>
      </c>
      <c r="Z646" s="7">
        <f>IF($E646="","",AB646-Y646)</f>
        <v/>
      </c>
      <c r="AA646" s="7">
        <f>IF($E646="","",Z646-Q646)</f>
        <v/>
      </c>
      <c r="AB646" s="7" t="n"/>
      <c r="AE646">
        <f>IF($E646="","",IF($AQ646=1,0,IF($AP646=1,Settings!$C$6,Settings!$C$7))*100)</f>
        <v/>
      </c>
      <c r="AI646" s="7" t="n"/>
      <c r="AL646" s="11" t="n"/>
      <c r="AN646">
        <f>IF($E646="","",IF(COUNTIF($E$2:$E646,$E646)=1,1,0))</f>
        <v/>
      </c>
      <c r="AO646">
        <f>IF($AN646=1,SUMPRODUCT(--($AR$2:$AR$3001&lt;$AR646))+1,"")</f>
        <v/>
      </c>
      <c r="AP646">
        <f>IF($E646="","",IF(OR($U646=TRUE(),$U646="TRUE"),1,0))</f>
        <v/>
      </c>
      <c r="AQ646">
        <f>IF($E646="","",IF($AD646="Yes",1,0))</f>
        <v/>
      </c>
      <c r="AR646">
        <f>IF($AN646=1,IFERROR(VALUE(MID($E646,2,20)),1000000000)+ROW()/100000,"")</f>
        <v/>
      </c>
    </row>
    <row r="647">
      <c r="G647" s="11" t="n"/>
      <c r="Q647" s="7">
        <f>IF($E647="","",P647*AB647/100)</f>
        <v/>
      </c>
      <c r="R647" s="7" t="n"/>
      <c r="X647" s="7" t="n"/>
      <c r="Y647" s="7">
        <f>IF($E647="","",AB647*AE647/100)</f>
        <v/>
      </c>
      <c r="Z647" s="7">
        <f>IF($E647="","",AB647-Y647)</f>
        <v/>
      </c>
      <c r="AA647" s="7">
        <f>IF($E647="","",Z647-Q647)</f>
        <v/>
      </c>
      <c r="AB647" s="7" t="n"/>
      <c r="AE647">
        <f>IF($E647="","",IF($AQ647=1,0,IF($AP647=1,Settings!$C$6,Settings!$C$7))*100)</f>
        <v/>
      </c>
      <c r="AI647" s="7" t="n"/>
      <c r="AL647" s="11" t="n"/>
      <c r="AN647">
        <f>IF($E647="","",IF(COUNTIF($E$2:$E647,$E647)=1,1,0))</f>
        <v/>
      </c>
      <c r="AO647">
        <f>IF($AN647=1,SUMPRODUCT(--($AR$2:$AR$3001&lt;$AR647))+1,"")</f>
        <v/>
      </c>
      <c r="AP647">
        <f>IF($E647="","",IF(OR($U647=TRUE(),$U647="TRUE"),1,0))</f>
        <v/>
      </c>
      <c r="AQ647">
        <f>IF($E647="","",IF($AD647="Yes",1,0))</f>
        <v/>
      </c>
      <c r="AR647">
        <f>IF($AN647=1,IFERROR(VALUE(MID($E647,2,20)),1000000000)+ROW()/100000,"")</f>
        <v/>
      </c>
    </row>
    <row r="648">
      <c r="G648" s="11" t="n"/>
      <c r="Q648" s="7">
        <f>IF($E648="","",P648*AB648/100)</f>
        <v/>
      </c>
      <c r="R648" s="7" t="n"/>
      <c r="X648" s="7" t="n"/>
      <c r="Y648" s="7">
        <f>IF($E648="","",AB648*AE648/100)</f>
        <v/>
      </c>
      <c r="Z648" s="7">
        <f>IF($E648="","",AB648-Y648)</f>
        <v/>
      </c>
      <c r="AA648" s="7">
        <f>IF($E648="","",Z648-Q648)</f>
        <v/>
      </c>
      <c r="AB648" s="7" t="n"/>
      <c r="AE648">
        <f>IF($E648="","",IF($AQ648=1,0,IF($AP648=1,Settings!$C$6,Settings!$C$7))*100)</f>
        <v/>
      </c>
      <c r="AI648" s="7" t="n"/>
      <c r="AL648" s="11" t="n"/>
      <c r="AN648">
        <f>IF($E648="","",IF(COUNTIF($E$2:$E648,$E648)=1,1,0))</f>
        <v/>
      </c>
      <c r="AO648">
        <f>IF($AN648=1,SUMPRODUCT(--($AR$2:$AR$3001&lt;$AR648))+1,"")</f>
        <v/>
      </c>
      <c r="AP648">
        <f>IF($E648="","",IF(OR($U648=TRUE(),$U648="TRUE"),1,0))</f>
        <v/>
      </c>
      <c r="AQ648">
        <f>IF($E648="","",IF($AD648="Yes",1,0))</f>
        <v/>
      </c>
      <c r="AR648">
        <f>IF($AN648=1,IFERROR(VALUE(MID($E648,2,20)),1000000000)+ROW()/100000,"")</f>
        <v/>
      </c>
    </row>
    <row r="649">
      <c r="G649" s="11" t="n"/>
      <c r="Q649" s="7">
        <f>IF($E649="","",P649*AB649/100)</f>
        <v/>
      </c>
      <c r="R649" s="7" t="n"/>
      <c r="X649" s="7" t="n"/>
      <c r="Y649" s="7">
        <f>IF($E649="","",AB649*AE649/100)</f>
        <v/>
      </c>
      <c r="Z649" s="7">
        <f>IF($E649="","",AB649-Y649)</f>
        <v/>
      </c>
      <c r="AA649" s="7">
        <f>IF($E649="","",Z649-Q649)</f>
        <v/>
      </c>
      <c r="AB649" s="7" t="n"/>
      <c r="AE649">
        <f>IF($E649="","",IF($AQ649=1,0,IF($AP649=1,Settings!$C$6,Settings!$C$7))*100)</f>
        <v/>
      </c>
      <c r="AI649" s="7" t="n"/>
      <c r="AL649" s="11" t="n"/>
      <c r="AN649">
        <f>IF($E649="","",IF(COUNTIF($E$2:$E649,$E649)=1,1,0))</f>
        <v/>
      </c>
      <c r="AO649">
        <f>IF($AN649=1,SUMPRODUCT(--($AR$2:$AR$3001&lt;$AR649))+1,"")</f>
        <v/>
      </c>
      <c r="AP649">
        <f>IF($E649="","",IF(OR($U649=TRUE(),$U649="TRUE"),1,0))</f>
        <v/>
      </c>
      <c r="AQ649">
        <f>IF($E649="","",IF($AD649="Yes",1,0))</f>
        <v/>
      </c>
      <c r="AR649">
        <f>IF($AN649=1,IFERROR(VALUE(MID($E649,2,20)),1000000000)+ROW()/100000,"")</f>
        <v/>
      </c>
    </row>
    <row r="650">
      <c r="G650" s="11" t="n"/>
      <c r="Q650" s="7">
        <f>IF($E650="","",P650*AB650/100)</f>
        <v/>
      </c>
      <c r="R650" s="7" t="n"/>
      <c r="X650" s="7" t="n"/>
      <c r="Y650" s="7">
        <f>IF($E650="","",AB650*AE650/100)</f>
        <v/>
      </c>
      <c r="Z650" s="7">
        <f>IF($E650="","",AB650-Y650)</f>
        <v/>
      </c>
      <c r="AA650" s="7">
        <f>IF($E650="","",Z650-Q650)</f>
        <v/>
      </c>
      <c r="AB650" s="7" t="n"/>
      <c r="AE650">
        <f>IF($E650="","",IF($AQ650=1,0,IF($AP650=1,Settings!$C$6,Settings!$C$7))*100)</f>
        <v/>
      </c>
      <c r="AI650" s="7" t="n"/>
      <c r="AL650" s="11" t="n"/>
      <c r="AN650">
        <f>IF($E650="","",IF(COUNTIF($E$2:$E650,$E650)=1,1,0))</f>
        <v/>
      </c>
      <c r="AO650">
        <f>IF($AN650=1,SUMPRODUCT(--($AR$2:$AR$3001&lt;$AR650))+1,"")</f>
        <v/>
      </c>
      <c r="AP650">
        <f>IF($E650="","",IF(OR($U650=TRUE(),$U650="TRUE"),1,0))</f>
        <v/>
      </c>
      <c r="AQ650">
        <f>IF($E650="","",IF($AD650="Yes",1,0))</f>
        <v/>
      </c>
      <c r="AR650">
        <f>IF($AN650=1,IFERROR(VALUE(MID($E650,2,20)),1000000000)+ROW()/100000,"")</f>
        <v/>
      </c>
    </row>
    <row r="651">
      <c r="G651" s="11" t="n"/>
      <c r="Q651" s="7">
        <f>IF($E651="","",P651*AB651/100)</f>
        <v/>
      </c>
      <c r="R651" s="7" t="n"/>
      <c r="X651" s="7" t="n"/>
      <c r="Y651" s="7">
        <f>IF($E651="","",AB651*AE651/100)</f>
        <v/>
      </c>
      <c r="Z651" s="7">
        <f>IF($E651="","",AB651-Y651)</f>
        <v/>
      </c>
      <c r="AA651" s="7">
        <f>IF($E651="","",Z651-Q651)</f>
        <v/>
      </c>
      <c r="AB651" s="7" t="n"/>
      <c r="AE651">
        <f>IF($E651="","",IF($AQ651=1,0,IF($AP651=1,Settings!$C$6,Settings!$C$7))*100)</f>
        <v/>
      </c>
      <c r="AI651" s="7" t="n"/>
      <c r="AL651" s="11" t="n"/>
      <c r="AN651">
        <f>IF($E651="","",IF(COUNTIF($E$2:$E651,$E651)=1,1,0))</f>
        <v/>
      </c>
      <c r="AO651">
        <f>IF($AN651=1,SUMPRODUCT(--($AR$2:$AR$3001&lt;$AR651))+1,"")</f>
        <v/>
      </c>
      <c r="AP651">
        <f>IF($E651="","",IF(OR($U651=TRUE(),$U651="TRUE"),1,0))</f>
        <v/>
      </c>
      <c r="AQ651">
        <f>IF($E651="","",IF($AD651="Yes",1,0))</f>
        <v/>
      </c>
      <c r="AR651">
        <f>IF($AN651=1,IFERROR(VALUE(MID($E651,2,20)),1000000000)+ROW()/100000,"")</f>
        <v/>
      </c>
    </row>
    <row r="652">
      <c r="G652" s="11" t="n"/>
      <c r="Q652" s="7">
        <f>IF($E652="","",P652*AB652/100)</f>
        <v/>
      </c>
      <c r="R652" s="7" t="n"/>
      <c r="X652" s="7" t="n"/>
      <c r="Y652" s="7">
        <f>IF($E652="","",AB652*AE652/100)</f>
        <v/>
      </c>
      <c r="Z652" s="7">
        <f>IF($E652="","",AB652-Y652)</f>
        <v/>
      </c>
      <c r="AA652" s="7">
        <f>IF($E652="","",Z652-Q652)</f>
        <v/>
      </c>
      <c r="AB652" s="7" t="n"/>
      <c r="AE652">
        <f>IF($E652="","",IF($AQ652=1,0,IF($AP652=1,Settings!$C$6,Settings!$C$7))*100)</f>
        <v/>
      </c>
      <c r="AI652" s="7" t="n"/>
      <c r="AL652" s="11" t="n"/>
      <c r="AN652">
        <f>IF($E652="","",IF(COUNTIF($E$2:$E652,$E652)=1,1,0))</f>
        <v/>
      </c>
      <c r="AO652">
        <f>IF($AN652=1,SUMPRODUCT(--($AR$2:$AR$3001&lt;$AR652))+1,"")</f>
        <v/>
      </c>
      <c r="AP652">
        <f>IF($E652="","",IF(OR($U652=TRUE(),$U652="TRUE"),1,0))</f>
        <v/>
      </c>
      <c r="AQ652">
        <f>IF($E652="","",IF($AD652="Yes",1,0))</f>
        <v/>
      </c>
      <c r="AR652">
        <f>IF($AN652=1,IFERROR(VALUE(MID($E652,2,20)),1000000000)+ROW()/100000,"")</f>
        <v/>
      </c>
    </row>
    <row r="653">
      <c r="G653" s="11" t="n"/>
      <c r="Q653" s="7">
        <f>IF($E653="","",P653*AB653/100)</f>
        <v/>
      </c>
      <c r="R653" s="7" t="n"/>
      <c r="X653" s="7" t="n"/>
      <c r="Y653" s="7">
        <f>IF($E653="","",AB653*AE653/100)</f>
        <v/>
      </c>
      <c r="Z653" s="7">
        <f>IF($E653="","",AB653-Y653)</f>
        <v/>
      </c>
      <c r="AA653" s="7">
        <f>IF($E653="","",Z653-Q653)</f>
        <v/>
      </c>
      <c r="AB653" s="7" t="n"/>
      <c r="AE653">
        <f>IF($E653="","",IF($AQ653=1,0,IF($AP653=1,Settings!$C$6,Settings!$C$7))*100)</f>
        <v/>
      </c>
      <c r="AI653" s="7" t="n"/>
      <c r="AL653" s="11" t="n"/>
      <c r="AN653">
        <f>IF($E653="","",IF(COUNTIF($E$2:$E653,$E653)=1,1,0))</f>
        <v/>
      </c>
      <c r="AO653">
        <f>IF($AN653=1,SUMPRODUCT(--($AR$2:$AR$3001&lt;$AR653))+1,"")</f>
        <v/>
      </c>
      <c r="AP653">
        <f>IF($E653="","",IF(OR($U653=TRUE(),$U653="TRUE"),1,0))</f>
        <v/>
      </c>
      <c r="AQ653">
        <f>IF($E653="","",IF($AD653="Yes",1,0))</f>
        <v/>
      </c>
      <c r="AR653">
        <f>IF($AN653=1,IFERROR(VALUE(MID($E653,2,20)),1000000000)+ROW()/100000,"")</f>
        <v/>
      </c>
    </row>
    <row r="654">
      <c r="G654" s="11" t="n"/>
      <c r="Q654" s="7">
        <f>IF($E654="","",P654*AB654/100)</f>
        <v/>
      </c>
      <c r="R654" s="7" t="n"/>
      <c r="X654" s="7" t="n"/>
      <c r="Y654" s="7">
        <f>IF($E654="","",AB654*AE654/100)</f>
        <v/>
      </c>
      <c r="Z654" s="7">
        <f>IF($E654="","",AB654-Y654)</f>
        <v/>
      </c>
      <c r="AA654" s="7">
        <f>IF($E654="","",Z654-Q654)</f>
        <v/>
      </c>
      <c r="AB654" s="7" t="n"/>
      <c r="AE654">
        <f>IF($E654="","",IF($AQ654=1,0,IF($AP654=1,Settings!$C$6,Settings!$C$7))*100)</f>
        <v/>
      </c>
      <c r="AI654" s="7" t="n"/>
      <c r="AL654" s="11" t="n"/>
      <c r="AN654">
        <f>IF($E654="","",IF(COUNTIF($E$2:$E654,$E654)=1,1,0))</f>
        <v/>
      </c>
      <c r="AO654">
        <f>IF($AN654=1,SUMPRODUCT(--($AR$2:$AR$3001&lt;$AR654))+1,"")</f>
        <v/>
      </c>
      <c r="AP654">
        <f>IF($E654="","",IF(OR($U654=TRUE(),$U654="TRUE"),1,0))</f>
        <v/>
      </c>
      <c r="AQ654">
        <f>IF($E654="","",IF($AD654="Yes",1,0))</f>
        <v/>
      </c>
      <c r="AR654">
        <f>IF($AN654=1,IFERROR(VALUE(MID($E654,2,20)),1000000000)+ROW()/100000,"")</f>
        <v/>
      </c>
    </row>
    <row r="655">
      <c r="G655" s="11" t="n"/>
      <c r="Q655" s="7">
        <f>IF($E655="","",P655*AB655/100)</f>
        <v/>
      </c>
      <c r="R655" s="7" t="n"/>
      <c r="X655" s="7" t="n"/>
      <c r="Y655" s="7">
        <f>IF($E655="","",AB655*AE655/100)</f>
        <v/>
      </c>
      <c r="Z655" s="7">
        <f>IF($E655="","",AB655-Y655)</f>
        <v/>
      </c>
      <c r="AA655" s="7">
        <f>IF($E655="","",Z655-Q655)</f>
        <v/>
      </c>
      <c r="AB655" s="7" t="n"/>
      <c r="AE655">
        <f>IF($E655="","",IF($AQ655=1,0,IF($AP655=1,Settings!$C$6,Settings!$C$7))*100)</f>
        <v/>
      </c>
      <c r="AI655" s="7" t="n"/>
      <c r="AL655" s="11" t="n"/>
      <c r="AN655">
        <f>IF($E655="","",IF(COUNTIF($E$2:$E655,$E655)=1,1,0))</f>
        <v/>
      </c>
      <c r="AO655">
        <f>IF($AN655=1,SUMPRODUCT(--($AR$2:$AR$3001&lt;$AR655))+1,"")</f>
        <v/>
      </c>
      <c r="AP655">
        <f>IF($E655="","",IF(OR($U655=TRUE(),$U655="TRUE"),1,0))</f>
        <v/>
      </c>
      <c r="AQ655">
        <f>IF($E655="","",IF($AD655="Yes",1,0))</f>
        <v/>
      </c>
      <c r="AR655">
        <f>IF($AN655=1,IFERROR(VALUE(MID($E655,2,20)),1000000000)+ROW()/100000,"")</f>
        <v/>
      </c>
    </row>
    <row r="656">
      <c r="G656" s="11" t="n"/>
      <c r="Q656" s="7">
        <f>IF($E656="","",P656*AB656/100)</f>
        <v/>
      </c>
      <c r="R656" s="7" t="n"/>
      <c r="X656" s="7" t="n"/>
      <c r="Y656" s="7">
        <f>IF($E656="","",AB656*AE656/100)</f>
        <v/>
      </c>
      <c r="Z656" s="7">
        <f>IF($E656="","",AB656-Y656)</f>
        <v/>
      </c>
      <c r="AA656" s="7">
        <f>IF($E656="","",Z656-Q656)</f>
        <v/>
      </c>
      <c r="AB656" s="7" t="n"/>
      <c r="AE656">
        <f>IF($E656="","",IF($AQ656=1,0,IF($AP656=1,Settings!$C$6,Settings!$C$7))*100)</f>
        <v/>
      </c>
      <c r="AI656" s="7" t="n"/>
      <c r="AL656" s="11" t="n"/>
      <c r="AN656">
        <f>IF($E656="","",IF(COUNTIF($E$2:$E656,$E656)=1,1,0))</f>
        <v/>
      </c>
      <c r="AO656">
        <f>IF($AN656=1,SUMPRODUCT(--($AR$2:$AR$3001&lt;$AR656))+1,"")</f>
        <v/>
      </c>
      <c r="AP656">
        <f>IF($E656="","",IF(OR($U656=TRUE(),$U656="TRUE"),1,0))</f>
        <v/>
      </c>
      <c r="AQ656">
        <f>IF($E656="","",IF($AD656="Yes",1,0))</f>
        <v/>
      </c>
      <c r="AR656">
        <f>IF($AN656=1,IFERROR(VALUE(MID($E656,2,20)),1000000000)+ROW()/100000,"")</f>
        <v/>
      </c>
    </row>
    <row r="657">
      <c r="G657" s="11" t="n"/>
      <c r="Q657" s="7">
        <f>IF($E657="","",P657*AB657/100)</f>
        <v/>
      </c>
      <c r="R657" s="7" t="n"/>
      <c r="X657" s="7" t="n"/>
      <c r="Y657" s="7">
        <f>IF($E657="","",AB657*AE657/100)</f>
        <v/>
      </c>
      <c r="Z657" s="7">
        <f>IF($E657="","",AB657-Y657)</f>
        <v/>
      </c>
      <c r="AA657" s="7">
        <f>IF($E657="","",Z657-Q657)</f>
        <v/>
      </c>
      <c r="AB657" s="7" t="n"/>
      <c r="AE657">
        <f>IF($E657="","",IF($AQ657=1,0,IF($AP657=1,Settings!$C$6,Settings!$C$7))*100)</f>
        <v/>
      </c>
      <c r="AI657" s="7" t="n"/>
      <c r="AL657" s="11" t="n"/>
      <c r="AN657">
        <f>IF($E657="","",IF(COUNTIF($E$2:$E657,$E657)=1,1,0))</f>
        <v/>
      </c>
      <c r="AO657">
        <f>IF($AN657=1,SUMPRODUCT(--($AR$2:$AR$3001&lt;$AR657))+1,"")</f>
        <v/>
      </c>
      <c r="AP657">
        <f>IF($E657="","",IF(OR($U657=TRUE(),$U657="TRUE"),1,0))</f>
        <v/>
      </c>
      <c r="AQ657">
        <f>IF($E657="","",IF($AD657="Yes",1,0))</f>
        <v/>
      </c>
      <c r="AR657">
        <f>IF($AN657=1,IFERROR(VALUE(MID($E657,2,20)),1000000000)+ROW()/100000,"")</f>
        <v/>
      </c>
    </row>
    <row r="658">
      <c r="G658" s="11" t="n"/>
      <c r="Q658" s="7">
        <f>IF($E658="","",P658*AB658/100)</f>
        <v/>
      </c>
      <c r="R658" s="7" t="n"/>
      <c r="X658" s="7" t="n"/>
      <c r="Y658" s="7">
        <f>IF($E658="","",AB658*AE658/100)</f>
        <v/>
      </c>
      <c r="Z658" s="7">
        <f>IF($E658="","",AB658-Y658)</f>
        <v/>
      </c>
      <c r="AA658" s="7">
        <f>IF($E658="","",Z658-Q658)</f>
        <v/>
      </c>
      <c r="AB658" s="7" t="n"/>
      <c r="AE658">
        <f>IF($E658="","",IF($AQ658=1,0,IF($AP658=1,Settings!$C$6,Settings!$C$7))*100)</f>
        <v/>
      </c>
      <c r="AI658" s="7" t="n"/>
      <c r="AL658" s="11" t="n"/>
      <c r="AN658">
        <f>IF($E658="","",IF(COUNTIF($E$2:$E658,$E658)=1,1,0))</f>
        <v/>
      </c>
      <c r="AO658">
        <f>IF($AN658=1,SUMPRODUCT(--($AR$2:$AR$3001&lt;$AR658))+1,"")</f>
        <v/>
      </c>
      <c r="AP658">
        <f>IF($E658="","",IF(OR($U658=TRUE(),$U658="TRUE"),1,0))</f>
        <v/>
      </c>
      <c r="AQ658">
        <f>IF($E658="","",IF($AD658="Yes",1,0))</f>
        <v/>
      </c>
      <c r="AR658">
        <f>IF($AN658=1,IFERROR(VALUE(MID($E658,2,20)),1000000000)+ROW()/100000,"")</f>
        <v/>
      </c>
    </row>
    <row r="659">
      <c r="G659" s="11" t="n"/>
      <c r="Q659" s="7">
        <f>IF($E659="","",P659*AB659/100)</f>
        <v/>
      </c>
      <c r="R659" s="7" t="n"/>
      <c r="X659" s="7" t="n"/>
      <c r="Y659" s="7">
        <f>IF($E659="","",AB659*AE659/100)</f>
        <v/>
      </c>
      <c r="Z659" s="7">
        <f>IF($E659="","",AB659-Y659)</f>
        <v/>
      </c>
      <c r="AA659" s="7">
        <f>IF($E659="","",Z659-Q659)</f>
        <v/>
      </c>
      <c r="AB659" s="7" t="n"/>
      <c r="AE659">
        <f>IF($E659="","",IF($AQ659=1,0,IF($AP659=1,Settings!$C$6,Settings!$C$7))*100)</f>
        <v/>
      </c>
      <c r="AI659" s="7" t="n"/>
      <c r="AL659" s="11" t="n"/>
      <c r="AN659">
        <f>IF($E659="","",IF(COUNTIF($E$2:$E659,$E659)=1,1,0))</f>
        <v/>
      </c>
      <c r="AO659">
        <f>IF($AN659=1,SUMPRODUCT(--($AR$2:$AR$3001&lt;$AR659))+1,"")</f>
        <v/>
      </c>
      <c r="AP659">
        <f>IF($E659="","",IF(OR($U659=TRUE(),$U659="TRUE"),1,0))</f>
        <v/>
      </c>
      <c r="AQ659">
        <f>IF($E659="","",IF($AD659="Yes",1,0))</f>
        <v/>
      </c>
      <c r="AR659">
        <f>IF($AN659=1,IFERROR(VALUE(MID($E659,2,20)),1000000000)+ROW()/100000,"")</f>
        <v/>
      </c>
    </row>
    <row r="660">
      <c r="G660" s="11" t="n"/>
      <c r="Q660" s="7">
        <f>IF($E660="","",P660*AB660/100)</f>
        <v/>
      </c>
      <c r="R660" s="7" t="n"/>
      <c r="X660" s="7" t="n"/>
      <c r="Y660" s="7">
        <f>IF($E660="","",AB660*AE660/100)</f>
        <v/>
      </c>
      <c r="Z660" s="7">
        <f>IF($E660="","",AB660-Y660)</f>
        <v/>
      </c>
      <c r="AA660" s="7">
        <f>IF($E660="","",Z660-Q660)</f>
        <v/>
      </c>
      <c r="AB660" s="7" t="n"/>
      <c r="AE660">
        <f>IF($E660="","",IF($AQ660=1,0,IF($AP660=1,Settings!$C$6,Settings!$C$7))*100)</f>
        <v/>
      </c>
      <c r="AI660" s="7" t="n"/>
      <c r="AL660" s="11" t="n"/>
      <c r="AN660">
        <f>IF($E660="","",IF(COUNTIF($E$2:$E660,$E660)=1,1,0))</f>
        <v/>
      </c>
      <c r="AO660">
        <f>IF($AN660=1,SUMPRODUCT(--($AR$2:$AR$3001&lt;$AR660))+1,"")</f>
        <v/>
      </c>
      <c r="AP660">
        <f>IF($E660="","",IF(OR($U660=TRUE(),$U660="TRUE"),1,0))</f>
        <v/>
      </c>
      <c r="AQ660">
        <f>IF($E660="","",IF($AD660="Yes",1,0))</f>
        <v/>
      </c>
      <c r="AR660">
        <f>IF($AN660=1,IFERROR(VALUE(MID($E660,2,20)),1000000000)+ROW()/100000,"")</f>
        <v/>
      </c>
    </row>
    <row r="661">
      <c r="G661" s="11" t="n"/>
      <c r="Q661" s="7">
        <f>IF($E661="","",P661*AB661/100)</f>
        <v/>
      </c>
      <c r="R661" s="7" t="n"/>
      <c r="X661" s="7" t="n"/>
      <c r="Y661" s="7">
        <f>IF($E661="","",AB661*AE661/100)</f>
        <v/>
      </c>
      <c r="Z661" s="7">
        <f>IF($E661="","",AB661-Y661)</f>
        <v/>
      </c>
      <c r="AA661" s="7">
        <f>IF($E661="","",Z661-Q661)</f>
        <v/>
      </c>
      <c r="AB661" s="7" t="n"/>
      <c r="AE661">
        <f>IF($E661="","",IF($AQ661=1,0,IF($AP661=1,Settings!$C$6,Settings!$C$7))*100)</f>
        <v/>
      </c>
      <c r="AI661" s="7" t="n"/>
      <c r="AL661" s="11" t="n"/>
      <c r="AN661">
        <f>IF($E661="","",IF(COUNTIF($E$2:$E661,$E661)=1,1,0))</f>
        <v/>
      </c>
      <c r="AO661">
        <f>IF($AN661=1,SUMPRODUCT(--($AR$2:$AR$3001&lt;$AR661))+1,"")</f>
        <v/>
      </c>
      <c r="AP661">
        <f>IF($E661="","",IF(OR($U661=TRUE(),$U661="TRUE"),1,0))</f>
        <v/>
      </c>
      <c r="AQ661">
        <f>IF($E661="","",IF($AD661="Yes",1,0))</f>
        <v/>
      </c>
      <c r="AR661">
        <f>IF($AN661=1,IFERROR(VALUE(MID($E661,2,20)),1000000000)+ROW()/100000,"")</f>
        <v/>
      </c>
    </row>
    <row r="662">
      <c r="G662" s="11" t="n"/>
      <c r="Q662" s="7">
        <f>IF($E662="","",P662*AB662/100)</f>
        <v/>
      </c>
      <c r="R662" s="7" t="n"/>
      <c r="X662" s="7" t="n"/>
      <c r="Y662" s="7">
        <f>IF($E662="","",AB662*AE662/100)</f>
        <v/>
      </c>
      <c r="Z662" s="7">
        <f>IF($E662="","",AB662-Y662)</f>
        <v/>
      </c>
      <c r="AA662" s="7">
        <f>IF($E662="","",Z662-Q662)</f>
        <v/>
      </c>
      <c r="AB662" s="7" t="n"/>
      <c r="AE662">
        <f>IF($E662="","",IF($AQ662=1,0,IF($AP662=1,Settings!$C$6,Settings!$C$7))*100)</f>
        <v/>
      </c>
      <c r="AI662" s="7" t="n"/>
      <c r="AL662" s="11" t="n"/>
      <c r="AN662">
        <f>IF($E662="","",IF(COUNTIF($E$2:$E662,$E662)=1,1,0))</f>
        <v/>
      </c>
      <c r="AO662">
        <f>IF($AN662=1,SUMPRODUCT(--($AR$2:$AR$3001&lt;$AR662))+1,"")</f>
        <v/>
      </c>
      <c r="AP662">
        <f>IF($E662="","",IF(OR($U662=TRUE(),$U662="TRUE"),1,0))</f>
        <v/>
      </c>
      <c r="AQ662">
        <f>IF($E662="","",IF($AD662="Yes",1,0))</f>
        <v/>
      </c>
      <c r="AR662">
        <f>IF($AN662=1,IFERROR(VALUE(MID($E662,2,20)),1000000000)+ROW()/100000,"")</f>
        <v/>
      </c>
    </row>
    <row r="663">
      <c r="G663" s="11" t="n"/>
      <c r="Q663" s="7">
        <f>IF($E663="","",P663*AB663/100)</f>
        <v/>
      </c>
      <c r="R663" s="7" t="n"/>
      <c r="X663" s="7" t="n"/>
      <c r="Y663" s="7">
        <f>IF($E663="","",AB663*AE663/100)</f>
        <v/>
      </c>
      <c r="Z663" s="7">
        <f>IF($E663="","",AB663-Y663)</f>
        <v/>
      </c>
      <c r="AA663" s="7">
        <f>IF($E663="","",Z663-Q663)</f>
        <v/>
      </c>
      <c r="AB663" s="7" t="n"/>
      <c r="AE663">
        <f>IF($E663="","",IF($AQ663=1,0,IF($AP663=1,Settings!$C$6,Settings!$C$7))*100)</f>
        <v/>
      </c>
      <c r="AI663" s="7" t="n"/>
      <c r="AL663" s="11" t="n"/>
      <c r="AN663">
        <f>IF($E663="","",IF(COUNTIF($E$2:$E663,$E663)=1,1,0))</f>
        <v/>
      </c>
      <c r="AO663">
        <f>IF($AN663=1,SUMPRODUCT(--($AR$2:$AR$3001&lt;$AR663))+1,"")</f>
        <v/>
      </c>
      <c r="AP663">
        <f>IF($E663="","",IF(OR($U663=TRUE(),$U663="TRUE"),1,0))</f>
        <v/>
      </c>
      <c r="AQ663">
        <f>IF($E663="","",IF($AD663="Yes",1,0))</f>
        <v/>
      </c>
      <c r="AR663">
        <f>IF($AN663=1,IFERROR(VALUE(MID($E663,2,20)),1000000000)+ROW()/100000,"")</f>
        <v/>
      </c>
    </row>
    <row r="664">
      <c r="G664" s="11" t="n"/>
      <c r="Q664" s="7">
        <f>IF($E664="","",P664*AB664/100)</f>
        <v/>
      </c>
      <c r="R664" s="7" t="n"/>
      <c r="X664" s="7" t="n"/>
      <c r="Y664" s="7">
        <f>IF($E664="","",AB664*AE664/100)</f>
        <v/>
      </c>
      <c r="Z664" s="7">
        <f>IF($E664="","",AB664-Y664)</f>
        <v/>
      </c>
      <c r="AA664" s="7">
        <f>IF($E664="","",Z664-Q664)</f>
        <v/>
      </c>
      <c r="AB664" s="7" t="n"/>
      <c r="AE664">
        <f>IF($E664="","",IF($AQ664=1,0,IF($AP664=1,Settings!$C$6,Settings!$C$7))*100)</f>
        <v/>
      </c>
      <c r="AI664" s="7" t="n"/>
      <c r="AL664" s="11" t="n"/>
      <c r="AN664">
        <f>IF($E664="","",IF(COUNTIF($E$2:$E664,$E664)=1,1,0))</f>
        <v/>
      </c>
      <c r="AO664">
        <f>IF($AN664=1,SUMPRODUCT(--($AR$2:$AR$3001&lt;$AR664))+1,"")</f>
        <v/>
      </c>
      <c r="AP664">
        <f>IF($E664="","",IF(OR($U664=TRUE(),$U664="TRUE"),1,0))</f>
        <v/>
      </c>
      <c r="AQ664">
        <f>IF($E664="","",IF($AD664="Yes",1,0))</f>
        <v/>
      </c>
      <c r="AR664">
        <f>IF($AN664=1,IFERROR(VALUE(MID($E664,2,20)),1000000000)+ROW()/100000,"")</f>
        <v/>
      </c>
    </row>
    <row r="665">
      <c r="G665" s="11" t="n"/>
      <c r="Q665" s="7">
        <f>IF($E665="","",P665*AB665/100)</f>
        <v/>
      </c>
      <c r="R665" s="7" t="n"/>
      <c r="X665" s="7" t="n"/>
      <c r="Y665" s="7">
        <f>IF($E665="","",AB665*AE665/100)</f>
        <v/>
      </c>
      <c r="Z665" s="7">
        <f>IF($E665="","",AB665-Y665)</f>
        <v/>
      </c>
      <c r="AA665" s="7">
        <f>IF($E665="","",Z665-Q665)</f>
        <v/>
      </c>
      <c r="AB665" s="7" t="n"/>
      <c r="AE665">
        <f>IF($E665="","",IF($AQ665=1,0,IF($AP665=1,Settings!$C$6,Settings!$C$7))*100)</f>
        <v/>
      </c>
      <c r="AI665" s="7" t="n"/>
      <c r="AL665" s="11" t="n"/>
      <c r="AN665">
        <f>IF($E665="","",IF(COUNTIF($E$2:$E665,$E665)=1,1,0))</f>
        <v/>
      </c>
      <c r="AO665">
        <f>IF($AN665=1,SUMPRODUCT(--($AR$2:$AR$3001&lt;$AR665))+1,"")</f>
        <v/>
      </c>
      <c r="AP665">
        <f>IF($E665="","",IF(OR($U665=TRUE(),$U665="TRUE"),1,0))</f>
        <v/>
      </c>
      <c r="AQ665">
        <f>IF($E665="","",IF($AD665="Yes",1,0))</f>
        <v/>
      </c>
      <c r="AR665">
        <f>IF($AN665=1,IFERROR(VALUE(MID($E665,2,20)),1000000000)+ROW()/100000,"")</f>
        <v/>
      </c>
    </row>
    <row r="666">
      <c r="G666" s="11" t="n"/>
      <c r="Q666" s="7">
        <f>IF($E666="","",P666*AB666/100)</f>
        <v/>
      </c>
      <c r="R666" s="7" t="n"/>
      <c r="X666" s="7" t="n"/>
      <c r="Y666" s="7">
        <f>IF($E666="","",AB666*AE666/100)</f>
        <v/>
      </c>
      <c r="Z666" s="7">
        <f>IF($E666="","",AB666-Y666)</f>
        <v/>
      </c>
      <c r="AA666" s="7">
        <f>IF($E666="","",Z666-Q666)</f>
        <v/>
      </c>
      <c r="AB666" s="7" t="n"/>
      <c r="AE666">
        <f>IF($E666="","",IF($AQ666=1,0,IF($AP666=1,Settings!$C$6,Settings!$C$7))*100)</f>
        <v/>
      </c>
      <c r="AI666" s="7" t="n"/>
      <c r="AL666" s="11" t="n"/>
      <c r="AN666">
        <f>IF($E666="","",IF(COUNTIF($E$2:$E666,$E666)=1,1,0))</f>
        <v/>
      </c>
      <c r="AO666">
        <f>IF($AN666=1,SUMPRODUCT(--($AR$2:$AR$3001&lt;$AR666))+1,"")</f>
        <v/>
      </c>
      <c r="AP666">
        <f>IF($E666="","",IF(OR($U666=TRUE(),$U666="TRUE"),1,0))</f>
        <v/>
      </c>
      <c r="AQ666">
        <f>IF($E666="","",IF($AD666="Yes",1,0))</f>
        <v/>
      </c>
      <c r="AR666">
        <f>IF($AN666=1,IFERROR(VALUE(MID($E666,2,20)),1000000000)+ROW()/100000,"")</f>
        <v/>
      </c>
    </row>
    <row r="667">
      <c r="G667" s="11" t="n"/>
      <c r="Q667" s="7">
        <f>IF($E667="","",P667*AB667/100)</f>
        <v/>
      </c>
      <c r="R667" s="7" t="n"/>
      <c r="X667" s="7" t="n"/>
      <c r="Y667" s="7">
        <f>IF($E667="","",AB667*AE667/100)</f>
        <v/>
      </c>
      <c r="Z667" s="7">
        <f>IF($E667="","",AB667-Y667)</f>
        <v/>
      </c>
      <c r="AA667" s="7">
        <f>IF($E667="","",Z667-Q667)</f>
        <v/>
      </c>
      <c r="AB667" s="7" t="n"/>
      <c r="AE667">
        <f>IF($E667="","",IF($AQ667=1,0,IF($AP667=1,Settings!$C$6,Settings!$C$7))*100)</f>
        <v/>
      </c>
      <c r="AI667" s="7" t="n"/>
      <c r="AL667" s="11" t="n"/>
      <c r="AN667">
        <f>IF($E667="","",IF(COUNTIF($E$2:$E667,$E667)=1,1,0))</f>
        <v/>
      </c>
      <c r="AO667">
        <f>IF($AN667=1,SUMPRODUCT(--($AR$2:$AR$3001&lt;$AR667))+1,"")</f>
        <v/>
      </c>
      <c r="AP667">
        <f>IF($E667="","",IF(OR($U667=TRUE(),$U667="TRUE"),1,0))</f>
        <v/>
      </c>
      <c r="AQ667">
        <f>IF($E667="","",IF($AD667="Yes",1,0))</f>
        <v/>
      </c>
      <c r="AR667">
        <f>IF($AN667=1,IFERROR(VALUE(MID($E667,2,20)),1000000000)+ROW()/100000,"")</f>
        <v/>
      </c>
    </row>
    <row r="668">
      <c r="G668" s="11" t="n"/>
      <c r="Q668" s="7">
        <f>IF($E668="","",P668*AB668/100)</f>
        <v/>
      </c>
      <c r="R668" s="7" t="n"/>
      <c r="X668" s="7" t="n"/>
      <c r="Y668" s="7">
        <f>IF($E668="","",AB668*AE668/100)</f>
        <v/>
      </c>
      <c r="Z668" s="7">
        <f>IF($E668="","",AB668-Y668)</f>
        <v/>
      </c>
      <c r="AA668" s="7">
        <f>IF($E668="","",Z668-Q668)</f>
        <v/>
      </c>
      <c r="AB668" s="7" t="n"/>
      <c r="AE668">
        <f>IF($E668="","",IF($AQ668=1,0,IF($AP668=1,Settings!$C$6,Settings!$C$7))*100)</f>
        <v/>
      </c>
      <c r="AI668" s="7" t="n"/>
      <c r="AL668" s="11" t="n"/>
      <c r="AN668">
        <f>IF($E668="","",IF(COUNTIF($E$2:$E668,$E668)=1,1,0))</f>
        <v/>
      </c>
      <c r="AO668">
        <f>IF($AN668=1,SUMPRODUCT(--($AR$2:$AR$3001&lt;$AR668))+1,"")</f>
        <v/>
      </c>
      <c r="AP668">
        <f>IF($E668="","",IF(OR($U668=TRUE(),$U668="TRUE"),1,0))</f>
        <v/>
      </c>
      <c r="AQ668">
        <f>IF($E668="","",IF($AD668="Yes",1,0))</f>
        <v/>
      </c>
      <c r="AR668">
        <f>IF($AN668=1,IFERROR(VALUE(MID($E668,2,20)),1000000000)+ROW()/100000,"")</f>
        <v/>
      </c>
    </row>
    <row r="669">
      <c r="G669" s="11" t="n"/>
      <c r="Q669" s="7">
        <f>IF($E669="","",P669*AB669/100)</f>
        <v/>
      </c>
      <c r="R669" s="7" t="n"/>
      <c r="X669" s="7" t="n"/>
      <c r="Y669" s="7">
        <f>IF($E669="","",AB669*AE669/100)</f>
        <v/>
      </c>
      <c r="Z669" s="7">
        <f>IF($E669="","",AB669-Y669)</f>
        <v/>
      </c>
      <c r="AA669" s="7">
        <f>IF($E669="","",Z669-Q669)</f>
        <v/>
      </c>
      <c r="AB669" s="7" t="n"/>
      <c r="AE669">
        <f>IF($E669="","",IF($AQ669=1,0,IF($AP669=1,Settings!$C$6,Settings!$C$7))*100)</f>
        <v/>
      </c>
      <c r="AI669" s="7" t="n"/>
      <c r="AL669" s="11" t="n"/>
      <c r="AN669">
        <f>IF($E669="","",IF(COUNTIF($E$2:$E669,$E669)=1,1,0))</f>
        <v/>
      </c>
      <c r="AO669">
        <f>IF($AN669=1,SUMPRODUCT(--($AR$2:$AR$3001&lt;$AR669))+1,"")</f>
        <v/>
      </c>
      <c r="AP669">
        <f>IF($E669="","",IF(OR($U669=TRUE(),$U669="TRUE"),1,0))</f>
        <v/>
      </c>
      <c r="AQ669">
        <f>IF($E669="","",IF($AD669="Yes",1,0))</f>
        <v/>
      </c>
      <c r="AR669">
        <f>IF($AN669=1,IFERROR(VALUE(MID($E669,2,20)),1000000000)+ROW()/100000,"")</f>
        <v/>
      </c>
    </row>
    <row r="670">
      <c r="G670" s="11" t="n"/>
      <c r="Q670" s="7">
        <f>IF($E670="","",P670*AB670/100)</f>
        <v/>
      </c>
      <c r="R670" s="7" t="n"/>
      <c r="X670" s="7" t="n"/>
      <c r="Y670" s="7">
        <f>IF($E670="","",AB670*AE670/100)</f>
        <v/>
      </c>
      <c r="Z670" s="7">
        <f>IF($E670="","",AB670-Y670)</f>
        <v/>
      </c>
      <c r="AA670" s="7">
        <f>IF($E670="","",Z670-Q670)</f>
        <v/>
      </c>
      <c r="AB670" s="7" t="n"/>
      <c r="AE670">
        <f>IF($E670="","",IF($AQ670=1,0,IF($AP670=1,Settings!$C$6,Settings!$C$7))*100)</f>
        <v/>
      </c>
      <c r="AI670" s="7" t="n"/>
      <c r="AL670" s="11" t="n"/>
      <c r="AN670">
        <f>IF($E670="","",IF(COUNTIF($E$2:$E670,$E670)=1,1,0))</f>
        <v/>
      </c>
      <c r="AO670">
        <f>IF($AN670=1,SUMPRODUCT(--($AR$2:$AR$3001&lt;$AR670))+1,"")</f>
        <v/>
      </c>
      <c r="AP670">
        <f>IF($E670="","",IF(OR($U670=TRUE(),$U670="TRUE"),1,0))</f>
        <v/>
      </c>
      <c r="AQ670">
        <f>IF($E670="","",IF($AD670="Yes",1,0))</f>
        <v/>
      </c>
      <c r="AR670">
        <f>IF($AN670=1,IFERROR(VALUE(MID($E670,2,20)),1000000000)+ROW()/100000,"")</f>
        <v/>
      </c>
    </row>
    <row r="671">
      <c r="G671" s="11" t="n"/>
      <c r="Q671" s="7">
        <f>IF($E671="","",P671*AB671/100)</f>
        <v/>
      </c>
      <c r="R671" s="7" t="n"/>
      <c r="X671" s="7" t="n"/>
      <c r="Y671" s="7">
        <f>IF($E671="","",AB671*AE671/100)</f>
        <v/>
      </c>
      <c r="Z671" s="7">
        <f>IF($E671="","",AB671-Y671)</f>
        <v/>
      </c>
      <c r="AA671" s="7">
        <f>IF($E671="","",Z671-Q671)</f>
        <v/>
      </c>
      <c r="AB671" s="7" t="n"/>
      <c r="AE671">
        <f>IF($E671="","",IF($AQ671=1,0,IF($AP671=1,Settings!$C$6,Settings!$C$7))*100)</f>
        <v/>
      </c>
      <c r="AI671" s="7" t="n"/>
      <c r="AL671" s="11" t="n"/>
      <c r="AN671">
        <f>IF($E671="","",IF(COUNTIF($E$2:$E671,$E671)=1,1,0))</f>
        <v/>
      </c>
      <c r="AO671">
        <f>IF($AN671=1,SUMPRODUCT(--($AR$2:$AR$3001&lt;$AR671))+1,"")</f>
        <v/>
      </c>
      <c r="AP671">
        <f>IF($E671="","",IF(OR($U671=TRUE(),$U671="TRUE"),1,0))</f>
        <v/>
      </c>
      <c r="AQ671">
        <f>IF($E671="","",IF($AD671="Yes",1,0))</f>
        <v/>
      </c>
      <c r="AR671">
        <f>IF($AN671=1,IFERROR(VALUE(MID($E671,2,20)),1000000000)+ROW()/100000,"")</f>
        <v/>
      </c>
    </row>
    <row r="672">
      <c r="G672" s="11" t="n"/>
      <c r="Q672" s="7">
        <f>IF($E672="","",P672*AB672/100)</f>
        <v/>
      </c>
      <c r="R672" s="7" t="n"/>
      <c r="X672" s="7" t="n"/>
      <c r="Y672" s="7">
        <f>IF($E672="","",AB672*AE672/100)</f>
        <v/>
      </c>
      <c r="Z672" s="7">
        <f>IF($E672="","",AB672-Y672)</f>
        <v/>
      </c>
      <c r="AA672" s="7">
        <f>IF($E672="","",Z672-Q672)</f>
        <v/>
      </c>
      <c r="AB672" s="7" t="n"/>
      <c r="AE672">
        <f>IF($E672="","",IF($AQ672=1,0,IF($AP672=1,Settings!$C$6,Settings!$C$7))*100)</f>
        <v/>
      </c>
      <c r="AI672" s="7" t="n"/>
      <c r="AL672" s="11" t="n"/>
      <c r="AN672">
        <f>IF($E672="","",IF(COUNTIF($E$2:$E672,$E672)=1,1,0))</f>
        <v/>
      </c>
      <c r="AO672">
        <f>IF($AN672=1,SUMPRODUCT(--($AR$2:$AR$3001&lt;$AR672))+1,"")</f>
        <v/>
      </c>
      <c r="AP672">
        <f>IF($E672="","",IF(OR($U672=TRUE(),$U672="TRUE"),1,0))</f>
        <v/>
      </c>
      <c r="AQ672">
        <f>IF($E672="","",IF($AD672="Yes",1,0))</f>
        <v/>
      </c>
      <c r="AR672">
        <f>IF($AN672=1,IFERROR(VALUE(MID($E672,2,20)),1000000000)+ROW()/100000,"")</f>
        <v/>
      </c>
    </row>
    <row r="673">
      <c r="G673" s="11" t="n"/>
      <c r="Q673" s="7">
        <f>IF($E673="","",P673*AB673/100)</f>
        <v/>
      </c>
      <c r="R673" s="7" t="n"/>
      <c r="X673" s="7" t="n"/>
      <c r="Y673" s="7">
        <f>IF($E673="","",AB673*AE673/100)</f>
        <v/>
      </c>
      <c r="Z673" s="7">
        <f>IF($E673="","",AB673-Y673)</f>
        <v/>
      </c>
      <c r="AA673" s="7">
        <f>IF($E673="","",Z673-Q673)</f>
        <v/>
      </c>
      <c r="AB673" s="7" t="n"/>
      <c r="AE673">
        <f>IF($E673="","",IF($AQ673=1,0,IF($AP673=1,Settings!$C$6,Settings!$C$7))*100)</f>
        <v/>
      </c>
      <c r="AI673" s="7" t="n"/>
      <c r="AL673" s="11" t="n"/>
      <c r="AN673">
        <f>IF($E673="","",IF(COUNTIF($E$2:$E673,$E673)=1,1,0))</f>
        <v/>
      </c>
      <c r="AO673">
        <f>IF($AN673=1,SUMPRODUCT(--($AR$2:$AR$3001&lt;$AR673))+1,"")</f>
        <v/>
      </c>
      <c r="AP673">
        <f>IF($E673="","",IF(OR($U673=TRUE(),$U673="TRUE"),1,0))</f>
        <v/>
      </c>
      <c r="AQ673">
        <f>IF($E673="","",IF($AD673="Yes",1,0))</f>
        <v/>
      </c>
      <c r="AR673">
        <f>IF($AN673=1,IFERROR(VALUE(MID($E673,2,20)),1000000000)+ROW()/100000,"")</f>
        <v/>
      </c>
    </row>
    <row r="674">
      <c r="G674" s="11" t="n"/>
      <c r="Q674" s="7">
        <f>IF($E674="","",P674*AB674/100)</f>
        <v/>
      </c>
      <c r="R674" s="7" t="n"/>
      <c r="X674" s="7" t="n"/>
      <c r="Y674" s="7">
        <f>IF($E674="","",AB674*AE674/100)</f>
        <v/>
      </c>
      <c r="Z674" s="7">
        <f>IF($E674="","",AB674-Y674)</f>
        <v/>
      </c>
      <c r="AA674" s="7">
        <f>IF($E674="","",Z674-Q674)</f>
        <v/>
      </c>
      <c r="AB674" s="7" t="n"/>
      <c r="AE674">
        <f>IF($E674="","",IF($AQ674=1,0,IF($AP674=1,Settings!$C$6,Settings!$C$7))*100)</f>
        <v/>
      </c>
      <c r="AI674" s="7" t="n"/>
      <c r="AL674" s="11" t="n"/>
      <c r="AN674">
        <f>IF($E674="","",IF(COUNTIF($E$2:$E674,$E674)=1,1,0))</f>
        <v/>
      </c>
      <c r="AO674">
        <f>IF($AN674=1,SUMPRODUCT(--($AR$2:$AR$3001&lt;$AR674))+1,"")</f>
        <v/>
      </c>
      <c r="AP674">
        <f>IF($E674="","",IF(OR($U674=TRUE(),$U674="TRUE"),1,0))</f>
        <v/>
      </c>
      <c r="AQ674">
        <f>IF($E674="","",IF($AD674="Yes",1,0))</f>
        <v/>
      </c>
      <c r="AR674">
        <f>IF($AN674=1,IFERROR(VALUE(MID($E674,2,20)),1000000000)+ROW()/100000,"")</f>
        <v/>
      </c>
    </row>
    <row r="675">
      <c r="G675" s="11" t="n"/>
      <c r="Q675" s="7">
        <f>IF($E675="","",P675*AB675/100)</f>
        <v/>
      </c>
      <c r="R675" s="7" t="n"/>
      <c r="X675" s="7" t="n"/>
      <c r="Y675" s="7">
        <f>IF($E675="","",AB675*AE675/100)</f>
        <v/>
      </c>
      <c r="Z675" s="7">
        <f>IF($E675="","",AB675-Y675)</f>
        <v/>
      </c>
      <c r="AA675" s="7">
        <f>IF($E675="","",Z675-Q675)</f>
        <v/>
      </c>
      <c r="AB675" s="7" t="n"/>
      <c r="AE675">
        <f>IF($E675="","",IF($AQ675=1,0,IF($AP675=1,Settings!$C$6,Settings!$C$7))*100)</f>
        <v/>
      </c>
      <c r="AI675" s="7" t="n"/>
      <c r="AL675" s="11" t="n"/>
      <c r="AN675">
        <f>IF($E675="","",IF(COUNTIF($E$2:$E675,$E675)=1,1,0))</f>
        <v/>
      </c>
      <c r="AO675">
        <f>IF($AN675=1,SUMPRODUCT(--($AR$2:$AR$3001&lt;$AR675))+1,"")</f>
        <v/>
      </c>
      <c r="AP675">
        <f>IF($E675="","",IF(OR($U675=TRUE(),$U675="TRUE"),1,0))</f>
        <v/>
      </c>
      <c r="AQ675">
        <f>IF($E675="","",IF($AD675="Yes",1,0))</f>
        <v/>
      </c>
      <c r="AR675">
        <f>IF($AN675=1,IFERROR(VALUE(MID($E675,2,20)),1000000000)+ROW()/100000,"")</f>
        <v/>
      </c>
    </row>
    <row r="676">
      <c r="G676" s="11" t="n"/>
      <c r="Q676" s="7">
        <f>IF($E676="","",P676*AB676/100)</f>
        <v/>
      </c>
      <c r="R676" s="7" t="n"/>
      <c r="X676" s="7" t="n"/>
      <c r="Y676" s="7">
        <f>IF($E676="","",AB676*AE676/100)</f>
        <v/>
      </c>
      <c r="Z676" s="7">
        <f>IF($E676="","",AB676-Y676)</f>
        <v/>
      </c>
      <c r="AA676" s="7">
        <f>IF($E676="","",Z676-Q676)</f>
        <v/>
      </c>
      <c r="AB676" s="7" t="n"/>
      <c r="AE676">
        <f>IF($E676="","",IF($AQ676=1,0,IF($AP676=1,Settings!$C$6,Settings!$C$7))*100)</f>
        <v/>
      </c>
      <c r="AI676" s="7" t="n"/>
      <c r="AL676" s="11" t="n"/>
      <c r="AN676">
        <f>IF($E676="","",IF(COUNTIF($E$2:$E676,$E676)=1,1,0))</f>
        <v/>
      </c>
      <c r="AO676">
        <f>IF($AN676=1,SUMPRODUCT(--($AR$2:$AR$3001&lt;$AR676))+1,"")</f>
        <v/>
      </c>
      <c r="AP676">
        <f>IF($E676="","",IF(OR($U676=TRUE(),$U676="TRUE"),1,0))</f>
        <v/>
      </c>
      <c r="AQ676">
        <f>IF($E676="","",IF($AD676="Yes",1,0))</f>
        <v/>
      </c>
      <c r="AR676">
        <f>IF($AN676=1,IFERROR(VALUE(MID($E676,2,20)),1000000000)+ROW()/100000,"")</f>
        <v/>
      </c>
    </row>
    <row r="677">
      <c r="G677" s="11" t="n"/>
      <c r="Q677" s="7">
        <f>IF($E677="","",P677*AB677/100)</f>
        <v/>
      </c>
      <c r="R677" s="7" t="n"/>
      <c r="X677" s="7" t="n"/>
      <c r="Y677" s="7">
        <f>IF($E677="","",AB677*AE677/100)</f>
        <v/>
      </c>
      <c r="Z677" s="7">
        <f>IF($E677="","",AB677-Y677)</f>
        <v/>
      </c>
      <c r="AA677" s="7">
        <f>IF($E677="","",Z677-Q677)</f>
        <v/>
      </c>
      <c r="AB677" s="7" t="n"/>
      <c r="AE677">
        <f>IF($E677="","",IF($AQ677=1,0,IF($AP677=1,Settings!$C$6,Settings!$C$7))*100)</f>
        <v/>
      </c>
      <c r="AI677" s="7" t="n"/>
      <c r="AL677" s="11" t="n"/>
      <c r="AN677">
        <f>IF($E677="","",IF(COUNTIF($E$2:$E677,$E677)=1,1,0))</f>
        <v/>
      </c>
      <c r="AO677">
        <f>IF($AN677=1,SUMPRODUCT(--($AR$2:$AR$3001&lt;$AR677))+1,"")</f>
        <v/>
      </c>
      <c r="AP677">
        <f>IF($E677="","",IF(OR($U677=TRUE(),$U677="TRUE"),1,0))</f>
        <v/>
      </c>
      <c r="AQ677">
        <f>IF($E677="","",IF($AD677="Yes",1,0))</f>
        <v/>
      </c>
      <c r="AR677">
        <f>IF($AN677=1,IFERROR(VALUE(MID($E677,2,20)),1000000000)+ROW()/100000,"")</f>
        <v/>
      </c>
    </row>
    <row r="678">
      <c r="G678" s="11" t="n"/>
      <c r="Q678" s="7">
        <f>IF($E678="","",P678*AB678/100)</f>
        <v/>
      </c>
      <c r="R678" s="7" t="n"/>
      <c r="X678" s="7" t="n"/>
      <c r="Y678" s="7">
        <f>IF($E678="","",AB678*AE678/100)</f>
        <v/>
      </c>
      <c r="Z678" s="7">
        <f>IF($E678="","",AB678-Y678)</f>
        <v/>
      </c>
      <c r="AA678" s="7">
        <f>IF($E678="","",Z678-Q678)</f>
        <v/>
      </c>
      <c r="AB678" s="7" t="n"/>
      <c r="AE678">
        <f>IF($E678="","",IF($AQ678=1,0,IF($AP678=1,Settings!$C$6,Settings!$C$7))*100)</f>
        <v/>
      </c>
      <c r="AI678" s="7" t="n"/>
      <c r="AL678" s="11" t="n"/>
      <c r="AN678">
        <f>IF($E678="","",IF(COUNTIF($E$2:$E678,$E678)=1,1,0))</f>
        <v/>
      </c>
      <c r="AO678">
        <f>IF($AN678=1,SUMPRODUCT(--($AR$2:$AR$3001&lt;$AR678))+1,"")</f>
        <v/>
      </c>
      <c r="AP678">
        <f>IF($E678="","",IF(OR($U678=TRUE(),$U678="TRUE"),1,0))</f>
        <v/>
      </c>
      <c r="AQ678">
        <f>IF($E678="","",IF($AD678="Yes",1,0))</f>
        <v/>
      </c>
      <c r="AR678">
        <f>IF($AN678=1,IFERROR(VALUE(MID($E678,2,20)),1000000000)+ROW()/100000,"")</f>
        <v/>
      </c>
    </row>
    <row r="679">
      <c r="G679" s="11" t="n"/>
      <c r="Q679" s="7">
        <f>IF($E679="","",P679*AB679/100)</f>
        <v/>
      </c>
      <c r="R679" s="7" t="n"/>
      <c r="X679" s="7" t="n"/>
      <c r="Y679" s="7">
        <f>IF($E679="","",AB679*AE679/100)</f>
        <v/>
      </c>
      <c r="Z679" s="7">
        <f>IF($E679="","",AB679-Y679)</f>
        <v/>
      </c>
      <c r="AA679" s="7">
        <f>IF($E679="","",Z679-Q679)</f>
        <v/>
      </c>
      <c r="AB679" s="7" t="n"/>
      <c r="AE679">
        <f>IF($E679="","",IF($AQ679=1,0,IF($AP679=1,Settings!$C$6,Settings!$C$7))*100)</f>
        <v/>
      </c>
      <c r="AI679" s="7" t="n"/>
      <c r="AL679" s="11" t="n"/>
      <c r="AN679">
        <f>IF($E679="","",IF(COUNTIF($E$2:$E679,$E679)=1,1,0))</f>
        <v/>
      </c>
      <c r="AO679">
        <f>IF($AN679=1,SUMPRODUCT(--($AR$2:$AR$3001&lt;$AR679))+1,"")</f>
        <v/>
      </c>
      <c r="AP679">
        <f>IF($E679="","",IF(OR($U679=TRUE(),$U679="TRUE"),1,0))</f>
        <v/>
      </c>
      <c r="AQ679">
        <f>IF($E679="","",IF($AD679="Yes",1,0))</f>
        <v/>
      </c>
      <c r="AR679">
        <f>IF($AN679=1,IFERROR(VALUE(MID($E679,2,20)),1000000000)+ROW()/100000,"")</f>
        <v/>
      </c>
    </row>
    <row r="680">
      <c r="G680" s="11" t="n"/>
      <c r="Q680" s="7">
        <f>IF($E680="","",P680*AB680/100)</f>
        <v/>
      </c>
      <c r="R680" s="7" t="n"/>
      <c r="X680" s="7" t="n"/>
      <c r="Y680" s="7">
        <f>IF($E680="","",AB680*AE680/100)</f>
        <v/>
      </c>
      <c r="Z680" s="7">
        <f>IF($E680="","",AB680-Y680)</f>
        <v/>
      </c>
      <c r="AA680" s="7">
        <f>IF($E680="","",Z680-Q680)</f>
        <v/>
      </c>
      <c r="AB680" s="7" t="n"/>
      <c r="AE680">
        <f>IF($E680="","",IF($AQ680=1,0,IF($AP680=1,Settings!$C$6,Settings!$C$7))*100)</f>
        <v/>
      </c>
      <c r="AI680" s="7" t="n"/>
      <c r="AL680" s="11" t="n"/>
      <c r="AN680">
        <f>IF($E680="","",IF(COUNTIF($E$2:$E680,$E680)=1,1,0))</f>
        <v/>
      </c>
      <c r="AO680">
        <f>IF($AN680=1,SUMPRODUCT(--($AR$2:$AR$3001&lt;$AR680))+1,"")</f>
        <v/>
      </c>
      <c r="AP680">
        <f>IF($E680="","",IF(OR($U680=TRUE(),$U680="TRUE"),1,0))</f>
        <v/>
      </c>
      <c r="AQ680">
        <f>IF($E680="","",IF($AD680="Yes",1,0))</f>
        <v/>
      </c>
      <c r="AR680">
        <f>IF($AN680=1,IFERROR(VALUE(MID($E680,2,20)),1000000000)+ROW()/100000,"")</f>
        <v/>
      </c>
    </row>
    <row r="681">
      <c r="G681" s="11" t="n"/>
      <c r="Q681" s="7">
        <f>IF($E681="","",P681*AB681/100)</f>
        <v/>
      </c>
      <c r="R681" s="7" t="n"/>
      <c r="X681" s="7" t="n"/>
      <c r="Y681" s="7">
        <f>IF($E681="","",AB681*AE681/100)</f>
        <v/>
      </c>
      <c r="Z681" s="7">
        <f>IF($E681="","",AB681-Y681)</f>
        <v/>
      </c>
      <c r="AA681" s="7">
        <f>IF($E681="","",Z681-Q681)</f>
        <v/>
      </c>
      <c r="AB681" s="7" t="n"/>
      <c r="AE681">
        <f>IF($E681="","",IF($AQ681=1,0,IF($AP681=1,Settings!$C$6,Settings!$C$7))*100)</f>
        <v/>
      </c>
      <c r="AI681" s="7" t="n"/>
      <c r="AL681" s="11" t="n"/>
      <c r="AN681">
        <f>IF($E681="","",IF(COUNTIF($E$2:$E681,$E681)=1,1,0))</f>
        <v/>
      </c>
      <c r="AO681">
        <f>IF($AN681=1,SUMPRODUCT(--($AR$2:$AR$3001&lt;$AR681))+1,"")</f>
        <v/>
      </c>
      <c r="AP681">
        <f>IF($E681="","",IF(OR($U681=TRUE(),$U681="TRUE"),1,0))</f>
        <v/>
      </c>
      <c r="AQ681">
        <f>IF($E681="","",IF($AD681="Yes",1,0))</f>
        <v/>
      </c>
      <c r="AR681">
        <f>IF($AN681=1,IFERROR(VALUE(MID($E681,2,20)),1000000000)+ROW()/100000,"")</f>
        <v/>
      </c>
    </row>
    <row r="682">
      <c r="G682" s="11" t="n"/>
      <c r="Q682" s="7">
        <f>IF($E682="","",P682*AB682/100)</f>
        <v/>
      </c>
      <c r="R682" s="7" t="n"/>
      <c r="X682" s="7" t="n"/>
      <c r="Y682" s="7">
        <f>IF($E682="","",AB682*AE682/100)</f>
        <v/>
      </c>
      <c r="Z682" s="7">
        <f>IF($E682="","",AB682-Y682)</f>
        <v/>
      </c>
      <c r="AA682" s="7">
        <f>IF($E682="","",Z682-Q682)</f>
        <v/>
      </c>
      <c r="AB682" s="7" t="n"/>
      <c r="AE682">
        <f>IF($E682="","",IF($AQ682=1,0,IF($AP682=1,Settings!$C$6,Settings!$C$7))*100)</f>
        <v/>
      </c>
      <c r="AI682" s="7" t="n"/>
      <c r="AL682" s="11" t="n"/>
      <c r="AN682">
        <f>IF($E682="","",IF(COUNTIF($E$2:$E682,$E682)=1,1,0))</f>
        <v/>
      </c>
      <c r="AO682">
        <f>IF($AN682=1,SUMPRODUCT(--($AR$2:$AR$3001&lt;$AR682))+1,"")</f>
        <v/>
      </c>
      <c r="AP682">
        <f>IF($E682="","",IF(OR($U682=TRUE(),$U682="TRUE"),1,0))</f>
        <v/>
      </c>
      <c r="AQ682">
        <f>IF($E682="","",IF($AD682="Yes",1,0))</f>
        <v/>
      </c>
      <c r="AR682">
        <f>IF($AN682=1,IFERROR(VALUE(MID($E682,2,20)),1000000000)+ROW()/100000,"")</f>
        <v/>
      </c>
    </row>
    <row r="683">
      <c r="G683" s="11" t="n"/>
      <c r="Q683" s="7">
        <f>IF($E683="","",P683*AB683/100)</f>
        <v/>
      </c>
      <c r="R683" s="7" t="n"/>
      <c r="X683" s="7" t="n"/>
      <c r="Y683" s="7">
        <f>IF($E683="","",AB683*AE683/100)</f>
        <v/>
      </c>
      <c r="Z683" s="7">
        <f>IF($E683="","",AB683-Y683)</f>
        <v/>
      </c>
      <c r="AA683" s="7">
        <f>IF($E683="","",Z683-Q683)</f>
        <v/>
      </c>
      <c r="AB683" s="7" t="n"/>
      <c r="AE683">
        <f>IF($E683="","",IF($AQ683=1,0,IF($AP683=1,Settings!$C$6,Settings!$C$7))*100)</f>
        <v/>
      </c>
      <c r="AI683" s="7" t="n"/>
      <c r="AL683" s="11" t="n"/>
      <c r="AN683">
        <f>IF($E683="","",IF(COUNTIF($E$2:$E683,$E683)=1,1,0))</f>
        <v/>
      </c>
      <c r="AO683">
        <f>IF($AN683=1,SUMPRODUCT(--($AR$2:$AR$3001&lt;$AR683))+1,"")</f>
        <v/>
      </c>
      <c r="AP683">
        <f>IF($E683="","",IF(OR($U683=TRUE(),$U683="TRUE"),1,0))</f>
        <v/>
      </c>
      <c r="AQ683">
        <f>IF($E683="","",IF($AD683="Yes",1,0))</f>
        <v/>
      </c>
      <c r="AR683">
        <f>IF($AN683=1,IFERROR(VALUE(MID($E683,2,20)),1000000000)+ROW()/100000,"")</f>
        <v/>
      </c>
    </row>
    <row r="684">
      <c r="G684" s="11" t="n"/>
      <c r="Q684" s="7">
        <f>IF($E684="","",P684*AB684/100)</f>
        <v/>
      </c>
      <c r="R684" s="7" t="n"/>
      <c r="X684" s="7" t="n"/>
      <c r="Y684" s="7">
        <f>IF($E684="","",AB684*AE684/100)</f>
        <v/>
      </c>
      <c r="Z684" s="7">
        <f>IF($E684="","",AB684-Y684)</f>
        <v/>
      </c>
      <c r="AA684" s="7">
        <f>IF($E684="","",Z684-Q684)</f>
        <v/>
      </c>
      <c r="AB684" s="7" t="n"/>
      <c r="AE684">
        <f>IF($E684="","",IF($AQ684=1,0,IF($AP684=1,Settings!$C$6,Settings!$C$7))*100)</f>
        <v/>
      </c>
      <c r="AI684" s="7" t="n"/>
      <c r="AL684" s="11" t="n"/>
      <c r="AN684">
        <f>IF($E684="","",IF(COUNTIF($E$2:$E684,$E684)=1,1,0))</f>
        <v/>
      </c>
      <c r="AO684">
        <f>IF($AN684=1,SUMPRODUCT(--($AR$2:$AR$3001&lt;$AR684))+1,"")</f>
        <v/>
      </c>
      <c r="AP684">
        <f>IF($E684="","",IF(OR($U684=TRUE(),$U684="TRUE"),1,0))</f>
        <v/>
      </c>
      <c r="AQ684">
        <f>IF($E684="","",IF($AD684="Yes",1,0))</f>
        <v/>
      </c>
      <c r="AR684">
        <f>IF($AN684=1,IFERROR(VALUE(MID($E684,2,20)),1000000000)+ROW()/100000,"")</f>
        <v/>
      </c>
    </row>
    <row r="685">
      <c r="G685" s="11" t="n"/>
      <c r="Q685" s="7">
        <f>IF($E685="","",P685*AB685/100)</f>
        <v/>
      </c>
      <c r="R685" s="7" t="n"/>
      <c r="X685" s="7" t="n"/>
      <c r="Y685" s="7">
        <f>IF($E685="","",AB685*AE685/100)</f>
        <v/>
      </c>
      <c r="Z685" s="7">
        <f>IF($E685="","",AB685-Y685)</f>
        <v/>
      </c>
      <c r="AA685" s="7">
        <f>IF($E685="","",Z685-Q685)</f>
        <v/>
      </c>
      <c r="AB685" s="7" t="n"/>
      <c r="AE685">
        <f>IF($E685="","",IF($AQ685=1,0,IF($AP685=1,Settings!$C$6,Settings!$C$7))*100)</f>
        <v/>
      </c>
      <c r="AI685" s="7" t="n"/>
      <c r="AL685" s="11" t="n"/>
      <c r="AN685">
        <f>IF($E685="","",IF(COUNTIF($E$2:$E685,$E685)=1,1,0))</f>
        <v/>
      </c>
      <c r="AO685">
        <f>IF($AN685=1,SUMPRODUCT(--($AR$2:$AR$3001&lt;$AR685))+1,"")</f>
        <v/>
      </c>
      <c r="AP685">
        <f>IF($E685="","",IF(OR($U685=TRUE(),$U685="TRUE"),1,0))</f>
        <v/>
      </c>
      <c r="AQ685">
        <f>IF($E685="","",IF($AD685="Yes",1,0))</f>
        <v/>
      </c>
      <c r="AR685">
        <f>IF($AN685=1,IFERROR(VALUE(MID($E685,2,20)),1000000000)+ROW()/100000,"")</f>
        <v/>
      </c>
    </row>
    <row r="686">
      <c r="G686" s="11" t="n"/>
      <c r="Q686" s="7">
        <f>IF($E686="","",P686*AB686/100)</f>
        <v/>
      </c>
      <c r="R686" s="7" t="n"/>
      <c r="X686" s="7" t="n"/>
      <c r="Y686" s="7">
        <f>IF($E686="","",AB686*AE686/100)</f>
        <v/>
      </c>
      <c r="Z686" s="7">
        <f>IF($E686="","",AB686-Y686)</f>
        <v/>
      </c>
      <c r="AA686" s="7">
        <f>IF($E686="","",Z686-Q686)</f>
        <v/>
      </c>
      <c r="AB686" s="7" t="n"/>
      <c r="AE686">
        <f>IF($E686="","",IF($AQ686=1,0,IF($AP686=1,Settings!$C$6,Settings!$C$7))*100)</f>
        <v/>
      </c>
      <c r="AI686" s="7" t="n"/>
      <c r="AL686" s="11" t="n"/>
      <c r="AN686">
        <f>IF($E686="","",IF(COUNTIF($E$2:$E686,$E686)=1,1,0))</f>
        <v/>
      </c>
      <c r="AO686">
        <f>IF($AN686=1,SUMPRODUCT(--($AR$2:$AR$3001&lt;$AR686))+1,"")</f>
        <v/>
      </c>
      <c r="AP686">
        <f>IF($E686="","",IF(OR($U686=TRUE(),$U686="TRUE"),1,0))</f>
        <v/>
      </c>
      <c r="AQ686">
        <f>IF($E686="","",IF($AD686="Yes",1,0))</f>
        <v/>
      </c>
      <c r="AR686">
        <f>IF($AN686=1,IFERROR(VALUE(MID($E686,2,20)),1000000000)+ROW()/100000,"")</f>
        <v/>
      </c>
    </row>
    <row r="687">
      <c r="G687" s="11" t="n"/>
      <c r="Q687" s="7">
        <f>IF($E687="","",P687*AB687/100)</f>
        <v/>
      </c>
      <c r="R687" s="7" t="n"/>
      <c r="X687" s="7" t="n"/>
      <c r="Y687" s="7">
        <f>IF($E687="","",AB687*AE687/100)</f>
        <v/>
      </c>
      <c r="Z687" s="7">
        <f>IF($E687="","",AB687-Y687)</f>
        <v/>
      </c>
      <c r="AA687" s="7">
        <f>IF($E687="","",Z687-Q687)</f>
        <v/>
      </c>
      <c r="AB687" s="7" t="n"/>
      <c r="AE687">
        <f>IF($E687="","",IF($AQ687=1,0,IF($AP687=1,Settings!$C$6,Settings!$C$7))*100)</f>
        <v/>
      </c>
      <c r="AI687" s="7" t="n"/>
      <c r="AL687" s="11" t="n"/>
      <c r="AN687">
        <f>IF($E687="","",IF(COUNTIF($E$2:$E687,$E687)=1,1,0))</f>
        <v/>
      </c>
      <c r="AO687">
        <f>IF($AN687=1,SUMPRODUCT(--($AR$2:$AR$3001&lt;$AR687))+1,"")</f>
        <v/>
      </c>
      <c r="AP687">
        <f>IF($E687="","",IF(OR($U687=TRUE(),$U687="TRUE"),1,0))</f>
        <v/>
      </c>
      <c r="AQ687">
        <f>IF($E687="","",IF($AD687="Yes",1,0))</f>
        <v/>
      </c>
      <c r="AR687">
        <f>IF($AN687=1,IFERROR(VALUE(MID($E687,2,20)),1000000000)+ROW()/100000,"")</f>
        <v/>
      </c>
    </row>
    <row r="688">
      <c r="G688" s="11" t="n"/>
      <c r="Q688" s="7">
        <f>IF($E688="","",P688*AB688/100)</f>
        <v/>
      </c>
      <c r="R688" s="7" t="n"/>
      <c r="X688" s="7" t="n"/>
      <c r="Y688" s="7">
        <f>IF($E688="","",AB688*AE688/100)</f>
        <v/>
      </c>
      <c r="Z688" s="7">
        <f>IF($E688="","",AB688-Y688)</f>
        <v/>
      </c>
      <c r="AA688" s="7">
        <f>IF($E688="","",Z688-Q688)</f>
        <v/>
      </c>
      <c r="AB688" s="7" t="n"/>
      <c r="AE688">
        <f>IF($E688="","",IF($AQ688=1,0,IF($AP688=1,Settings!$C$6,Settings!$C$7))*100)</f>
        <v/>
      </c>
      <c r="AI688" s="7" t="n"/>
      <c r="AL688" s="11" t="n"/>
      <c r="AN688">
        <f>IF($E688="","",IF(COUNTIF($E$2:$E688,$E688)=1,1,0))</f>
        <v/>
      </c>
      <c r="AO688">
        <f>IF($AN688=1,SUMPRODUCT(--($AR$2:$AR$3001&lt;$AR688))+1,"")</f>
        <v/>
      </c>
      <c r="AP688">
        <f>IF($E688="","",IF(OR($U688=TRUE(),$U688="TRUE"),1,0))</f>
        <v/>
      </c>
      <c r="AQ688">
        <f>IF($E688="","",IF($AD688="Yes",1,0))</f>
        <v/>
      </c>
      <c r="AR688">
        <f>IF($AN688=1,IFERROR(VALUE(MID($E688,2,20)),1000000000)+ROW()/100000,"")</f>
        <v/>
      </c>
    </row>
    <row r="689">
      <c r="G689" s="11" t="n"/>
      <c r="Q689" s="7">
        <f>IF($E689="","",P689*AB689/100)</f>
        <v/>
      </c>
      <c r="R689" s="7" t="n"/>
      <c r="X689" s="7" t="n"/>
      <c r="Y689" s="7">
        <f>IF($E689="","",AB689*AE689/100)</f>
        <v/>
      </c>
      <c r="Z689" s="7">
        <f>IF($E689="","",AB689-Y689)</f>
        <v/>
      </c>
      <c r="AA689" s="7">
        <f>IF($E689="","",Z689-Q689)</f>
        <v/>
      </c>
      <c r="AB689" s="7" t="n"/>
      <c r="AE689">
        <f>IF($E689="","",IF($AQ689=1,0,IF($AP689=1,Settings!$C$6,Settings!$C$7))*100)</f>
        <v/>
      </c>
      <c r="AI689" s="7" t="n"/>
      <c r="AL689" s="11" t="n"/>
      <c r="AN689">
        <f>IF($E689="","",IF(COUNTIF($E$2:$E689,$E689)=1,1,0))</f>
        <v/>
      </c>
      <c r="AO689">
        <f>IF($AN689=1,SUMPRODUCT(--($AR$2:$AR$3001&lt;$AR689))+1,"")</f>
        <v/>
      </c>
      <c r="AP689">
        <f>IF($E689="","",IF(OR($U689=TRUE(),$U689="TRUE"),1,0))</f>
        <v/>
      </c>
      <c r="AQ689">
        <f>IF($E689="","",IF($AD689="Yes",1,0))</f>
        <v/>
      </c>
      <c r="AR689">
        <f>IF($AN689=1,IFERROR(VALUE(MID($E689,2,20)),1000000000)+ROW()/100000,"")</f>
        <v/>
      </c>
    </row>
    <row r="690">
      <c r="G690" s="11" t="n"/>
      <c r="Q690" s="7">
        <f>IF($E690="","",P690*AB690/100)</f>
        <v/>
      </c>
      <c r="R690" s="7" t="n"/>
      <c r="X690" s="7" t="n"/>
      <c r="Y690" s="7">
        <f>IF($E690="","",AB690*AE690/100)</f>
        <v/>
      </c>
      <c r="Z690" s="7">
        <f>IF($E690="","",AB690-Y690)</f>
        <v/>
      </c>
      <c r="AA690" s="7">
        <f>IF($E690="","",Z690-Q690)</f>
        <v/>
      </c>
      <c r="AB690" s="7" t="n"/>
      <c r="AE690">
        <f>IF($E690="","",IF($AQ690=1,0,IF($AP690=1,Settings!$C$6,Settings!$C$7))*100)</f>
        <v/>
      </c>
      <c r="AI690" s="7" t="n"/>
      <c r="AL690" s="11" t="n"/>
      <c r="AN690">
        <f>IF($E690="","",IF(COUNTIF($E$2:$E690,$E690)=1,1,0))</f>
        <v/>
      </c>
      <c r="AO690">
        <f>IF($AN690=1,SUMPRODUCT(--($AR$2:$AR$3001&lt;$AR690))+1,"")</f>
        <v/>
      </c>
      <c r="AP690">
        <f>IF($E690="","",IF(OR($U690=TRUE(),$U690="TRUE"),1,0))</f>
        <v/>
      </c>
      <c r="AQ690">
        <f>IF($E690="","",IF($AD690="Yes",1,0))</f>
        <v/>
      </c>
      <c r="AR690">
        <f>IF($AN690=1,IFERROR(VALUE(MID($E690,2,20)),1000000000)+ROW()/100000,"")</f>
        <v/>
      </c>
    </row>
    <row r="691">
      <c r="G691" s="11" t="n"/>
      <c r="Q691" s="7">
        <f>IF($E691="","",P691*AB691/100)</f>
        <v/>
      </c>
      <c r="R691" s="7" t="n"/>
      <c r="X691" s="7" t="n"/>
      <c r="Y691" s="7">
        <f>IF($E691="","",AB691*AE691/100)</f>
        <v/>
      </c>
      <c r="Z691" s="7">
        <f>IF($E691="","",AB691-Y691)</f>
        <v/>
      </c>
      <c r="AA691" s="7">
        <f>IF($E691="","",Z691-Q691)</f>
        <v/>
      </c>
      <c r="AB691" s="7" t="n"/>
      <c r="AE691">
        <f>IF($E691="","",IF($AQ691=1,0,IF($AP691=1,Settings!$C$6,Settings!$C$7))*100)</f>
        <v/>
      </c>
      <c r="AI691" s="7" t="n"/>
      <c r="AL691" s="11" t="n"/>
      <c r="AN691">
        <f>IF($E691="","",IF(COUNTIF($E$2:$E691,$E691)=1,1,0))</f>
        <v/>
      </c>
      <c r="AO691">
        <f>IF($AN691=1,SUMPRODUCT(--($AR$2:$AR$3001&lt;$AR691))+1,"")</f>
        <v/>
      </c>
      <c r="AP691">
        <f>IF($E691="","",IF(OR($U691=TRUE(),$U691="TRUE"),1,0))</f>
        <v/>
      </c>
      <c r="AQ691">
        <f>IF($E691="","",IF($AD691="Yes",1,0))</f>
        <v/>
      </c>
      <c r="AR691">
        <f>IF($AN691=1,IFERROR(VALUE(MID($E691,2,20)),1000000000)+ROW()/100000,"")</f>
        <v/>
      </c>
    </row>
    <row r="692">
      <c r="G692" s="11" t="n"/>
      <c r="Q692" s="7">
        <f>IF($E692="","",P692*AB692/100)</f>
        <v/>
      </c>
      <c r="R692" s="7" t="n"/>
      <c r="X692" s="7" t="n"/>
      <c r="Y692" s="7">
        <f>IF($E692="","",AB692*AE692/100)</f>
        <v/>
      </c>
      <c r="Z692" s="7">
        <f>IF($E692="","",AB692-Y692)</f>
        <v/>
      </c>
      <c r="AA692" s="7">
        <f>IF($E692="","",Z692-Q692)</f>
        <v/>
      </c>
      <c r="AB692" s="7" t="n"/>
      <c r="AE692">
        <f>IF($E692="","",IF($AQ692=1,0,IF($AP692=1,Settings!$C$6,Settings!$C$7))*100)</f>
        <v/>
      </c>
      <c r="AI692" s="7" t="n"/>
      <c r="AL692" s="11" t="n"/>
      <c r="AN692">
        <f>IF($E692="","",IF(COUNTIF($E$2:$E692,$E692)=1,1,0))</f>
        <v/>
      </c>
      <c r="AO692">
        <f>IF($AN692=1,SUMPRODUCT(--($AR$2:$AR$3001&lt;$AR692))+1,"")</f>
        <v/>
      </c>
      <c r="AP692">
        <f>IF($E692="","",IF(OR($U692=TRUE(),$U692="TRUE"),1,0))</f>
        <v/>
      </c>
      <c r="AQ692">
        <f>IF($E692="","",IF($AD692="Yes",1,0))</f>
        <v/>
      </c>
      <c r="AR692">
        <f>IF($AN692=1,IFERROR(VALUE(MID($E692,2,20)),1000000000)+ROW()/100000,"")</f>
        <v/>
      </c>
    </row>
    <row r="693">
      <c r="G693" s="11" t="n"/>
      <c r="Q693" s="7">
        <f>IF($E693="","",P693*AB693/100)</f>
        <v/>
      </c>
      <c r="R693" s="7" t="n"/>
      <c r="X693" s="7" t="n"/>
      <c r="Y693" s="7">
        <f>IF($E693="","",AB693*AE693/100)</f>
        <v/>
      </c>
      <c r="Z693" s="7">
        <f>IF($E693="","",AB693-Y693)</f>
        <v/>
      </c>
      <c r="AA693" s="7">
        <f>IF($E693="","",Z693-Q693)</f>
        <v/>
      </c>
      <c r="AB693" s="7" t="n"/>
      <c r="AE693">
        <f>IF($E693="","",IF($AQ693=1,0,IF($AP693=1,Settings!$C$6,Settings!$C$7))*100)</f>
        <v/>
      </c>
      <c r="AI693" s="7" t="n"/>
      <c r="AL693" s="11" t="n"/>
      <c r="AN693">
        <f>IF($E693="","",IF(COUNTIF($E$2:$E693,$E693)=1,1,0))</f>
        <v/>
      </c>
      <c r="AO693">
        <f>IF($AN693=1,SUMPRODUCT(--($AR$2:$AR$3001&lt;$AR693))+1,"")</f>
        <v/>
      </c>
      <c r="AP693">
        <f>IF($E693="","",IF(OR($U693=TRUE(),$U693="TRUE"),1,0))</f>
        <v/>
      </c>
      <c r="AQ693">
        <f>IF($E693="","",IF($AD693="Yes",1,0))</f>
        <v/>
      </c>
      <c r="AR693">
        <f>IF($AN693=1,IFERROR(VALUE(MID($E693,2,20)),1000000000)+ROW()/100000,"")</f>
        <v/>
      </c>
    </row>
    <row r="694">
      <c r="G694" s="11" t="n"/>
      <c r="Q694" s="7">
        <f>IF($E694="","",P694*AB694/100)</f>
        <v/>
      </c>
      <c r="R694" s="7" t="n"/>
      <c r="X694" s="7" t="n"/>
      <c r="Y694" s="7">
        <f>IF($E694="","",AB694*AE694/100)</f>
        <v/>
      </c>
      <c r="Z694" s="7">
        <f>IF($E694="","",AB694-Y694)</f>
        <v/>
      </c>
      <c r="AA694" s="7">
        <f>IF($E694="","",Z694-Q694)</f>
        <v/>
      </c>
      <c r="AB694" s="7" t="n"/>
      <c r="AE694">
        <f>IF($E694="","",IF($AQ694=1,0,IF($AP694=1,Settings!$C$6,Settings!$C$7))*100)</f>
        <v/>
      </c>
      <c r="AI694" s="7" t="n"/>
      <c r="AL694" s="11" t="n"/>
      <c r="AN694">
        <f>IF($E694="","",IF(COUNTIF($E$2:$E694,$E694)=1,1,0))</f>
        <v/>
      </c>
      <c r="AO694">
        <f>IF($AN694=1,SUMPRODUCT(--($AR$2:$AR$3001&lt;$AR694))+1,"")</f>
        <v/>
      </c>
      <c r="AP694">
        <f>IF($E694="","",IF(OR($U694=TRUE(),$U694="TRUE"),1,0))</f>
        <v/>
      </c>
      <c r="AQ694">
        <f>IF($E694="","",IF($AD694="Yes",1,0))</f>
        <v/>
      </c>
      <c r="AR694">
        <f>IF($AN694=1,IFERROR(VALUE(MID($E694,2,20)),1000000000)+ROW()/100000,"")</f>
        <v/>
      </c>
    </row>
    <row r="695">
      <c r="G695" s="11" t="n"/>
      <c r="Q695" s="7">
        <f>IF($E695="","",P695*AB695/100)</f>
        <v/>
      </c>
      <c r="R695" s="7" t="n"/>
      <c r="X695" s="7" t="n"/>
      <c r="Y695" s="7">
        <f>IF($E695="","",AB695*AE695/100)</f>
        <v/>
      </c>
      <c r="Z695" s="7">
        <f>IF($E695="","",AB695-Y695)</f>
        <v/>
      </c>
      <c r="AA695" s="7">
        <f>IF($E695="","",Z695-Q695)</f>
        <v/>
      </c>
      <c r="AB695" s="7" t="n"/>
      <c r="AE695">
        <f>IF($E695="","",IF($AQ695=1,0,IF($AP695=1,Settings!$C$6,Settings!$C$7))*100)</f>
        <v/>
      </c>
      <c r="AI695" s="7" t="n"/>
      <c r="AL695" s="11" t="n"/>
      <c r="AN695">
        <f>IF($E695="","",IF(COUNTIF($E$2:$E695,$E695)=1,1,0))</f>
        <v/>
      </c>
      <c r="AO695">
        <f>IF($AN695=1,SUMPRODUCT(--($AR$2:$AR$3001&lt;$AR695))+1,"")</f>
        <v/>
      </c>
      <c r="AP695">
        <f>IF($E695="","",IF(OR($U695=TRUE(),$U695="TRUE"),1,0))</f>
        <v/>
      </c>
      <c r="AQ695">
        <f>IF($E695="","",IF($AD695="Yes",1,0))</f>
        <v/>
      </c>
      <c r="AR695">
        <f>IF($AN695=1,IFERROR(VALUE(MID($E695,2,20)),1000000000)+ROW()/100000,"")</f>
        <v/>
      </c>
    </row>
    <row r="696">
      <c r="G696" s="11" t="n"/>
      <c r="Q696" s="7">
        <f>IF($E696="","",P696*AB696/100)</f>
        <v/>
      </c>
      <c r="R696" s="7" t="n"/>
      <c r="X696" s="7" t="n"/>
      <c r="Y696" s="7">
        <f>IF($E696="","",AB696*AE696/100)</f>
        <v/>
      </c>
      <c r="Z696" s="7">
        <f>IF($E696="","",AB696-Y696)</f>
        <v/>
      </c>
      <c r="AA696" s="7">
        <f>IF($E696="","",Z696-Q696)</f>
        <v/>
      </c>
      <c r="AB696" s="7" t="n"/>
      <c r="AE696">
        <f>IF($E696="","",IF($AQ696=1,0,IF($AP696=1,Settings!$C$6,Settings!$C$7))*100)</f>
        <v/>
      </c>
      <c r="AI696" s="7" t="n"/>
      <c r="AL696" s="11" t="n"/>
      <c r="AN696">
        <f>IF($E696="","",IF(COUNTIF($E$2:$E696,$E696)=1,1,0))</f>
        <v/>
      </c>
      <c r="AO696">
        <f>IF($AN696=1,SUMPRODUCT(--($AR$2:$AR$3001&lt;$AR696))+1,"")</f>
        <v/>
      </c>
      <c r="AP696">
        <f>IF($E696="","",IF(OR($U696=TRUE(),$U696="TRUE"),1,0))</f>
        <v/>
      </c>
      <c r="AQ696">
        <f>IF($E696="","",IF($AD696="Yes",1,0))</f>
        <v/>
      </c>
      <c r="AR696">
        <f>IF($AN696=1,IFERROR(VALUE(MID($E696,2,20)),1000000000)+ROW()/100000,"")</f>
        <v/>
      </c>
    </row>
    <row r="697">
      <c r="G697" s="11" t="n"/>
      <c r="Q697" s="7">
        <f>IF($E697="","",P697*AB697/100)</f>
        <v/>
      </c>
      <c r="R697" s="7" t="n"/>
      <c r="X697" s="7" t="n"/>
      <c r="Y697" s="7">
        <f>IF($E697="","",AB697*AE697/100)</f>
        <v/>
      </c>
      <c r="Z697" s="7">
        <f>IF($E697="","",AB697-Y697)</f>
        <v/>
      </c>
      <c r="AA697" s="7">
        <f>IF($E697="","",Z697-Q697)</f>
        <v/>
      </c>
      <c r="AB697" s="7" t="n"/>
      <c r="AE697">
        <f>IF($E697="","",IF($AQ697=1,0,IF($AP697=1,Settings!$C$6,Settings!$C$7))*100)</f>
        <v/>
      </c>
      <c r="AI697" s="7" t="n"/>
      <c r="AL697" s="11" t="n"/>
      <c r="AN697">
        <f>IF($E697="","",IF(COUNTIF($E$2:$E697,$E697)=1,1,0))</f>
        <v/>
      </c>
      <c r="AO697">
        <f>IF($AN697=1,SUMPRODUCT(--($AR$2:$AR$3001&lt;$AR697))+1,"")</f>
        <v/>
      </c>
      <c r="AP697">
        <f>IF($E697="","",IF(OR($U697=TRUE(),$U697="TRUE"),1,0))</f>
        <v/>
      </c>
      <c r="AQ697">
        <f>IF($E697="","",IF($AD697="Yes",1,0))</f>
        <v/>
      </c>
      <c r="AR697">
        <f>IF($AN697=1,IFERROR(VALUE(MID($E697,2,20)),1000000000)+ROW()/100000,"")</f>
        <v/>
      </c>
    </row>
    <row r="698">
      <c r="G698" s="11" t="n"/>
      <c r="Q698" s="7">
        <f>IF($E698="","",P698*AB698/100)</f>
        <v/>
      </c>
      <c r="R698" s="7" t="n"/>
      <c r="X698" s="7" t="n"/>
      <c r="Y698" s="7">
        <f>IF($E698="","",AB698*AE698/100)</f>
        <v/>
      </c>
      <c r="Z698" s="7">
        <f>IF($E698="","",AB698-Y698)</f>
        <v/>
      </c>
      <c r="AA698" s="7">
        <f>IF($E698="","",Z698-Q698)</f>
        <v/>
      </c>
      <c r="AB698" s="7" t="n"/>
      <c r="AE698">
        <f>IF($E698="","",IF($AQ698=1,0,IF($AP698=1,Settings!$C$6,Settings!$C$7))*100)</f>
        <v/>
      </c>
      <c r="AI698" s="7" t="n"/>
      <c r="AL698" s="11" t="n"/>
      <c r="AN698">
        <f>IF($E698="","",IF(COUNTIF($E$2:$E698,$E698)=1,1,0))</f>
        <v/>
      </c>
      <c r="AO698">
        <f>IF($AN698=1,SUMPRODUCT(--($AR$2:$AR$3001&lt;$AR698))+1,"")</f>
        <v/>
      </c>
      <c r="AP698">
        <f>IF($E698="","",IF(OR($U698=TRUE(),$U698="TRUE"),1,0))</f>
        <v/>
      </c>
      <c r="AQ698">
        <f>IF($E698="","",IF($AD698="Yes",1,0))</f>
        <v/>
      </c>
      <c r="AR698">
        <f>IF($AN698=1,IFERROR(VALUE(MID($E698,2,20)),1000000000)+ROW()/100000,"")</f>
        <v/>
      </c>
    </row>
    <row r="699">
      <c r="G699" s="11" t="n"/>
      <c r="Q699" s="7">
        <f>IF($E699="","",P699*AB699/100)</f>
        <v/>
      </c>
      <c r="R699" s="7" t="n"/>
      <c r="X699" s="7" t="n"/>
      <c r="Y699" s="7">
        <f>IF($E699="","",AB699*AE699/100)</f>
        <v/>
      </c>
      <c r="Z699" s="7">
        <f>IF($E699="","",AB699-Y699)</f>
        <v/>
      </c>
      <c r="AA699" s="7">
        <f>IF($E699="","",Z699-Q699)</f>
        <v/>
      </c>
      <c r="AB699" s="7" t="n"/>
      <c r="AE699">
        <f>IF($E699="","",IF($AQ699=1,0,IF($AP699=1,Settings!$C$6,Settings!$C$7))*100)</f>
        <v/>
      </c>
      <c r="AI699" s="7" t="n"/>
      <c r="AL699" s="11" t="n"/>
      <c r="AN699">
        <f>IF($E699="","",IF(COUNTIF($E$2:$E699,$E699)=1,1,0))</f>
        <v/>
      </c>
      <c r="AO699">
        <f>IF($AN699=1,SUMPRODUCT(--($AR$2:$AR$3001&lt;$AR699))+1,"")</f>
        <v/>
      </c>
      <c r="AP699">
        <f>IF($E699="","",IF(OR($U699=TRUE(),$U699="TRUE"),1,0))</f>
        <v/>
      </c>
      <c r="AQ699">
        <f>IF($E699="","",IF($AD699="Yes",1,0))</f>
        <v/>
      </c>
      <c r="AR699">
        <f>IF($AN699=1,IFERROR(VALUE(MID($E699,2,20)),1000000000)+ROW()/100000,"")</f>
        <v/>
      </c>
    </row>
    <row r="700">
      <c r="G700" s="11" t="n"/>
      <c r="Q700" s="7">
        <f>IF($E700="","",P700*AB700/100)</f>
        <v/>
      </c>
      <c r="R700" s="7" t="n"/>
      <c r="X700" s="7" t="n"/>
      <c r="Y700" s="7">
        <f>IF($E700="","",AB700*AE700/100)</f>
        <v/>
      </c>
      <c r="Z700" s="7">
        <f>IF($E700="","",AB700-Y700)</f>
        <v/>
      </c>
      <c r="AA700" s="7">
        <f>IF($E700="","",Z700-Q700)</f>
        <v/>
      </c>
      <c r="AB700" s="7" t="n"/>
      <c r="AE700">
        <f>IF($E700="","",IF($AQ700=1,0,IF($AP700=1,Settings!$C$6,Settings!$C$7))*100)</f>
        <v/>
      </c>
      <c r="AI700" s="7" t="n"/>
      <c r="AL700" s="11" t="n"/>
      <c r="AN700">
        <f>IF($E700="","",IF(COUNTIF($E$2:$E700,$E700)=1,1,0))</f>
        <v/>
      </c>
      <c r="AO700">
        <f>IF($AN700=1,SUMPRODUCT(--($AR$2:$AR$3001&lt;$AR700))+1,"")</f>
        <v/>
      </c>
      <c r="AP700">
        <f>IF($E700="","",IF(OR($U700=TRUE(),$U700="TRUE"),1,0))</f>
        <v/>
      </c>
      <c r="AQ700">
        <f>IF($E700="","",IF($AD700="Yes",1,0))</f>
        <v/>
      </c>
      <c r="AR700">
        <f>IF($AN700=1,IFERROR(VALUE(MID($E700,2,20)),1000000000)+ROW()/100000,"")</f>
        <v/>
      </c>
    </row>
    <row r="701">
      <c r="G701" s="11" t="n"/>
      <c r="Q701" s="7">
        <f>IF($E701="","",P701*AB701/100)</f>
        <v/>
      </c>
      <c r="R701" s="7" t="n"/>
      <c r="X701" s="7" t="n"/>
      <c r="Y701" s="7">
        <f>IF($E701="","",AB701*AE701/100)</f>
        <v/>
      </c>
      <c r="Z701" s="7">
        <f>IF($E701="","",AB701-Y701)</f>
        <v/>
      </c>
      <c r="AA701" s="7">
        <f>IF($E701="","",Z701-Q701)</f>
        <v/>
      </c>
      <c r="AB701" s="7" t="n"/>
      <c r="AE701">
        <f>IF($E701="","",IF($AQ701=1,0,IF($AP701=1,Settings!$C$6,Settings!$C$7))*100)</f>
        <v/>
      </c>
      <c r="AI701" s="7" t="n"/>
      <c r="AL701" s="11" t="n"/>
      <c r="AN701">
        <f>IF($E701="","",IF(COUNTIF($E$2:$E701,$E701)=1,1,0))</f>
        <v/>
      </c>
      <c r="AO701">
        <f>IF($AN701=1,SUMPRODUCT(--($AR$2:$AR$3001&lt;$AR701))+1,"")</f>
        <v/>
      </c>
      <c r="AP701">
        <f>IF($E701="","",IF(OR($U701=TRUE(),$U701="TRUE"),1,0))</f>
        <v/>
      </c>
      <c r="AQ701">
        <f>IF($E701="","",IF($AD701="Yes",1,0))</f>
        <v/>
      </c>
      <c r="AR701">
        <f>IF($AN701=1,IFERROR(VALUE(MID($E701,2,20)),1000000000)+ROW()/100000,"")</f>
        <v/>
      </c>
    </row>
    <row r="702">
      <c r="G702" s="11" t="n"/>
      <c r="Q702" s="7">
        <f>IF($E702="","",P702*AB702/100)</f>
        <v/>
      </c>
      <c r="R702" s="7" t="n"/>
      <c r="X702" s="7" t="n"/>
      <c r="Y702" s="7">
        <f>IF($E702="","",AB702*AE702/100)</f>
        <v/>
      </c>
      <c r="Z702" s="7">
        <f>IF($E702="","",AB702-Y702)</f>
        <v/>
      </c>
      <c r="AA702" s="7">
        <f>IF($E702="","",Z702-Q702)</f>
        <v/>
      </c>
      <c r="AB702" s="7" t="n"/>
      <c r="AE702">
        <f>IF($E702="","",IF($AQ702=1,0,IF($AP702=1,Settings!$C$6,Settings!$C$7))*100)</f>
        <v/>
      </c>
      <c r="AI702" s="7" t="n"/>
      <c r="AL702" s="11" t="n"/>
      <c r="AN702">
        <f>IF($E702="","",IF(COUNTIF($E$2:$E702,$E702)=1,1,0))</f>
        <v/>
      </c>
      <c r="AO702">
        <f>IF($AN702=1,SUMPRODUCT(--($AR$2:$AR$3001&lt;$AR702))+1,"")</f>
        <v/>
      </c>
      <c r="AP702">
        <f>IF($E702="","",IF(OR($U702=TRUE(),$U702="TRUE"),1,0))</f>
        <v/>
      </c>
      <c r="AQ702">
        <f>IF($E702="","",IF($AD702="Yes",1,0))</f>
        <v/>
      </c>
      <c r="AR702">
        <f>IF($AN702=1,IFERROR(VALUE(MID($E702,2,20)),1000000000)+ROW()/100000,"")</f>
        <v/>
      </c>
    </row>
    <row r="703">
      <c r="G703" s="11" t="n"/>
      <c r="Q703" s="7">
        <f>IF($E703="","",P703*AB703/100)</f>
        <v/>
      </c>
      <c r="R703" s="7" t="n"/>
      <c r="X703" s="7" t="n"/>
      <c r="Y703" s="7">
        <f>IF($E703="","",AB703*AE703/100)</f>
        <v/>
      </c>
      <c r="Z703" s="7">
        <f>IF($E703="","",AB703-Y703)</f>
        <v/>
      </c>
      <c r="AA703" s="7">
        <f>IF($E703="","",Z703-Q703)</f>
        <v/>
      </c>
      <c r="AB703" s="7" t="n"/>
      <c r="AE703">
        <f>IF($E703="","",IF($AQ703=1,0,IF($AP703=1,Settings!$C$6,Settings!$C$7))*100)</f>
        <v/>
      </c>
      <c r="AI703" s="7" t="n"/>
      <c r="AL703" s="11" t="n"/>
      <c r="AN703">
        <f>IF($E703="","",IF(COUNTIF($E$2:$E703,$E703)=1,1,0))</f>
        <v/>
      </c>
      <c r="AO703">
        <f>IF($AN703=1,SUMPRODUCT(--($AR$2:$AR$3001&lt;$AR703))+1,"")</f>
        <v/>
      </c>
      <c r="AP703">
        <f>IF($E703="","",IF(OR($U703=TRUE(),$U703="TRUE"),1,0))</f>
        <v/>
      </c>
      <c r="AQ703">
        <f>IF($E703="","",IF($AD703="Yes",1,0))</f>
        <v/>
      </c>
      <c r="AR703">
        <f>IF($AN703=1,IFERROR(VALUE(MID($E703,2,20)),1000000000)+ROW()/100000,"")</f>
        <v/>
      </c>
    </row>
    <row r="704">
      <c r="G704" s="11" t="n"/>
      <c r="Q704" s="7">
        <f>IF($E704="","",P704*AB704/100)</f>
        <v/>
      </c>
      <c r="R704" s="7" t="n"/>
      <c r="X704" s="7" t="n"/>
      <c r="Y704" s="7">
        <f>IF($E704="","",AB704*AE704/100)</f>
        <v/>
      </c>
      <c r="Z704" s="7">
        <f>IF($E704="","",AB704-Y704)</f>
        <v/>
      </c>
      <c r="AA704" s="7">
        <f>IF($E704="","",Z704-Q704)</f>
        <v/>
      </c>
      <c r="AB704" s="7" t="n"/>
      <c r="AE704">
        <f>IF($E704="","",IF($AQ704=1,0,IF($AP704=1,Settings!$C$6,Settings!$C$7))*100)</f>
        <v/>
      </c>
      <c r="AI704" s="7" t="n"/>
      <c r="AL704" s="11" t="n"/>
      <c r="AN704">
        <f>IF($E704="","",IF(COUNTIF($E$2:$E704,$E704)=1,1,0))</f>
        <v/>
      </c>
      <c r="AO704">
        <f>IF($AN704=1,SUMPRODUCT(--($AR$2:$AR$3001&lt;$AR704))+1,"")</f>
        <v/>
      </c>
      <c r="AP704">
        <f>IF($E704="","",IF(OR($U704=TRUE(),$U704="TRUE"),1,0))</f>
        <v/>
      </c>
      <c r="AQ704">
        <f>IF($E704="","",IF($AD704="Yes",1,0))</f>
        <v/>
      </c>
      <c r="AR704">
        <f>IF($AN704=1,IFERROR(VALUE(MID($E704,2,20)),1000000000)+ROW()/100000,"")</f>
        <v/>
      </c>
    </row>
    <row r="705">
      <c r="G705" s="11" t="n"/>
      <c r="Q705" s="7">
        <f>IF($E705="","",P705*AB705/100)</f>
        <v/>
      </c>
      <c r="R705" s="7" t="n"/>
      <c r="X705" s="7" t="n"/>
      <c r="Y705" s="7">
        <f>IF($E705="","",AB705*AE705/100)</f>
        <v/>
      </c>
      <c r="Z705" s="7">
        <f>IF($E705="","",AB705-Y705)</f>
        <v/>
      </c>
      <c r="AA705" s="7">
        <f>IF($E705="","",Z705-Q705)</f>
        <v/>
      </c>
      <c r="AB705" s="7" t="n"/>
      <c r="AE705">
        <f>IF($E705="","",IF($AQ705=1,0,IF($AP705=1,Settings!$C$6,Settings!$C$7))*100)</f>
        <v/>
      </c>
      <c r="AI705" s="7" t="n"/>
      <c r="AL705" s="11" t="n"/>
      <c r="AN705">
        <f>IF($E705="","",IF(COUNTIF($E$2:$E705,$E705)=1,1,0))</f>
        <v/>
      </c>
      <c r="AO705">
        <f>IF($AN705=1,SUMPRODUCT(--($AR$2:$AR$3001&lt;$AR705))+1,"")</f>
        <v/>
      </c>
      <c r="AP705">
        <f>IF($E705="","",IF(OR($U705=TRUE(),$U705="TRUE"),1,0))</f>
        <v/>
      </c>
      <c r="AQ705">
        <f>IF($E705="","",IF($AD705="Yes",1,0))</f>
        <v/>
      </c>
      <c r="AR705">
        <f>IF($AN705=1,IFERROR(VALUE(MID($E705,2,20)),1000000000)+ROW()/100000,"")</f>
        <v/>
      </c>
    </row>
    <row r="706">
      <c r="G706" s="11" t="n"/>
      <c r="Q706" s="7">
        <f>IF($E706="","",P706*AB706/100)</f>
        <v/>
      </c>
      <c r="R706" s="7" t="n"/>
      <c r="X706" s="7" t="n"/>
      <c r="Y706" s="7">
        <f>IF($E706="","",AB706*AE706/100)</f>
        <v/>
      </c>
      <c r="Z706" s="7">
        <f>IF($E706="","",AB706-Y706)</f>
        <v/>
      </c>
      <c r="AA706" s="7">
        <f>IF($E706="","",Z706-Q706)</f>
        <v/>
      </c>
      <c r="AB706" s="7" t="n"/>
      <c r="AE706">
        <f>IF($E706="","",IF($AQ706=1,0,IF($AP706=1,Settings!$C$6,Settings!$C$7))*100)</f>
        <v/>
      </c>
      <c r="AI706" s="7" t="n"/>
      <c r="AL706" s="11" t="n"/>
      <c r="AN706">
        <f>IF($E706="","",IF(COUNTIF($E$2:$E706,$E706)=1,1,0))</f>
        <v/>
      </c>
      <c r="AO706">
        <f>IF($AN706=1,SUMPRODUCT(--($AR$2:$AR$3001&lt;$AR706))+1,"")</f>
        <v/>
      </c>
      <c r="AP706">
        <f>IF($E706="","",IF(OR($U706=TRUE(),$U706="TRUE"),1,0))</f>
        <v/>
      </c>
      <c r="AQ706">
        <f>IF($E706="","",IF($AD706="Yes",1,0))</f>
        <v/>
      </c>
      <c r="AR706">
        <f>IF($AN706=1,IFERROR(VALUE(MID($E706,2,20)),1000000000)+ROW()/100000,"")</f>
        <v/>
      </c>
    </row>
    <row r="707">
      <c r="G707" s="11" t="n"/>
      <c r="Q707" s="7">
        <f>IF($E707="","",P707*AB707/100)</f>
        <v/>
      </c>
      <c r="R707" s="7" t="n"/>
      <c r="X707" s="7" t="n"/>
      <c r="Y707" s="7">
        <f>IF($E707="","",AB707*AE707/100)</f>
        <v/>
      </c>
      <c r="Z707" s="7">
        <f>IF($E707="","",AB707-Y707)</f>
        <v/>
      </c>
      <c r="AA707" s="7">
        <f>IF($E707="","",Z707-Q707)</f>
        <v/>
      </c>
      <c r="AB707" s="7" t="n"/>
      <c r="AE707">
        <f>IF($E707="","",IF($AQ707=1,0,IF($AP707=1,Settings!$C$6,Settings!$C$7))*100)</f>
        <v/>
      </c>
      <c r="AI707" s="7" t="n"/>
      <c r="AL707" s="11" t="n"/>
      <c r="AN707">
        <f>IF($E707="","",IF(COUNTIF($E$2:$E707,$E707)=1,1,0))</f>
        <v/>
      </c>
      <c r="AO707">
        <f>IF($AN707=1,SUMPRODUCT(--($AR$2:$AR$3001&lt;$AR707))+1,"")</f>
        <v/>
      </c>
      <c r="AP707">
        <f>IF($E707="","",IF(OR($U707=TRUE(),$U707="TRUE"),1,0))</f>
        <v/>
      </c>
      <c r="AQ707">
        <f>IF($E707="","",IF($AD707="Yes",1,0))</f>
        <v/>
      </c>
      <c r="AR707">
        <f>IF($AN707=1,IFERROR(VALUE(MID($E707,2,20)),1000000000)+ROW()/100000,"")</f>
        <v/>
      </c>
    </row>
    <row r="708">
      <c r="G708" s="11" t="n"/>
      <c r="Q708" s="7">
        <f>IF($E708="","",P708*AB708/100)</f>
        <v/>
      </c>
      <c r="R708" s="7" t="n"/>
      <c r="X708" s="7" t="n"/>
      <c r="Y708" s="7">
        <f>IF($E708="","",AB708*AE708/100)</f>
        <v/>
      </c>
      <c r="Z708" s="7">
        <f>IF($E708="","",AB708-Y708)</f>
        <v/>
      </c>
      <c r="AA708" s="7">
        <f>IF($E708="","",Z708-Q708)</f>
        <v/>
      </c>
      <c r="AB708" s="7" t="n"/>
      <c r="AE708">
        <f>IF($E708="","",IF($AQ708=1,0,IF($AP708=1,Settings!$C$6,Settings!$C$7))*100)</f>
        <v/>
      </c>
      <c r="AI708" s="7" t="n"/>
      <c r="AL708" s="11" t="n"/>
      <c r="AN708">
        <f>IF($E708="","",IF(COUNTIF($E$2:$E708,$E708)=1,1,0))</f>
        <v/>
      </c>
      <c r="AO708">
        <f>IF($AN708=1,SUMPRODUCT(--($AR$2:$AR$3001&lt;$AR708))+1,"")</f>
        <v/>
      </c>
      <c r="AP708">
        <f>IF($E708="","",IF(OR($U708=TRUE(),$U708="TRUE"),1,0))</f>
        <v/>
      </c>
      <c r="AQ708">
        <f>IF($E708="","",IF($AD708="Yes",1,0))</f>
        <v/>
      </c>
      <c r="AR708">
        <f>IF($AN708=1,IFERROR(VALUE(MID($E708,2,20)),1000000000)+ROW()/100000,"")</f>
        <v/>
      </c>
    </row>
    <row r="709">
      <c r="G709" s="11" t="n"/>
      <c r="Q709" s="7">
        <f>IF($E709="","",P709*AB709/100)</f>
        <v/>
      </c>
      <c r="R709" s="7" t="n"/>
      <c r="X709" s="7" t="n"/>
      <c r="Y709" s="7">
        <f>IF($E709="","",AB709*AE709/100)</f>
        <v/>
      </c>
      <c r="Z709" s="7">
        <f>IF($E709="","",AB709-Y709)</f>
        <v/>
      </c>
      <c r="AA709" s="7">
        <f>IF($E709="","",Z709-Q709)</f>
        <v/>
      </c>
      <c r="AB709" s="7" t="n"/>
      <c r="AE709">
        <f>IF($E709="","",IF($AQ709=1,0,IF($AP709=1,Settings!$C$6,Settings!$C$7))*100)</f>
        <v/>
      </c>
      <c r="AI709" s="7" t="n"/>
      <c r="AL709" s="11" t="n"/>
      <c r="AN709">
        <f>IF($E709="","",IF(COUNTIF($E$2:$E709,$E709)=1,1,0))</f>
        <v/>
      </c>
      <c r="AO709">
        <f>IF($AN709=1,SUMPRODUCT(--($AR$2:$AR$3001&lt;$AR709))+1,"")</f>
        <v/>
      </c>
      <c r="AP709">
        <f>IF($E709="","",IF(OR($U709=TRUE(),$U709="TRUE"),1,0))</f>
        <v/>
      </c>
      <c r="AQ709">
        <f>IF($E709="","",IF($AD709="Yes",1,0))</f>
        <v/>
      </c>
      <c r="AR709">
        <f>IF($AN709=1,IFERROR(VALUE(MID($E709,2,20)),1000000000)+ROW()/100000,"")</f>
        <v/>
      </c>
    </row>
    <row r="710">
      <c r="G710" s="11" t="n"/>
      <c r="Q710" s="7">
        <f>IF($E710="","",P710*AB710/100)</f>
        <v/>
      </c>
      <c r="R710" s="7" t="n"/>
      <c r="X710" s="7" t="n"/>
      <c r="Y710" s="7">
        <f>IF($E710="","",AB710*AE710/100)</f>
        <v/>
      </c>
      <c r="Z710" s="7">
        <f>IF($E710="","",AB710-Y710)</f>
        <v/>
      </c>
      <c r="AA710" s="7">
        <f>IF($E710="","",Z710-Q710)</f>
        <v/>
      </c>
      <c r="AB710" s="7" t="n"/>
      <c r="AE710">
        <f>IF($E710="","",IF($AQ710=1,0,IF($AP710=1,Settings!$C$6,Settings!$C$7))*100)</f>
        <v/>
      </c>
      <c r="AI710" s="7" t="n"/>
      <c r="AL710" s="11" t="n"/>
      <c r="AN710">
        <f>IF($E710="","",IF(COUNTIF($E$2:$E710,$E710)=1,1,0))</f>
        <v/>
      </c>
      <c r="AO710">
        <f>IF($AN710=1,SUMPRODUCT(--($AR$2:$AR$3001&lt;$AR710))+1,"")</f>
        <v/>
      </c>
      <c r="AP710">
        <f>IF($E710="","",IF(OR($U710=TRUE(),$U710="TRUE"),1,0))</f>
        <v/>
      </c>
      <c r="AQ710">
        <f>IF($E710="","",IF($AD710="Yes",1,0))</f>
        <v/>
      </c>
      <c r="AR710">
        <f>IF($AN710=1,IFERROR(VALUE(MID($E710,2,20)),1000000000)+ROW()/100000,"")</f>
        <v/>
      </c>
    </row>
    <row r="711">
      <c r="G711" s="11" t="n"/>
      <c r="Q711" s="7">
        <f>IF($E711="","",P711*AB711/100)</f>
        <v/>
      </c>
      <c r="R711" s="7" t="n"/>
      <c r="X711" s="7" t="n"/>
      <c r="Y711" s="7">
        <f>IF($E711="","",AB711*AE711/100)</f>
        <v/>
      </c>
      <c r="Z711" s="7">
        <f>IF($E711="","",AB711-Y711)</f>
        <v/>
      </c>
      <c r="AA711" s="7">
        <f>IF($E711="","",Z711-Q711)</f>
        <v/>
      </c>
      <c r="AB711" s="7" t="n"/>
      <c r="AE711">
        <f>IF($E711="","",IF($AQ711=1,0,IF($AP711=1,Settings!$C$6,Settings!$C$7))*100)</f>
        <v/>
      </c>
      <c r="AI711" s="7" t="n"/>
      <c r="AL711" s="11" t="n"/>
      <c r="AN711">
        <f>IF($E711="","",IF(COUNTIF($E$2:$E711,$E711)=1,1,0))</f>
        <v/>
      </c>
      <c r="AO711">
        <f>IF($AN711=1,SUMPRODUCT(--($AR$2:$AR$3001&lt;$AR711))+1,"")</f>
        <v/>
      </c>
      <c r="AP711">
        <f>IF($E711="","",IF(OR($U711=TRUE(),$U711="TRUE"),1,0))</f>
        <v/>
      </c>
      <c r="AQ711">
        <f>IF($E711="","",IF($AD711="Yes",1,0))</f>
        <v/>
      </c>
      <c r="AR711">
        <f>IF($AN711=1,IFERROR(VALUE(MID($E711,2,20)),1000000000)+ROW()/100000,"")</f>
        <v/>
      </c>
    </row>
    <row r="712">
      <c r="G712" s="11" t="n"/>
      <c r="Q712" s="7">
        <f>IF($E712="","",P712*AB712/100)</f>
        <v/>
      </c>
      <c r="R712" s="7" t="n"/>
      <c r="X712" s="7" t="n"/>
      <c r="Y712" s="7">
        <f>IF($E712="","",AB712*AE712/100)</f>
        <v/>
      </c>
      <c r="Z712" s="7">
        <f>IF($E712="","",AB712-Y712)</f>
        <v/>
      </c>
      <c r="AA712" s="7">
        <f>IF($E712="","",Z712-Q712)</f>
        <v/>
      </c>
      <c r="AB712" s="7" t="n"/>
      <c r="AE712">
        <f>IF($E712="","",IF($AQ712=1,0,IF($AP712=1,Settings!$C$6,Settings!$C$7))*100)</f>
        <v/>
      </c>
      <c r="AI712" s="7" t="n"/>
      <c r="AL712" s="11" t="n"/>
      <c r="AN712">
        <f>IF($E712="","",IF(COUNTIF($E$2:$E712,$E712)=1,1,0))</f>
        <v/>
      </c>
      <c r="AO712">
        <f>IF($AN712=1,SUMPRODUCT(--($AR$2:$AR$3001&lt;$AR712))+1,"")</f>
        <v/>
      </c>
      <c r="AP712">
        <f>IF($E712="","",IF(OR($U712=TRUE(),$U712="TRUE"),1,0))</f>
        <v/>
      </c>
      <c r="AQ712">
        <f>IF($E712="","",IF($AD712="Yes",1,0))</f>
        <v/>
      </c>
      <c r="AR712">
        <f>IF($AN712=1,IFERROR(VALUE(MID($E712,2,20)),1000000000)+ROW()/100000,"")</f>
        <v/>
      </c>
    </row>
    <row r="713">
      <c r="G713" s="11" t="n"/>
      <c r="Q713" s="7">
        <f>IF($E713="","",P713*AB713/100)</f>
        <v/>
      </c>
      <c r="R713" s="7" t="n"/>
      <c r="X713" s="7" t="n"/>
      <c r="Y713" s="7">
        <f>IF($E713="","",AB713*AE713/100)</f>
        <v/>
      </c>
      <c r="Z713" s="7">
        <f>IF($E713="","",AB713-Y713)</f>
        <v/>
      </c>
      <c r="AA713" s="7">
        <f>IF($E713="","",Z713-Q713)</f>
        <v/>
      </c>
      <c r="AB713" s="7" t="n"/>
      <c r="AE713">
        <f>IF($E713="","",IF($AQ713=1,0,IF($AP713=1,Settings!$C$6,Settings!$C$7))*100)</f>
        <v/>
      </c>
      <c r="AI713" s="7" t="n"/>
      <c r="AL713" s="11" t="n"/>
      <c r="AN713">
        <f>IF($E713="","",IF(COUNTIF($E$2:$E713,$E713)=1,1,0))</f>
        <v/>
      </c>
      <c r="AO713">
        <f>IF($AN713=1,SUMPRODUCT(--($AR$2:$AR$3001&lt;$AR713))+1,"")</f>
        <v/>
      </c>
      <c r="AP713">
        <f>IF($E713="","",IF(OR($U713=TRUE(),$U713="TRUE"),1,0))</f>
        <v/>
      </c>
      <c r="AQ713">
        <f>IF($E713="","",IF($AD713="Yes",1,0))</f>
        <v/>
      </c>
      <c r="AR713">
        <f>IF($AN713=1,IFERROR(VALUE(MID($E713,2,20)),1000000000)+ROW()/100000,"")</f>
        <v/>
      </c>
    </row>
    <row r="714">
      <c r="G714" s="11" t="n"/>
      <c r="Q714" s="7">
        <f>IF($E714="","",P714*AB714/100)</f>
        <v/>
      </c>
      <c r="R714" s="7" t="n"/>
      <c r="X714" s="7" t="n"/>
      <c r="Y714" s="7">
        <f>IF($E714="","",AB714*AE714/100)</f>
        <v/>
      </c>
      <c r="Z714" s="7">
        <f>IF($E714="","",AB714-Y714)</f>
        <v/>
      </c>
      <c r="AA714" s="7">
        <f>IF($E714="","",Z714-Q714)</f>
        <v/>
      </c>
      <c r="AB714" s="7" t="n"/>
      <c r="AE714">
        <f>IF($E714="","",IF($AQ714=1,0,IF($AP714=1,Settings!$C$6,Settings!$C$7))*100)</f>
        <v/>
      </c>
      <c r="AI714" s="7" t="n"/>
      <c r="AL714" s="11" t="n"/>
      <c r="AN714">
        <f>IF($E714="","",IF(COUNTIF($E$2:$E714,$E714)=1,1,0))</f>
        <v/>
      </c>
      <c r="AO714">
        <f>IF($AN714=1,SUMPRODUCT(--($AR$2:$AR$3001&lt;$AR714))+1,"")</f>
        <v/>
      </c>
      <c r="AP714">
        <f>IF($E714="","",IF(OR($U714=TRUE(),$U714="TRUE"),1,0))</f>
        <v/>
      </c>
      <c r="AQ714">
        <f>IF($E714="","",IF($AD714="Yes",1,0))</f>
        <v/>
      </c>
      <c r="AR714">
        <f>IF($AN714=1,IFERROR(VALUE(MID($E714,2,20)),1000000000)+ROW()/100000,"")</f>
        <v/>
      </c>
    </row>
    <row r="715">
      <c r="G715" s="11" t="n"/>
      <c r="Q715" s="7">
        <f>IF($E715="","",P715*AB715/100)</f>
        <v/>
      </c>
      <c r="R715" s="7" t="n"/>
      <c r="X715" s="7" t="n"/>
      <c r="Y715" s="7">
        <f>IF($E715="","",AB715*AE715/100)</f>
        <v/>
      </c>
      <c r="Z715" s="7">
        <f>IF($E715="","",AB715-Y715)</f>
        <v/>
      </c>
      <c r="AA715" s="7">
        <f>IF($E715="","",Z715-Q715)</f>
        <v/>
      </c>
      <c r="AB715" s="7" t="n"/>
      <c r="AE715">
        <f>IF($E715="","",IF($AQ715=1,0,IF($AP715=1,Settings!$C$6,Settings!$C$7))*100)</f>
        <v/>
      </c>
      <c r="AI715" s="7" t="n"/>
      <c r="AL715" s="11" t="n"/>
      <c r="AN715">
        <f>IF($E715="","",IF(COUNTIF($E$2:$E715,$E715)=1,1,0))</f>
        <v/>
      </c>
      <c r="AO715">
        <f>IF($AN715=1,SUMPRODUCT(--($AR$2:$AR$3001&lt;$AR715))+1,"")</f>
        <v/>
      </c>
      <c r="AP715">
        <f>IF($E715="","",IF(OR($U715=TRUE(),$U715="TRUE"),1,0))</f>
        <v/>
      </c>
      <c r="AQ715">
        <f>IF($E715="","",IF($AD715="Yes",1,0))</f>
        <v/>
      </c>
      <c r="AR715">
        <f>IF($AN715=1,IFERROR(VALUE(MID($E715,2,20)),1000000000)+ROW()/100000,"")</f>
        <v/>
      </c>
    </row>
    <row r="716">
      <c r="G716" s="11" t="n"/>
      <c r="Q716" s="7">
        <f>IF($E716="","",P716*AB716/100)</f>
        <v/>
      </c>
      <c r="R716" s="7" t="n"/>
      <c r="X716" s="7" t="n"/>
      <c r="Y716" s="7">
        <f>IF($E716="","",AB716*AE716/100)</f>
        <v/>
      </c>
      <c r="Z716" s="7">
        <f>IF($E716="","",AB716-Y716)</f>
        <v/>
      </c>
      <c r="AA716" s="7">
        <f>IF($E716="","",Z716-Q716)</f>
        <v/>
      </c>
      <c r="AB716" s="7" t="n"/>
      <c r="AE716">
        <f>IF($E716="","",IF($AQ716=1,0,IF($AP716=1,Settings!$C$6,Settings!$C$7))*100)</f>
        <v/>
      </c>
      <c r="AI716" s="7" t="n"/>
      <c r="AL716" s="11" t="n"/>
      <c r="AN716">
        <f>IF($E716="","",IF(COUNTIF($E$2:$E716,$E716)=1,1,0))</f>
        <v/>
      </c>
      <c r="AO716">
        <f>IF($AN716=1,SUMPRODUCT(--($AR$2:$AR$3001&lt;$AR716))+1,"")</f>
        <v/>
      </c>
      <c r="AP716">
        <f>IF($E716="","",IF(OR($U716=TRUE(),$U716="TRUE"),1,0))</f>
        <v/>
      </c>
      <c r="AQ716">
        <f>IF($E716="","",IF($AD716="Yes",1,0))</f>
        <v/>
      </c>
      <c r="AR716">
        <f>IF($AN716=1,IFERROR(VALUE(MID($E716,2,20)),1000000000)+ROW()/100000,"")</f>
        <v/>
      </c>
    </row>
    <row r="717">
      <c r="G717" s="11" t="n"/>
      <c r="Q717" s="7">
        <f>IF($E717="","",P717*AB717/100)</f>
        <v/>
      </c>
      <c r="R717" s="7" t="n"/>
      <c r="X717" s="7" t="n"/>
      <c r="Y717" s="7">
        <f>IF($E717="","",AB717*AE717/100)</f>
        <v/>
      </c>
      <c r="Z717" s="7">
        <f>IF($E717="","",AB717-Y717)</f>
        <v/>
      </c>
      <c r="AA717" s="7">
        <f>IF($E717="","",Z717-Q717)</f>
        <v/>
      </c>
      <c r="AB717" s="7" t="n"/>
      <c r="AE717">
        <f>IF($E717="","",IF($AQ717=1,0,IF($AP717=1,Settings!$C$6,Settings!$C$7))*100)</f>
        <v/>
      </c>
      <c r="AI717" s="7" t="n"/>
      <c r="AL717" s="11" t="n"/>
      <c r="AN717">
        <f>IF($E717="","",IF(COUNTIF($E$2:$E717,$E717)=1,1,0))</f>
        <v/>
      </c>
      <c r="AO717">
        <f>IF($AN717=1,SUMPRODUCT(--($AR$2:$AR$3001&lt;$AR717))+1,"")</f>
        <v/>
      </c>
      <c r="AP717">
        <f>IF($E717="","",IF(OR($U717=TRUE(),$U717="TRUE"),1,0))</f>
        <v/>
      </c>
      <c r="AQ717">
        <f>IF($E717="","",IF($AD717="Yes",1,0))</f>
        <v/>
      </c>
      <c r="AR717">
        <f>IF($AN717=1,IFERROR(VALUE(MID($E717,2,20)),1000000000)+ROW()/100000,"")</f>
        <v/>
      </c>
    </row>
    <row r="718">
      <c r="G718" s="11" t="n"/>
      <c r="Q718" s="7">
        <f>IF($E718="","",P718*AB718/100)</f>
        <v/>
      </c>
      <c r="R718" s="7" t="n"/>
      <c r="X718" s="7" t="n"/>
      <c r="Y718" s="7">
        <f>IF($E718="","",AB718*AE718/100)</f>
        <v/>
      </c>
      <c r="Z718" s="7">
        <f>IF($E718="","",AB718-Y718)</f>
        <v/>
      </c>
      <c r="AA718" s="7">
        <f>IF($E718="","",Z718-Q718)</f>
        <v/>
      </c>
      <c r="AB718" s="7" t="n"/>
      <c r="AE718">
        <f>IF($E718="","",IF($AQ718=1,0,IF($AP718=1,Settings!$C$6,Settings!$C$7))*100)</f>
        <v/>
      </c>
      <c r="AI718" s="7" t="n"/>
      <c r="AL718" s="11" t="n"/>
      <c r="AN718">
        <f>IF($E718="","",IF(COUNTIF($E$2:$E718,$E718)=1,1,0))</f>
        <v/>
      </c>
      <c r="AO718">
        <f>IF($AN718=1,SUMPRODUCT(--($AR$2:$AR$3001&lt;$AR718))+1,"")</f>
        <v/>
      </c>
      <c r="AP718">
        <f>IF($E718="","",IF(OR($U718=TRUE(),$U718="TRUE"),1,0))</f>
        <v/>
      </c>
      <c r="AQ718">
        <f>IF($E718="","",IF($AD718="Yes",1,0))</f>
        <v/>
      </c>
      <c r="AR718">
        <f>IF($AN718=1,IFERROR(VALUE(MID($E718,2,20)),1000000000)+ROW()/100000,"")</f>
        <v/>
      </c>
    </row>
    <row r="719">
      <c r="G719" s="11" t="n"/>
      <c r="Q719" s="7">
        <f>IF($E719="","",P719*AB719/100)</f>
        <v/>
      </c>
      <c r="R719" s="7" t="n"/>
      <c r="X719" s="7" t="n"/>
      <c r="Y719" s="7">
        <f>IF($E719="","",AB719*AE719/100)</f>
        <v/>
      </c>
      <c r="Z719" s="7">
        <f>IF($E719="","",AB719-Y719)</f>
        <v/>
      </c>
      <c r="AA719" s="7">
        <f>IF($E719="","",Z719-Q719)</f>
        <v/>
      </c>
      <c r="AB719" s="7" t="n"/>
      <c r="AE719">
        <f>IF($E719="","",IF($AQ719=1,0,IF($AP719=1,Settings!$C$6,Settings!$C$7))*100)</f>
        <v/>
      </c>
      <c r="AI719" s="7" t="n"/>
      <c r="AL719" s="11" t="n"/>
      <c r="AN719">
        <f>IF($E719="","",IF(COUNTIF($E$2:$E719,$E719)=1,1,0))</f>
        <v/>
      </c>
      <c r="AO719">
        <f>IF($AN719=1,SUMPRODUCT(--($AR$2:$AR$3001&lt;$AR719))+1,"")</f>
        <v/>
      </c>
      <c r="AP719">
        <f>IF($E719="","",IF(OR($U719=TRUE(),$U719="TRUE"),1,0))</f>
        <v/>
      </c>
      <c r="AQ719">
        <f>IF($E719="","",IF($AD719="Yes",1,0))</f>
        <v/>
      </c>
      <c r="AR719">
        <f>IF($AN719=1,IFERROR(VALUE(MID($E719,2,20)),1000000000)+ROW()/100000,"")</f>
        <v/>
      </c>
    </row>
    <row r="720">
      <c r="G720" s="11" t="n"/>
      <c r="Q720" s="7">
        <f>IF($E720="","",P720*AB720/100)</f>
        <v/>
      </c>
      <c r="R720" s="7" t="n"/>
      <c r="X720" s="7" t="n"/>
      <c r="Y720" s="7">
        <f>IF($E720="","",AB720*AE720/100)</f>
        <v/>
      </c>
      <c r="Z720" s="7">
        <f>IF($E720="","",AB720-Y720)</f>
        <v/>
      </c>
      <c r="AA720" s="7">
        <f>IF($E720="","",Z720-Q720)</f>
        <v/>
      </c>
      <c r="AB720" s="7" t="n"/>
      <c r="AE720">
        <f>IF($E720="","",IF($AQ720=1,0,IF($AP720=1,Settings!$C$6,Settings!$C$7))*100)</f>
        <v/>
      </c>
      <c r="AI720" s="7" t="n"/>
      <c r="AL720" s="11" t="n"/>
      <c r="AN720">
        <f>IF($E720="","",IF(COUNTIF($E$2:$E720,$E720)=1,1,0))</f>
        <v/>
      </c>
      <c r="AO720">
        <f>IF($AN720=1,SUMPRODUCT(--($AR$2:$AR$3001&lt;$AR720))+1,"")</f>
        <v/>
      </c>
      <c r="AP720">
        <f>IF($E720="","",IF(OR($U720=TRUE(),$U720="TRUE"),1,0))</f>
        <v/>
      </c>
      <c r="AQ720">
        <f>IF($E720="","",IF($AD720="Yes",1,0))</f>
        <v/>
      </c>
      <c r="AR720">
        <f>IF($AN720=1,IFERROR(VALUE(MID($E720,2,20)),1000000000)+ROW()/100000,"")</f>
        <v/>
      </c>
    </row>
    <row r="721">
      <c r="G721" s="11" t="n"/>
      <c r="Q721" s="7">
        <f>IF($E721="","",P721*AB721/100)</f>
        <v/>
      </c>
      <c r="R721" s="7" t="n"/>
      <c r="X721" s="7" t="n"/>
      <c r="Y721" s="7">
        <f>IF($E721="","",AB721*AE721/100)</f>
        <v/>
      </c>
      <c r="Z721" s="7">
        <f>IF($E721="","",AB721-Y721)</f>
        <v/>
      </c>
      <c r="AA721" s="7">
        <f>IF($E721="","",Z721-Q721)</f>
        <v/>
      </c>
      <c r="AB721" s="7" t="n"/>
      <c r="AE721">
        <f>IF($E721="","",IF($AQ721=1,0,IF($AP721=1,Settings!$C$6,Settings!$C$7))*100)</f>
        <v/>
      </c>
      <c r="AI721" s="7" t="n"/>
      <c r="AL721" s="11" t="n"/>
      <c r="AN721">
        <f>IF($E721="","",IF(COUNTIF($E$2:$E721,$E721)=1,1,0))</f>
        <v/>
      </c>
      <c r="AO721">
        <f>IF($AN721=1,SUMPRODUCT(--($AR$2:$AR$3001&lt;$AR721))+1,"")</f>
        <v/>
      </c>
      <c r="AP721">
        <f>IF($E721="","",IF(OR($U721=TRUE(),$U721="TRUE"),1,0))</f>
        <v/>
      </c>
      <c r="AQ721">
        <f>IF($E721="","",IF($AD721="Yes",1,0))</f>
        <v/>
      </c>
      <c r="AR721">
        <f>IF($AN721=1,IFERROR(VALUE(MID($E721,2,20)),1000000000)+ROW()/100000,"")</f>
        <v/>
      </c>
    </row>
    <row r="722">
      <c r="G722" s="11" t="n"/>
      <c r="Q722" s="7">
        <f>IF($E722="","",P722*AB722/100)</f>
        <v/>
      </c>
      <c r="R722" s="7" t="n"/>
      <c r="X722" s="7" t="n"/>
      <c r="Y722" s="7">
        <f>IF($E722="","",AB722*AE722/100)</f>
        <v/>
      </c>
      <c r="Z722" s="7">
        <f>IF($E722="","",AB722-Y722)</f>
        <v/>
      </c>
      <c r="AA722" s="7">
        <f>IF($E722="","",Z722-Q722)</f>
        <v/>
      </c>
      <c r="AB722" s="7" t="n"/>
      <c r="AE722">
        <f>IF($E722="","",IF($AQ722=1,0,IF($AP722=1,Settings!$C$6,Settings!$C$7))*100)</f>
        <v/>
      </c>
      <c r="AI722" s="7" t="n"/>
      <c r="AL722" s="11" t="n"/>
      <c r="AN722">
        <f>IF($E722="","",IF(COUNTIF($E$2:$E722,$E722)=1,1,0))</f>
        <v/>
      </c>
      <c r="AO722">
        <f>IF($AN722=1,SUMPRODUCT(--($AR$2:$AR$3001&lt;$AR722))+1,"")</f>
        <v/>
      </c>
      <c r="AP722">
        <f>IF($E722="","",IF(OR($U722=TRUE(),$U722="TRUE"),1,0))</f>
        <v/>
      </c>
      <c r="AQ722">
        <f>IF($E722="","",IF($AD722="Yes",1,0))</f>
        <v/>
      </c>
      <c r="AR722">
        <f>IF($AN722=1,IFERROR(VALUE(MID($E722,2,20)),1000000000)+ROW()/100000,"")</f>
        <v/>
      </c>
    </row>
    <row r="723">
      <c r="G723" s="11" t="n"/>
      <c r="Q723" s="7">
        <f>IF($E723="","",P723*AB723/100)</f>
        <v/>
      </c>
      <c r="R723" s="7" t="n"/>
      <c r="X723" s="7" t="n"/>
      <c r="Y723" s="7">
        <f>IF($E723="","",AB723*AE723/100)</f>
        <v/>
      </c>
      <c r="Z723" s="7">
        <f>IF($E723="","",AB723-Y723)</f>
        <v/>
      </c>
      <c r="AA723" s="7">
        <f>IF($E723="","",Z723-Q723)</f>
        <v/>
      </c>
      <c r="AB723" s="7" t="n"/>
      <c r="AE723">
        <f>IF($E723="","",IF($AQ723=1,0,IF($AP723=1,Settings!$C$6,Settings!$C$7))*100)</f>
        <v/>
      </c>
      <c r="AI723" s="7" t="n"/>
      <c r="AL723" s="11" t="n"/>
      <c r="AN723">
        <f>IF($E723="","",IF(COUNTIF($E$2:$E723,$E723)=1,1,0))</f>
        <v/>
      </c>
      <c r="AO723">
        <f>IF($AN723=1,SUMPRODUCT(--($AR$2:$AR$3001&lt;$AR723))+1,"")</f>
        <v/>
      </c>
      <c r="AP723">
        <f>IF($E723="","",IF(OR($U723=TRUE(),$U723="TRUE"),1,0))</f>
        <v/>
      </c>
      <c r="AQ723">
        <f>IF($E723="","",IF($AD723="Yes",1,0))</f>
        <v/>
      </c>
      <c r="AR723">
        <f>IF($AN723=1,IFERROR(VALUE(MID($E723,2,20)),1000000000)+ROW()/100000,"")</f>
        <v/>
      </c>
    </row>
    <row r="724">
      <c r="G724" s="11" t="n"/>
      <c r="Q724" s="7">
        <f>IF($E724="","",P724*AB724/100)</f>
        <v/>
      </c>
      <c r="R724" s="7" t="n"/>
      <c r="X724" s="7" t="n"/>
      <c r="Y724" s="7">
        <f>IF($E724="","",AB724*AE724/100)</f>
        <v/>
      </c>
      <c r="Z724" s="7">
        <f>IF($E724="","",AB724-Y724)</f>
        <v/>
      </c>
      <c r="AA724" s="7">
        <f>IF($E724="","",Z724-Q724)</f>
        <v/>
      </c>
      <c r="AB724" s="7" t="n"/>
      <c r="AE724">
        <f>IF($E724="","",IF($AQ724=1,0,IF($AP724=1,Settings!$C$6,Settings!$C$7))*100)</f>
        <v/>
      </c>
      <c r="AI724" s="7" t="n"/>
      <c r="AL724" s="11" t="n"/>
      <c r="AN724">
        <f>IF($E724="","",IF(COUNTIF($E$2:$E724,$E724)=1,1,0))</f>
        <v/>
      </c>
      <c r="AO724">
        <f>IF($AN724=1,SUMPRODUCT(--($AR$2:$AR$3001&lt;$AR724))+1,"")</f>
        <v/>
      </c>
      <c r="AP724">
        <f>IF($E724="","",IF(OR($U724=TRUE(),$U724="TRUE"),1,0))</f>
        <v/>
      </c>
      <c r="AQ724">
        <f>IF($E724="","",IF($AD724="Yes",1,0))</f>
        <v/>
      </c>
      <c r="AR724">
        <f>IF($AN724=1,IFERROR(VALUE(MID($E724,2,20)),1000000000)+ROW()/100000,"")</f>
        <v/>
      </c>
    </row>
    <row r="725">
      <c r="G725" s="11" t="n"/>
      <c r="Q725" s="7">
        <f>IF($E725="","",P725*AB725/100)</f>
        <v/>
      </c>
      <c r="R725" s="7" t="n"/>
      <c r="X725" s="7" t="n"/>
      <c r="Y725" s="7">
        <f>IF($E725="","",AB725*AE725/100)</f>
        <v/>
      </c>
      <c r="Z725" s="7">
        <f>IF($E725="","",AB725-Y725)</f>
        <v/>
      </c>
      <c r="AA725" s="7">
        <f>IF($E725="","",Z725-Q725)</f>
        <v/>
      </c>
      <c r="AB725" s="7" t="n"/>
      <c r="AE725">
        <f>IF($E725="","",IF($AQ725=1,0,IF($AP725=1,Settings!$C$6,Settings!$C$7))*100)</f>
        <v/>
      </c>
      <c r="AI725" s="7" t="n"/>
      <c r="AL725" s="11" t="n"/>
      <c r="AN725">
        <f>IF($E725="","",IF(COUNTIF($E$2:$E725,$E725)=1,1,0))</f>
        <v/>
      </c>
      <c r="AO725">
        <f>IF($AN725=1,SUMPRODUCT(--($AR$2:$AR$3001&lt;$AR725))+1,"")</f>
        <v/>
      </c>
      <c r="AP725">
        <f>IF($E725="","",IF(OR($U725=TRUE(),$U725="TRUE"),1,0))</f>
        <v/>
      </c>
      <c r="AQ725">
        <f>IF($E725="","",IF($AD725="Yes",1,0))</f>
        <v/>
      </c>
      <c r="AR725">
        <f>IF($AN725=1,IFERROR(VALUE(MID($E725,2,20)),1000000000)+ROW()/100000,"")</f>
        <v/>
      </c>
    </row>
    <row r="726">
      <c r="G726" s="11" t="n"/>
      <c r="Q726" s="7">
        <f>IF($E726="","",P726*AB726/100)</f>
        <v/>
      </c>
      <c r="R726" s="7" t="n"/>
      <c r="X726" s="7" t="n"/>
      <c r="Y726" s="7">
        <f>IF($E726="","",AB726*AE726/100)</f>
        <v/>
      </c>
      <c r="Z726" s="7">
        <f>IF($E726="","",AB726-Y726)</f>
        <v/>
      </c>
      <c r="AA726" s="7">
        <f>IF($E726="","",Z726-Q726)</f>
        <v/>
      </c>
      <c r="AB726" s="7" t="n"/>
      <c r="AE726">
        <f>IF($E726="","",IF($AQ726=1,0,IF($AP726=1,Settings!$C$6,Settings!$C$7))*100)</f>
        <v/>
      </c>
      <c r="AI726" s="7" t="n"/>
      <c r="AL726" s="11" t="n"/>
      <c r="AN726">
        <f>IF($E726="","",IF(COUNTIF($E$2:$E726,$E726)=1,1,0))</f>
        <v/>
      </c>
      <c r="AO726">
        <f>IF($AN726=1,SUMPRODUCT(--($AR$2:$AR$3001&lt;$AR726))+1,"")</f>
        <v/>
      </c>
      <c r="AP726">
        <f>IF($E726="","",IF(OR($U726=TRUE(),$U726="TRUE"),1,0))</f>
        <v/>
      </c>
      <c r="AQ726">
        <f>IF($E726="","",IF($AD726="Yes",1,0))</f>
        <v/>
      </c>
      <c r="AR726">
        <f>IF($AN726=1,IFERROR(VALUE(MID($E726,2,20)),1000000000)+ROW()/100000,"")</f>
        <v/>
      </c>
    </row>
    <row r="727">
      <c r="G727" s="11" t="n"/>
      <c r="Q727" s="7">
        <f>IF($E727="","",P727*AB727/100)</f>
        <v/>
      </c>
      <c r="R727" s="7" t="n"/>
      <c r="X727" s="7" t="n"/>
      <c r="Y727" s="7">
        <f>IF($E727="","",AB727*AE727/100)</f>
        <v/>
      </c>
      <c r="Z727" s="7">
        <f>IF($E727="","",AB727-Y727)</f>
        <v/>
      </c>
      <c r="AA727" s="7">
        <f>IF($E727="","",Z727-Q727)</f>
        <v/>
      </c>
      <c r="AB727" s="7" t="n"/>
      <c r="AE727">
        <f>IF($E727="","",IF($AQ727=1,0,IF($AP727=1,Settings!$C$6,Settings!$C$7))*100)</f>
        <v/>
      </c>
      <c r="AI727" s="7" t="n"/>
      <c r="AL727" s="11" t="n"/>
      <c r="AN727">
        <f>IF($E727="","",IF(COUNTIF($E$2:$E727,$E727)=1,1,0))</f>
        <v/>
      </c>
      <c r="AO727">
        <f>IF($AN727=1,SUMPRODUCT(--($AR$2:$AR$3001&lt;$AR727))+1,"")</f>
        <v/>
      </c>
      <c r="AP727">
        <f>IF($E727="","",IF(OR($U727=TRUE(),$U727="TRUE"),1,0))</f>
        <v/>
      </c>
      <c r="AQ727">
        <f>IF($E727="","",IF($AD727="Yes",1,0))</f>
        <v/>
      </c>
      <c r="AR727">
        <f>IF($AN727=1,IFERROR(VALUE(MID($E727,2,20)),1000000000)+ROW()/100000,"")</f>
        <v/>
      </c>
    </row>
    <row r="728">
      <c r="G728" s="11" t="n"/>
      <c r="Q728" s="7">
        <f>IF($E728="","",P728*AB728/100)</f>
        <v/>
      </c>
      <c r="R728" s="7" t="n"/>
      <c r="X728" s="7" t="n"/>
      <c r="Y728" s="7">
        <f>IF($E728="","",AB728*AE728/100)</f>
        <v/>
      </c>
      <c r="Z728" s="7">
        <f>IF($E728="","",AB728-Y728)</f>
        <v/>
      </c>
      <c r="AA728" s="7">
        <f>IF($E728="","",Z728-Q728)</f>
        <v/>
      </c>
      <c r="AB728" s="7" t="n"/>
      <c r="AE728">
        <f>IF($E728="","",IF($AQ728=1,0,IF($AP728=1,Settings!$C$6,Settings!$C$7))*100)</f>
        <v/>
      </c>
      <c r="AI728" s="7" t="n"/>
      <c r="AL728" s="11" t="n"/>
      <c r="AN728">
        <f>IF($E728="","",IF(COUNTIF($E$2:$E728,$E728)=1,1,0))</f>
        <v/>
      </c>
      <c r="AO728">
        <f>IF($AN728=1,SUMPRODUCT(--($AR$2:$AR$3001&lt;$AR728))+1,"")</f>
        <v/>
      </c>
      <c r="AP728">
        <f>IF($E728="","",IF(OR($U728=TRUE(),$U728="TRUE"),1,0))</f>
        <v/>
      </c>
      <c r="AQ728">
        <f>IF($E728="","",IF($AD728="Yes",1,0))</f>
        <v/>
      </c>
      <c r="AR728">
        <f>IF($AN728=1,IFERROR(VALUE(MID($E728,2,20)),1000000000)+ROW()/100000,"")</f>
        <v/>
      </c>
    </row>
    <row r="729">
      <c r="G729" s="11" t="n"/>
      <c r="Q729" s="7">
        <f>IF($E729="","",P729*AB729/100)</f>
        <v/>
      </c>
      <c r="R729" s="7" t="n"/>
      <c r="X729" s="7" t="n"/>
      <c r="Y729" s="7">
        <f>IF($E729="","",AB729*AE729/100)</f>
        <v/>
      </c>
      <c r="Z729" s="7">
        <f>IF($E729="","",AB729-Y729)</f>
        <v/>
      </c>
      <c r="AA729" s="7">
        <f>IF($E729="","",Z729-Q729)</f>
        <v/>
      </c>
      <c r="AB729" s="7" t="n"/>
      <c r="AE729">
        <f>IF($E729="","",IF($AQ729=1,0,IF($AP729=1,Settings!$C$6,Settings!$C$7))*100)</f>
        <v/>
      </c>
      <c r="AI729" s="7" t="n"/>
      <c r="AL729" s="11" t="n"/>
      <c r="AN729">
        <f>IF($E729="","",IF(COUNTIF($E$2:$E729,$E729)=1,1,0))</f>
        <v/>
      </c>
      <c r="AO729">
        <f>IF($AN729=1,SUMPRODUCT(--($AR$2:$AR$3001&lt;$AR729))+1,"")</f>
        <v/>
      </c>
      <c r="AP729">
        <f>IF($E729="","",IF(OR($U729=TRUE(),$U729="TRUE"),1,0))</f>
        <v/>
      </c>
      <c r="AQ729">
        <f>IF($E729="","",IF($AD729="Yes",1,0))</f>
        <v/>
      </c>
      <c r="AR729">
        <f>IF($AN729=1,IFERROR(VALUE(MID($E729,2,20)),1000000000)+ROW()/100000,"")</f>
        <v/>
      </c>
    </row>
    <row r="730">
      <c r="G730" s="11" t="n"/>
      <c r="Q730" s="7">
        <f>IF($E730="","",P730*AB730/100)</f>
        <v/>
      </c>
      <c r="R730" s="7" t="n"/>
      <c r="X730" s="7" t="n"/>
      <c r="Y730" s="7">
        <f>IF($E730="","",AB730*AE730/100)</f>
        <v/>
      </c>
      <c r="Z730" s="7">
        <f>IF($E730="","",AB730-Y730)</f>
        <v/>
      </c>
      <c r="AA730" s="7">
        <f>IF($E730="","",Z730-Q730)</f>
        <v/>
      </c>
      <c r="AB730" s="7" t="n"/>
      <c r="AE730">
        <f>IF($E730="","",IF($AQ730=1,0,IF($AP730=1,Settings!$C$6,Settings!$C$7))*100)</f>
        <v/>
      </c>
      <c r="AI730" s="7" t="n"/>
      <c r="AL730" s="11" t="n"/>
      <c r="AN730">
        <f>IF($E730="","",IF(COUNTIF($E$2:$E730,$E730)=1,1,0))</f>
        <v/>
      </c>
      <c r="AO730">
        <f>IF($AN730=1,SUMPRODUCT(--($AR$2:$AR$3001&lt;$AR730))+1,"")</f>
        <v/>
      </c>
      <c r="AP730">
        <f>IF($E730="","",IF(OR($U730=TRUE(),$U730="TRUE"),1,0))</f>
        <v/>
      </c>
      <c r="AQ730">
        <f>IF($E730="","",IF($AD730="Yes",1,0))</f>
        <v/>
      </c>
      <c r="AR730">
        <f>IF($AN730=1,IFERROR(VALUE(MID($E730,2,20)),1000000000)+ROW()/100000,"")</f>
        <v/>
      </c>
    </row>
    <row r="731">
      <c r="G731" s="11" t="n"/>
      <c r="Q731" s="7">
        <f>IF($E731="","",P731*AB731/100)</f>
        <v/>
      </c>
      <c r="R731" s="7" t="n"/>
      <c r="X731" s="7" t="n"/>
      <c r="Y731" s="7">
        <f>IF($E731="","",AB731*AE731/100)</f>
        <v/>
      </c>
      <c r="Z731" s="7">
        <f>IF($E731="","",AB731-Y731)</f>
        <v/>
      </c>
      <c r="AA731" s="7">
        <f>IF($E731="","",Z731-Q731)</f>
        <v/>
      </c>
      <c r="AB731" s="7" t="n"/>
      <c r="AE731">
        <f>IF($E731="","",IF($AQ731=1,0,IF($AP731=1,Settings!$C$6,Settings!$C$7))*100)</f>
        <v/>
      </c>
      <c r="AI731" s="7" t="n"/>
      <c r="AL731" s="11" t="n"/>
      <c r="AN731">
        <f>IF($E731="","",IF(COUNTIF($E$2:$E731,$E731)=1,1,0))</f>
        <v/>
      </c>
      <c r="AO731">
        <f>IF($AN731=1,SUMPRODUCT(--($AR$2:$AR$3001&lt;$AR731))+1,"")</f>
        <v/>
      </c>
      <c r="AP731">
        <f>IF($E731="","",IF(OR($U731=TRUE(),$U731="TRUE"),1,0))</f>
        <v/>
      </c>
      <c r="AQ731">
        <f>IF($E731="","",IF($AD731="Yes",1,0))</f>
        <v/>
      </c>
      <c r="AR731">
        <f>IF($AN731=1,IFERROR(VALUE(MID($E731,2,20)),1000000000)+ROW()/100000,"")</f>
        <v/>
      </c>
    </row>
    <row r="732">
      <c r="G732" s="11" t="n"/>
      <c r="Q732" s="7">
        <f>IF($E732="","",P732*AB732/100)</f>
        <v/>
      </c>
      <c r="R732" s="7" t="n"/>
      <c r="X732" s="7" t="n"/>
      <c r="Y732" s="7">
        <f>IF($E732="","",AB732*AE732/100)</f>
        <v/>
      </c>
      <c r="Z732" s="7">
        <f>IF($E732="","",AB732-Y732)</f>
        <v/>
      </c>
      <c r="AA732" s="7">
        <f>IF($E732="","",Z732-Q732)</f>
        <v/>
      </c>
      <c r="AB732" s="7" t="n"/>
      <c r="AE732">
        <f>IF($E732="","",IF($AQ732=1,0,IF($AP732=1,Settings!$C$6,Settings!$C$7))*100)</f>
        <v/>
      </c>
      <c r="AI732" s="7" t="n"/>
      <c r="AL732" s="11" t="n"/>
      <c r="AN732">
        <f>IF($E732="","",IF(COUNTIF($E$2:$E732,$E732)=1,1,0))</f>
        <v/>
      </c>
      <c r="AO732">
        <f>IF($AN732=1,SUMPRODUCT(--($AR$2:$AR$3001&lt;$AR732))+1,"")</f>
        <v/>
      </c>
      <c r="AP732">
        <f>IF($E732="","",IF(OR($U732=TRUE(),$U732="TRUE"),1,0))</f>
        <v/>
      </c>
      <c r="AQ732">
        <f>IF($E732="","",IF($AD732="Yes",1,0))</f>
        <v/>
      </c>
      <c r="AR732">
        <f>IF($AN732=1,IFERROR(VALUE(MID($E732,2,20)),1000000000)+ROW()/100000,"")</f>
        <v/>
      </c>
    </row>
    <row r="733">
      <c r="G733" s="11" t="n"/>
      <c r="Q733" s="7">
        <f>IF($E733="","",P733*AB733/100)</f>
        <v/>
      </c>
      <c r="R733" s="7" t="n"/>
      <c r="X733" s="7" t="n"/>
      <c r="Y733" s="7">
        <f>IF($E733="","",AB733*AE733/100)</f>
        <v/>
      </c>
      <c r="Z733" s="7">
        <f>IF($E733="","",AB733-Y733)</f>
        <v/>
      </c>
      <c r="AA733" s="7">
        <f>IF($E733="","",Z733-Q733)</f>
        <v/>
      </c>
      <c r="AB733" s="7" t="n"/>
      <c r="AE733">
        <f>IF($E733="","",IF($AQ733=1,0,IF($AP733=1,Settings!$C$6,Settings!$C$7))*100)</f>
        <v/>
      </c>
      <c r="AI733" s="7" t="n"/>
      <c r="AL733" s="11" t="n"/>
      <c r="AN733">
        <f>IF($E733="","",IF(COUNTIF($E$2:$E733,$E733)=1,1,0))</f>
        <v/>
      </c>
      <c r="AO733">
        <f>IF($AN733=1,SUMPRODUCT(--($AR$2:$AR$3001&lt;$AR733))+1,"")</f>
        <v/>
      </c>
      <c r="AP733">
        <f>IF($E733="","",IF(OR($U733=TRUE(),$U733="TRUE"),1,0))</f>
        <v/>
      </c>
      <c r="AQ733">
        <f>IF($E733="","",IF($AD733="Yes",1,0))</f>
        <v/>
      </c>
      <c r="AR733">
        <f>IF($AN733=1,IFERROR(VALUE(MID($E733,2,20)),1000000000)+ROW()/100000,"")</f>
        <v/>
      </c>
    </row>
    <row r="734">
      <c r="G734" s="11" t="n"/>
      <c r="Q734" s="7">
        <f>IF($E734="","",P734*AB734/100)</f>
        <v/>
      </c>
      <c r="R734" s="7" t="n"/>
      <c r="X734" s="7" t="n"/>
      <c r="Y734" s="7">
        <f>IF($E734="","",AB734*AE734/100)</f>
        <v/>
      </c>
      <c r="Z734" s="7">
        <f>IF($E734="","",AB734-Y734)</f>
        <v/>
      </c>
      <c r="AA734" s="7">
        <f>IF($E734="","",Z734-Q734)</f>
        <v/>
      </c>
      <c r="AB734" s="7" t="n"/>
      <c r="AE734">
        <f>IF($E734="","",IF($AQ734=1,0,IF($AP734=1,Settings!$C$6,Settings!$C$7))*100)</f>
        <v/>
      </c>
      <c r="AI734" s="7" t="n"/>
      <c r="AL734" s="11" t="n"/>
      <c r="AN734">
        <f>IF($E734="","",IF(COUNTIF($E$2:$E734,$E734)=1,1,0))</f>
        <v/>
      </c>
      <c r="AO734">
        <f>IF($AN734=1,SUMPRODUCT(--($AR$2:$AR$3001&lt;$AR734))+1,"")</f>
        <v/>
      </c>
      <c r="AP734">
        <f>IF($E734="","",IF(OR($U734=TRUE(),$U734="TRUE"),1,0))</f>
        <v/>
      </c>
      <c r="AQ734">
        <f>IF($E734="","",IF($AD734="Yes",1,0))</f>
        <v/>
      </c>
      <c r="AR734">
        <f>IF($AN734=1,IFERROR(VALUE(MID($E734,2,20)),1000000000)+ROW()/100000,"")</f>
        <v/>
      </c>
    </row>
    <row r="735">
      <c r="G735" s="11" t="n"/>
      <c r="Q735" s="7">
        <f>IF($E735="","",P735*AB735/100)</f>
        <v/>
      </c>
      <c r="R735" s="7" t="n"/>
      <c r="X735" s="7" t="n"/>
      <c r="Y735" s="7">
        <f>IF($E735="","",AB735*AE735/100)</f>
        <v/>
      </c>
      <c r="Z735" s="7">
        <f>IF($E735="","",AB735-Y735)</f>
        <v/>
      </c>
      <c r="AA735" s="7">
        <f>IF($E735="","",Z735-Q735)</f>
        <v/>
      </c>
      <c r="AB735" s="7" t="n"/>
      <c r="AE735">
        <f>IF($E735="","",IF($AQ735=1,0,IF($AP735=1,Settings!$C$6,Settings!$C$7))*100)</f>
        <v/>
      </c>
      <c r="AI735" s="7" t="n"/>
      <c r="AL735" s="11" t="n"/>
      <c r="AN735">
        <f>IF($E735="","",IF(COUNTIF($E$2:$E735,$E735)=1,1,0))</f>
        <v/>
      </c>
      <c r="AO735">
        <f>IF($AN735=1,SUMPRODUCT(--($AR$2:$AR$3001&lt;$AR735))+1,"")</f>
        <v/>
      </c>
      <c r="AP735">
        <f>IF($E735="","",IF(OR($U735=TRUE(),$U735="TRUE"),1,0))</f>
        <v/>
      </c>
      <c r="AQ735">
        <f>IF($E735="","",IF($AD735="Yes",1,0))</f>
        <v/>
      </c>
      <c r="AR735">
        <f>IF($AN735=1,IFERROR(VALUE(MID($E735,2,20)),1000000000)+ROW()/100000,"")</f>
        <v/>
      </c>
    </row>
    <row r="736">
      <c r="G736" s="11" t="n"/>
      <c r="Q736" s="7">
        <f>IF($E736="","",P736*AB736/100)</f>
        <v/>
      </c>
      <c r="R736" s="7" t="n"/>
      <c r="X736" s="7" t="n"/>
      <c r="Y736" s="7">
        <f>IF($E736="","",AB736*AE736/100)</f>
        <v/>
      </c>
      <c r="Z736" s="7">
        <f>IF($E736="","",AB736-Y736)</f>
        <v/>
      </c>
      <c r="AA736" s="7">
        <f>IF($E736="","",Z736-Q736)</f>
        <v/>
      </c>
      <c r="AB736" s="7" t="n"/>
      <c r="AE736">
        <f>IF($E736="","",IF($AQ736=1,0,IF($AP736=1,Settings!$C$6,Settings!$C$7))*100)</f>
        <v/>
      </c>
      <c r="AI736" s="7" t="n"/>
      <c r="AL736" s="11" t="n"/>
      <c r="AN736">
        <f>IF($E736="","",IF(COUNTIF($E$2:$E736,$E736)=1,1,0))</f>
        <v/>
      </c>
      <c r="AO736">
        <f>IF($AN736=1,SUMPRODUCT(--($AR$2:$AR$3001&lt;$AR736))+1,"")</f>
        <v/>
      </c>
      <c r="AP736">
        <f>IF($E736="","",IF(OR($U736=TRUE(),$U736="TRUE"),1,0))</f>
        <v/>
      </c>
      <c r="AQ736">
        <f>IF($E736="","",IF($AD736="Yes",1,0))</f>
        <v/>
      </c>
      <c r="AR736">
        <f>IF($AN736=1,IFERROR(VALUE(MID($E736,2,20)),1000000000)+ROW()/100000,"")</f>
        <v/>
      </c>
    </row>
    <row r="737">
      <c r="G737" s="11" t="n"/>
      <c r="Q737" s="7">
        <f>IF($E737="","",P737*AB737/100)</f>
        <v/>
      </c>
      <c r="R737" s="7" t="n"/>
      <c r="X737" s="7" t="n"/>
      <c r="Y737" s="7">
        <f>IF($E737="","",AB737*AE737/100)</f>
        <v/>
      </c>
      <c r="Z737" s="7">
        <f>IF($E737="","",AB737-Y737)</f>
        <v/>
      </c>
      <c r="AA737" s="7">
        <f>IF($E737="","",Z737-Q737)</f>
        <v/>
      </c>
      <c r="AB737" s="7" t="n"/>
      <c r="AE737">
        <f>IF($E737="","",IF($AQ737=1,0,IF($AP737=1,Settings!$C$6,Settings!$C$7))*100)</f>
        <v/>
      </c>
      <c r="AI737" s="7" t="n"/>
      <c r="AL737" s="11" t="n"/>
      <c r="AN737">
        <f>IF($E737="","",IF(COUNTIF($E$2:$E737,$E737)=1,1,0))</f>
        <v/>
      </c>
      <c r="AO737">
        <f>IF($AN737=1,SUMPRODUCT(--($AR$2:$AR$3001&lt;$AR737))+1,"")</f>
        <v/>
      </c>
      <c r="AP737">
        <f>IF($E737="","",IF(OR($U737=TRUE(),$U737="TRUE"),1,0))</f>
        <v/>
      </c>
      <c r="AQ737">
        <f>IF($E737="","",IF($AD737="Yes",1,0))</f>
        <v/>
      </c>
      <c r="AR737">
        <f>IF($AN737=1,IFERROR(VALUE(MID($E737,2,20)),1000000000)+ROW()/100000,"")</f>
        <v/>
      </c>
    </row>
    <row r="738">
      <c r="G738" s="11" t="n"/>
      <c r="Q738" s="7">
        <f>IF($E738="","",P738*AB738/100)</f>
        <v/>
      </c>
      <c r="R738" s="7" t="n"/>
      <c r="X738" s="7" t="n"/>
      <c r="Y738" s="7">
        <f>IF($E738="","",AB738*AE738/100)</f>
        <v/>
      </c>
      <c r="Z738" s="7">
        <f>IF($E738="","",AB738-Y738)</f>
        <v/>
      </c>
      <c r="AA738" s="7">
        <f>IF($E738="","",Z738-Q738)</f>
        <v/>
      </c>
      <c r="AB738" s="7" t="n"/>
      <c r="AE738">
        <f>IF($E738="","",IF($AQ738=1,0,IF($AP738=1,Settings!$C$6,Settings!$C$7))*100)</f>
        <v/>
      </c>
      <c r="AI738" s="7" t="n"/>
      <c r="AL738" s="11" t="n"/>
      <c r="AN738">
        <f>IF($E738="","",IF(COUNTIF($E$2:$E738,$E738)=1,1,0))</f>
        <v/>
      </c>
      <c r="AO738">
        <f>IF($AN738=1,SUMPRODUCT(--($AR$2:$AR$3001&lt;$AR738))+1,"")</f>
        <v/>
      </c>
      <c r="AP738">
        <f>IF($E738="","",IF(OR($U738=TRUE(),$U738="TRUE"),1,0))</f>
        <v/>
      </c>
      <c r="AQ738">
        <f>IF($E738="","",IF($AD738="Yes",1,0))</f>
        <v/>
      </c>
      <c r="AR738">
        <f>IF($AN738=1,IFERROR(VALUE(MID($E738,2,20)),1000000000)+ROW()/100000,"")</f>
        <v/>
      </c>
    </row>
    <row r="739">
      <c r="G739" s="11" t="n"/>
      <c r="Q739" s="7">
        <f>IF($E739="","",P739*AB739/100)</f>
        <v/>
      </c>
      <c r="R739" s="7" t="n"/>
      <c r="X739" s="7" t="n"/>
      <c r="Y739" s="7">
        <f>IF($E739="","",AB739*AE739/100)</f>
        <v/>
      </c>
      <c r="Z739" s="7">
        <f>IF($E739="","",AB739-Y739)</f>
        <v/>
      </c>
      <c r="AA739" s="7">
        <f>IF($E739="","",Z739-Q739)</f>
        <v/>
      </c>
      <c r="AB739" s="7" t="n"/>
      <c r="AE739">
        <f>IF($E739="","",IF($AQ739=1,0,IF($AP739=1,Settings!$C$6,Settings!$C$7))*100)</f>
        <v/>
      </c>
      <c r="AI739" s="7" t="n"/>
      <c r="AL739" s="11" t="n"/>
      <c r="AN739">
        <f>IF($E739="","",IF(COUNTIF($E$2:$E739,$E739)=1,1,0))</f>
        <v/>
      </c>
      <c r="AO739">
        <f>IF($AN739=1,SUMPRODUCT(--($AR$2:$AR$3001&lt;$AR739))+1,"")</f>
        <v/>
      </c>
      <c r="AP739">
        <f>IF($E739="","",IF(OR($U739=TRUE(),$U739="TRUE"),1,0))</f>
        <v/>
      </c>
      <c r="AQ739">
        <f>IF($E739="","",IF($AD739="Yes",1,0))</f>
        <v/>
      </c>
      <c r="AR739">
        <f>IF($AN739=1,IFERROR(VALUE(MID($E739,2,20)),1000000000)+ROW()/100000,"")</f>
        <v/>
      </c>
    </row>
    <row r="740">
      <c r="G740" s="11" t="n"/>
      <c r="Q740" s="7">
        <f>IF($E740="","",P740*AB740/100)</f>
        <v/>
      </c>
      <c r="R740" s="7" t="n"/>
      <c r="X740" s="7" t="n"/>
      <c r="Y740" s="7">
        <f>IF($E740="","",AB740*AE740/100)</f>
        <v/>
      </c>
      <c r="Z740" s="7">
        <f>IF($E740="","",AB740-Y740)</f>
        <v/>
      </c>
      <c r="AA740" s="7">
        <f>IF($E740="","",Z740-Q740)</f>
        <v/>
      </c>
      <c r="AB740" s="7" t="n"/>
      <c r="AE740">
        <f>IF($E740="","",IF($AQ740=1,0,IF($AP740=1,Settings!$C$6,Settings!$C$7))*100)</f>
        <v/>
      </c>
      <c r="AI740" s="7" t="n"/>
      <c r="AL740" s="11" t="n"/>
      <c r="AN740">
        <f>IF($E740="","",IF(COUNTIF($E$2:$E740,$E740)=1,1,0))</f>
        <v/>
      </c>
      <c r="AO740">
        <f>IF($AN740=1,SUMPRODUCT(--($AR$2:$AR$3001&lt;$AR740))+1,"")</f>
        <v/>
      </c>
      <c r="AP740">
        <f>IF($E740="","",IF(OR($U740=TRUE(),$U740="TRUE"),1,0))</f>
        <v/>
      </c>
      <c r="AQ740">
        <f>IF($E740="","",IF($AD740="Yes",1,0))</f>
        <v/>
      </c>
      <c r="AR740">
        <f>IF($AN740=1,IFERROR(VALUE(MID($E740,2,20)),1000000000)+ROW()/100000,"")</f>
        <v/>
      </c>
    </row>
    <row r="741">
      <c r="G741" s="11" t="n"/>
      <c r="Q741" s="7">
        <f>IF($E741="","",P741*AB741/100)</f>
        <v/>
      </c>
      <c r="R741" s="7" t="n"/>
      <c r="X741" s="7" t="n"/>
      <c r="Y741" s="7">
        <f>IF($E741="","",AB741*AE741/100)</f>
        <v/>
      </c>
      <c r="Z741" s="7">
        <f>IF($E741="","",AB741-Y741)</f>
        <v/>
      </c>
      <c r="AA741" s="7">
        <f>IF($E741="","",Z741-Q741)</f>
        <v/>
      </c>
      <c r="AB741" s="7" t="n"/>
      <c r="AE741">
        <f>IF($E741="","",IF($AQ741=1,0,IF($AP741=1,Settings!$C$6,Settings!$C$7))*100)</f>
        <v/>
      </c>
      <c r="AI741" s="7" t="n"/>
      <c r="AL741" s="11" t="n"/>
      <c r="AN741">
        <f>IF($E741="","",IF(COUNTIF($E$2:$E741,$E741)=1,1,0))</f>
        <v/>
      </c>
      <c r="AO741">
        <f>IF($AN741=1,SUMPRODUCT(--($AR$2:$AR$3001&lt;$AR741))+1,"")</f>
        <v/>
      </c>
      <c r="AP741">
        <f>IF($E741="","",IF(OR($U741=TRUE(),$U741="TRUE"),1,0))</f>
        <v/>
      </c>
      <c r="AQ741">
        <f>IF($E741="","",IF($AD741="Yes",1,0))</f>
        <v/>
      </c>
      <c r="AR741">
        <f>IF($AN741=1,IFERROR(VALUE(MID($E741,2,20)),1000000000)+ROW()/100000,"")</f>
        <v/>
      </c>
    </row>
    <row r="742">
      <c r="G742" s="11" t="n"/>
      <c r="Q742" s="7">
        <f>IF($E742="","",P742*AB742/100)</f>
        <v/>
      </c>
      <c r="R742" s="7" t="n"/>
      <c r="X742" s="7" t="n"/>
      <c r="Y742" s="7">
        <f>IF($E742="","",AB742*AE742/100)</f>
        <v/>
      </c>
      <c r="Z742" s="7">
        <f>IF($E742="","",AB742-Y742)</f>
        <v/>
      </c>
      <c r="AA742" s="7">
        <f>IF($E742="","",Z742-Q742)</f>
        <v/>
      </c>
      <c r="AB742" s="7" t="n"/>
      <c r="AE742">
        <f>IF($E742="","",IF($AQ742=1,0,IF($AP742=1,Settings!$C$6,Settings!$C$7))*100)</f>
        <v/>
      </c>
      <c r="AI742" s="7" t="n"/>
      <c r="AL742" s="11" t="n"/>
      <c r="AN742">
        <f>IF($E742="","",IF(COUNTIF($E$2:$E742,$E742)=1,1,0))</f>
        <v/>
      </c>
      <c r="AO742">
        <f>IF($AN742=1,SUMPRODUCT(--($AR$2:$AR$3001&lt;$AR742))+1,"")</f>
        <v/>
      </c>
      <c r="AP742">
        <f>IF($E742="","",IF(OR($U742=TRUE(),$U742="TRUE"),1,0))</f>
        <v/>
      </c>
      <c r="AQ742">
        <f>IF($E742="","",IF($AD742="Yes",1,0))</f>
        <v/>
      </c>
      <c r="AR742">
        <f>IF($AN742=1,IFERROR(VALUE(MID($E742,2,20)),1000000000)+ROW()/100000,"")</f>
        <v/>
      </c>
    </row>
    <row r="743">
      <c r="G743" s="11" t="n"/>
      <c r="Q743" s="7">
        <f>IF($E743="","",P743*AB743/100)</f>
        <v/>
      </c>
      <c r="R743" s="7" t="n"/>
      <c r="X743" s="7" t="n"/>
      <c r="Y743" s="7">
        <f>IF($E743="","",AB743*AE743/100)</f>
        <v/>
      </c>
      <c r="Z743" s="7">
        <f>IF($E743="","",AB743-Y743)</f>
        <v/>
      </c>
      <c r="AA743" s="7">
        <f>IF($E743="","",Z743-Q743)</f>
        <v/>
      </c>
      <c r="AB743" s="7" t="n"/>
      <c r="AE743">
        <f>IF($E743="","",IF($AQ743=1,0,IF($AP743=1,Settings!$C$6,Settings!$C$7))*100)</f>
        <v/>
      </c>
      <c r="AI743" s="7" t="n"/>
      <c r="AL743" s="11" t="n"/>
      <c r="AN743">
        <f>IF($E743="","",IF(COUNTIF($E$2:$E743,$E743)=1,1,0))</f>
        <v/>
      </c>
      <c r="AO743">
        <f>IF($AN743=1,SUMPRODUCT(--($AR$2:$AR$3001&lt;$AR743))+1,"")</f>
        <v/>
      </c>
      <c r="AP743">
        <f>IF($E743="","",IF(OR($U743=TRUE(),$U743="TRUE"),1,0))</f>
        <v/>
      </c>
      <c r="AQ743">
        <f>IF($E743="","",IF($AD743="Yes",1,0))</f>
        <v/>
      </c>
      <c r="AR743">
        <f>IF($AN743=1,IFERROR(VALUE(MID($E743,2,20)),1000000000)+ROW()/100000,"")</f>
        <v/>
      </c>
    </row>
    <row r="744">
      <c r="G744" s="11" t="n"/>
      <c r="Q744" s="7">
        <f>IF($E744="","",P744*AB744/100)</f>
        <v/>
      </c>
      <c r="R744" s="7" t="n"/>
      <c r="X744" s="7" t="n"/>
      <c r="Y744" s="7">
        <f>IF($E744="","",AB744*AE744/100)</f>
        <v/>
      </c>
      <c r="Z744" s="7">
        <f>IF($E744="","",AB744-Y744)</f>
        <v/>
      </c>
      <c r="AA744" s="7">
        <f>IF($E744="","",Z744-Q744)</f>
        <v/>
      </c>
      <c r="AB744" s="7" t="n"/>
      <c r="AE744">
        <f>IF($E744="","",IF($AQ744=1,0,IF($AP744=1,Settings!$C$6,Settings!$C$7))*100)</f>
        <v/>
      </c>
      <c r="AI744" s="7" t="n"/>
      <c r="AL744" s="11" t="n"/>
      <c r="AN744">
        <f>IF($E744="","",IF(COUNTIF($E$2:$E744,$E744)=1,1,0))</f>
        <v/>
      </c>
      <c r="AO744">
        <f>IF($AN744=1,SUMPRODUCT(--($AR$2:$AR$3001&lt;$AR744))+1,"")</f>
        <v/>
      </c>
      <c r="AP744">
        <f>IF($E744="","",IF(OR($U744=TRUE(),$U744="TRUE"),1,0))</f>
        <v/>
      </c>
      <c r="AQ744">
        <f>IF($E744="","",IF($AD744="Yes",1,0))</f>
        <v/>
      </c>
      <c r="AR744">
        <f>IF($AN744=1,IFERROR(VALUE(MID($E744,2,20)),1000000000)+ROW()/100000,"")</f>
        <v/>
      </c>
    </row>
    <row r="745">
      <c r="G745" s="11" t="n"/>
      <c r="Q745" s="7">
        <f>IF($E745="","",P745*AB745/100)</f>
        <v/>
      </c>
      <c r="R745" s="7" t="n"/>
      <c r="X745" s="7" t="n"/>
      <c r="Y745" s="7">
        <f>IF($E745="","",AB745*AE745/100)</f>
        <v/>
      </c>
      <c r="Z745" s="7">
        <f>IF($E745="","",AB745-Y745)</f>
        <v/>
      </c>
      <c r="AA745" s="7">
        <f>IF($E745="","",Z745-Q745)</f>
        <v/>
      </c>
      <c r="AB745" s="7" t="n"/>
      <c r="AE745">
        <f>IF($E745="","",IF($AQ745=1,0,IF($AP745=1,Settings!$C$6,Settings!$C$7))*100)</f>
        <v/>
      </c>
      <c r="AI745" s="7" t="n"/>
      <c r="AL745" s="11" t="n"/>
      <c r="AN745">
        <f>IF($E745="","",IF(COUNTIF($E$2:$E745,$E745)=1,1,0))</f>
        <v/>
      </c>
      <c r="AO745">
        <f>IF($AN745=1,SUMPRODUCT(--($AR$2:$AR$3001&lt;$AR745))+1,"")</f>
        <v/>
      </c>
      <c r="AP745">
        <f>IF($E745="","",IF(OR($U745=TRUE(),$U745="TRUE"),1,0))</f>
        <v/>
      </c>
      <c r="AQ745">
        <f>IF($E745="","",IF($AD745="Yes",1,0))</f>
        <v/>
      </c>
      <c r="AR745">
        <f>IF($AN745=1,IFERROR(VALUE(MID($E745,2,20)),1000000000)+ROW()/100000,"")</f>
        <v/>
      </c>
    </row>
    <row r="746">
      <c r="G746" s="11" t="n"/>
      <c r="Q746" s="7">
        <f>IF($E746="","",P746*AB746/100)</f>
        <v/>
      </c>
      <c r="R746" s="7" t="n"/>
      <c r="X746" s="7" t="n"/>
      <c r="Y746" s="7">
        <f>IF($E746="","",AB746*AE746/100)</f>
        <v/>
      </c>
      <c r="Z746" s="7">
        <f>IF($E746="","",AB746-Y746)</f>
        <v/>
      </c>
      <c r="AA746" s="7">
        <f>IF($E746="","",Z746-Q746)</f>
        <v/>
      </c>
      <c r="AB746" s="7" t="n"/>
      <c r="AE746">
        <f>IF($E746="","",IF($AQ746=1,0,IF($AP746=1,Settings!$C$6,Settings!$C$7))*100)</f>
        <v/>
      </c>
      <c r="AI746" s="7" t="n"/>
      <c r="AL746" s="11" t="n"/>
      <c r="AN746">
        <f>IF($E746="","",IF(COUNTIF($E$2:$E746,$E746)=1,1,0))</f>
        <v/>
      </c>
      <c r="AO746">
        <f>IF($AN746=1,SUMPRODUCT(--($AR$2:$AR$3001&lt;$AR746))+1,"")</f>
        <v/>
      </c>
      <c r="AP746">
        <f>IF($E746="","",IF(OR($U746=TRUE(),$U746="TRUE"),1,0))</f>
        <v/>
      </c>
      <c r="AQ746">
        <f>IF($E746="","",IF($AD746="Yes",1,0))</f>
        <v/>
      </c>
      <c r="AR746">
        <f>IF($AN746=1,IFERROR(VALUE(MID($E746,2,20)),1000000000)+ROW()/100000,"")</f>
        <v/>
      </c>
    </row>
    <row r="747">
      <c r="G747" s="11" t="n"/>
      <c r="Q747" s="7">
        <f>IF($E747="","",P747*AB747/100)</f>
        <v/>
      </c>
      <c r="R747" s="7" t="n"/>
      <c r="X747" s="7" t="n"/>
      <c r="Y747" s="7">
        <f>IF($E747="","",AB747*AE747/100)</f>
        <v/>
      </c>
      <c r="Z747" s="7">
        <f>IF($E747="","",AB747-Y747)</f>
        <v/>
      </c>
      <c r="AA747" s="7">
        <f>IF($E747="","",Z747-Q747)</f>
        <v/>
      </c>
      <c r="AB747" s="7" t="n"/>
      <c r="AE747">
        <f>IF($E747="","",IF($AQ747=1,0,IF($AP747=1,Settings!$C$6,Settings!$C$7))*100)</f>
        <v/>
      </c>
      <c r="AI747" s="7" t="n"/>
      <c r="AL747" s="11" t="n"/>
      <c r="AN747">
        <f>IF($E747="","",IF(COUNTIF($E$2:$E747,$E747)=1,1,0))</f>
        <v/>
      </c>
      <c r="AO747">
        <f>IF($AN747=1,SUMPRODUCT(--($AR$2:$AR$3001&lt;$AR747))+1,"")</f>
        <v/>
      </c>
      <c r="AP747">
        <f>IF($E747="","",IF(OR($U747=TRUE(),$U747="TRUE"),1,0))</f>
        <v/>
      </c>
      <c r="AQ747">
        <f>IF($E747="","",IF($AD747="Yes",1,0))</f>
        <v/>
      </c>
      <c r="AR747">
        <f>IF($AN747=1,IFERROR(VALUE(MID($E747,2,20)),1000000000)+ROW()/100000,"")</f>
        <v/>
      </c>
    </row>
    <row r="748">
      <c r="G748" s="11" t="n"/>
      <c r="Q748" s="7">
        <f>IF($E748="","",P748*AB748/100)</f>
        <v/>
      </c>
      <c r="R748" s="7" t="n"/>
      <c r="X748" s="7" t="n"/>
      <c r="Y748" s="7">
        <f>IF($E748="","",AB748*AE748/100)</f>
        <v/>
      </c>
      <c r="Z748" s="7">
        <f>IF($E748="","",AB748-Y748)</f>
        <v/>
      </c>
      <c r="AA748" s="7">
        <f>IF($E748="","",Z748-Q748)</f>
        <v/>
      </c>
      <c r="AB748" s="7" t="n"/>
      <c r="AE748">
        <f>IF($E748="","",IF($AQ748=1,0,IF($AP748=1,Settings!$C$6,Settings!$C$7))*100)</f>
        <v/>
      </c>
      <c r="AI748" s="7" t="n"/>
      <c r="AL748" s="11" t="n"/>
      <c r="AN748">
        <f>IF($E748="","",IF(COUNTIF($E$2:$E748,$E748)=1,1,0))</f>
        <v/>
      </c>
      <c r="AO748">
        <f>IF($AN748=1,SUMPRODUCT(--($AR$2:$AR$3001&lt;$AR748))+1,"")</f>
        <v/>
      </c>
      <c r="AP748">
        <f>IF($E748="","",IF(OR($U748=TRUE(),$U748="TRUE"),1,0))</f>
        <v/>
      </c>
      <c r="AQ748">
        <f>IF($E748="","",IF($AD748="Yes",1,0))</f>
        <v/>
      </c>
      <c r="AR748">
        <f>IF($AN748=1,IFERROR(VALUE(MID($E748,2,20)),1000000000)+ROW()/100000,"")</f>
        <v/>
      </c>
    </row>
    <row r="749">
      <c r="G749" s="11" t="n"/>
      <c r="Q749" s="7">
        <f>IF($E749="","",P749*AB749/100)</f>
        <v/>
      </c>
      <c r="R749" s="7" t="n"/>
      <c r="X749" s="7" t="n"/>
      <c r="Y749" s="7">
        <f>IF($E749="","",AB749*AE749/100)</f>
        <v/>
      </c>
      <c r="Z749" s="7">
        <f>IF($E749="","",AB749-Y749)</f>
        <v/>
      </c>
      <c r="AA749" s="7">
        <f>IF($E749="","",Z749-Q749)</f>
        <v/>
      </c>
      <c r="AB749" s="7" t="n"/>
      <c r="AE749">
        <f>IF($E749="","",IF($AQ749=1,0,IF($AP749=1,Settings!$C$6,Settings!$C$7))*100)</f>
        <v/>
      </c>
      <c r="AI749" s="7" t="n"/>
      <c r="AL749" s="11" t="n"/>
      <c r="AN749">
        <f>IF($E749="","",IF(COUNTIF($E$2:$E749,$E749)=1,1,0))</f>
        <v/>
      </c>
      <c r="AO749">
        <f>IF($AN749=1,SUMPRODUCT(--($AR$2:$AR$3001&lt;$AR749))+1,"")</f>
        <v/>
      </c>
      <c r="AP749">
        <f>IF($E749="","",IF(OR($U749=TRUE(),$U749="TRUE"),1,0))</f>
        <v/>
      </c>
      <c r="AQ749">
        <f>IF($E749="","",IF($AD749="Yes",1,0))</f>
        <v/>
      </c>
      <c r="AR749">
        <f>IF($AN749=1,IFERROR(VALUE(MID($E749,2,20)),1000000000)+ROW()/100000,"")</f>
        <v/>
      </c>
    </row>
    <row r="750">
      <c r="G750" s="11" t="n"/>
      <c r="Q750" s="7">
        <f>IF($E750="","",P750*AB750/100)</f>
        <v/>
      </c>
      <c r="R750" s="7" t="n"/>
      <c r="X750" s="7" t="n"/>
      <c r="Y750" s="7">
        <f>IF($E750="","",AB750*AE750/100)</f>
        <v/>
      </c>
      <c r="Z750" s="7">
        <f>IF($E750="","",AB750-Y750)</f>
        <v/>
      </c>
      <c r="AA750" s="7">
        <f>IF($E750="","",Z750-Q750)</f>
        <v/>
      </c>
      <c r="AB750" s="7" t="n"/>
      <c r="AE750">
        <f>IF($E750="","",IF($AQ750=1,0,IF($AP750=1,Settings!$C$6,Settings!$C$7))*100)</f>
        <v/>
      </c>
      <c r="AI750" s="7" t="n"/>
      <c r="AL750" s="11" t="n"/>
      <c r="AN750">
        <f>IF($E750="","",IF(COUNTIF($E$2:$E750,$E750)=1,1,0))</f>
        <v/>
      </c>
      <c r="AO750">
        <f>IF($AN750=1,SUMPRODUCT(--($AR$2:$AR$3001&lt;$AR750))+1,"")</f>
        <v/>
      </c>
      <c r="AP750">
        <f>IF($E750="","",IF(OR($U750=TRUE(),$U750="TRUE"),1,0))</f>
        <v/>
      </c>
      <c r="AQ750">
        <f>IF($E750="","",IF($AD750="Yes",1,0))</f>
        <v/>
      </c>
      <c r="AR750">
        <f>IF($AN750=1,IFERROR(VALUE(MID($E750,2,20)),1000000000)+ROW()/100000,"")</f>
        <v/>
      </c>
    </row>
    <row r="751">
      <c r="G751" s="11" t="n"/>
      <c r="Q751" s="7">
        <f>IF($E751="","",P751*AB751/100)</f>
        <v/>
      </c>
      <c r="R751" s="7" t="n"/>
      <c r="X751" s="7" t="n"/>
      <c r="Y751" s="7">
        <f>IF($E751="","",AB751*AE751/100)</f>
        <v/>
      </c>
      <c r="Z751" s="7">
        <f>IF($E751="","",AB751-Y751)</f>
        <v/>
      </c>
      <c r="AA751" s="7">
        <f>IF($E751="","",Z751-Q751)</f>
        <v/>
      </c>
      <c r="AB751" s="7" t="n"/>
      <c r="AE751">
        <f>IF($E751="","",IF($AQ751=1,0,IF($AP751=1,Settings!$C$6,Settings!$C$7))*100)</f>
        <v/>
      </c>
      <c r="AI751" s="7" t="n"/>
      <c r="AL751" s="11" t="n"/>
      <c r="AN751">
        <f>IF($E751="","",IF(COUNTIF($E$2:$E751,$E751)=1,1,0))</f>
        <v/>
      </c>
      <c r="AO751">
        <f>IF($AN751=1,SUMPRODUCT(--($AR$2:$AR$3001&lt;$AR751))+1,"")</f>
        <v/>
      </c>
      <c r="AP751">
        <f>IF($E751="","",IF(OR($U751=TRUE(),$U751="TRUE"),1,0))</f>
        <v/>
      </c>
      <c r="AQ751">
        <f>IF($E751="","",IF($AD751="Yes",1,0))</f>
        <v/>
      </c>
      <c r="AR751">
        <f>IF($AN751=1,IFERROR(VALUE(MID($E751,2,20)),1000000000)+ROW()/100000,"")</f>
        <v/>
      </c>
    </row>
    <row r="752">
      <c r="G752" s="11" t="n"/>
      <c r="Q752" s="7">
        <f>IF($E752="","",P752*AB752/100)</f>
        <v/>
      </c>
      <c r="R752" s="7" t="n"/>
      <c r="X752" s="7" t="n"/>
      <c r="Y752" s="7">
        <f>IF($E752="","",AB752*AE752/100)</f>
        <v/>
      </c>
      <c r="Z752" s="7">
        <f>IF($E752="","",AB752-Y752)</f>
        <v/>
      </c>
      <c r="AA752" s="7">
        <f>IF($E752="","",Z752-Q752)</f>
        <v/>
      </c>
      <c r="AB752" s="7" t="n"/>
      <c r="AE752">
        <f>IF($E752="","",IF($AQ752=1,0,IF($AP752=1,Settings!$C$6,Settings!$C$7))*100)</f>
        <v/>
      </c>
      <c r="AI752" s="7" t="n"/>
      <c r="AL752" s="11" t="n"/>
      <c r="AN752">
        <f>IF($E752="","",IF(COUNTIF($E$2:$E752,$E752)=1,1,0))</f>
        <v/>
      </c>
      <c r="AO752">
        <f>IF($AN752=1,SUMPRODUCT(--($AR$2:$AR$3001&lt;$AR752))+1,"")</f>
        <v/>
      </c>
      <c r="AP752">
        <f>IF($E752="","",IF(OR($U752=TRUE(),$U752="TRUE"),1,0))</f>
        <v/>
      </c>
      <c r="AQ752">
        <f>IF($E752="","",IF($AD752="Yes",1,0))</f>
        <v/>
      </c>
      <c r="AR752">
        <f>IF($AN752=1,IFERROR(VALUE(MID($E752,2,20)),1000000000)+ROW()/100000,"")</f>
        <v/>
      </c>
    </row>
    <row r="753">
      <c r="G753" s="11" t="n"/>
      <c r="Q753" s="7">
        <f>IF($E753="","",P753*AB753/100)</f>
        <v/>
      </c>
      <c r="R753" s="7" t="n"/>
      <c r="X753" s="7" t="n"/>
      <c r="Y753" s="7">
        <f>IF($E753="","",AB753*AE753/100)</f>
        <v/>
      </c>
      <c r="Z753" s="7">
        <f>IF($E753="","",AB753-Y753)</f>
        <v/>
      </c>
      <c r="AA753" s="7">
        <f>IF($E753="","",Z753-Q753)</f>
        <v/>
      </c>
      <c r="AB753" s="7" t="n"/>
      <c r="AE753">
        <f>IF($E753="","",IF($AQ753=1,0,IF($AP753=1,Settings!$C$6,Settings!$C$7))*100)</f>
        <v/>
      </c>
      <c r="AI753" s="7" t="n"/>
      <c r="AL753" s="11" t="n"/>
      <c r="AN753">
        <f>IF($E753="","",IF(COUNTIF($E$2:$E753,$E753)=1,1,0))</f>
        <v/>
      </c>
      <c r="AO753">
        <f>IF($AN753=1,SUMPRODUCT(--($AR$2:$AR$3001&lt;$AR753))+1,"")</f>
        <v/>
      </c>
      <c r="AP753">
        <f>IF($E753="","",IF(OR($U753=TRUE(),$U753="TRUE"),1,0))</f>
        <v/>
      </c>
      <c r="AQ753">
        <f>IF($E753="","",IF($AD753="Yes",1,0))</f>
        <v/>
      </c>
      <c r="AR753">
        <f>IF($AN753=1,IFERROR(VALUE(MID($E753,2,20)),1000000000)+ROW()/100000,"")</f>
        <v/>
      </c>
    </row>
    <row r="754">
      <c r="G754" s="11" t="n"/>
      <c r="Q754" s="7">
        <f>IF($E754="","",P754*AB754/100)</f>
        <v/>
      </c>
      <c r="R754" s="7" t="n"/>
      <c r="X754" s="7" t="n"/>
      <c r="Y754" s="7">
        <f>IF($E754="","",AB754*AE754/100)</f>
        <v/>
      </c>
      <c r="Z754" s="7">
        <f>IF($E754="","",AB754-Y754)</f>
        <v/>
      </c>
      <c r="AA754" s="7">
        <f>IF($E754="","",Z754-Q754)</f>
        <v/>
      </c>
      <c r="AB754" s="7" t="n"/>
      <c r="AE754">
        <f>IF($E754="","",IF($AQ754=1,0,IF($AP754=1,Settings!$C$6,Settings!$C$7))*100)</f>
        <v/>
      </c>
      <c r="AI754" s="7" t="n"/>
      <c r="AL754" s="11" t="n"/>
      <c r="AN754">
        <f>IF($E754="","",IF(COUNTIF($E$2:$E754,$E754)=1,1,0))</f>
        <v/>
      </c>
      <c r="AO754">
        <f>IF($AN754=1,SUMPRODUCT(--($AR$2:$AR$3001&lt;$AR754))+1,"")</f>
        <v/>
      </c>
      <c r="AP754">
        <f>IF($E754="","",IF(OR($U754=TRUE(),$U754="TRUE"),1,0))</f>
        <v/>
      </c>
      <c r="AQ754">
        <f>IF($E754="","",IF($AD754="Yes",1,0))</f>
        <v/>
      </c>
      <c r="AR754">
        <f>IF($AN754=1,IFERROR(VALUE(MID($E754,2,20)),1000000000)+ROW()/100000,"")</f>
        <v/>
      </c>
    </row>
    <row r="755">
      <c r="G755" s="11" t="n"/>
      <c r="Q755" s="7">
        <f>IF($E755="","",P755*AB755/100)</f>
        <v/>
      </c>
      <c r="R755" s="7" t="n"/>
      <c r="X755" s="7" t="n"/>
      <c r="Y755" s="7">
        <f>IF($E755="","",AB755*AE755/100)</f>
        <v/>
      </c>
      <c r="Z755" s="7">
        <f>IF($E755="","",AB755-Y755)</f>
        <v/>
      </c>
      <c r="AA755" s="7">
        <f>IF($E755="","",Z755-Q755)</f>
        <v/>
      </c>
      <c r="AB755" s="7" t="n"/>
      <c r="AE755">
        <f>IF($E755="","",IF($AQ755=1,0,IF($AP755=1,Settings!$C$6,Settings!$C$7))*100)</f>
        <v/>
      </c>
      <c r="AI755" s="7" t="n"/>
      <c r="AL755" s="11" t="n"/>
      <c r="AN755">
        <f>IF($E755="","",IF(COUNTIF($E$2:$E755,$E755)=1,1,0))</f>
        <v/>
      </c>
      <c r="AO755">
        <f>IF($AN755=1,SUMPRODUCT(--($AR$2:$AR$3001&lt;$AR755))+1,"")</f>
        <v/>
      </c>
      <c r="AP755">
        <f>IF($E755="","",IF(OR($U755=TRUE(),$U755="TRUE"),1,0))</f>
        <v/>
      </c>
      <c r="AQ755">
        <f>IF($E755="","",IF($AD755="Yes",1,0))</f>
        <v/>
      </c>
      <c r="AR755">
        <f>IF($AN755=1,IFERROR(VALUE(MID($E755,2,20)),1000000000)+ROW()/100000,"")</f>
        <v/>
      </c>
    </row>
    <row r="756">
      <c r="G756" s="11" t="n"/>
      <c r="Q756" s="7">
        <f>IF($E756="","",P756*AB756/100)</f>
        <v/>
      </c>
      <c r="R756" s="7" t="n"/>
      <c r="X756" s="7" t="n"/>
      <c r="Y756" s="7">
        <f>IF($E756="","",AB756*AE756/100)</f>
        <v/>
      </c>
      <c r="Z756" s="7">
        <f>IF($E756="","",AB756-Y756)</f>
        <v/>
      </c>
      <c r="AA756" s="7">
        <f>IF($E756="","",Z756-Q756)</f>
        <v/>
      </c>
      <c r="AB756" s="7" t="n"/>
      <c r="AE756">
        <f>IF($E756="","",IF($AQ756=1,0,IF($AP756=1,Settings!$C$6,Settings!$C$7))*100)</f>
        <v/>
      </c>
      <c r="AI756" s="7" t="n"/>
      <c r="AL756" s="11" t="n"/>
      <c r="AN756">
        <f>IF($E756="","",IF(COUNTIF($E$2:$E756,$E756)=1,1,0))</f>
        <v/>
      </c>
      <c r="AO756">
        <f>IF($AN756=1,SUMPRODUCT(--($AR$2:$AR$3001&lt;$AR756))+1,"")</f>
        <v/>
      </c>
      <c r="AP756">
        <f>IF($E756="","",IF(OR($U756=TRUE(),$U756="TRUE"),1,0))</f>
        <v/>
      </c>
      <c r="AQ756">
        <f>IF($E756="","",IF($AD756="Yes",1,0))</f>
        <v/>
      </c>
      <c r="AR756">
        <f>IF($AN756=1,IFERROR(VALUE(MID($E756,2,20)),1000000000)+ROW()/100000,"")</f>
        <v/>
      </c>
    </row>
    <row r="757">
      <c r="G757" s="11" t="n"/>
      <c r="Q757" s="7">
        <f>IF($E757="","",P757*AB757/100)</f>
        <v/>
      </c>
      <c r="R757" s="7" t="n"/>
      <c r="X757" s="7" t="n"/>
      <c r="Y757" s="7">
        <f>IF($E757="","",AB757*AE757/100)</f>
        <v/>
      </c>
      <c r="Z757" s="7">
        <f>IF($E757="","",AB757-Y757)</f>
        <v/>
      </c>
      <c r="AA757" s="7">
        <f>IF($E757="","",Z757-Q757)</f>
        <v/>
      </c>
      <c r="AB757" s="7" t="n"/>
      <c r="AE757">
        <f>IF($E757="","",IF($AQ757=1,0,IF($AP757=1,Settings!$C$6,Settings!$C$7))*100)</f>
        <v/>
      </c>
      <c r="AI757" s="7" t="n"/>
      <c r="AL757" s="11" t="n"/>
      <c r="AN757">
        <f>IF($E757="","",IF(COUNTIF($E$2:$E757,$E757)=1,1,0))</f>
        <v/>
      </c>
      <c r="AO757">
        <f>IF($AN757=1,SUMPRODUCT(--($AR$2:$AR$3001&lt;$AR757))+1,"")</f>
        <v/>
      </c>
      <c r="AP757">
        <f>IF($E757="","",IF(OR($U757=TRUE(),$U757="TRUE"),1,0))</f>
        <v/>
      </c>
      <c r="AQ757">
        <f>IF($E757="","",IF($AD757="Yes",1,0))</f>
        <v/>
      </c>
      <c r="AR757">
        <f>IF($AN757=1,IFERROR(VALUE(MID($E757,2,20)),1000000000)+ROW()/100000,"")</f>
        <v/>
      </c>
    </row>
    <row r="758">
      <c r="G758" s="11" t="n"/>
      <c r="Q758" s="7">
        <f>IF($E758="","",P758*AB758/100)</f>
        <v/>
      </c>
      <c r="R758" s="7" t="n"/>
      <c r="X758" s="7" t="n"/>
      <c r="Y758" s="7">
        <f>IF($E758="","",AB758*AE758/100)</f>
        <v/>
      </c>
      <c r="Z758" s="7">
        <f>IF($E758="","",AB758-Y758)</f>
        <v/>
      </c>
      <c r="AA758" s="7">
        <f>IF($E758="","",Z758-Q758)</f>
        <v/>
      </c>
      <c r="AB758" s="7" t="n"/>
      <c r="AE758">
        <f>IF($E758="","",IF($AQ758=1,0,IF($AP758=1,Settings!$C$6,Settings!$C$7))*100)</f>
        <v/>
      </c>
      <c r="AI758" s="7" t="n"/>
      <c r="AL758" s="11" t="n"/>
      <c r="AN758">
        <f>IF($E758="","",IF(COUNTIF($E$2:$E758,$E758)=1,1,0))</f>
        <v/>
      </c>
      <c r="AO758">
        <f>IF($AN758=1,SUMPRODUCT(--($AR$2:$AR$3001&lt;$AR758))+1,"")</f>
        <v/>
      </c>
      <c r="AP758">
        <f>IF($E758="","",IF(OR($U758=TRUE(),$U758="TRUE"),1,0))</f>
        <v/>
      </c>
      <c r="AQ758">
        <f>IF($E758="","",IF($AD758="Yes",1,0))</f>
        <v/>
      </c>
      <c r="AR758">
        <f>IF($AN758=1,IFERROR(VALUE(MID($E758,2,20)),1000000000)+ROW()/100000,"")</f>
        <v/>
      </c>
    </row>
    <row r="759">
      <c r="G759" s="11" t="n"/>
      <c r="Q759" s="7">
        <f>IF($E759="","",P759*AB759/100)</f>
        <v/>
      </c>
      <c r="R759" s="7" t="n"/>
      <c r="X759" s="7" t="n"/>
      <c r="Y759" s="7">
        <f>IF($E759="","",AB759*AE759/100)</f>
        <v/>
      </c>
      <c r="Z759" s="7">
        <f>IF($E759="","",AB759-Y759)</f>
        <v/>
      </c>
      <c r="AA759" s="7">
        <f>IF($E759="","",Z759-Q759)</f>
        <v/>
      </c>
      <c r="AB759" s="7" t="n"/>
      <c r="AE759">
        <f>IF($E759="","",IF($AQ759=1,0,IF($AP759=1,Settings!$C$6,Settings!$C$7))*100)</f>
        <v/>
      </c>
      <c r="AI759" s="7" t="n"/>
      <c r="AL759" s="11" t="n"/>
      <c r="AN759">
        <f>IF($E759="","",IF(COUNTIF($E$2:$E759,$E759)=1,1,0))</f>
        <v/>
      </c>
      <c r="AO759">
        <f>IF($AN759=1,SUMPRODUCT(--($AR$2:$AR$3001&lt;$AR759))+1,"")</f>
        <v/>
      </c>
      <c r="AP759">
        <f>IF($E759="","",IF(OR($U759=TRUE(),$U759="TRUE"),1,0))</f>
        <v/>
      </c>
      <c r="AQ759">
        <f>IF($E759="","",IF($AD759="Yes",1,0))</f>
        <v/>
      </c>
      <c r="AR759">
        <f>IF($AN759=1,IFERROR(VALUE(MID($E759,2,20)),1000000000)+ROW()/100000,"")</f>
        <v/>
      </c>
    </row>
    <row r="760">
      <c r="G760" s="11" t="n"/>
      <c r="Q760" s="7">
        <f>IF($E760="","",P760*AB760/100)</f>
        <v/>
      </c>
      <c r="R760" s="7" t="n"/>
      <c r="X760" s="7" t="n"/>
      <c r="Y760" s="7">
        <f>IF($E760="","",AB760*AE760/100)</f>
        <v/>
      </c>
      <c r="Z760" s="7">
        <f>IF($E760="","",AB760-Y760)</f>
        <v/>
      </c>
      <c r="AA760" s="7">
        <f>IF($E760="","",Z760-Q760)</f>
        <v/>
      </c>
      <c r="AB760" s="7" t="n"/>
      <c r="AE760">
        <f>IF($E760="","",IF($AQ760=1,0,IF($AP760=1,Settings!$C$6,Settings!$C$7))*100)</f>
        <v/>
      </c>
      <c r="AI760" s="7" t="n"/>
      <c r="AL760" s="11" t="n"/>
      <c r="AN760">
        <f>IF($E760="","",IF(COUNTIF($E$2:$E760,$E760)=1,1,0))</f>
        <v/>
      </c>
      <c r="AO760">
        <f>IF($AN760=1,SUMPRODUCT(--($AR$2:$AR$3001&lt;$AR760))+1,"")</f>
        <v/>
      </c>
      <c r="AP760">
        <f>IF($E760="","",IF(OR($U760=TRUE(),$U760="TRUE"),1,0))</f>
        <v/>
      </c>
      <c r="AQ760">
        <f>IF($E760="","",IF($AD760="Yes",1,0))</f>
        <v/>
      </c>
      <c r="AR760">
        <f>IF($AN760=1,IFERROR(VALUE(MID($E760,2,20)),1000000000)+ROW()/100000,"")</f>
        <v/>
      </c>
    </row>
    <row r="761">
      <c r="G761" s="11" t="n"/>
      <c r="Q761" s="7">
        <f>IF($E761="","",P761*AB761/100)</f>
        <v/>
      </c>
      <c r="R761" s="7" t="n"/>
      <c r="X761" s="7" t="n"/>
      <c r="Y761" s="7">
        <f>IF($E761="","",AB761*AE761/100)</f>
        <v/>
      </c>
      <c r="Z761" s="7">
        <f>IF($E761="","",AB761-Y761)</f>
        <v/>
      </c>
      <c r="AA761" s="7">
        <f>IF($E761="","",Z761-Q761)</f>
        <v/>
      </c>
      <c r="AB761" s="7" t="n"/>
      <c r="AE761">
        <f>IF($E761="","",IF($AQ761=1,0,IF($AP761=1,Settings!$C$6,Settings!$C$7))*100)</f>
        <v/>
      </c>
      <c r="AI761" s="7" t="n"/>
      <c r="AL761" s="11" t="n"/>
      <c r="AN761">
        <f>IF($E761="","",IF(COUNTIF($E$2:$E761,$E761)=1,1,0))</f>
        <v/>
      </c>
      <c r="AO761">
        <f>IF($AN761=1,SUMPRODUCT(--($AR$2:$AR$3001&lt;$AR761))+1,"")</f>
        <v/>
      </c>
      <c r="AP761">
        <f>IF($E761="","",IF(OR($U761=TRUE(),$U761="TRUE"),1,0))</f>
        <v/>
      </c>
      <c r="AQ761">
        <f>IF($E761="","",IF($AD761="Yes",1,0))</f>
        <v/>
      </c>
      <c r="AR761">
        <f>IF($AN761=1,IFERROR(VALUE(MID($E761,2,20)),1000000000)+ROW()/100000,"")</f>
        <v/>
      </c>
    </row>
    <row r="762">
      <c r="G762" s="11" t="n"/>
      <c r="Q762" s="7">
        <f>IF($E762="","",P762*AB762/100)</f>
        <v/>
      </c>
      <c r="R762" s="7" t="n"/>
      <c r="X762" s="7" t="n"/>
      <c r="Y762" s="7">
        <f>IF($E762="","",AB762*AE762/100)</f>
        <v/>
      </c>
      <c r="Z762" s="7">
        <f>IF($E762="","",AB762-Y762)</f>
        <v/>
      </c>
      <c r="AA762" s="7">
        <f>IF($E762="","",Z762-Q762)</f>
        <v/>
      </c>
      <c r="AB762" s="7" t="n"/>
      <c r="AE762">
        <f>IF($E762="","",IF($AQ762=1,0,IF($AP762=1,Settings!$C$6,Settings!$C$7))*100)</f>
        <v/>
      </c>
      <c r="AI762" s="7" t="n"/>
      <c r="AL762" s="11" t="n"/>
      <c r="AN762">
        <f>IF($E762="","",IF(COUNTIF($E$2:$E762,$E762)=1,1,0))</f>
        <v/>
      </c>
      <c r="AO762">
        <f>IF($AN762=1,SUMPRODUCT(--($AR$2:$AR$3001&lt;$AR762))+1,"")</f>
        <v/>
      </c>
      <c r="AP762">
        <f>IF($E762="","",IF(OR($U762=TRUE(),$U762="TRUE"),1,0))</f>
        <v/>
      </c>
      <c r="AQ762">
        <f>IF($E762="","",IF($AD762="Yes",1,0))</f>
        <v/>
      </c>
      <c r="AR762">
        <f>IF($AN762=1,IFERROR(VALUE(MID($E762,2,20)),1000000000)+ROW()/100000,"")</f>
        <v/>
      </c>
    </row>
    <row r="763">
      <c r="G763" s="11" t="n"/>
      <c r="Q763" s="7">
        <f>IF($E763="","",P763*AB763/100)</f>
        <v/>
      </c>
      <c r="R763" s="7" t="n"/>
      <c r="X763" s="7" t="n"/>
      <c r="Y763" s="7">
        <f>IF($E763="","",AB763*AE763/100)</f>
        <v/>
      </c>
      <c r="Z763" s="7">
        <f>IF($E763="","",AB763-Y763)</f>
        <v/>
      </c>
      <c r="AA763" s="7">
        <f>IF($E763="","",Z763-Q763)</f>
        <v/>
      </c>
      <c r="AB763" s="7" t="n"/>
      <c r="AE763">
        <f>IF($E763="","",IF($AQ763=1,0,IF($AP763=1,Settings!$C$6,Settings!$C$7))*100)</f>
        <v/>
      </c>
      <c r="AI763" s="7" t="n"/>
      <c r="AL763" s="11" t="n"/>
      <c r="AN763">
        <f>IF($E763="","",IF(COUNTIF($E$2:$E763,$E763)=1,1,0))</f>
        <v/>
      </c>
      <c r="AO763">
        <f>IF($AN763=1,SUMPRODUCT(--($AR$2:$AR$3001&lt;$AR763))+1,"")</f>
        <v/>
      </c>
      <c r="AP763">
        <f>IF($E763="","",IF(OR($U763=TRUE(),$U763="TRUE"),1,0))</f>
        <v/>
      </c>
      <c r="AQ763">
        <f>IF($E763="","",IF($AD763="Yes",1,0))</f>
        <v/>
      </c>
      <c r="AR763">
        <f>IF($AN763=1,IFERROR(VALUE(MID($E763,2,20)),1000000000)+ROW()/100000,"")</f>
        <v/>
      </c>
    </row>
    <row r="764">
      <c r="G764" s="11" t="n"/>
      <c r="Q764" s="7">
        <f>IF($E764="","",P764*AB764/100)</f>
        <v/>
      </c>
      <c r="R764" s="7" t="n"/>
      <c r="X764" s="7" t="n"/>
      <c r="Y764" s="7">
        <f>IF($E764="","",AB764*AE764/100)</f>
        <v/>
      </c>
      <c r="Z764" s="7">
        <f>IF($E764="","",AB764-Y764)</f>
        <v/>
      </c>
      <c r="AA764" s="7">
        <f>IF($E764="","",Z764-Q764)</f>
        <v/>
      </c>
      <c r="AB764" s="7" t="n"/>
      <c r="AE764">
        <f>IF($E764="","",IF($AQ764=1,0,IF($AP764=1,Settings!$C$6,Settings!$C$7))*100)</f>
        <v/>
      </c>
      <c r="AI764" s="7" t="n"/>
      <c r="AL764" s="11" t="n"/>
      <c r="AN764">
        <f>IF($E764="","",IF(COUNTIF($E$2:$E764,$E764)=1,1,0))</f>
        <v/>
      </c>
      <c r="AO764">
        <f>IF($AN764=1,SUMPRODUCT(--($AR$2:$AR$3001&lt;$AR764))+1,"")</f>
        <v/>
      </c>
      <c r="AP764">
        <f>IF($E764="","",IF(OR($U764=TRUE(),$U764="TRUE"),1,0))</f>
        <v/>
      </c>
      <c r="AQ764">
        <f>IF($E764="","",IF($AD764="Yes",1,0))</f>
        <v/>
      </c>
      <c r="AR764">
        <f>IF($AN764=1,IFERROR(VALUE(MID($E764,2,20)),1000000000)+ROW()/100000,"")</f>
        <v/>
      </c>
    </row>
    <row r="765">
      <c r="G765" s="11" t="n"/>
      <c r="Q765" s="7">
        <f>IF($E765="","",P765*AB765/100)</f>
        <v/>
      </c>
      <c r="R765" s="7" t="n"/>
      <c r="X765" s="7" t="n"/>
      <c r="Y765" s="7">
        <f>IF($E765="","",AB765*AE765/100)</f>
        <v/>
      </c>
      <c r="Z765" s="7">
        <f>IF($E765="","",AB765-Y765)</f>
        <v/>
      </c>
      <c r="AA765" s="7">
        <f>IF($E765="","",Z765-Q765)</f>
        <v/>
      </c>
      <c r="AB765" s="7" t="n"/>
      <c r="AE765">
        <f>IF($E765="","",IF($AQ765=1,0,IF($AP765=1,Settings!$C$6,Settings!$C$7))*100)</f>
        <v/>
      </c>
      <c r="AI765" s="7" t="n"/>
      <c r="AL765" s="11" t="n"/>
      <c r="AN765">
        <f>IF($E765="","",IF(COUNTIF($E$2:$E765,$E765)=1,1,0))</f>
        <v/>
      </c>
      <c r="AO765">
        <f>IF($AN765=1,SUMPRODUCT(--($AR$2:$AR$3001&lt;$AR765))+1,"")</f>
        <v/>
      </c>
      <c r="AP765">
        <f>IF($E765="","",IF(OR($U765=TRUE(),$U765="TRUE"),1,0))</f>
        <v/>
      </c>
      <c r="AQ765">
        <f>IF($E765="","",IF($AD765="Yes",1,0))</f>
        <v/>
      </c>
      <c r="AR765">
        <f>IF($AN765=1,IFERROR(VALUE(MID($E765,2,20)),1000000000)+ROW()/100000,"")</f>
        <v/>
      </c>
    </row>
    <row r="766">
      <c r="G766" s="11" t="n"/>
      <c r="Q766" s="7">
        <f>IF($E766="","",P766*AB766/100)</f>
        <v/>
      </c>
      <c r="R766" s="7" t="n"/>
      <c r="X766" s="7" t="n"/>
      <c r="Y766" s="7">
        <f>IF($E766="","",AB766*AE766/100)</f>
        <v/>
      </c>
      <c r="Z766" s="7">
        <f>IF($E766="","",AB766-Y766)</f>
        <v/>
      </c>
      <c r="AA766" s="7">
        <f>IF($E766="","",Z766-Q766)</f>
        <v/>
      </c>
      <c r="AB766" s="7" t="n"/>
      <c r="AE766">
        <f>IF($E766="","",IF($AQ766=1,0,IF($AP766=1,Settings!$C$6,Settings!$C$7))*100)</f>
        <v/>
      </c>
      <c r="AI766" s="7" t="n"/>
      <c r="AL766" s="11" t="n"/>
      <c r="AN766">
        <f>IF($E766="","",IF(COUNTIF($E$2:$E766,$E766)=1,1,0))</f>
        <v/>
      </c>
      <c r="AO766">
        <f>IF($AN766=1,SUMPRODUCT(--($AR$2:$AR$3001&lt;$AR766))+1,"")</f>
        <v/>
      </c>
      <c r="AP766">
        <f>IF($E766="","",IF(OR($U766=TRUE(),$U766="TRUE"),1,0))</f>
        <v/>
      </c>
      <c r="AQ766">
        <f>IF($E766="","",IF($AD766="Yes",1,0))</f>
        <v/>
      </c>
      <c r="AR766">
        <f>IF($AN766=1,IFERROR(VALUE(MID($E766,2,20)),1000000000)+ROW()/100000,"")</f>
        <v/>
      </c>
    </row>
    <row r="767">
      <c r="G767" s="11" t="n"/>
      <c r="Q767" s="7">
        <f>IF($E767="","",P767*AB767/100)</f>
        <v/>
      </c>
      <c r="R767" s="7" t="n"/>
      <c r="X767" s="7" t="n"/>
      <c r="Y767" s="7">
        <f>IF($E767="","",AB767*AE767/100)</f>
        <v/>
      </c>
      <c r="Z767" s="7">
        <f>IF($E767="","",AB767-Y767)</f>
        <v/>
      </c>
      <c r="AA767" s="7">
        <f>IF($E767="","",Z767-Q767)</f>
        <v/>
      </c>
      <c r="AB767" s="7" t="n"/>
      <c r="AE767">
        <f>IF($E767="","",IF($AQ767=1,0,IF($AP767=1,Settings!$C$6,Settings!$C$7))*100)</f>
        <v/>
      </c>
      <c r="AI767" s="7" t="n"/>
      <c r="AL767" s="11" t="n"/>
      <c r="AN767">
        <f>IF($E767="","",IF(COUNTIF($E$2:$E767,$E767)=1,1,0))</f>
        <v/>
      </c>
      <c r="AO767">
        <f>IF($AN767=1,SUMPRODUCT(--($AR$2:$AR$3001&lt;$AR767))+1,"")</f>
        <v/>
      </c>
      <c r="AP767">
        <f>IF($E767="","",IF(OR($U767=TRUE(),$U767="TRUE"),1,0))</f>
        <v/>
      </c>
      <c r="AQ767">
        <f>IF($E767="","",IF($AD767="Yes",1,0))</f>
        <v/>
      </c>
      <c r="AR767">
        <f>IF($AN767=1,IFERROR(VALUE(MID($E767,2,20)),1000000000)+ROW()/100000,"")</f>
        <v/>
      </c>
    </row>
    <row r="768">
      <c r="G768" s="11" t="n"/>
      <c r="Q768" s="7">
        <f>IF($E768="","",P768*AB768/100)</f>
        <v/>
      </c>
      <c r="R768" s="7" t="n"/>
      <c r="X768" s="7" t="n"/>
      <c r="Y768" s="7">
        <f>IF($E768="","",AB768*AE768/100)</f>
        <v/>
      </c>
      <c r="Z768" s="7">
        <f>IF($E768="","",AB768-Y768)</f>
        <v/>
      </c>
      <c r="AA768" s="7">
        <f>IF($E768="","",Z768-Q768)</f>
        <v/>
      </c>
      <c r="AB768" s="7" t="n"/>
      <c r="AE768">
        <f>IF($E768="","",IF($AQ768=1,0,IF($AP768=1,Settings!$C$6,Settings!$C$7))*100)</f>
        <v/>
      </c>
      <c r="AI768" s="7" t="n"/>
      <c r="AL768" s="11" t="n"/>
      <c r="AN768">
        <f>IF($E768="","",IF(COUNTIF($E$2:$E768,$E768)=1,1,0))</f>
        <v/>
      </c>
      <c r="AO768">
        <f>IF($AN768=1,SUMPRODUCT(--($AR$2:$AR$3001&lt;$AR768))+1,"")</f>
        <v/>
      </c>
      <c r="AP768">
        <f>IF($E768="","",IF(OR($U768=TRUE(),$U768="TRUE"),1,0))</f>
        <v/>
      </c>
      <c r="AQ768">
        <f>IF($E768="","",IF($AD768="Yes",1,0))</f>
        <v/>
      </c>
      <c r="AR768">
        <f>IF($AN768=1,IFERROR(VALUE(MID($E768,2,20)),1000000000)+ROW()/100000,"")</f>
        <v/>
      </c>
    </row>
    <row r="769">
      <c r="G769" s="11" t="n"/>
      <c r="Q769" s="7">
        <f>IF($E769="","",P769*AB769/100)</f>
        <v/>
      </c>
      <c r="R769" s="7" t="n"/>
      <c r="X769" s="7" t="n"/>
      <c r="Y769" s="7">
        <f>IF($E769="","",AB769*AE769/100)</f>
        <v/>
      </c>
      <c r="Z769" s="7">
        <f>IF($E769="","",AB769-Y769)</f>
        <v/>
      </c>
      <c r="AA769" s="7">
        <f>IF($E769="","",Z769-Q769)</f>
        <v/>
      </c>
      <c r="AB769" s="7" t="n"/>
      <c r="AE769">
        <f>IF($E769="","",IF($AQ769=1,0,IF($AP769=1,Settings!$C$6,Settings!$C$7))*100)</f>
        <v/>
      </c>
      <c r="AI769" s="7" t="n"/>
      <c r="AL769" s="11" t="n"/>
      <c r="AN769">
        <f>IF($E769="","",IF(COUNTIF($E$2:$E769,$E769)=1,1,0))</f>
        <v/>
      </c>
      <c r="AO769">
        <f>IF($AN769=1,SUMPRODUCT(--($AR$2:$AR$3001&lt;$AR769))+1,"")</f>
        <v/>
      </c>
      <c r="AP769">
        <f>IF($E769="","",IF(OR($U769=TRUE(),$U769="TRUE"),1,0))</f>
        <v/>
      </c>
      <c r="AQ769">
        <f>IF($E769="","",IF($AD769="Yes",1,0))</f>
        <v/>
      </c>
      <c r="AR769">
        <f>IF($AN769=1,IFERROR(VALUE(MID($E769,2,20)),1000000000)+ROW()/100000,"")</f>
        <v/>
      </c>
    </row>
    <row r="770">
      <c r="G770" s="11" t="n"/>
      <c r="Q770" s="7">
        <f>IF($E770="","",P770*AB770/100)</f>
        <v/>
      </c>
      <c r="R770" s="7" t="n"/>
      <c r="X770" s="7" t="n"/>
      <c r="Y770" s="7">
        <f>IF($E770="","",AB770*AE770/100)</f>
        <v/>
      </c>
      <c r="Z770" s="7">
        <f>IF($E770="","",AB770-Y770)</f>
        <v/>
      </c>
      <c r="AA770" s="7">
        <f>IF($E770="","",Z770-Q770)</f>
        <v/>
      </c>
      <c r="AB770" s="7" t="n"/>
      <c r="AE770">
        <f>IF($E770="","",IF($AQ770=1,0,IF($AP770=1,Settings!$C$6,Settings!$C$7))*100)</f>
        <v/>
      </c>
      <c r="AI770" s="7" t="n"/>
      <c r="AL770" s="11" t="n"/>
      <c r="AN770">
        <f>IF($E770="","",IF(COUNTIF($E$2:$E770,$E770)=1,1,0))</f>
        <v/>
      </c>
      <c r="AO770">
        <f>IF($AN770=1,SUMPRODUCT(--($AR$2:$AR$3001&lt;$AR770))+1,"")</f>
        <v/>
      </c>
      <c r="AP770">
        <f>IF($E770="","",IF(OR($U770=TRUE(),$U770="TRUE"),1,0))</f>
        <v/>
      </c>
      <c r="AQ770">
        <f>IF($E770="","",IF($AD770="Yes",1,0))</f>
        <v/>
      </c>
      <c r="AR770">
        <f>IF($AN770=1,IFERROR(VALUE(MID($E770,2,20)),1000000000)+ROW()/100000,"")</f>
        <v/>
      </c>
    </row>
    <row r="771">
      <c r="G771" s="11" t="n"/>
      <c r="Q771" s="7">
        <f>IF($E771="","",P771*AB771/100)</f>
        <v/>
      </c>
      <c r="R771" s="7" t="n"/>
      <c r="X771" s="7" t="n"/>
      <c r="Y771" s="7">
        <f>IF($E771="","",AB771*AE771/100)</f>
        <v/>
      </c>
      <c r="Z771" s="7">
        <f>IF($E771="","",AB771-Y771)</f>
        <v/>
      </c>
      <c r="AA771" s="7">
        <f>IF($E771="","",Z771-Q771)</f>
        <v/>
      </c>
      <c r="AB771" s="7" t="n"/>
      <c r="AE771">
        <f>IF($E771="","",IF($AQ771=1,0,IF($AP771=1,Settings!$C$6,Settings!$C$7))*100)</f>
        <v/>
      </c>
      <c r="AI771" s="7" t="n"/>
      <c r="AL771" s="11" t="n"/>
      <c r="AN771">
        <f>IF($E771="","",IF(COUNTIF($E$2:$E771,$E771)=1,1,0))</f>
        <v/>
      </c>
      <c r="AO771">
        <f>IF($AN771=1,SUMPRODUCT(--($AR$2:$AR$3001&lt;$AR771))+1,"")</f>
        <v/>
      </c>
      <c r="AP771">
        <f>IF($E771="","",IF(OR($U771=TRUE(),$U771="TRUE"),1,0))</f>
        <v/>
      </c>
      <c r="AQ771">
        <f>IF($E771="","",IF($AD771="Yes",1,0))</f>
        <v/>
      </c>
      <c r="AR771">
        <f>IF($AN771=1,IFERROR(VALUE(MID($E771,2,20)),1000000000)+ROW()/100000,"")</f>
        <v/>
      </c>
    </row>
    <row r="772">
      <c r="G772" s="11" t="n"/>
      <c r="Q772" s="7">
        <f>IF($E772="","",P772*AB772/100)</f>
        <v/>
      </c>
      <c r="R772" s="7" t="n"/>
      <c r="X772" s="7" t="n"/>
      <c r="Y772" s="7">
        <f>IF($E772="","",AB772*AE772/100)</f>
        <v/>
      </c>
      <c r="Z772" s="7">
        <f>IF($E772="","",AB772-Y772)</f>
        <v/>
      </c>
      <c r="AA772" s="7">
        <f>IF($E772="","",Z772-Q772)</f>
        <v/>
      </c>
      <c r="AB772" s="7" t="n"/>
      <c r="AE772">
        <f>IF($E772="","",IF($AQ772=1,0,IF($AP772=1,Settings!$C$6,Settings!$C$7))*100)</f>
        <v/>
      </c>
      <c r="AI772" s="7" t="n"/>
      <c r="AL772" s="11" t="n"/>
      <c r="AN772">
        <f>IF($E772="","",IF(COUNTIF($E$2:$E772,$E772)=1,1,0))</f>
        <v/>
      </c>
      <c r="AO772">
        <f>IF($AN772=1,SUMPRODUCT(--($AR$2:$AR$3001&lt;$AR772))+1,"")</f>
        <v/>
      </c>
      <c r="AP772">
        <f>IF($E772="","",IF(OR($U772=TRUE(),$U772="TRUE"),1,0))</f>
        <v/>
      </c>
      <c r="AQ772">
        <f>IF($E772="","",IF($AD772="Yes",1,0))</f>
        <v/>
      </c>
      <c r="AR772">
        <f>IF($AN772=1,IFERROR(VALUE(MID($E772,2,20)),1000000000)+ROW()/100000,"")</f>
        <v/>
      </c>
    </row>
    <row r="773">
      <c r="G773" s="11" t="n"/>
      <c r="Q773" s="7">
        <f>IF($E773="","",P773*AB773/100)</f>
        <v/>
      </c>
      <c r="R773" s="7" t="n"/>
      <c r="X773" s="7" t="n"/>
      <c r="Y773" s="7">
        <f>IF($E773="","",AB773*AE773/100)</f>
        <v/>
      </c>
      <c r="Z773" s="7">
        <f>IF($E773="","",AB773-Y773)</f>
        <v/>
      </c>
      <c r="AA773" s="7">
        <f>IF($E773="","",Z773-Q773)</f>
        <v/>
      </c>
      <c r="AB773" s="7" t="n"/>
      <c r="AE773">
        <f>IF($E773="","",IF($AQ773=1,0,IF($AP773=1,Settings!$C$6,Settings!$C$7))*100)</f>
        <v/>
      </c>
      <c r="AI773" s="7" t="n"/>
      <c r="AL773" s="11" t="n"/>
      <c r="AN773">
        <f>IF($E773="","",IF(COUNTIF($E$2:$E773,$E773)=1,1,0))</f>
        <v/>
      </c>
      <c r="AO773">
        <f>IF($AN773=1,SUMPRODUCT(--($AR$2:$AR$3001&lt;$AR773))+1,"")</f>
        <v/>
      </c>
      <c r="AP773">
        <f>IF($E773="","",IF(OR($U773=TRUE(),$U773="TRUE"),1,0))</f>
        <v/>
      </c>
      <c r="AQ773">
        <f>IF($E773="","",IF($AD773="Yes",1,0))</f>
        <v/>
      </c>
      <c r="AR773">
        <f>IF($AN773=1,IFERROR(VALUE(MID($E773,2,20)),1000000000)+ROW()/100000,"")</f>
        <v/>
      </c>
    </row>
    <row r="774">
      <c r="G774" s="11" t="n"/>
      <c r="Q774" s="7">
        <f>IF($E774="","",P774*AB774/100)</f>
        <v/>
      </c>
      <c r="R774" s="7" t="n"/>
      <c r="X774" s="7" t="n"/>
      <c r="Y774" s="7">
        <f>IF($E774="","",AB774*AE774/100)</f>
        <v/>
      </c>
      <c r="Z774" s="7">
        <f>IF($E774="","",AB774-Y774)</f>
        <v/>
      </c>
      <c r="AA774" s="7">
        <f>IF($E774="","",Z774-Q774)</f>
        <v/>
      </c>
      <c r="AB774" s="7" t="n"/>
      <c r="AE774">
        <f>IF($E774="","",IF($AQ774=1,0,IF($AP774=1,Settings!$C$6,Settings!$C$7))*100)</f>
        <v/>
      </c>
      <c r="AI774" s="7" t="n"/>
      <c r="AL774" s="11" t="n"/>
      <c r="AN774">
        <f>IF($E774="","",IF(COUNTIF($E$2:$E774,$E774)=1,1,0))</f>
        <v/>
      </c>
      <c r="AO774">
        <f>IF($AN774=1,SUMPRODUCT(--($AR$2:$AR$3001&lt;$AR774))+1,"")</f>
        <v/>
      </c>
      <c r="AP774">
        <f>IF($E774="","",IF(OR($U774=TRUE(),$U774="TRUE"),1,0))</f>
        <v/>
      </c>
      <c r="AQ774">
        <f>IF($E774="","",IF($AD774="Yes",1,0))</f>
        <v/>
      </c>
      <c r="AR774">
        <f>IF($AN774=1,IFERROR(VALUE(MID($E774,2,20)),1000000000)+ROW()/100000,"")</f>
        <v/>
      </c>
    </row>
    <row r="775">
      <c r="G775" s="11" t="n"/>
      <c r="Q775" s="7">
        <f>IF($E775="","",P775*AB775/100)</f>
        <v/>
      </c>
      <c r="R775" s="7" t="n"/>
      <c r="X775" s="7" t="n"/>
      <c r="Y775" s="7">
        <f>IF($E775="","",AB775*AE775/100)</f>
        <v/>
      </c>
      <c r="Z775" s="7">
        <f>IF($E775="","",AB775-Y775)</f>
        <v/>
      </c>
      <c r="AA775" s="7">
        <f>IF($E775="","",Z775-Q775)</f>
        <v/>
      </c>
      <c r="AB775" s="7" t="n"/>
      <c r="AE775">
        <f>IF($E775="","",IF($AQ775=1,0,IF($AP775=1,Settings!$C$6,Settings!$C$7))*100)</f>
        <v/>
      </c>
      <c r="AI775" s="7" t="n"/>
      <c r="AL775" s="11" t="n"/>
      <c r="AN775">
        <f>IF($E775="","",IF(COUNTIF($E$2:$E775,$E775)=1,1,0))</f>
        <v/>
      </c>
      <c r="AO775">
        <f>IF($AN775=1,SUMPRODUCT(--($AR$2:$AR$3001&lt;$AR775))+1,"")</f>
        <v/>
      </c>
      <c r="AP775">
        <f>IF($E775="","",IF(OR($U775=TRUE(),$U775="TRUE"),1,0))</f>
        <v/>
      </c>
      <c r="AQ775">
        <f>IF($E775="","",IF($AD775="Yes",1,0))</f>
        <v/>
      </c>
      <c r="AR775">
        <f>IF($AN775=1,IFERROR(VALUE(MID($E775,2,20)),1000000000)+ROW()/100000,"")</f>
        <v/>
      </c>
    </row>
    <row r="776">
      <c r="G776" s="11" t="n"/>
      <c r="Q776" s="7">
        <f>IF($E776="","",P776*AB776/100)</f>
        <v/>
      </c>
      <c r="R776" s="7" t="n"/>
      <c r="X776" s="7" t="n"/>
      <c r="Y776" s="7">
        <f>IF($E776="","",AB776*AE776/100)</f>
        <v/>
      </c>
      <c r="Z776" s="7">
        <f>IF($E776="","",AB776-Y776)</f>
        <v/>
      </c>
      <c r="AA776" s="7">
        <f>IF($E776="","",Z776-Q776)</f>
        <v/>
      </c>
      <c r="AB776" s="7" t="n"/>
      <c r="AE776">
        <f>IF($E776="","",IF($AQ776=1,0,IF($AP776=1,Settings!$C$6,Settings!$C$7))*100)</f>
        <v/>
      </c>
      <c r="AI776" s="7" t="n"/>
      <c r="AL776" s="11" t="n"/>
      <c r="AN776">
        <f>IF($E776="","",IF(COUNTIF($E$2:$E776,$E776)=1,1,0))</f>
        <v/>
      </c>
      <c r="AO776">
        <f>IF($AN776=1,SUMPRODUCT(--($AR$2:$AR$3001&lt;$AR776))+1,"")</f>
        <v/>
      </c>
      <c r="AP776">
        <f>IF($E776="","",IF(OR($U776=TRUE(),$U776="TRUE"),1,0))</f>
        <v/>
      </c>
      <c r="AQ776">
        <f>IF($E776="","",IF($AD776="Yes",1,0))</f>
        <v/>
      </c>
      <c r="AR776">
        <f>IF($AN776=1,IFERROR(VALUE(MID($E776,2,20)),1000000000)+ROW()/100000,"")</f>
        <v/>
      </c>
    </row>
    <row r="777">
      <c r="G777" s="11" t="n"/>
      <c r="Q777" s="7">
        <f>IF($E777="","",P777*AB777/100)</f>
        <v/>
      </c>
      <c r="R777" s="7" t="n"/>
      <c r="X777" s="7" t="n"/>
      <c r="Y777" s="7">
        <f>IF($E777="","",AB777*AE777/100)</f>
        <v/>
      </c>
      <c r="Z777" s="7">
        <f>IF($E777="","",AB777-Y777)</f>
        <v/>
      </c>
      <c r="AA777" s="7">
        <f>IF($E777="","",Z777-Q777)</f>
        <v/>
      </c>
      <c r="AB777" s="7" t="n"/>
      <c r="AE777">
        <f>IF($E777="","",IF($AQ777=1,0,IF($AP777=1,Settings!$C$6,Settings!$C$7))*100)</f>
        <v/>
      </c>
      <c r="AI777" s="7" t="n"/>
      <c r="AL777" s="11" t="n"/>
      <c r="AN777">
        <f>IF($E777="","",IF(COUNTIF($E$2:$E777,$E777)=1,1,0))</f>
        <v/>
      </c>
      <c r="AO777">
        <f>IF($AN777=1,SUMPRODUCT(--($AR$2:$AR$3001&lt;$AR777))+1,"")</f>
        <v/>
      </c>
      <c r="AP777">
        <f>IF($E777="","",IF(OR($U777=TRUE(),$U777="TRUE"),1,0))</f>
        <v/>
      </c>
      <c r="AQ777">
        <f>IF($E777="","",IF($AD777="Yes",1,0))</f>
        <v/>
      </c>
      <c r="AR777">
        <f>IF($AN777=1,IFERROR(VALUE(MID($E777,2,20)),1000000000)+ROW()/100000,"")</f>
        <v/>
      </c>
    </row>
    <row r="778">
      <c r="G778" s="11" t="n"/>
      <c r="Q778" s="7">
        <f>IF($E778="","",P778*AB778/100)</f>
        <v/>
      </c>
      <c r="R778" s="7" t="n"/>
      <c r="X778" s="7" t="n"/>
      <c r="Y778" s="7">
        <f>IF($E778="","",AB778*AE778/100)</f>
        <v/>
      </c>
      <c r="Z778" s="7">
        <f>IF($E778="","",AB778-Y778)</f>
        <v/>
      </c>
      <c r="AA778" s="7">
        <f>IF($E778="","",Z778-Q778)</f>
        <v/>
      </c>
      <c r="AB778" s="7" t="n"/>
      <c r="AE778">
        <f>IF($E778="","",IF($AQ778=1,0,IF($AP778=1,Settings!$C$6,Settings!$C$7))*100)</f>
        <v/>
      </c>
      <c r="AI778" s="7" t="n"/>
      <c r="AL778" s="11" t="n"/>
      <c r="AN778">
        <f>IF($E778="","",IF(COUNTIF($E$2:$E778,$E778)=1,1,0))</f>
        <v/>
      </c>
      <c r="AO778">
        <f>IF($AN778=1,SUMPRODUCT(--($AR$2:$AR$3001&lt;$AR778))+1,"")</f>
        <v/>
      </c>
      <c r="AP778">
        <f>IF($E778="","",IF(OR($U778=TRUE(),$U778="TRUE"),1,0))</f>
        <v/>
      </c>
      <c r="AQ778">
        <f>IF($E778="","",IF($AD778="Yes",1,0))</f>
        <v/>
      </c>
      <c r="AR778">
        <f>IF($AN778=1,IFERROR(VALUE(MID($E778,2,20)),1000000000)+ROW()/100000,"")</f>
        <v/>
      </c>
    </row>
    <row r="779">
      <c r="G779" s="11" t="n"/>
      <c r="Q779" s="7">
        <f>IF($E779="","",P779*AB779/100)</f>
        <v/>
      </c>
      <c r="R779" s="7" t="n"/>
      <c r="X779" s="7" t="n"/>
      <c r="Y779" s="7">
        <f>IF($E779="","",AB779*AE779/100)</f>
        <v/>
      </c>
      <c r="Z779" s="7">
        <f>IF($E779="","",AB779-Y779)</f>
        <v/>
      </c>
      <c r="AA779" s="7">
        <f>IF($E779="","",Z779-Q779)</f>
        <v/>
      </c>
      <c r="AB779" s="7" t="n"/>
      <c r="AE779">
        <f>IF($E779="","",IF($AQ779=1,0,IF($AP779=1,Settings!$C$6,Settings!$C$7))*100)</f>
        <v/>
      </c>
      <c r="AI779" s="7" t="n"/>
      <c r="AL779" s="11" t="n"/>
      <c r="AN779">
        <f>IF($E779="","",IF(COUNTIF($E$2:$E779,$E779)=1,1,0))</f>
        <v/>
      </c>
      <c r="AO779">
        <f>IF($AN779=1,SUMPRODUCT(--($AR$2:$AR$3001&lt;$AR779))+1,"")</f>
        <v/>
      </c>
      <c r="AP779">
        <f>IF($E779="","",IF(OR($U779=TRUE(),$U779="TRUE"),1,0))</f>
        <v/>
      </c>
      <c r="AQ779">
        <f>IF($E779="","",IF($AD779="Yes",1,0))</f>
        <v/>
      </c>
      <c r="AR779">
        <f>IF($AN779=1,IFERROR(VALUE(MID($E779,2,20)),1000000000)+ROW()/100000,"")</f>
        <v/>
      </c>
    </row>
    <row r="780">
      <c r="G780" s="11" t="n"/>
      <c r="Q780" s="7">
        <f>IF($E780="","",P780*AB780/100)</f>
        <v/>
      </c>
      <c r="R780" s="7" t="n"/>
      <c r="X780" s="7" t="n"/>
      <c r="Y780" s="7">
        <f>IF($E780="","",AB780*AE780/100)</f>
        <v/>
      </c>
      <c r="Z780" s="7">
        <f>IF($E780="","",AB780-Y780)</f>
        <v/>
      </c>
      <c r="AA780" s="7">
        <f>IF($E780="","",Z780-Q780)</f>
        <v/>
      </c>
      <c r="AB780" s="7" t="n"/>
      <c r="AE780">
        <f>IF($E780="","",IF($AQ780=1,0,IF($AP780=1,Settings!$C$6,Settings!$C$7))*100)</f>
        <v/>
      </c>
      <c r="AI780" s="7" t="n"/>
      <c r="AL780" s="11" t="n"/>
      <c r="AN780">
        <f>IF($E780="","",IF(COUNTIF($E$2:$E780,$E780)=1,1,0))</f>
        <v/>
      </c>
      <c r="AO780">
        <f>IF($AN780=1,SUMPRODUCT(--($AR$2:$AR$3001&lt;$AR780))+1,"")</f>
        <v/>
      </c>
      <c r="AP780">
        <f>IF($E780="","",IF(OR($U780=TRUE(),$U780="TRUE"),1,0))</f>
        <v/>
      </c>
      <c r="AQ780">
        <f>IF($E780="","",IF($AD780="Yes",1,0))</f>
        <v/>
      </c>
      <c r="AR780">
        <f>IF($AN780=1,IFERROR(VALUE(MID($E780,2,20)),1000000000)+ROW()/100000,"")</f>
        <v/>
      </c>
    </row>
    <row r="781">
      <c r="G781" s="11" t="n"/>
      <c r="Q781" s="7">
        <f>IF($E781="","",P781*AB781/100)</f>
        <v/>
      </c>
      <c r="R781" s="7" t="n"/>
      <c r="X781" s="7" t="n"/>
      <c r="Y781" s="7">
        <f>IF($E781="","",AB781*AE781/100)</f>
        <v/>
      </c>
      <c r="Z781" s="7">
        <f>IF($E781="","",AB781-Y781)</f>
        <v/>
      </c>
      <c r="AA781" s="7">
        <f>IF($E781="","",Z781-Q781)</f>
        <v/>
      </c>
      <c r="AB781" s="7" t="n"/>
      <c r="AE781">
        <f>IF($E781="","",IF($AQ781=1,0,IF($AP781=1,Settings!$C$6,Settings!$C$7))*100)</f>
        <v/>
      </c>
      <c r="AI781" s="7" t="n"/>
      <c r="AL781" s="11" t="n"/>
      <c r="AN781">
        <f>IF($E781="","",IF(COUNTIF($E$2:$E781,$E781)=1,1,0))</f>
        <v/>
      </c>
      <c r="AO781">
        <f>IF($AN781=1,SUMPRODUCT(--($AR$2:$AR$3001&lt;$AR781))+1,"")</f>
        <v/>
      </c>
      <c r="AP781">
        <f>IF($E781="","",IF(OR($U781=TRUE(),$U781="TRUE"),1,0))</f>
        <v/>
      </c>
      <c r="AQ781">
        <f>IF($E781="","",IF($AD781="Yes",1,0))</f>
        <v/>
      </c>
      <c r="AR781">
        <f>IF($AN781=1,IFERROR(VALUE(MID($E781,2,20)),1000000000)+ROW()/100000,"")</f>
        <v/>
      </c>
    </row>
    <row r="782">
      <c r="G782" s="11" t="n"/>
      <c r="Q782" s="7">
        <f>IF($E782="","",P782*AB782/100)</f>
        <v/>
      </c>
      <c r="R782" s="7" t="n"/>
      <c r="X782" s="7" t="n"/>
      <c r="Y782" s="7">
        <f>IF($E782="","",AB782*AE782/100)</f>
        <v/>
      </c>
      <c r="Z782" s="7">
        <f>IF($E782="","",AB782-Y782)</f>
        <v/>
      </c>
      <c r="AA782" s="7">
        <f>IF($E782="","",Z782-Q782)</f>
        <v/>
      </c>
      <c r="AB782" s="7" t="n"/>
      <c r="AE782">
        <f>IF($E782="","",IF($AQ782=1,0,IF($AP782=1,Settings!$C$6,Settings!$C$7))*100)</f>
        <v/>
      </c>
      <c r="AI782" s="7" t="n"/>
      <c r="AL782" s="11" t="n"/>
      <c r="AN782">
        <f>IF($E782="","",IF(COUNTIF($E$2:$E782,$E782)=1,1,0))</f>
        <v/>
      </c>
      <c r="AO782">
        <f>IF($AN782=1,SUMPRODUCT(--($AR$2:$AR$3001&lt;$AR782))+1,"")</f>
        <v/>
      </c>
      <c r="AP782">
        <f>IF($E782="","",IF(OR($U782=TRUE(),$U782="TRUE"),1,0))</f>
        <v/>
      </c>
      <c r="AQ782">
        <f>IF($E782="","",IF($AD782="Yes",1,0))</f>
        <v/>
      </c>
      <c r="AR782">
        <f>IF($AN782=1,IFERROR(VALUE(MID($E782,2,20)),1000000000)+ROW()/100000,"")</f>
        <v/>
      </c>
    </row>
    <row r="783">
      <c r="G783" s="11" t="n"/>
      <c r="Q783" s="7">
        <f>IF($E783="","",P783*AB783/100)</f>
        <v/>
      </c>
      <c r="R783" s="7" t="n"/>
      <c r="X783" s="7" t="n"/>
      <c r="Y783" s="7">
        <f>IF($E783="","",AB783*AE783/100)</f>
        <v/>
      </c>
      <c r="Z783" s="7">
        <f>IF($E783="","",AB783-Y783)</f>
        <v/>
      </c>
      <c r="AA783" s="7">
        <f>IF($E783="","",Z783-Q783)</f>
        <v/>
      </c>
      <c r="AB783" s="7" t="n"/>
      <c r="AE783">
        <f>IF($E783="","",IF($AQ783=1,0,IF($AP783=1,Settings!$C$6,Settings!$C$7))*100)</f>
        <v/>
      </c>
      <c r="AI783" s="7" t="n"/>
      <c r="AL783" s="11" t="n"/>
      <c r="AN783">
        <f>IF($E783="","",IF(COUNTIF($E$2:$E783,$E783)=1,1,0))</f>
        <v/>
      </c>
      <c r="AO783">
        <f>IF($AN783=1,SUMPRODUCT(--($AR$2:$AR$3001&lt;$AR783))+1,"")</f>
        <v/>
      </c>
      <c r="AP783">
        <f>IF($E783="","",IF(OR($U783=TRUE(),$U783="TRUE"),1,0))</f>
        <v/>
      </c>
      <c r="AQ783">
        <f>IF($E783="","",IF($AD783="Yes",1,0))</f>
        <v/>
      </c>
      <c r="AR783">
        <f>IF($AN783=1,IFERROR(VALUE(MID($E783,2,20)),1000000000)+ROW()/100000,"")</f>
        <v/>
      </c>
    </row>
    <row r="784">
      <c r="G784" s="11" t="n"/>
      <c r="Q784" s="7">
        <f>IF($E784="","",P784*AB784/100)</f>
        <v/>
      </c>
      <c r="R784" s="7" t="n"/>
      <c r="X784" s="7" t="n"/>
      <c r="Y784" s="7">
        <f>IF($E784="","",AB784*AE784/100)</f>
        <v/>
      </c>
      <c r="Z784" s="7">
        <f>IF($E784="","",AB784-Y784)</f>
        <v/>
      </c>
      <c r="AA784" s="7">
        <f>IF($E784="","",Z784-Q784)</f>
        <v/>
      </c>
      <c r="AB784" s="7" t="n"/>
      <c r="AE784">
        <f>IF($E784="","",IF($AQ784=1,0,IF($AP784=1,Settings!$C$6,Settings!$C$7))*100)</f>
        <v/>
      </c>
      <c r="AI784" s="7" t="n"/>
      <c r="AL784" s="11" t="n"/>
      <c r="AN784">
        <f>IF($E784="","",IF(COUNTIF($E$2:$E784,$E784)=1,1,0))</f>
        <v/>
      </c>
      <c r="AO784">
        <f>IF($AN784=1,SUMPRODUCT(--($AR$2:$AR$3001&lt;$AR784))+1,"")</f>
        <v/>
      </c>
      <c r="AP784">
        <f>IF($E784="","",IF(OR($U784=TRUE(),$U784="TRUE"),1,0))</f>
        <v/>
      </c>
      <c r="AQ784">
        <f>IF($E784="","",IF($AD784="Yes",1,0))</f>
        <v/>
      </c>
      <c r="AR784">
        <f>IF($AN784=1,IFERROR(VALUE(MID($E784,2,20)),1000000000)+ROW()/100000,"")</f>
        <v/>
      </c>
    </row>
    <row r="785">
      <c r="G785" s="11" t="n"/>
      <c r="Q785" s="7">
        <f>IF($E785="","",P785*AB785/100)</f>
        <v/>
      </c>
      <c r="R785" s="7" t="n"/>
      <c r="X785" s="7" t="n"/>
      <c r="Y785" s="7">
        <f>IF($E785="","",AB785*AE785/100)</f>
        <v/>
      </c>
      <c r="Z785" s="7">
        <f>IF($E785="","",AB785-Y785)</f>
        <v/>
      </c>
      <c r="AA785" s="7">
        <f>IF($E785="","",Z785-Q785)</f>
        <v/>
      </c>
      <c r="AB785" s="7" t="n"/>
      <c r="AE785">
        <f>IF($E785="","",IF($AQ785=1,0,IF($AP785=1,Settings!$C$6,Settings!$C$7))*100)</f>
        <v/>
      </c>
      <c r="AI785" s="7" t="n"/>
      <c r="AL785" s="11" t="n"/>
      <c r="AN785">
        <f>IF($E785="","",IF(COUNTIF($E$2:$E785,$E785)=1,1,0))</f>
        <v/>
      </c>
      <c r="AO785">
        <f>IF($AN785=1,SUMPRODUCT(--($AR$2:$AR$3001&lt;$AR785))+1,"")</f>
        <v/>
      </c>
      <c r="AP785">
        <f>IF($E785="","",IF(OR($U785=TRUE(),$U785="TRUE"),1,0))</f>
        <v/>
      </c>
      <c r="AQ785">
        <f>IF($E785="","",IF($AD785="Yes",1,0))</f>
        <v/>
      </c>
      <c r="AR785">
        <f>IF($AN785=1,IFERROR(VALUE(MID($E785,2,20)),1000000000)+ROW()/100000,"")</f>
        <v/>
      </c>
    </row>
    <row r="786">
      <c r="G786" s="11" t="n"/>
      <c r="Q786" s="7">
        <f>IF($E786="","",P786*AB786/100)</f>
        <v/>
      </c>
      <c r="R786" s="7" t="n"/>
      <c r="X786" s="7" t="n"/>
      <c r="Y786" s="7">
        <f>IF($E786="","",AB786*AE786/100)</f>
        <v/>
      </c>
      <c r="Z786" s="7">
        <f>IF($E786="","",AB786-Y786)</f>
        <v/>
      </c>
      <c r="AA786" s="7">
        <f>IF($E786="","",Z786-Q786)</f>
        <v/>
      </c>
      <c r="AB786" s="7" t="n"/>
      <c r="AE786">
        <f>IF($E786="","",IF($AQ786=1,0,IF($AP786=1,Settings!$C$6,Settings!$C$7))*100)</f>
        <v/>
      </c>
      <c r="AI786" s="7" t="n"/>
      <c r="AL786" s="11" t="n"/>
      <c r="AN786">
        <f>IF($E786="","",IF(COUNTIF($E$2:$E786,$E786)=1,1,0))</f>
        <v/>
      </c>
      <c r="AO786">
        <f>IF($AN786=1,SUMPRODUCT(--($AR$2:$AR$3001&lt;$AR786))+1,"")</f>
        <v/>
      </c>
      <c r="AP786">
        <f>IF($E786="","",IF(OR($U786=TRUE(),$U786="TRUE"),1,0))</f>
        <v/>
      </c>
      <c r="AQ786">
        <f>IF($E786="","",IF($AD786="Yes",1,0))</f>
        <v/>
      </c>
      <c r="AR786">
        <f>IF($AN786=1,IFERROR(VALUE(MID($E786,2,20)),1000000000)+ROW()/100000,"")</f>
        <v/>
      </c>
    </row>
    <row r="787">
      <c r="G787" s="11" t="n"/>
      <c r="Q787" s="7">
        <f>IF($E787="","",P787*AB787/100)</f>
        <v/>
      </c>
      <c r="R787" s="7" t="n"/>
      <c r="X787" s="7" t="n"/>
      <c r="Y787" s="7">
        <f>IF($E787="","",AB787*AE787/100)</f>
        <v/>
      </c>
      <c r="Z787" s="7">
        <f>IF($E787="","",AB787-Y787)</f>
        <v/>
      </c>
      <c r="AA787" s="7">
        <f>IF($E787="","",Z787-Q787)</f>
        <v/>
      </c>
      <c r="AB787" s="7" t="n"/>
      <c r="AE787">
        <f>IF($E787="","",IF($AQ787=1,0,IF($AP787=1,Settings!$C$6,Settings!$C$7))*100)</f>
        <v/>
      </c>
      <c r="AI787" s="7" t="n"/>
      <c r="AL787" s="11" t="n"/>
      <c r="AN787">
        <f>IF($E787="","",IF(COUNTIF($E$2:$E787,$E787)=1,1,0))</f>
        <v/>
      </c>
      <c r="AO787">
        <f>IF($AN787=1,SUMPRODUCT(--($AR$2:$AR$3001&lt;$AR787))+1,"")</f>
        <v/>
      </c>
      <c r="AP787">
        <f>IF($E787="","",IF(OR($U787=TRUE(),$U787="TRUE"),1,0))</f>
        <v/>
      </c>
      <c r="AQ787">
        <f>IF($E787="","",IF($AD787="Yes",1,0))</f>
        <v/>
      </c>
      <c r="AR787">
        <f>IF($AN787=1,IFERROR(VALUE(MID($E787,2,20)),1000000000)+ROW()/100000,"")</f>
        <v/>
      </c>
    </row>
    <row r="788">
      <c r="G788" s="11" t="n"/>
      <c r="Q788" s="7">
        <f>IF($E788="","",P788*AB788/100)</f>
        <v/>
      </c>
      <c r="R788" s="7" t="n"/>
      <c r="X788" s="7" t="n"/>
      <c r="Y788" s="7">
        <f>IF($E788="","",AB788*AE788/100)</f>
        <v/>
      </c>
      <c r="Z788" s="7">
        <f>IF($E788="","",AB788-Y788)</f>
        <v/>
      </c>
      <c r="AA788" s="7">
        <f>IF($E788="","",Z788-Q788)</f>
        <v/>
      </c>
      <c r="AB788" s="7" t="n"/>
      <c r="AE788">
        <f>IF($E788="","",IF($AQ788=1,0,IF($AP788=1,Settings!$C$6,Settings!$C$7))*100)</f>
        <v/>
      </c>
      <c r="AI788" s="7" t="n"/>
      <c r="AL788" s="11" t="n"/>
      <c r="AN788">
        <f>IF($E788="","",IF(COUNTIF($E$2:$E788,$E788)=1,1,0))</f>
        <v/>
      </c>
      <c r="AO788">
        <f>IF($AN788=1,SUMPRODUCT(--($AR$2:$AR$3001&lt;$AR788))+1,"")</f>
        <v/>
      </c>
      <c r="AP788">
        <f>IF($E788="","",IF(OR($U788=TRUE(),$U788="TRUE"),1,0))</f>
        <v/>
      </c>
      <c r="AQ788">
        <f>IF($E788="","",IF($AD788="Yes",1,0))</f>
        <v/>
      </c>
      <c r="AR788">
        <f>IF($AN788=1,IFERROR(VALUE(MID($E788,2,20)),1000000000)+ROW()/100000,"")</f>
        <v/>
      </c>
    </row>
    <row r="789">
      <c r="G789" s="11" t="n"/>
      <c r="Q789" s="7">
        <f>IF($E789="","",P789*AB789/100)</f>
        <v/>
      </c>
      <c r="R789" s="7" t="n"/>
      <c r="X789" s="7" t="n"/>
      <c r="Y789" s="7">
        <f>IF($E789="","",AB789*AE789/100)</f>
        <v/>
      </c>
      <c r="Z789" s="7">
        <f>IF($E789="","",AB789-Y789)</f>
        <v/>
      </c>
      <c r="AA789" s="7">
        <f>IF($E789="","",Z789-Q789)</f>
        <v/>
      </c>
      <c r="AB789" s="7" t="n"/>
      <c r="AE789">
        <f>IF($E789="","",IF($AQ789=1,0,IF($AP789=1,Settings!$C$6,Settings!$C$7))*100)</f>
        <v/>
      </c>
      <c r="AI789" s="7" t="n"/>
      <c r="AL789" s="11" t="n"/>
      <c r="AN789">
        <f>IF($E789="","",IF(COUNTIF($E$2:$E789,$E789)=1,1,0))</f>
        <v/>
      </c>
      <c r="AO789">
        <f>IF($AN789=1,SUMPRODUCT(--($AR$2:$AR$3001&lt;$AR789))+1,"")</f>
        <v/>
      </c>
      <c r="AP789">
        <f>IF($E789="","",IF(OR($U789=TRUE(),$U789="TRUE"),1,0))</f>
        <v/>
      </c>
      <c r="AQ789">
        <f>IF($E789="","",IF($AD789="Yes",1,0))</f>
        <v/>
      </c>
      <c r="AR789">
        <f>IF($AN789=1,IFERROR(VALUE(MID($E789,2,20)),1000000000)+ROW()/100000,"")</f>
        <v/>
      </c>
    </row>
    <row r="790">
      <c r="G790" s="11" t="n"/>
      <c r="Q790" s="7">
        <f>IF($E790="","",P790*AB790/100)</f>
        <v/>
      </c>
      <c r="R790" s="7" t="n"/>
      <c r="X790" s="7" t="n"/>
      <c r="Y790" s="7">
        <f>IF($E790="","",AB790*AE790/100)</f>
        <v/>
      </c>
      <c r="Z790" s="7">
        <f>IF($E790="","",AB790-Y790)</f>
        <v/>
      </c>
      <c r="AA790" s="7">
        <f>IF($E790="","",Z790-Q790)</f>
        <v/>
      </c>
      <c r="AB790" s="7" t="n"/>
      <c r="AE790">
        <f>IF($E790="","",IF($AQ790=1,0,IF($AP790=1,Settings!$C$6,Settings!$C$7))*100)</f>
        <v/>
      </c>
      <c r="AI790" s="7" t="n"/>
      <c r="AL790" s="11" t="n"/>
      <c r="AN790">
        <f>IF($E790="","",IF(COUNTIF($E$2:$E790,$E790)=1,1,0))</f>
        <v/>
      </c>
      <c r="AO790">
        <f>IF($AN790=1,SUMPRODUCT(--($AR$2:$AR$3001&lt;$AR790))+1,"")</f>
        <v/>
      </c>
      <c r="AP790">
        <f>IF($E790="","",IF(OR($U790=TRUE(),$U790="TRUE"),1,0))</f>
        <v/>
      </c>
      <c r="AQ790">
        <f>IF($E790="","",IF($AD790="Yes",1,0))</f>
        <v/>
      </c>
      <c r="AR790">
        <f>IF($AN790=1,IFERROR(VALUE(MID($E790,2,20)),1000000000)+ROW()/100000,"")</f>
        <v/>
      </c>
    </row>
    <row r="791">
      <c r="G791" s="11" t="n"/>
      <c r="Q791" s="7">
        <f>IF($E791="","",P791*AB791/100)</f>
        <v/>
      </c>
      <c r="R791" s="7" t="n"/>
      <c r="X791" s="7" t="n"/>
      <c r="Y791" s="7">
        <f>IF($E791="","",AB791*AE791/100)</f>
        <v/>
      </c>
      <c r="Z791" s="7">
        <f>IF($E791="","",AB791-Y791)</f>
        <v/>
      </c>
      <c r="AA791" s="7">
        <f>IF($E791="","",Z791-Q791)</f>
        <v/>
      </c>
      <c r="AB791" s="7" t="n"/>
      <c r="AE791">
        <f>IF($E791="","",IF($AQ791=1,0,IF($AP791=1,Settings!$C$6,Settings!$C$7))*100)</f>
        <v/>
      </c>
      <c r="AI791" s="7" t="n"/>
      <c r="AL791" s="11" t="n"/>
      <c r="AN791">
        <f>IF($E791="","",IF(COUNTIF($E$2:$E791,$E791)=1,1,0))</f>
        <v/>
      </c>
      <c r="AO791">
        <f>IF($AN791=1,SUMPRODUCT(--($AR$2:$AR$3001&lt;$AR791))+1,"")</f>
        <v/>
      </c>
      <c r="AP791">
        <f>IF($E791="","",IF(OR($U791=TRUE(),$U791="TRUE"),1,0))</f>
        <v/>
      </c>
      <c r="AQ791">
        <f>IF($E791="","",IF($AD791="Yes",1,0))</f>
        <v/>
      </c>
      <c r="AR791">
        <f>IF($AN791=1,IFERROR(VALUE(MID($E791,2,20)),1000000000)+ROW()/100000,"")</f>
        <v/>
      </c>
    </row>
    <row r="792">
      <c r="G792" s="11" t="n"/>
      <c r="Q792" s="7">
        <f>IF($E792="","",P792*AB792/100)</f>
        <v/>
      </c>
      <c r="R792" s="7" t="n"/>
      <c r="X792" s="7" t="n"/>
      <c r="Y792" s="7">
        <f>IF($E792="","",AB792*AE792/100)</f>
        <v/>
      </c>
      <c r="Z792" s="7">
        <f>IF($E792="","",AB792-Y792)</f>
        <v/>
      </c>
      <c r="AA792" s="7">
        <f>IF($E792="","",Z792-Q792)</f>
        <v/>
      </c>
      <c r="AB792" s="7" t="n"/>
      <c r="AE792">
        <f>IF($E792="","",IF($AQ792=1,0,IF($AP792=1,Settings!$C$6,Settings!$C$7))*100)</f>
        <v/>
      </c>
      <c r="AI792" s="7" t="n"/>
      <c r="AL792" s="11" t="n"/>
      <c r="AN792">
        <f>IF($E792="","",IF(COUNTIF($E$2:$E792,$E792)=1,1,0))</f>
        <v/>
      </c>
      <c r="AO792">
        <f>IF($AN792=1,SUMPRODUCT(--($AR$2:$AR$3001&lt;$AR792))+1,"")</f>
        <v/>
      </c>
      <c r="AP792">
        <f>IF($E792="","",IF(OR($U792=TRUE(),$U792="TRUE"),1,0))</f>
        <v/>
      </c>
      <c r="AQ792">
        <f>IF($E792="","",IF($AD792="Yes",1,0))</f>
        <v/>
      </c>
      <c r="AR792">
        <f>IF($AN792=1,IFERROR(VALUE(MID($E792,2,20)),1000000000)+ROW()/100000,"")</f>
        <v/>
      </c>
    </row>
    <row r="793">
      <c r="G793" s="11" t="n"/>
      <c r="Q793" s="7">
        <f>IF($E793="","",P793*AB793/100)</f>
        <v/>
      </c>
      <c r="R793" s="7" t="n"/>
      <c r="X793" s="7" t="n"/>
      <c r="Y793" s="7">
        <f>IF($E793="","",AB793*AE793/100)</f>
        <v/>
      </c>
      <c r="Z793" s="7">
        <f>IF($E793="","",AB793-Y793)</f>
        <v/>
      </c>
      <c r="AA793" s="7">
        <f>IF($E793="","",Z793-Q793)</f>
        <v/>
      </c>
      <c r="AB793" s="7" t="n"/>
      <c r="AE793">
        <f>IF($E793="","",IF($AQ793=1,0,IF($AP793=1,Settings!$C$6,Settings!$C$7))*100)</f>
        <v/>
      </c>
      <c r="AI793" s="7" t="n"/>
      <c r="AL793" s="11" t="n"/>
      <c r="AN793">
        <f>IF($E793="","",IF(COUNTIF($E$2:$E793,$E793)=1,1,0))</f>
        <v/>
      </c>
      <c r="AO793">
        <f>IF($AN793=1,SUMPRODUCT(--($AR$2:$AR$3001&lt;$AR793))+1,"")</f>
        <v/>
      </c>
      <c r="AP793">
        <f>IF($E793="","",IF(OR($U793=TRUE(),$U793="TRUE"),1,0))</f>
        <v/>
      </c>
      <c r="AQ793">
        <f>IF($E793="","",IF($AD793="Yes",1,0))</f>
        <v/>
      </c>
      <c r="AR793">
        <f>IF($AN793=1,IFERROR(VALUE(MID($E793,2,20)),1000000000)+ROW()/100000,"")</f>
        <v/>
      </c>
    </row>
    <row r="794">
      <c r="G794" s="11" t="n"/>
      <c r="Q794" s="7">
        <f>IF($E794="","",P794*AB794/100)</f>
        <v/>
      </c>
      <c r="R794" s="7" t="n"/>
      <c r="X794" s="7" t="n"/>
      <c r="Y794" s="7">
        <f>IF($E794="","",AB794*AE794/100)</f>
        <v/>
      </c>
      <c r="Z794" s="7">
        <f>IF($E794="","",AB794-Y794)</f>
        <v/>
      </c>
      <c r="AA794" s="7">
        <f>IF($E794="","",Z794-Q794)</f>
        <v/>
      </c>
      <c r="AB794" s="7" t="n"/>
      <c r="AE794">
        <f>IF($E794="","",IF($AQ794=1,0,IF($AP794=1,Settings!$C$6,Settings!$C$7))*100)</f>
        <v/>
      </c>
      <c r="AI794" s="7" t="n"/>
      <c r="AL794" s="11" t="n"/>
      <c r="AN794">
        <f>IF($E794="","",IF(COUNTIF($E$2:$E794,$E794)=1,1,0))</f>
        <v/>
      </c>
      <c r="AO794">
        <f>IF($AN794=1,SUMPRODUCT(--($AR$2:$AR$3001&lt;$AR794))+1,"")</f>
        <v/>
      </c>
      <c r="AP794">
        <f>IF($E794="","",IF(OR($U794=TRUE(),$U794="TRUE"),1,0))</f>
        <v/>
      </c>
      <c r="AQ794">
        <f>IF($E794="","",IF($AD794="Yes",1,0))</f>
        <v/>
      </c>
      <c r="AR794">
        <f>IF($AN794=1,IFERROR(VALUE(MID($E794,2,20)),1000000000)+ROW()/100000,"")</f>
        <v/>
      </c>
    </row>
    <row r="795">
      <c r="G795" s="11" t="n"/>
      <c r="Q795" s="7">
        <f>IF($E795="","",P795*AB795/100)</f>
        <v/>
      </c>
      <c r="R795" s="7" t="n"/>
      <c r="X795" s="7" t="n"/>
      <c r="Y795" s="7">
        <f>IF($E795="","",AB795*AE795/100)</f>
        <v/>
      </c>
      <c r="Z795" s="7">
        <f>IF($E795="","",AB795-Y795)</f>
        <v/>
      </c>
      <c r="AA795" s="7">
        <f>IF($E795="","",Z795-Q795)</f>
        <v/>
      </c>
      <c r="AB795" s="7" t="n"/>
      <c r="AE795">
        <f>IF($E795="","",IF($AQ795=1,0,IF($AP795=1,Settings!$C$6,Settings!$C$7))*100)</f>
        <v/>
      </c>
      <c r="AI795" s="7" t="n"/>
      <c r="AL795" s="11" t="n"/>
      <c r="AN795">
        <f>IF($E795="","",IF(COUNTIF($E$2:$E795,$E795)=1,1,0))</f>
        <v/>
      </c>
      <c r="AO795">
        <f>IF($AN795=1,SUMPRODUCT(--($AR$2:$AR$3001&lt;$AR795))+1,"")</f>
        <v/>
      </c>
      <c r="AP795">
        <f>IF($E795="","",IF(OR($U795=TRUE(),$U795="TRUE"),1,0))</f>
        <v/>
      </c>
      <c r="AQ795">
        <f>IF($E795="","",IF($AD795="Yes",1,0))</f>
        <v/>
      </c>
      <c r="AR795">
        <f>IF($AN795=1,IFERROR(VALUE(MID($E795,2,20)),1000000000)+ROW()/100000,"")</f>
        <v/>
      </c>
    </row>
    <row r="796">
      <c r="G796" s="11" t="n"/>
      <c r="Q796" s="7">
        <f>IF($E796="","",P796*AB796/100)</f>
        <v/>
      </c>
      <c r="R796" s="7" t="n"/>
      <c r="X796" s="7" t="n"/>
      <c r="Y796" s="7">
        <f>IF($E796="","",AB796*AE796/100)</f>
        <v/>
      </c>
      <c r="Z796" s="7">
        <f>IF($E796="","",AB796-Y796)</f>
        <v/>
      </c>
      <c r="AA796" s="7">
        <f>IF($E796="","",Z796-Q796)</f>
        <v/>
      </c>
      <c r="AB796" s="7" t="n"/>
      <c r="AE796">
        <f>IF($E796="","",IF($AQ796=1,0,IF($AP796=1,Settings!$C$6,Settings!$C$7))*100)</f>
        <v/>
      </c>
      <c r="AI796" s="7" t="n"/>
      <c r="AL796" s="11" t="n"/>
      <c r="AN796">
        <f>IF($E796="","",IF(COUNTIF($E$2:$E796,$E796)=1,1,0))</f>
        <v/>
      </c>
      <c r="AO796">
        <f>IF($AN796=1,SUMPRODUCT(--($AR$2:$AR$3001&lt;$AR796))+1,"")</f>
        <v/>
      </c>
      <c r="AP796">
        <f>IF($E796="","",IF(OR($U796=TRUE(),$U796="TRUE"),1,0))</f>
        <v/>
      </c>
      <c r="AQ796">
        <f>IF($E796="","",IF($AD796="Yes",1,0))</f>
        <v/>
      </c>
      <c r="AR796">
        <f>IF($AN796=1,IFERROR(VALUE(MID($E796,2,20)),1000000000)+ROW()/100000,"")</f>
        <v/>
      </c>
    </row>
    <row r="797">
      <c r="G797" s="11" t="n"/>
      <c r="Q797" s="7">
        <f>IF($E797="","",P797*AB797/100)</f>
        <v/>
      </c>
      <c r="R797" s="7" t="n"/>
      <c r="X797" s="7" t="n"/>
      <c r="Y797" s="7">
        <f>IF($E797="","",AB797*AE797/100)</f>
        <v/>
      </c>
      <c r="Z797" s="7">
        <f>IF($E797="","",AB797-Y797)</f>
        <v/>
      </c>
      <c r="AA797" s="7">
        <f>IF($E797="","",Z797-Q797)</f>
        <v/>
      </c>
      <c r="AB797" s="7" t="n"/>
      <c r="AE797">
        <f>IF($E797="","",IF($AQ797=1,0,IF($AP797=1,Settings!$C$6,Settings!$C$7))*100)</f>
        <v/>
      </c>
      <c r="AI797" s="7" t="n"/>
      <c r="AL797" s="11" t="n"/>
      <c r="AN797">
        <f>IF($E797="","",IF(COUNTIF($E$2:$E797,$E797)=1,1,0))</f>
        <v/>
      </c>
      <c r="AO797">
        <f>IF($AN797=1,SUMPRODUCT(--($AR$2:$AR$3001&lt;$AR797))+1,"")</f>
        <v/>
      </c>
      <c r="AP797">
        <f>IF($E797="","",IF(OR($U797=TRUE(),$U797="TRUE"),1,0))</f>
        <v/>
      </c>
      <c r="AQ797">
        <f>IF($E797="","",IF($AD797="Yes",1,0))</f>
        <v/>
      </c>
      <c r="AR797">
        <f>IF($AN797=1,IFERROR(VALUE(MID($E797,2,20)),1000000000)+ROW()/100000,"")</f>
        <v/>
      </c>
    </row>
    <row r="798">
      <c r="G798" s="11" t="n"/>
      <c r="Q798" s="7">
        <f>IF($E798="","",P798*AB798/100)</f>
        <v/>
      </c>
      <c r="R798" s="7" t="n"/>
      <c r="X798" s="7" t="n"/>
      <c r="Y798" s="7">
        <f>IF($E798="","",AB798*AE798/100)</f>
        <v/>
      </c>
      <c r="Z798" s="7">
        <f>IF($E798="","",AB798-Y798)</f>
        <v/>
      </c>
      <c r="AA798" s="7">
        <f>IF($E798="","",Z798-Q798)</f>
        <v/>
      </c>
      <c r="AB798" s="7" t="n"/>
      <c r="AE798">
        <f>IF($E798="","",IF($AQ798=1,0,IF($AP798=1,Settings!$C$6,Settings!$C$7))*100)</f>
        <v/>
      </c>
      <c r="AI798" s="7" t="n"/>
      <c r="AL798" s="11" t="n"/>
      <c r="AN798">
        <f>IF($E798="","",IF(COUNTIF($E$2:$E798,$E798)=1,1,0))</f>
        <v/>
      </c>
      <c r="AO798">
        <f>IF($AN798=1,SUMPRODUCT(--($AR$2:$AR$3001&lt;$AR798))+1,"")</f>
        <v/>
      </c>
      <c r="AP798">
        <f>IF($E798="","",IF(OR($U798=TRUE(),$U798="TRUE"),1,0))</f>
        <v/>
      </c>
      <c r="AQ798">
        <f>IF($E798="","",IF($AD798="Yes",1,0))</f>
        <v/>
      </c>
      <c r="AR798">
        <f>IF($AN798=1,IFERROR(VALUE(MID($E798,2,20)),1000000000)+ROW()/100000,"")</f>
        <v/>
      </c>
    </row>
    <row r="799">
      <c r="G799" s="11" t="n"/>
      <c r="Q799" s="7">
        <f>IF($E799="","",P799*AB799/100)</f>
        <v/>
      </c>
      <c r="R799" s="7" t="n"/>
      <c r="X799" s="7" t="n"/>
      <c r="Y799" s="7">
        <f>IF($E799="","",AB799*AE799/100)</f>
        <v/>
      </c>
      <c r="Z799" s="7">
        <f>IF($E799="","",AB799-Y799)</f>
        <v/>
      </c>
      <c r="AA799" s="7">
        <f>IF($E799="","",Z799-Q799)</f>
        <v/>
      </c>
      <c r="AB799" s="7" t="n"/>
      <c r="AE799">
        <f>IF($E799="","",IF($AQ799=1,0,IF($AP799=1,Settings!$C$6,Settings!$C$7))*100)</f>
        <v/>
      </c>
      <c r="AI799" s="7" t="n"/>
      <c r="AL799" s="11" t="n"/>
      <c r="AN799">
        <f>IF($E799="","",IF(COUNTIF($E$2:$E799,$E799)=1,1,0))</f>
        <v/>
      </c>
      <c r="AO799">
        <f>IF($AN799=1,SUMPRODUCT(--($AR$2:$AR$3001&lt;$AR799))+1,"")</f>
        <v/>
      </c>
      <c r="AP799">
        <f>IF($E799="","",IF(OR($U799=TRUE(),$U799="TRUE"),1,0))</f>
        <v/>
      </c>
      <c r="AQ799">
        <f>IF($E799="","",IF($AD799="Yes",1,0))</f>
        <v/>
      </c>
      <c r="AR799">
        <f>IF($AN799=1,IFERROR(VALUE(MID($E799,2,20)),1000000000)+ROW()/100000,"")</f>
        <v/>
      </c>
    </row>
    <row r="800">
      <c r="G800" s="11" t="n"/>
      <c r="Q800" s="7">
        <f>IF($E800="","",P800*AB800/100)</f>
        <v/>
      </c>
      <c r="R800" s="7" t="n"/>
      <c r="X800" s="7" t="n"/>
      <c r="Y800" s="7">
        <f>IF($E800="","",AB800*AE800/100)</f>
        <v/>
      </c>
      <c r="Z800" s="7">
        <f>IF($E800="","",AB800-Y800)</f>
        <v/>
      </c>
      <c r="AA800" s="7">
        <f>IF($E800="","",Z800-Q800)</f>
        <v/>
      </c>
      <c r="AB800" s="7" t="n"/>
      <c r="AE800">
        <f>IF($E800="","",IF($AQ800=1,0,IF($AP800=1,Settings!$C$6,Settings!$C$7))*100)</f>
        <v/>
      </c>
      <c r="AI800" s="7" t="n"/>
      <c r="AL800" s="11" t="n"/>
      <c r="AN800">
        <f>IF($E800="","",IF(COUNTIF($E$2:$E800,$E800)=1,1,0))</f>
        <v/>
      </c>
      <c r="AO800">
        <f>IF($AN800=1,SUMPRODUCT(--($AR$2:$AR$3001&lt;$AR800))+1,"")</f>
        <v/>
      </c>
      <c r="AP800">
        <f>IF($E800="","",IF(OR($U800=TRUE(),$U800="TRUE"),1,0))</f>
        <v/>
      </c>
      <c r="AQ800">
        <f>IF($E800="","",IF($AD800="Yes",1,0))</f>
        <v/>
      </c>
      <c r="AR800">
        <f>IF($AN800=1,IFERROR(VALUE(MID($E800,2,20)),1000000000)+ROW()/100000,"")</f>
        <v/>
      </c>
    </row>
    <row r="801">
      <c r="G801" s="11" t="n"/>
      <c r="Q801" s="7">
        <f>IF($E801="","",P801*AB801/100)</f>
        <v/>
      </c>
      <c r="R801" s="7" t="n"/>
      <c r="X801" s="7" t="n"/>
      <c r="Y801" s="7">
        <f>IF($E801="","",AB801*AE801/100)</f>
        <v/>
      </c>
      <c r="Z801" s="7">
        <f>IF($E801="","",AB801-Y801)</f>
        <v/>
      </c>
      <c r="AA801" s="7">
        <f>IF($E801="","",Z801-Q801)</f>
        <v/>
      </c>
      <c r="AB801" s="7" t="n"/>
      <c r="AE801">
        <f>IF($E801="","",IF($AQ801=1,0,IF($AP801=1,Settings!$C$6,Settings!$C$7))*100)</f>
        <v/>
      </c>
      <c r="AI801" s="7" t="n"/>
      <c r="AL801" s="11" t="n"/>
      <c r="AN801">
        <f>IF($E801="","",IF(COUNTIF($E$2:$E801,$E801)=1,1,0))</f>
        <v/>
      </c>
      <c r="AO801">
        <f>IF($AN801=1,SUMPRODUCT(--($AR$2:$AR$3001&lt;$AR801))+1,"")</f>
        <v/>
      </c>
      <c r="AP801">
        <f>IF($E801="","",IF(OR($U801=TRUE(),$U801="TRUE"),1,0))</f>
        <v/>
      </c>
      <c r="AQ801">
        <f>IF($E801="","",IF($AD801="Yes",1,0))</f>
        <v/>
      </c>
      <c r="AR801">
        <f>IF($AN801=1,IFERROR(VALUE(MID($E801,2,20)),1000000000)+ROW()/100000,"")</f>
        <v/>
      </c>
    </row>
    <row r="802">
      <c r="G802" s="11" t="n"/>
      <c r="Q802" s="7">
        <f>IF($E802="","",P802*AB802/100)</f>
        <v/>
      </c>
      <c r="R802" s="7" t="n"/>
      <c r="X802" s="7" t="n"/>
      <c r="Y802" s="7">
        <f>IF($E802="","",AB802*AE802/100)</f>
        <v/>
      </c>
      <c r="Z802" s="7">
        <f>IF($E802="","",AB802-Y802)</f>
        <v/>
      </c>
      <c r="AA802" s="7">
        <f>IF($E802="","",Z802-Q802)</f>
        <v/>
      </c>
      <c r="AB802" s="7" t="n"/>
      <c r="AE802">
        <f>IF($E802="","",IF($AQ802=1,0,IF($AP802=1,Settings!$C$6,Settings!$C$7))*100)</f>
        <v/>
      </c>
      <c r="AI802" s="7" t="n"/>
      <c r="AL802" s="11" t="n"/>
      <c r="AN802">
        <f>IF($E802="","",IF(COUNTIF($E$2:$E802,$E802)=1,1,0))</f>
        <v/>
      </c>
      <c r="AO802">
        <f>IF($AN802=1,SUMPRODUCT(--($AR$2:$AR$3001&lt;$AR802))+1,"")</f>
        <v/>
      </c>
      <c r="AP802">
        <f>IF($E802="","",IF(OR($U802=TRUE(),$U802="TRUE"),1,0))</f>
        <v/>
      </c>
      <c r="AQ802">
        <f>IF($E802="","",IF($AD802="Yes",1,0))</f>
        <v/>
      </c>
      <c r="AR802">
        <f>IF($AN802=1,IFERROR(VALUE(MID($E802,2,20)),1000000000)+ROW()/100000,"")</f>
        <v/>
      </c>
    </row>
    <row r="803">
      <c r="G803" s="11" t="n"/>
      <c r="Q803" s="7">
        <f>IF($E803="","",P803*AB803/100)</f>
        <v/>
      </c>
      <c r="R803" s="7" t="n"/>
      <c r="X803" s="7" t="n"/>
      <c r="Y803" s="7">
        <f>IF($E803="","",AB803*AE803/100)</f>
        <v/>
      </c>
      <c r="Z803" s="7">
        <f>IF($E803="","",AB803-Y803)</f>
        <v/>
      </c>
      <c r="AA803" s="7">
        <f>IF($E803="","",Z803-Q803)</f>
        <v/>
      </c>
      <c r="AB803" s="7" t="n"/>
      <c r="AE803">
        <f>IF($E803="","",IF($AQ803=1,0,IF($AP803=1,Settings!$C$6,Settings!$C$7))*100)</f>
        <v/>
      </c>
      <c r="AI803" s="7" t="n"/>
      <c r="AL803" s="11" t="n"/>
      <c r="AN803">
        <f>IF($E803="","",IF(COUNTIF($E$2:$E803,$E803)=1,1,0))</f>
        <v/>
      </c>
      <c r="AO803">
        <f>IF($AN803=1,SUMPRODUCT(--($AR$2:$AR$3001&lt;$AR803))+1,"")</f>
        <v/>
      </c>
      <c r="AP803">
        <f>IF($E803="","",IF(OR($U803=TRUE(),$U803="TRUE"),1,0))</f>
        <v/>
      </c>
      <c r="AQ803">
        <f>IF($E803="","",IF($AD803="Yes",1,0))</f>
        <v/>
      </c>
      <c r="AR803">
        <f>IF($AN803=1,IFERROR(VALUE(MID($E803,2,20)),1000000000)+ROW()/100000,"")</f>
        <v/>
      </c>
    </row>
    <row r="804">
      <c r="G804" s="11" t="n"/>
      <c r="Q804" s="7">
        <f>IF($E804="","",P804*AB804/100)</f>
        <v/>
      </c>
      <c r="R804" s="7" t="n"/>
      <c r="X804" s="7" t="n"/>
      <c r="Y804" s="7">
        <f>IF($E804="","",AB804*AE804/100)</f>
        <v/>
      </c>
      <c r="Z804" s="7">
        <f>IF($E804="","",AB804-Y804)</f>
        <v/>
      </c>
      <c r="AA804" s="7">
        <f>IF($E804="","",Z804-Q804)</f>
        <v/>
      </c>
      <c r="AB804" s="7" t="n"/>
      <c r="AE804">
        <f>IF($E804="","",IF($AQ804=1,0,IF($AP804=1,Settings!$C$6,Settings!$C$7))*100)</f>
        <v/>
      </c>
      <c r="AI804" s="7" t="n"/>
      <c r="AL804" s="11" t="n"/>
      <c r="AN804">
        <f>IF($E804="","",IF(COUNTIF($E$2:$E804,$E804)=1,1,0))</f>
        <v/>
      </c>
      <c r="AO804">
        <f>IF($AN804=1,SUMPRODUCT(--($AR$2:$AR$3001&lt;$AR804))+1,"")</f>
        <v/>
      </c>
      <c r="AP804">
        <f>IF($E804="","",IF(OR($U804=TRUE(),$U804="TRUE"),1,0))</f>
        <v/>
      </c>
      <c r="AQ804">
        <f>IF($E804="","",IF($AD804="Yes",1,0))</f>
        <v/>
      </c>
      <c r="AR804">
        <f>IF($AN804=1,IFERROR(VALUE(MID($E804,2,20)),1000000000)+ROW()/100000,"")</f>
        <v/>
      </c>
    </row>
    <row r="805">
      <c r="G805" s="11" t="n"/>
      <c r="Q805" s="7">
        <f>IF($E805="","",P805*AB805/100)</f>
        <v/>
      </c>
      <c r="R805" s="7" t="n"/>
      <c r="X805" s="7" t="n"/>
      <c r="Y805" s="7">
        <f>IF($E805="","",AB805*AE805/100)</f>
        <v/>
      </c>
      <c r="Z805" s="7">
        <f>IF($E805="","",AB805-Y805)</f>
        <v/>
      </c>
      <c r="AA805" s="7">
        <f>IF($E805="","",Z805-Q805)</f>
        <v/>
      </c>
      <c r="AB805" s="7" t="n"/>
      <c r="AE805">
        <f>IF($E805="","",IF($AQ805=1,0,IF($AP805=1,Settings!$C$6,Settings!$C$7))*100)</f>
        <v/>
      </c>
      <c r="AI805" s="7" t="n"/>
      <c r="AL805" s="11" t="n"/>
      <c r="AN805">
        <f>IF($E805="","",IF(COUNTIF($E$2:$E805,$E805)=1,1,0))</f>
        <v/>
      </c>
      <c r="AO805">
        <f>IF($AN805=1,SUMPRODUCT(--($AR$2:$AR$3001&lt;$AR805))+1,"")</f>
        <v/>
      </c>
      <c r="AP805">
        <f>IF($E805="","",IF(OR($U805=TRUE(),$U805="TRUE"),1,0))</f>
        <v/>
      </c>
      <c r="AQ805">
        <f>IF($E805="","",IF($AD805="Yes",1,0))</f>
        <v/>
      </c>
      <c r="AR805">
        <f>IF($AN805=1,IFERROR(VALUE(MID($E805,2,20)),1000000000)+ROW()/100000,"")</f>
        <v/>
      </c>
    </row>
    <row r="806">
      <c r="G806" s="11" t="n"/>
      <c r="Q806" s="7">
        <f>IF($E806="","",P806*AB806/100)</f>
        <v/>
      </c>
      <c r="R806" s="7" t="n"/>
      <c r="X806" s="7" t="n"/>
      <c r="Y806" s="7">
        <f>IF($E806="","",AB806*AE806/100)</f>
        <v/>
      </c>
      <c r="Z806" s="7">
        <f>IF($E806="","",AB806-Y806)</f>
        <v/>
      </c>
      <c r="AA806" s="7">
        <f>IF($E806="","",Z806-Q806)</f>
        <v/>
      </c>
      <c r="AB806" s="7" t="n"/>
      <c r="AE806">
        <f>IF($E806="","",IF($AQ806=1,0,IF($AP806=1,Settings!$C$6,Settings!$C$7))*100)</f>
        <v/>
      </c>
      <c r="AI806" s="7" t="n"/>
      <c r="AL806" s="11" t="n"/>
      <c r="AN806">
        <f>IF($E806="","",IF(COUNTIF($E$2:$E806,$E806)=1,1,0))</f>
        <v/>
      </c>
      <c r="AO806">
        <f>IF($AN806=1,SUMPRODUCT(--($AR$2:$AR$3001&lt;$AR806))+1,"")</f>
        <v/>
      </c>
      <c r="AP806">
        <f>IF($E806="","",IF(OR($U806=TRUE(),$U806="TRUE"),1,0))</f>
        <v/>
      </c>
      <c r="AQ806">
        <f>IF($E806="","",IF($AD806="Yes",1,0))</f>
        <v/>
      </c>
      <c r="AR806">
        <f>IF($AN806=1,IFERROR(VALUE(MID($E806,2,20)),1000000000)+ROW()/100000,"")</f>
        <v/>
      </c>
    </row>
    <row r="807">
      <c r="G807" s="11" t="n"/>
      <c r="Q807" s="7">
        <f>IF($E807="","",P807*AB807/100)</f>
        <v/>
      </c>
      <c r="R807" s="7" t="n"/>
      <c r="X807" s="7" t="n"/>
      <c r="Y807" s="7">
        <f>IF($E807="","",AB807*AE807/100)</f>
        <v/>
      </c>
      <c r="Z807" s="7">
        <f>IF($E807="","",AB807-Y807)</f>
        <v/>
      </c>
      <c r="AA807" s="7">
        <f>IF($E807="","",Z807-Q807)</f>
        <v/>
      </c>
      <c r="AB807" s="7" t="n"/>
      <c r="AE807">
        <f>IF($E807="","",IF($AQ807=1,0,IF($AP807=1,Settings!$C$6,Settings!$C$7))*100)</f>
        <v/>
      </c>
      <c r="AI807" s="7" t="n"/>
      <c r="AL807" s="11" t="n"/>
      <c r="AN807">
        <f>IF($E807="","",IF(COUNTIF($E$2:$E807,$E807)=1,1,0))</f>
        <v/>
      </c>
      <c r="AO807">
        <f>IF($AN807=1,SUMPRODUCT(--($AR$2:$AR$3001&lt;$AR807))+1,"")</f>
        <v/>
      </c>
      <c r="AP807">
        <f>IF($E807="","",IF(OR($U807=TRUE(),$U807="TRUE"),1,0))</f>
        <v/>
      </c>
      <c r="AQ807">
        <f>IF($E807="","",IF($AD807="Yes",1,0))</f>
        <v/>
      </c>
      <c r="AR807">
        <f>IF($AN807=1,IFERROR(VALUE(MID($E807,2,20)),1000000000)+ROW()/100000,"")</f>
        <v/>
      </c>
    </row>
    <row r="808">
      <c r="G808" s="11" t="n"/>
      <c r="Q808" s="7">
        <f>IF($E808="","",P808*AB808/100)</f>
        <v/>
      </c>
      <c r="R808" s="7" t="n"/>
      <c r="X808" s="7" t="n"/>
      <c r="Y808" s="7">
        <f>IF($E808="","",AB808*AE808/100)</f>
        <v/>
      </c>
      <c r="Z808" s="7">
        <f>IF($E808="","",AB808-Y808)</f>
        <v/>
      </c>
      <c r="AA808" s="7">
        <f>IF($E808="","",Z808-Q808)</f>
        <v/>
      </c>
      <c r="AB808" s="7" t="n"/>
      <c r="AE808">
        <f>IF($E808="","",IF($AQ808=1,0,IF($AP808=1,Settings!$C$6,Settings!$C$7))*100)</f>
        <v/>
      </c>
      <c r="AI808" s="7" t="n"/>
      <c r="AL808" s="11" t="n"/>
      <c r="AN808">
        <f>IF($E808="","",IF(COUNTIF($E$2:$E808,$E808)=1,1,0))</f>
        <v/>
      </c>
      <c r="AO808">
        <f>IF($AN808=1,SUMPRODUCT(--($AR$2:$AR$3001&lt;$AR808))+1,"")</f>
        <v/>
      </c>
      <c r="AP808">
        <f>IF($E808="","",IF(OR($U808=TRUE(),$U808="TRUE"),1,0))</f>
        <v/>
      </c>
      <c r="AQ808">
        <f>IF($E808="","",IF($AD808="Yes",1,0))</f>
        <v/>
      </c>
      <c r="AR808">
        <f>IF($AN808=1,IFERROR(VALUE(MID($E808,2,20)),1000000000)+ROW()/100000,"")</f>
        <v/>
      </c>
    </row>
    <row r="809">
      <c r="G809" s="11" t="n"/>
      <c r="Q809" s="7">
        <f>IF($E809="","",P809*AB809/100)</f>
        <v/>
      </c>
      <c r="R809" s="7" t="n"/>
      <c r="X809" s="7" t="n"/>
      <c r="Y809" s="7">
        <f>IF($E809="","",AB809*AE809/100)</f>
        <v/>
      </c>
      <c r="Z809" s="7">
        <f>IF($E809="","",AB809-Y809)</f>
        <v/>
      </c>
      <c r="AA809" s="7">
        <f>IF($E809="","",Z809-Q809)</f>
        <v/>
      </c>
      <c r="AB809" s="7" t="n"/>
      <c r="AE809">
        <f>IF($E809="","",IF($AQ809=1,0,IF($AP809=1,Settings!$C$6,Settings!$C$7))*100)</f>
        <v/>
      </c>
      <c r="AI809" s="7" t="n"/>
      <c r="AL809" s="11" t="n"/>
      <c r="AN809">
        <f>IF($E809="","",IF(COUNTIF($E$2:$E809,$E809)=1,1,0))</f>
        <v/>
      </c>
      <c r="AO809">
        <f>IF($AN809=1,SUMPRODUCT(--($AR$2:$AR$3001&lt;$AR809))+1,"")</f>
        <v/>
      </c>
      <c r="AP809">
        <f>IF($E809="","",IF(OR($U809=TRUE(),$U809="TRUE"),1,0))</f>
        <v/>
      </c>
      <c r="AQ809">
        <f>IF($E809="","",IF($AD809="Yes",1,0))</f>
        <v/>
      </c>
      <c r="AR809">
        <f>IF($AN809=1,IFERROR(VALUE(MID($E809,2,20)),1000000000)+ROW()/100000,"")</f>
        <v/>
      </c>
    </row>
    <row r="810">
      <c r="G810" s="11" t="n"/>
      <c r="Q810" s="7">
        <f>IF($E810="","",P810*AB810/100)</f>
        <v/>
      </c>
      <c r="R810" s="7" t="n"/>
      <c r="X810" s="7" t="n"/>
      <c r="Y810" s="7">
        <f>IF($E810="","",AB810*AE810/100)</f>
        <v/>
      </c>
      <c r="Z810" s="7">
        <f>IF($E810="","",AB810-Y810)</f>
        <v/>
      </c>
      <c r="AA810" s="7">
        <f>IF($E810="","",Z810-Q810)</f>
        <v/>
      </c>
      <c r="AB810" s="7" t="n"/>
      <c r="AE810">
        <f>IF($E810="","",IF($AQ810=1,0,IF($AP810=1,Settings!$C$6,Settings!$C$7))*100)</f>
        <v/>
      </c>
      <c r="AI810" s="7" t="n"/>
      <c r="AL810" s="11" t="n"/>
      <c r="AN810">
        <f>IF($E810="","",IF(COUNTIF($E$2:$E810,$E810)=1,1,0))</f>
        <v/>
      </c>
      <c r="AO810">
        <f>IF($AN810=1,SUMPRODUCT(--($AR$2:$AR$3001&lt;$AR810))+1,"")</f>
        <v/>
      </c>
      <c r="AP810">
        <f>IF($E810="","",IF(OR($U810=TRUE(),$U810="TRUE"),1,0))</f>
        <v/>
      </c>
      <c r="AQ810">
        <f>IF($E810="","",IF($AD810="Yes",1,0))</f>
        <v/>
      </c>
      <c r="AR810">
        <f>IF($AN810=1,IFERROR(VALUE(MID($E810,2,20)),1000000000)+ROW()/100000,"")</f>
        <v/>
      </c>
    </row>
    <row r="811">
      <c r="G811" s="11" t="n"/>
      <c r="Q811" s="7">
        <f>IF($E811="","",P811*AB811/100)</f>
        <v/>
      </c>
      <c r="R811" s="7" t="n"/>
      <c r="X811" s="7" t="n"/>
      <c r="Y811" s="7">
        <f>IF($E811="","",AB811*AE811/100)</f>
        <v/>
      </c>
      <c r="Z811" s="7">
        <f>IF($E811="","",AB811-Y811)</f>
        <v/>
      </c>
      <c r="AA811" s="7">
        <f>IF($E811="","",Z811-Q811)</f>
        <v/>
      </c>
      <c r="AB811" s="7" t="n"/>
      <c r="AE811">
        <f>IF($E811="","",IF($AQ811=1,0,IF($AP811=1,Settings!$C$6,Settings!$C$7))*100)</f>
        <v/>
      </c>
      <c r="AI811" s="7" t="n"/>
      <c r="AL811" s="11" t="n"/>
      <c r="AN811">
        <f>IF($E811="","",IF(COUNTIF($E$2:$E811,$E811)=1,1,0))</f>
        <v/>
      </c>
      <c r="AO811">
        <f>IF($AN811=1,SUMPRODUCT(--($AR$2:$AR$3001&lt;$AR811))+1,"")</f>
        <v/>
      </c>
      <c r="AP811">
        <f>IF($E811="","",IF(OR($U811=TRUE(),$U811="TRUE"),1,0))</f>
        <v/>
      </c>
      <c r="AQ811">
        <f>IF($E811="","",IF($AD811="Yes",1,0))</f>
        <v/>
      </c>
      <c r="AR811">
        <f>IF($AN811=1,IFERROR(VALUE(MID($E811,2,20)),1000000000)+ROW()/100000,"")</f>
        <v/>
      </c>
    </row>
    <row r="812">
      <c r="G812" s="11" t="n"/>
      <c r="Q812" s="7">
        <f>IF($E812="","",P812*AB812/100)</f>
        <v/>
      </c>
      <c r="R812" s="7" t="n"/>
      <c r="X812" s="7" t="n"/>
      <c r="Y812" s="7">
        <f>IF($E812="","",AB812*AE812/100)</f>
        <v/>
      </c>
      <c r="Z812" s="7">
        <f>IF($E812="","",AB812-Y812)</f>
        <v/>
      </c>
      <c r="AA812" s="7">
        <f>IF($E812="","",Z812-Q812)</f>
        <v/>
      </c>
      <c r="AB812" s="7" t="n"/>
      <c r="AE812">
        <f>IF($E812="","",IF($AQ812=1,0,IF($AP812=1,Settings!$C$6,Settings!$C$7))*100)</f>
        <v/>
      </c>
      <c r="AI812" s="7" t="n"/>
      <c r="AL812" s="11" t="n"/>
      <c r="AN812">
        <f>IF($E812="","",IF(COUNTIF($E$2:$E812,$E812)=1,1,0))</f>
        <v/>
      </c>
      <c r="AO812">
        <f>IF($AN812=1,SUMPRODUCT(--($AR$2:$AR$3001&lt;$AR812))+1,"")</f>
        <v/>
      </c>
      <c r="AP812">
        <f>IF($E812="","",IF(OR($U812=TRUE(),$U812="TRUE"),1,0))</f>
        <v/>
      </c>
      <c r="AQ812">
        <f>IF($E812="","",IF($AD812="Yes",1,0))</f>
        <v/>
      </c>
      <c r="AR812">
        <f>IF($AN812=1,IFERROR(VALUE(MID($E812,2,20)),1000000000)+ROW()/100000,"")</f>
        <v/>
      </c>
    </row>
    <row r="813">
      <c r="G813" s="11" t="n"/>
      <c r="Q813" s="7">
        <f>IF($E813="","",P813*AB813/100)</f>
        <v/>
      </c>
      <c r="R813" s="7" t="n"/>
      <c r="X813" s="7" t="n"/>
      <c r="Y813" s="7">
        <f>IF($E813="","",AB813*AE813/100)</f>
        <v/>
      </c>
      <c r="Z813" s="7">
        <f>IF($E813="","",AB813-Y813)</f>
        <v/>
      </c>
      <c r="AA813" s="7">
        <f>IF($E813="","",Z813-Q813)</f>
        <v/>
      </c>
      <c r="AB813" s="7" t="n"/>
      <c r="AE813">
        <f>IF($E813="","",IF($AQ813=1,0,IF($AP813=1,Settings!$C$6,Settings!$C$7))*100)</f>
        <v/>
      </c>
      <c r="AI813" s="7" t="n"/>
      <c r="AL813" s="11" t="n"/>
      <c r="AN813">
        <f>IF($E813="","",IF(COUNTIF($E$2:$E813,$E813)=1,1,0))</f>
        <v/>
      </c>
      <c r="AO813">
        <f>IF($AN813=1,SUMPRODUCT(--($AR$2:$AR$3001&lt;$AR813))+1,"")</f>
        <v/>
      </c>
      <c r="AP813">
        <f>IF($E813="","",IF(OR($U813=TRUE(),$U813="TRUE"),1,0))</f>
        <v/>
      </c>
      <c r="AQ813">
        <f>IF($E813="","",IF($AD813="Yes",1,0))</f>
        <v/>
      </c>
      <c r="AR813">
        <f>IF($AN813=1,IFERROR(VALUE(MID($E813,2,20)),1000000000)+ROW()/100000,"")</f>
        <v/>
      </c>
    </row>
    <row r="814">
      <c r="G814" s="11" t="n"/>
      <c r="Q814" s="7">
        <f>IF($E814="","",P814*AB814/100)</f>
        <v/>
      </c>
      <c r="R814" s="7" t="n"/>
      <c r="X814" s="7" t="n"/>
      <c r="Y814" s="7">
        <f>IF($E814="","",AB814*AE814/100)</f>
        <v/>
      </c>
      <c r="Z814" s="7">
        <f>IF($E814="","",AB814-Y814)</f>
        <v/>
      </c>
      <c r="AA814" s="7">
        <f>IF($E814="","",Z814-Q814)</f>
        <v/>
      </c>
      <c r="AB814" s="7" t="n"/>
      <c r="AE814">
        <f>IF($E814="","",IF($AQ814=1,0,IF($AP814=1,Settings!$C$6,Settings!$C$7))*100)</f>
        <v/>
      </c>
      <c r="AI814" s="7" t="n"/>
      <c r="AL814" s="11" t="n"/>
      <c r="AN814">
        <f>IF($E814="","",IF(COUNTIF($E$2:$E814,$E814)=1,1,0))</f>
        <v/>
      </c>
      <c r="AO814">
        <f>IF($AN814=1,SUMPRODUCT(--($AR$2:$AR$3001&lt;$AR814))+1,"")</f>
        <v/>
      </c>
      <c r="AP814">
        <f>IF($E814="","",IF(OR($U814=TRUE(),$U814="TRUE"),1,0))</f>
        <v/>
      </c>
      <c r="AQ814">
        <f>IF($E814="","",IF($AD814="Yes",1,0))</f>
        <v/>
      </c>
      <c r="AR814">
        <f>IF($AN814=1,IFERROR(VALUE(MID($E814,2,20)),1000000000)+ROW()/100000,"")</f>
        <v/>
      </c>
    </row>
    <row r="815">
      <c r="G815" s="11" t="n"/>
      <c r="Q815" s="7">
        <f>IF($E815="","",P815*AB815/100)</f>
        <v/>
      </c>
      <c r="R815" s="7" t="n"/>
      <c r="X815" s="7" t="n"/>
      <c r="Y815" s="7">
        <f>IF($E815="","",AB815*AE815/100)</f>
        <v/>
      </c>
      <c r="Z815" s="7">
        <f>IF($E815="","",AB815-Y815)</f>
        <v/>
      </c>
      <c r="AA815" s="7">
        <f>IF($E815="","",Z815-Q815)</f>
        <v/>
      </c>
      <c r="AB815" s="7" t="n"/>
      <c r="AE815">
        <f>IF($E815="","",IF($AQ815=1,0,IF($AP815=1,Settings!$C$6,Settings!$C$7))*100)</f>
        <v/>
      </c>
      <c r="AI815" s="7" t="n"/>
      <c r="AL815" s="11" t="n"/>
      <c r="AN815">
        <f>IF($E815="","",IF(COUNTIF($E$2:$E815,$E815)=1,1,0))</f>
        <v/>
      </c>
      <c r="AO815">
        <f>IF($AN815=1,SUMPRODUCT(--($AR$2:$AR$3001&lt;$AR815))+1,"")</f>
        <v/>
      </c>
      <c r="AP815">
        <f>IF($E815="","",IF(OR($U815=TRUE(),$U815="TRUE"),1,0))</f>
        <v/>
      </c>
      <c r="AQ815">
        <f>IF($E815="","",IF($AD815="Yes",1,0))</f>
        <v/>
      </c>
      <c r="AR815">
        <f>IF($AN815=1,IFERROR(VALUE(MID($E815,2,20)),1000000000)+ROW()/100000,"")</f>
        <v/>
      </c>
    </row>
    <row r="816">
      <c r="G816" s="11" t="n"/>
      <c r="Q816" s="7">
        <f>IF($E816="","",P816*AB816/100)</f>
        <v/>
      </c>
      <c r="R816" s="7" t="n"/>
      <c r="X816" s="7" t="n"/>
      <c r="Y816" s="7">
        <f>IF($E816="","",AB816*AE816/100)</f>
        <v/>
      </c>
      <c r="Z816" s="7">
        <f>IF($E816="","",AB816-Y816)</f>
        <v/>
      </c>
      <c r="AA816" s="7">
        <f>IF($E816="","",Z816-Q816)</f>
        <v/>
      </c>
      <c r="AB816" s="7" t="n"/>
      <c r="AE816">
        <f>IF($E816="","",IF($AQ816=1,0,IF($AP816=1,Settings!$C$6,Settings!$C$7))*100)</f>
        <v/>
      </c>
      <c r="AI816" s="7" t="n"/>
      <c r="AL816" s="11" t="n"/>
      <c r="AN816">
        <f>IF($E816="","",IF(COUNTIF($E$2:$E816,$E816)=1,1,0))</f>
        <v/>
      </c>
      <c r="AO816">
        <f>IF($AN816=1,SUMPRODUCT(--($AR$2:$AR$3001&lt;$AR816))+1,"")</f>
        <v/>
      </c>
      <c r="AP816">
        <f>IF($E816="","",IF(OR($U816=TRUE(),$U816="TRUE"),1,0))</f>
        <v/>
      </c>
      <c r="AQ816">
        <f>IF($E816="","",IF($AD816="Yes",1,0))</f>
        <v/>
      </c>
      <c r="AR816">
        <f>IF($AN816=1,IFERROR(VALUE(MID($E816,2,20)),1000000000)+ROW()/100000,"")</f>
        <v/>
      </c>
    </row>
    <row r="817">
      <c r="G817" s="11" t="n"/>
      <c r="Q817" s="7">
        <f>IF($E817="","",P817*AB817/100)</f>
        <v/>
      </c>
      <c r="R817" s="7" t="n"/>
      <c r="X817" s="7" t="n"/>
      <c r="Y817" s="7">
        <f>IF($E817="","",AB817*AE817/100)</f>
        <v/>
      </c>
      <c r="Z817" s="7">
        <f>IF($E817="","",AB817-Y817)</f>
        <v/>
      </c>
      <c r="AA817" s="7">
        <f>IF($E817="","",Z817-Q817)</f>
        <v/>
      </c>
      <c r="AB817" s="7" t="n"/>
      <c r="AE817">
        <f>IF($E817="","",IF($AQ817=1,0,IF($AP817=1,Settings!$C$6,Settings!$C$7))*100)</f>
        <v/>
      </c>
      <c r="AI817" s="7" t="n"/>
      <c r="AL817" s="11" t="n"/>
      <c r="AN817">
        <f>IF($E817="","",IF(COUNTIF($E$2:$E817,$E817)=1,1,0))</f>
        <v/>
      </c>
      <c r="AO817">
        <f>IF($AN817=1,SUMPRODUCT(--($AR$2:$AR$3001&lt;$AR817))+1,"")</f>
        <v/>
      </c>
      <c r="AP817">
        <f>IF($E817="","",IF(OR($U817=TRUE(),$U817="TRUE"),1,0))</f>
        <v/>
      </c>
      <c r="AQ817">
        <f>IF($E817="","",IF($AD817="Yes",1,0))</f>
        <v/>
      </c>
      <c r="AR817">
        <f>IF($AN817=1,IFERROR(VALUE(MID($E817,2,20)),1000000000)+ROW()/100000,"")</f>
        <v/>
      </c>
    </row>
    <row r="818">
      <c r="G818" s="11" t="n"/>
      <c r="Q818" s="7">
        <f>IF($E818="","",P818*AB818/100)</f>
        <v/>
      </c>
      <c r="R818" s="7" t="n"/>
      <c r="X818" s="7" t="n"/>
      <c r="Y818" s="7">
        <f>IF($E818="","",AB818*AE818/100)</f>
        <v/>
      </c>
      <c r="Z818" s="7">
        <f>IF($E818="","",AB818-Y818)</f>
        <v/>
      </c>
      <c r="AA818" s="7">
        <f>IF($E818="","",Z818-Q818)</f>
        <v/>
      </c>
      <c r="AB818" s="7" t="n"/>
      <c r="AE818">
        <f>IF($E818="","",IF($AQ818=1,0,IF($AP818=1,Settings!$C$6,Settings!$C$7))*100)</f>
        <v/>
      </c>
      <c r="AI818" s="7" t="n"/>
      <c r="AL818" s="11" t="n"/>
      <c r="AN818">
        <f>IF($E818="","",IF(COUNTIF($E$2:$E818,$E818)=1,1,0))</f>
        <v/>
      </c>
      <c r="AO818">
        <f>IF($AN818=1,SUMPRODUCT(--($AR$2:$AR$3001&lt;$AR818))+1,"")</f>
        <v/>
      </c>
      <c r="AP818">
        <f>IF($E818="","",IF(OR($U818=TRUE(),$U818="TRUE"),1,0))</f>
        <v/>
      </c>
      <c r="AQ818">
        <f>IF($E818="","",IF($AD818="Yes",1,0))</f>
        <v/>
      </c>
      <c r="AR818">
        <f>IF($AN818=1,IFERROR(VALUE(MID($E818,2,20)),1000000000)+ROW()/100000,"")</f>
        <v/>
      </c>
    </row>
    <row r="819">
      <c r="G819" s="11" t="n"/>
      <c r="Q819" s="7">
        <f>IF($E819="","",P819*AB819/100)</f>
        <v/>
      </c>
      <c r="R819" s="7" t="n"/>
      <c r="X819" s="7" t="n"/>
      <c r="Y819" s="7">
        <f>IF($E819="","",AB819*AE819/100)</f>
        <v/>
      </c>
      <c r="Z819" s="7">
        <f>IF($E819="","",AB819-Y819)</f>
        <v/>
      </c>
      <c r="AA819" s="7">
        <f>IF($E819="","",Z819-Q819)</f>
        <v/>
      </c>
      <c r="AB819" s="7" t="n"/>
      <c r="AE819">
        <f>IF($E819="","",IF($AQ819=1,0,IF($AP819=1,Settings!$C$6,Settings!$C$7))*100)</f>
        <v/>
      </c>
      <c r="AI819" s="7" t="n"/>
      <c r="AL819" s="11" t="n"/>
      <c r="AN819">
        <f>IF($E819="","",IF(COUNTIF($E$2:$E819,$E819)=1,1,0))</f>
        <v/>
      </c>
      <c r="AO819">
        <f>IF($AN819=1,SUMPRODUCT(--($AR$2:$AR$3001&lt;$AR819))+1,"")</f>
        <v/>
      </c>
      <c r="AP819">
        <f>IF($E819="","",IF(OR($U819=TRUE(),$U819="TRUE"),1,0))</f>
        <v/>
      </c>
      <c r="AQ819">
        <f>IF($E819="","",IF($AD819="Yes",1,0))</f>
        <v/>
      </c>
      <c r="AR819">
        <f>IF($AN819=1,IFERROR(VALUE(MID($E819,2,20)),1000000000)+ROW()/100000,"")</f>
        <v/>
      </c>
    </row>
    <row r="820">
      <c r="G820" s="11" t="n"/>
      <c r="Q820" s="7">
        <f>IF($E820="","",P820*AB820/100)</f>
        <v/>
      </c>
      <c r="R820" s="7" t="n"/>
      <c r="X820" s="7" t="n"/>
      <c r="Y820" s="7">
        <f>IF($E820="","",AB820*AE820/100)</f>
        <v/>
      </c>
      <c r="Z820" s="7">
        <f>IF($E820="","",AB820-Y820)</f>
        <v/>
      </c>
      <c r="AA820" s="7">
        <f>IF($E820="","",Z820-Q820)</f>
        <v/>
      </c>
      <c r="AB820" s="7" t="n"/>
      <c r="AE820">
        <f>IF($E820="","",IF($AQ820=1,0,IF($AP820=1,Settings!$C$6,Settings!$C$7))*100)</f>
        <v/>
      </c>
      <c r="AI820" s="7" t="n"/>
      <c r="AL820" s="11" t="n"/>
      <c r="AN820">
        <f>IF($E820="","",IF(COUNTIF($E$2:$E820,$E820)=1,1,0))</f>
        <v/>
      </c>
      <c r="AO820">
        <f>IF($AN820=1,SUMPRODUCT(--($AR$2:$AR$3001&lt;$AR820))+1,"")</f>
        <v/>
      </c>
      <c r="AP820">
        <f>IF($E820="","",IF(OR($U820=TRUE(),$U820="TRUE"),1,0))</f>
        <v/>
      </c>
      <c r="AQ820">
        <f>IF($E820="","",IF($AD820="Yes",1,0))</f>
        <v/>
      </c>
      <c r="AR820">
        <f>IF($AN820=1,IFERROR(VALUE(MID($E820,2,20)),1000000000)+ROW()/100000,"")</f>
        <v/>
      </c>
    </row>
    <row r="821">
      <c r="G821" s="11" t="n"/>
      <c r="Q821" s="7">
        <f>IF($E821="","",P821*AB821/100)</f>
        <v/>
      </c>
      <c r="R821" s="7" t="n"/>
      <c r="X821" s="7" t="n"/>
      <c r="Y821" s="7">
        <f>IF($E821="","",AB821*AE821/100)</f>
        <v/>
      </c>
      <c r="Z821" s="7">
        <f>IF($E821="","",AB821-Y821)</f>
        <v/>
      </c>
      <c r="AA821" s="7">
        <f>IF($E821="","",Z821-Q821)</f>
        <v/>
      </c>
      <c r="AB821" s="7" t="n"/>
      <c r="AE821">
        <f>IF($E821="","",IF($AQ821=1,0,IF($AP821=1,Settings!$C$6,Settings!$C$7))*100)</f>
        <v/>
      </c>
      <c r="AI821" s="7" t="n"/>
      <c r="AL821" s="11" t="n"/>
      <c r="AN821">
        <f>IF($E821="","",IF(COUNTIF($E$2:$E821,$E821)=1,1,0))</f>
        <v/>
      </c>
      <c r="AO821">
        <f>IF($AN821=1,SUMPRODUCT(--($AR$2:$AR$3001&lt;$AR821))+1,"")</f>
        <v/>
      </c>
      <c r="AP821">
        <f>IF($E821="","",IF(OR($U821=TRUE(),$U821="TRUE"),1,0))</f>
        <v/>
      </c>
      <c r="AQ821">
        <f>IF($E821="","",IF($AD821="Yes",1,0))</f>
        <v/>
      </c>
      <c r="AR821">
        <f>IF($AN821=1,IFERROR(VALUE(MID($E821,2,20)),1000000000)+ROW()/100000,"")</f>
        <v/>
      </c>
    </row>
    <row r="822">
      <c r="G822" s="11" t="n"/>
      <c r="Q822" s="7">
        <f>IF($E822="","",P822*AB822/100)</f>
        <v/>
      </c>
      <c r="R822" s="7" t="n"/>
      <c r="X822" s="7" t="n"/>
      <c r="Y822" s="7">
        <f>IF($E822="","",AB822*AE822/100)</f>
        <v/>
      </c>
      <c r="Z822" s="7">
        <f>IF($E822="","",AB822-Y822)</f>
        <v/>
      </c>
      <c r="AA822" s="7">
        <f>IF($E822="","",Z822-Q822)</f>
        <v/>
      </c>
      <c r="AB822" s="7" t="n"/>
      <c r="AE822">
        <f>IF($E822="","",IF($AQ822=1,0,IF($AP822=1,Settings!$C$6,Settings!$C$7))*100)</f>
        <v/>
      </c>
      <c r="AI822" s="7" t="n"/>
      <c r="AL822" s="11" t="n"/>
      <c r="AN822">
        <f>IF($E822="","",IF(COUNTIF($E$2:$E822,$E822)=1,1,0))</f>
        <v/>
      </c>
      <c r="AO822">
        <f>IF($AN822=1,SUMPRODUCT(--($AR$2:$AR$3001&lt;$AR822))+1,"")</f>
        <v/>
      </c>
      <c r="AP822">
        <f>IF($E822="","",IF(OR($U822=TRUE(),$U822="TRUE"),1,0))</f>
        <v/>
      </c>
      <c r="AQ822">
        <f>IF($E822="","",IF($AD822="Yes",1,0))</f>
        <v/>
      </c>
      <c r="AR822">
        <f>IF($AN822=1,IFERROR(VALUE(MID($E822,2,20)),1000000000)+ROW()/100000,"")</f>
        <v/>
      </c>
    </row>
    <row r="823">
      <c r="G823" s="11" t="n"/>
      <c r="Q823" s="7">
        <f>IF($E823="","",P823*AB823/100)</f>
        <v/>
      </c>
      <c r="R823" s="7" t="n"/>
      <c r="X823" s="7" t="n"/>
      <c r="Y823" s="7">
        <f>IF($E823="","",AB823*AE823/100)</f>
        <v/>
      </c>
      <c r="Z823" s="7">
        <f>IF($E823="","",AB823-Y823)</f>
        <v/>
      </c>
      <c r="AA823" s="7">
        <f>IF($E823="","",Z823-Q823)</f>
        <v/>
      </c>
      <c r="AB823" s="7" t="n"/>
      <c r="AE823">
        <f>IF($E823="","",IF($AQ823=1,0,IF($AP823=1,Settings!$C$6,Settings!$C$7))*100)</f>
        <v/>
      </c>
      <c r="AI823" s="7" t="n"/>
      <c r="AL823" s="11" t="n"/>
      <c r="AN823">
        <f>IF($E823="","",IF(COUNTIF($E$2:$E823,$E823)=1,1,0))</f>
        <v/>
      </c>
      <c r="AO823">
        <f>IF($AN823=1,SUMPRODUCT(--($AR$2:$AR$3001&lt;$AR823))+1,"")</f>
        <v/>
      </c>
      <c r="AP823">
        <f>IF($E823="","",IF(OR($U823=TRUE(),$U823="TRUE"),1,0))</f>
        <v/>
      </c>
      <c r="AQ823">
        <f>IF($E823="","",IF($AD823="Yes",1,0))</f>
        <v/>
      </c>
      <c r="AR823">
        <f>IF($AN823=1,IFERROR(VALUE(MID($E823,2,20)),1000000000)+ROW()/100000,"")</f>
        <v/>
      </c>
    </row>
    <row r="824">
      <c r="G824" s="11" t="n"/>
      <c r="Q824" s="7">
        <f>IF($E824="","",P824*AB824/100)</f>
        <v/>
      </c>
      <c r="R824" s="7" t="n"/>
      <c r="X824" s="7" t="n"/>
      <c r="Y824" s="7">
        <f>IF($E824="","",AB824*AE824/100)</f>
        <v/>
      </c>
      <c r="Z824" s="7">
        <f>IF($E824="","",AB824-Y824)</f>
        <v/>
      </c>
      <c r="AA824" s="7">
        <f>IF($E824="","",Z824-Q824)</f>
        <v/>
      </c>
      <c r="AB824" s="7" t="n"/>
      <c r="AE824">
        <f>IF($E824="","",IF($AQ824=1,0,IF($AP824=1,Settings!$C$6,Settings!$C$7))*100)</f>
        <v/>
      </c>
      <c r="AI824" s="7" t="n"/>
      <c r="AL824" s="11" t="n"/>
      <c r="AN824">
        <f>IF($E824="","",IF(COUNTIF($E$2:$E824,$E824)=1,1,0))</f>
        <v/>
      </c>
      <c r="AO824">
        <f>IF($AN824=1,SUMPRODUCT(--($AR$2:$AR$3001&lt;$AR824))+1,"")</f>
        <v/>
      </c>
      <c r="AP824">
        <f>IF($E824="","",IF(OR($U824=TRUE(),$U824="TRUE"),1,0))</f>
        <v/>
      </c>
      <c r="AQ824">
        <f>IF($E824="","",IF($AD824="Yes",1,0))</f>
        <v/>
      </c>
      <c r="AR824">
        <f>IF($AN824=1,IFERROR(VALUE(MID($E824,2,20)),1000000000)+ROW()/100000,"")</f>
        <v/>
      </c>
    </row>
    <row r="825">
      <c r="G825" s="11" t="n"/>
      <c r="Q825" s="7">
        <f>IF($E825="","",P825*AB825/100)</f>
        <v/>
      </c>
      <c r="R825" s="7" t="n"/>
      <c r="X825" s="7" t="n"/>
      <c r="Y825" s="7">
        <f>IF($E825="","",AB825*AE825/100)</f>
        <v/>
      </c>
      <c r="Z825" s="7">
        <f>IF($E825="","",AB825-Y825)</f>
        <v/>
      </c>
      <c r="AA825" s="7">
        <f>IF($E825="","",Z825-Q825)</f>
        <v/>
      </c>
      <c r="AB825" s="7" t="n"/>
      <c r="AE825">
        <f>IF($E825="","",IF($AQ825=1,0,IF($AP825=1,Settings!$C$6,Settings!$C$7))*100)</f>
        <v/>
      </c>
      <c r="AI825" s="7" t="n"/>
      <c r="AL825" s="11" t="n"/>
      <c r="AN825">
        <f>IF($E825="","",IF(COUNTIF($E$2:$E825,$E825)=1,1,0))</f>
        <v/>
      </c>
      <c r="AO825">
        <f>IF($AN825=1,SUMPRODUCT(--($AR$2:$AR$3001&lt;$AR825))+1,"")</f>
        <v/>
      </c>
      <c r="AP825">
        <f>IF($E825="","",IF(OR($U825=TRUE(),$U825="TRUE"),1,0))</f>
        <v/>
      </c>
      <c r="AQ825">
        <f>IF($E825="","",IF($AD825="Yes",1,0))</f>
        <v/>
      </c>
      <c r="AR825">
        <f>IF($AN825=1,IFERROR(VALUE(MID($E825,2,20)),1000000000)+ROW()/100000,"")</f>
        <v/>
      </c>
    </row>
    <row r="826">
      <c r="G826" s="11" t="n"/>
      <c r="Q826" s="7">
        <f>IF($E826="","",P826*AB826/100)</f>
        <v/>
      </c>
      <c r="R826" s="7" t="n"/>
      <c r="X826" s="7" t="n"/>
      <c r="Y826" s="7">
        <f>IF($E826="","",AB826*AE826/100)</f>
        <v/>
      </c>
      <c r="Z826" s="7">
        <f>IF($E826="","",AB826-Y826)</f>
        <v/>
      </c>
      <c r="AA826" s="7">
        <f>IF($E826="","",Z826-Q826)</f>
        <v/>
      </c>
      <c r="AB826" s="7" t="n"/>
      <c r="AE826">
        <f>IF($E826="","",IF($AQ826=1,0,IF($AP826=1,Settings!$C$6,Settings!$C$7))*100)</f>
        <v/>
      </c>
      <c r="AI826" s="7" t="n"/>
      <c r="AL826" s="11" t="n"/>
      <c r="AN826">
        <f>IF($E826="","",IF(COUNTIF($E$2:$E826,$E826)=1,1,0))</f>
        <v/>
      </c>
      <c r="AO826">
        <f>IF($AN826=1,SUMPRODUCT(--($AR$2:$AR$3001&lt;$AR826))+1,"")</f>
        <v/>
      </c>
      <c r="AP826">
        <f>IF($E826="","",IF(OR($U826=TRUE(),$U826="TRUE"),1,0))</f>
        <v/>
      </c>
      <c r="AQ826">
        <f>IF($E826="","",IF($AD826="Yes",1,0))</f>
        <v/>
      </c>
      <c r="AR826">
        <f>IF($AN826=1,IFERROR(VALUE(MID($E826,2,20)),1000000000)+ROW()/100000,"")</f>
        <v/>
      </c>
    </row>
    <row r="827">
      <c r="G827" s="11" t="n"/>
      <c r="Q827" s="7">
        <f>IF($E827="","",P827*AB827/100)</f>
        <v/>
      </c>
      <c r="R827" s="7" t="n"/>
      <c r="X827" s="7" t="n"/>
      <c r="Y827" s="7">
        <f>IF($E827="","",AB827*AE827/100)</f>
        <v/>
      </c>
      <c r="Z827" s="7">
        <f>IF($E827="","",AB827-Y827)</f>
        <v/>
      </c>
      <c r="AA827" s="7">
        <f>IF($E827="","",Z827-Q827)</f>
        <v/>
      </c>
      <c r="AB827" s="7" t="n"/>
      <c r="AE827">
        <f>IF($E827="","",IF($AQ827=1,0,IF($AP827=1,Settings!$C$6,Settings!$C$7))*100)</f>
        <v/>
      </c>
      <c r="AI827" s="7" t="n"/>
      <c r="AL827" s="11" t="n"/>
      <c r="AN827">
        <f>IF($E827="","",IF(COUNTIF($E$2:$E827,$E827)=1,1,0))</f>
        <v/>
      </c>
      <c r="AO827">
        <f>IF($AN827=1,SUMPRODUCT(--($AR$2:$AR$3001&lt;$AR827))+1,"")</f>
        <v/>
      </c>
      <c r="AP827">
        <f>IF($E827="","",IF(OR($U827=TRUE(),$U827="TRUE"),1,0))</f>
        <v/>
      </c>
      <c r="AQ827">
        <f>IF($E827="","",IF($AD827="Yes",1,0))</f>
        <v/>
      </c>
      <c r="AR827">
        <f>IF($AN827=1,IFERROR(VALUE(MID($E827,2,20)),1000000000)+ROW()/100000,"")</f>
        <v/>
      </c>
    </row>
    <row r="828">
      <c r="G828" s="11" t="n"/>
      <c r="Q828" s="7">
        <f>IF($E828="","",P828*AB828/100)</f>
        <v/>
      </c>
      <c r="R828" s="7" t="n"/>
      <c r="X828" s="7" t="n"/>
      <c r="Y828" s="7">
        <f>IF($E828="","",AB828*AE828/100)</f>
        <v/>
      </c>
      <c r="Z828" s="7">
        <f>IF($E828="","",AB828-Y828)</f>
        <v/>
      </c>
      <c r="AA828" s="7">
        <f>IF($E828="","",Z828-Q828)</f>
        <v/>
      </c>
      <c r="AB828" s="7" t="n"/>
      <c r="AE828">
        <f>IF($E828="","",IF($AQ828=1,0,IF($AP828=1,Settings!$C$6,Settings!$C$7))*100)</f>
        <v/>
      </c>
      <c r="AI828" s="7" t="n"/>
      <c r="AL828" s="11" t="n"/>
      <c r="AN828">
        <f>IF($E828="","",IF(COUNTIF($E$2:$E828,$E828)=1,1,0))</f>
        <v/>
      </c>
      <c r="AO828">
        <f>IF($AN828=1,SUMPRODUCT(--($AR$2:$AR$3001&lt;$AR828))+1,"")</f>
        <v/>
      </c>
      <c r="AP828">
        <f>IF($E828="","",IF(OR($U828=TRUE(),$U828="TRUE"),1,0))</f>
        <v/>
      </c>
      <c r="AQ828">
        <f>IF($E828="","",IF($AD828="Yes",1,0))</f>
        <v/>
      </c>
      <c r="AR828">
        <f>IF($AN828=1,IFERROR(VALUE(MID($E828,2,20)),1000000000)+ROW()/100000,"")</f>
        <v/>
      </c>
    </row>
    <row r="829">
      <c r="G829" s="11" t="n"/>
      <c r="Q829" s="7">
        <f>IF($E829="","",P829*AB829/100)</f>
        <v/>
      </c>
      <c r="R829" s="7" t="n"/>
      <c r="X829" s="7" t="n"/>
      <c r="Y829" s="7">
        <f>IF($E829="","",AB829*AE829/100)</f>
        <v/>
      </c>
      <c r="Z829" s="7">
        <f>IF($E829="","",AB829-Y829)</f>
        <v/>
      </c>
      <c r="AA829" s="7">
        <f>IF($E829="","",Z829-Q829)</f>
        <v/>
      </c>
      <c r="AB829" s="7" t="n"/>
      <c r="AE829">
        <f>IF($E829="","",IF($AQ829=1,0,IF($AP829=1,Settings!$C$6,Settings!$C$7))*100)</f>
        <v/>
      </c>
      <c r="AI829" s="7" t="n"/>
      <c r="AL829" s="11" t="n"/>
      <c r="AN829">
        <f>IF($E829="","",IF(COUNTIF($E$2:$E829,$E829)=1,1,0))</f>
        <v/>
      </c>
      <c r="AO829">
        <f>IF($AN829=1,SUMPRODUCT(--($AR$2:$AR$3001&lt;$AR829))+1,"")</f>
        <v/>
      </c>
      <c r="AP829">
        <f>IF($E829="","",IF(OR($U829=TRUE(),$U829="TRUE"),1,0))</f>
        <v/>
      </c>
      <c r="AQ829">
        <f>IF($E829="","",IF($AD829="Yes",1,0))</f>
        <v/>
      </c>
      <c r="AR829">
        <f>IF($AN829=1,IFERROR(VALUE(MID($E829,2,20)),1000000000)+ROW()/100000,"")</f>
        <v/>
      </c>
    </row>
    <row r="830">
      <c r="G830" s="11" t="n"/>
      <c r="Q830" s="7">
        <f>IF($E830="","",P830*AB830/100)</f>
        <v/>
      </c>
      <c r="R830" s="7" t="n"/>
      <c r="X830" s="7" t="n"/>
      <c r="Y830" s="7">
        <f>IF($E830="","",AB830*AE830/100)</f>
        <v/>
      </c>
      <c r="Z830" s="7">
        <f>IF($E830="","",AB830-Y830)</f>
        <v/>
      </c>
      <c r="AA830" s="7">
        <f>IF($E830="","",Z830-Q830)</f>
        <v/>
      </c>
      <c r="AB830" s="7" t="n"/>
      <c r="AE830">
        <f>IF($E830="","",IF($AQ830=1,0,IF($AP830=1,Settings!$C$6,Settings!$C$7))*100)</f>
        <v/>
      </c>
      <c r="AI830" s="7" t="n"/>
      <c r="AL830" s="11" t="n"/>
      <c r="AN830">
        <f>IF($E830="","",IF(COUNTIF($E$2:$E830,$E830)=1,1,0))</f>
        <v/>
      </c>
      <c r="AO830">
        <f>IF($AN830=1,SUMPRODUCT(--($AR$2:$AR$3001&lt;$AR830))+1,"")</f>
        <v/>
      </c>
      <c r="AP830">
        <f>IF($E830="","",IF(OR($U830=TRUE(),$U830="TRUE"),1,0))</f>
        <v/>
      </c>
      <c r="AQ830">
        <f>IF($E830="","",IF($AD830="Yes",1,0))</f>
        <v/>
      </c>
      <c r="AR830">
        <f>IF($AN830=1,IFERROR(VALUE(MID($E830,2,20)),1000000000)+ROW()/100000,"")</f>
        <v/>
      </c>
    </row>
    <row r="831">
      <c r="G831" s="11" t="n"/>
      <c r="Q831" s="7">
        <f>IF($E831="","",P831*AB831/100)</f>
        <v/>
      </c>
      <c r="R831" s="7" t="n"/>
      <c r="X831" s="7" t="n"/>
      <c r="Y831" s="7">
        <f>IF($E831="","",AB831*AE831/100)</f>
        <v/>
      </c>
      <c r="Z831" s="7">
        <f>IF($E831="","",AB831-Y831)</f>
        <v/>
      </c>
      <c r="AA831" s="7">
        <f>IF($E831="","",Z831-Q831)</f>
        <v/>
      </c>
      <c r="AB831" s="7" t="n"/>
      <c r="AE831">
        <f>IF($E831="","",IF($AQ831=1,0,IF($AP831=1,Settings!$C$6,Settings!$C$7))*100)</f>
        <v/>
      </c>
      <c r="AI831" s="7" t="n"/>
      <c r="AL831" s="11" t="n"/>
      <c r="AN831">
        <f>IF($E831="","",IF(COUNTIF($E$2:$E831,$E831)=1,1,0))</f>
        <v/>
      </c>
      <c r="AO831">
        <f>IF($AN831=1,SUMPRODUCT(--($AR$2:$AR$3001&lt;$AR831))+1,"")</f>
        <v/>
      </c>
      <c r="AP831">
        <f>IF($E831="","",IF(OR($U831=TRUE(),$U831="TRUE"),1,0))</f>
        <v/>
      </c>
      <c r="AQ831">
        <f>IF($E831="","",IF($AD831="Yes",1,0))</f>
        <v/>
      </c>
      <c r="AR831">
        <f>IF($AN831=1,IFERROR(VALUE(MID($E831,2,20)),1000000000)+ROW()/100000,"")</f>
        <v/>
      </c>
    </row>
    <row r="832">
      <c r="G832" s="11" t="n"/>
      <c r="Q832" s="7">
        <f>IF($E832="","",P832*AB832/100)</f>
        <v/>
      </c>
      <c r="R832" s="7" t="n"/>
      <c r="X832" s="7" t="n"/>
      <c r="Y832" s="7">
        <f>IF($E832="","",AB832*AE832/100)</f>
        <v/>
      </c>
      <c r="Z832" s="7">
        <f>IF($E832="","",AB832-Y832)</f>
        <v/>
      </c>
      <c r="AA832" s="7">
        <f>IF($E832="","",Z832-Q832)</f>
        <v/>
      </c>
      <c r="AB832" s="7" t="n"/>
      <c r="AE832">
        <f>IF($E832="","",IF($AQ832=1,0,IF($AP832=1,Settings!$C$6,Settings!$C$7))*100)</f>
        <v/>
      </c>
      <c r="AI832" s="7" t="n"/>
      <c r="AL832" s="11" t="n"/>
      <c r="AN832">
        <f>IF($E832="","",IF(COUNTIF($E$2:$E832,$E832)=1,1,0))</f>
        <v/>
      </c>
      <c r="AO832">
        <f>IF($AN832=1,SUMPRODUCT(--($AR$2:$AR$3001&lt;$AR832))+1,"")</f>
        <v/>
      </c>
      <c r="AP832">
        <f>IF($E832="","",IF(OR($U832=TRUE(),$U832="TRUE"),1,0))</f>
        <v/>
      </c>
      <c r="AQ832">
        <f>IF($E832="","",IF($AD832="Yes",1,0))</f>
        <v/>
      </c>
      <c r="AR832">
        <f>IF($AN832=1,IFERROR(VALUE(MID($E832,2,20)),1000000000)+ROW()/100000,"")</f>
        <v/>
      </c>
    </row>
    <row r="833">
      <c r="G833" s="11" t="n"/>
      <c r="Q833" s="7">
        <f>IF($E833="","",P833*AB833/100)</f>
        <v/>
      </c>
      <c r="R833" s="7" t="n"/>
      <c r="X833" s="7" t="n"/>
      <c r="Y833" s="7">
        <f>IF($E833="","",AB833*AE833/100)</f>
        <v/>
      </c>
      <c r="Z833" s="7">
        <f>IF($E833="","",AB833-Y833)</f>
        <v/>
      </c>
      <c r="AA833" s="7">
        <f>IF($E833="","",Z833-Q833)</f>
        <v/>
      </c>
      <c r="AB833" s="7" t="n"/>
      <c r="AE833">
        <f>IF($E833="","",IF($AQ833=1,0,IF($AP833=1,Settings!$C$6,Settings!$C$7))*100)</f>
        <v/>
      </c>
      <c r="AI833" s="7" t="n"/>
      <c r="AL833" s="11" t="n"/>
      <c r="AN833">
        <f>IF($E833="","",IF(COUNTIF($E$2:$E833,$E833)=1,1,0))</f>
        <v/>
      </c>
      <c r="AO833">
        <f>IF($AN833=1,SUMPRODUCT(--($AR$2:$AR$3001&lt;$AR833))+1,"")</f>
        <v/>
      </c>
      <c r="AP833">
        <f>IF($E833="","",IF(OR($U833=TRUE(),$U833="TRUE"),1,0))</f>
        <v/>
      </c>
      <c r="AQ833">
        <f>IF($E833="","",IF($AD833="Yes",1,0))</f>
        <v/>
      </c>
      <c r="AR833">
        <f>IF($AN833=1,IFERROR(VALUE(MID($E833,2,20)),1000000000)+ROW()/100000,"")</f>
        <v/>
      </c>
    </row>
    <row r="834">
      <c r="G834" s="11" t="n"/>
      <c r="Q834" s="7">
        <f>IF($E834="","",P834*AB834/100)</f>
        <v/>
      </c>
      <c r="R834" s="7" t="n"/>
      <c r="X834" s="7" t="n"/>
      <c r="Y834" s="7">
        <f>IF($E834="","",AB834*AE834/100)</f>
        <v/>
      </c>
      <c r="Z834" s="7">
        <f>IF($E834="","",AB834-Y834)</f>
        <v/>
      </c>
      <c r="AA834" s="7">
        <f>IF($E834="","",Z834-Q834)</f>
        <v/>
      </c>
      <c r="AB834" s="7" t="n"/>
      <c r="AE834">
        <f>IF($E834="","",IF($AQ834=1,0,IF($AP834=1,Settings!$C$6,Settings!$C$7))*100)</f>
        <v/>
      </c>
      <c r="AI834" s="7" t="n"/>
      <c r="AL834" s="11" t="n"/>
      <c r="AN834">
        <f>IF($E834="","",IF(COUNTIF($E$2:$E834,$E834)=1,1,0))</f>
        <v/>
      </c>
      <c r="AO834">
        <f>IF($AN834=1,SUMPRODUCT(--($AR$2:$AR$3001&lt;$AR834))+1,"")</f>
        <v/>
      </c>
      <c r="AP834">
        <f>IF($E834="","",IF(OR($U834=TRUE(),$U834="TRUE"),1,0))</f>
        <v/>
      </c>
      <c r="AQ834">
        <f>IF($E834="","",IF($AD834="Yes",1,0))</f>
        <v/>
      </c>
      <c r="AR834">
        <f>IF($AN834=1,IFERROR(VALUE(MID($E834,2,20)),1000000000)+ROW()/100000,"")</f>
        <v/>
      </c>
    </row>
    <row r="835">
      <c r="G835" s="11" t="n"/>
      <c r="Q835" s="7">
        <f>IF($E835="","",P835*AB835/100)</f>
        <v/>
      </c>
      <c r="R835" s="7" t="n"/>
      <c r="X835" s="7" t="n"/>
      <c r="Y835" s="7">
        <f>IF($E835="","",AB835*AE835/100)</f>
        <v/>
      </c>
      <c r="Z835" s="7">
        <f>IF($E835="","",AB835-Y835)</f>
        <v/>
      </c>
      <c r="AA835" s="7">
        <f>IF($E835="","",Z835-Q835)</f>
        <v/>
      </c>
      <c r="AB835" s="7" t="n"/>
      <c r="AE835">
        <f>IF($E835="","",IF($AQ835=1,0,IF($AP835=1,Settings!$C$6,Settings!$C$7))*100)</f>
        <v/>
      </c>
      <c r="AI835" s="7" t="n"/>
      <c r="AL835" s="11" t="n"/>
      <c r="AN835">
        <f>IF($E835="","",IF(COUNTIF($E$2:$E835,$E835)=1,1,0))</f>
        <v/>
      </c>
      <c r="AO835">
        <f>IF($AN835=1,SUMPRODUCT(--($AR$2:$AR$3001&lt;$AR835))+1,"")</f>
        <v/>
      </c>
      <c r="AP835">
        <f>IF($E835="","",IF(OR($U835=TRUE(),$U835="TRUE"),1,0))</f>
        <v/>
      </c>
      <c r="AQ835">
        <f>IF($E835="","",IF($AD835="Yes",1,0))</f>
        <v/>
      </c>
      <c r="AR835">
        <f>IF($AN835=1,IFERROR(VALUE(MID($E835,2,20)),1000000000)+ROW()/100000,"")</f>
        <v/>
      </c>
    </row>
    <row r="836">
      <c r="G836" s="11" t="n"/>
      <c r="Q836" s="7">
        <f>IF($E836="","",P836*AB836/100)</f>
        <v/>
      </c>
      <c r="R836" s="7" t="n"/>
      <c r="X836" s="7" t="n"/>
      <c r="Y836" s="7">
        <f>IF($E836="","",AB836*AE836/100)</f>
        <v/>
      </c>
      <c r="Z836" s="7">
        <f>IF($E836="","",AB836-Y836)</f>
        <v/>
      </c>
      <c r="AA836" s="7">
        <f>IF($E836="","",Z836-Q836)</f>
        <v/>
      </c>
      <c r="AB836" s="7" t="n"/>
      <c r="AE836">
        <f>IF($E836="","",IF($AQ836=1,0,IF($AP836=1,Settings!$C$6,Settings!$C$7))*100)</f>
        <v/>
      </c>
      <c r="AI836" s="7" t="n"/>
      <c r="AL836" s="11" t="n"/>
      <c r="AN836">
        <f>IF($E836="","",IF(COUNTIF($E$2:$E836,$E836)=1,1,0))</f>
        <v/>
      </c>
      <c r="AO836">
        <f>IF($AN836=1,SUMPRODUCT(--($AR$2:$AR$3001&lt;$AR836))+1,"")</f>
        <v/>
      </c>
      <c r="AP836">
        <f>IF($E836="","",IF(OR($U836=TRUE(),$U836="TRUE"),1,0))</f>
        <v/>
      </c>
      <c r="AQ836">
        <f>IF($E836="","",IF($AD836="Yes",1,0))</f>
        <v/>
      </c>
      <c r="AR836">
        <f>IF($AN836=1,IFERROR(VALUE(MID($E836,2,20)),1000000000)+ROW()/100000,"")</f>
        <v/>
      </c>
    </row>
    <row r="837">
      <c r="G837" s="11" t="n"/>
      <c r="Q837" s="7">
        <f>IF($E837="","",P837*AB837/100)</f>
        <v/>
      </c>
      <c r="R837" s="7" t="n"/>
      <c r="X837" s="7" t="n"/>
      <c r="Y837" s="7">
        <f>IF($E837="","",AB837*AE837/100)</f>
        <v/>
      </c>
      <c r="Z837" s="7">
        <f>IF($E837="","",AB837-Y837)</f>
        <v/>
      </c>
      <c r="AA837" s="7">
        <f>IF($E837="","",Z837-Q837)</f>
        <v/>
      </c>
      <c r="AB837" s="7" t="n"/>
      <c r="AE837">
        <f>IF($E837="","",IF($AQ837=1,0,IF($AP837=1,Settings!$C$6,Settings!$C$7))*100)</f>
        <v/>
      </c>
      <c r="AI837" s="7" t="n"/>
      <c r="AL837" s="11" t="n"/>
      <c r="AN837">
        <f>IF($E837="","",IF(COUNTIF($E$2:$E837,$E837)=1,1,0))</f>
        <v/>
      </c>
      <c r="AO837">
        <f>IF($AN837=1,SUMPRODUCT(--($AR$2:$AR$3001&lt;$AR837))+1,"")</f>
        <v/>
      </c>
      <c r="AP837">
        <f>IF($E837="","",IF(OR($U837=TRUE(),$U837="TRUE"),1,0))</f>
        <v/>
      </c>
      <c r="AQ837">
        <f>IF($E837="","",IF($AD837="Yes",1,0))</f>
        <v/>
      </c>
      <c r="AR837">
        <f>IF($AN837=1,IFERROR(VALUE(MID($E837,2,20)),1000000000)+ROW()/100000,"")</f>
        <v/>
      </c>
    </row>
    <row r="838">
      <c r="G838" s="11" t="n"/>
      <c r="Q838" s="7">
        <f>IF($E838="","",P838*AB838/100)</f>
        <v/>
      </c>
      <c r="R838" s="7" t="n"/>
      <c r="X838" s="7" t="n"/>
      <c r="Y838" s="7">
        <f>IF($E838="","",AB838*AE838/100)</f>
        <v/>
      </c>
      <c r="Z838" s="7">
        <f>IF($E838="","",AB838-Y838)</f>
        <v/>
      </c>
      <c r="AA838" s="7">
        <f>IF($E838="","",Z838-Q838)</f>
        <v/>
      </c>
      <c r="AB838" s="7" t="n"/>
      <c r="AE838">
        <f>IF($E838="","",IF($AQ838=1,0,IF($AP838=1,Settings!$C$6,Settings!$C$7))*100)</f>
        <v/>
      </c>
      <c r="AI838" s="7" t="n"/>
      <c r="AL838" s="11" t="n"/>
      <c r="AN838">
        <f>IF($E838="","",IF(COUNTIF($E$2:$E838,$E838)=1,1,0))</f>
        <v/>
      </c>
      <c r="AO838">
        <f>IF($AN838=1,SUMPRODUCT(--($AR$2:$AR$3001&lt;$AR838))+1,"")</f>
        <v/>
      </c>
      <c r="AP838">
        <f>IF($E838="","",IF(OR($U838=TRUE(),$U838="TRUE"),1,0))</f>
        <v/>
      </c>
      <c r="AQ838">
        <f>IF($E838="","",IF($AD838="Yes",1,0))</f>
        <v/>
      </c>
      <c r="AR838">
        <f>IF($AN838=1,IFERROR(VALUE(MID($E838,2,20)),1000000000)+ROW()/100000,"")</f>
        <v/>
      </c>
    </row>
    <row r="839">
      <c r="G839" s="11" t="n"/>
      <c r="Q839" s="7">
        <f>IF($E839="","",P839*AB839/100)</f>
        <v/>
      </c>
      <c r="R839" s="7" t="n"/>
      <c r="X839" s="7" t="n"/>
      <c r="Y839" s="7">
        <f>IF($E839="","",AB839*AE839/100)</f>
        <v/>
      </c>
      <c r="Z839" s="7">
        <f>IF($E839="","",AB839-Y839)</f>
        <v/>
      </c>
      <c r="AA839" s="7">
        <f>IF($E839="","",Z839-Q839)</f>
        <v/>
      </c>
      <c r="AB839" s="7" t="n"/>
      <c r="AE839">
        <f>IF($E839="","",IF($AQ839=1,0,IF($AP839=1,Settings!$C$6,Settings!$C$7))*100)</f>
        <v/>
      </c>
      <c r="AI839" s="7" t="n"/>
      <c r="AL839" s="11" t="n"/>
      <c r="AN839">
        <f>IF($E839="","",IF(COUNTIF($E$2:$E839,$E839)=1,1,0))</f>
        <v/>
      </c>
      <c r="AO839">
        <f>IF($AN839=1,SUMPRODUCT(--($AR$2:$AR$3001&lt;$AR839))+1,"")</f>
        <v/>
      </c>
      <c r="AP839">
        <f>IF($E839="","",IF(OR($U839=TRUE(),$U839="TRUE"),1,0))</f>
        <v/>
      </c>
      <c r="AQ839">
        <f>IF($E839="","",IF($AD839="Yes",1,0))</f>
        <v/>
      </c>
      <c r="AR839">
        <f>IF($AN839=1,IFERROR(VALUE(MID($E839,2,20)),1000000000)+ROW()/100000,"")</f>
        <v/>
      </c>
    </row>
    <row r="840">
      <c r="G840" s="11" t="n"/>
      <c r="Q840" s="7">
        <f>IF($E840="","",P840*AB840/100)</f>
        <v/>
      </c>
      <c r="R840" s="7" t="n"/>
      <c r="X840" s="7" t="n"/>
      <c r="Y840" s="7">
        <f>IF($E840="","",AB840*AE840/100)</f>
        <v/>
      </c>
      <c r="Z840" s="7">
        <f>IF($E840="","",AB840-Y840)</f>
        <v/>
      </c>
      <c r="AA840" s="7">
        <f>IF($E840="","",Z840-Q840)</f>
        <v/>
      </c>
      <c r="AB840" s="7" t="n"/>
      <c r="AE840">
        <f>IF($E840="","",IF($AQ840=1,0,IF($AP840=1,Settings!$C$6,Settings!$C$7))*100)</f>
        <v/>
      </c>
      <c r="AI840" s="7" t="n"/>
      <c r="AL840" s="11" t="n"/>
      <c r="AN840">
        <f>IF($E840="","",IF(COUNTIF($E$2:$E840,$E840)=1,1,0))</f>
        <v/>
      </c>
      <c r="AO840">
        <f>IF($AN840=1,SUMPRODUCT(--($AR$2:$AR$3001&lt;$AR840))+1,"")</f>
        <v/>
      </c>
      <c r="AP840">
        <f>IF($E840="","",IF(OR($U840=TRUE(),$U840="TRUE"),1,0))</f>
        <v/>
      </c>
      <c r="AQ840">
        <f>IF($E840="","",IF($AD840="Yes",1,0))</f>
        <v/>
      </c>
      <c r="AR840">
        <f>IF($AN840=1,IFERROR(VALUE(MID($E840,2,20)),1000000000)+ROW()/100000,"")</f>
        <v/>
      </c>
    </row>
    <row r="841">
      <c r="G841" s="11" t="n"/>
      <c r="Q841" s="7">
        <f>IF($E841="","",P841*AB841/100)</f>
        <v/>
      </c>
      <c r="R841" s="7" t="n"/>
      <c r="X841" s="7" t="n"/>
      <c r="Y841" s="7">
        <f>IF($E841="","",AB841*AE841/100)</f>
        <v/>
      </c>
      <c r="Z841" s="7">
        <f>IF($E841="","",AB841-Y841)</f>
        <v/>
      </c>
      <c r="AA841" s="7">
        <f>IF($E841="","",Z841-Q841)</f>
        <v/>
      </c>
      <c r="AB841" s="7" t="n"/>
      <c r="AE841">
        <f>IF($E841="","",IF($AQ841=1,0,IF($AP841=1,Settings!$C$6,Settings!$C$7))*100)</f>
        <v/>
      </c>
      <c r="AI841" s="7" t="n"/>
      <c r="AL841" s="11" t="n"/>
      <c r="AN841">
        <f>IF($E841="","",IF(COUNTIF($E$2:$E841,$E841)=1,1,0))</f>
        <v/>
      </c>
      <c r="AO841">
        <f>IF($AN841=1,SUMPRODUCT(--($AR$2:$AR$3001&lt;$AR841))+1,"")</f>
        <v/>
      </c>
      <c r="AP841">
        <f>IF($E841="","",IF(OR($U841=TRUE(),$U841="TRUE"),1,0))</f>
        <v/>
      </c>
      <c r="AQ841">
        <f>IF($E841="","",IF($AD841="Yes",1,0))</f>
        <v/>
      </c>
      <c r="AR841">
        <f>IF($AN841=1,IFERROR(VALUE(MID($E841,2,20)),1000000000)+ROW()/100000,"")</f>
        <v/>
      </c>
    </row>
    <row r="842">
      <c r="G842" s="11" t="n"/>
      <c r="Q842" s="7">
        <f>IF($E842="","",P842*AB842/100)</f>
        <v/>
      </c>
      <c r="R842" s="7" t="n"/>
      <c r="X842" s="7" t="n"/>
      <c r="Y842" s="7">
        <f>IF($E842="","",AB842*AE842/100)</f>
        <v/>
      </c>
      <c r="Z842" s="7">
        <f>IF($E842="","",AB842-Y842)</f>
        <v/>
      </c>
      <c r="AA842" s="7">
        <f>IF($E842="","",Z842-Q842)</f>
        <v/>
      </c>
      <c r="AB842" s="7" t="n"/>
      <c r="AE842">
        <f>IF($E842="","",IF($AQ842=1,0,IF($AP842=1,Settings!$C$6,Settings!$C$7))*100)</f>
        <v/>
      </c>
      <c r="AI842" s="7" t="n"/>
      <c r="AL842" s="11" t="n"/>
      <c r="AN842">
        <f>IF($E842="","",IF(COUNTIF($E$2:$E842,$E842)=1,1,0))</f>
        <v/>
      </c>
      <c r="AO842">
        <f>IF($AN842=1,SUMPRODUCT(--($AR$2:$AR$3001&lt;$AR842))+1,"")</f>
        <v/>
      </c>
      <c r="AP842">
        <f>IF($E842="","",IF(OR($U842=TRUE(),$U842="TRUE"),1,0))</f>
        <v/>
      </c>
      <c r="AQ842">
        <f>IF($E842="","",IF($AD842="Yes",1,0))</f>
        <v/>
      </c>
      <c r="AR842">
        <f>IF($AN842=1,IFERROR(VALUE(MID($E842,2,20)),1000000000)+ROW()/100000,"")</f>
        <v/>
      </c>
    </row>
    <row r="843">
      <c r="G843" s="11" t="n"/>
      <c r="Q843" s="7">
        <f>IF($E843="","",P843*AB843/100)</f>
        <v/>
      </c>
      <c r="R843" s="7" t="n"/>
      <c r="X843" s="7" t="n"/>
      <c r="Y843" s="7">
        <f>IF($E843="","",AB843*AE843/100)</f>
        <v/>
      </c>
      <c r="Z843" s="7">
        <f>IF($E843="","",AB843-Y843)</f>
        <v/>
      </c>
      <c r="AA843" s="7">
        <f>IF($E843="","",Z843-Q843)</f>
        <v/>
      </c>
      <c r="AB843" s="7" t="n"/>
      <c r="AE843">
        <f>IF($E843="","",IF($AQ843=1,0,IF($AP843=1,Settings!$C$6,Settings!$C$7))*100)</f>
        <v/>
      </c>
      <c r="AI843" s="7" t="n"/>
      <c r="AL843" s="11" t="n"/>
      <c r="AN843">
        <f>IF($E843="","",IF(COUNTIF($E$2:$E843,$E843)=1,1,0))</f>
        <v/>
      </c>
      <c r="AO843">
        <f>IF($AN843=1,SUMPRODUCT(--($AR$2:$AR$3001&lt;$AR843))+1,"")</f>
        <v/>
      </c>
      <c r="AP843">
        <f>IF($E843="","",IF(OR($U843=TRUE(),$U843="TRUE"),1,0))</f>
        <v/>
      </c>
      <c r="AQ843">
        <f>IF($E843="","",IF($AD843="Yes",1,0))</f>
        <v/>
      </c>
      <c r="AR843">
        <f>IF($AN843=1,IFERROR(VALUE(MID($E843,2,20)),1000000000)+ROW()/100000,"")</f>
        <v/>
      </c>
    </row>
    <row r="844">
      <c r="G844" s="11" t="n"/>
      <c r="Q844" s="7">
        <f>IF($E844="","",P844*AB844/100)</f>
        <v/>
      </c>
      <c r="R844" s="7" t="n"/>
      <c r="X844" s="7" t="n"/>
      <c r="Y844" s="7">
        <f>IF($E844="","",AB844*AE844/100)</f>
        <v/>
      </c>
      <c r="Z844" s="7">
        <f>IF($E844="","",AB844-Y844)</f>
        <v/>
      </c>
      <c r="AA844" s="7">
        <f>IF($E844="","",Z844-Q844)</f>
        <v/>
      </c>
      <c r="AB844" s="7" t="n"/>
      <c r="AE844">
        <f>IF($E844="","",IF($AQ844=1,0,IF($AP844=1,Settings!$C$6,Settings!$C$7))*100)</f>
        <v/>
      </c>
      <c r="AI844" s="7" t="n"/>
      <c r="AL844" s="11" t="n"/>
      <c r="AN844">
        <f>IF($E844="","",IF(COUNTIF($E$2:$E844,$E844)=1,1,0))</f>
        <v/>
      </c>
      <c r="AO844">
        <f>IF($AN844=1,SUMPRODUCT(--($AR$2:$AR$3001&lt;$AR844))+1,"")</f>
        <v/>
      </c>
      <c r="AP844">
        <f>IF($E844="","",IF(OR($U844=TRUE(),$U844="TRUE"),1,0))</f>
        <v/>
      </c>
      <c r="AQ844">
        <f>IF($E844="","",IF($AD844="Yes",1,0))</f>
        <v/>
      </c>
      <c r="AR844">
        <f>IF($AN844=1,IFERROR(VALUE(MID($E844,2,20)),1000000000)+ROW()/100000,"")</f>
        <v/>
      </c>
    </row>
    <row r="845">
      <c r="G845" s="11" t="n"/>
      <c r="Q845" s="7">
        <f>IF($E845="","",P845*AB845/100)</f>
        <v/>
      </c>
      <c r="R845" s="7" t="n"/>
      <c r="X845" s="7" t="n"/>
      <c r="Y845" s="7">
        <f>IF($E845="","",AB845*AE845/100)</f>
        <v/>
      </c>
      <c r="Z845" s="7">
        <f>IF($E845="","",AB845-Y845)</f>
        <v/>
      </c>
      <c r="AA845" s="7">
        <f>IF($E845="","",Z845-Q845)</f>
        <v/>
      </c>
      <c r="AB845" s="7" t="n"/>
      <c r="AE845">
        <f>IF($E845="","",IF($AQ845=1,0,IF($AP845=1,Settings!$C$6,Settings!$C$7))*100)</f>
        <v/>
      </c>
      <c r="AI845" s="7" t="n"/>
      <c r="AL845" s="11" t="n"/>
      <c r="AN845">
        <f>IF($E845="","",IF(COUNTIF($E$2:$E845,$E845)=1,1,0))</f>
        <v/>
      </c>
      <c r="AO845">
        <f>IF($AN845=1,SUMPRODUCT(--($AR$2:$AR$3001&lt;$AR845))+1,"")</f>
        <v/>
      </c>
      <c r="AP845">
        <f>IF($E845="","",IF(OR($U845=TRUE(),$U845="TRUE"),1,0))</f>
        <v/>
      </c>
      <c r="AQ845">
        <f>IF($E845="","",IF($AD845="Yes",1,0))</f>
        <v/>
      </c>
      <c r="AR845">
        <f>IF($AN845=1,IFERROR(VALUE(MID($E845,2,20)),1000000000)+ROW()/100000,"")</f>
        <v/>
      </c>
    </row>
    <row r="846">
      <c r="G846" s="11" t="n"/>
      <c r="Q846" s="7">
        <f>IF($E846="","",P846*AB846/100)</f>
        <v/>
      </c>
      <c r="R846" s="7" t="n"/>
      <c r="X846" s="7" t="n"/>
      <c r="Y846" s="7">
        <f>IF($E846="","",AB846*AE846/100)</f>
        <v/>
      </c>
      <c r="Z846" s="7">
        <f>IF($E846="","",AB846-Y846)</f>
        <v/>
      </c>
      <c r="AA846" s="7">
        <f>IF($E846="","",Z846-Q846)</f>
        <v/>
      </c>
      <c r="AB846" s="7" t="n"/>
      <c r="AE846">
        <f>IF($E846="","",IF($AQ846=1,0,IF($AP846=1,Settings!$C$6,Settings!$C$7))*100)</f>
        <v/>
      </c>
      <c r="AI846" s="7" t="n"/>
      <c r="AL846" s="11" t="n"/>
      <c r="AN846">
        <f>IF($E846="","",IF(COUNTIF($E$2:$E846,$E846)=1,1,0))</f>
        <v/>
      </c>
      <c r="AO846">
        <f>IF($AN846=1,SUMPRODUCT(--($AR$2:$AR$3001&lt;$AR846))+1,"")</f>
        <v/>
      </c>
      <c r="AP846">
        <f>IF($E846="","",IF(OR($U846=TRUE(),$U846="TRUE"),1,0))</f>
        <v/>
      </c>
      <c r="AQ846">
        <f>IF($E846="","",IF($AD846="Yes",1,0))</f>
        <v/>
      </c>
      <c r="AR846">
        <f>IF($AN846=1,IFERROR(VALUE(MID($E846,2,20)),1000000000)+ROW()/100000,"")</f>
        <v/>
      </c>
    </row>
    <row r="847">
      <c r="G847" s="11" t="n"/>
      <c r="Q847" s="7">
        <f>IF($E847="","",P847*AB847/100)</f>
        <v/>
      </c>
      <c r="R847" s="7" t="n"/>
      <c r="X847" s="7" t="n"/>
      <c r="Y847" s="7">
        <f>IF($E847="","",AB847*AE847/100)</f>
        <v/>
      </c>
      <c r="Z847" s="7">
        <f>IF($E847="","",AB847-Y847)</f>
        <v/>
      </c>
      <c r="AA847" s="7">
        <f>IF($E847="","",Z847-Q847)</f>
        <v/>
      </c>
      <c r="AB847" s="7" t="n"/>
      <c r="AE847">
        <f>IF($E847="","",IF($AQ847=1,0,IF($AP847=1,Settings!$C$6,Settings!$C$7))*100)</f>
        <v/>
      </c>
      <c r="AI847" s="7" t="n"/>
      <c r="AL847" s="11" t="n"/>
      <c r="AN847">
        <f>IF($E847="","",IF(COUNTIF($E$2:$E847,$E847)=1,1,0))</f>
        <v/>
      </c>
      <c r="AO847">
        <f>IF($AN847=1,SUMPRODUCT(--($AR$2:$AR$3001&lt;$AR847))+1,"")</f>
        <v/>
      </c>
      <c r="AP847">
        <f>IF($E847="","",IF(OR($U847=TRUE(),$U847="TRUE"),1,0))</f>
        <v/>
      </c>
      <c r="AQ847">
        <f>IF($E847="","",IF($AD847="Yes",1,0))</f>
        <v/>
      </c>
      <c r="AR847">
        <f>IF($AN847=1,IFERROR(VALUE(MID($E847,2,20)),1000000000)+ROW()/100000,"")</f>
        <v/>
      </c>
    </row>
    <row r="848">
      <c r="G848" s="11" t="n"/>
      <c r="Q848" s="7">
        <f>IF($E848="","",P848*AB848/100)</f>
        <v/>
      </c>
      <c r="R848" s="7" t="n"/>
      <c r="X848" s="7" t="n"/>
      <c r="Y848" s="7">
        <f>IF($E848="","",AB848*AE848/100)</f>
        <v/>
      </c>
      <c r="Z848" s="7">
        <f>IF($E848="","",AB848-Y848)</f>
        <v/>
      </c>
      <c r="AA848" s="7">
        <f>IF($E848="","",Z848-Q848)</f>
        <v/>
      </c>
      <c r="AB848" s="7" t="n"/>
      <c r="AE848">
        <f>IF($E848="","",IF($AQ848=1,0,IF($AP848=1,Settings!$C$6,Settings!$C$7))*100)</f>
        <v/>
      </c>
      <c r="AI848" s="7" t="n"/>
      <c r="AL848" s="11" t="n"/>
      <c r="AN848">
        <f>IF($E848="","",IF(COUNTIF($E$2:$E848,$E848)=1,1,0))</f>
        <v/>
      </c>
      <c r="AO848">
        <f>IF($AN848=1,SUMPRODUCT(--($AR$2:$AR$3001&lt;$AR848))+1,"")</f>
        <v/>
      </c>
      <c r="AP848">
        <f>IF($E848="","",IF(OR($U848=TRUE(),$U848="TRUE"),1,0))</f>
        <v/>
      </c>
      <c r="AQ848">
        <f>IF($E848="","",IF($AD848="Yes",1,0))</f>
        <v/>
      </c>
      <c r="AR848">
        <f>IF($AN848=1,IFERROR(VALUE(MID($E848,2,20)),1000000000)+ROW()/100000,"")</f>
        <v/>
      </c>
    </row>
    <row r="849">
      <c r="G849" s="11" t="n"/>
      <c r="Q849" s="7">
        <f>IF($E849="","",P849*AB849/100)</f>
        <v/>
      </c>
      <c r="R849" s="7" t="n"/>
      <c r="X849" s="7" t="n"/>
      <c r="Y849" s="7">
        <f>IF($E849="","",AB849*AE849/100)</f>
        <v/>
      </c>
      <c r="Z849" s="7">
        <f>IF($E849="","",AB849-Y849)</f>
        <v/>
      </c>
      <c r="AA849" s="7">
        <f>IF($E849="","",Z849-Q849)</f>
        <v/>
      </c>
      <c r="AB849" s="7" t="n"/>
      <c r="AE849">
        <f>IF($E849="","",IF($AQ849=1,0,IF($AP849=1,Settings!$C$6,Settings!$C$7))*100)</f>
        <v/>
      </c>
      <c r="AI849" s="7" t="n"/>
      <c r="AL849" s="11" t="n"/>
      <c r="AN849">
        <f>IF($E849="","",IF(COUNTIF($E$2:$E849,$E849)=1,1,0))</f>
        <v/>
      </c>
      <c r="AO849">
        <f>IF($AN849=1,SUMPRODUCT(--($AR$2:$AR$3001&lt;$AR849))+1,"")</f>
        <v/>
      </c>
      <c r="AP849">
        <f>IF($E849="","",IF(OR($U849=TRUE(),$U849="TRUE"),1,0))</f>
        <v/>
      </c>
      <c r="AQ849">
        <f>IF($E849="","",IF($AD849="Yes",1,0))</f>
        <v/>
      </c>
      <c r="AR849">
        <f>IF($AN849=1,IFERROR(VALUE(MID($E849,2,20)),1000000000)+ROW()/100000,"")</f>
        <v/>
      </c>
    </row>
    <row r="850">
      <c r="G850" s="11" t="n"/>
      <c r="Q850" s="7">
        <f>IF($E850="","",P850*AB850/100)</f>
        <v/>
      </c>
      <c r="R850" s="7" t="n"/>
      <c r="X850" s="7" t="n"/>
      <c r="Y850" s="7">
        <f>IF($E850="","",AB850*AE850/100)</f>
        <v/>
      </c>
      <c r="Z850" s="7">
        <f>IF($E850="","",AB850-Y850)</f>
        <v/>
      </c>
      <c r="AA850" s="7">
        <f>IF($E850="","",Z850-Q850)</f>
        <v/>
      </c>
      <c r="AB850" s="7" t="n"/>
      <c r="AE850">
        <f>IF($E850="","",IF($AQ850=1,0,IF($AP850=1,Settings!$C$6,Settings!$C$7))*100)</f>
        <v/>
      </c>
      <c r="AI850" s="7" t="n"/>
      <c r="AL850" s="11" t="n"/>
      <c r="AN850">
        <f>IF($E850="","",IF(COUNTIF($E$2:$E850,$E850)=1,1,0))</f>
        <v/>
      </c>
      <c r="AO850">
        <f>IF($AN850=1,SUMPRODUCT(--($AR$2:$AR$3001&lt;$AR850))+1,"")</f>
        <v/>
      </c>
      <c r="AP850">
        <f>IF($E850="","",IF(OR($U850=TRUE(),$U850="TRUE"),1,0))</f>
        <v/>
      </c>
      <c r="AQ850">
        <f>IF($E850="","",IF($AD850="Yes",1,0))</f>
        <v/>
      </c>
      <c r="AR850">
        <f>IF($AN850=1,IFERROR(VALUE(MID($E850,2,20)),1000000000)+ROW()/100000,"")</f>
        <v/>
      </c>
    </row>
    <row r="851">
      <c r="G851" s="11" t="n"/>
      <c r="Q851" s="7">
        <f>IF($E851="","",P851*AB851/100)</f>
        <v/>
      </c>
      <c r="R851" s="7" t="n"/>
      <c r="X851" s="7" t="n"/>
      <c r="Y851" s="7">
        <f>IF($E851="","",AB851*AE851/100)</f>
        <v/>
      </c>
      <c r="Z851" s="7">
        <f>IF($E851="","",AB851-Y851)</f>
        <v/>
      </c>
      <c r="AA851" s="7">
        <f>IF($E851="","",Z851-Q851)</f>
        <v/>
      </c>
      <c r="AB851" s="7" t="n"/>
      <c r="AE851">
        <f>IF($E851="","",IF($AQ851=1,0,IF($AP851=1,Settings!$C$6,Settings!$C$7))*100)</f>
        <v/>
      </c>
      <c r="AI851" s="7" t="n"/>
      <c r="AL851" s="11" t="n"/>
      <c r="AN851">
        <f>IF($E851="","",IF(COUNTIF($E$2:$E851,$E851)=1,1,0))</f>
        <v/>
      </c>
      <c r="AO851">
        <f>IF($AN851=1,SUMPRODUCT(--($AR$2:$AR$3001&lt;$AR851))+1,"")</f>
        <v/>
      </c>
      <c r="AP851">
        <f>IF($E851="","",IF(OR($U851=TRUE(),$U851="TRUE"),1,0))</f>
        <v/>
      </c>
      <c r="AQ851">
        <f>IF($E851="","",IF($AD851="Yes",1,0))</f>
        <v/>
      </c>
      <c r="AR851">
        <f>IF($AN851=1,IFERROR(VALUE(MID($E851,2,20)),1000000000)+ROW()/100000,"")</f>
        <v/>
      </c>
    </row>
    <row r="852">
      <c r="G852" s="11" t="n"/>
      <c r="Q852" s="7">
        <f>IF($E852="","",P852*AB852/100)</f>
        <v/>
      </c>
      <c r="R852" s="7" t="n"/>
      <c r="X852" s="7" t="n"/>
      <c r="Y852" s="7">
        <f>IF($E852="","",AB852*AE852/100)</f>
        <v/>
      </c>
      <c r="Z852" s="7">
        <f>IF($E852="","",AB852-Y852)</f>
        <v/>
      </c>
      <c r="AA852" s="7">
        <f>IF($E852="","",Z852-Q852)</f>
        <v/>
      </c>
      <c r="AB852" s="7" t="n"/>
      <c r="AE852">
        <f>IF($E852="","",IF($AQ852=1,0,IF($AP852=1,Settings!$C$6,Settings!$C$7))*100)</f>
        <v/>
      </c>
      <c r="AI852" s="7" t="n"/>
      <c r="AL852" s="11" t="n"/>
      <c r="AN852">
        <f>IF($E852="","",IF(COUNTIF($E$2:$E852,$E852)=1,1,0))</f>
        <v/>
      </c>
      <c r="AO852">
        <f>IF($AN852=1,SUMPRODUCT(--($AR$2:$AR$3001&lt;$AR852))+1,"")</f>
        <v/>
      </c>
      <c r="AP852">
        <f>IF($E852="","",IF(OR($U852=TRUE(),$U852="TRUE"),1,0))</f>
        <v/>
      </c>
      <c r="AQ852">
        <f>IF($E852="","",IF($AD852="Yes",1,0))</f>
        <v/>
      </c>
      <c r="AR852">
        <f>IF($AN852=1,IFERROR(VALUE(MID($E852,2,20)),1000000000)+ROW()/100000,"")</f>
        <v/>
      </c>
    </row>
    <row r="853">
      <c r="G853" s="11" t="n"/>
      <c r="Q853" s="7">
        <f>IF($E853="","",P853*AB853/100)</f>
        <v/>
      </c>
      <c r="R853" s="7" t="n"/>
      <c r="X853" s="7" t="n"/>
      <c r="Y853" s="7">
        <f>IF($E853="","",AB853*AE853/100)</f>
        <v/>
      </c>
      <c r="Z853" s="7">
        <f>IF($E853="","",AB853-Y853)</f>
        <v/>
      </c>
      <c r="AA853" s="7">
        <f>IF($E853="","",Z853-Q853)</f>
        <v/>
      </c>
      <c r="AB853" s="7" t="n"/>
      <c r="AE853">
        <f>IF($E853="","",IF($AQ853=1,0,IF($AP853=1,Settings!$C$6,Settings!$C$7))*100)</f>
        <v/>
      </c>
      <c r="AI853" s="7" t="n"/>
      <c r="AL853" s="11" t="n"/>
      <c r="AN853">
        <f>IF($E853="","",IF(COUNTIF($E$2:$E853,$E853)=1,1,0))</f>
        <v/>
      </c>
      <c r="AO853">
        <f>IF($AN853=1,SUMPRODUCT(--($AR$2:$AR$3001&lt;$AR853))+1,"")</f>
        <v/>
      </c>
      <c r="AP853">
        <f>IF($E853="","",IF(OR($U853=TRUE(),$U853="TRUE"),1,0))</f>
        <v/>
      </c>
      <c r="AQ853">
        <f>IF($E853="","",IF($AD853="Yes",1,0))</f>
        <v/>
      </c>
      <c r="AR853">
        <f>IF($AN853=1,IFERROR(VALUE(MID($E853,2,20)),1000000000)+ROW()/100000,"")</f>
        <v/>
      </c>
    </row>
    <row r="854">
      <c r="G854" s="11" t="n"/>
      <c r="Q854" s="7">
        <f>IF($E854="","",P854*AB854/100)</f>
        <v/>
      </c>
      <c r="R854" s="7" t="n"/>
      <c r="X854" s="7" t="n"/>
      <c r="Y854" s="7">
        <f>IF($E854="","",AB854*AE854/100)</f>
        <v/>
      </c>
      <c r="Z854" s="7">
        <f>IF($E854="","",AB854-Y854)</f>
        <v/>
      </c>
      <c r="AA854" s="7">
        <f>IF($E854="","",Z854-Q854)</f>
        <v/>
      </c>
      <c r="AB854" s="7" t="n"/>
      <c r="AE854">
        <f>IF($E854="","",IF($AQ854=1,0,IF($AP854=1,Settings!$C$6,Settings!$C$7))*100)</f>
        <v/>
      </c>
      <c r="AI854" s="7" t="n"/>
      <c r="AL854" s="11" t="n"/>
      <c r="AN854">
        <f>IF($E854="","",IF(COUNTIF($E$2:$E854,$E854)=1,1,0))</f>
        <v/>
      </c>
      <c r="AO854">
        <f>IF($AN854=1,SUMPRODUCT(--($AR$2:$AR$3001&lt;$AR854))+1,"")</f>
        <v/>
      </c>
      <c r="AP854">
        <f>IF($E854="","",IF(OR($U854=TRUE(),$U854="TRUE"),1,0))</f>
        <v/>
      </c>
      <c r="AQ854">
        <f>IF($E854="","",IF($AD854="Yes",1,0))</f>
        <v/>
      </c>
      <c r="AR854">
        <f>IF($AN854=1,IFERROR(VALUE(MID($E854,2,20)),1000000000)+ROW()/100000,"")</f>
        <v/>
      </c>
    </row>
    <row r="855">
      <c r="G855" s="11" t="n"/>
      <c r="Q855" s="7">
        <f>IF($E855="","",P855*AB855/100)</f>
        <v/>
      </c>
      <c r="R855" s="7" t="n"/>
      <c r="X855" s="7" t="n"/>
      <c r="Y855" s="7">
        <f>IF($E855="","",AB855*AE855/100)</f>
        <v/>
      </c>
      <c r="Z855" s="7">
        <f>IF($E855="","",AB855-Y855)</f>
        <v/>
      </c>
      <c r="AA855" s="7">
        <f>IF($E855="","",Z855-Q855)</f>
        <v/>
      </c>
      <c r="AB855" s="7" t="n"/>
      <c r="AE855">
        <f>IF($E855="","",IF($AQ855=1,0,IF($AP855=1,Settings!$C$6,Settings!$C$7))*100)</f>
        <v/>
      </c>
      <c r="AI855" s="7" t="n"/>
      <c r="AL855" s="11" t="n"/>
      <c r="AN855">
        <f>IF($E855="","",IF(COUNTIF($E$2:$E855,$E855)=1,1,0))</f>
        <v/>
      </c>
      <c r="AO855">
        <f>IF($AN855=1,SUMPRODUCT(--($AR$2:$AR$3001&lt;$AR855))+1,"")</f>
        <v/>
      </c>
      <c r="AP855">
        <f>IF($E855="","",IF(OR($U855=TRUE(),$U855="TRUE"),1,0))</f>
        <v/>
      </c>
      <c r="AQ855">
        <f>IF($E855="","",IF($AD855="Yes",1,0))</f>
        <v/>
      </c>
      <c r="AR855">
        <f>IF($AN855=1,IFERROR(VALUE(MID($E855,2,20)),1000000000)+ROW()/100000,"")</f>
        <v/>
      </c>
    </row>
    <row r="856">
      <c r="G856" s="11" t="n"/>
      <c r="Q856" s="7">
        <f>IF($E856="","",P856*AB856/100)</f>
        <v/>
      </c>
      <c r="R856" s="7" t="n"/>
      <c r="X856" s="7" t="n"/>
      <c r="Y856" s="7">
        <f>IF($E856="","",AB856*AE856/100)</f>
        <v/>
      </c>
      <c r="Z856" s="7">
        <f>IF($E856="","",AB856-Y856)</f>
        <v/>
      </c>
      <c r="AA856" s="7">
        <f>IF($E856="","",Z856-Q856)</f>
        <v/>
      </c>
      <c r="AB856" s="7" t="n"/>
      <c r="AE856">
        <f>IF($E856="","",IF($AQ856=1,0,IF($AP856=1,Settings!$C$6,Settings!$C$7))*100)</f>
        <v/>
      </c>
      <c r="AI856" s="7" t="n"/>
      <c r="AL856" s="11" t="n"/>
      <c r="AN856">
        <f>IF($E856="","",IF(COUNTIF($E$2:$E856,$E856)=1,1,0))</f>
        <v/>
      </c>
      <c r="AO856">
        <f>IF($AN856=1,SUMPRODUCT(--($AR$2:$AR$3001&lt;$AR856))+1,"")</f>
        <v/>
      </c>
      <c r="AP856">
        <f>IF($E856="","",IF(OR($U856=TRUE(),$U856="TRUE"),1,0))</f>
        <v/>
      </c>
      <c r="AQ856">
        <f>IF($E856="","",IF($AD856="Yes",1,0))</f>
        <v/>
      </c>
      <c r="AR856">
        <f>IF($AN856=1,IFERROR(VALUE(MID($E856,2,20)),1000000000)+ROW()/100000,"")</f>
        <v/>
      </c>
    </row>
    <row r="857">
      <c r="G857" s="11" t="n"/>
      <c r="Q857" s="7">
        <f>IF($E857="","",P857*AB857/100)</f>
        <v/>
      </c>
      <c r="R857" s="7" t="n"/>
      <c r="X857" s="7" t="n"/>
      <c r="Y857" s="7">
        <f>IF($E857="","",AB857*AE857/100)</f>
        <v/>
      </c>
      <c r="Z857" s="7">
        <f>IF($E857="","",AB857-Y857)</f>
        <v/>
      </c>
      <c r="AA857" s="7">
        <f>IF($E857="","",Z857-Q857)</f>
        <v/>
      </c>
      <c r="AB857" s="7" t="n"/>
      <c r="AE857">
        <f>IF($E857="","",IF($AQ857=1,0,IF($AP857=1,Settings!$C$6,Settings!$C$7))*100)</f>
        <v/>
      </c>
      <c r="AI857" s="7" t="n"/>
      <c r="AL857" s="11" t="n"/>
      <c r="AN857">
        <f>IF($E857="","",IF(COUNTIF($E$2:$E857,$E857)=1,1,0))</f>
        <v/>
      </c>
      <c r="AO857">
        <f>IF($AN857=1,SUMPRODUCT(--($AR$2:$AR$3001&lt;$AR857))+1,"")</f>
        <v/>
      </c>
      <c r="AP857">
        <f>IF($E857="","",IF(OR($U857=TRUE(),$U857="TRUE"),1,0))</f>
        <v/>
      </c>
      <c r="AQ857">
        <f>IF($E857="","",IF($AD857="Yes",1,0))</f>
        <v/>
      </c>
      <c r="AR857">
        <f>IF($AN857=1,IFERROR(VALUE(MID($E857,2,20)),1000000000)+ROW()/100000,"")</f>
        <v/>
      </c>
    </row>
    <row r="858">
      <c r="G858" s="11" t="n"/>
      <c r="Q858" s="7">
        <f>IF($E858="","",P858*AB858/100)</f>
        <v/>
      </c>
      <c r="R858" s="7" t="n"/>
      <c r="X858" s="7" t="n"/>
      <c r="Y858" s="7">
        <f>IF($E858="","",AB858*AE858/100)</f>
        <v/>
      </c>
      <c r="Z858" s="7">
        <f>IF($E858="","",AB858-Y858)</f>
        <v/>
      </c>
      <c r="AA858" s="7">
        <f>IF($E858="","",Z858-Q858)</f>
        <v/>
      </c>
      <c r="AB858" s="7" t="n"/>
      <c r="AE858">
        <f>IF($E858="","",IF($AQ858=1,0,IF($AP858=1,Settings!$C$6,Settings!$C$7))*100)</f>
        <v/>
      </c>
      <c r="AI858" s="7" t="n"/>
      <c r="AL858" s="11" t="n"/>
      <c r="AN858">
        <f>IF($E858="","",IF(COUNTIF($E$2:$E858,$E858)=1,1,0))</f>
        <v/>
      </c>
      <c r="AO858">
        <f>IF($AN858=1,SUMPRODUCT(--($AR$2:$AR$3001&lt;$AR858))+1,"")</f>
        <v/>
      </c>
      <c r="AP858">
        <f>IF($E858="","",IF(OR($U858=TRUE(),$U858="TRUE"),1,0))</f>
        <v/>
      </c>
      <c r="AQ858">
        <f>IF($E858="","",IF($AD858="Yes",1,0))</f>
        <v/>
      </c>
      <c r="AR858">
        <f>IF($AN858=1,IFERROR(VALUE(MID($E858,2,20)),1000000000)+ROW()/100000,"")</f>
        <v/>
      </c>
    </row>
    <row r="859">
      <c r="G859" s="11" t="n"/>
      <c r="Q859" s="7">
        <f>IF($E859="","",P859*AB859/100)</f>
        <v/>
      </c>
      <c r="R859" s="7" t="n"/>
      <c r="X859" s="7" t="n"/>
      <c r="Y859" s="7">
        <f>IF($E859="","",AB859*AE859/100)</f>
        <v/>
      </c>
      <c r="Z859" s="7">
        <f>IF($E859="","",AB859-Y859)</f>
        <v/>
      </c>
      <c r="AA859" s="7">
        <f>IF($E859="","",Z859-Q859)</f>
        <v/>
      </c>
      <c r="AB859" s="7" t="n"/>
      <c r="AE859">
        <f>IF($E859="","",IF($AQ859=1,0,IF($AP859=1,Settings!$C$6,Settings!$C$7))*100)</f>
        <v/>
      </c>
      <c r="AI859" s="7" t="n"/>
      <c r="AL859" s="11" t="n"/>
      <c r="AN859">
        <f>IF($E859="","",IF(COUNTIF($E$2:$E859,$E859)=1,1,0))</f>
        <v/>
      </c>
      <c r="AO859">
        <f>IF($AN859=1,SUMPRODUCT(--($AR$2:$AR$3001&lt;$AR859))+1,"")</f>
        <v/>
      </c>
      <c r="AP859">
        <f>IF($E859="","",IF(OR($U859=TRUE(),$U859="TRUE"),1,0))</f>
        <v/>
      </c>
      <c r="AQ859">
        <f>IF($E859="","",IF($AD859="Yes",1,0))</f>
        <v/>
      </c>
      <c r="AR859">
        <f>IF($AN859=1,IFERROR(VALUE(MID($E859,2,20)),1000000000)+ROW()/100000,"")</f>
        <v/>
      </c>
    </row>
    <row r="860">
      <c r="G860" s="11" t="n"/>
      <c r="Q860" s="7">
        <f>IF($E860="","",P860*AB860/100)</f>
        <v/>
      </c>
      <c r="R860" s="7" t="n"/>
      <c r="X860" s="7" t="n"/>
      <c r="Y860" s="7">
        <f>IF($E860="","",AB860*AE860/100)</f>
        <v/>
      </c>
      <c r="Z860" s="7">
        <f>IF($E860="","",AB860-Y860)</f>
        <v/>
      </c>
      <c r="AA860" s="7">
        <f>IF($E860="","",Z860-Q860)</f>
        <v/>
      </c>
      <c r="AB860" s="7" t="n"/>
      <c r="AE860">
        <f>IF($E860="","",IF($AQ860=1,0,IF($AP860=1,Settings!$C$6,Settings!$C$7))*100)</f>
        <v/>
      </c>
      <c r="AI860" s="7" t="n"/>
      <c r="AL860" s="11" t="n"/>
      <c r="AN860">
        <f>IF($E860="","",IF(COUNTIF($E$2:$E860,$E860)=1,1,0))</f>
        <v/>
      </c>
      <c r="AO860">
        <f>IF($AN860=1,SUMPRODUCT(--($AR$2:$AR$3001&lt;$AR860))+1,"")</f>
        <v/>
      </c>
      <c r="AP860">
        <f>IF($E860="","",IF(OR($U860=TRUE(),$U860="TRUE"),1,0))</f>
        <v/>
      </c>
      <c r="AQ860">
        <f>IF($E860="","",IF($AD860="Yes",1,0))</f>
        <v/>
      </c>
      <c r="AR860">
        <f>IF($AN860=1,IFERROR(VALUE(MID($E860,2,20)),1000000000)+ROW()/100000,"")</f>
        <v/>
      </c>
    </row>
    <row r="861">
      <c r="G861" s="11" t="n"/>
      <c r="Q861" s="7">
        <f>IF($E861="","",P861*AB861/100)</f>
        <v/>
      </c>
      <c r="R861" s="7" t="n"/>
      <c r="X861" s="7" t="n"/>
      <c r="Y861" s="7">
        <f>IF($E861="","",AB861*AE861/100)</f>
        <v/>
      </c>
      <c r="Z861" s="7">
        <f>IF($E861="","",AB861-Y861)</f>
        <v/>
      </c>
      <c r="AA861" s="7">
        <f>IF($E861="","",Z861-Q861)</f>
        <v/>
      </c>
      <c r="AB861" s="7" t="n"/>
      <c r="AE861">
        <f>IF($E861="","",IF($AQ861=1,0,IF($AP861=1,Settings!$C$6,Settings!$C$7))*100)</f>
        <v/>
      </c>
      <c r="AI861" s="7" t="n"/>
      <c r="AL861" s="11" t="n"/>
      <c r="AN861">
        <f>IF($E861="","",IF(COUNTIF($E$2:$E861,$E861)=1,1,0))</f>
        <v/>
      </c>
      <c r="AO861">
        <f>IF($AN861=1,SUMPRODUCT(--($AR$2:$AR$3001&lt;$AR861))+1,"")</f>
        <v/>
      </c>
      <c r="AP861">
        <f>IF($E861="","",IF(OR($U861=TRUE(),$U861="TRUE"),1,0))</f>
        <v/>
      </c>
      <c r="AQ861">
        <f>IF($E861="","",IF($AD861="Yes",1,0))</f>
        <v/>
      </c>
      <c r="AR861">
        <f>IF($AN861=1,IFERROR(VALUE(MID($E861,2,20)),1000000000)+ROW()/100000,"")</f>
        <v/>
      </c>
    </row>
    <row r="862">
      <c r="G862" s="11" t="n"/>
      <c r="Q862" s="7">
        <f>IF($E862="","",P862*AB862/100)</f>
        <v/>
      </c>
      <c r="R862" s="7" t="n"/>
      <c r="X862" s="7" t="n"/>
      <c r="Y862" s="7">
        <f>IF($E862="","",AB862*AE862/100)</f>
        <v/>
      </c>
      <c r="Z862" s="7">
        <f>IF($E862="","",AB862-Y862)</f>
        <v/>
      </c>
      <c r="AA862" s="7">
        <f>IF($E862="","",Z862-Q862)</f>
        <v/>
      </c>
      <c r="AB862" s="7" t="n"/>
      <c r="AE862">
        <f>IF($E862="","",IF($AQ862=1,0,IF($AP862=1,Settings!$C$6,Settings!$C$7))*100)</f>
        <v/>
      </c>
      <c r="AI862" s="7" t="n"/>
      <c r="AL862" s="11" t="n"/>
      <c r="AN862">
        <f>IF($E862="","",IF(COUNTIF($E$2:$E862,$E862)=1,1,0))</f>
        <v/>
      </c>
      <c r="AO862">
        <f>IF($AN862=1,SUMPRODUCT(--($AR$2:$AR$3001&lt;$AR862))+1,"")</f>
        <v/>
      </c>
      <c r="AP862">
        <f>IF($E862="","",IF(OR($U862=TRUE(),$U862="TRUE"),1,0))</f>
        <v/>
      </c>
      <c r="AQ862">
        <f>IF($E862="","",IF($AD862="Yes",1,0))</f>
        <v/>
      </c>
      <c r="AR862">
        <f>IF($AN862=1,IFERROR(VALUE(MID($E862,2,20)),1000000000)+ROW()/100000,"")</f>
        <v/>
      </c>
    </row>
    <row r="863">
      <c r="G863" s="11" t="n"/>
      <c r="Q863" s="7">
        <f>IF($E863="","",P863*AB863/100)</f>
        <v/>
      </c>
      <c r="R863" s="7" t="n"/>
      <c r="X863" s="7" t="n"/>
      <c r="Y863" s="7">
        <f>IF($E863="","",AB863*AE863/100)</f>
        <v/>
      </c>
      <c r="Z863" s="7">
        <f>IF($E863="","",AB863-Y863)</f>
        <v/>
      </c>
      <c r="AA863" s="7">
        <f>IF($E863="","",Z863-Q863)</f>
        <v/>
      </c>
      <c r="AB863" s="7" t="n"/>
      <c r="AE863">
        <f>IF($E863="","",IF($AQ863=1,0,IF($AP863=1,Settings!$C$6,Settings!$C$7))*100)</f>
        <v/>
      </c>
      <c r="AI863" s="7" t="n"/>
      <c r="AL863" s="11" t="n"/>
      <c r="AN863">
        <f>IF($E863="","",IF(COUNTIF($E$2:$E863,$E863)=1,1,0))</f>
        <v/>
      </c>
      <c r="AO863">
        <f>IF($AN863=1,SUMPRODUCT(--($AR$2:$AR$3001&lt;$AR863))+1,"")</f>
        <v/>
      </c>
      <c r="AP863">
        <f>IF($E863="","",IF(OR($U863=TRUE(),$U863="TRUE"),1,0))</f>
        <v/>
      </c>
      <c r="AQ863">
        <f>IF($E863="","",IF($AD863="Yes",1,0))</f>
        <v/>
      </c>
      <c r="AR863">
        <f>IF($AN863=1,IFERROR(VALUE(MID($E863,2,20)),1000000000)+ROW()/100000,"")</f>
        <v/>
      </c>
    </row>
    <row r="864">
      <c r="G864" s="11" t="n"/>
      <c r="Q864" s="7">
        <f>IF($E864="","",P864*AB864/100)</f>
        <v/>
      </c>
      <c r="R864" s="7" t="n"/>
      <c r="X864" s="7" t="n"/>
      <c r="Y864" s="7">
        <f>IF($E864="","",AB864*AE864/100)</f>
        <v/>
      </c>
      <c r="Z864" s="7">
        <f>IF($E864="","",AB864-Y864)</f>
        <v/>
      </c>
      <c r="AA864" s="7">
        <f>IF($E864="","",Z864-Q864)</f>
        <v/>
      </c>
      <c r="AB864" s="7" t="n"/>
      <c r="AE864">
        <f>IF($E864="","",IF($AQ864=1,0,IF($AP864=1,Settings!$C$6,Settings!$C$7))*100)</f>
        <v/>
      </c>
      <c r="AI864" s="7" t="n"/>
      <c r="AL864" s="11" t="n"/>
      <c r="AN864">
        <f>IF($E864="","",IF(COUNTIF($E$2:$E864,$E864)=1,1,0))</f>
        <v/>
      </c>
      <c r="AO864">
        <f>IF($AN864=1,SUMPRODUCT(--($AR$2:$AR$3001&lt;$AR864))+1,"")</f>
        <v/>
      </c>
      <c r="AP864">
        <f>IF($E864="","",IF(OR($U864=TRUE(),$U864="TRUE"),1,0))</f>
        <v/>
      </c>
      <c r="AQ864">
        <f>IF($E864="","",IF($AD864="Yes",1,0))</f>
        <v/>
      </c>
      <c r="AR864">
        <f>IF($AN864=1,IFERROR(VALUE(MID($E864,2,20)),1000000000)+ROW()/100000,"")</f>
        <v/>
      </c>
    </row>
    <row r="865">
      <c r="G865" s="11" t="n"/>
      <c r="Q865" s="7">
        <f>IF($E865="","",P865*AB865/100)</f>
        <v/>
      </c>
      <c r="R865" s="7" t="n"/>
      <c r="X865" s="7" t="n"/>
      <c r="Y865" s="7">
        <f>IF($E865="","",AB865*AE865/100)</f>
        <v/>
      </c>
      <c r="Z865" s="7">
        <f>IF($E865="","",AB865-Y865)</f>
        <v/>
      </c>
      <c r="AA865" s="7">
        <f>IF($E865="","",Z865-Q865)</f>
        <v/>
      </c>
      <c r="AB865" s="7" t="n"/>
      <c r="AE865">
        <f>IF($E865="","",IF($AQ865=1,0,IF($AP865=1,Settings!$C$6,Settings!$C$7))*100)</f>
        <v/>
      </c>
      <c r="AI865" s="7" t="n"/>
      <c r="AL865" s="11" t="n"/>
      <c r="AN865">
        <f>IF($E865="","",IF(COUNTIF($E$2:$E865,$E865)=1,1,0))</f>
        <v/>
      </c>
      <c r="AO865">
        <f>IF($AN865=1,SUMPRODUCT(--($AR$2:$AR$3001&lt;$AR865))+1,"")</f>
        <v/>
      </c>
      <c r="AP865">
        <f>IF($E865="","",IF(OR($U865=TRUE(),$U865="TRUE"),1,0))</f>
        <v/>
      </c>
      <c r="AQ865">
        <f>IF($E865="","",IF($AD865="Yes",1,0))</f>
        <v/>
      </c>
      <c r="AR865">
        <f>IF($AN865=1,IFERROR(VALUE(MID($E865,2,20)),1000000000)+ROW()/100000,"")</f>
        <v/>
      </c>
    </row>
    <row r="866">
      <c r="G866" s="11" t="n"/>
      <c r="Q866" s="7">
        <f>IF($E866="","",P866*AB866/100)</f>
        <v/>
      </c>
      <c r="R866" s="7" t="n"/>
      <c r="X866" s="7" t="n"/>
      <c r="Y866" s="7">
        <f>IF($E866="","",AB866*AE866/100)</f>
        <v/>
      </c>
      <c r="Z866" s="7">
        <f>IF($E866="","",AB866-Y866)</f>
        <v/>
      </c>
      <c r="AA866" s="7">
        <f>IF($E866="","",Z866-Q866)</f>
        <v/>
      </c>
      <c r="AB866" s="7" t="n"/>
      <c r="AE866">
        <f>IF($E866="","",IF($AQ866=1,0,IF($AP866=1,Settings!$C$6,Settings!$C$7))*100)</f>
        <v/>
      </c>
      <c r="AI866" s="7" t="n"/>
      <c r="AL866" s="11" t="n"/>
      <c r="AN866">
        <f>IF($E866="","",IF(COUNTIF($E$2:$E866,$E866)=1,1,0))</f>
        <v/>
      </c>
      <c r="AO866">
        <f>IF($AN866=1,SUMPRODUCT(--($AR$2:$AR$3001&lt;$AR866))+1,"")</f>
        <v/>
      </c>
      <c r="AP866">
        <f>IF($E866="","",IF(OR($U866=TRUE(),$U866="TRUE"),1,0))</f>
        <v/>
      </c>
      <c r="AQ866">
        <f>IF($E866="","",IF($AD866="Yes",1,0))</f>
        <v/>
      </c>
      <c r="AR866">
        <f>IF($AN866=1,IFERROR(VALUE(MID($E866,2,20)),1000000000)+ROW()/100000,"")</f>
        <v/>
      </c>
    </row>
    <row r="867">
      <c r="G867" s="11" t="n"/>
      <c r="Q867" s="7">
        <f>IF($E867="","",P867*AB867/100)</f>
        <v/>
      </c>
      <c r="R867" s="7" t="n"/>
      <c r="X867" s="7" t="n"/>
      <c r="Y867" s="7">
        <f>IF($E867="","",AB867*AE867/100)</f>
        <v/>
      </c>
      <c r="Z867" s="7">
        <f>IF($E867="","",AB867-Y867)</f>
        <v/>
      </c>
      <c r="AA867" s="7">
        <f>IF($E867="","",Z867-Q867)</f>
        <v/>
      </c>
      <c r="AB867" s="7" t="n"/>
      <c r="AE867">
        <f>IF($E867="","",IF($AQ867=1,0,IF($AP867=1,Settings!$C$6,Settings!$C$7))*100)</f>
        <v/>
      </c>
      <c r="AI867" s="7" t="n"/>
      <c r="AL867" s="11" t="n"/>
      <c r="AN867">
        <f>IF($E867="","",IF(COUNTIF($E$2:$E867,$E867)=1,1,0))</f>
        <v/>
      </c>
      <c r="AO867">
        <f>IF($AN867=1,SUMPRODUCT(--($AR$2:$AR$3001&lt;$AR867))+1,"")</f>
        <v/>
      </c>
      <c r="AP867">
        <f>IF($E867="","",IF(OR($U867=TRUE(),$U867="TRUE"),1,0))</f>
        <v/>
      </c>
      <c r="AQ867">
        <f>IF($E867="","",IF($AD867="Yes",1,0))</f>
        <v/>
      </c>
      <c r="AR867">
        <f>IF($AN867=1,IFERROR(VALUE(MID($E867,2,20)),1000000000)+ROW()/100000,"")</f>
        <v/>
      </c>
    </row>
    <row r="868">
      <c r="G868" s="11" t="n"/>
      <c r="Q868" s="7">
        <f>IF($E868="","",P868*AB868/100)</f>
        <v/>
      </c>
      <c r="R868" s="7" t="n"/>
      <c r="X868" s="7" t="n"/>
      <c r="Y868" s="7">
        <f>IF($E868="","",AB868*AE868/100)</f>
        <v/>
      </c>
      <c r="Z868" s="7">
        <f>IF($E868="","",AB868-Y868)</f>
        <v/>
      </c>
      <c r="AA868" s="7">
        <f>IF($E868="","",Z868-Q868)</f>
        <v/>
      </c>
      <c r="AB868" s="7" t="n"/>
      <c r="AE868">
        <f>IF($E868="","",IF($AQ868=1,0,IF($AP868=1,Settings!$C$6,Settings!$C$7))*100)</f>
        <v/>
      </c>
      <c r="AI868" s="7" t="n"/>
      <c r="AL868" s="11" t="n"/>
      <c r="AN868">
        <f>IF($E868="","",IF(COUNTIF($E$2:$E868,$E868)=1,1,0))</f>
        <v/>
      </c>
      <c r="AO868">
        <f>IF($AN868=1,SUMPRODUCT(--($AR$2:$AR$3001&lt;$AR868))+1,"")</f>
        <v/>
      </c>
      <c r="AP868">
        <f>IF($E868="","",IF(OR($U868=TRUE(),$U868="TRUE"),1,0))</f>
        <v/>
      </c>
      <c r="AQ868">
        <f>IF($E868="","",IF($AD868="Yes",1,0))</f>
        <v/>
      </c>
      <c r="AR868">
        <f>IF($AN868=1,IFERROR(VALUE(MID($E868,2,20)),1000000000)+ROW()/100000,"")</f>
        <v/>
      </c>
    </row>
    <row r="869">
      <c r="G869" s="11" t="n"/>
      <c r="Q869" s="7">
        <f>IF($E869="","",P869*AB869/100)</f>
        <v/>
      </c>
      <c r="R869" s="7" t="n"/>
      <c r="X869" s="7" t="n"/>
      <c r="Y869" s="7">
        <f>IF($E869="","",AB869*AE869/100)</f>
        <v/>
      </c>
      <c r="Z869" s="7">
        <f>IF($E869="","",AB869-Y869)</f>
        <v/>
      </c>
      <c r="AA869" s="7">
        <f>IF($E869="","",Z869-Q869)</f>
        <v/>
      </c>
      <c r="AB869" s="7" t="n"/>
      <c r="AE869">
        <f>IF($E869="","",IF($AQ869=1,0,IF($AP869=1,Settings!$C$6,Settings!$C$7))*100)</f>
        <v/>
      </c>
      <c r="AI869" s="7" t="n"/>
      <c r="AL869" s="11" t="n"/>
      <c r="AN869">
        <f>IF($E869="","",IF(COUNTIF($E$2:$E869,$E869)=1,1,0))</f>
        <v/>
      </c>
      <c r="AO869">
        <f>IF($AN869=1,SUMPRODUCT(--($AR$2:$AR$3001&lt;$AR869))+1,"")</f>
        <v/>
      </c>
      <c r="AP869">
        <f>IF($E869="","",IF(OR($U869=TRUE(),$U869="TRUE"),1,0))</f>
        <v/>
      </c>
      <c r="AQ869">
        <f>IF($E869="","",IF($AD869="Yes",1,0))</f>
        <v/>
      </c>
      <c r="AR869">
        <f>IF($AN869=1,IFERROR(VALUE(MID($E869,2,20)),1000000000)+ROW()/100000,"")</f>
        <v/>
      </c>
    </row>
    <row r="870">
      <c r="G870" s="11" t="n"/>
      <c r="Q870" s="7">
        <f>IF($E870="","",P870*AB870/100)</f>
        <v/>
      </c>
      <c r="R870" s="7" t="n"/>
      <c r="X870" s="7" t="n"/>
      <c r="Y870" s="7">
        <f>IF($E870="","",AB870*AE870/100)</f>
        <v/>
      </c>
      <c r="Z870" s="7">
        <f>IF($E870="","",AB870-Y870)</f>
        <v/>
      </c>
      <c r="AA870" s="7">
        <f>IF($E870="","",Z870-Q870)</f>
        <v/>
      </c>
      <c r="AB870" s="7" t="n"/>
      <c r="AE870">
        <f>IF($E870="","",IF($AQ870=1,0,IF($AP870=1,Settings!$C$6,Settings!$C$7))*100)</f>
        <v/>
      </c>
      <c r="AI870" s="7" t="n"/>
      <c r="AL870" s="11" t="n"/>
      <c r="AN870">
        <f>IF($E870="","",IF(COUNTIF($E$2:$E870,$E870)=1,1,0))</f>
        <v/>
      </c>
      <c r="AO870">
        <f>IF($AN870=1,SUMPRODUCT(--($AR$2:$AR$3001&lt;$AR870))+1,"")</f>
        <v/>
      </c>
      <c r="AP870">
        <f>IF($E870="","",IF(OR($U870=TRUE(),$U870="TRUE"),1,0))</f>
        <v/>
      </c>
      <c r="AQ870">
        <f>IF($E870="","",IF($AD870="Yes",1,0))</f>
        <v/>
      </c>
      <c r="AR870">
        <f>IF($AN870=1,IFERROR(VALUE(MID($E870,2,20)),1000000000)+ROW()/100000,"")</f>
        <v/>
      </c>
    </row>
    <row r="871">
      <c r="G871" s="11" t="n"/>
      <c r="Q871" s="7">
        <f>IF($E871="","",P871*AB871/100)</f>
        <v/>
      </c>
      <c r="R871" s="7" t="n"/>
      <c r="X871" s="7" t="n"/>
      <c r="Y871" s="7">
        <f>IF($E871="","",AB871*AE871/100)</f>
        <v/>
      </c>
      <c r="Z871" s="7">
        <f>IF($E871="","",AB871-Y871)</f>
        <v/>
      </c>
      <c r="AA871" s="7">
        <f>IF($E871="","",Z871-Q871)</f>
        <v/>
      </c>
      <c r="AB871" s="7" t="n"/>
      <c r="AE871">
        <f>IF($E871="","",IF($AQ871=1,0,IF($AP871=1,Settings!$C$6,Settings!$C$7))*100)</f>
        <v/>
      </c>
      <c r="AI871" s="7" t="n"/>
      <c r="AL871" s="11" t="n"/>
      <c r="AN871">
        <f>IF($E871="","",IF(COUNTIF($E$2:$E871,$E871)=1,1,0))</f>
        <v/>
      </c>
      <c r="AO871">
        <f>IF($AN871=1,SUMPRODUCT(--($AR$2:$AR$3001&lt;$AR871))+1,"")</f>
        <v/>
      </c>
      <c r="AP871">
        <f>IF($E871="","",IF(OR($U871=TRUE(),$U871="TRUE"),1,0))</f>
        <v/>
      </c>
      <c r="AQ871">
        <f>IF($E871="","",IF($AD871="Yes",1,0))</f>
        <v/>
      </c>
      <c r="AR871">
        <f>IF($AN871=1,IFERROR(VALUE(MID($E871,2,20)),1000000000)+ROW()/100000,"")</f>
        <v/>
      </c>
    </row>
    <row r="872">
      <c r="G872" s="11" t="n"/>
      <c r="Q872" s="7">
        <f>IF($E872="","",P872*AB872/100)</f>
        <v/>
      </c>
      <c r="R872" s="7" t="n"/>
      <c r="X872" s="7" t="n"/>
      <c r="Y872" s="7">
        <f>IF($E872="","",AB872*AE872/100)</f>
        <v/>
      </c>
      <c r="Z872" s="7">
        <f>IF($E872="","",AB872-Y872)</f>
        <v/>
      </c>
      <c r="AA872" s="7">
        <f>IF($E872="","",Z872-Q872)</f>
        <v/>
      </c>
      <c r="AB872" s="7" t="n"/>
      <c r="AE872">
        <f>IF($E872="","",IF($AQ872=1,0,IF($AP872=1,Settings!$C$6,Settings!$C$7))*100)</f>
        <v/>
      </c>
      <c r="AI872" s="7" t="n"/>
      <c r="AL872" s="11" t="n"/>
      <c r="AN872">
        <f>IF($E872="","",IF(COUNTIF($E$2:$E872,$E872)=1,1,0))</f>
        <v/>
      </c>
      <c r="AO872">
        <f>IF($AN872=1,SUMPRODUCT(--($AR$2:$AR$3001&lt;$AR872))+1,"")</f>
        <v/>
      </c>
      <c r="AP872">
        <f>IF($E872="","",IF(OR($U872=TRUE(),$U872="TRUE"),1,0))</f>
        <v/>
      </c>
      <c r="AQ872">
        <f>IF($E872="","",IF($AD872="Yes",1,0))</f>
        <v/>
      </c>
      <c r="AR872">
        <f>IF($AN872=1,IFERROR(VALUE(MID($E872,2,20)),1000000000)+ROW()/100000,"")</f>
        <v/>
      </c>
    </row>
    <row r="873">
      <c r="G873" s="11" t="n"/>
      <c r="Q873" s="7">
        <f>IF($E873="","",P873*AB873/100)</f>
        <v/>
      </c>
      <c r="R873" s="7" t="n"/>
      <c r="X873" s="7" t="n"/>
      <c r="Y873" s="7">
        <f>IF($E873="","",AB873*AE873/100)</f>
        <v/>
      </c>
      <c r="Z873" s="7">
        <f>IF($E873="","",AB873-Y873)</f>
        <v/>
      </c>
      <c r="AA873" s="7">
        <f>IF($E873="","",Z873-Q873)</f>
        <v/>
      </c>
      <c r="AB873" s="7" t="n"/>
      <c r="AE873">
        <f>IF($E873="","",IF($AQ873=1,0,IF($AP873=1,Settings!$C$6,Settings!$C$7))*100)</f>
        <v/>
      </c>
      <c r="AI873" s="7" t="n"/>
      <c r="AL873" s="11" t="n"/>
      <c r="AN873">
        <f>IF($E873="","",IF(COUNTIF($E$2:$E873,$E873)=1,1,0))</f>
        <v/>
      </c>
      <c r="AO873">
        <f>IF($AN873=1,SUMPRODUCT(--($AR$2:$AR$3001&lt;$AR873))+1,"")</f>
        <v/>
      </c>
      <c r="AP873">
        <f>IF($E873="","",IF(OR($U873=TRUE(),$U873="TRUE"),1,0))</f>
        <v/>
      </c>
      <c r="AQ873">
        <f>IF($E873="","",IF($AD873="Yes",1,0))</f>
        <v/>
      </c>
      <c r="AR873">
        <f>IF($AN873=1,IFERROR(VALUE(MID($E873,2,20)),1000000000)+ROW()/100000,"")</f>
        <v/>
      </c>
    </row>
    <row r="874">
      <c r="G874" s="11" t="n"/>
      <c r="Q874" s="7">
        <f>IF($E874="","",P874*AB874/100)</f>
        <v/>
      </c>
      <c r="R874" s="7" t="n"/>
      <c r="X874" s="7" t="n"/>
      <c r="Y874" s="7">
        <f>IF($E874="","",AB874*AE874/100)</f>
        <v/>
      </c>
      <c r="Z874" s="7">
        <f>IF($E874="","",AB874-Y874)</f>
        <v/>
      </c>
      <c r="AA874" s="7">
        <f>IF($E874="","",Z874-Q874)</f>
        <v/>
      </c>
      <c r="AB874" s="7" t="n"/>
      <c r="AE874">
        <f>IF($E874="","",IF($AQ874=1,0,IF($AP874=1,Settings!$C$6,Settings!$C$7))*100)</f>
        <v/>
      </c>
      <c r="AI874" s="7" t="n"/>
      <c r="AL874" s="11" t="n"/>
      <c r="AN874">
        <f>IF($E874="","",IF(COUNTIF($E$2:$E874,$E874)=1,1,0))</f>
        <v/>
      </c>
      <c r="AO874">
        <f>IF($AN874=1,SUMPRODUCT(--($AR$2:$AR$3001&lt;$AR874))+1,"")</f>
        <v/>
      </c>
      <c r="AP874">
        <f>IF($E874="","",IF(OR($U874=TRUE(),$U874="TRUE"),1,0))</f>
        <v/>
      </c>
      <c r="AQ874">
        <f>IF($E874="","",IF($AD874="Yes",1,0))</f>
        <v/>
      </c>
      <c r="AR874">
        <f>IF($AN874=1,IFERROR(VALUE(MID($E874,2,20)),1000000000)+ROW()/100000,"")</f>
        <v/>
      </c>
    </row>
    <row r="875">
      <c r="G875" s="11" t="n"/>
      <c r="Q875" s="7">
        <f>IF($E875="","",P875*AB875/100)</f>
        <v/>
      </c>
      <c r="R875" s="7" t="n"/>
      <c r="X875" s="7" t="n"/>
      <c r="Y875" s="7">
        <f>IF($E875="","",AB875*AE875/100)</f>
        <v/>
      </c>
      <c r="Z875" s="7">
        <f>IF($E875="","",AB875-Y875)</f>
        <v/>
      </c>
      <c r="AA875" s="7">
        <f>IF($E875="","",Z875-Q875)</f>
        <v/>
      </c>
      <c r="AB875" s="7" t="n"/>
      <c r="AE875">
        <f>IF($E875="","",IF($AQ875=1,0,IF($AP875=1,Settings!$C$6,Settings!$C$7))*100)</f>
        <v/>
      </c>
      <c r="AI875" s="7" t="n"/>
      <c r="AL875" s="11" t="n"/>
      <c r="AN875">
        <f>IF($E875="","",IF(COUNTIF($E$2:$E875,$E875)=1,1,0))</f>
        <v/>
      </c>
      <c r="AO875">
        <f>IF($AN875=1,SUMPRODUCT(--($AR$2:$AR$3001&lt;$AR875))+1,"")</f>
        <v/>
      </c>
      <c r="AP875">
        <f>IF($E875="","",IF(OR($U875=TRUE(),$U875="TRUE"),1,0))</f>
        <v/>
      </c>
      <c r="AQ875">
        <f>IF($E875="","",IF($AD875="Yes",1,0))</f>
        <v/>
      </c>
      <c r="AR875">
        <f>IF($AN875=1,IFERROR(VALUE(MID($E875,2,20)),1000000000)+ROW()/100000,"")</f>
        <v/>
      </c>
    </row>
    <row r="876">
      <c r="G876" s="11" t="n"/>
      <c r="Q876" s="7">
        <f>IF($E876="","",P876*AB876/100)</f>
        <v/>
      </c>
      <c r="R876" s="7" t="n"/>
      <c r="X876" s="7" t="n"/>
      <c r="Y876" s="7">
        <f>IF($E876="","",AB876*AE876/100)</f>
        <v/>
      </c>
      <c r="Z876" s="7">
        <f>IF($E876="","",AB876-Y876)</f>
        <v/>
      </c>
      <c r="AA876" s="7">
        <f>IF($E876="","",Z876-Q876)</f>
        <v/>
      </c>
      <c r="AB876" s="7" t="n"/>
      <c r="AE876">
        <f>IF($E876="","",IF($AQ876=1,0,IF($AP876=1,Settings!$C$6,Settings!$C$7))*100)</f>
        <v/>
      </c>
      <c r="AI876" s="7" t="n"/>
      <c r="AL876" s="11" t="n"/>
      <c r="AN876">
        <f>IF($E876="","",IF(COUNTIF($E$2:$E876,$E876)=1,1,0))</f>
        <v/>
      </c>
      <c r="AO876">
        <f>IF($AN876=1,SUMPRODUCT(--($AR$2:$AR$3001&lt;$AR876))+1,"")</f>
        <v/>
      </c>
      <c r="AP876">
        <f>IF($E876="","",IF(OR($U876=TRUE(),$U876="TRUE"),1,0))</f>
        <v/>
      </c>
      <c r="AQ876">
        <f>IF($E876="","",IF($AD876="Yes",1,0))</f>
        <v/>
      </c>
      <c r="AR876">
        <f>IF($AN876=1,IFERROR(VALUE(MID($E876,2,20)),1000000000)+ROW()/100000,"")</f>
        <v/>
      </c>
    </row>
    <row r="877">
      <c r="G877" s="11" t="n"/>
      <c r="Q877" s="7">
        <f>IF($E877="","",P877*AB877/100)</f>
        <v/>
      </c>
      <c r="R877" s="7" t="n"/>
      <c r="X877" s="7" t="n"/>
      <c r="Y877" s="7">
        <f>IF($E877="","",AB877*AE877/100)</f>
        <v/>
      </c>
      <c r="Z877" s="7">
        <f>IF($E877="","",AB877-Y877)</f>
        <v/>
      </c>
      <c r="AA877" s="7">
        <f>IF($E877="","",Z877-Q877)</f>
        <v/>
      </c>
      <c r="AB877" s="7" t="n"/>
      <c r="AE877">
        <f>IF($E877="","",IF($AQ877=1,0,IF($AP877=1,Settings!$C$6,Settings!$C$7))*100)</f>
        <v/>
      </c>
      <c r="AI877" s="7" t="n"/>
      <c r="AL877" s="11" t="n"/>
      <c r="AN877">
        <f>IF($E877="","",IF(COUNTIF($E$2:$E877,$E877)=1,1,0))</f>
        <v/>
      </c>
      <c r="AO877">
        <f>IF($AN877=1,SUMPRODUCT(--($AR$2:$AR$3001&lt;$AR877))+1,"")</f>
        <v/>
      </c>
      <c r="AP877">
        <f>IF($E877="","",IF(OR($U877=TRUE(),$U877="TRUE"),1,0))</f>
        <v/>
      </c>
      <c r="AQ877">
        <f>IF($E877="","",IF($AD877="Yes",1,0))</f>
        <v/>
      </c>
      <c r="AR877">
        <f>IF($AN877=1,IFERROR(VALUE(MID($E877,2,20)),1000000000)+ROW()/100000,"")</f>
        <v/>
      </c>
    </row>
    <row r="878">
      <c r="G878" s="11" t="n"/>
      <c r="Q878" s="7">
        <f>IF($E878="","",P878*AB878/100)</f>
        <v/>
      </c>
      <c r="R878" s="7" t="n"/>
      <c r="X878" s="7" t="n"/>
      <c r="Y878" s="7">
        <f>IF($E878="","",AB878*AE878/100)</f>
        <v/>
      </c>
      <c r="Z878" s="7">
        <f>IF($E878="","",AB878-Y878)</f>
        <v/>
      </c>
      <c r="AA878" s="7">
        <f>IF($E878="","",Z878-Q878)</f>
        <v/>
      </c>
      <c r="AB878" s="7" t="n"/>
      <c r="AE878">
        <f>IF($E878="","",IF($AQ878=1,0,IF($AP878=1,Settings!$C$6,Settings!$C$7))*100)</f>
        <v/>
      </c>
      <c r="AI878" s="7" t="n"/>
      <c r="AL878" s="11" t="n"/>
      <c r="AN878">
        <f>IF($E878="","",IF(COUNTIF($E$2:$E878,$E878)=1,1,0))</f>
        <v/>
      </c>
      <c r="AO878">
        <f>IF($AN878=1,SUMPRODUCT(--($AR$2:$AR$3001&lt;$AR878))+1,"")</f>
        <v/>
      </c>
      <c r="AP878">
        <f>IF($E878="","",IF(OR($U878=TRUE(),$U878="TRUE"),1,0))</f>
        <v/>
      </c>
      <c r="AQ878">
        <f>IF($E878="","",IF($AD878="Yes",1,0))</f>
        <v/>
      </c>
      <c r="AR878">
        <f>IF($AN878=1,IFERROR(VALUE(MID($E878,2,20)),1000000000)+ROW()/100000,"")</f>
        <v/>
      </c>
    </row>
    <row r="879">
      <c r="G879" s="11" t="n"/>
      <c r="Q879" s="7">
        <f>IF($E879="","",P879*AB879/100)</f>
        <v/>
      </c>
      <c r="R879" s="7" t="n"/>
      <c r="X879" s="7" t="n"/>
      <c r="Y879" s="7">
        <f>IF($E879="","",AB879*AE879/100)</f>
        <v/>
      </c>
      <c r="Z879" s="7">
        <f>IF($E879="","",AB879-Y879)</f>
        <v/>
      </c>
      <c r="AA879" s="7">
        <f>IF($E879="","",Z879-Q879)</f>
        <v/>
      </c>
      <c r="AB879" s="7" t="n"/>
      <c r="AE879">
        <f>IF($E879="","",IF($AQ879=1,0,IF($AP879=1,Settings!$C$6,Settings!$C$7))*100)</f>
        <v/>
      </c>
      <c r="AI879" s="7" t="n"/>
      <c r="AL879" s="11" t="n"/>
      <c r="AN879">
        <f>IF($E879="","",IF(COUNTIF($E$2:$E879,$E879)=1,1,0))</f>
        <v/>
      </c>
      <c r="AO879">
        <f>IF($AN879=1,SUMPRODUCT(--($AR$2:$AR$3001&lt;$AR879))+1,"")</f>
        <v/>
      </c>
      <c r="AP879">
        <f>IF($E879="","",IF(OR($U879=TRUE(),$U879="TRUE"),1,0))</f>
        <v/>
      </c>
      <c r="AQ879">
        <f>IF($E879="","",IF($AD879="Yes",1,0))</f>
        <v/>
      </c>
      <c r="AR879">
        <f>IF($AN879=1,IFERROR(VALUE(MID($E879,2,20)),1000000000)+ROW()/100000,"")</f>
        <v/>
      </c>
    </row>
    <row r="880">
      <c r="G880" s="11" t="n"/>
      <c r="Q880" s="7">
        <f>IF($E880="","",P880*AB880/100)</f>
        <v/>
      </c>
      <c r="R880" s="7" t="n"/>
      <c r="X880" s="7" t="n"/>
      <c r="Y880" s="7">
        <f>IF($E880="","",AB880*AE880/100)</f>
        <v/>
      </c>
      <c r="Z880" s="7">
        <f>IF($E880="","",AB880-Y880)</f>
        <v/>
      </c>
      <c r="AA880" s="7">
        <f>IF($E880="","",Z880-Q880)</f>
        <v/>
      </c>
      <c r="AB880" s="7" t="n"/>
      <c r="AE880">
        <f>IF($E880="","",IF($AQ880=1,0,IF($AP880=1,Settings!$C$6,Settings!$C$7))*100)</f>
        <v/>
      </c>
      <c r="AI880" s="7" t="n"/>
      <c r="AL880" s="11" t="n"/>
      <c r="AN880">
        <f>IF($E880="","",IF(COUNTIF($E$2:$E880,$E880)=1,1,0))</f>
        <v/>
      </c>
      <c r="AO880">
        <f>IF($AN880=1,SUMPRODUCT(--($AR$2:$AR$3001&lt;$AR880))+1,"")</f>
        <v/>
      </c>
      <c r="AP880">
        <f>IF($E880="","",IF(OR($U880=TRUE(),$U880="TRUE"),1,0))</f>
        <v/>
      </c>
      <c r="AQ880">
        <f>IF($E880="","",IF($AD880="Yes",1,0))</f>
        <v/>
      </c>
      <c r="AR880">
        <f>IF($AN880=1,IFERROR(VALUE(MID($E880,2,20)),1000000000)+ROW()/100000,"")</f>
        <v/>
      </c>
    </row>
    <row r="881">
      <c r="G881" s="11" t="n"/>
      <c r="Q881" s="7">
        <f>IF($E881="","",P881*AB881/100)</f>
        <v/>
      </c>
      <c r="R881" s="7" t="n"/>
      <c r="X881" s="7" t="n"/>
      <c r="Y881" s="7">
        <f>IF($E881="","",AB881*AE881/100)</f>
        <v/>
      </c>
      <c r="Z881" s="7">
        <f>IF($E881="","",AB881-Y881)</f>
        <v/>
      </c>
      <c r="AA881" s="7">
        <f>IF($E881="","",Z881-Q881)</f>
        <v/>
      </c>
      <c r="AB881" s="7" t="n"/>
      <c r="AE881">
        <f>IF($E881="","",IF($AQ881=1,0,IF($AP881=1,Settings!$C$6,Settings!$C$7))*100)</f>
        <v/>
      </c>
      <c r="AI881" s="7" t="n"/>
      <c r="AL881" s="11" t="n"/>
      <c r="AN881">
        <f>IF($E881="","",IF(COUNTIF($E$2:$E881,$E881)=1,1,0))</f>
        <v/>
      </c>
      <c r="AO881">
        <f>IF($AN881=1,SUMPRODUCT(--($AR$2:$AR$3001&lt;$AR881))+1,"")</f>
        <v/>
      </c>
      <c r="AP881">
        <f>IF($E881="","",IF(OR($U881=TRUE(),$U881="TRUE"),1,0))</f>
        <v/>
      </c>
      <c r="AQ881">
        <f>IF($E881="","",IF($AD881="Yes",1,0))</f>
        <v/>
      </c>
      <c r="AR881">
        <f>IF($AN881=1,IFERROR(VALUE(MID($E881,2,20)),1000000000)+ROW()/100000,"")</f>
        <v/>
      </c>
    </row>
    <row r="882">
      <c r="G882" s="11" t="n"/>
      <c r="Q882" s="7">
        <f>IF($E882="","",P882*AB882/100)</f>
        <v/>
      </c>
      <c r="R882" s="7" t="n"/>
      <c r="X882" s="7" t="n"/>
      <c r="Y882" s="7">
        <f>IF($E882="","",AB882*AE882/100)</f>
        <v/>
      </c>
      <c r="Z882" s="7">
        <f>IF($E882="","",AB882-Y882)</f>
        <v/>
      </c>
      <c r="AA882" s="7">
        <f>IF($E882="","",Z882-Q882)</f>
        <v/>
      </c>
      <c r="AB882" s="7" t="n"/>
      <c r="AE882">
        <f>IF($E882="","",IF($AQ882=1,0,IF($AP882=1,Settings!$C$6,Settings!$C$7))*100)</f>
        <v/>
      </c>
      <c r="AI882" s="7" t="n"/>
      <c r="AL882" s="11" t="n"/>
      <c r="AN882">
        <f>IF($E882="","",IF(COUNTIF($E$2:$E882,$E882)=1,1,0))</f>
        <v/>
      </c>
      <c r="AO882">
        <f>IF($AN882=1,SUMPRODUCT(--($AR$2:$AR$3001&lt;$AR882))+1,"")</f>
        <v/>
      </c>
      <c r="AP882">
        <f>IF($E882="","",IF(OR($U882=TRUE(),$U882="TRUE"),1,0))</f>
        <v/>
      </c>
      <c r="AQ882">
        <f>IF($E882="","",IF($AD882="Yes",1,0))</f>
        <v/>
      </c>
      <c r="AR882">
        <f>IF($AN882=1,IFERROR(VALUE(MID($E882,2,20)),1000000000)+ROW()/100000,"")</f>
        <v/>
      </c>
    </row>
    <row r="883">
      <c r="G883" s="11" t="n"/>
      <c r="Q883" s="7">
        <f>IF($E883="","",P883*AB883/100)</f>
        <v/>
      </c>
      <c r="R883" s="7" t="n"/>
      <c r="X883" s="7" t="n"/>
      <c r="Y883" s="7">
        <f>IF($E883="","",AB883*AE883/100)</f>
        <v/>
      </c>
      <c r="Z883" s="7">
        <f>IF($E883="","",AB883-Y883)</f>
        <v/>
      </c>
      <c r="AA883" s="7">
        <f>IF($E883="","",Z883-Q883)</f>
        <v/>
      </c>
      <c r="AB883" s="7" t="n"/>
      <c r="AE883">
        <f>IF($E883="","",IF($AQ883=1,0,IF($AP883=1,Settings!$C$6,Settings!$C$7))*100)</f>
        <v/>
      </c>
      <c r="AI883" s="7" t="n"/>
      <c r="AL883" s="11" t="n"/>
      <c r="AN883">
        <f>IF($E883="","",IF(COUNTIF($E$2:$E883,$E883)=1,1,0))</f>
        <v/>
      </c>
      <c r="AO883">
        <f>IF($AN883=1,SUMPRODUCT(--($AR$2:$AR$3001&lt;$AR883))+1,"")</f>
        <v/>
      </c>
      <c r="AP883">
        <f>IF($E883="","",IF(OR($U883=TRUE(),$U883="TRUE"),1,0))</f>
        <v/>
      </c>
      <c r="AQ883">
        <f>IF($E883="","",IF($AD883="Yes",1,0))</f>
        <v/>
      </c>
      <c r="AR883">
        <f>IF($AN883=1,IFERROR(VALUE(MID($E883,2,20)),1000000000)+ROW()/100000,"")</f>
        <v/>
      </c>
    </row>
    <row r="884">
      <c r="G884" s="11" t="n"/>
      <c r="Q884" s="7">
        <f>IF($E884="","",P884*AB884/100)</f>
        <v/>
      </c>
      <c r="R884" s="7" t="n"/>
      <c r="X884" s="7" t="n"/>
      <c r="Y884" s="7">
        <f>IF($E884="","",AB884*AE884/100)</f>
        <v/>
      </c>
      <c r="Z884" s="7">
        <f>IF($E884="","",AB884-Y884)</f>
        <v/>
      </c>
      <c r="AA884" s="7">
        <f>IF($E884="","",Z884-Q884)</f>
        <v/>
      </c>
      <c r="AB884" s="7" t="n"/>
      <c r="AE884">
        <f>IF($E884="","",IF($AQ884=1,0,IF($AP884=1,Settings!$C$6,Settings!$C$7))*100)</f>
        <v/>
      </c>
      <c r="AI884" s="7" t="n"/>
      <c r="AL884" s="11" t="n"/>
      <c r="AN884">
        <f>IF($E884="","",IF(COUNTIF($E$2:$E884,$E884)=1,1,0))</f>
        <v/>
      </c>
      <c r="AO884">
        <f>IF($AN884=1,SUMPRODUCT(--($AR$2:$AR$3001&lt;$AR884))+1,"")</f>
        <v/>
      </c>
      <c r="AP884">
        <f>IF($E884="","",IF(OR($U884=TRUE(),$U884="TRUE"),1,0))</f>
        <v/>
      </c>
      <c r="AQ884">
        <f>IF($E884="","",IF($AD884="Yes",1,0))</f>
        <v/>
      </c>
      <c r="AR884">
        <f>IF($AN884=1,IFERROR(VALUE(MID($E884,2,20)),1000000000)+ROW()/100000,"")</f>
        <v/>
      </c>
    </row>
    <row r="885">
      <c r="G885" s="11" t="n"/>
      <c r="Q885" s="7">
        <f>IF($E885="","",P885*AB885/100)</f>
        <v/>
      </c>
      <c r="R885" s="7" t="n"/>
      <c r="X885" s="7" t="n"/>
      <c r="Y885" s="7">
        <f>IF($E885="","",AB885*AE885/100)</f>
        <v/>
      </c>
      <c r="Z885" s="7">
        <f>IF($E885="","",AB885-Y885)</f>
        <v/>
      </c>
      <c r="AA885" s="7">
        <f>IF($E885="","",Z885-Q885)</f>
        <v/>
      </c>
      <c r="AB885" s="7" t="n"/>
      <c r="AE885">
        <f>IF($E885="","",IF($AQ885=1,0,IF($AP885=1,Settings!$C$6,Settings!$C$7))*100)</f>
        <v/>
      </c>
      <c r="AI885" s="7" t="n"/>
      <c r="AL885" s="11" t="n"/>
      <c r="AN885">
        <f>IF($E885="","",IF(COUNTIF($E$2:$E885,$E885)=1,1,0))</f>
        <v/>
      </c>
      <c r="AO885">
        <f>IF($AN885=1,SUMPRODUCT(--($AR$2:$AR$3001&lt;$AR885))+1,"")</f>
        <v/>
      </c>
      <c r="AP885">
        <f>IF($E885="","",IF(OR($U885=TRUE(),$U885="TRUE"),1,0))</f>
        <v/>
      </c>
      <c r="AQ885">
        <f>IF($E885="","",IF($AD885="Yes",1,0))</f>
        <v/>
      </c>
      <c r="AR885">
        <f>IF($AN885=1,IFERROR(VALUE(MID($E885,2,20)),1000000000)+ROW()/100000,"")</f>
        <v/>
      </c>
    </row>
    <row r="886">
      <c r="G886" s="11" t="n"/>
      <c r="Q886" s="7">
        <f>IF($E886="","",P886*AB886/100)</f>
        <v/>
      </c>
      <c r="R886" s="7" t="n"/>
      <c r="X886" s="7" t="n"/>
      <c r="Y886" s="7">
        <f>IF($E886="","",AB886*AE886/100)</f>
        <v/>
      </c>
      <c r="Z886" s="7">
        <f>IF($E886="","",AB886-Y886)</f>
        <v/>
      </c>
      <c r="AA886" s="7">
        <f>IF($E886="","",Z886-Q886)</f>
        <v/>
      </c>
      <c r="AB886" s="7" t="n"/>
      <c r="AE886">
        <f>IF($E886="","",IF($AQ886=1,0,IF($AP886=1,Settings!$C$6,Settings!$C$7))*100)</f>
        <v/>
      </c>
      <c r="AI886" s="7" t="n"/>
      <c r="AL886" s="11" t="n"/>
      <c r="AN886">
        <f>IF($E886="","",IF(COUNTIF($E$2:$E886,$E886)=1,1,0))</f>
        <v/>
      </c>
      <c r="AO886">
        <f>IF($AN886=1,SUMPRODUCT(--($AR$2:$AR$3001&lt;$AR886))+1,"")</f>
        <v/>
      </c>
      <c r="AP886">
        <f>IF($E886="","",IF(OR($U886=TRUE(),$U886="TRUE"),1,0))</f>
        <v/>
      </c>
      <c r="AQ886">
        <f>IF($E886="","",IF($AD886="Yes",1,0))</f>
        <v/>
      </c>
      <c r="AR886">
        <f>IF($AN886=1,IFERROR(VALUE(MID($E886,2,20)),1000000000)+ROW()/100000,"")</f>
        <v/>
      </c>
    </row>
    <row r="887">
      <c r="G887" s="11" t="n"/>
      <c r="Q887" s="7">
        <f>IF($E887="","",P887*AB887/100)</f>
        <v/>
      </c>
      <c r="R887" s="7" t="n"/>
      <c r="X887" s="7" t="n"/>
      <c r="Y887" s="7">
        <f>IF($E887="","",AB887*AE887/100)</f>
        <v/>
      </c>
      <c r="Z887" s="7">
        <f>IF($E887="","",AB887-Y887)</f>
        <v/>
      </c>
      <c r="AA887" s="7">
        <f>IF($E887="","",Z887-Q887)</f>
        <v/>
      </c>
      <c r="AB887" s="7" t="n"/>
      <c r="AE887">
        <f>IF($E887="","",IF($AQ887=1,0,IF($AP887=1,Settings!$C$6,Settings!$C$7))*100)</f>
        <v/>
      </c>
      <c r="AI887" s="7" t="n"/>
      <c r="AL887" s="11" t="n"/>
      <c r="AN887">
        <f>IF($E887="","",IF(COUNTIF($E$2:$E887,$E887)=1,1,0))</f>
        <v/>
      </c>
      <c r="AO887">
        <f>IF($AN887=1,SUMPRODUCT(--($AR$2:$AR$3001&lt;$AR887))+1,"")</f>
        <v/>
      </c>
      <c r="AP887">
        <f>IF($E887="","",IF(OR($U887=TRUE(),$U887="TRUE"),1,0))</f>
        <v/>
      </c>
      <c r="AQ887">
        <f>IF($E887="","",IF($AD887="Yes",1,0))</f>
        <v/>
      </c>
      <c r="AR887">
        <f>IF($AN887=1,IFERROR(VALUE(MID($E887,2,20)),1000000000)+ROW()/100000,"")</f>
        <v/>
      </c>
    </row>
    <row r="888">
      <c r="G888" s="11" t="n"/>
      <c r="Q888" s="7">
        <f>IF($E888="","",P888*AB888/100)</f>
        <v/>
      </c>
      <c r="R888" s="7" t="n"/>
      <c r="X888" s="7" t="n"/>
      <c r="Y888" s="7">
        <f>IF($E888="","",AB888*AE888/100)</f>
        <v/>
      </c>
      <c r="Z888" s="7">
        <f>IF($E888="","",AB888-Y888)</f>
        <v/>
      </c>
      <c r="AA888" s="7">
        <f>IF($E888="","",Z888-Q888)</f>
        <v/>
      </c>
      <c r="AB888" s="7" t="n"/>
      <c r="AE888">
        <f>IF($E888="","",IF($AQ888=1,0,IF($AP888=1,Settings!$C$6,Settings!$C$7))*100)</f>
        <v/>
      </c>
      <c r="AI888" s="7" t="n"/>
      <c r="AL888" s="11" t="n"/>
      <c r="AN888">
        <f>IF($E888="","",IF(COUNTIF($E$2:$E888,$E888)=1,1,0))</f>
        <v/>
      </c>
      <c r="AO888">
        <f>IF($AN888=1,SUMPRODUCT(--($AR$2:$AR$3001&lt;$AR888))+1,"")</f>
        <v/>
      </c>
      <c r="AP888">
        <f>IF($E888="","",IF(OR($U888=TRUE(),$U888="TRUE"),1,0))</f>
        <v/>
      </c>
      <c r="AQ888">
        <f>IF($E888="","",IF($AD888="Yes",1,0))</f>
        <v/>
      </c>
      <c r="AR888">
        <f>IF($AN888=1,IFERROR(VALUE(MID($E888,2,20)),1000000000)+ROW()/100000,"")</f>
        <v/>
      </c>
    </row>
    <row r="889">
      <c r="G889" s="11" t="n"/>
      <c r="Q889" s="7">
        <f>IF($E889="","",P889*AB889/100)</f>
        <v/>
      </c>
      <c r="R889" s="7" t="n"/>
      <c r="X889" s="7" t="n"/>
      <c r="Y889" s="7">
        <f>IF($E889="","",AB889*AE889/100)</f>
        <v/>
      </c>
      <c r="Z889" s="7">
        <f>IF($E889="","",AB889-Y889)</f>
        <v/>
      </c>
      <c r="AA889" s="7">
        <f>IF($E889="","",Z889-Q889)</f>
        <v/>
      </c>
      <c r="AB889" s="7" t="n"/>
      <c r="AE889">
        <f>IF($E889="","",IF($AQ889=1,0,IF($AP889=1,Settings!$C$6,Settings!$C$7))*100)</f>
        <v/>
      </c>
      <c r="AI889" s="7" t="n"/>
      <c r="AL889" s="11" t="n"/>
      <c r="AN889">
        <f>IF($E889="","",IF(COUNTIF($E$2:$E889,$E889)=1,1,0))</f>
        <v/>
      </c>
      <c r="AO889">
        <f>IF($AN889=1,SUMPRODUCT(--($AR$2:$AR$3001&lt;$AR889))+1,"")</f>
        <v/>
      </c>
      <c r="AP889">
        <f>IF($E889="","",IF(OR($U889=TRUE(),$U889="TRUE"),1,0))</f>
        <v/>
      </c>
      <c r="AQ889">
        <f>IF($E889="","",IF($AD889="Yes",1,0))</f>
        <v/>
      </c>
      <c r="AR889">
        <f>IF($AN889=1,IFERROR(VALUE(MID($E889,2,20)),1000000000)+ROW()/100000,"")</f>
        <v/>
      </c>
    </row>
    <row r="890">
      <c r="G890" s="11" t="n"/>
      <c r="Q890" s="7">
        <f>IF($E890="","",P890*AB890/100)</f>
        <v/>
      </c>
      <c r="R890" s="7" t="n"/>
      <c r="X890" s="7" t="n"/>
      <c r="Y890" s="7">
        <f>IF($E890="","",AB890*AE890/100)</f>
        <v/>
      </c>
      <c r="Z890" s="7">
        <f>IF($E890="","",AB890-Y890)</f>
        <v/>
      </c>
      <c r="AA890" s="7">
        <f>IF($E890="","",Z890-Q890)</f>
        <v/>
      </c>
      <c r="AB890" s="7" t="n"/>
      <c r="AE890">
        <f>IF($E890="","",IF($AQ890=1,0,IF($AP890=1,Settings!$C$6,Settings!$C$7))*100)</f>
        <v/>
      </c>
      <c r="AI890" s="7" t="n"/>
      <c r="AL890" s="11" t="n"/>
      <c r="AN890">
        <f>IF($E890="","",IF(COUNTIF($E$2:$E890,$E890)=1,1,0))</f>
        <v/>
      </c>
      <c r="AO890">
        <f>IF($AN890=1,SUMPRODUCT(--($AR$2:$AR$3001&lt;$AR890))+1,"")</f>
        <v/>
      </c>
      <c r="AP890">
        <f>IF($E890="","",IF(OR($U890=TRUE(),$U890="TRUE"),1,0))</f>
        <v/>
      </c>
      <c r="AQ890">
        <f>IF($E890="","",IF($AD890="Yes",1,0))</f>
        <v/>
      </c>
      <c r="AR890">
        <f>IF($AN890=1,IFERROR(VALUE(MID($E890,2,20)),1000000000)+ROW()/100000,"")</f>
        <v/>
      </c>
    </row>
    <row r="891">
      <c r="G891" s="11" t="n"/>
      <c r="Q891" s="7">
        <f>IF($E891="","",P891*AB891/100)</f>
        <v/>
      </c>
      <c r="R891" s="7" t="n"/>
      <c r="X891" s="7" t="n"/>
      <c r="Y891" s="7">
        <f>IF($E891="","",AB891*AE891/100)</f>
        <v/>
      </c>
      <c r="Z891" s="7">
        <f>IF($E891="","",AB891-Y891)</f>
        <v/>
      </c>
      <c r="AA891" s="7">
        <f>IF($E891="","",Z891-Q891)</f>
        <v/>
      </c>
      <c r="AB891" s="7" t="n"/>
      <c r="AE891">
        <f>IF($E891="","",IF($AQ891=1,0,IF($AP891=1,Settings!$C$6,Settings!$C$7))*100)</f>
        <v/>
      </c>
      <c r="AI891" s="7" t="n"/>
      <c r="AL891" s="11" t="n"/>
      <c r="AN891">
        <f>IF($E891="","",IF(COUNTIF($E$2:$E891,$E891)=1,1,0))</f>
        <v/>
      </c>
      <c r="AO891">
        <f>IF($AN891=1,SUMPRODUCT(--($AR$2:$AR$3001&lt;$AR891))+1,"")</f>
        <v/>
      </c>
      <c r="AP891">
        <f>IF($E891="","",IF(OR($U891=TRUE(),$U891="TRUE"),1,0))</f>
        <v/>
      </c>
      <c r="AQ891">
        <f>IF($E891="","",IF($AD891="Yes",1,0))</f>
        <v/>
      </c>
      <c r="AR891">
        <f>IF($AN891=1,IFERROR(VALUE(MID($E891,2,20)),1000000000)+ROW()/100000,"")</f>
        <v/>
      </c>
    </row>
    <row r="892">
      <c r="G892" s="11" t="n"/>
      <c r="Q892" s="7">
        <f>IF($E892="","",P892*AB892/100)</f>
        <v/>
      </c>
      <c r="R892" s="7" t="n"/>
      <c r="X892" s="7" t="n"/>
      <c r="Y892" s="7">
        <f>IF($E892="","",AB892*AE892/100)</f>
        <v/>
      </c>
      <c r="Z892" s="7">
        <f>IF($E892="","",AB892-Y892)</f>
        <v/>
      </c>
      <c r="AA892" s="7">
        <f>IF($E892="","",Z892-Q892)</f>
        <v/>
      </c>
      <c r="AB892" s="7" t="n"/>
      <c r="AE892">
        <f>IF($E892="","",IF($AQ892=1,0,IF($AP892=1,Settings!$C$6,Settings!$C$7))*100)</f>
        <v/>
      </c>
      <c r="AI892" s="7" t="n"/>
      <c r="AL892" s="11" t="n"/>
      <c r="AN892">
        <f>IF($E892="","",IF(COUNTIF($E$2:$E892,$E892)=1,1,0))</f>
        <v/>
      </c>
      <c r="AO892">
        <f>IF($AN892=1,SUMPRODUCT(--($AR$2:$AR$3001&lt;$AR892))+1,"")</f>
        <v/>
      </c>
      <c r="AP892">
        <f>IF($E892="","",IF(OR($U892=TRUE(),$U892="TRUE"),1,0))</f>
        <v/>
      </c>
      <c r="AQ892">
        <f>IF($E892="","",IF($AD892="Yes",1,0))</f>
        <v/>
      </c>
      <c r="AR892">
        <f>IF($AN892=1,IFERROR(VALUE(MID($E892,2,20)),1000000000)+ROW()/100000,"")</f>
        <v/>
      </c>
    </row>
    <row r="893">
      <c r="G893" s="11" t="n"/>
      <c r="Q893" s="7">
        <f>IF($E893="","",P893*AB893/100)</f>
        <v/>
      </c>
      <c r="R893" s="7" t="n"/>
      <c r="X893" s="7" t="n"/>
      <c r="Y893" s="7">
        <f>IF($E893="","",AB893*AE893/100)</f>
        <v/>
      </c>
      <c r="Z893" s="7">
        <f>IF($E893="","",AB893-Y893)</f>
        <v/>
      </c>
      <c r="AA893" s="7">
        <f>IF($E893="","",Z893-Q893)</f>
        <v/>
      </c>
      <c r="AB893" s="7" t="n"/>
      <c r="AE893">
        <f>IF($E893="","",IF($AQ893=1,0,IF($AP893=1,Settings!$C$6,Settings!$C$7))*100)</f>
        <v/>
      </c>
      <c r="AI893" s="7" t="n"/>
      <c r="AL893" s="11" t="n"/>
      <c r="AN893">
        <f>IF($E893="","",IF(COUNTIF($E$2:$E893,$E893)=1,1,0))</f>
        <v/>
      </c>
      <c r="AO893">
        <f>IF($AN893=1,SUMPRODUCT(--($AR$2:$AR$3001&lt;$AR893))+1,"")</f>
        <v/>
      </c>
      <c r="AP893">
        <f>IF($E893="","",IF(OR($U893=TRUE(),$U893="TRUE"),1,0))</f>
        <v/>
      </c>
      <c r="AQ893">
        <f>IF($E893="","",IF($AD893="Yes",1,0))</f>
        <v/>
      </c>
      <c r="AR893">
        <f>IF($AN893=1,IFERROR(VALUE(MID($E893,2,20)),1000000000)+ROW()/100000,"")</f>
        <v/>
      </c>
    </row>
    <row r="894">
      <c r="G894" s="11" t="n"/>
      <c r="Q894" s="7">
        <f>IF($E894="","",P894*AB894/100)</f>
        <v/>
      </c>
      <c r="R894" s="7" t="n"/>
      <c r="X894" s="7" t="n"/>
      <c r="Y894" s="7">
        <f>IF($E894="","",AB894*AE894/100)</f>
        <v/>
      </c>
      <c r="Z894" s="7">
        <f>IF($E894="","",AB894-Y894)</f>
        <v/>
      </c>
      <c r="AA894" s="7">
        <f>IF($E894="","",Z894-Q894)</f>
        <v/>
      </c>
      <c r="AB894" s="7" t="n"/>
      <c r="AE894">
        <f>IF($E894="","",IF($AQ894=1,0,IF($AP894=1,Settings!$C$6,Settings!$C$7))*100)</f>
        <v/>
      </c>
      <c r="AI894" s="7" t="n"/>
      <c r="AL894" s="11" t="n"/>
      <c r="AN894">
        <f>IF($E894="","",IF(COUNTIF($E$2:$E894,$E894)=1,1,0))</f>
        <v/>
      </c>
      <c r="AO894">
        <f>IF($AN894=1,SUMPRODUCT(--($AR$2:$AR$3001&lt;$AR894))+1,"")</f>
        <v/>
      </c>
      <c r="AP894">
        <f>IF($E894="","",IF(OR($U894=TRUE(),$U894="TRUE"),1,0))</f>
        <v/>
      </c>
      <c r="AQ894">
        <f>IF($E894="","",IF($AD894="Yes",1,0))</f>
        <v/>
      </c>
      <c r="AR894">
        <f>IF($AN894=1,IFERROR(VALUE(MID($E894,2,20)),1000000000)+ROW()/100000,"")</f>
        <v/>
      </c>
    </row>
    <row r="895">
      <c r="G895" s="11" t="n"/>
      <c r="Q895" s="7">
        <f>IF($E895="","",P895*AB895/100)</f>
        <v/>
      </c>
      <c r="R895" s="7" t="n"/>
      <c r="X895" s="7" t="n"/>
      <c r="Y895" s="7">
        <f>IF($E895="","",AB895*AE895/100)</f>
        <v/>
      </c>
      <c r="Z895" s="7">
        <f>IF($E895="","",AB895-Y895)</f>
        <v/>
      </c>
      <c r="AA895" s="7">
        <f>IF($E895="","",Z895-Q895)</f>
        <v/>
      </c>
      <c r="AB895" s="7" t="n"/>
      <c r="AE895">
        <f>IF($E895="","",IF($AQ895=1,0,IF($AP895=1,Settings!$C$6,Settings!$C$7))*100)</f>
        <v/>
      </c>
      <c r="AI895" s="7" t="n"/>
      <c r="AL895" s="11" t="n"/>
      <c r="AN895">
        <f>IF($E895="","",IF(COUNTIF($E$2:$E895,$E895)=1,1,0))</f>
        <v/>
      </c>
      <c r="AO895">
        <f>IF($AN895=1,SUMPRODUCT(--($AR$2:$AR$3001&lt;$AR895))+1,"")</f>
        <v/>
      </c>
      <c r="AP895">
        <f>IF($E895="","",IF(OR($U895=TRUE(),$U895="TRUE"),1,0))</f>
        <v/>
      </c>
      <c r="AQ895">
        <f>IF($E895="","",IF($AD895="Yes",1,0))</f>
        <v/>
      </c>
      <c r="AR895">
        <f>IF($AN895=1,IFERROR(VALUE(MID($E895,2,20)),1000000000)+ROW()/100000,"")</f>
        <v/>
      </c>
    </row>
    <row r="896">
      <c r="G896" s="11" t="n"/>
      <c r="Q896" s="7">
        <f>IF($E896="","",P896*AB896/100)</f>
        <v/>
      </c>
      <c r="R896" s="7" t="n"/>
      <c r="X896" s="7" t="n"/>
      <c r="Y896" s="7">
        <f>IF($E896="","",AB896*AE896/100)</f>
        <v/>
      </c>
      <c r="Z896" s="7">
        <f>IF($E896="","",AB896-Y896)</f>
        <v/>
      </c>
      <c r="AA896" s="7">
        <f>IF($E896="","",Z896-Q896)</f>
        <v/>
      </c>
      <c r="AB896" s="7" t="n"/>
      <c r="AE896">
        <f>IF($E896="","",IF($AQ896=1,0,IF($AP896=1,Settings!$C$6,Settings!$C$7))*100)</f>
        <v/>
      </c>
      <c r="AI896" s="7" t="n"/>
      <c r="AL896" s="11" t="n"/>
      <c r="AN896">
        <f>IF($E896="","",IF(COUNTIF($E$2:$E896,$E896)=1,1,0))</f>
        <v/>
      </c>
      <c r="AO896">
        <f>IF($AN896=1,SUMPRODUCT(--($AR$2:$AR$3001&lt;$AR896))+1,"")</f>
        <v/>
      </c>
      <c r="AP896">
        <f>IF($E896="","",IF(OR($U896=TRUE(),$U896="TRUE"),1,0))</f>
        <v/>
      </c>
      <c r="AQ896">
        <f>IF($E896="","",IF($AD896="Yes",1,0))</f>
        <v/>
      </c>
      <c r="AR896">
        <f>IF($AN896=1,IFERROR(VALUE(MID($E896,2,20)),1000000000)+ROW()/100000,"")</f>
        <v/>
      </c>
    </row>
    <row r="897">
      <c r="G897" s="11" t="n"/>
      <c r="Q897" s="7">
        <f>IF($E897="","",P897*AB897/100)</f>
        <v/>
      </c>
      <c r="R897" s="7" t="n"/>
      <c r="X897" s="7" t="n"/>
      <c r="Y897" s="7">
        <f>IF($E897="","",AB897*AE897/100)</f>
        <v/>
      </c>
      <c r="Z897" s="7">
        <f>IF($E897="","",AB897-Y897)</f>
        <v/>
      </c>
      <c r="AA897" s="7">
        <f>IF($E897="","",Z897-Q897)</f>
        <v/>
      </c>
      <c r="AB897" s="7" t="n"/>
      <c r="AE897">
        <f>IF($E897="","",IF($AQ897=1,0,IF($AP897=1,Settings!$C$6,Settings!$C$7))*100)</f>
        <v/>
      </c>
      <c r="AI897" s="7" t="n"/>
      <c r="AL897" s="11" t="n"/>
      <c r="AN897">
        <f>IF($E897="","",IF(COUNTIF($E$2:$E897,$E897)=1,1,0))</f>
        <v/>
      </c>
      <c r="AO897">
        <f>IF($AN897=1,SUMPRODUCT(--($AR$2:$AR$3001&lt;$AR897))+1,"")</f>
        <v/>
      </c>
      <c r="AP897">
        <f>IF($E897="","",IF(OR($U897=TRUE(),$U897="TRUE"),1,0))</f>
        <v/>
      </c>
      <c r="AQ897">
        <f>IF($E897="","",IF($AD897="Yes",1,0))</f>
        <v/>
      </c>
      <c r="AR897">
        <f>IF($AN897=1,IFERROR(VALUE(MID($E897,2,20)),1000000000)+ROW()/100000,"")</f>
        <v/>
      </c>
    </row>
    <row r="898">
      <c r="G898" s="11" t="n"/>
      <c r="Q898" s="7">
        <f>IF($E898="","",P898*AB898/100)</f>
        <v/>
      </c>
      <c r="R898" s="7" t="n"/>
      <c r="X898" s="7" t="n"/>
      <c r="Y898" s="7">
        <f>IF($E898="","",AB898*AE898/100)</f>
        <v/>
      </c>
      <c r="Z898" s="7">
        <f>IF($E898="","",AB898-Y898)</f>
        <v/>
      </c>
      <c r="AA898" s="7">
        <f>IF($E898="","",Z898-Q898)</f>
        <v/>
      </c>
      <c r="AB898" s="7" t="n"/>
      <c r="AE898">
        <f>IF($E898="","",IF($AQ898=1,0,IF($AP898=1,Settings!$C$6,Settings!$C$7))*100)</f>
        <v/>
      </c>
      <c r="AI898" s="7" t="n"/>
      <c r="AL898" s="11" t="n"/>
      <c r="AN898">
        <f>IF($E898="","",IF(COUNTIF($E$2:$E898,$E898)=1,1,0))</f>
        <v/>
      </c>
      <c r="AO898">
        <f>IF($AN898=1,SUMPRODUCT(--($AR$2:$AR$3001&lt;$AR898))+1,"")</f>
        <v/>
      </c>
      <c r="AP898">
        <f>IF($E898="","",IF(OR($U898=TRUE(),$U898="TRUE"),1,0))</f>
        <v/>
      </c>
      <c r="AQ898">
        <f>IF($E898="","",IF($AD898="Yes",1,0))</f>
        <v/>
      </c>
      <c r="AR898">
        <f>IF($AN898=1,IFERROR(VALUE(MID($E898,2,20)),1000000000)+ROW()/100000,"")</f>
        <v/>
      </c>
    </row>
    <row r="899">
      <c r="G899" s="11" t="n"/>
      <c r="Q899" s="7">
        <f>IF($E899="","",P899*AB899/100)</f>
        <v/>
      </c>
      <c r="R899" s="7" t="n"/>
      <c r="X899" s="7" t="n"/>
      <c r="Y899" s="7">
        <f>IF($E899="","",AB899*AE899/100)</f>
        <v/>
      </c>
      <c r="Z899" s="7">
        <f>IF($E899="","",AB899-Y899)</f>
        <v/>
      </c>
      <c r="AA899" s="7">
        <f>IF($E899="","",Z899-Q899)</f>
        <v/>
      </c>
      <c r="AB899" s="7" t="n"/>
      <c r="AE899">
        <f>IF($E899="","",IF($AQ899=1,0,IF($AP899=1,Settings!$C$6,Settings!$C$7))*100)</f>
        <v/>
      </c>
      <c r="AI899" s="7" t="n"/>
      <c r="AL899" s="11" t="n"/>
      <c r="AN899">
        <f>IF($E899="","",IF(COUNTIF($E$2:$E899,$E899)=1,1,0))</f>
        <v/>
      </c>
      <c r="AO899">
        <f>IF($AN899=1,SUMPRODUCT(--($AR$2:$AR$3001&lt;$AR899))+1,"")</f>
        <v/>
      </c>
      <c r="AP899">
        <f>IF($E899="","",IF(OR($U899=TRUE(),$U899="TRUE"),1,0))</f>
        <v/>
      </c>
      <c r="AQ899">
        <f>IF($E899="","",IF($AD899="Yes",1,0))</f>
        <v/>
      </c>
      <c r="AR899">
        <f>IF($AN899=1,IFERROR(VALUE(MID($E899,2,20)),1000000000)+ROW()/100000,"")</f>
        <v/>
      </c>
    </row>
    <row r="900">
      <c r="G900" s="11" t="n"/>
      <c r="Q900" s="7">
        <f>IF($E900="","",P900*AB900/100)</f>
        <v/>
      </c>
      <c r="R900" s="7" t="n"/>
      <c r="X900" s="7" t="n"/>
      <c r="Y900" s="7">
        <f>IF($E900="","",AB900*AE900/100)</f>
        <v/>
      </c>
      <c r="Z900" s="7">
        <f>IF($E900="","",AB900-Y900)</f>
        <v/>
      </c>
      <c r="AA900" s="7">
        <f>IF($E900="","",Z900-Q900)</f>
        <v/>
      </c>
      <c r="AB900" s="7" t="n"/>
      <c r="AE900">
        <f>IF($E900="","",IF($AQ900=1,0,IF($AP900=1,Settings!$C$6,Settings!$C$7))*100)</f>
        <v/>
      </c>
      <c r="AI900" s="7" t="n"/>
      <c r="AL900" s="11" t="n"/>
      <c r="AN900">
        <f>IF($E900="","",IF(COUNTIF($E$2:$E900,$E900)=1,1,0))</f>
        <v/>
      </c>
      <c r="AO900">
        <f>IF($AN900=1,SUMPRODUCT(--($AR$2:$AR$3001&lt;$AR900))+1,"")</f>
        <v/>
      </c>
      <c r="AP900">
        <f>IF($E900="","",IF(OR($U900=TRUE(),$U900="TRUE"),1,0))</f>
        <v/>
      </c>
      <c r="AQ900">
        <f>IF($E900="","",IF($AD900="Yes",1,0))</f>
        <v/>
      </c>
      <c r="AR900">
        <f>IF($AN900=1,IFERROR(VALUE(MID($E900,2,20)),1000000000)+ROW()/100000,"")</f>
        <v/>
      </c>
    </row>
    <row r="901">
      <c r="G901" s="11" t="n"/>
      <c r="Q901" s="7">
        <f>IF($E901="","",P901*AB901/100)</f>
        <v/>
      </c>
      <c r="R901" s="7" t="n"/>
      <c r="X901" s="7" t="n"/>
      <c r="Y901" s="7">
        <f>IF($E901="","",AB901*AE901/100)</f>
        <v/>
      </c>
      <c r="Z901" s="7">
        <f>IF($E901="","",AB901-Y901)</f>
        <v/>
      </c>
      <c r="AA901" s="7">
        <f>IF($E901="","",Z901-Q901)</f>
        <v/>
      </c>
      <c r="AB901" s="7" t="n"/>
      <c r="AE901">
        <f>IF($E901="","",IF($AQ901=1,0,IF($AP901=1,Settings!$C$6,Settings!$C$7))*100)</f>
        <v/>
      </c>
      <c r="AI901" s="7" t="n"/>
      <c r="AL901" s="11" t="n"/>
      <c r="AN901">
        <f>IF($E901="","",IF(COUNTIF($E$2:$E901,$E901)=1,1,0))</f>
        <v/>
      </c>
      <c r="AO901">
        <f>IF($AN901=1,SUMPRODUCT(--($AR$2:$AR$3001&lt;$AR901))+1,"")</f>
        <v/>
      </c>
      <c r="AP901">
        <f>IF($E901="","",IF(OR($U901=TRUE(),$U901="TRUE"),1,0))</f>
        <v/>
      </c>
      <c r="AQ901">
        <f>IF($E901="","",IF($AD901="Yes",1,0))</f>
        <v/>
      </c>
      <c r="AR901">
        <f>IF($AN901=1,IFERROR(VALUE(MID($E901,2,20)),1000000000)+ROW()/100000,"")</f>
        <v/>
      </c>
    </row>
    <row r="902">
      <c r="G902" s="11" t="n"/>
      <c r="Q902" s="7">
        <f>IF($E902="","",P902*AB902/100)</f>
        <v/>
      </c>
      <c r="R902" s="7" t="n"/>
      <c r="X902" s="7" t="n"/>
      <c r="Y902" s="7">
        <f>IF($E902="","",AB902*AE902/100)</f>
        <v/>
      </c>
      <c r="Z902" s="7">
        <f>IF($E902="","",AB902-Y902)</f>
        <v/>
      </c>
      <c r="AA902" s="7">
        <f>IF($E902="","",Z902-Q902)</f>
        <v/>
      </c>
      <c r="AB902" s="7" t="n"/>
      <c r="AE902">
        <f>IF($E902="","",IF($AQ902=1,0,IF($AP902=1,Settings!$C$6,Settings!$C$7))*100)</f>
        <v/>
      </c>
      <c r="AI902" s="7" t="n"/>
      <c r="AL902" s="11" t="n"/>
      <c r="AN902">
        <f>IF($E902="","",IF(COUNTIF($E$2:$E902,$E902)=1,1,0))</f>
        <v/>
      </c>
      <c r="AO902">
        <f>IF($AN902=1,SUMPRODUCT(--($AR$2:$AR$3001&lt;$AR902))+1,"")</f>
        <v/>
      </c>
      <c r="AP902">
        <f>IF($E902="","",IF(OR($U902=TRUE(),$U902="TRUE"),1,0))</f>
        <v/>
      </c>
      <c r="AQ902">
        <f>IF($E902="","",IF($AD902="Yes",1,0))</f>
        <v/>
      </c>
      <c r="AR902">
        <f>IF($AN902=1,IFERROR(VALUE(MID($E902,2,20)),1000000000)+ROW()/100000,"")</f>
        <v/>
      </c>
    </row>
    <row r="903">
      <c r="G903" s="11" t="n"/>
      <c r="Q903" s="7">
        <f>IF($E903="","",P903*AB903/100)</f>
        <v/>
      </c>
      <c r="R903" s="7" t="n"/>
      <c r="X903" s="7" t="n"/>
      <c r="Y903" s="7">
        <f>IF($E903="","",AB903*AE903/100)</f>
        <v/>
      </c>
      <c r="Z903" s="7">
        <f>IF($E903="","",AB903-Y903)</f>
        <v/>
      </c>
      <c r="AA903" s="7">
        <f>IF($E903="","",Z903-Q903)</f>
        <v/>
      </c>
      <c r="AB903" s="7" t="n"/>
      <c r="AE903">
        <f>IF($E903="","",IF($AQ903=1,0,IF($AP903=1,Settings!$C$6,Settings!$C$7))*100)</f>
        <v/>
      </c>
      <c r="AI903" s="7" t="n"/>
      <c r="AL903" s="11" t="n"/>
      <c r="AN903">
        <f>IF($E903="","",IF(COUNTIF($E$2:$E903,$E903)=1,1,0))</f>
        <v/>
      </c>
      <c r="AO903">
        <f>IF($AN903=1,SUMPRODUCT(--($AR$2:$AR$3001&lt;$AR903))+1,"")</f>
        <v/>
      </c>
      <c r="AP903">
        <f>IF($E903="","",IF(OR($U903=TRUE(),$U903="TRUE"),1,0))</f>
        <v/>
      </c>
      <c r="AQ903">
        <f>IF($E903="","",IF($AD903="Yes",1,0))</f>
        <v/>
      </c>
      <c r="AR903">
        <f>IF($AN903=1,IFERROR(VALUE(MID($E903,2,20)),1000000000)+ROW()/100000,"")</f>
        <v/>
      </c>
    </row>
    <row r="904">
      <c r="G904" s="11" t="n"/>
      <c r="Q904" s="7">
        <f>IF($E904="","",P904*AB904/100)</f>
        <v/>
      </c>
      <c r="R904" s="7" t="n"/>
      <c r="X904" s="7" t="n"/>
      <c r="Y904" s="7">
        <f>IF($E904="","",AB904*AE904/100)</f>
        <v/>
      </c>
      <c r="Z904" s="7">
        <f>IF($E904="","",AB904-Y904)</f>
        <v/>
      </c>
      <c r="AA904" s="7">
        <f>IF($E904="","",Z904-Q904)</f>
        <v/>
      </c>
      <c r="AB904" s="7" t="n"/>
      <c r="AE904">
        <f>IF($E904="","",IF($AQ904=1,0,IF($AP904=1,Settings!$C$6,Settings!$C$7))*100)</f>
        <v/>
      </c>
      <c r="AI904" s="7" t="n"/>
      <c r="AL904" s="11" t="n"/>
      <c r="AN904">
        <f>IF($E904="","",IF(COUNTIF($E$2:$E904,$E904)=1,1,0))</f>
        <v/>
      </c>
      <c r="AO904">
        <f>IF($AN904=1,SUMPRODUCT(--($AR$2:$AR$3001&lt;$AR904))+1,"")</f>
        <v/>
      </c>
      <c r="AP904">
        <f>IF($E904="","",IF(OR($U904=TRUE(),$U904="TRUE"),1,0))</f>
        <v/>
      </c>
      <c r="AQ904">
        <f>IF($E904="","",IF($AD904="Yes",1,0))</f>
        <v/>
      </c>
      <c r="AR904">
        <f>IF($AN904=1,IFERROR(VALUE(MID($E904,2,20)),1000000000)+ROW()/100000,"")</f>
        <v/>
      </c>
    </row>
    <row r="905">
      <c r="G905" s="11" t="n"/>
      <c r="Q905" s="7">
        <f>IF($E905="","",P905*AB905/100)</f>
        <v/>
      </c>
      <c r="R905" s="7" t="n"/>
      <c r="X905" s="7" t="n"/>
      <c r="Y905" s="7">
        <f>IF($E905="","",AB905*AE905/100)</f>
        <v/>
      </c>
      <c r="Z905" s="7">
        <f>IF($E905="","",AB905-Y905)</f>
        <v/>
      </c>
      <c r="AA905" s="7">
        <f>IF($E905="","",Z905-Q905)</f>
        <v/>
      </c>
      <c r="AB905" s="7" t="n"/>
      <c r="AE905">
        <f>IF($E905="","",IF($AQ905=1,0,IF($AP905=1,Settings!$C$6,Settings!$C$7))*100)</f>
        <v/>
      </c>
      <c r="AI905" s="7" t="n"/>
      <c r="AL905" s="11" t="n"/>
      <c r="AN905">
        <f>IF($E905="","",IF(COUNTIF($E$2:$E905,$E905)=1,1,0))</f>
        <v/>
      </c>
      <c r="AO905">
        <f>IF($AN905=1,SUMPRODUCT(--($AR$2:$AR$3001&lt;$AR905))+1,"")</f>
        <v/>
      </c>
      <c r="AP905">
        <f>IF($E905="","",IF(OR($U905=TRUE(),$U905="TRUE"),1,0))</f>
        <v/>
      </c>
      <c r="AQ905">
        <f>IF($E905="","",IF($AD905="Yes",1,0))</f>
        <v/>
      </c>
      <c r="AR905">
        <f>IF($AN905=1,IFERROR(VALUE(MID($E905,2,20)),1000000000)+ROW()/100000,"")</f>
        <v/>
      </c>
    </row>
    <row r="906">
      <c r="G906" s="11" t="n"/>
      <c r="Q906" s="7">
        <f>IF($E906="","",P906*AB906/100)</f>
        <v/>
      </c>
      <c r="R906" s="7" t="n"/>
      <c r="X906" s="7" t="n"/>
      <c r="Y906" s="7">
        <f>IF($E906="","",AB906*AE906/100)</f>
        <v/>
      </c>
      <c r="Z906" s="7">
        <f>IF($E906="","",AB906-Y906)</f>
        <v/>
      </c>
      <c r="AA906" s="7">
        <f>IF($E906="","",Z906-Q906)</f>
        <v/>
      </c>
      <c r="AB906" s="7" t="n"/>
      <c r="AE906">
        <f>IF($E906="","",IF($AQ906=1,0,IF($AP906=1,Settings!$C$6,Settings!$C$7))*100)</f>
        <v/>
      </c>
      <c r="AI906" s="7" t="n"/>
      <c r="AL906" s="11" t="n"/>
      <c r="AN906">
        <f>IF($E906="","",IF(COUNTIF($E$2:$E906,$E906)=1,1,0))</f>
        <v/>
      </c>
      <c r="AO906">
        <f>IF($AN906=1,SUMPRODUCT(--($AR$2:$AR$3001&lt;$AR906))+1,"")</f>
        <v/>
      </c>
      <c r="AP906">
        <f>IF($E906="","",IF(OR($U906=TRUE(),$U906="TRUE"),1,0))</f>
        <v/>
      </c>
      <c r="AQ906">
        <f>IF($E906="","",IF($AD906="Yes",1,0))</f>
        <v/>
      </c>
      <c r="AR906">
        <f>IF($AN906=1,IFERROR(VALUE(MID($E906,2,20)),1000000000)+ROW()/100000,"")</f>
        <v/>
      </c>
    </row>
    <row r="907">
      <c r="G907" s="11" t="n"/>
      <c r="Q907" s="7">
        <f>IF($E907="","",P907*AB907/100)</f>
        <v/>
      </c>
      <c r="R907" s="7" t="n"/>
      <c r="X907" s="7" t="n"/>
      <c r="Y907" s="7">
        <f>IF($E907="","",AB907*AE907/100)</f>
        <v/>
      </c>
      <c r="Z907" s="7">
        <f>IF($E907="","",AB907-Y907)</f>
        <v/>
      </c>
      <c r="AA907" s="7">
        <f>IF($E907="","",Z907-Q907)</f>
        <v/>
      </c>
      <c r="AB907" s="7" t="n"/>
      <c r="AE907">
        <f>IF($E907="","",IF($AQ907=1,0,IF($AP907=1,Settings!$C$6,Settings!$C$7))*100)</f>
        <v/>
      </c>
      <c r="AI907" s="7" t="n"/>
      <c r="AL907" s="11" t="n"/>
      <c r="AN907">
        <f>IF($E907="","",IF(COUNTIF($E$2:$E907,$E907)=1,1,0))</f>
        <v/>
      </c>
      <c r="AO907">
        <f>IF($AN907=1,SUMPRODUCT(--($AR$2:$AR$3001&lt;$AR907))+1,"")</f>
        <v/>
      </c>
      <c r="AP907">
        <f>IF($E907="","",IF(OR($U907=TRUE(),$U907="TRUE"),1,0))</f>
        <v/>
      </c>
      <c r="AQ907">
        <f>IF($E907="","",IF($AD907="Yes",1,0))</f>
        <v/>
      </c>
      <c r="AR907">
        <f>IF($AN907=1,IFERROR(VALUE(MID($E907,2,20)),1000000000)+ROW()/100000,"")</f>
        <v/>
      </c>
    </row>
    <row r="908">
      <c r="G908" s="11" t="n"/>
      <c r="Q908" s="7">
        <f>IF($E908="","",P908*AB908/100)</f>
        <v/>
      </c>
      <c r="R908" s="7" t="n"/>
      <c r="X908" s="7" t="n"/>
      <c r="Y908" s="7">
        <f>IF($E908="","",AB908*AE908/100)</f>
        <v/>
      </c>
      <c r="Z908" s="7">
        <f>IF($E908="","",AB908-Y908)</f>
        <v/>
      </c>
      <c r="AA908" s="7">
        <f>IF($E908="","",Z908-Q908)</f>
        <v/>
      </c>
      <c r="AB908" s="7" t="n"/>
      <c r="AE908">
        <f>IF($E908="","",IF($AQ908=1,0,IF($AP908=1,Settings!$C$6,Settings!$C$7))*100)</f>
        <v/>
      </c>
      <c r="AI908" s="7" t="n"/>
      <c r="AL908" s="11" t="n"/>
      <c r="AN908">
        <f>IF($E908="","",IF(COUNTIF($E$2:$E908,$E908)=1,1,0))</f>
        <v/>
      </c>
      <c r="AO908">
        <f>IF($AN908=1,SUMPRODUCT(--($AR$2:$AR$3001&lt;$AR908))+1,"")</f>
        <v/>
      </c>
      <c r="AP908">
        <f>IF($E908="","",IF(OR($U908=TRUE(),$U908="TRUE"),1,0))</f>
        <v/>
      </c>
      <c r="AQ908">
        <f>IF($E908="","",IF($AD908="Yes",1,0))</f>
        <v/>
      </c>
      <c r="AR908">
        <f>IF($AN908=1,IFERROR(VALUE(MID($E908,2,20)),1000000000)+ROW()/100000,"")</f>
        <v/>
      </c>
    </row>
    <row r="909">
      <c r="G909" s="11" t="n"/>
      <c r="Q909" s="7">
        <f>IF($E909="","",P909*AB909/100)</f>
        <v/>
      </c>
      <c r="R909" s="7" t="n"/>
      <c r="X909" s="7" t="n"/>
      <c r="Y909" s="7">
        <f>IF($E909="","",AB909*AE909/100)</f>
        <v/>
      </c>
      <c r="Z909" s="7">
        <f>IF($E909="","",AB909-Y909)</f>
        <v/>
      </c>
      <c r="AA909" s="7">
        <f>IF($E909="","",Z909-Q909)</f>
        <v/>
      </c>
      <c r="AB909" s="7" t="n"/>
      <c r="AE909">
        <f>IF($E909="","",IF($AQ909=1,0,IF($AP909=1,Settings!$C$6,Settings!$C$7))*100)</f>
        <v/>
      </c>
      <c r="AI909" s="7" t="n"/>
      <c r="AL909" s="11" t="n"/>
      <c r="AN909">
        <f>IF($E909="","",IF(COUNTIF($E$2:$E909,$E909)=1,1,0))</f>
        <v/>
      </c>
      <c r="AO909">
        <f>IF($AN909=1,SUMPRODUCT(--($AR$2:$AR$3001&lt;$AR909))+1,"")</f>
        <v/>
      </c>
      <c r="AP909">
        <f>IF($E909="","",IF(OR($U909=TRUE(),$U909="TRUE"),1,0))</f>
        <v/>
      </c>
      <c r="AQ909">
        <f>IF($E909="","",IF($AD909="Yes",1,0))</f>
        <v/>
      </c>
      <c r="AR909">
        <f>IF($AN909=1,IFERROR(VALUE(MID($E909,2,20)),1000000000)+ROW()/100000,"")</f>
        <v/>
      </c>
    </row>
    <row r="910">
      <c r="G910" s="11" t="n"/>
      <c r="Q910" s="7">
        <f>IF($E910="","",P910*AB910/100)</f>
        <v/>
      </c>
      <c r="R910" s="7" t="n"/>
      <c r="X910" s="7" t="n"/>
      <c r="Y910" s="7">
        <f>IF($E910="","",AB910*AE910/100)</f>
        <v/>
      </c>
      <c r="Z910" s="7">
        <f>IF($E910="","",AB910-Y910)</f>
        <v/>
      </c>
      <c r="AA910" s="7">
        <f>IF($E910="","",Z910-Q910)</f>
        <v/>
      </c>
      <c r="AB910" s="7" t="n"/>
      <c r="AE910">
        <f>IF($E910="","",IF($AQ910=1,0,IF($AP910=1,Settings!$C$6,Settings!$C$7))*100)</f>
        <v/>
      </c>
      <c r="AI910" s="7" t="n"/>
      <c r="AL910" s="11" t="n"/>
      <c r="AN910">
        <f>IF($E910="","",IF(COUNTIF($E$2:$E910,$E910)=1,1,0))</f>
        <v/>
      </c>
      <c r="AO910">
        <f>IF($AN910=1,SUMPRODUCT(--($AR$2:$AR$3001&lt;$AR910))+1,"")</f>
        <v/>
      </c>
      <c r="AP910">
        <f>IF($E910="","",IF(OR($U910=TRUE(),$U910="TRUE"),1,0))</f>
        <v/>
      </c>
      <c r="AQ910">
        <f>IF($E910="","",IF($AD910="Yes",1,0))</f>
        <v/>
      </c>
      <c r="AR910">
        <f>IF($AN910=1,IFERROR(VALUE(MID($E910,2,20)),1000000000)+ROW()/100000,"")</f>
        <v/>
      </c>
    </row>
    <row r="911">
      <c r="G911" s="11" t="n"/>
      <c r="Q911" s="7">
        <f>IF($E911="","",P911*AB911/100)</f>
        <v/>
      </c>
      <c r="R911" s="7" t="n"/>
      <c r="X911" s="7" t="n"/>
      <c r="Y911" s="7">
        <f>IF($E911="","",AB911*AE911/100)</f>
        <v/>
      </c>
      <c r="Z911" s="7">
        <f>IF($E911="","",AB911-Y911)</f>
        <v/>
      </c>
      <c r="AA911" s="7">
        <f>IF($E911="","",Z911-Q911)</f>
        <v/>
      </c>
      <c r="AB911" s="7" t="n"/>
      <c r="AE911">
        <f>IF($E911="","",IF($AQ911=1,0,IF($AP911=1,Settings!$C$6,Settings!$C$7))*100)</f>
        <v/>
      </c>
      <c r="AI911" s="7" t="n"/>
      <c r="AL911" s="11" t="n"/>
      <c r="AN911">
        <f>IF($E911="","",IF(COUNTIF($E$2:$E911,$E911)=1,1,0))</f>
        <v/>
      </c>
      <c r="AO911">
        <f>IF($AN911=1,SUMPRODUCT(--($AR$2:$AR$3001&lt;$AR911))+1,"")</f>
        <v/>
      </c>
      <c r="AP911">
        <f>IF($E911="","",IF(OR($U911=TRUE(),$U911="TRUE"),1,0))</f>
        <v/>
      </c>
      <c r="AQ911">
        <f>IF($E911="","",IF($AD911="Yes",1,0))</f>
        <v/>
      </c>
      <c r="AR911">
        <f>IF($AN911=1,IFERROR(VALUE(MID($E911,2,20)),1000000000)+ROW()/100000,"")</f>
        <v/>
      </c>
    </row>
    <row r="912">
      <c r="G912" s="11" t="n"/>
      <c r="Q912" s="7">
        <f>IF($E912="","",P912*AB912/100)</f>
        <v/>
      </c>
      <c r="R912" s="7" t="n"/>
      <c r="X912" s="7" t="n"/>
      <c r="Y912" s="7">
        <f>IF($E912="","",AB912*AE912/100)</f>
        <v/>
      </c>
      <c r="Z912" s="7">
        <f>IF($E912="","",AB912-Y912)</f>
        <v/>
      </c>
      <c r="AA912" s="7">
        <f>IF($E912="","",Z912-Q912)</f>
        <v/>
      </c>
      <c r="AB912" s="7" t="n"/>
      <c r="AE912">
        <f>IF($E912="","",IF($AQ912=1,0,IF($AP912=1,Settings!$C$6,Settings!$C$7))*100)</f>
        <v/>
      </c>
      <c r="AI912" s="7" t="n"/>
      <c r="AL912" s="11" t="n"/>
      <c r="AN912">
        <f>IF($E912="","",IF(COUNTIF($E$2:$E912,$E912)=1,1,0))</f>
        <v/>
      </c>
      <c r="AO912">
        <f>IF($AN912=1,SUMPRODUCT(--($AR$2:$AR$3001&lt;$AR912))+1,"")</f>
        <v/>
      </c>
      <c r="AP912">
        <f>IF($E912="","",IF(OR($U912=TRUE(),$U912="TRUE"),1,0))</f>
        <v/>
      </c>
      <c r="AQ912">
        <f>IF($E912="","",IF($AD912="Yes",1,0))</f>
        <v/>
      </c>
      <c r="AR912">
        <f>IF($AN912=1,IFERROR(VALUE(MID($E912,2,20)),1000000000)+ROW()/100000,"")</f>
        <v/>
      </c>
    </row>
    <row r="913">
      <c r="G913" s="11" t="n"/>
      <c r="Q913" s="7">
        <f>IF($E913="","",P913*AB913/100)</f>
        <v/>
      </c>
      <c r="R913" s="7" t="n"/>
      <c r="X913" s="7" t="n"/>
      <c r="Y913" s="7">
        <f>IF($E913="","",AB913*AE913/100)</f>
        <v/>
      </c>
      <c r="Z913" s="7">
        <f>IF($E913="","",AB913-Y913)</f>
        <v/>
      </c>
      <c r="AA913" s="7">
        <f>IF($E913="","",Z913-Q913)</f>
        <v/>
      </c>
      <c r="AB913" s="7" t="n"/>
      <c r="AE913">
        <f>IF($E913="","",IF($AQ913=1,0,IF($AP913=1,Settings!$C$6,Settings!$C$7))*100)</f>
        <v/>
      </c>
      <c r="AI913" s="7" t="n"/>
      <c r="AL913" s="11" t="n"/>
      <c r="AN913">
        <f>IF($E913="","",IF(COUNTIF($E$2:$E913,$E913)=1,1,0))</f>
        <v/>
      </c>
      <c r="AO913">
        <f>IF($AN913=1,SUMPRODUCT(--($AR$2:$AR$3001&lt;$AR913))+1,"")</f>
        <v/>
      </c>
      <c r="AP913">
        <f>IF($E913="","",IF(OR($U913=TRUE(),$U913="TRUE"),1,0))</f>
        <v/>
      </c>
      <c r="AQ913">
        <f>IF($E913="","",IF($AD913="Yes",1,0))</f>
        <v/>
      </c>
      <c r="AR913">
        <f>IF($AN913=1,IFERROR(VALUE(MID($E913,2,20)),1000000000)+ROW()/100000,"")</f>
        <v/>
      </c>
    </row>
    <row r="914">
      <c r="G914" s="11" t="n"/>
      <c r="Q914" s="7">
        <f>IF($E914="","",P914*AB914/100)</f>
        <v/>
      </c>
      <c r="R914" s="7" t="n"/>
      <c r="X914" s="7" t="n"/>
      <c r="Y914" s="7">
        <f>IF($E914="","",AB914*AE914/100)</f>
        <v/>
      </c>
      <c r="Z914" s="7">
        <f>IF($E914="","",AB914-Y914)</f>
        <v/>
      </c>
      <c r="AA914" s="7">
        <f>IF($E914="","",Z914-Q914)</f>
        <v/>
      </c>
      <c r="AB914" s="7" t="n"/>
      <c r="AE914">
        <f>IF($E914="","",IF($AQ914=1,0,IF($AP914=1,Settings!$C$6,Settings!$C$7))*100)</f>
        <v/>
      </c>
      <c r="AI914" s="7" t="n"/>
      <c r="AL914" s="11" t="n"/>
      <c r="AN914">
        <f>IF($E914="","",IF(COUNTIF($E$2:$E914,$E914)=1,1,0))</f>
        <v/>
      </c>
      <c r="AO914">
        <f>IF($AN914=1,SUMPRODUCT(--($AR$2:$AR$3001&lt;$AR914))+1,"")</f>
        <v/>
      </c>
      <c r="AP914">
        <f>IF($E914="","",IF(OR($U914=TRUE(),$U914="TRUE"),1,0))</f>
        <v/>
      </c>
      <c r="AQ914">
        <f>IF($E914="","",IF($AD914="Yes",1,0))</f>
        <v/>
      </c>
      <c r="AR914">
        <f>IF($AN914=1,IFERROR(VALUE(MID($E914,2,20)),1000000000)+ROW()/100000,"")</f>
        <v/>
      </c>
    </row>
    <row r="915">
      <c r="G915" s="11" t="n"/>
      <c r="Q915" s="7">
        <f>IF($E915="","",P915*AB915/100)</f>
        <v/>
      </c>
      <c r="R915" s="7" t="n"/>
      <c r="X915" s="7" t="n"/>
      <c r="Y915" s="7">
        <f>IF($E915="","",AB915*AE915/100)</f>
        <v/>
      </c>
      <c r="Z915" s="7">
        <f>IF($E915="","",AB915-Y915)</f>
        <v/>
      </c>
      <c r="AA915" s="7">
        <f>IF($E915="","",Z915-Q915)</f>
        <v/>
      </c>
      <c r="AB915" s="7" t="n"/>
      <c r="AE915">
        <f>IF($E915="","",IF($AQ915=1,0,IF($AP915=1,Settings!$C$6,Settings!$C$7))*100)</f>
        <v/>
      </c>
      <c r="AI915" s="7" t="n"/>
      <c r="AL915" s="11" t="n"/>
      <c r="AN915">
        <f>IF($E915="","",IF(COUNTIF($E$2:$E915,$E915)=1,1,0))</f>
        <v/>
      </c>
      <c r="AO915">
        <f>IF($AN915=1,SUMPRODUCT(--($AR$2:$AR$3001&lt;$AR915))+1,"")</f>
        <v/>
      </c>
      <c r="AP915">
        <f>IF($E915="","",IF(OR($U915=TRUE(),$U915="TRUE"),1,0))</f>
        <v/>
      </c>
      <c r="AQ915">
        <f>IF($E915="","",IF($AD915="Yes",1,0))</f>
        <v/>
      </c>
      <c r="AR915">
        <f>IF($AN915=1,IFERROR(VALUE(MID($E915,2,20)),1000000000)+ROW()/100000,"")</f>
        <v/>
      </c>
    </row>
    <row r="916">
      <c r="G916" s="11" t="n"/>
      <c r="Q916" s="7">
        <f>IF($E916="","",P916*AB916/100)</f>
        <v/>
      </c>
      <c r="R916" s="7" t="n"/>
      <c r="X916" s="7" t="n"/>
      <c r="Y916" s="7">
        <f>IF($E916="","",AB916*AE916/100)</f>
        <v/>
      </c>
      <c r="Z916" s="7">
        <f>IF($E916="","",AB916-Y916)</f>
        <v/>
      </c>
      <c r="AA916" s="7">
        <f>IF($E916="","",Z916-Q916)</f>
        <v/>
      </c>
      <c r="AB916" s="7" t="n"/>
      <c r="AE916">
        <f>IF($E916="","",IF($AQ916=1,0,IF($AP916=1,Settings!$C$6,Settings!$C$7))*100)</f>
        <v/>
      </c>
      <c r="AI916" s="7" t="n"/>
      <c r="AL916" s="11" t="n"/>
      <c r="AN916">
        <f>IF($E916="","",IF(COUNTIF($E$2:$E916,$E916)=1,1,0))</f>
        <v/>
      </c>
      <c r="AO916">
        <f>IF($AN916=1,SUMPRODUCT(--($AR$2:$AR$3001&lt;$AR916))+1,"")</f>
        <v/>
      </c>
      <c r="AP916">
        <f>IF($E916="","",IF(OR($U916=TRUE(),$U916="TRUE"),1,0))</f>
        <v/>
      </c>
      <c r="AQ916">
        <f>IF($E916="","",IF($AD916="Yes",1,0))</f>
        <v/>
      </c>
      <c r="AR916">
        <f>IF($AN916=1,IFERROR(VALUE(MID($E916,2,20)),1000000000)+ROW()/100000,"")</f>
        <v/>
      </c>
    </row>
    <row r="917">
      <c r="G917" s="11" t="n"/>
      <c r="Q917" s="7">
        <f>IF($E917="","",P917*AB917/100)</f>
        <v/>
      </c>
      <c r="R917" s="7" t="n"/>
      <c r="X917" s="7" t="n"/>
      <c r="Y917" s="7">
        <f>IF($E917="","",AB917*AE917/100)</f>
        <v/>
      </c>
      <c r="Z917" s="7">
        <f>IF($E917="","",AB917-Y917)</f>
        <v/>
      </c>
      <c r="AA917" s="7">
        <f>IF($E917="","",Z917-Q917)</f>
        <v/>
      </c>
      <c r="AB917" s="7" t="n"/>
      <c r="AE917">
        <f>IF($E917="","",IF($AQ917=1,0,IF($AP917=1,Settings!$C$6,Settings!$C$7))*100)</f>
        <v/>
      </c>
      <c r="AI917" s="7" t="n"/>
      <c r="AL917" s="11" t="n"/>
      <c r="AN917">
        <f>IF($E917="","",IF(COUNTIF($E$2:$E917,$E917)=1,1,0))</f>
        <v/>
      </c>
      <c r="AO917">
        <f>IF($AN917=1,SUMPRODUCT(--($AR$2:$AR$3001&lt;$AR917))+1,"")</f>
        <v/>
      </c>
      <c r="AP917">
        <f>IF($E917="","",IF(OR($U917=TRUE(),$U917="TRUE"),1,0))</f>
        <v/>
      </c>
      <c r="AQ917">
        <f>IF($E917="","",IF($AD917="Yes",1,0))</f>
        <v/>
      </c>
      <c r="AR917">
        <f>IF($AN917=1,IFERROR(VALUE(MID($E917,2,20)),1000000000)+ROW()/100000,"")</f>
        <v/>
      </c>
    </row>
    <row r="918">
      <c r="G918" s="11" t="n"/>
      <c r="Q918" s="7">
        <f>IF($E918="","",P918*AB918/100)</f>
        <v/>
      </c>
      <c r="R918" s="7" t="n"/>
      <c r="X918" s="7" t="n"/>
      <c r="Y918" s="7">
        <f>IF($E918="","",AB918*AE918/100)</f>
        <v/>
      </c>
      <c r="Z918" s="7">
        <f>IF($E918="","",AB918-Y918)</f>
        <v/>
      </c>
      <c r="AA918" s="7">
        <f>IF($E918="","",Z918-Q918)</f>
        <v/>
      </c>
      <c r="AB918" s="7" t="n"/>
      <c r="AE918">
        <f>IF($E918="","",IF($AQ918=1,0,IF($AP918=1,Settings!$C$6,Settings!$C$7))*100)</f>
        <v/>
      </c>
      <c r="AI918" s="7" t="n"/>
      <c r="AL918" s="11" t="n"/>
      <c r="AN918">
        <f>IF($E918="","",IF(COUNTIF($E$2:$E918,$E918)=1,1,0))</f>
        <v/>
      </c>
      <c r="AO918">
        <f>IF($AN918=1,SUMPRODUCT(--($AR$2:$AR$3001&lt;$AR918))+1,"")</f>
        <v/>
      </c>
      <c r="AP918">
        <f>IF($E918="","",IF(OR($U918=TRUE(),$U918="TRUE"),1,0))</f>
        <v/>
      </c>
      <c r="AQ918">
        <f>IF($E918="","",IF($AD918="Yes",1,0))</f>
        <v/>
      </c>
      <c r="AR918">
        <f>IF($AN918=1,IFERROR(VALUE(MID($E918,2,20)),1000000000)+ROW()/100000,"")</f>
        <v/>
      </c>
    </row>
    <row r="919">
      <c r="G919" s="11" t="n"/>
      <c r="Q919" s="7">
        <f>IF($E919="","",P919*AB919/100)</f>
        <v/>
      </c>
      <c r="R919" s="7" t="n"/>
      <c r="X919" s="7" t="n"/>
      <c r="Y919" s="7">
        <f>IF($E919="","",AB919*AE919/100)</f>
        <v/>
      </c>
      <c r="Z919" s="7">
        <f>IF($E919="","",AB919-Y919)</f>
        <v/>
      </c>
      <c r="AA919" s="7">
        <f>IF($E919="","",Z919-Q919)</f>
        <v/>
      </c>
      <c r="AB919" s="7" t="n"/>
      <c r="AE919">
        <f>IF($E919="","",IF($AQ919=1,0,IF($AP919=1,Settings!$C$6,Settings!$C$7))*100)</f>
        <v/>
      </c>
      <c r="AI919" s="7" t="n"/>
      <c r="AL919" s="11" t="n"/>
      <c r="AN919">
        <f>IF($E919="","",IF(COUNTIF($E$2:$E919,$E919)=1,1,0))</f>
        <v/>
      </c>
      <c r="AO919">
        <f>IF($AN919=1,SUMPRODUCT(--($AR$2:$AR$3001&lt;$AR919))+1,"")</f>
        <v/>
      </c>
      <c r="AP919">
        <f>IF($E919="","",IF(OR($U919=TRUE(),$U919="TRUE"),1,0))</f>
        <v/>
      </c>
      <c r="AQ919">
        <f>IF($E919="","",IF($AD919="Yes",1,0))</f>
        <v/>
      </c>
      <c r="AR919">
        <f>IF($AN919=1,IFERROR(VALUE(MID($E919,2,20)),1000000000)+ROW()/100000,"")</f>
        <v/>
      </c>
    </row>
    <row r="920">
      <c r="G920" s="11" t="n"/>
      <c r="Q920" s="7">
        <f>IF($E920="","",P920*AB920/100)</f>
        <v/>
      </c>
      <c r="R920" s="7" t="n"/>
      <c r="X920" s="7" t="n"/>
      <c r="Y920" s="7">
        <f>IF($E920="","",AB920*AE920/100)</f>
        <v/>
      </c>
      <c r="Z920" s="7">
        <f>IF($E920="","",AB920-Y920)</f>
        <v/>
      </c>
      <c r="AA920" s="7">
        <f>IF($E920="","",Z920-Q920)</f>
        <v/>
      </c>
      <c r="AB920" s="7" t="n"/>
      <c r="AE920">
        <f>IF($E920="","",IF($AQ920=1,0,IF($AP920=1,Settings!$C$6,Settings!$C$7))*100)</f>
        <v/>
      </c>
      <c r="AI920" s="7" t="n"/>
      <c r="AL920" s="11" t="n"/>
      <c r="AN920">
        <f>IF($E920="","",IF(COUNTIF($E$2:$E920,$E920)=1,1,0))</f>
        <v/>
      </c>
      <c r="AO920">
        <f>IF($AN920=1,SUMPRODUCT(--($AR$2:$AR$3001&lt;$AR920))+1,"")</f>
        <v/>
      </c>
      <c r="AP920">
        <f>IF($E920="","",IF(OR($U920=TRUE(),$U920="TRUE"),1,0))</f>
        <v/>
      </c>
      <c r="AQ920">
        <f>IF($E920="","",IF($AD920="Yes",1,0))</f>
        <v/>
      </c>
      <c r="AR920">
        <f>IF($AN920=1,IFERROR(VALUE(MID($E920,2,20)),1000000000)+ROW()/100000,"")</f>
        <v/>
      </c>
    </row>
    <row r="921">
      <c r="G921" s="11" t="n"/>
      <c r="Q921" s="7">
        <f>IF($E921="","",P921*AB921/100)</f>
        <v/>
      </c>
      <c r="R921" s="7" t="n"/>
      <c r="X921" s="7" t="n"/>
      <c r="Y921" s="7">
        <f>IF($E921="","",AB921*AE921/100)</f>
        <v/>
      </c>
      <c r="Z921" s="7">
        <f>IF($E921="","",AB921-Y921)</f>
        <v/>
      </c>
      <c r="AA921" s="7">
        <f>IF($E921="","",Z921-Q921)</f>
        <v/>
      </c>
      <c r="AB921" s="7" t="n"/>
      <c r="AE921">
        <f>IF($E921="","",IF($AQ921=1,0,IF($AP921=1,Settings!$C$6,Settings!$C$7))*100)</f>
        <v/>
      </c>
      <c r="AI921" s="7" t="n"/>
      <c r="AL921" s="11" t="n"/>
      <c r="AN921">
        <f>IF($E921="","",IF(COUNTIF($E$2:$E921,$E921)=1,1,0))</f>
        <v/>
      </c>
      <c r="AO921">
        <f>IF($AN921=1,SUMPRODUCT(--($AR$2:$AR$3001&lt;$AR921))+1,"")</f>
        <v/>
      </c>
      <c r="AP921">
        <f>IF($E921="","",IF(OR($U921=TRUE(),$U921="TRUE"),1,0))</f>
        <v/>
      </c>
      <c r="AQ921">
        <f>IF($E921="","",IF($AD921="Yes",1,0))</f>
        <v/>
      </c>
      <c r="AR921">
        <f>IF($AN921=1,IFERROR(VALUE(MID($E921,2,20)),1000000000)+ROW()/100000,"")</f>
        <v/>
      </c>
    </row>
    <row r="922">
      <c r="G922" s="11" t="n"/>
      <c r="Q922" s="7">
        <f>IF($E922="","",P922*AB922/100)</f>
        <v/>
      </c>
      <c r="R922" s="7" t="n"/>
      <c r="X922" s="7" t="n"/>
      <c r="Y922" s="7">
        <f>IF($E922="","",AB922*AE922/100)</f>
        <v/>
      </c>
      <c r="Z922" s="7">
        <f>IF($E922="","",AB922-Y922)</f>
        <v/>
      </c>
      <c r="AA922" s="7">
        <f>IF($E922="","",Z922-Q922)</f>
        <v/>
      </c>
      <c r="AB922" s="7" t="n"/>
      <c r="AE922">
        <f>IF($E922="","",IF($AQ922=1,0,IF($AP922=1,Settings!$C$6,Settings!$C$7))*100)</f>
        <v/>
      </c>
      <c r="AI922" s="7" t="n"/>
      <c r="AL922" s="11" t="n"/>
      <c r="AN922">
        <f>IF($E922="","",IF(COUNTIF($E$2:$E922,$E922)=1,1,0))</f>
        <v/>
      </c>
      <c r="AO922">
        <f>IF($AN922=1,SUMPRODUCT(--($AR$2:$AR$3001&lt;$AR922))+1,"")</f>
        <v/>
      </c>
      <c r="AP922">
        <f>IF($E922="","",IF(OR($U922=TRUE(),$U922="TRUE"),1,0))</f>
        <v/>
      </c>
      <c r="AQ922">
        <f>IF($E922="","",IF($AD922="Yes",1,0))</f>
        <v/>
      </c>
      <c r="AR922">
        <f>IF($AN922=1,IFERROR(VALUE(MID($E922,2,20)),1000000000)+ROW()/100000,"")</f>
        <v/>
      </c>
    </row>
    <row r="923">
      <c r="G923" s="11" t="n"/>
      <c r="Q923" s="7">
        <f>IF($E923="","",P923*AB923/100)</f>
        <v/>
      </c>
      <c r="R923" s="7" t="n"/>
      <c r="X923" s="7" t="n"/>
      <c r="Y923" s="7">
        <f>IF($E923="","",AB923*AE923/100)</f>
        <v/>
      </c>
      <c r="Z923" s="7">
        <f>IF($E923="","",AB923-Y923)</f>
        <v/>
      </c>
      <c r="AA923" s="7">
        <f>IF($E923="","",Z923-Q923)</f>
        <v/>
      </c>
      <c r="AB923" s="7" t="n"/>
      <c r="AE923">
        <f>IF($E923="","",IF($AQ923=1,0,IF($AP923=1,Settings!$C$6,Settings!$C$7))*100)</f>
        <v/>
      </c>
      <c r="AI923" s="7" t="n"/>
      <c r="AL923" s="11" t="n"/>
      <c r="AN923">
        <f>IF($E923="","",IF(COUNTIF($E$2:$E923,$E923)=1,1,0))</f>
        <v/>
      </c>
      <c r="AO923">
        <f>IF($AN923=1,SUMPRODUCT(--($AR$2:$AR$3001&lt;$AR923))+1,"")</f>
        <v/>
      </c>
      <c r="AP923">
        <f>IF($E923="","",IF(OR($U923=TRUE(),$U923="TRUE"),1,0))</f>
        <v/>
      </c>
      <c r="AQ923">
        <f>IF($E923="","",IF($AD923="Yes",1,0))</f>
        <v/>
      </c>
      <c r="AR923">
        <f>IF($AN923=1,IFERROR(VALUE(MID($E923,2,20)),1000000000)+ROW()/100000,"")</f>
        <v/>
      </c>
    </row>
    <row r="924">
      <c r="G924" s="11" t="n"/>
      <c r="Q924" s="7">
        <f>IF($E924="","",P924*AB924/100)</f>
        <v/>
      </c>
      <c r="R924" s="7" t="n"/>
      <c r="X924" s="7" t="n"/>
      <c r="Y924" s="7">
        <f>IF($E924="","",AB924*AE924/100)</f>
        <v/>
      </c>
      <c r="Z924" s="7">
        <f>IF($E924="","",AB924-Y924)</f>
        <v/>
      </c>
      <c r="AA924" s="7">
        <f>IF($E924="","",Z924-Q924)</f>
        <v/>
      </c>
      <c r="AB924" s="7" t="n"/>
      <c r="AE924">
        <f>IF($E924="","",IF($AQ924=1,0,IF($AP924=1,Settings!$C$6,Settings!$C$7))*100)</f>
        <v/>
      </c>
      <c r="AI924" s="7" t="n"/>
      <c r="AL924" s="11" t="n"/>
      <c r="AN924">
        <f>IF($E924="","",IF(COUNTIF($E$2:$E924,$E924)=1,1,0))</f>
        <v/>
      </c>
      <c r="AO924">
        <f>IF($AN924=1,SUMPRODUCT(--($AR$2:$AR$3001&lt;$AR924))+1,"")</f>
        <v/>
      </c>
      <c r="AP924">
        <f>IF($E924="","",IF(OR($U924=TRUE(),$U924="TRUE"),1,0))</f>
        <v/>
      </c>
      <c r="AQ924">
        <f>IF($E924="","",IF($AD924="Yes",1,0))</f>
        <v/>
      </c>
      <c r="AR924">
        <f>IF($AN924=1,IFERROR(VALUE(MID($E924,2,20)),1000000000)+ROW()/100000,"")</f>
        <v/>
      </c>
    </row>
    <row r="925">
      <c r="G925" s="11" t="n"/>
      <c r="Q925" s="7">
        <f>IF($E925="","",P925*AB925/100)</f>
        <v/>
      </c>
      <c r="R925" s="7" t="n"/>
      <c r="X925" s="7" t="n"/>
      <c r="Y925" s="7">
        <f>IF($E925="","",AB925*AE925/100)</f>
        <v/>
      </c>
      <c r="Z925" s="7">
        <f>IF($E925="","",AB925-Y925)</f>
        <v/>
      </c>
      <c r="AA925" s="7">
        <f>IF($E925="","",Z925-Q925)</f>
        <v/>
      </c>
      <c r="AB925" s="7" t="n"/>
      <c r="AE925">
        <f>IF($E925="","",IF($AQ925=1,0,IF($AP925=1,Settings!$C$6,Settings!$C$7))*100)</f>
        <v/>
      </c>
      <c r="AI925" s="7" t="n"/>
      <c r="AL925" s="11" t="n"/>
      <c r="AN925">
        <f>IF($E925="","",IF(COUNTIF($E$2:$E925,$E925)=1,1,0))</f>
        <v/>
      </c>
      <c r="AO925">
        <f>IF($AN925=1,SUMPRODUCT(--($AR$2:$AR$3001&lt;$AR925))+1,"")</f>
        <v/>
      </c>
      <c r="AP925">
        <f>IF($E925="","",IF(OR($U925=TRUE(),$U925="TRUE"),1,0))</f>
        <v/>
      </c>
      <c r="AQ925">
        <f>IF($E925="","",IF($AD925="Yes",1,0))</f>
        <v/>
      </c>
      <c r="AR925">
        <f>IF($AN925=1,IFERROR(VALUE(MID($E925,2,20)),1000000000)+ROW()/100000,"")</f>
        <v/>
      </c>
    </row>
    <row r="926">
      <c r="G926" s="11" t="n"/>
      <c r="Q926" s="7">
        <f>IF($E926="","",P926*AB926/100)</f>
        <v/>
      </c>
      <c r="R926" s="7" t="n"/>
      <c r="X926" s="7" t="n"/>
      <c r="Y926" s="7">
        <f>IF($E926="","",AB926*AE926/100)</f>
        <v/>
      </c>
      <c r="Z926" s="7">
        <f>IF($E926="","",AB926-Y926)</f>
        <v/>
      </c>
      <c r="AA926" s="7">
        <f>IF($E926="","",Z926-Q926)</f>
        <v/>
      </c>
      <c r="AB926" s="7" t="n"/>
      <c r="AE926">
        <f>IF($E926="","",IF($AQ926=1,0,IF($AP926=1,Settings!$C$6,Settings!$C$7))*100)</f>
        <v/>
      </c>
      <c r="AI926" s="7" t="n"/>
      <c r="AL926" s="11" t="n"/>
      <c r="AN926">
        <f>IF($E926="","",IF(COUNTIF($E$2:$E926,$E926)=1,1,0))</f>
        <v/>
      </c>
      <c r="AO926">
        <f>IF($AN926=1,SUMPRODUCT(--($AR$2:$AR$3001&lt;$AR926))+1,"")</f>
        <v/>
      </c>
      <c r="AP926">
        <f>IF($E926="","",IF(OR($U926=TRUE(),$U926="TRUE"),1,0))</f>
        <v/>
      </c>
      <c r="AQ926">
        <f>IF($E926="","",IF($AD926="Yes",1,0))</f>
        <v/>
      </c>
      <c r="AR926">
        <f>IF($AN926=1,IFERROR(VALUE(MID($E926,2,20)),1000000000)+ROW()/100000,"")</f>
        <v/>
      </c>
    </row>
    <row r="927">
      <c r="G927" s="11" t="n"/>
      <c r="Q927" s="7">
        <f>IF($E927="","",P927*AB927/100)</f>
        <v/>
      </c>
      <c r="R927" s="7" t="n"/>
      <c r="X927" s="7" t="n"/>
      <c r="Y927" s="7">
        <f>IF($E927="","",AB927*AE927/100)</f>
        <v/>
      </c>
      <c r="Z927" s="7">
        <f>IF($E927="","",AB927-Y927)</f>
        <v/>
      </c>
      <c r="AA927" s="7">
        <f>IF($E927="","",Z927-Q927)</f>
        <v/>
      </c>
      <c r="AB927" s="7" t="n"/>
      <c r="AE927">
        <f>IF($E927="","",IF($AQ927=1,0,IF($AP927=1,Settings!$C$6,Settings!$C$7))*100)</f>
        <v/>
      </c>
      <c r="AI927" s="7" t="n"/>
      <c r="AL927" s="11" t="n"/>
      <c r="AN927">
        <f>IF($E927="","",IF(COUNTIF($E$2:$E927,$E927)=1,1,0))</f>
        <v/>
      </c>
      <c r="AO927">
        <f>IF($AN927=1,SUMPRODUCT(--($AR$2:$AR$3001&lt;$AR927))+1,"")</f>
        <v/>
      </c>
      <c r="AP927">
        <f>IF($E927="","",IF(OR($U927=TRUE(),$U927="TRUE"),1,0))</f>
        <v/>
      </c>
      <c r="AQ927">
        <f>IF($E927="","",IF($AD927="Yes",1,0))</f>
        <v/>
      </c>
      <c r="AR927">
        <f>IF($AN927=1,IFERROR(VALUE(MID($E927,2,20)),1000000000)+ROW()/100000,"")</f>
        <v/>
      </c>
    </row>
    <row r="928">
      <c r="G928" s="11" t="n"/>
      <c r="Q928" s="7">
        <f>IF($E928="","",P928*AB928/100)</f>
        <v/>
      </c>
      <c r="R928" s="7" t="n"/>
      <c r="X928" s="7" t="n"/>
      <c r="Y928" s="7">
        <f>IF($E928="","",AB928*AE928/100)</f>
        <v/>
      </c>
      <c r="Z928" s="7">
        <f>IF($E928="","",AB928-Y928)</f>
        <v/>
      </c>
      <c r="AA928" s="7">
        <f>IF($E928="","",Z928-Q928)</f>
        <v/>
      </c>
      <c r="AB928" s="7" t="n"/>
      <c r="AE928">
        <f>IF($E928="","",IF($AQ928=1,0,IF($AP928=1,Settings!$C$6,Settings!$C$7))*100)</f>
        <v/>
      </c>
      <c r="AI928" s="7" t="n"/>
      <c r="AL928" s="11" t="n"/>
      <c r="AN928">
        <f>IF($E928="","",IF(COUNTIF($E$2:$E928,$E928)=1,1,0))</f>
        <v/>
      </c>
      <c r="AO928">
        <f>IF($AN928=1,SUMPRODUCT(--($AR$2:$AR$3001&lt;$AR928))+1,"")</f>
        <v/>
      </c>
      <c r="AP928">
        <f>IF($E928="","",IF(OR($U928=TRUE(),$U928="TRUE"),1,0))</f>
        <v/>
      </c>
      <c r="AQ928">
        <f>IF($E928="","",IF($AD928="Yes",1,0))</f>
        <v/>
      </c>
      <c r="AR928">
        <f>IF($AN928=1,IFERROR(VALUE(MID($E928,2,20)),1000000000)+ROW()/100000,"")</f>
        <v/>
      </c>
    </row>
    <row r="929">
      <c r="G929" s="11" t="n"/>
      <c r="Q929" s="7">
        <f>IF($E929="","",P929*AB929/100)</f>
        <v/>
      </c>
      <c r="R929" s="7" t="n"/>
      <c r="X929" s="7" t="n"/>
      <c r="Y929" s="7">
        <f>IF($E929="","",AB929*AE929/100)</f>
        <v/>
      </c>
      <c r="Z929" s="7">
        <f>IF($E929="","",AB929-Y929)</f>
        <v/>
      </c>
      <c r="AA929" s="7">
        <f>IF($E929="","",Z929-Q929)</f>
        <v/>
      </c>
      <c r="AB929" s="7" t="n"/>
      <c r="AE929">
        <f>IF($E929="","",IF($AQ929=1,0,IF($AP929=1,Settings!$C$6,Settings!$C$7))*100)</f>
        <v/>
      </c>
      <c r="AI929" s="7" t="n"/>
      <c r="AL929" s="11" t="n"/>
      <c r="AN929">
        <f>IF($E929="","",IF(COUNTIF($E$2:$E929,$E929)=1,1,0))</f>
        <v/>
      </c>
      <c r="AO929">
        <f>IF($AN929=1,SUMPRODUCT(--($AR$2:$AR$3001&lt;$AR929))+1,"")</f>
        <v/>
      </c>
      <c r="AP929">
        <f>IF($E929="","",IF(OR($U929=TRUE(),$U929="TRUE"),1,0))</f>
        <v/>
      </c>
      <c r="AQ929">
        <f>IF($E929="","",IF($AD929="Yes",1,0))</f>
        <v/>
      </c>
      <c r="AR929">
        <f>IF($AN929=1,IFERROR(VALUE(MID($E929,2,20)),1000000000)+ROW()/100000,"")</f>
        <v/>
      </c>
    </row>
    <row r="930">
      <c r="G930" s="11" t="n"/>
      <c r="Q930" s="7">
        <f>IF($E930="","",P930*AB930/100)</f>
        <v/>
      </c>
      <c r="R930" s="7" t="n"/>
      <c r="X930" s="7" t="n"/>
      <c r="Y930" s="7">
        <f>IF($E930="","",AB930*AE930/100)</f>
        <v/>
      </c>
      <c r="Z930" s="7">
        <f>IF($E930="","",AB930-Y930)</f>
        <v/>
      </c>
      <c r="AA930" s="7">
        <f>IF($E930="","",Z930-Q930)</f>
        <v/>
      </c>
      <c r="AB930" s="7" t="n"/>
      <c r="AE930">
        <f>IF($E930="","",IF($AQ930=1,0,IF($AP930=1,Settings!$C$6,Settings!$C$7))*100)</f>
        <v/>
      </c>
      <c r="AI930" s="7" t="n"/>
      <c r="AL930" s="11" t="n"/>
      <c r="AN930">
        <f>IF($E930="","",IF(COUNTIF($E$2:$E930,$E930)=1,1,0))</f>
        <v/>
      </c>
      <c r="AO930">
        <f>IF($AN930=1,SUMPRODUCT(--($AR$2:$AR$3001&lt;$AR930))+1,"")</f>
        <v/>
      </c>
      <c r="AP930">
        <f>IF($E930="","",IF(OR($U930=TRUE(),$U930="TRUE"),1,0))</f>
        <v/>
      </c>
      <c r="AQ930">
        <f>IF($E930="","",IF($AD930="Yes",1,0))</f>
        <v/>
      </c>
      <c r="AR930">
        <f>IF($AN930=1,IFERROR(VALUE(MID($E930,2,20)),1000000000)+ROW()/100000,"")</f>
        <v/>
      </c>
    </row>
    <row r="931">
      <c r="G931" s="11" t="n"/>
      <c r="Q931" s="7">
        <f>IF($E931="","",P931*AB931/100)</f>
        <v/>
      </c>
      <c r="R931" s="7" t="n"/>
      <c r="X931" s="7" t="n"/>
      <c r="Y931" s="7">
        <f>IF($E931="","",AB931*AE931/100)</f>
        <v/>
      </c>
      <c r="Z931" s="7">
        <f>IF($E931="","",AB931-Y931)</f>
        <v/>
      </c>
      <c r="AA931" s="7">
        <f>IF($E931="","",Z931-Q931)</f>
        <v/>
      </c>
      <c r="AB931" s="7" t="n"/>
      <c r="AE931">
        <f>IF($E931="","",IF($AQ931=1,0,IF($AP931=1,Settings!$C$6,Settings!$C$7))*100)</f>
        <v/>
      </c>
      <c r="AI931" s="7" t="n"/>
      <c r="AL931" s="11" t="n"/>
      <c r="AN931">
        <f>IF($E931="","",IF(COUNTIF($E$2:$E931,$E931)=1,1,0))</f>
        <v/>
      </c>
      <c r="AO931">
        <f>IF($AN931=1,SUMPRODUCT(--($AR$2:$AR$3001&lt;$AR931))+1,"")</f>
        <v/>
      </c>
      <c r="AP931">
        <f>IF($E931="","",IF(OR($U931=TRUE(),$U931="TRUE"),1,0))</f>
        <v/>
      </c>
      <c r="AQ931">
        <f>IF($E931="","",IF($AD931="Yes",1,0))</f>
        <v/>
      </c>
      <c r="AR931">
        <f>IF($AN931=1,IFERROR(VALUE(MID($E931,2,20)),1000000000)+ROW()/100000,"")</f>
        <v/>
      </c>
    </row>
    <row r="932">
      <c r="G932" s="11" t="n"/>
      <c r="Q932" s="7">
        <f>IF($E932="","",P932*AB932/100)</f>
        <v/>
      </c>
      <c r="R932" s="7" t="n"/>
      <c r="X932" s="7" t="n"/>
      <c r="Y932" s="7">
        <f>IF($E932="","",AB932*AE932/100)</f>
        <v/>
      </c>
      <c r="Z932" s="7">
        <f>IF($E932="","",AB932-Y932)</f>
        <v/>
      </c>
      <c r="AA932" s="7">
        <f>IF($E932="","",Z932-Q932)</f>
        <v/>
      </c>
      <c r="AB932" s="7" t="n"/>
      <c r="AE932">
        <f>IF($E932="","",IF($AQ932=1,0,IF($AP932=1,Settings!$C$6,Settings!$C$7))*100)</f>
        <v/>
      </c>
      <c r="AI932" s="7" t="n"/>
      <c r="AL932" s="11" t="n"/>
      <c r="AN932">
        <f>IF($E932="","",IF(COUNTIF($E$2:$E932,$E932)=1,1,0))</f>
        <v/>
      </c>
      <c r="AO932">
        <f>IF($AN932=1,SUMPRODUCT(--($AR$2:$AR$3001&lt;$AR932))+1,"")</f>
        <v/>
      </c>
      <c r="AP932">
        <f>IF($E932="","",IF(OR($U932=TRUE(),$U932="TRUE"),1,0))</f>
        <v/>
      </c>
      <c r="AQ932">
        <f>IF($E932="","",IF($AD932="Yes",1,0))</f>
        <v/>
      </c>
      <c r="AR932">
        <f>IF($AN932=1,IFERROR(VALUE(MID($E932,2,20)),1000000000)+ROW()/100000,"")</f>
        <v/>
      </c>
    </row>
    <row r="933">
      <c r="G933" s="11" t="n"/>
      <c r="Q933" s="7">
        <f>IF($E933="","",P933*AB933/100)</f>
        <v/>
      </c>
      <c r="R933" s="7" t="n"/>
      <c r="X933" s="7" t="n"/>
      <c r="Y933" s="7">
        <f>IF($E933="","",AB933*AE933/100)</f>
        <v/>
      </c>
      <c r="Z933" s="7">
        <f>IF($E933="","",AB933-Y933)</f>
        <v/>
      </c>
      <c r="AA933" s="7">
        <f>IF($E933="","",Z933-Q933)</f>
        <v/>
      </c>
      <c r="AB933" s="7" t="n"/>
      <c r="AE933">
        <f>IF($E933="","",IF($AQ933=1,0,IF($AP933=1,Settings!$C$6,Settings!$C$7))*100)</f>
        <v/>
      </c>
      <c r="AI933" s="7" t="n"/>
      <c r="AL933" s="11" t="n"/>
      <c r="AN933">
        <f>IF($E933="","",IF(COUNTIF($E$2:$E933,$E933)=1,1,0))</f>
        <v/>
      </c>
      <c r="AO933">
        <f>IF($AN933=1,SUMPRODUCT(--($AR$2:$AR$3001&lt;$AR933))+1,"")</f>
        <v/>
      </c>
      <c r="AP933">
        <f>IF($E933="","",IF(OR($U933=TRUE(),$U933="TRUE"),1,0))</f>
        <v/>
      </c>
      <c r="AQ933">
        <f>IF($E933="","",IF($AD933="Yes",1,0))</f>
        <v/>
      </c>
      <c r="AR933">
        <f>IF($AN933=1,IFERROR(VALUE(MID($E933,2,20)),1000000000)+ROW()/100000,"")</f>
        <v/>
      </c>
    </row>
    <row r="934">
      <c r="G934" s="11" t="n"/>
      <c r="Q934" s="7">
        <f>IF($E934="","",P934*AB934/100)</f>
        <v/>
      </c>
      <c r="R934" s="7" t="n"/>
      <c r="X934" s="7" t="n"/>
      <c r="Y934" s="7">
        <f>IF($E934="","",AB934*AE934/100)</f>
        <v/>
      </c>
      <c r="Z934" s="7">
        <f>IF($E934="","",AB934-Y934)</f>
        <v/>
      </c>
      <c r="AA934" s="7">
        <f>IF($E934="","",Z934-Q934)</f>
        <v/>
      </c>
      <c r="AB934" s="7" t="n"/>
      <c r="AE934">
        <f>IF($E934="","",IF($AQ934=1,0,IF($AP934=1,Settings!$C$6,Settings!$C$7))*100)</f>
        <v/>
      </c>
      <c r="AI934" s="7" t="n"/>
      <c r="AL934" s="11" t="n"/>
      <c r="AN934">
        <f>IF($E934="","",IF(COUNTIF($E$2:$E934,$E934)=1,1,0))</f>
        <v/>
      </c>
      <c r="AO934">
        <f>IF($AN934=1,SUMPRODUCT(--($AR$2:$AR$3001&lt;$AR934))+1,"")</f>
        <v/>
      </c>
      <c r="AP934">
        <f>IF($E934="","",IF(OR($U934=TRUE(),$U934="TRUE"),1,0))</f>
        <v/>
      </c>
      <c r="AQ934">
        <f>IF($E934="","",IF($AD934="Yes",1,0))</f>
        <v/>
      </c>
      <c r="AR934">
        <f>IF($AN934=1,IFERROR(VALUE(MID($E934,2,20)),1000000000)+ROW()/100000,"")</f>
        <v/>
      </c>
    </row>
    <row r="935">
      <c r="G935" s="11" t="n"/>
      <c r="Q935" s="7">
        <f>IF($E935="","",P935*AB935/100)</f>
        <v/>
      </c>
      <c r="R935" s="7" t="n"/>
      <c r="X935" s="7" t="n"/>
      <c r="Y935" s="7">
        <f>IF($E935="","",AB935*AE935/100)</f>
        <v/>
      </c>
      <c r="Z935" s="7">
        <f>IF($E935="","",AB935-Y935)</f>
        <v/>
      </c>
      <c r="AA935" s="7">
        <f>IF($E935="","",Z935-Q935)</f>
        <v/>
      </c>
      <c r="AB935" s="7" t="n"/>
      <c r="AE935">
        <f>IF($E935="","",IF($AQ935=1,0,IF($AP935=1,Settings!$C$6,Settings!$C$7))*100)</f>
        <v/>
      </c>
      <c r="AI935" s="7" t="n"/>
      <c r="AL935" s="11" t="n"/>
      <c r="AN935">
        <f>IF($E935="","",IF(COUNTIF($E$2:$E935,$E935)=1,1,0))</f>
        <v/>
      </c>
      <c r="AO935">
        <f>IF($AN935=1,SUMPRODUCT(--($AR$2:$AR$3001&lt;$AR935))+1,"")</f>
        <v/>
      </c>
      <c r="AP935">
        <f>IF($E935="","",IF(OR($U935=TRUE(),$U935="TRUE"),1,0))</f>
        <v/>
      </c>
      <c r="AQ935">
        <f>IF($E935="","",IF($AD935="Yes",1,0))</f>
        <v/>
      </c>
      <c r="AR935">
        <f>IF($AN935=1,IFERROR(VALUE(MID($E935,2,20)),1000000000)+ROW()/100000,"")</f>
        <v/>
      </c>
    </row>
    <row r="936">
      <c r="G936" s="11" t="n"/>
      <c r="Q936" s="7">
        <f>IF($E936="","",P936*AB936/100)</f>
        <v/>
      </c>
      <c r="R936" s="7" t="n"/>
      <c r="X936" s="7" t="n"/>
      <c r="Y936" s="7">
        <f>IF($E936="","",AB936*AE936/100)</f>
        <v/>
      </c>
      <c r="Z936" s="7">
        <f>IF($E936="","",AB936-Y936)</f>
        <v/>
      </c>
      <c r="AA936" s="7">
        <f>IF($E936="","",Z936-Q936)</f>
        <v/>
      </c>
      <c r="AB936" s="7" t="n"/>
      <c r="AE936">
        <f>IF($E936="","",IF($AQ936=1,0,IF($AP936=1,Settings!$C$6,Settings!$C$7))*100)</f>
        <v/>
      </c>
      <c r="AI936" s="7" t="n"/>
      <c r="AL936" s="11" t="n"/>
      <c r="AN936">
        <f>IF($E936="","",IF(COUNTIF($E$2:$E936,$E936)=1,1,0))</f>
        <v/>
      </c>
      <c r="AO936">
        <f>IF($AN936=1,SUMPRODUCT(--($AR$2:$AR$3001&lt;$AR936))+1,"")</f>
        <v/>
      </c>
      <c r="AP936">
        <f>IF($E936="","",IF(OR($U936=TRUE(),$U936="TRUE"),1,0))</f>
        <v/>
      </c>
      <c r="AQ936">
        <f>IF($E936="","",IF($AD936="Yes",1,0))</f>
        <v/>
      </c>
      <c r="AR936">
        <f>IF($AN936=1,IFERROR(VALUE(MID($E936,2,20)),1000000000)+ROW()/100000,"")</f>
        <v/>
      </c>
    </row>
    <row r="937">
      <c r="G937" s="11" t="n"/>
      <c r="Q937" s="7">
        <f>IF($E937="","",P937*AB937/100)</f>
        <v/>
      </c>
      <c r="R937" s="7" t="n"/>
      <c r="X937" s="7" t="n"/>
      <c r="Y937" s="7">
        <f>IF($E937="","",AB937*AE937/100)</f>
        <v/>
      </c>
      <c r="Z937" s="7">
        <f>IF($E937="","",AB937-Y937)</f>
        <v/>
      </c>
      <c r="AA937" s="7">
        <f>IF($E937="","",Z937-Q937)</f>
        <v/>
      </c>
      <c r="AB937" s="7" t="n"/>
      <c r="AE937">
        <f>IF($E937="","",IF($AQ937=1,0,IF($AP937=1,Settings!$C$6,Settings!$C$7))*100)</f>
        <v/>
      </c>
      <c r="AI937" s="7" t="n"/>
      <c r="AL937" s="11" t="n"/>
      <c r="AN937">
        <f>IF($E937="","",IF(COUNTIF($E$2:$E937,$E937)=1,1,0))</f>
        <v/>
      </c>
      <c r="AO937">
        <f>IF($AN937=1,SUMPRODUCT(--($AR$2:$AR$3001&lt;$AR937))+1,"")</f>
        <v/>
      </c>
      <c r="AP937">
        <f>IF($E937="","",IF(OR($U937=TRUE(),$U937="TRUE"),1,0))</f>
        <v/>
      </c>
      <c r="AQ937">
        <f>IF($E937="","",IF($AD937="Yes",1,0))</f>
        <v/>
      </c>
      <c r="AR937">
        <f>IF($AN937=1,IFERROR(VALUE(MID($E937,2,20)),1000000000)+ROW()/100000,"")</f>
        <v/>
      </c>
    </row>
    <row r="938">
      <c r="G938" s="11" t="n"/>
      <c r="Q938" s="7">
        <f>IF($E938="","",P938*AB938/100)</f>
        <v/>
      </c>
      <c r="R938" s="7" t="n"/>
      <c r="X938" s="7" t="n"/>
      <c r="Y938" s="7">
        <f>IF($E938="","",AB938*AE938/100)</f>
        <v/>
      </c>
      <c r="Z938" s="7">
        <f>IF($E938="","",AB938-Y938)</f>
        <v/>
      </c>
      <c r="AA938" s="7">
        <f>IF($E938="","",Z938-Q938)</f>
        <v/>
      </c>
      <c r="AB938" s="7" t="n"/>
      <c r="AE938">
        <f>IF($E938="","",IF($AQ938=1,0,IF($AP938=1,Settings!$C$6,Settings!$C$7))*100)</f>
        <v/>
      </c>
      <c r="AI938" s="7" t="n"/>
      <c r="AL938" s="11" t="n"/>
      <c r="AN938">
        <f>IF($E938="","",IF(COUNTIF($E$2:$E938,$E938)=1,1,0))</f>
        <v/>
      </c>
      <c r="AO938">
        <f>IF($AN938=1,SUMPRODUCT(--($AR$2:$AR$3001&lt;$AR938))+1,"")</f>
        <v/>
      </c>
      <c r="AP938">
        <f>IF($E938="","",IF(OR($U938=TRUE(),$U938="TRUE"),1,0))</f>
        <v/>
      </c>
      <c r="AQ938">
        <f>IF($E938="","",IF($AD938="Yes",1,0))</f>
        <v/>
      </c>
      <c r="AR938">
        <f>IF($AN938=1,IFERROR(VALUE(MID($E938,2,20)),1000000000)+ROW()/100000,"")</f>
        <v/>
      </c>
    </row>
    <row r="939">
      <c r="G939" s="11" t="n"/>
      <c r="Q939" s="7">
        <f>IF($E939="","",P939*AB939/100)</f>
        <v/>
      </c>
      <c r="R939" s="7" t="n"/>
      <c r="X939" s="7" t="n"/>
      <c r="Y939" s="7">
        <f>IF($E939="","",AB939*AE939/100)</f>
        <v/>
      </c>
      <c r="Z939" s="7">
        <f>IF($E939="","",AB939-Y939)</f>
        <v/>
      </c>
      <c r="AA939" s="7">
        <f>IF($E939="","",Z939-Q939)</f>
        <v/>
      </c>
      <c r="AB939" s="7" t="n"/>
      <c r="AE939">
        <f>IF($E939="","",IF($AQ939=1,0,IF($AP939=1,Settings!$C$6,Settings!$C$7))*100)</f>
        <v/>
      </c>
      <c r="AI939" s="7" t="n"/>
      <c r="AL939" s="11" t="n"/>
      <c r="AN939">
        <f>IF($E939="","",IF(COUNTIF($E$2:$E939,$E939)=1,1,0))</f>
        <v/>
      </c>
      <c r="AO939">
        <f>IF($AN939=1,SUMPRODUCT(--($AR$2:$AR$3001&lt;$AR939))+1,"")</f>
        <v/>
      </c>
      <c r="AP939">
        <f>IF($E939="","",IF(OR($U939=TRUE(),$U939="TRUE"),1,0))</f>
        <v/>
      </c>
      <c r="AQ939">
        <f>IF($E939="","",IF($AD939="Yes",1,0))</f>
        <v/>
      </c>
      <c r="AR939">
        <f>IF($AN939=1,IFERROR(VALUE(MID($E939,2,20)),1000000000)+ROW()/100000,"")</f>
        <v/>
      </c>
    </row>
    <row r="940">
      <c r="G940" s="11" t="n"/>
      <c r="Q940" s="7">
        <f>IF($E940="","",P940*AB940/100)</f>
        <v/>
      </c>
      <c r="R940" s="7" t="n"/>
      <c r="X940" s="7" t="n"/>
      <c r="Y940" s="7">
        <f>IF($E940="","",AB940*AE940/100)</f>
        <v/>
      </c>
      <c r="Z940" s="7">
        <f>IF($E940="","",AB940-Y940)</f>
        <v/>
      </c>
      <c r="AA940" s="7">
        <f>IF($E940="","",Z940-Q940)</f>
        <v/>
      </c>
      <c r="AB940" s="7" t="n"/>
      <c r="AE940">
        <f>IF($E940="","",IF($AQ940=1,0,IF($AP940=1,Settings!$C$6,Settings!$C$7))*100)</f>
        <v/>
      </c>
      <c r="AI940" s="7" t="n"/>
      <c r="AL940" s="11" t="n"/>
      <c r="AN940">
        <f>IF($E940="","",IF(COUNTIF($E$2:$E940,$E940)=1,1,0))</f>
        <v/>
      </c>
      <c r="AO940">
        <f>IF($AN940=1,SUMPRODUCT(--($AR$2:$AR$3001&lt;$AR940))+1,"")</f>
        <v/>
      </c>
      <c r="AP940">
        <f>IF($E940="","",IF(OR($U940=TRUE(),$U940="TRUE"),1,0))</f>
        <v/>
      </c>
      <c r="AQ940">
        <f>IF($E940="","",IF($AD940="Yes",1,0))</f>
        <v/>
      </c>
      <c r="AR940">
        <f>IF($AN940=1,IFERROR(VALUE(MID($E940,2,20)),1000000000)+ROW()/100000,"")</f>
        <v/>
      </c>
    </row>
    <row r="941">
      <c r="G941" s="11" t="n"/>
      <c r="Q941" s="7">
        <f>IF($E941="","",P941*AB941/100)</f>
        <v/>
      </c>
      <c r="R941" s="7" t="n"/>
      <c r="X941" s="7" t="n"/>
      <c r="Y941" s="7">
        <f>IF($E941="","",AB941*AE941/100)</f>
        <v/>
      </c>
      <c r="Z941" s="7">
        <f>IF($E941="","",AB941-Y941)</f>
        <v/>
      </c>
      <c r="AA941" s="7">
        <f>IF($E941="","",Z941-Q941)</f>
        <v/>
      </c>
      <c r="AB941" s="7" t="n"/>
      <c r="AE941">
        <f>IF($E941="","",IF($AQ941=1,0,IF($AP941=1,Settings!$C$6,Settings!$C$7))*100)</f>
        <v/>
      </c>
      <c r="AI941" s="7" t="n"/>
      <c r="AL941" s="11" t="n"/>
      <c r="AN941">
        <f>IF($E941="","",IF(COUNTIF($E$2:$E941,$E941)=1,1,0))</f>
        <v/>
      </c>
      <c r="AO941">
        <f>IF($AN941=1,SUMPRODUCT(--($AR$2:$AR$3001&lt;$AR941))+1,"")</f>
        <v/>
      </c>
      <c r="AP941">
        <f>IF($E941="","",IF(OR($U941=TRUE(),$U941="TRUE"),1,0))</f>
        <v/>
      </c>
      <c r="AQ941">
        <f>IF($E941="","",IF($AD941="Yes",1,0))</f>
        <v/>
      </c>
      <c r="AR941">
        <f>IF($AN941=1,IFERROR(VALUE(MID($E941,2,20)),1000000000)+ROW()/100000,"")</f>
        <v/>
      </c>
    </row>
    <row r="942">
      <c r="G942" s="11" t="n"/>
      <c r="Q942" s="7">
        <f>IF($E942="","",P942*AB942/100)</f>
        <v/>
      </c>
      <c r="R942" s="7" t="n"/>
      <c r="X942" s="7" t="n"/>
      <c r="Y942" s="7">
        <f>IF($E942="","",AB942*AE942/100)</f>
        <v/>
      </c>
      <c r="Z942" s="7">
        <f>IF($E942="","",AB942-Y942)</f>
        <v/>
      </c>
      <c r="AA942" s="7">
        <f>IF($E942="","",Z942-Q942)</f>
        <v/>
      </c>
      <c r="AB942" s="7" t="n"/>
      <c r="AE942">
        <f>IF($E942="","",IF($AQ942=1,0,IF($AP942=1,Settings!$C$6,Settings!$C$7))*100)</f>
        <v/>
      </c>
      <c r="AI942" s="7" t="n"/>
      <c r="AL942" s="11" t="n"/>
      <c r="AN942">
        <f>IF($E942="","",IF(COUNTIF($E$2:$E942,$E942)=1,1,0))</f>
        <v/>
      </c>
      <c r="AO942">
        <f>IF($AN942=1,SUMPRODUCT(--($AR$2:$AR$3001&lt;$AR942))+1,"")</f>
        <v/>
      </c>
      <c r="AP942">
        <f>IF($E942="","",IF(OR($U942=TRUE(),$U942="TRUE"),1,0))</f>
        <v/>
      </c>
      <c r="AQ942">
        <f>IF($E942="","",IF($AD942="Yes",1,0))</f>
        <v/>
      </c>
      <c r="AR942">
        <f>IF($AN942=1,IFERROR(VALUE(MID($E942,2,20)),1000000000)+ROW()/100000,"")</f>
        <v/>
      </c>
    </row>
    <row r="943">
      <c r="G943" s="11" t="n"/>
      <c r="Q943" s="7">
        <f>IF($E943="","",P943*AB943/100)</f>
        <v/>
      </c>
      <c r="R943" s="7" t="n"/>
      <c r="X943" s="7" t="n"/>
      <c r="Y943" s="7">
        <f>IF($E943="","",AB943*AE943/100)</f>
        <v/>
      </c>
      <c r="Z943" s="7">
        <f>IF($E943="","",AB943-Y943)</f>
        <v/>
      </c>
      <c r="AA943" s="7">
        <f>IF($E943="","",Z943-Q943)</f>
        <v/>
      </c>
      <c r="AB943" s="7" t="n"/>
      <c r="AE943">
        <f>IF($E943="","",IF($AQ943=1,0,IF($AP943=1,Settings!$C$6,Settings!$C$7))*100)</f>
        <v/>
      </c>
      <c r="AI943" s="7" t="n"/>
      <c r="AL943" s="11" t="n"/>
      <c r="AN943">
        <f>IF($E943="","",IF(COUNTIF($E$2:$E943,$E943)=1,1,0))</f>
        <v/>
      </c>
      <c r="AO943">
        <f>IF($AN943=1,SUMPRODUCT(--($AR$2:$AR$3001&lt;$AR943))+1,"")</f>
        <v/>
      </c>
      <c r="AP943">
        <f>IF($E943="","",IF(OR($U943=TRUE(),$U943="TRUE"),1,0))</f>
        <v/>
      </c>
      <c r="AQ943">
        <f>IF($E943="","",IF($AD943="Yes",1,0))</f>
        <v/>
      </c>
      <c r="AR943">
        <f>IF($AN943=1,IFERROR(VALUE(MID($E943,2,20)),1000000000)+ROW()/100000,"")</f>
        <v/>
      </c>
    </row>
    <row r="944">
      <c r="G944" s="11" t="n"/>
      <c r="Q944" s="7">
        <f>IF($E944="","",P944*AB944/100)</f>
        <v/>
      </c>
      <c r="R944" s="7" t="n"/>
      <c r="X944" s="7" t="n"/>
      <c r="Y944" s="7">
        <f>IF($E944="","",AB944*AE944/100)</f>
        <v/>
      </c>
      <c r="Z944" s="7">
        <f>IF($E944="","",AB944-Y944)</f>
        <v/>
      </c>
      <c r="AA944" s="7">
        <f>IF($E944="","",Z944-Q944)</f>
        <v/>
      </c>
      <c r="AB944" s="7" t="n"/>
      <c r="AE944">
        <f>IF($E944="","",IF($AQ944=1,0,IF($AP944=1,Settings!$C$6,Settings!$C$7))*100)</f>
        <v/>
      </c>
      <c r="AI944" s="7" t="n"/>
      <c r="AL944" s="11" t="n"/>
      <c r="AN944">
        <f>IF($E944="","",IF(COUNTIF($E$2:$E944,$E944)=1,1,0))</f>
        <v/>
      </c>
      <c r="AO944">
        <f>IF($AN944=1,SUMPRODUCT(--($AR$2:$AR$3001&lt;$AR944))+1,"")</f>
        <v/>
      </c>
      <c r="AP944">
        <f>IF($E944="","",IF(OR($U944=TRUE(),$U944="TRUE"),1,0))</f>
        <v/>
      </c>
      <c r="AQ944">
        <f>IF($E944="","",IF($AD944="Yes",1,0))</f>
        <v/>
      </c>
      <c r="AR944">
        <f>IF($AN944=1,IFERROR(VALUE(MID($E944,2,20)),1000000000)+ROW()/100000,"")</f>
        <v/>
      </c>
    </row>
    <row r="945">
      <c r="G945" s="11" t="n"/>
      <c r="Q945" s="7">
        <f>IF($E945="","",P945*AB945/100)</f>
        <v/>
      </c>
      <c r="R945" s="7" t="n"/>
      <c r="X945" s="7" t="n"/>
      <c r="Y945" s="7">
        <f>IF($E945="","",AB945*AE945/100)</f>
        <v/>
      </c>
      <c r="Z945" s="7">
        <f>IF($E945="","",AB945-Y945)</f>
        <v/>
      </c>
      <c r="AA945" s="7">
        <f>IF($E945="","",Z945-Q945)</f>
        <v/>
      </c>
      <c r="AB945" s="7" t="n"/>
      <c r="AE945">
        <f>IF($E945="","",IF($AQ945=1,0,IF($AP945=1,Settings!$C$6,Settings!$C$7))*100)</f>
        <v/>
      </c>
      <c r="AI945" s="7" t="n"/>
      <c r="AL945" s="11" t="n"/>
      <c r="AN945">
        <f>IF($E945="","",IF(COUNTIF($E$2:$E945,$E945)=1,1,0))</f>
        <v/>
      </c>
      <c r="AO945">
        <f>IF($AN945=1,SUMPRODUCT(--($AR$2:$AR$3001&lt;$AR945))+1,"")</f>
        <v/>
      </c>
      <c r="AP945">
        <f>IF($E945="","",IF(OR($U945=TRUE(),$U945="TRUE"),1,0))</f>
        <v/>
      </c>
      <c r="AQ945">
        <f>IF($E945="","",IF($AD945="Yes",1,0))</f>
        <v/>
      </c>
      <c r="AR945">
        <f>IF($AN945=1,IFERROR(VALUE(MID($E945,2,20)),1000000000)+ROW()/100000,"")</f>
        <v/>
      </c>
    </row>
    <row r="946">
      <c r="G946" s="11" t="n"/>
      <c r="Q946" s="7">
        <f>IF($E946="","",P946*AB946/100)</f>
        <v/>
      </c>
      <c r="R946" s="7" t="n"/>
      <c r="X946" s="7" t="n"/>
      <c r="Y946" s="7">
        <f>IF($E946="","",AB946*AE946/100)</f>
        <v/>
      </c>
      <c r="Z946" s="7">
        <f>IF($E946="","",AB946-Y946)</f>
        <v/>
      </c>
      <c r="AA946" s="7">
        <f>IF($E946="","",Z946-Q946)</f>
        <v/>
      </c>
      <c r="AB946" s="7" t="n"/>
      <c r="AE946">
        <f>IF($E946="","",IF($AQ946=1,0,IF($AP946=1,Settings!$C$6,Settings!$C$7))*100)</f>
        <v/>
      </c>
      <c r="AI946" s="7" t="n"/>
      <c r="AL946" s="11" t="n"/>
      <c r="AN946">
        <f>IF($E946="","",IF(COUNTIF($E$2:$E946,$E946)=1,1,0))</f>
        <v/>
      </c>
      <c r="AO946">
        <f>IF($AN946=1,SUMPRODUCT(--($AR$2:$AR$3001&lt;$AR946))+1,"")</f>
        <v/>
      </c>
      <c r="AP946">
        <f>IF($E946="","",IF(OR($U946=TRUE(),$U946="TRUE"),1,0))</f>
        <v/>
      </c>
      <c r="AQ946">
        <f>IF($E946="","",IF($AD946="Yes",1,0))</f>
        <v/>
      </c>
      <c r="AR946">
        <f>IF($AN946=1,IFERROR(VALUE(MID($E946,2,20)),1000000000)+ROW()/100000,"")</f>
        <v/>
      </c>
    </row>
    <row r="947">
      <c r="G947" s="11" t="n"/>
      <c r="Q947" s="7">
        <f>IF($E947="","",P947*AB947/100)</f>
        <v/>
      </c>
      <c r="R947" s="7" t="n"/>
      <c r="X947" s="7" t="n"/>
      <c r="Y947" s="7">
        <f>IF($E947="","",AB947*AE947/100)</f>
        <v/>
      </c>
      <c r="Z947" s="7">
        <f>IF($E947="","",AB947-Y947)</f>
        <v/>
      </c>
      <c r="AA947" s="7">
        <f>IF($E947="","",Z947-Q947)</f>
        <v/>
      </c>
      <c r="AB947" s="7" t="n"/>
      <c r="AE947">
        <f>IF($E947="","",IF($AQ947=1,0,IF($AP947=1,Settings!$C$6,Settings!$C$7))*100)</f>
        <v/>
      </c>
      <c r="AI947" s="7" t="n"/>
      <c r="AL947" s="11" t="n"/>
      <c r="AN947">
        <f>IF($E947="","",IF(COUNTIF($E$2:$E947,$E947)=1,1,0))</f>
        <v/>
      </c>
      <c r="AO947">
        <f>IF($AN947=1,SUMPRODUCT(--($AR$2:$AR$3001&lt;$AR947))+1,"")</f>
        <v/>
      </c>
      <c r="AP947">
        <f>IF($E947="","",IF(OR($U947=TRUE(),$U947="TRUE"),1,0))</f>
        <v/>
      </c>
      <c r="AQ947">
        <f>IF($E947="","",IF($AD947="Yes",1,0))</f>
        <v/>
      </c>
      <c r="AR947">
        <f>IF($AN947=1,IFERROR(VALUE(MID($E947,2,20)),1000000000)+ROW()/100000,"")</f>
        <v/>
      </c>
    </row>
    <row r="948">
      <c r="G948" s="11" t="n"/>
      <c r="Q948" s="7">
        <f>IF($E948="","",P948*AB948/100)</f>
        <v/>
      </c>
      <c r="R948" s="7" t="n"/>
      <c r="X948" s="7" t="n"/>
      <c r="Y948" s="7">
        <f>IF($E948="","",AB948*AE948/100)</f>
        <v/>
      </c>
      <c r="Z948" s="7">
        <f>IF($E948="","",AB948-Y948)</f>
        <v/>
      </c>
      <c r="AA948" s="7">
        <f>IF($E948="","",Z948-Q948)</f>
        <v/>
      </c>
      <c r="AB948" s="7" t="n"/>
      <c r="AE948">
        <f>IF($E948="","",IF($AQ948=1,0,IF($AP948=1,Settings!$C$6,Settings!$C$7))*100)</f>
        <v/>
      </c>
      <c r="AI948" s="7" t="n"/>
      <c r="AL948" s="11" t="n"/>
      <c r="AN948">
        <f>IF($E948="","",IF(COUNTIF($E$2:$E948,$E948)=1,1,0))</f>
        <v/>
      </c>
      <c r="AO948">
        <f>IF($AN948=1,SUMPRODUCT(--($AR$2:$AR$3001&lt;$AR948))+1,"")</f>
        <v/>
      </c>
      <c r="AP948">
        <f>IF($E948="","",IF(OR($U948=TRUE(),$U948="TRUE"),1,0))</f>
        <v/>
      </c>
      <c r="AQ948">
        <f>IF($E948="","",IF($AD948="Yes",1,0))</f>
        <v/>
      </c>
      <c r="AR948">
        <f>IF($AN948=1,IFERROR(VALUE(MID($E948,2,20)),1000000000)+ROW()/100000,"")</f>
        <v/>
      </c>
    </row>
    <row r="949">
      <c r="G949" s="11" t="n"/>
      <c r="Q949" s="7">
        <f>IF($E949="","",P949*AB949/100)</f>
        <v/>
      </c>
      <c r="R949" s="7" t="n"/>
      <c r="X949" s="7" t="n"/>
      <c r="Y949" s="7">
        <f>IF($E949="","",AB949*AE949/100)</f>
        <v/>
      </c>
      <c r="Z949" s="7">
        <f>IF($E949="","",AB949-Y949)</f>
        <v/>
      </c>
      <c r="AA949" s="7">
        <f>IF($E949="","",Z949-Q949)</f>
        <v/>
      </c>
      <c r="AB949" s="7" t="n"/>
      <c r="AE949">
        <f>IF($E949="","",IF($AQ949=1,0,IF($AP949=1,Settings!$C$6,Settings!$C$7))*100)</f>
        <v/>
      </c>
      <c r="AI949" s="7" t="n"/>
      <c r="AL949" s="11" t="n"/>
      <c r="AN949">
        <f>IF($E949="","",IF(COUNTIF($E$2:$E949,$E949)=1,1,0))</f>
        <v/>
      </c>
      <c r="AO949">
        <f>IF($AN949=1,SUMPRODUCT(--($AR$2:$AR$3001&lt;$AR949))+1,"")</f>
        <v/>
      </c>
      <c r="AP949">
        <f>IF($E949="","",IF(OR($U949=TRUE(),$U949="TRUE"),1,0))</f>
        <v/>
      </c>
      <c r="AQ949">
        <f>IF($E949="","",IF($AD949="Yes",1,0))</f>
        <v/>
      </c>
      <c r="AR949">
        <f>IF($AN949=1,IFERROR(VALUE(MID($E949,2,20)),1000000000)+ROW()/100000,"")</f>
        <v/>
      </c>
    </row>
    <row r="950">
      <c r="G950" s="11" t="n"/>
      <c r="Q950" s="7">
        <f>IF($E950="","",P950*AB950/100)</f>
        <v/>
      </c>
      <c r="R950" s="7" t="n"/>
      <c r="X950" s="7" t="n"/>
      <c r="Y950" s="7">
        <f>IF($E950="","",AB950*AE950/100)</f>
        <v/>
      </c>
      <c r="Z950" s="7">
        <f>IF($E950="","",AB950-Y950)</f>
        <v/>
      </c>
      <c r="AA950" s="7">
        <f>IF($E950="","",Z950-Q950)</f>
        <v/>
      </c>
      <c r="AB950" s="7" t="n"/>
      <c r="AE950">
        <f>IF($E950="","",IF($AQ950=1,0,IF($AP950=1,Settings!$C$6,Settings!$C$7))*100)</f>
        <v/>
      </c>
      <c r="AI950" s="7" t="n"/>
      <c r="AL950" s="11" t="n"/>
      <c r="AN950">
        <f>IF($E950="","",IF(COUNTIF($E$2:$E950,$E950)=1,1,0))</f>
        <v/>
      </c>
      <c r="AO950">
        <f>IF($AN950=1,SUMPRODUCT(--($AR$2:$AR$3001&lt;$AR950))+1,"")</f>
        <v/>
      </c>
      <c r="AP950">
        <f>IF($E950="","",IF(OR($U950=TRUE(),$U950="TRUE"),1,0))</f>
        <v/>
      </c>
      <c r="AQ950">
        <f>IF($E950="","",IF($AD950="Yes",1,0))</f>
        <v/>
      </c>
      <c r="AR950">
        <f>IF($AN950=1,IFERROR(VALUE(MID($E950,2,20)),1000000000)+ROW()/100000,"")</f>
        <v/>
      </c>
    </row>
    <row r="951">
      <c r="G951" s="11" t="n"/>
      <c r="Q951" s="7">
        <f>IF($E951="","",P951*AB951/100)</f>
        <v/>
      </c>
      <c r="R951" s="7" t="n"/>
      <c r="X951" s="7" t="n"/>
      <c r="Y951" s="7">
        <f>IF($E951="","",AB951*AE951/100)</f>
        <v/>
      </c>
      <c r="Z951" s="7">
        <f>IF($E951="","",AB951-Y951)</f>
        <v/>
      </c>
      <c r="AA951" s="7">
        <f>IF($E951="","",Z951-Q951)</f>
        <v/>
      </c>
      <c r="AB951" s="7" t="n"/>
      <c r="AE951">
        <f>IF($E951="","",IF($AQ951=1,0,IF($AP951=1,Settings!$C$6,Settings!$C$7))*100)</f>
        <v/>
      </c>
      <c r="AI951" s="7" t="n"/>
      <c r="AL951" s="11" t="n"/>
      <c r="AN951">
        <f>IF($E951="","",IF(COUNTIF($E$2:$E951,$E951)=1,1,0))</f>
        <v/>
      </c>
      <c r="AO951">
        <f>IF($AN951=1,SUMPRODUCT(--($AR$2:$AR$3001&lt;$AR951))+1,"")</f>
        <v/>
      </c>
      <c r="AP951">
        <f>IF($E951="","",IF(OR($U951=TRUE(),$U951="TRUE"),1,0))</f>
        <v/>
      </c>
      <c r="AQ951">
        <f>IF($E951="","",IF($AD951="Yes",1,0))</f>
        <v/>
      </c>
      <c r="AR951">
        <f>IF($AN951=1,IFERROR(VALUE(MID($E951,2,20)),1000000000)+ROW()/100000,"")</f>
        <v/>
      </c>
    </row>
    <row r="952">
      <c r="G952" s="11" t="n"/>
      <c r="Q952" s="7">
        <f>IF($E952="","",P952*AB952/100)</f>
        <v/>
      </c>
      <c r="R952" s="7" t="n"/>
      <c r="X952" s="7" t="n"/>
      <c r="Y952" s="7">
        <f>IF($E952="","",AB952*AE952/100)</f>
        <v/>
      </c>
      <c r="Z952" s="7">
        <f>IF($E952="","",AB952-Y952)</f>
        <v/>
      </c>
      <c r="AA952" s="7">
        <f>IF($E952="","",Z952-Q952)</f>
        <v/>
      </c>
      <c r="AB952" s="7" t="n"/>
      <c r="AE952">
        <f>IF($E952="","",IF($AQ952=1,0,IF($AP952=1,Settings!$C$6,Settings!$C$7))*100)</f>
        <v/>
      </c>
      <c r="AI952" s="7" t="n"/>
      <c r="AL952" s="11" t="n"/>
      <c r="AN952">
        <f>IF($E952="","",IF(COUNTIF($E$2:$E952,$E952)=1,1,0))</f>
        <v/>
      </c>
      <c r="AO952">
        <f>IF($AN952=1,SUMPRODUCT(--($AR$2:$AR$3001&lt;$AR952))+1,"")</f>
        <v/>
      </c>
      <c r="AP952">
        <f>IF($E952="","",IF(OR($U952=TRUE(),$U952="TRUE"),1,0))</f>
        <v/>
      </c>
      <c r="AQ952">
        <f>IF($E952="","",IF($AD952="Yes",1,0))</f>
        <v/>
      </c>
      <c r="AR952">
        <f>IF($AN952=1,IFERROR(VALUE(MID($E952,2,20)),1000000000)+ROW()/100000,"")</f>
        <v/>
      </c>
    </row>
    <row r="953">
      <c r="G953" s="11" t="n"/>
      <c r="Q953" s="7">
        <f>IF($E953="","",P953*AB953/100)</f>
        <v/>
      </c>
      <c r="R953" s="7" t="n"/>
      <c r="X953" s="7" t="n"/>
      <c r="Y953" s="7">
        <f>IF($E953="","",AB953*AE953/100)</f>
        <v/>
      </c>
      <c r="Z953" s="7">
        <f>IF($E953="","",AB953-Y953)</f>
        <v/>
      </c>
      <c r="AA953" s="7">
        <f>IF($E953="","",Z953-Q953)</f>
        <v/>
      </c>
      <c r="AB953" s="7" t="n"/>
      <c r="AE953">
        <f>IF($E953="","",IF($AQ953=1,0,IF($AP953=1,Settings!$C$6,Settings!$C$7))*100)</f>
        <v/>
      </c>
      <c r="AI953" s="7" t="n"/>
      <c r="AL953" s="11" t="n"/>
      <c r="AN953">
        <f>IF($E953="","",IF(COUNTIF($E$2:$E953,$E953)=1,1,0))</f>
        <v/>
      </c>
      <c r="AO953">
        <f>IF($AN953=1,SUMPRODUCT(--($AR$2:$AR$3001&lt;$AR953))+1,"")</f>
        <v/>
      </c>
      <c r="AP953">
        <f>IF($E953="","",IF(OR($U953=TRUE(),$U953="TRUE"),1,0))</f>
        <v/>
      </c>
      <c r="AQ953">
        <f>IF($E953="","",IF($AD953="Yes",1,0))</f>
        <v/>
      </c>
      <c r="AR953">
        <f>IF($AN953=1,IFERROR(VALUE(MID($E953,2,20)),1000000000)+ROW()/100000,"")</f>
        <v/>
      </c>
    </row>
    <row r="954">
      <c r="G954" s="11" t="n"/>
      <c r="Q954" s="7">
        <f>IF($E954="","",P954*AB954/100)</f>
        <v/>
      </c>
      <c r="R954" s="7" t="n"/>
      <c r="X954" s="7" t="n"/>
      <c r="Y954" s="7">
        <f>IF($E954="","",AB954*AE954/100)</f>
        <v/>
      </c>
      <c r="Z954" s="7">
        <f>IF($E954="","",AB954-Y954)</f>
        <v/>
      </c>
      <c r="AA954" s="7">
        <f>IF($E954="","",Z954-Q954)</f>
        <v/>
      </c>
      <c r="AB954" s="7" t="n"/>
      <c r="AE954">
        <f>IF($E954="","",IF($AQ954=1,0,IF($AP954=1,Settings!$C$6,Settings!$C$7))*100)</f>
        <v/>
      </c>
      <c r="AI954" s="7" t="n"/>
      <c r="AL954" s="11" t="n"/>
      <c r="AN954">
        <f>IF($E954="","",IF(COUNTIF($E$2:$E954,$E954)=1,1,0))</f>
        <v/>
      </c>
      <c r="AO954">
        <f>IF($AN954=1,SUMPRODUCT(--($AR$2:$AR$3001&lt;$AR954))+1,"")</f>
        <v/>
      </c>
      <c r="AP954">
        <f>IF($E954="","",IF(OR($U954=TRUE(),$U954="TRUE"),1,0))</f>
        <v/>
      </c>
      <c r="AQ954">
        <f>IF($E954="","",IF($AD954="Yes",1,0))</f>
        <v/>
      </c>
      <c r="AR954">
        <f>IF($AN954=1,IFERROR(VALUE(MID($E954,2,20)),1000000000)+ROW()/100000,"")</f>
        <v/>
      </c>
    </row>
    <row r="955">
      <c r="G955" s="11" t="n"/>
      <c r="Q955" s="7">
        <f>IF($E955="","",P955*AB955/100)</f>
        <v/>
      </c>
      <c r="R955" s="7" t="n"/>
      <c r="X955" s="7" t="n"/>
      <c r="Y955" s="7">
        <f>IF($E955="","",AB955*AE955/100)</f>
        <v/>
      </c>
      <c r="Z955" s="7">
        <f>IF($E955="","",AB955-Y955)</f>
        <v/>
      </c>
      <c r="AA955" s="7">
        <f>IF($E955="","",Z955-Q955)</f>
        <v/>
      </c>
      <c r="AB955" s="7" t="n"/>
      <c r="AE955">
        <f>IF($E955="","",IF($AQ955=1,0,IF($AP955=1,Settings!$C$6,Settings!$C$7))*100)</f>
        <v/>
      </c>
      <c r="AI955" s="7" t="n"/>
      <c r="AL955" s="11" t="n"/>
      <c r="AN955">
        <f>IF($E955="","",IF(COUNTIF($E$2:$E955,$E955)=1,1,0))</f>
        <v/>
      </c>
      <c r="AO955">
        <f>IF($AN955=1,SUMPRODUCT(--($AR$2:$AR$3001&lt;$AR955))+1,"")</f>
        <v/>
      </c>
      <c r="AP955">
        <f>IF($E955="","",IF(OR($U955=TRUE(),$U955="TRUE"),1,0))</f>
        <v/>
      </c>
      <c r="AQ955">
        <f>IF($E955="","",IF($AD955="Yes",1,0))</f>
        <v/>
      </c>
      <c r="AR955">
        <f>IF($AN955=1,IFERROR(VALUE(MID($E955,2,20)),1000000000)+ROW()/100000,"")</f>
        <v/>
      </c>
    </row>
    <row r="956">
      <c r="G956" s="11" t="n"/>
      <c r="Q956" s="7">
        <f>IF($E956="","",P956*AB956/100)</f>
        <v/>
      </c>
      <c r="R956" s="7" t="n"/>
      <c r="X956" s="7" t="n"/>
      <c r="Y956" s="7">
        <f>IF($E956="","",AB956*AE956/100)</f>
        <v/>
      </c>
      <c r="Z956" s="7">
        <f>IF($E956="","",AB956-Y956)</f>
        <v/>
      </c>
      <c r="AA956" s="7">
        <f>IF($E956="","",Z956-Q956)</f>
        <v/>
      </c>
      <c r="AB956" s="7" t="n"/>
      <c r="AE956">
        <f>IF($E956="","",IF($AQ956=1,0,IF($AP956=1,Settings!$C$6,Settings!$C$7))*100)</f>
        <v/>
      </c>
      <c r="AI956" s="7" t="n"/>
      <c r="AL956" s="11" t="n"/>
      <c r="AN956">
        <f>IF($E956="","",IF(COUNTIF($E$2:$E956,$E956)=1,1,0))</f>
        <v/>
      </c>
      <c r="AO956">
        <f>IF($AN956=1,SUMPRODUCT(--($AR$2:$AR$3001&lt;$AR956))+1,"")</f>
        <v/>
      </c>
      <c r="AP956">
        <f>IF($E956="","",IF(OR($U956=TRUE(),$U956="TRUE"),1,0))</f>
        <v/>
      </c>
      <c r="AQ956">
        <f>IF($E956="","",IF($AD956="Yes",1,0))</f>
        <v/>
      </c>
      <c r="AR956">
        <f>IF($AN956=1,IFERROR(VALUE(MID($E956,2,20)),1000000000)+ROW()/100000,"")</f>
        <v/>
      </c>
    </row>
    <row r="957">
      <c r="G957" s="11" t="n"/>
      <c r="Q957" s="7">
        <f>IF($E957="","",P957*AB957/100)</f>
        <v/>
      </c>
      <c r="R957" s="7" t="n"/>
      <c r="X957" s="7" t="n"/>
      <c r="Y957" s="7">
        <f>IF($E957="","",AB957*AE957/100)</f>
        <v/>
      </c>
      <c r="Z957" s="7">
        <f>IF($E957="","",AB957-Y957)</f>
        <v/>
      </c>
      <c r="AA957" s="7">
        <f>IF($E957="","",Z957-Q957)</f>
        <v/>
      </c>
      <c r="AB957" s="7" t="n"/>
      <c r="AE957">
        <f>IF($E957="","",IF($AQ957=1,0,IF($AP957=1,Settings!$C$6,Settings!$C$7))*100)</f>
        <v/>
      </c>
      <c r="AI957" s="7" t="n"/>
      <c r="AL957" s="11" t="n"/>
      <c r="AN957">
        <f>IF($E957="","",IF(COUNTIF($E$2:$E957,$E957)=1,1,0))</f>
        <v/>
      </c>
      <c r="AO957">
        <f>IF($AN957=1,SUMPRODUCT(--($AR$2:$AR$3001&lt;$AR957))+1,"")</f>
        <v/>
      </c>
      <c r="AP957">
        <f>IF($E957="","",IF(OR($U957=TRUE(),$U957="TRUE"),1,0))</f>
        <v/>
      </c>
      <c r="AQ957">
        <f>IF($E957="","",IF($AD957="Yes",1,0))</f>
        <v/>
      </c>
      <c r="AR957">
        <f>IF($AN957=1,IFERROR(VALUE(MID($E957,2,20)),1000000000)+ROW()/100000,"")</f>
        <v/>
      </c>
    </row>
    <row r="958">
      <c r="G958" s="11" t="n"/>
      <c r="Q958" s="7">
        <f>IF($E958="","",P958*AB958/100)</f>
        <v/>
      </c>
      <c r="R958" s="7" t="n"/>
      <c r="X958" s="7" t="n"/>
      <c r="Y958" s="7">
        <f>IF($E958="","",AB958*AE958/100)</f>
        <v/>
      </c>
      <c r="Z958" s="7">
        <f>IF($E958="","",AB958-Y958)</f>
        <v/>
      </c>
      <c r="AA958" s="7">
        <f>IF($E958="","",Z958-Q958)</f>
        <v/>
      </c>
      <c r="AB958" s="7" t="n"/>
      <c r="AE958">
        <f>IF($E958="","",IF($AQ958=1,0,IF($AP958=1,Settings!$C$6,Settings!$C$7))*100)</f>
        <v/>
      </c>
      <c r="AI958" s="7" t="n"/>
      <c r="AL958" s="11" t="n"/>
      <c r="AN958">
        <f>IF($E958="","",IF(COUNTIF($E$2:$E958,$E958)=1,1,0))</f>
        <v/>
      </c>
      <c r="AO958">
        <f>IF($AN958=1,SUMPRODUCT(--($AR$2:$AR$3001&lt;$AR958))+1,"")</f>
        <v/>
      </c>
      <c r="AP958">
        <f>IF($E958="","",IF(OR($U958=TRUE(),$U958="TRUE"),1,0))</f>
        <v/>
      </c>
      <c r="AQ958">
        <f>IF($E958="","",IF($AD958="Yes",1,0))</f>
        <v/>
      </c>
      <c r="AR958">
        <f>IF($AN958=1,IFERROR(VALUE(MID($E958,2,20)),1000000000)+ROW()/100000,"")</f>
        <v/>
      </c>
    </row>
    <row r="959">
      <c r="G959" s="11" t="n"/>
      <c r="Q959" s="7">
        <f>IF($E959="","",P959*AB959/100)</f>
        <v/>
      </c>
      <c r="R959" s="7" t="n"/>
      <c r="X959" s="7" t="n"/>
      <c r="Y959" s="7">
        <f>IF($E959="","",AB959*AE959/100)</f>
        <v/>
      </c>
      <c r="Z959" s="7">
        <f>IF($E959="","",AB959-Y959)</f>
        <v/>
      </c>
      <c r="AA959" s="7">
        <f>IF($E959="","",Z959-Q959)</f>
        <v/>
      </c>
      <c r="AB959" s="7" t="n"/>
      <c r="AE959">
        <f>IF($E959="","",IF($AQ959=1,0,IF($AP959=1,Settings!$C$6,Settings!$C$7))*100)</f>
        <v/>
      </c>
      <c r="AI959" s="7" t="n"/>
      <c r="AL959" s="11" t="n"/>
      <c r="AN959">
        <f>IF($E959="","",IF(COUNTIF($E$2:$E959,$E959)=1,1,0))</f>
        <v/>
      </c>
      <c r="AO959">
        <f>IF($AN959=1,SUMPRODUCT(--($AR$2:$AR$3001&lt;$AR959))+1,"")</f>
        <v/>
      </c>
      <c r="AP959">
        <f>IF($E959="","",IF(OR($U959=TRUE(),$U959="TRUE"),1,0))</f>
        <v/>
      </c>
      <c r="AQ959">
        <f>IF($E959="","",IF($AD959="Yes",1,0))</f>
        <v/>
      </c>
      <c r="AR959">
        <f>IF($AN959=1,IFERROR(VALUE(MID($E959,2,20)),1000000000)+ROW()/100000,"")</f>
        <v/>
      </c>
    </row>
    <row r="960">
      <c r="G960" s="11" t="n"/>
      <c r="Q960" s="7">
        <f>IF($E960="","",P960*AB960/100)</f>
        <v/>
      </c>
      <c r="R960" s="7" t="n"/>
      <c r="X960" s="7" t="n"/>
      <c r="Y960" s="7">
        <f>IF($E960="","",AB960*AE960/100)</f>
        <v/>
      </c>
      <c r="Z960" s="7">
        <f>IF($E960="","",AB960-Y960)</f>
        <v/>
      </c>
      <c r="AA960" s="7">
        <f>IF($E960="","",Z960-Q960)</f>
        <v/>
      </c>
      <c r="AB960" s="7" t="n"/>
      <c r="AE960">
        <f>IF($E960="","",IF($AQ960=1,0,IF($AP960=1,Settings!$C$6,Settings!$C$7))*100)</f>
        <v/>
      </c>
      <c r="AI960" s="7" t="n"/>
      <c r="AL960" s="11" t="n"/>
      <c r="AN960">
        <f>IF($E960="","",IF(COUNTIF($E$2:$E960,$E960)=1,1,0))</f>
        <v/>
      </c>
      <c r="AO960">
        <f>IF($AN960=1,SUMPRODUCT(--($AR$2:$AR$3001&lt;$AR960))+1,"")</f>
        <v/>
      </c>
      <c r="AP960">
        <f>IF($E960="","",IF(OR($U960=TRUE(),$U960="TRUE"),1,0))</f>
        <v/>
      </c>
      <c r="AQ960">
        <f>IF($E960="","",IF($AD960="Yes",1,0))</f>
        <v/>
      </c>
      <c r="AR960">
        <f>IF($AN960=1,IFERROR(VALUE(MID($E960,2,20)),1000000000)+ROW()/100000,"")</f>
        <v/>
      </c>
    </row>
    <row r="961">
      <c r="G961" s="11" t="n"/>
      <c r="Q961" s="7">
        <f>IF($E961="","",P961*AB961/100)</f>
        <v/>
      </c>
      <c r="R961" s="7" t="n"/>
      <c r="X961" s="7" t="n"/>
      <c r="Y961" s="7">
        <f>IF($E961="","",AB961*AE961/100)</f>
        <v/>
      </c>
      <c r="Z961" s="7">
        <f>IF($E961="","",AB961-Y961)</f>
        <v/>
      </c>
      <c r="AA961" s="7">
        <f>IF($E961="","",Z961-Q961)</f>
        <v/>
      </c>
      <c r="AB961" s="7" t="n"/>
      <c r="AE961">
        <f>IF($E961="","",IF($AQ961=1,0,IF($AP961=1,Settings!$C$6,Settings!$C$7))*100)</f>
        <v/>
      </c>
      <c r="AI961" s="7" t="n"/>
      <c r="AL961" s="11" t="n"/>
      <c r="AN961">
        <f>IF($E961="","",IF(COUNTIF($E$2:$E961,$E961)=1,1,0))</f>
        <v/>
      </c>
      <c r="AO961">
        <f>IF($AN961=1,SUMPRODUCT(--($AR$2:$AR$3001&lt;$AR961))+1,"")</f>
        <v/>
      </c>
      <c r="AP961">
        <f>IF($E961="","",IF(OR($U961=TRUE(),$U961="TRUE"),1,0))</f>
        <v/>
      </c>
      <c r="AQ961">
        <f>IF($E961="","",IF($AD961="Yes",1,0))</f>
        <v/>
      </c>
      <c r="AR961">
        <f>IF($AN961=1,IFERROR(VALUE(MID($E961,2,20)),1000000000)+ROW()/100000,"")</f>
        <v/>
      </c>
    </row>
    <row r="962">
      <c r="G962" s="11" t="n"/>
      <c r="Q962" s="7">
        <f>IF($E962="","",P962*AB962/100)</f>
        <v/>
      </c>
      <c r="R962" s="7" t="n"/>
      <c r="X962" s="7" t="n"/>
      <c r="Y962" s="7">
        <f>IF($E962="","",AB962*AE962/100)</f>
        <v/>
      </c>
      <c r="Z962" s="7">
        <f>IF($E962="","",AB962-Y962)</f>
        <v/>
      </c>
      <c r="AA962" s="7">
        <f>IF($E962="","",Z962-Q962)</f>
        <v/>
      </c>
      <c r="AB962" s="7" t="n"/>
      <c r="AE962">
        <f>IF($E962="","",IF($AQ962=1,0,IF($AP962=1,Settings!$C$6,Settings!$C$7))*100)</f>
        <v/>
      </c>
      <c r="AI962" s="7" t="n"/>
      <c r="AL962" s="11" t="n"/>
      <c r="AN962">
        <f>IF($E962="","",IF(COUNTIF($E$2:$E962,$E962)=1,1,0))</f>
        <v/>
      </c>
      <c r="AO962">
        <f>IF($AN962=1,SUMPRODUCT(--($AR$2:$AR$3001&lt;$AR962))+1,"")</f>
        <v/>
      </c>
      <c r="AP962">
        <f>IF($E962="","",IF(OR($U962=TRUE(),$U962="TRUE"),1,0))</f>
        <v/>
      </c>
      <c r="AQ962">
        <f>IF($E962="","",IF($AD962="Yes",1,0))</f>
        <v/>
      </c>
      <c r="AR962">
        <f>IF($AN962=1,IFERROR(VALUE(MID($E962,2,20)),1000000000)+ROW()/100000,"")</f>
        <v/>
      </c>
    </row>
    <row r="963">
      <c r="G963" s="11" t="n"/>
      <c r="Q963" s="7">
        <f>IF($E963="","",P963*AB963/100)</f>
        <v/>
      </c>
      <c r="R963" s="7" t="n"/>
      <c r="X963" s="7" t="n"/>
      <c r="Y963" s="7">
        <f>IF($E963="","",AB963*AE963/100)</f>
        <v/>
      </c>
      <c r="Z963" s="7">
        <f>IF($E963="","",AB963-Y963)</f>
        <v/>
      </c>
      <c r="AA963" s="7">
        <f>IF($E963="","",Z963-Q963)</f>
        <v/>
      </c>
      <c r="AB963" s="7" t="n"/>
      <c r="AE963">
        <f>IF($E963="","",IF($AQ963=1,0,IF($AP963=1,Settings!$C$6,Settings!$C$7))*100)</f>
        <v/>
      </c>
      <c r="AI963" s="7" t="n"/>
      <c r="AL963" s="11" t="n"/>
      <c r="AN963">
        <f>IF($E963="","",IF(COUNTIF($E$2:$E963,$E963)=1,1,0))</f>
        <v/>
      </c>
      <c r="AO963">
        <f>IF($AN963=1,SUMPRODUCT(--($AR$2:$AR$3001&lt;$AR963))+1,"")</f>
        <v/>
      </c>
      <c r="AP963">
        <f>IF($E963="","",IF(OR($U963=TRUE(),$U963="TRUE"),1,0))</f>
        <v/>
      </c>
      <c r="AQ963">
        <f>IF($E963="","",IF($AD963="Yes",1,0))</f>
        <v/>
      </c>
      <c r="AR963">
        <f>IF($AN963=1,IFERROR(VALUE(MID($E963,2,20)),1000000000)+ROW()/100000,"")</f>
        <v/>
      </c>
    </row>
    <row r="964">
      <c r="G964" s="11" t="n"/>
      <c r="Q964" s="7">
        <f>IF($E964="","",P964*AB964/100)</f>
        <v/>
      </c>
      <c r="R964" s="7" t="n"/>
      <c r="X964" s="7" t="n"/>
      <c r="Y964" s="7">
        <f>IF($E964="","",AB964*AE964/100)</f>
        <v/>
      </c>
      <c r="Z964" s="7">
        <f>IF($E964="","",AB964-Y964)</f>
        <v/>
      </c>
      <c r="AA964" s="7">
        <f>IF($E964="","",Z964-Q964)</f>
        <v/>
      </c>
      <c r="AB964" s="7" t="n"/>
      <c r="AE964">
        <f>IF($E964="","",IF($AQ964=1,0,IF($AP964=1,Settings!$C$6,Settings!$C$7))*100)</f>
        <v/>
      </c>
      <c r="AI964" s="7" t="n"/>
      <c r="AL964" s="11" t="n"/>
      <c r="AN964">
        <f>IF($E964="","",IF(COUNTIF($E$2:$E964,$E964)=1,1,0))</f>
        <v/>
      </c>
      <c r="AO964">
        <f>IF($AN964=1,SUMPRODUCT(--($AR$2:$AR$3001&lt;$AR964))+1,"")</f>
        <v/>
      </c>
      <c r="AP964">
        <f>IF($E964="","",IF(OR($U964=TRUE(),$U964="TRUE"),1,0))</f>
        <v/>
      </c>
      <c r="AQ964">
        <f>IF($E964="","",IF($AD964="Yes",1,0))</f>
        <v/>
      </c>
      <c r="AR964">
        <f>IF($AN964=1,IFERROR(VALUE(MID($E964,2,20)),1000000000)+ROW()/100000,"")</f>
        <v/>
      </c>
    </row>
    <row r="965">
      <c r="G965" s="11" t="n"/>
      <c r="Q965" s="7">
        <f>IF($E965="","",P965*AB965/100)</f>
        <v/>
      </c>
      <c r="R965" s="7" t="n"/>
      <c r="X965" s="7" t="n"/>
      <c r="Y965" s="7">
        <f>IF($E965="","",AB965*AE965/100)</f>
        <v/>
      </c>
      <c r="Z965" s="7">
        <f>IF($E965="","",AB965-Y965)</f>
        <v/>
      </c>
      <c r="AA965" s="7">
        <f>IF($E965="","",Z965-Q965)</f>
        <v/>
      </c>
      <c r="AB965" s="7" t="n"/>
      <c r="AE965">
        <f>IF($E965="","",IF($AQ965=1,0,IF($AP965=1,Settings!$C$6,Settings!$C$7))*100)</f>
        <v/>
      </c>
      <c r="AI965" s="7" t="n"/>
      <c r="AL965" s="11" t="n"/>
      <c r="AN965">
        <f>IF($E965="","",IF(COUNTIF($E$2:$E965,$E965)=1,1,0))</f>
        <v/>
      </c>
      <c r="AO965">
        <f>IF($AN965=1,SUMPRODUCT(--($AR$2:$AR$3001&lt;$AR965))+1,"")</f>
        <v/>
      </c>
      <c r="AP965">
        <f>IF($E965="","",IF(OR($U965=TRUE(),$U965="TRUE"),1,0))</f>
        <v/>
      </c>
      <c r="AQ965">
        <f>IF($E965="","",IF($AD965="Yes",1,0))</f>
        <v/>
      </c>
      <c r="AR965">
        <f>IF($AN965=1,IFERROR(VALUE(MID($E965,2,20)),1000000000)+ROW()/100000,"")</f>
        <v/>
      </c>
    </row>
    <row r="966">
      <c r="G966" s="11" t="n"/>
      <c r="Q966" s="7">
        <f>IF($E966="","",P966*AB966/100)</f>
        <v/>
      </c>
      <c r="R966" s="7" t="n"/>
      <c r="X966" s="7" t="n"/>
      <c r="Y966" s="7">
        <f>IF($E966="","",AB966*AE966/100)</f>
        <v/>
      </c>
      <c r="Z966" s="7">
        <f>IF($E966="","",AB966-Y966)</f>
        <v/>
      </c>
      <c r="AA966" s="7">
        <f>IF($E966="","",Z966-Q966)</f>
        <v/>
      </c>
      <c r="AB966" s="7" t="n"/>
      <c r="AE966">
        <f>IF($E966="","",IF($AQ966=1,0,IF($AP966=1,Settings!$C$6,Settings!$C$7))*100)</f>
        <v/>
      </c>
      <c r="AI966" s="7" t="n"/>
      <c r="AL966" s="11" t="n"/>
      <c r="AN966">
        <f>IF($E966="","",IF(COUNTIF($E$2:$E966,$E966)=1,1,0))</f>
        <v/>
      </c>
      <c r="AO966">
        <f>IF($AN966=1,SUMPRODUCT(--($AR$2:$AR$3001&lt;$AR966))+1,"")</f>
        <v/>
      </c>
      <c r="AP966">
        <f>IF($E966="","",IF(OR($U966=TRUE(),$U966="TRUE"),1,0))</f>
        <v/>
      </c>
      <c r="AQ966">
        <f>IF($E966="","",IF($AD966="Yes",1,0))</f>
        <v/>
      </c>
      <c r="AR966">
        <f>IF($AN966=1,IFERROR(VALUE(MID($E966,2,20)),1000000000)+ROW()/100000,"")</f>
        <v/>
      </c>
    </row>
    <row r="967">
      <c r="G967" s="11" t="n"/>
      <c r="Q967" s="7">
        <f>IF($E967="","",P967*AB967/100)</f>
        <v/>
      </c>
      <c r="R967" s="7" t="n"/>
      <c r="X967" s="7" t="n"/>
      <c r="Y967" s="7">
        <f>IF($E967="","",AB967*AE967/100)</f>
        <v/>
      </c>
      <c r="Z967" s="7">
        <f>IF($E967="","",AB967-Y967)</f>
        <v/>
      </c>
      <c r="AA967" s="7">
        <f>IF($E967="","",Z967-Q967)</f>
        <v/>
      </c>
      <c r="AB967" s="7" t="n"/>
      <c r="AE967">
        <f>IF($E967="","",IF($AQ967=1,0,IF($AP967=1,Settings!$C$6,Settings!$C$7))*100)</f>
        <v/>
      </c>
      <c r="AI967" s="7" t="n"/>
      <c r="AL967" s="11" t="n"/>
      <c r="AN967">
        <f>IF($E967="","",IF(COUNTIF($E$2:$E967,$E967)=1,1,0))</f>
        <v/>
      </c>
      <c r="AO967">
        <f>IF($AN967=1,SUMPRODUCT(--($AR$2:$AR$3001&lt;$AR967))+1,"")</f>
        <v/>
      </c>
      <c r="AP967">
        <f>IF($E967="","",IF(OR($U967=TRUE(),$U967="TRUE"),1,0))</f>
        <v/>
      </c>
      <c r="AQ967">
        <f>IF($E967="","",IF($AD967="Yes",1,0))</f>
        <v/>
      </c>
      <c r="AR967">
        <f>IF($AN967=1,IFERROR(VALUE(MID($E967,2,20)),1000000000)+ROW()/100000,"")</f>
        <v/>
      </c>
    </row>
    <row r="968">
      <c r="G968" s="11" t="n"/>
      <c r="Q968" s="7">
        <f>IF($E968="","",P968*AB968/100)</f>
        <v/>
      </c>
      <c r="R968" s="7" t="n"/>
      <c r="X968" s="7" t="n"/>
      <c r="Y968" s="7">
        <f>IF($E968="","",AB968*AE968/100)</f>
        <v/>
      </c>
      <c r="Z968" s="7">
        <f>IF($E968="","",AB968-Y968)</f>
        <v/>
      </c>
      <c r="AA968" s="7">
        <f>IF($E968="","",Z968-Q968)</f>
        <v/>
      </c>
      <c r="AB968" s="7" t="n"/>
      <c r="AE968">
        <f>IF($E968="","",IF($AQ968=1,0,IF($AP968=1,Settings!$C$6,Settings!$C$7))*100)</f>
        <v/>
      </c>
      <c r="AI968" s="7" t="n"/>
      <c r="AL968" s="11" t="n"/>
      <c r="AN968">
        <f>IF($E968="","",IF(COUNTIF($E$2:$E968,$E968)=1,1,0))</f>
        <v/>
      </c>
      <c r="AO968">
        <f>IF($AN968=1,SUMPRODUCT(--($AR$2:$AR$3001&lt;$AR968))+1,"")</f>
        <v/>
      </c>
      <c r="AP968">
        <f>IF($E968="","",IF(OR($U968=TRUE(),$U968="TRUE"),1,0))</f>
        <v/>
      </c>
      <c r="AQ968">
        <f>IF($E968="","",IF($AD968="Yes",1,0))</f>
        <v/>
      </c>
      <c r="AR968">
        <f>IF($AN968=1,IFERROR(VALUE(MID($E968,2,20)),1000000000)+ROW()/100000,"")</f>
        <v/>
      </c>
    </row>
    <row r="969">
      <c r="G969" s="11" t="n"/>
      <c r="Q969" s="7">
        <f>IF($E969="","",P969*AB969/100)</f>
        <v/>
      </c>
      <c r="R969" s="7" t="n"/>
      <c r="X969" s="7" t="n"/>
      <c r="Y969" s="7">
        <f>IF($E969="","",AB969*AE969/100)</f>
        <v/>
      </c>
      <c r="Z969" s="7">
        <f>IF($E969="","",AB969-Y969)</f>
        <v/>
      </c>
      <c r="AA969" s="7">
        <f>IF($E969="","",Z969-Q969)</f>
        <v/>
      </c>
      <c r="AB969" s="7" t="n"/>
      <c r="AE969">
        <f>IF($E969="","",IF($AQ969=1,0,IF($AP969=1,Settings!$C$6,Settings!$C$7))*100)</f>
        <v/>
      </c>
      <c r="AI969" s="7" t="n"/>
      <c r="AL969" s="11" t="n"/>
      <c r="AN969">
        <f>IF($E969="","",IF(COUNTIF($E$2:$E969,$E969)=1,1,0))</f>
        <v/>
      </c>
      <c r="AO969">
        <f>IF($AN969=1,SUMPRODUCT(--($AR$2:$AR$3001&lt;$AR969))+1,"")</f>
        <v/>
      </c>
      <c r="AP969">
        <f>IF($E969="","",IF(OR($U969=TRUE(),$U969="TRUE"),1,0))</f>
        <v/>
      </c>
      <c r="AQ969">
        <f>IF($E969="","",IF($AD969="Yes",1,0))</f>
        <v/>
      </c>
      <c r="AR969">
        <f>IF($AN969=1,IFERROR(VALUE(MID($E969,2,20)),1000000000)+ROW()/100000,"")</f>
        <v/>
      </c>
    </row>
    <row r="970">
      <c r="G970" s="11" t="n"/>
      <c r="Q970" s="7">
        <f>IF($E970="","",P970*AB970/100)</f>
        <v/>
      </c>
      <c r="R970" s="7" t="n"/>
      <c r="X970" s="7" t="n"/>
      <c r="Y970" s="7">
        <f>IF($E970="","",AB970*AE970/100)</f>
        <v/>
      </c>
      <c r="Z970" s="7">
        <f>IF($E970="","",AB970-Y970)</f>
        <v/>
      </c>
      <c r="AA970" s="7">
        <f>IF($E970="","",Z970-Q970)</f>
        <v/>
      </c>
      <c r="AB970" s="7" t="n"/>
      <c r="AE970">
        <f>IF($E970="","",IF($AQ970=1,0,IF($AP970=1,Settings!$C$6,Settings!$C$7))*100)</f>
        <v/>
      </c>
      <c r="AI970" s="7" t="n"/>
      <c r="AL970" s="11" t="n"/>
      <c r="AN970">
        <f>IF($E970="","",IF(COUNTIF($E$2:$E970,$E970)=1,1,0))</f>
        <v/>
      </c>
      <c r="AO970">
        <f>IF($AN970=1,SUMPRODUCT(--($AR$2:$AR$3001&lt;$AR970))+1,"")</f>
        <v/>
      </c>
      <c r="AP970">
        <f>IF($E970="","",IF(OR($U970=TRUE(),$U970="TRUE"),1,0))</f>
        <v/>
      </c>
      <c r="AQ970">
        <f>IF($E970="","",IF($AD970="Yes",1,0))</f>
        <v/>
      </c>
      <c r="AR970">
        <f>IF($AN970=1,IFERROR(VALUE(MID($E970,2,20)),1000000000)+ROW()/100000,"")</f>
        <v/>
      </c>
    </row>
    <row r="971">
      <c r="G971" s="11" t="n"/>
      <c r="Q971" s="7">
        <f>IF($E971="","",P971*AB971/100)</f>
        <v/>
      </c>
      <c r="R971" s="7" t="n"/>
      <c r="X971" s="7" t="n"/>
      <c r="Y971" s="7">
        <f>IF($E971="","",AB971*AE971/100)</f>
        <v/>
      </c>
      <c r="Z971" s="7">
        <f>IF($E971="","",AB971-Y971)</f>
        <v/>
      </c>
      <c r="AA971" s="7">
        <f>IF($E971="","",Z971-Q971)</f>
        <v/>
      </c>
      <c r="AB971" s="7" t="n"/>
      <c r="AE971">
        <f>IF($E971="","",IF($AQ971=1,0,IF($AP971=1,Settings!$C$6,Settings!$C$7))*100)</f>
        <v/>
      </c>
      <c r="AI971" s="7" t="n"/>
      <c r="AL971" s="11" t="n"/>
      <c r="AN971">
        <f>IF($E971="","",IF(COUNTIF($E$2:$E971,$E971)=1,1,0))</f>
        <v/>
      </c>
      <c r="AO971">
        <f>IF($AN971=1,SUMPRODUCT(--($AR$2:$AR$3001&lt;$AR971))+1,"")</f>
        <v/>
      </c>
      <c r="AP971">
        <f>IF($E971="","",IF(OR($U971=TRUE(),$U971="TRUE"),1,0))</f>
        <v/>
      </c>
      <c r="AQ971">
        <f>IF($E971="","",IF($AD971="Yes",1,0))</f>
        <v/>
      </c>
      <c r="AR971">
        <f>IF($AN971=1,IFERROR(VALUE(MID($E971,2,20)),1000000000)+ROW()/100000,"")</f>
        <v/>
      </c>
    </row>
    <row r="972">
      <c r="G972" s="11" t="n"/>
      <c r="Q972" s="7">
        <f>IF($E972="","",P972*AB972/100)</f>
        <v/>
      </c>
      <c r="R972" s="7" t="n"/>
      <c r="X972" s="7" t="n"/>
      <c r="Y972" s="7">
        <f>IF($E972="","",AB972*AE972/100)</f>
        <v/>
      </c>
      <c r="Z972" s="7">
        <f>IF($E972="","",AB972-Y972)</f>
        <v/>
      </c>
      <c r="AA972" s="7">
        <f>IF($E972="","",Z972-Q972)</f>
        <v/>
      </c>
      <c r="AB972" s="7" t="n"/>
      <c r="AE972">
        <f>IF($E972="","",IF($AQ972=1,0,IF($AP972=1,Settings!$C$6,Settings!$C$7))*100)</f>
        <v/>
      </c>
      <c r="AI972" s="7" t="n"/>
      <c r="AL972" s="11" t="n"/>
      <c r="AN972">
        <f>IF($E972="","",IF(COUNTIF($E$2:$E972,$E972)=1,1,0))</f>
        <v/>
      </c>
      <c r="AO972">
        <f>IF($AN972=1,SUMPRODUCT(--($AR$2:$AR$3001&lt;$AR972))+1,"")</f>
        <v/>
      </c>
      <c r="AP972">
        <f>IF($E972="","",IF(OR($U972=TRUE(),$U972="TRUE"),1,0))</f>
        <v/>
      </c>
      <c r="AQ972">
        <f>IF($E972="","",IF($AD972="Yes",1,0))</f>
        <v/>
      </c>
      <c r="AR972">
        <f>IF($AN972=1,IFERROR(VALUE(MID($E972,2,20)),1000000000)+ROW()/100000,"")</f>
        <v/>
      </c>
    </row>
    <row r="973">
      <c r="G973" s="11" t="n"/>
      <c r="Q973" s="7">
        <f>IF($E973="","",P973*AB973/100)</f>
        <v/>
      </c>
      <c r="R973" s="7" t="n"/>
      <c r="X973" s="7" t="n"/>
      <c r="Y973" s="7">
        <f>IF($E973="","",AB973*AE973/100)</f>
        <v/>
      </c>
      <c r="Z973" s="7">
        <f>IF($E973="","",AB973-Y973)</f>
        <v/>
      </c>
      <c r="AA973" s="7">
        <f>IF($E973="","",Z973-Q973)</f>
        <v/>
      </c>
      <c r="AB973" s="7" t="n"/>
      <c r="AE973">
        <f>IF($E973="","",IF($AQ973=1,0,IF($AP973=1,Settings!$C$6,Settings!$C$7))*100)</f>
        <v/>
      </c>
      <c r="AI973" s="7" t="n"/>
      <c r="AL973" s="11" t="n"/>
      <c r="AN973">
        <f>IF($E973="","",IF(COUNTIF($E$2:$E973,$E973)=1,1,0))</f>
        <v/>
      </c>
      <c r="AO973">
        <f>IF($AN973=1,SUMPRODUCT(--($AR$2:$AR$3001&lt;$AR973))+1,"")</f>
        <v/>
      </c>
      <c r="AP973">
        <f>IF($E973="","",IF(OR($U973=TRUE(),$U973="TRUE"),1,0))</f>
        <v/>
      </c>
      <c r="AQ973">
        <f>IF($E973="","",IF($AD973="Yes",1,0))</f>
        <v/>
      </c>
      <c r="AR973">
        <f>IF($AN973=1,IFERROR(VALUE(MID($E973,2,20)),1000000000)+ROW()/100000,"")</f>
        <v/>
      </c>
    </row>
    <row r="974">
      <c r="G974" s="11" t="n"/>
      <c r="Q974" s="7">
        <f>IF($E974="","",P974*AB974/100)</f>
        <v/>
      </c>
      <c r="R974" s="7" t="n"/>
      <c r="X974" s="7" t="n"/>
      <c r="Y974" s="7">
        <f>IF($E974="","",AB974*AE974/100)</f>
        <v/>
      </c>
      <c r="Z974" s="7">
        <f>IF($E974="","",AB974-Y974)</f>
        <v/>
      </c>
      <c r="AA974" s="7">
        <f>IF($E974="","",Z974-Q974)</f>
        <v/>
      </c>
      <c r="AB974" s="7" t="n"/>
      <c r="AE974">
        <f>IF($E974="","",IF($AQ974=1,0,IF($AP974=1,Settings!$C$6,Settings!$C$7))*100)</f>
        <v/>
      </c>
      <c r="AI974" s="7" t="n"/>
      <c r="AL974" s="11" t="n"/>
      <c r="AN974">
        <f>IF($E974="","",IF(COUNTIF($E$2:$E974,$E974)=1,1,0))</f>
        <v/>
      </c>
      <c r="AO974">
        <f>IF($AN974=1,SUMPRODUCT(--($AR$2:$AR$3001&lt;$AR974))+1,"")</f>
        <v/>
      </c>
      <c r="AP974">
        <f>IF($E974="","",IF(OR($U974=TRUE(),$U974="TRUE"),1,0))</f>
        <v/>
      </c>
      <c r="AQ974">
        <f>IF($E974="","",IF($AD974="Yes",1,0))</f>
        <v/>
      </c>
      <c r="AR974">
        <f>IF($AN974=1,IFERROR(VALUE(MID($E974,2,20)),1000000000)+ROW()/100000,"")</f>
        <v/>
      </c>
    </row>
    <row r="975">
      <c r="G975" s="11" t="n"/>
      <c r="Q975" s="7">
        <f>IF($E975="","",P975*AB975/100)</f>
        <v/>
      </c>
      <c r="R975" s="7" t="n"/>
      <c r="X975" s="7" t="n"/>
      <c r="Y975" s="7">
        <f>IF($E975="","",AB975*AE975/100)</f>
        <v/>
      </c>
      <c r="Z975" s="7">
        <f>IF($E975="","",AB975-Y975)</f>
        <v/>
      </c>
      <c r="AA975" s="7">
        <f>IF($E975="","",Z975-Q975)</f>
        <v/>
      </c>
      <c r="AB975" s="7" t="n"/>
      <c r="AE975">
        <f>IF($E975="","",IF($AQ975=1,0,IF($AP975=1,Settings!$C$6,Settings!$C$7))*100)</f>
        <v/>
      </c>
      <c r="AI975" s="7" t="n"/>
      <c r="AL975" s="11" t="n"/>
      <c r="AN975">
        <f>IF($E975="","",IF(COUNTIF($E$2:$E975,$E975)=1,1,0))</f>
        <v/>
      </c>
      <c r="AO975">
        <f>IF($AN975=1,SUMPRODUCT(--($AR$2:$AR$3001&lt;$AR975))+1,"")</f>
        <v/>
      </c>
      <c r="AP975">
        <f>IF($E975="","",IF(OR($U975=TRUE(),$U975="TRUE"),1,0))</f>
        <v/>
      </c>
      <c r="AQ975">
        <f>IF($E975="","",IF($AD975="Yes",1,0))</f>
        <v/>
      </c>
      <c r="AR975">
        <f>IF($AN975=1,IFERROR(VALUE(MID($E975,2,20)),1000000000)+ROW()/100000,"")</f>
        <v/>
      </c>
    </row>
    <row r="976">
      <c r="G976" s="11" t="n"/>
      <c r="Q976" s="7">
        <f>IF($E976="","",P976*AB976/100)</f>
        <v/>
      </c>
      <c r="R976" s="7" t="n"/>
      <c r="X976" s="7" t="n"/>
      <c r="Y976" s="7">
        <f>IF($E976="","",AB976*AE976/100)</f>
        <v/>
      </c>
      <c r="Z976" s="7">
        <f>IF($E976="","",AB976-Y976)</f>
        <v/>
      </c>
      <c r="AA976" s="7">
        <f>IF($E976="","",Z976-Q976)</f>
        <v/>
      </c>
      <c r="AB976" s="7" t="n"/>
      <c r="AE976">
        <f>IF($E976="","",IF($AQ976=1,0,IF($AP976=1,Settings!$C$6,Settings!$C$7))*100)</f>
        <v/>
      </c>
      <c r="AI976" s="7" t="n"/>
      <c r="AL976" s="11" t="n"/>
      <c r="AN976">
        <f>IF($E976="","",IF(COUNTIF($E$2:$E976,$E976)=1,1,0))</f>
        <v/>
      </c>
      <c r="AO976">
        <f>IF($AN976=1,SUMPRODUCT(--($AR$2:$AR$3001&lt;$AR976))+1,"")</f>
        <v/>
      </c>
      <c r="AP976">
        <f>IF($E976="","",IF(OR($U976=TRUE(),$U976="TRUE"),1,0))</f>
        <v/>
      </c>
      <c r="AQ976">
        <f>IF($E976="","",IF($AD976="Yes",1,0))</f>
        <v/>
      </c>
      <c r="AR976">
        <f>IF($AN976=1,IFERROR(VALUE(MID($E976,2,20)),1000000000)+ROW()/100000,"")</f>
        <v/>
      </c>
    </row>
    <row r="977">
      <c r="G977" s="11" t="n"/>
      <c r="Q977" s="7">
        <f>IF($E977="","",P977*AB977/100)</f>
        <v/>
      </c>
      <c r="R977" s="7" t="n"/>
      <c r="X977" s="7" t="n"/>
      <c r="Y977" s="7">
        <f>IF($E977="","",AB977*AE977/100)</f>
        <v/>
      </c>
      <c r="Z977" s="7">
        <f>IF($E977="","",AB977-Y977)</f>
        <v/>
      </c>
      <c r="AA977" s="7">
        <f>IF($E977="","",Z977-Q977)</f>
        <v/>
      </c>
      <c r="AB977" s="7" t="n"/>
      <c r="AE977">
        <f>IF($E977="","",IF($AQ977=1,0,IF($AP977=1,Settings!$C$6,Settings!$C$7))*100)</f>
        <v/>
      </c>
      <c r="AI977" s="7" t="n"/>
      <c r="AL977" s="11" t="n"/>
      <c r="AN977">
        <f>IF($E977="","",IF(COUNTIF($E$2:$E977,$E977)=1,1,0))</f>
        <v/>
      </c>
      <c r="AO977">
        <f>IF($AN977=1,SUMPRODUCT(--($AR$2:$AR$3001&lt;$AR977))+1,"")</f>
        <v/>
      </c>
      <c r="AP977">
        <f>IF($E977="","",IF(OR($U977=TRUE(),$U977="TRUE"),1,0))</f>
        <v/>
      </c>
      <c r="AQ977">
        <f>IF($E977="","",IF($AD977="Yes",1,0))</f>
        <v/>
      </c>
      <c r="AR977">
        <f>IF($AN977=1,IFERROR(VALUE(MID($E977,2,20)),1000000000)+ROW()/100000,"")</f>
        <v/>
      </c>
    </row>
    <row r="978">
      <c r="G978" s="11" t="n"/>
      <c r="Q978" s="7">
        <f>IF($E978="","",P978*AB978/100)</f>
        <v/>
      </c>
      <c r="R978" s="7" t="n"/>
      <c r="X978" s="7" t="n"/>
      <c r="Y978" s="7">
        <f>IF($E978="","",AB978*AE978/100)</f>
        <v/>
      </c>
      <c r="Z978" s="7">
        <f>IF($E978="","",AB978-Y978)</f>
        <v/>
      </c>
      <c r="AA978" s="7">
        <f>IF($E978="","",Z978-Q978)</f>
        <v/>
      </c>
      <c r="AB978" s="7" t="n"/>
      <c r="AE978">
        <f>IF($E978="","",IF($AQ978=1,0,IF($AP978=1,Settings!$C$6,Settings!$C$7))*100)</f>
        <v/>
      </c>
      <c r="AI978" s="7" t="n"/>
      <c r="AL978" s="11" t="n"/>
      <c r="AN978">
        <f>IF($E978="","",IF(COUNTIF($E$2:$E978,$E978)=1,1,0))</f>
        <v/>
      </c>
      <c r="AO978">
        <f>IF($AN978=1,SUMPRODUCT(--($AR$2:$AR$3001&lt;$AR978))+1,"")</f>
        <v/>
      </c>
      <c r="AP978">
        <f>IF($E978="","",IF(OR($U978=TRUE(),$U978="TRUE"),1,0))</f>
        <v/>
      </c>
      <c r="AQ978">
        <f>IF($E978="","",IF($AD978="Yes",1,0))</f>
        <v/>
      </c>
      <c r="AR978">
        <f>IF($AN978=1,IFERROR(VALUE(MID($E978,2,20)),1000000000)+ROW()/100000,"")</f>
        <v/>
      </c>
    </row>
    <row r="979">
      <c r="G979" s="11" t="n"/>
      <c r="Q979" s="7">
        <f>IF($E979="","",P979*AB979/100)</f>
        <v/>
      </c>
      <c r="R979" s="7" t="n"/>
      <c r="X979" s="7" t="n"/>
      <c r="Y979" s="7">
        <f>IF($E979="","",AB979*AE979/100)</f>
        <v/>
      </c>
      <c r="Z979" s="7">
        <f>IF($E979="","",AB979-Y979)</f>
        <v/>
      </c>
      <c r="AA979" s="7">
        <f>IF($E979="","",Z979-Q979)</f>
        <v/>
      </c>
      <c r="AB979" s="7" t="n"/>
      <c r="AE979">
        <f>IF($E979="","",IF($AQ979=1,0,IF($AP979=1,Settings!$C$6,Settings!$C$7))*100)</f>
        <v/>
      </c>
      <c r="AI979" s="7" t="n"/>
      <c r="AL979" s="11" t="n"/>
      <c r="AN979">
        <f>IF($E979="","",IF(COUNTIF($E$2:$E979,$E979)=1,1,0))</f>
        <v/>
      </c>
      <c r="AO979">
        <f>IF($AN979=1,SUMPRODUCT(--($AR$2:$AR$3001&lt;$AR979))+1,"")</f>
        <v/>
      </c>
      <c r="AP979">
        <f>IF($E979="","",IF(OR($U979=TRUE(),$U979="TRUE"),1,0))</f>
        <v/>
      </c>
      <c r="AQ979">
        <f>IF($E979="","",IF($AD979="Yes",1,0))</f>
        <v/>
      </c>
      <c r="AR979">
        <f>IF($AN979=1,IFERROR(VALUE(MID($E979,2,20)),1000000000)+ROW()/100000,"")</f>
        <v/>
      </c>
    </row>
    <row r="980">
      <c r="G980" s="11" t="n"/>
      <c r="Q980" s="7">
        <f>IF($E980="","",P980*AB980/100)</f>
        <v/>
      </c>
      <c r="R980" s="7" t="n"/>
      <c r="X980" s="7" t="n"/>
      <c r="Y980" s="7">
        <f>IF($E980="","",AB980*AE980/100)</f>
        <v/>
      </c>
      <c r="Z980" s="7">
        <f>IF($E980="","",AB980-Y980)</f>
        <v/>
      </c>
      <c r="AA980" s="7">
        <f>IF($E980="","",Z980-Q980)</f>
        <v/>
      </c>
      <c r="AB980" s="7" t="n"/>
      <c r="AE980">
        <f>IF($E980="","",IF($AQ980=1,0,IF($AP980=1,Settings!$C$6,Settings!$C$7))*100)</f>
        <v/>
      </c>
      <c r="AI980" s="7" t="n"/>
      <c r="AL980" s="11" t="n"/>
      <c r="AN980">
        <f>IF($E980="","",IF(COUNTIF($E$2:$E980,$E980)=1,1,0))</f>
        <v/>
      </c>
      <c r="AO980">
        <f>IF($AN980=1,SUMPRODUCT(--($AR$2:$AR$3001&lt;$AR980))+1,"")</f>
        <v/>
      </c>
      <c r="AP980">
        <f>IF($E980="","",IF(OR($U980=TRUE(),$U980="TRUE"),1,0))</f>
        <v/>
      </c>
      <c r="AQ980">
        <f>IF($E980="","",IF($AD980="Yes",1,0))</f>
        <v/>
      </c>
      <c r="AR980">
        <f>IF($AN980=1,IFERROR(VALUE(MID($E980,2,20)),1000000000)+ROW()/100000,"")</f>
        <v/>
      </c>
    </row>
    <row r="981">
      <c r="G981" s="11" t="n"/>
      <c r="Q981" s="7">
        <f>IF($E981="","",P981*AB981/100)</f>
        <v/>
      </c>
      <c r="R981" s="7" t="n"/>
      <c r="X981" s="7" t="n"/>
      <c r="Y981" s="7">
        <f>IF($E981="","",AB981*AE981/100)</f>
        <v/>
      </c>
      <c r="Z981" s="7">
        <f>IF($E981="","",AB981-Y981)</f>
        <v/>
      </c>
      <c r="AA981" s="7">
        <f>IF($E981="","",Z981-Q981)</f>
        <v/>
      </c>
      <c r="AB981" s="7" t="n"/>
      <c r="AE981">
        <f>IF($E981="","",IF($AQ981=1,0,IF($AP981=1,Settings!$C$6,Settings!$C$7))*100)</f>
        <v/>
      </c>
      <c r="AI981" s="7" t="n"/>
      <c r="AL981" s="11" t="n"/>
      <c r="AN981">
        <f>IF($E981="","",IF(COUNTIF($E$2:$E981,$E981)=1,1,0))</f>
        <v/>
      </c>
      <c r="AO981">
        <f>IF($AN981=1,SUMPRODUCT(--($AR$2:$AR$3001&lt;$AR981))+1,"")</f>
        <v/>
      </c>
      <c r="AP981">
        <f>IF($E981="","",IF(OR($U981=TRUE(),$U981="TRUE"),1,0))</f>
        <v/>
      </c>
      <c r="AQ981">
        <f>IF($E981="","",IF($AD981="Yes",1,0))</f>
        <v/>
      </c>
      <c r="AR981">
        <f>IF($AN981=1,IFERROR(VALUE(MID($E981,2,20)),1000000000)+ROW()/100000,"")</f>
        <v/>
      </c>
    </row>
    <row r="982">
      <c r="G982" s="11" t="n"/>
      <c r="Q982" s="7">
        <f>IF($E982="","",P982*AB982/100)</f>
        <v/>
      </c>
      <c r="R982" s="7" t="n"/>
      <c r="X982" s="7" t="n"/>
      <c r="Y982" s="7">
        <f>IF($E982="","",AB982*AE982/100)</f>
        <v/>
      </c>
      <c r="Z982" s="7">
        <f>IF($E982="","",AB982-Y982)</f>
        <v/>
      </c>
      <c r="AA982" s="7">
        <f>IF($E982="","",Z982-Q982)</f>
        <v/>
      </c>
      <c r="AB982" s="7" t="n"/>
      <c r="AE982">
        <f>IF($E982="","",IF($AQ982=1,0,IF($AP982=1,Settings!$C$6,Settings!$C$7))*100)</f>
        <v/>
      </c>
      <c r="AI982" s="7" t="n"/>
      <c r="AL982" s="11" t="n"/>
      <c r="AN982">
        <f>IF($E982="","",IF(COUNTIF($E$2:$E982,$E982)=1,1,0))</f>
        <v/>
      </c>
      <c r="AO982">
        <f>IF($AN982=1,SUMPRODUCT(--($AR$2:$AR$3001&lt;$AR982))+1,"")</f>
        <v/>
      </c>
      <c r="AP982">
        <f>IF($E982="","",IF(OR($U982=TRUE(),$U982="TRUE"),1,0))</f>
        <v/>
      </c>
      <c r="AQ982">
        <f>IF($E982="","",IF($AD982="Yes",1,0))</f>
        <v/>
      </c>
      <c r="AR982">
        <f>IF($AN982=1,IFERROR(VALUE(MID($E982,2,20)),1000000000)+ROW()/100000,"")</f>
        <v/>
      </c>
    </row>
    <row r="983">
      <c r="G983" s="11" t="n"/>
      <c r="Q983" s="7">
        <f>IF($E983="","",P983*AB983/100)</f>
        <v/>
      </c>
      <c r="R983" s="7" t="n"/>
      <c r="X983" s="7" t="n"/>
      <c r="Y983" s="7">
        <f>IF($E983="","",AB983*AE983/100)</f>
        <v/>
      </c>
      <c r="Z983" s="7">
        <f>IF($E983="","",AB983-Y983)</f>
        <v/>
      </c>
      <c r="AA983" s="7">
        <f>IF($E983="","",Z983-Q983)</f>
        <v/>
      </c>
      <c r="AB983" s="7" t="n"/>
      <c r="AE983">
        <f>IF($E983="","",IF($AQ983=1,0,IF($AP983=1,Settings!$C$6,Settings!$C$7))*100)</f>
        <v/>
      </c>
      <c r="AI983" s="7" t="n"/>
      <c r="AL983" s="11" t="n"/>
      <c r="AN983">
        <f>IF($E983="","",IF(COUNTIF($E$2:$E983,$E983)=1,1,0))</f>
        <v/>
      </c>
      <c r="AO983">
        <f>IF($AN983=1,SUMPRODUCT(--($AR$2:$AR$3001&lt;$AR983))+1,"")</f>
        <v/>
      </c>
      <c r="AP983">
        <f>IF($E983="","",IF(OR($U983=TRUE(),$U983="TRUE"),1,0))</f>
        <v/>
      </c>
      <c r="AQ983">
        <f>IF($E983="","",IF($AD983="Yes",1,0))</f>
        <v/>
      </c>
      <c r="AR983">
        <f>IF($AN983=1,IFERROR(VALUE(MID($E983,2,20)),1000000000)+ROW()/100000,"")</f>
        <v/>
      </c>
    </row>
    <row r="984">
      <c r="G984" s="11" t="n"/>
      <c r="Q984" s="7">
        <f>IF($E984="","",P984*AB984/100)</f>
        <v/>
      </c>
      <c r="R984" s="7" t="n"/>
      <c r="X984" s="7" t="n"/>
      <c r="Y984" s="7">
        <f>IF($E984="","",AB984*AE984/100)</f>
        <v/>
      </c>
      <c r="Z984" s="7">
        <f>IF($E984="","",AB984-Y984)</f>
        <v/>
      </c>
      <c r="AA984" s="7">
        <f>IF($E984="","",Z984-Q984)</f>
        <v/>
      </c>
      <c r="AB984" s="7" t="n"/>
      <c r="AE984">
        <f>IF($E984="","",IF($AQ984=1,0,IF($AP984=1,Settings!$C$6,Settings!$C$7))*100)</f>
        <v/>
      </c>
      <c r="AI984" s="7" t="n"/>
      <c r="AL984" s="11" t="n"/>
      <c r="AN984">
        <f>IF($E984="","",IF(COUNTIF($E$2:$E984,$E984)=1,1,0))</f>
        <v/>
      </c>
      <c r="AO984">
        <f>IF($AN984=1,SUMPRODUCT(--($AR$2:$AR$3001&lt;$AR984))+1,"")</f>
        <v/>
      </c>
      <c r="AP984">
        <f>IF($E984="","",IF(OR($U984=TRUE(),$U984="TRUE"),1,0))</f>
        <v/>
      </c>
      <c r="AQ984">
        <f>IF($E984="","",IF($AD984="Yes",1,0))</f>
        <v/>
      </c>
      <c r="AR984">
        <f>IF($AN984=1,IFERROR(VALUE(MID($E984,2,20)),1000000000)+ROW()/100000,"")</f>
        <v/>
      </c>
    </row>
    <row r="985">
      <c r="G985" s="11" t="n"/>
      <c r="Q985" s="7">
        <f>IF($E985="","",P985*AB985/100)</f>
        <v/>
      </c>
      <c r="R985" s="7" t="n"/>
      <c r="X985" s="7" t="n"/>
      <c r="Y985" s="7">
        <f>IF($E985="","",AB985*AE985/100)</f>
        <v/>
      </c>
      <c r="Z985" s="7">
        <f>IF($E985="","",AB985-Y985)</f>
        <v/>
      </c>
      <c r="AA985" s="7">
        <f>IF($E985="","",Z985-Q985)</f>
        <v/>
      </c>
      <c r="AB985" s="7" t="n"/>
      <c r="AE985">
        <f>IF($E985="","",IF($AQ985=1,0,IF($AP985=1,Settings!$C$6,Settings!$C$7))*100)</f>
        <v/>
      </c>
      <c r="AI985" s="7" t="n"/>
      <c r="AL985" s="11" t="n"/>
      <c r="AN985">
        <f>IF($E985="","",IF(COUNTIF($E$2:$E985,$E985)=1,1,0))</f>
        <v/>
      </c>
      <c r="AO985">
        <f>IF($AN985=1,SUMPRODUCT(--($AR$2:$AR$3001&lt;$AR985))+1,"")</f>
        <v/>
      </c>
      <c r="AP985">
        <f>IF($E985="","",IF(OR($U985=TRUE(),$U985="TRUE"),1,0))</f>
        <v/>
      </c>
      <c r="AQ985">
        <f>IF($E985="","",IF($AD985="Yes",1,0))</f>
        <v/>
      </c>
      <c r="AR985">
        <f>IF($AN985=1,IFERROR(VALUE(MID($E985,2,20)),1000000000)+ROW()/100000,"")</f>
        <v/>
      </c>
    </row>
    <row r="986">
      <c r="G986" s="11" t="n"/>
      <c r="Q986" s="7">
        <f>IF($E986="","",P986*AB986/100)</f>
        <v/>
      </c>
      <c r="R986" s="7" t="n"/>
      <c r="X986" s="7" t="n"/>
      <c r="Y986" s="7">
        <f>IF($E986="","",AB986*AE986/100)</f>
        <v/>
      </c>
      <c r="Z986" s="7">
        <f>IF($E986="","",AB986-Y986)</f>
        <v/>
      </c>
      <c r="AA986" s="7">
        <f>IF($E986="","",Z986-Q986)</f>
        <v/>
      </c>
      <c r="AB986" s="7" t="n"/>
      <c r="AE986">
        <f>IF($E986="","",IF($AQ986=1,0,IF($AP986=1,Settings!$C$6,Settings!$C$7))*100)</f>
        <v/>
      </c>
      <c r="AI986" s="7" t="n"/>
      <c r="AL986" s="11" t="n"/>
      <c r="AN986">
        <f>IF($E986="","",IF(COUNTIF($E$2:$E986,$E986)=1,1,0))</f>
        <v/>
      </c>
      <c r="AO986">
        <f>IF($AN986=1,SUMPRODUCT(--($AR$2:$AR$3001&lt;$AR986))+1,"")</f>
        <v/>
      </c>
      <c r="AP986">
        <f>IF($E986="","",IF(OR($U986=TRUE(),$U986="TRUE"),1,0))</f>
        <v/>
      </c>
      <c r="AQ986">
        <f>IF($E986="","",IF($AD986="Yes",1,0))</f>
        <v/>
      </c>
      <c r="AR986">
        <f>IF($AN986=1,IFERROR(VALUE(MID($E986,2,20)),1000000000)+ROW()/100000,"")</f>
        <v/>
      </c>
    </row>
    <row r="987">
      <c r="G987" s="11" t="n"/>
      <c r="Q987" s="7">
        <f>IF($E987="","",P987*AB987/100)</f>
        <v/>
      </c>
      <c r="R987" s="7" t="n"/>
      <c r="X987" s="7" t="n"/>
      <c r="Y987" s="7">
        <f>IF($E987="","",AB987*AE987/100)</f>
        <v/>
      </c>
      <c r="Z987" s="7">
        <f>IF($E987="","",AB987-Y987)</f>
        <v/>
      </c>
      <c r="AA987" s="7">
        <f>IF($E987="","",Z987-Q987)</f>
        <v/>
      </c>
      <c r="AB987" s="7" t="n"/>
      <c r="AE987">
        <f>IF($E987="","",IF($AQ987=1,0,IF($AP987=1,Settings!$C$6,Settings!$C$7))*100)</f>
        <v/>
      </c>
      <c r="AI987" s="7" t="n"/>
      <c r="AL987" s="11" t="n"/>
      <c r="AN987">
        <f>IF($E987="","",IF(COUNTIF($E$2:$E987,$E987)=1,1,0))</f>
        <v/>
      </c>
      <c r="AO987">
        <f>IF($AN987=1,SUMPRODUCT(--($AR$2:$AR$3001&lt;$AR987))+1,"")</f>
        <v/>
      </c>
      <c r="AP987">
        <f>IF($E987="","",IF(OR($U987=TRUE(),$U987="TRUE"),1,0))</f>
        <v/>
      </c>
      <c r="AQ987">
        <f>IF($E987="","",IF($AD987="Yes",1,0))</f>
        <v/>
      </c>
      <c r="AR987">
        <f>IF($AN987=1,IFERROR(VALUE(MID($E987,2,20)),1000000000)+ROW()/100000,"")</f>
        <v/>
      </c>
    </row>
    <row r="988">
      <c r="G988" s="11" t="n"/>
      <c r="Q988" s="7">
        <f>IF($E988="","",P988*AB988/100)</f>
        <v/>
      </c>
      <c r="R988" s="7" t="n"/>
      <c r="X988" s="7" t="n"/>
      <c r="Y988" s="7">
        <f>IF($E988="","",AB988*AE988/100)</f>
        <v/>
      </c>
      <c r="Z988" s="7">
        <f>IF($E988="","",AB988-Y988)</f>
        <v/>
      </c>
      <c r="AA988" s="7">
        <f>IF($E988="","",Z988-Q988)</f>
        <v/>
      </c>
      <c r="AB988" s="7" t="n"/>
      <c r="AE988">
        <f>IF($E988="","",IF($AQ988=1,0,IF($AP988=1,Settings!$C$6,Settings!$C$7))*100)</f>
        <v/>
      </c>
      <c r="AI988" s="7" t="n"/>
      <c r="AL988" s="11" t="n"/>
      <c r="AN988">
        <f>IF($E988="","",IF(COUNTIF($E$2:$E988,$E988)=1,1,0))</f>
        <v/>
      </c>
      <c r="AO988">
        <f>IF($AN988=1,SUMPRODUCT(--($AR$2:$AR$3001&lt;$AR988))+1,"")</f>
        <v/>
      </c>
      <c r="AP988">
        <f>IF($E988="","",IF(OR($U988=TRUE(),$U988="TRUE"),1,0))</f>
        <v/>
      </c>
      <c r="AQ988">
        <f>IF($E988="","",IF($AD988="Yes",1,0))</f>
        <v/>
      </c>
      <c r="AR988">
        <f>IF($AN988=1,IFERROR(VALUE(MID($E988,2,20)),1000000000)+ROW()/100000,"")</f>
        <v/>
      </c>
    </row>
    <row r="989">
      <c r="G989" s="11" t="n"/>
      <c r="Q989" s="7">
        <f>IF($E989="","",P989*AB989/100)</f>
        <v/>
      </c>
      <c r="R989" s="7" t="n"/>
      <c r="X989" s="7" t="n"/>
      <c r="Y989" s="7">
        <f>IF($E989="","",AB989*AE989/100)</f>
        <v/>
      </c>
      <c r="Z989" s="7">
        <f>IF($E989="","",AB989-Y989)</f>
        <v/>
      </c>
      <c r="AA989" s="7">
        <f>IF($E989="","",Z989-Q989)</f>
        <v/>
      </c>
      <c r="AB989" s="7" t="n"/>
      <c r="AE989">
        <f>IF($E989="","",IF($AQ989=1,0,IF($AP989=1,Settings!$C$6,Settings!$C$7))*100)</f>
        <v/>
      </c>
      <c r="AI989" s="7" t="n"/>
      <c r="AL989" s="11" t="n"/>
      <c r="AN989">
        <f>IF($E989="","",IF(COUNTIF($E$2:$E989,$E989)=1,1,0))</f>
        <v/>
      </c>
      <c r="AO989">
        <f>IF($AN989=1,SUMPRODUCT(--($AR$2:$AR$3001&lt;$AR989))+1,"")</f>
        <v/>
      </c>
      <c r="AP989">
        <f>IF($E989="","",IF(OR($U989=TRUE(),$U989="TRUE"),1,0))</f>
        <v/>
      </c>
      <c r="AQ989">
        <f>IF($E989="","",IF($AD989="Yes",1,0))</f>
        <v/>
      </c>
      <c r="AR989">
        <f>IF($AN989=1,IFERROR(VALUE(MID($E989,2,20)),1000000000)+ROW()/100000,"")</f>
        <v/>
      </c>
    </row>
    <row r="990">
      <c r="G990" s="11" t="n"/>
      <c r="Q990" s="7">
        <f>IF($E990="","",P990*AB990/100)</f>
        <v/>
      </c>
      <c r="R990" s="7" t="n"/>
      <c r="X990" s="7" t="n"/>
      <c r="Y990" s="7">
        <f>IF($E990="","",AB990*AE990/100)</f>
        <v/>
      </c>
      <c r="Z990" s="7">
        <f>IF($E990="","",AB990-Y990)</f>
        <v/>
      </c>
      <c r="AA990" s="7">
        <f>IF($E990="","",Z990-Q990)</f>
        <v/>
      </c>
      <c r="AB990" s="7" t="n"/>
      <c r="AE990">
        <f>IF($E990="","",IF($AQ990=1,0,IF($AP990=1,Settings!$C$6,Settings!$C$7))*100)</f>
        <v/>
      </c>
      <c r="AI990" s="7" t="n"/>
      <c r="AL990" s="11" t="n"/>
      <c r="AN990">
        <f>IF($E990="","",IF(COUNTIF($E$2:$E990,$E990)=1,1,0))</f>
        <v/>
      </c>
      <c r="AO990">
        <f>IF($AN990=1,SUMPRODUCT(--($AR$2:$AR$3001&lt;$AR990))+1,"")</f>
        <v/>
      </c>
      <c r="AP990">
        <f>IF($E990="","",IF(OR($U990=TRUE(),$U990="TRUE"),1,0))</f>
        <v/>
      </c>
      <c r="AQ990">
        <f>IF($E990="","",IF($AD990="Yes",1,0))</f>
        <v/>
      </c>
      <c r="AR990">
        <f>IF($AN990=1,IFERROR(VALUE(MID($E990,2,20)),1000000000)+ROW()/100000,"")</f>
        <v/>
      </c>
    </row>
    <row r="991">
      <c r="G991" s="11" t="n"/>
      <c r="Q991" s="7">
        <f>IF($E991="","",P991*AB991/100)</f>
        <v/>
      </c>
      <c r="R991" s="7" t="n"/>
      <c r="X991" s="7" t="n"/>
      <c r="Y991" s="7">
        <f>IF($E991="","",AB991*AE991/100)</f>
        <v/>
      </c>
      <c r="Z991" s="7">
        <f>IF($E991="","",AB991-Y991)</f>
        <v/>
      </c>
      <c r="AA991" s="7">
        <f>IF($E991="","",Z991-Q991)</f>
        <v/>
      </c>
      <c r="AB991" s="7" t="n"/>
      <c r="AE991">
        <f>IF($E991="","",IF($AQ991=1,0,IF($AP991=1,Settings!$C$6,Settings!$C$7))*100)</f>
        <v/>
      </c>
      <c r="AI991" s="7" t="n"/>
      <c r="AL991" s="11" t="n"/>
      <c r="AN991">
        <f>IF($E991="","",IF(COUNTIF($E$2:$E991,$E991)=1,1,0))</f>
        <v/>
      </c>
      <c r="AO991">
        <f>IF($AN991=1,SUMPRODUCT(--($AR$2:$AR$3001&lt;$AR991))+1,"")</f>
        <v/>
      </c>
      <c r="AP991">
        <f>IF($E991="","",IF(OR($U991=TRUE(),$U991="TRUE"),1,0))</f>
        <v/>
      </c>
      <c r="AQ991">
        <f>IF($E991="","",IF($AD991="Yes",1,0))</f>
        <v/>
      </c>
      <c r="AR991">
        <f>IF($AN991=1,IFERROR(VALUE(MID($E991,2,20)),1000000000)+ROW()/100000,"")</f>
        <v/>
      </c>
    </row>
    <row r="992">
      <c r="G992" s="11" t="n"/>
      <c r="Q992" s="7">
        <f>IF($E992="","",P992*AB992/100)</f>
        <v/>
      </c>
      <c r="R992" s="7" t="n"/>
      <c r="X992" s="7" t="n"/>
      <c r="Y992" s="7">
        <f>IF($E992="","",AB992*AE992/100)</f>
        <v/>
      </c>
      <c r="Z992" s="7">
        <f>IF($E992="","",AB992-Y992)</f>
        <v/>
      </c>
      <c r="AA992" s="7">
        <f>IF($E992="","",Z992-Q992)</f>
        <v/>
      </c>
      <c r="AB992" s="7" t="n"/>
      <c r="AE992">
        <f>IF($E992="","",IF($AQ992=1,0,IF($AP992=1,Settings!$C$6,Settings!$C$7))*100)</f>
        <v/>
      </c>
      <c r="AI992" s="7" t="n"/>
      <c r="AL992" s="11" t="n"/>
      <c r="AN992">
        <f>IF($E992="","",IF(COUNTIF($E$2:$E992,$E992)=1,1,0))</f>
        <v/>
      </c>
      <c r="AO992">
        <f>IF($AN992=1,SUMPRODUCT(--($AR$2:$AR$3001&lt;$AR992))+1,"")</f>
        <v/>
      </c>
      <c r="AP992">
        <f>IF($E992="","",IF(OR($U992=TRUE(),$U992="TRUE"),1,0))</f>
        <v/>
      </c>
      <c r="AQ992">
        <f>IF($E992="","",IF($AD992="Yes",1,0))</f>
        <v/>
      </c>
      <c r="AR992">
        <f>IF($AN992=1,IFERROR(VALUE(MID($E992,2,20)),1000000000)+ROW()/100000,"")</f>
        <v/>
      </c>
    </row>
    <row r="993">
      <c r="G993" s="11" t="n"/>
      <c r="Q993" s="7">
        <f>IF($E993="","",P993*AB993/100)</f>
        <v/>
      </c>
      <c r="R993" s="7" t="n"/>
      <c r="X993" s="7" t="n"/>
      <c r="Y993" s="7">
        <f>IF($E993="","",AB993*AE993/100)</f>
        <v/>
      </c>
      <c r="Z993" s="7">
        <f>IF($E993="","",AB993-Y993)</f>
        <v/>
      </c>
      <c r="AA993" s="7">
        <f>IF($E993="","",Z993-Q993)</f>
        <v/>
      </c>
      <c r="AB993" s="7" t="n"/>
      <c r="AE993">
        <f>IF($E993="","",IF($AQ993=1,0,IF($AP993=1,Settings!$C$6,Settings!$C$7))*100)</f>
        <v/>
      </c>
      <c r="AI993" s="7" t="n"/>
      <c r="AL993" s="11" t="n"/>
      <c r="AN993">
        <f>IF($E993="","",IF(COUNTIF($E$2:$E993,$E993)=1,1,0))</f>
        <v/>
      </c>
      <c r="AO993">
        <f>IF($AN993=1,SUMPRODUCT(--($AR$2:$AR$3001&lt;$AR993))+1,"")</f>
        <v/>
      </c>
      <c r="AP993">
        <f>IF($E993="","",IF(OR($U993=TRUE(),$U993="TRUE"),1,0))</f>
        <v/>
      </c>
      <c r="AQ993">
        <f>IF($E993="","",IF($AD993="Yes",1,0))</f>
        <v/>
      </c>
      <c r="AR993">
        <f>IF($AN993=1,IFERROR(VALUE(MID($E993,2,20)),1000000000)+ROW()/100000,"")</f>
        <v/>
      </c>
    </row>
    <row r="994">
      <c r="G994" s="11" t="n"/>
      <c r="Q994" s="7">
        <f>IF($E994="","",P994*AB994/100)</f>
        <v/>
      </c>
      <c r="R994" s="7" t="n"/>
      <c r="X994" s="7" t="n"/>
      <c r="Y994" s="7">
        <f>IF($E994="","",AB994*AE994/100)</f>
        <v/>
      </c>
      <c r="Z994" s="7">
        <f>IF($E994="","",AB994-Y994)</f>
        <v/>
      </c>
      <c r="AA994" s="7">
        <f>IF($E994="","",Z994-Q994)</f>
        <v/>
      </c>
      <c r="AB994" s="7" t="n"/>
      <c r="AE994">
        <f>IF($E994="","",IF($AQ994=1,0,IF($AP994=1,Settings!$C$6,Settings!$C$7))*100)</f>
        <v/>
      </c>
      <c r="AI994" s="7" t="n"/>
      <c r="AL994" s="11" t="n"/>
      <c r="AN994">
        <f>IF($E994="","",IF(COUNTIF($E$2:$E994,$E994)=1,1,0))</f>
        <v/>
      </c>
      <c r="AO994">
        <f>IF($AN994=1,SUMPRODUCT(--($AR$2:$AR$3001&lt;$AR994))+1,"")</f>
        <v/>
      </c>
      <c r="AP994">
        <f>IF($E994="","",IF(OR($U994=TRUE(),$U994="TRUE"),1,0))</f>
        <v/>
      </c>
      <c r="AQ994">
        <f>IF($E994="","",IF($AD994="Yes",1,0))</f>
        <v/>
      </c>
      <c r="AR994">
        <f>IF($AN994=1,IFERROR(VALUE(MID($E994,2,20)),1000000000)+ROW()/100000,"")</f>
        <v/>
      </c>
    </row>
    <row r="995">
      <c r="G995" s="11" t="n"/>
      <c r="Q995" s="7">
        <f>IF($E995="","",P995*AB995/100)</f>
        <v/>
      </c>
      <c r="R995" s="7" t="n"/>
      <c r="X995" s="7" t="n"/>
      <c r="Y995" s="7">
        <f>IF($E995="","",AB995*AE995/100)</f>
        <v/>
      </c>
      <c r="Z995" s="7">
        <f>IF($E995="","",AB995-Y995)</f>
        <v/>
      </c>
      <c r="AA995" s="7">
        <f>IF($E995="","",Z995-Q995)</f>
        <v/>
      </c>
      <c r="AB995" s="7" t="n"/>
      <c r="AE995">
        <f>IF($E995="","",IF($AQ995=1,0,IF($AP995=1,Settings!$C$6,Settings!$C$7))*100)</f>
        <v/>
      </c>
      <c r="AI995" s="7" t="n"/>
      <c r="AL995" s="11" t="n"/>
      <c r="AN995">
        <f>IF($E995="","",IF(COUNTIF($E$2:$E995,$E995)=1,1,0))</f>
        <v/>
      </c>
      <c r="AO995">
        <f>IF($AN995=1,SUMPRODUCT(--($AR$2:$AR$3001&lt;$AR995))+1,"")</f>
        <v/>
      </c>
      <c r="AP995">
        <f>IF($E995="","",IF(OR($U995=TRUE(),$U995="TRUE"),1,0))</f>
        <v/>
      </c>
      <c r="AQ995">
        <f>IF($E995="","",IF($AD995="Yes",1,0))</f>
        <v/>
      </c>
      <c r="AR995">
        <f>IF($AN995=1,IFERROR(VALUE(MID($E995,2,20)),1000000000)+ROW()/100000,"")</f>
        <v/>
      </c>
    </row>
    <row r="996">
      <c r="G996" s="11" t="n"/>
      <c r="Q996" s="7">
        <f>IF($E996="","",P996*AB996/100)</f>
        <v/>
      </c>
      <c r="R996" s="7" t="n"/>
      <c r="X996" s="7" t="n"/>
      <c r="Y996" s="7">
        <f>IF($E996="","",AB996*AE996/100)</f>
        <v/>
      </c>
      <c r="Z996" s="7">
        <f>IF($E996="","",AB996-Y996)</f>
        <v/>
      </c>
      <c r="AA996" s="7">
        <f>IF($E996="","",Z996-Q996)</f>
        <v/>
      </c>
      <c r="AB996" s="7" t="n"/>
      <c r="AE996">
        <f>IF($E996="","",IF($AQ996=1,0,IF($AP996=1,Settings!$C$6,Settings!$C$7))*100)</f>
        <v/>
      </c>
      <c r="AI996" s="7" t="n"/>
      <c r="AL996" s="11" t="n"/>
      <c r="AN996">
        <f>IF($E996="","",IF(COUNTIF($E$2:$E996,$E996)=1,1,0))</f>
        <v/>
      </c>
      <c r="AO996">
        <f>IF($AN996=1,SUMPRODUCT(--($AR$2:$AR$3001&lt;$AR996))+1,"")</f>
        <v/>
      </c>
      <c r="AP996">
        <f>IF($E996="","",IF(OR($U996=TRUE(),$U996="TRUE"),1,0))</f>
        <v/>
      </c>
      <c r="AQ996">
        <f>IF($E996="","",IF($AD996="Yes",1,0))</f>
        <v/>
      </c>
      <c r="AR996">
        <f>IF($AN996=1,IFERROR(VALUE(MID($E996,2,20)),1000000000)+ROW()/100000,"")</f>
        <v/>
      </c>
    </row>
    <row r="997">
      <c r="G997" s="11" t="n"/>
      <c r="Q997" s="7">
        <f>IF($E997="","",P997*AB997/100)</f>
        <v/>
      </c>
      <c r="R997" s="7" t="n"/>
      <c r="X997" s="7" t="n"/>
      <c r="Y997" s="7">
        <f>IF($E997="","",AB997*AE997/100)</f>
        <v/>
      </c>
      <c r="Z997" s="7">
        <f>IF($E997="","",AB997-Y997)</f>
        <v/>
      </c>
      <c r="AA997" s="7">
        <f>IF($E997="","",Z997-Q997)</f>
        <v/>
      </c>
      <c r="AB997" s="7" t="n"/>
      <c r="AE997">
        <f>IF($E997="","",IF($AQ997=1,0,IF($AP997=1,Settings!$C$6,Settings!$C$7))*100)</f>
        <v/>
      </c>
      <c r="AI997" s="7" t="n"/>
      <c r="AL997" s="11" t="n"/>
      <c r="AN997">
        <f>IF($E997="","",IF(COUNTIF($E$2:$E997,$E997)=1,1,0))</f>
        <v/>
      </c>
      <c r="AO997">
        <f>IF($AN997=1,SUMPRODUCT(--($AR$2:$AR$3001&lt;$AR997))+1,"")</f>
        <v/>
      </c>
      <c r="AP997">
        <f>IF($E997="","",IF(OR($U997=TRUE(),$U997="TRUE"),1,0))</f>
        <v/>
      </c>
      <c r="AQ997">
        <f>IF($E997="","",IF($AD997="Yes",1,0))</f>
        <v/>
      </c>
      <c r="AR997">
        <f>IF($AN997=1,IFERROR(VALUE(MID($E997,2,20)),1000000000)+ROW()/100000,"")</f>
        <v/>
      </c>
    </row>
    <row r="998">
      <c r="G998" s="11" t="n"/>
      <c r="Q998" s="7">
        <f>IF($E998="","",P998*AB998/100)</f>
        <v/>
      </c>
      <c r="R998" s="7" t="n"/>
      <c r="X998" s="7" t="n"/>
      <c r="Y998" s="7">
        <f>IF($E998="","",AB998*AE998/100)</f>
        <v/>
      </c>
      <c r="Z998" s="7">
        <f>IF($E998="","",AB998-Y998)</f>
        <v/>
      </c>
      <c r="AA998" s="7">
        <f>IF($E998="","",Z998-Q998)</f>
        <v/>
      </c>
      <c r="AB998" s="7" t="n"/>
      <c r="AE998">
        <f>IF($E998="","",IF($AQ998=1,0,IF($AP998=1,Settings!$C$6,Settings!$C$7))*100)</f>
        <v/>
      </c>
      <c r="AI998" s="7" t="n"/>
      <c r="AL998" s="11" t="n"/>
      <c r="AN998">
        <f>IF($E998="","",IF(COUNTIF($E$2:$E998,$E998)=1,1,0))</f>
        <v/>
      </c>
      <c r="AO998">
        <f>IF($AN998=1,SUMPRODUCT(--($AR$2:$AR$3001&lt;$AR998))+1,"")</f>
        <v/>
      </c>
      <c r="AP998">
        <f>IF($E998="","",IF(OR($U998=TRUE(),$U998="TRUE"),1,0))</f>
        <v/>
      </c>
      <c r="AQ998">
        <f>IF($E998="","",IF($AD998="Yes",1,0))</f>
        <v/>
      </c>
      <c r="AR998">
        <f>IF($AN998=1,IFERROR(VALUE(MID($E998,2,20)),1000000000)+ROW()/100000,"")</f>
        <v/>
      </c>
    </row>
    <row r="999">
      <c r="G999" s="11" t="n"/>
      <c r="Q999" s="7">
        <f>IF($E999="","",P999*AB999/100)</f>
        <v/>
      </c>
      <c r="R999" s="7" t="n"/>
      <c r="X999" s="7" t="n"/>
      <c r="Y999" s="7">
        <f>IF($E999="","",AB999*AE999/100)</f>
        <v/>
      </c>
      <c r="Z999" s="7">
        <f>IF($E999="","",AB999-Y999)</f>
        <v/>
      </c>
      <c r="AA999" s="7">
        <f>IF($E999="","",Z999-Q999)</f>
        <v/>
      </c>
      <c r="AB999" s="7" t="n"/>
      <c r="AE999">
        <f>IF($E999="","",IF($AQ999=1,0,IF($AP999=1,Settings!$C$6,Settings!$C$7))*100)</f>
        <v/>
      </c>
      <c r="AI999" s="7" t="n"/>
      <c r="AL999" s="11" t="n"/>
      <c r="AN999">
        <f>IF($E999="","",IF(COUNTIF($E$2:$E999,$E999)=1,1,0))</f>
        <v/>
      </c>
      <c r="AO999">
        <f>IF($AN999=1,SUMPRODUCT(--($AR$2:$AR$3001&lt;$AR999))+1,"")</f>
        <v/>
      </c>
      <c r="AP999">
        <f>IF($E999="","",IF(OR($U999=TRUE(),$U999="TRUE"),1,0))</f>
        <v/>
      </c>
      <c r="AQ999">
        <f>IF($E999="","",IF($AD999="Yes",1,0))</f>
        <v/>
      </c>
      <c r="AR999">
        <f>IF($AN999=1,IFERROR(VALUE(MID($E999,2,20)),1000000000)+ROW()/100000,"")</f>
        <v/>
      </c>
    </row>
    <row r="1000">
      <c r="G1000" s="11" t="n"/>
      <c r="Q1000" s="7">
        <f>IF($E1000="","",P1000*AB1000/100)</f>
        <v/>
      </c>
      <c r="R1000" s="7" t="n"/>
      <c r="X1000" s="7" t="n"/>
      <c r="Y1000" s="7">
        <f>IF($E1000="","",AB1000*AE1000/100)</f>
        <v/>
      </c>
      <c r="Z1000" s="7">
        <f>IF($E1000="","",AB1000-Y1000)</f>
        <v/>
      </c>
      <c r="AA1000" s="7">
        <f>IF($E1000="","",Z1000-Q1000)</f>
        <v/>
      </c>
      <c r="AB1000" s="7" t="n"/>
      <c r="AE1000">
        <f>IF($E1000="","",IF($AQ1000=1,0,IF($AP1000=1,Settings!$C$6,Settings!$C$7))*100)</f>
        <v/>
      </c>
      <c r="AI1000" s="7" t="n"/>
      <c r="AL1000" s="11" t="n"/>
      <c r="AN1000">
        <f>IF($E1000="","",IF(COUNTIF($E$2:$E1000,$E1000)=1,1,0))</f>
        <v/>
      </c>
      <c r="AO1000">
        <f>IF($AN1000=1,SUMPRODUCT(--($AR$2:$AR$3001&lt;$AR1000))+1,"")</f>
        <v/>
      </c>
      <c r="AP1000">
        <f>IF($E1000="","",IF(OR($U1000=TRUE(),$U1000="TRUE"),1,0))</f>
        <v/>
      </c>
      <c r="AQ1000">
        <f>IF($E1000="","",IF($AD1000="Yes",1,0))</f>
        <v/>
      </c>
      <c r="AR1000">
        <f>IF($AN1000=1,IFERROR(VALUE(MID($E1000,2,20)),1000000000)+ROW()/100000,"")</f>
        <v/>
      </c>
    </row>
    <row r="1001">
      <c r="G1001" s="11" t="n"/>
      <c r="Q1001" s="7">
        <f>IF($E1001="","",P1001*AB1001/100)</f>
        <v/>
      </c>
      <c r="R1001" s="7" t="n"/>
      <c r="X1001" s="7" t="n"/>
      <c r="Y1001" s="7">
        <f>IF($E1001="","",AB1001*AE1001/100)</f>
        <v/>
      </c>
      <c r="Z1001" s="7">
        <f>IF($E1001="","",AB1001-Y1001)</f>
        <v/>
      </c>
      <c r="AA1001" s="7">
        <f>IF($E1001="","",Z1001-Q1001)</f>
        <v/>
      </c>
      <c r="AB1001" s="7" t="n"/>
      <c r="AE1001">
        <f>IF($E1001="","",IF($AQ1001=1,0,IF($AP1001=1,Settings!$C$6,Settings!$C$7))*100)</f>
        <v/>
      </c>
      <c r="AI1001" s="7" t="n"/>
      <c r="AL1001" s="11" t="n"/>
      <c r="AN1001">
        <f>IF($E1001="","",IF(COUNTIF($E$2:$E1001,$E1001)=1,1,0))</f>
        <v/>
      </c>
      <c r="AO1001">
        <f>IF($AN1001=1,SUMPRODUCT(--($AR$2:$AR$3001&lt;$AR1001))+1,"")</f>
        <v/>
      </c>
      <c r="AP1001">
        <f>IF($E1001="","",IF(OR($U1001=TRUE(),$U1001="TRUE"),1,0))</f>
        <v/>
      </c>
      <c r="AQ1001">
        <f>IF($E1001="","",IF($AD1001="Yes",1,0))</f>
        <v/>
      </c>
      <c r="AR1001">
        <f>IF($AN1001=1,IFERROR(VALUE(MID($E1001,2,20)),1000000000)+ROW()/100000,"")</f>
        <v/>
      </c>
    </row>
    <row r="1002">
      <c r="G1002" s="11" t="n"/>
      <c r="Q1002" s="7">
        <f>IF($E1002="","",P1002*AB1002/100)</f>
        <v/>
      </c>
      <c r="R1002" s="7" t="n"/>
      <c r="X1002" s="7" t="n"/>
      <c r="Y1002" s="7">
        <f>IF($E1002="","",AB1002*AE1002/100)</f>
        <v/>
      </c>
      <c r="Z1002" s="7">
        <f>IF($E1002="","",AB1002-Y1002)</f>
        <v/>
      </c>
      <c r="AA1002" s="7">
        <f>IF($E1002="","",Z1002-Q1002)</f>
        <v/>
      </c>
      <c r="AB1002" s="7" t="n"/>
      <c r="AE1002">
        <f>IF($E1002="","",IF($AQ1002=1,0,IF($AP1002=1,Settings!$C$6,Settings!$C$7))*100)</f>
        <v/>
      </c>
      <c r="AI1002" s="7" t="n"/>
      <c r="AL1002" s="11" t="n"/>
      <c r="AN1002">
        <f>IF($E1002="","",IF(COUNTIF($E$2:$E1002,$E1002)=1,1,0))</f>
        <v/>
      </c>
      <c r="AO1002">
        <f>IF($AN1002=1,SUMPRODUCT(--($AR$2:$AR$3001&lt;$AR1002))+1,"")</f>
        <v/>
      </c>
      <c r="AP1002">
        <f>IF($E1002="","",IF(OR($U1002=TRUE(),$U1002="TRUE"),1,0))</f>
        <v/>
      </c>
      <c r="AQ1002">
        <f>IF($E1002="","",IF($AD1002="Yes",1,0))</f>
        <v/>
      </c>
      <c r="AR1002">
        <f>IF($AN1002=1,IFERROR(VALUE(MID($E1002,2,20)),1000000000)+ROW()/100000,"")</f>
        <v/>
      </c>
    </row>
    <row r="1003">
      <c r="G1003" s="11" t="n"/>
      <c r="Q1003" s="7">
        <f>IF($E1003="","",P1003*AB1003/100)</f>
        <v/>
      </c>
      <c r="R1003" s="7" t="n"/>
      <c r="X1003" s="7" t="n"/>
      <c r="Y1003" s="7">
        <f>IF($E1003="","",AB1003*AE1003/100)</f>
        <v/>
      </c>
      <c r="Z1003" s="7">
        <f>IF($E1003="","",AB1003-Y1003)</f>
        <v/>
      </c>
      <c r="AA1003" s="7">
        <f>IF($E1003="","",Z1003-Q1003)</f>
        <v/>
      </c>
      <c r="AB1003" s="7" t="n"/>
      <c r="AE1003">
        <f>IF($E1003="","",IF($AQ1003=1,0,IF($AP1003=1,Settings!$C$6,Settings!$C$7))*100)</f>
        <v/>
      </c>
      <c r="AI1003" s="7" t="n"/>
      <c r="AL1003" s="11" t="n"/>
      <c r="AN1003">
        <f>IF($E1003="","",IF(COUNTIF($E$2:$E1003,$E1003)=1,1,0))</f>
        <v/>
      </c>
      <c r="AO1003">
        <f>IF($AN1003=1,SUMPRODUCT(--($AR$2:$AR$3001&lt;$AR1003))+1,"")</f>
        <v/>
      </c>
      <c r="AP1003">
        <f>IF($E1003="","",IF(OR($U1003=TRUE(),$U1003="TRUE"),1,0))</f>
        <v/>
      </c>
      <c r="AQ1003">
        <f>IF($E1003="","",IF($AD1003="Yes",1,0))</f>
        <v/>
      </c>
      <c r="AR1003">
        <f>IF($AN1003=1,IFERROR(VALUE(MID($E1003,2,20)),1000000000)+ROW()/100000,"")</f>
        <v/>
      </c>
    </row>
    <row r="1004">
      <c r="G1004" s="11" t="n"/>
      <c r="Q1004" s="7">
        <f>IF($E1004="","",P1004*AB1004/100)</f>
        <v/>
      </c>
      <c r="R1004" s="7" t="n"/>
      <c r="X1004" s="7" t="n"/>
      <c r="Y1004" s="7">
        <f>IF($E1004="","",AB1004*AE1004/100)</f>
        <v/>
      </c>
      <c r="Z1004" s="7">
        <f>IF($E1004="","",AB1004-Y1004)</f>
        <v/>
      </c>
      <c r="AA1004" s="7">
        <f>IF($E1004="","",Z1004-Q1004)</f>
        <v/>
      </c>
      <c r="AB1004" s="7" t="n"/>
      <c r="AE1004">
        <f>IF($E1004="","",IF($AQ1004=1,0,IF($AP1004=1,Settings!$C$6,Settings!$C$7))*100)</f>
        <v/>
      </c>
      <c r="AI1004" s="7" t="n"/>
      <c r="AL1004" s="11" t="n"/>
      <c r="AN1004">
        <f>IF($E1004="","",IF(COUNTIF($E$2:$E1004,$E1004)=1,1,0))</f>
        <v/>
      </c>
      <c r="AO1004">
        <f>IF($AN1004=1,SUMPRODUCT(--($AR$2:$AR$3001&lt;$AR1004))+1,"")</f>
        <v/>
      </c>
      <c r="AP1004">
        <f>IF($E1004="","",IF(OR($U1004=TRUE(),$U1004="TRUE"),1,0))</f>
        <v/>
      </c>
      <c r="AQ1004">
        <f>IF($E1004="","",IF($AD1004="Yes",1,0))</f>
        <v/>
      </c>
      <c r="AR1004">
        <f>IF($AN1004=1,IFERROR(VALUE(MID($E1004,2,20)),1000000000)+ROW()/100000,"")</f>
        <v/>
      </c>
    </row>
    <row r="1005">
      <c r="G1005" s="11" t="n"/>
      <c r="Q1005" s="7">
        <f>IF($E1005="","",P1005*AB1005/100)</f>
        <v/>
      </c>
      <c r="R1005" s="7" t="n"/>
      <c r="X1005" s="7" t="n"/>
      <c r="Y1005" s="7">
        <f>IF($E1005="","",AB1005*AE1005/100)</f>
        <v/>
      </c>
      <c r="Z1005" s="7">
        <f>IF($E1005="","",AB1005-Y1005)</f>
        <v/>
      </c>
      <c r="AA1005" s="7">
        <f>IF($E1005="","",Z1005-Q1005)</f>
        <v/>
      </c>
      <c r="AB1005" s="7" t="n"/>
      <c r="AE1005">
        <f>IF($E1005="","",IF($AQ1005=1,0,IF($AP1005=1,Settings!$C$6,Settings!$C$7))*100)</f>
        <v/>
      </c>
      <c r="AI1005" s="7" t="n"/>
      <c r="AL1005" s="11" t="n"/>
      <c r="AN1005">
        <f>IF($E1005="","",IF(COUNTIF($E$2:$E1005,$E1005)=1,1,0))</f>
        <v/>
      </c>
      <c r="AO1005">
        <f>IF($AN1005=1,SUMPRODUCT(--($AR$2:$AR$3001&lt;$AR1005))+1,"")</f>
        <v/>
      </c>
      <c r="AP1005">
        <f>IF($E1005="","",IF(OR($U1005=TRUE(),$U1005="TRUE"),1,0))</f>
        <v/>
      </c>
      <c r="AQ1005">
        <f>IF($E1005="","",IF($AD1005="Yes",1,0))</f>
        <v/>
      </c>
      <c r="AR1005">
        <f>IF($AN1005=1,IFERROR(VALUE(MID($E1005,2,20)),1000000000)+ROW()/100000,"")</f>
        <v/>
      </c>
    </row>
    <row r="1006">
      <c r="G1006" s="11" t="n"/>
      <c r="Q1006" s="7">
        <f>IF($E1006="","",P1006*AB1006/100)</f>
        <v/>
      </c>
      <c r="R1006" s="7" t="n"/>
      <c r="X1006" s="7" t="n"/>
      <c r="Y1006" s="7">
        <f>IF($E1006="","",AB1006*AE1006/100)</f>
        <v/>
      </c>
      <c r="Z1006" s="7">
        <f>IF($E1006="","",AB1006-Y1006)</f>
        <v/>
      </c>
      <c r="AA1006" s="7">
        <f>IF($E1006="","",Z1006-Q1006)</f>
        <v/>
      </c>
      <c r="AB1006" s="7" t="n"/>
      <c r="AE1006">
        <f>IF($E1006="","",IF($AQ1006=1,0,IF($AP1006=1,Settings!$C$6,Settings!$C$7))*100)</f>
        <v/>
      </c>
      <c r="AI1006" s="7" t="n"/>
      <c r="AL1006" s="11" t="n"/>
      <c r="AN1006">
        <f>IF($E1006="","",IF(COUNTIF($E$2:$E1006,$E1006)=1,1,0))</f>
        <v/>
      </c>
      <c r="AO1006">
        <f>IF($AN1006=1,SUMPRODUCT(--($AR$2:$AR$3001&lt;$AR1006))+1,"")</f>
        <v/>
      </c>
      <c r="AP1006">
        <f>IF($E1006="","",IF(OR($U1006=TRUE(),$U1006="TRUE"),1,0))</f>
        <v/>
      </c>
      <c r="AQ1006">
        <f>IF($E1006="","",IF($AD1006="Yes",1,0))</f>
        <v/>
      </c>
      <c r="AR1006">
        <f>IF($AN1006=1,IFERROR(VALUE(MID($E1006,2,20)),1000000000)+ROW()/100000,"")</f>
        <v/>
      </c>
    </row>
    <row r="1007">
      <c r="G1007" s="11" t="n"/>
      <c r="Q1007" s="7">
        <f>IF($E1007="","",P1007*AB1007/100)</f>
        <v/>
      </c>
      <c r="R1007" s="7" t="n"/>
      <c r="X1007" s="7" t="n"/>
      <c r="Y1007" s="7">
        <f>IF($E1007="","",AB1007*AE1007/100)</f>
        <v/>
      </c>
      <c r="Z1007" s="7">
        <f>IF($E1007="","",AB1007-Y1007)</f>
        <v/>
      </c>
      <c r="AA1007" s="7">
        <f>IF($E1007="","",Z1007-Q1007)</f>
        <v/>
      </c>
      <c r="AB1007" s="7" t="n"/>
      <c r="AE1007">
        <f>IF($E1007="","",IF($AQ1007=1,0,IF($AP1007=1,Settings!$C$6,Settings!$C$7))*100)</f>
        <v/>
      </c>
      <c r="AI1007" s="7" t="n"/>
      <c r="AL1007" s="11" t="n"/>
      <c r="AN1007">
        <f>IF($E1007="","",IF(COUNTIF($E$2:$E1007,$E1007)=1,1,0))</f>
        <v/>
      </c>
      <c r="AO1007">
        <f>IF($AN1007=1,SUMPRODUCT(--($AR$2:$AR$3001&lt;$AR1007))+1,"")</f>
        <v/>
      </c>
      <c r="AP1007">
        <f>IF($E1007="","",IF(OR($U1007=TRUE(),$U1007="TRUE"),1,0))</f>
        <v/>
      </c>
      <c r="AQ1007">
        <f>IF($E1007="","",IF($AD1007="Yes",1,0))</f>
        <v/>
      </c>
      <c r="AR1007">
        <f>IF($AN1007=1,IFERROR(VALUE(MID($E1007,2,20)),1000000000)+ROW()/100000,"")</f>
        <v/>
      </c>
    </row>
    <row r="1008">
      <c r="G1008" s="11" t="n"/>
      <c r="Q1008" s="7">
        <f>IF($E1008="","",P1008*AB1008/100)</f>
        <v/>
      </c>
      <c r="R1008" s="7" t="n"/>
      <c r="X1008" s="7" t="n"/>
      <c r="Y1008" s="7">
        <f>IF($E1008="","",AB1008*AE1008/100)</f>
        <v/>
      </c>
      <c r="Z1008" s="7">
        <f>IF($E1008="","",AB1008-Y1008)</f>
        <v/>
      </c>
      <c r="AA1008" s="7">
        <f>IF($E1008="","",Z1008-Q1008)</f>
        <v/>
      </c>
      <c r="AB1008" s="7" t="n"/>
      <c r="AE1008">
        <f>IF($E1008="","",IF($AQ1008=1,0,IF($AP1008=1,Settings!$C$6,Settings!$C$7))*100)</f>
        <v/>
      </c>
      <c r="AI1008" s="7" t="n"/>
      <c r="AL1008" s="11" t="n"/>
      <c r="AN1008">
        <f>IF($E1008="","",IF(COUNTIF($E$2:$E1008,$E1008)=1,1,0))</f>
        <v/>
      </c>
      <c r="AO1008">
        <f>IF($AN1008=1,SUMPRODUCT(--($AR$2:$AR$3001&lt;$AR1008))+1,"")</f>
        <v/>
      </c>
      <c r="AP1008">
        <f>IF($E1008="","",IF(OR($U1008=TRUE(),$U1008="TRUE"),1,0))</f>
        <v/>
      </c>
      <c r="AQ1008">
        <f>IF($E1008="","",IF($AD1008="Yes",1,0))</f>
        <v/>
      </c>
      <c r="AR1008">
        <f>IF($AN1008=1,IFERROR(VALUE(MID($E1008,2,20)),1000000000)+ROW()/100000,"")</f>
        <v/>
      </c>
    </row>
    <row r="1009">
      <c r="G1009" s="11" t="n"/>
      <c r="Q1009" s="7">
        <f>IF($E1009="","",P1009*AB1009/100)</f>
        <v/>
      </c>
      <c r="R1009" s="7" t="n"/>
      <c r="X1009" s="7" t="n"/>
      <c r="Y1009" s="7">
        <f>IF($E1009="","",AB1009*AE1009/100)</f>
        <v/>
      </c>
      <c r="Z1009" s="7">
        <f>IF($E1009="","",AB1009-Y1009)</f>
        <v/>
      </c>
      <c r="AA1009" s="7">
        <f>IF($E1009="","",Z1009-Q1009)</f>
        <v/>
      </c>
      <c r="AB1009" s="7" t="n"/>
      <c r="AE1009">
        <f>IF($E1009="","",IF($AQ1009=1,0,IF($AP1009=1,Settings!$C$6,Settings!$C$7))*100)</f>
        <v/>
      </c>
      <c r="AI1009" s="7" t="n"/>
      <c r="AL1009" s="11" t="n"/>
      <c r="AN1009">
        <f>IF($E1009="","",IF(COUNTIF($E$2:$E1009,$E1009)=1,1,0))</f>
        <v/>
      </c>
      <c r="AO1009">
        <f>IF($AN1009=1,SUMPRODUCT(--($AR$2:$AR$3001&lt;$AR1009))+1,"")</f>
        <v/>
      </c>
      <c r="AP1009">
        <f>IF($E1009="","",IF(OR($U1009=TRUE(),$U1009="TRUE"),1,0))</f>
        <v/>
      </c>
      <c r="AQ1009">
        <f>IF($E1009="","",IF($AD1009="Yes",1,0))</f>
        <v/>
      </c>
      <c r="AR1009">
        <f>IF($AN1009=1,IFERROR(VALUE(MID($E1009,2,20)),1000000000)+ROW()/100000,"")</f>
        <v/>
      </c>
    </row>
    <row r="1010">
      <c r="G1010" s="11" t="n"/>
      <c r="Q1010" s="7">
        <f>IF($E1010="","",P1010*AB1010/100)</f>
        <v/>
      </c>
      <c r="R1010" s="7" t="n"/>
      <c r="X1010" s="7" t="n"/>
      <c r="Y1010" s="7">
        <f>IF($E1010="","",AB1010*AE1010/100)</f>
        <v/>
      </c>
      <c r="Z1010" s="7">
        <f>IF($E1010="","",AB1010-Y1010)</f>
        <v/>
      </c>
      <c r="AA1010" s="7">
        <f>IF($E1010="","",Z1010-Q1010)</f>
        <v/>
      </c>
      <c r="AB1010" s="7" t="n"/>
      <c r="AE1010">
        <f>IF($E1010="","",IF($AQ1010=1,0,IF($AP1010=1,Settings!$C$6,Settings!$C$7))*100)</f>
        <v/>
      </c>
      <c r="AI1010" s="7" t="n"/>
      <c r="AL1010" s="11" t="n"/>
      <c r="AN1010">
        <f>IF($E1010="","",IF(COUNTIF($E$2:$E1010,$E1010)=1,1,0))</f>
        <v/>
      </c>
      <c r="AO1010">
        <f>IF($AN1010=1,SUMPRODUCT(--($AR$2:$AR$3001&lt;$AR1010))+1,"")</f>
        <v/>
      </c>
      <c r="AP1010">
        <f>IF($E1010="","",IF(OR($U1010=TRUE(),$U1010="TRUE"),1,0))</f>
        <v/>
      </c>
      <c r="AQ1010">
        <f>IF($E1010="","",IF($AD1010="Yes",1,0))</f>
        <v/>
      </c>
      <c r="AR1010">
        <f>IF($AN1010=1,IFERROR(VALUE(MID($E1010,2,20)),1000000000)+ROW()/100000,"")</f>
        <v/>
      </c>
    </row>
    <row r="1011">
      <c r="G1011" s="11" t="n"/>
      <c r="Q1011" s="7">
        <f>IF($E1011="","",P1011*AB1011/100)</f>
        <v/>
      </c>
      <c r="R1011" s="7" t="n"/>
      <c r="X1011" s="7" t="n"/>
      <c r="Y1011" s="7">
        <f>IF($E1011="","",AB1011*AE1011/100)</f>
        <v/>
      </c>
      <c r="Z1011" s="7">
        <f>IF($E1011="","",AB1011-Y1011)</f>
        <v/>
      </c>
      <c r="AA1011" s="7">
        <f>IF($E1011="","",Z1011-Q1011)</f>
        <v/>
      </c>
      <c r="AB1011" s="7" t="n"/>
      <c r="AE1011">
        <f>IF($E1011="","",IF($AQ1011=1,0,IF($AP1011=1,Settings!$C$6,Settings!$C$7))*100)</f>
        <v/>
      </c>
      <c r="AI1011" s="7" t="n"/>
      <c r="AL1011" s="11" t="n"/>
      <c r="AN1011">
        <f>IF($E1011="","",IF(COUNTIF($E$2:$E1011,$E1011)=1,1,0))</f>
        <v/>
      </c>
      <c r="AO1011">
        <f>IF($AN1011=1,SUMPRODUCT(--($AR$2:$AR$3001&lt;$AR1011))+1,"")</f>
        <v/>
      </c>
      <c r="AP1011">
        <f>IF($E1011="","",IF(OR($U1011=TRUE(),$U1011="TRUE"),1,0))</f>
        <v/>
      </c>
      <c r="AQ1011">
        <f>IF($E1011="","",IF($AD1011="Yes",1,0))</f>
        <v/>
      </c>
      <c r="AR1011">
        <f>IF($AN1011=1,IFERROR(VALUE(MID($E1011,2,20)),1000000000)+ROW()/100000,"")</f>
        <v/>
      </c>
    </row>
    <row r="1012">
      <c r="G1012" s="11" t="n"/>
      <c r="Q1012" s="7">
        <f>IF($E1012="","",P1012*AB1012/100)</f>
        <v/>
      </c>
      <c r="R1012" s="7" t="n"/>
      <c r="X1012" s="7" t="n"/>
      <c r="Y1012" s="7">
        <f>IF($E1012="","",AB1012*AE1012/100)</f>
        <v/>
      </c>
      <c r="Z1012" s="7">
        <f>IF($E1012="","",AB1012-Y1012)</f>
        <v/>
      </c>
      <c r="AA1012" s="7">
        <f>IF($E1012="","",Z1012-Q1012)</f>
        <v/>
      </c>
      <c r="AB1012" s="7" t="n"/>
      <c r="AE1012">
        <f>IF($E1012="","",IF($AQ1012=1,0,IF($AP1012=1,Settings!$C$6,Settings!$C$7))*100)</f>
        <v/>
      </c>
      <c r="AI1012" s="7" t="n"/>
      <c r="AL1012" s="11" t="n"/>
      <c r="AN1012">
        <f>IF($E1012="","",IF(COUNTIF($E$2:$E1012,$E1012)=1,1,0))</f>
        <v/>
      </c>
      <c r="AO1012">
        <f>IF($AN1012=1,SUMPRODUCT(--($AR$2:$AR$3001&lt;$AR1012))+1,"")</f>
        <v/>
      </c>
      <c r="AP1012">
        <f>IF($E1012="","",IF(OR($U1012=TRUE(),$U1012="TRUE"),1,0))</f>
        <v/>
      </c>
      <c r="AQ1012">
        <f>IF($E1012="","",IF($AD1012="Yes",1,0))</f>
        <v/>
      </c>
      <c r="AR1012">
        <f>IF($AN1012=1,IFERROR(VALUE(MID($E1012,2,20)),1000000000)+ROW()/100000,"")</f>
        <v/>
      </c>
    </row>
    <row r="1013">
      <c r="G1013" s="11" t="n"/>
      <c r="Q1013" s="7">
        <f>IF($E1013="","",P1013*AB1013/100)</f>
        <v/>
      </c>
      <c r="R1013" s="7" t="n"/>
      <c r="X1013" s="7" t="n"/>
      <c r="Y1013" s="7">
        <f>IF($E1013="","",AB1013*AE1013/100)</f>
        <v/>
      </c>
      <c r="Z1013" s="7">
        <f>IF($E1013="","",AB1013-Y1013)</f>
        <v/>
      </c>
      <c r="AA1013" s="7">
        <f>IF($E1013="","",Z1013-Q1013)</f>
        <v/>
      </c>
      <c r="AB1013" s="7" t="n"/>
      <c r="AE1013">
        <f>IF($E1013="","",IF($AQ1013=1,0,IF($AP1013=1,Settings!$C$6,Settings!$C$7))*100)</f>
        <v/>
      </c>
      <c r="AI1013" s="7" t="n"/>
      <c r="AL1013" s="11" t="n"/>
      <c r="AN1013">
        <f>IF($E1013="","",IF(COUNTIF($E$2:$E1013,$E1013)=1,1,0))</f>
        <v/>
      </c>
      <c r="AO1013">
        <f>IF($AN1013=1,SUMPRODUCT(--($AR$2:$AR$3001&lt;$AR1013))+1,"")</f>
        <v/>
      </c>
      <c r="AP1013">
        <f>IF($E1013="","",IF(OR($U1013=TRUE(),$U1013="TRUE"),1,0))</f>
        <v/>
      </c>
      <c r="AQ1013">
        <f>IF($E1013="","",IF($AD1013="Yes",1,0))</f>
        <v/>
      </c>
      <c r="AR1013">
        <f>IF($AN1013=1,IFERROR(VALUE(MID($E1013,2,20)),1000000000)+ROW()/100000,"")</f>
        <v/>
      </c>
    </row>
    <row r="1014">
      <c r="G1014" s="11" t="n"/>
      <c r="Q1014" s="7">
        <f>IF($E1014="","",P1014*AB1014/100)</f>
        <v/>
      </c>
      <c r="R1014" s="7" t="n"/>
      <c r="X1014" s="7" t="n"/>
      <c r="Y1014" s="7">
        <f>IF($E1014="","",AB1014*AE1014/100)</f>
        <v/>
      </c>
      <c r="Z1014" s="7">
        <f>IF($E1014="","",AB1014-Y1014)</f>
        <v/>
      </c>
      <c r="AA1014" s="7">
        <f>IF($E1014="","",Z1014-Q1014)</f>
        <v/>
      </c>
      <c r="AB1014" s="7" t="n"/>
      <c r="AE1014">
        <f>IF($E1014="","",IF($AQ1014=1,0,IF($AP1014=1,Settings!$C$6,Settings!$C$7))*100)</f>
        <v/>
      </c>
      <c r="AI1014" s="7" t="n"/>
      <c r="AL1014" s="11" t="n"/>
      <c r="AN1014">
        <f>IF($E1014="","",IF(COUNTIF($E$2:$E1014,$E1014)=1,1,0))</f>
        <v/>
      </c>
      <c r="AO1014">
        <f>IF($AN1014=1,SUMPRODUCT(--($AR$2:$AR$3001&lt;$AR1014))+1,"")</f>
        <v/>
      </c>
      <c r="AP1014">
        <f>IF($E1014="","",IF(OR($U1014=TRUE(),$U1014="TRUE"),1,0))</f>
        <v/>
      </c>
      <c r="AQ1014">
        <f>IF($E1014="","",IF($AD1014="Yes",1,0))</f>
        <v/>
      </c>
      <c r="AR1014">
        <f>IF($AN1014=1,IFERROR(VALUE(MID($E1014,2,20)),1000000000)+ROW()/100000,"")</f>
        <v/>
      </c>
    </row>
    <row r="1015">
      <c r="G1015" s="11" t="n"/>
      <c r="Q1015" s="7">
        <f>IF($E1015="","",P1015*AB1015/100)</f>
        <v/>
      </c>
      <c r="R1015" s="7" t="n"/>
      <c r="X1015" s="7" t="n"/>
      <c r="Y1015" s="7">
        <f>IF($E1015="","",AB1015*AE1015/100)</f>
        <v/>
      </c>
      <c r="Z1015" s="7">
        <f>IF($E1015="","",AB1015-Y1015)</f>
        <v/>
      </c>
      <c r="AA1015" s="7">
        <f>IF($E1015="","",Z1015-Q1015)</f>
        <v/>
      </c>
      <c r="AB1015" s="7" t="n"/>
      <c r="AE1015">
        <f>IF($E1015="","",IF($AQ1015=1,0,IF($AP1015=1,Settings!$C$6,Settings!$C$7))*100)</f>
        <v/>
      </c>
      <c r="AI1015" s="7" t="n"/>
      <c r="AL1015" s="11" t="n"/>
      <c r="AN1015">
        <f>IF($E1015="","",IF(COUNTIF($E$2:$E1015,$E1015)=1,1,0))</f>
        <v/>
      </c>
      <c r="AO1015">
        <f>IF($AN1015=1,SUMPRODUCT(--($AR$2:$AR$3001&lt;$AR1015))+1,"")</f>
        <v/>
      </c>
      <c r="AP1015">
        <f>IF($E1015="","",IF(OR($U1015=TRUE(),$U1015="TRUE"),1,0))</f>
        <v/>
      </c>
      <c r="AQ1015">
        <f>IF($E1015="","",IF($AD1015="Yes",1,0))</f>
        <v/>
      </c>
      <c r="AR1015">
        <f>IF($AN1015=1,IFERROR(VALUE(MID($E1015,2,20)),1000000000)+ROW()/100000,"")</f>
        <v/>
      </c>
    </row>
    <row r="1016">
      <c r="G1016" s="11" t="n"/>
      <c r="Q1016" s="7">
        <f>IF($E1016="","",P1016*AB1016/100)</f>
        <v/>
      </c>
      <c r="R1016" s="7" t="n"/>
      <c r="X1016" s="7" t="n"/>
      <c r="Y1016" s="7">
        <f>IF($E1016="","",AB1016*AE1016/100)</f>
        <v/>
      </c>
      <c r="Z1016" s="7">
        <f>IF($E1016="","",AB1016-Y1016)</f>
        <v/>
      </c>
      <c r="AA1016" s="7">
        <f>IF($E1016="","",Z1016-Q1016)</f>
        <v/>
      </c>
      <c r="AB1016" s="7" t="n"/>
      <c r="AE1016">
        <f>IF($E1016="","",IF($AQ1016=1,0,IF($AP1016=1,Settings!$C$6,Settings!$C$7))*100)</f>
        <v/>
      </c>
      <c r="AI1016" s="7" t="n"/>
      <c r="AL1016" s="11" t="n"/>
      <c r="AN1016">
        <f>IF($E1016="","",IF(COUNTIF($E$2:$E1016,$E1016)=1,1,0))</f>
        <v/>
      </c>
      <c r="AO1016">
        <f>IF($AN1016=1,SUMPRODUCT(--($AR$2:$AR$3001&lt;$AR1016))+1,"")</f>
        <v/>
      </c>
      <c r="AP1016">
        <f>IF($E1016="","",IF(OR($U1016=TRUE(),$U1016="TRUE"),1,0))</f>
        <v/>
      </c>
      <c r="AQ1016">
        <f>IF($E1016="","",IF($AD1016="Yes",1,0))</f>
        <v/>
      </c>
      <c r="AR1016">
        <f>IF($AN1016=1,IFERROR(VALUE(MID($E1016,2,20)),1000000000)+ROW()/100000,"")</f>
        <v/>
      </c>
    </row>
    <row r="1017">
      <c r="G1017" s="11" t="n"/>
      <c r="Q1017" s="7">
        <f>IF($E1017="","",P1017*AB1017/100)</f>
        <v/>
      </c>
      <c r="R1017" s="7" t="n"/>
      <c r="X1017" s="7" t="n"/>
      <c r="Y1017" s="7">
        <f>IF($E1017="","",AB1017*AE1017/100)</f>
        <v/>
      </c>
      <c r="Z1017" s="7">
        <f>IF($E1017="","",AB1017-Y1017)</f>
        <v/>
      </c>
      <c r="AA1017" s="7">
        <f>IF($E1017="","",Z1017-Q1017)</f>
        <v/>
      </c>
      <c r="AB1017" s="7" t="n"/>
      <c r="AE1017">
        <f>IF($E1017="","",IF($AQ1017=1,0,IF($AP1017=1,Settings!$C$6,Settings!$C$7))*100)</f>
        <v/>
      </c>
      <c r="AI1017" s="7" t="n"/>
      <c r="AL1017" s="11" t="n"/>
      <c r="AN1017">
        <f>IF($E1017="","",IF(COUNTIF($E$2:$E1017,$E1017)=1,1,0))</f>
        <v/>
      </c>
      <c r="AO1017">
        <f>IF($AN1017=1,SUMPRODUCT(--($AR$2:$AR$3001&lt;$AR1017))+1,"")</f>
        <v/>
      </c>
      <c r="AP1017">
        <f>IF($E1017="","",IF(OR($U1017=TRUE(),$U1017="TRUE"),1,0))</f>
        <v/>
      </c>
      <c r="AQ1017">
        <f>IF($E1017="","",IF($AD1017="Yes",1,0))</f>
        <v/>
      </c>
      <c r="AR1017">
        <f>IF($AN1017=1,IFERROR(VALUE(MID($E1017,2,20)),1000000000)+ROW()/100000,"")</f>
        <v/>
      </c>
    </row>
    <row r="1018">
      <c r="G1018" s="11" t="n"/>
      <c r="Q1018" s="7">
        <f>IF($E1018="","",P1018*AB1018/100)</f>
        <v/>
      </c>
      <c r="R1018" s="7" t="n"/>
      <c r="X1018" s="7" t="n"/>
      <c r="Y1018" s="7">
        <f>IF($E1018="","",AB1018*AE1018/100)</f>
        <v/>
      </c>
      <c r="Z1018" s="7">
        <f>IF($E1018="","",AB1018-Y1018)</f>
        <v/>
      </c>
      <c r="AA1018" s="7">
        <f>IF($E1018="","",Z1018-Q1018)</f>
        <v/>
      </c>
      <c r="AB1018" s="7" t="n"/>
      <c r="AE1018">
        <f>IF($E1018="","",IF($AQ1018=1,0,IF($AP1018=1,Settings!$C$6,Settings!$C$7))*100)</f>
        <v/>
      </c>
      <c r="AI1018" s="7" t="n"/>
      <c r="AL1018" s="11" t="n"/>
      <c r="AN1018">
        <f>IF($E1018="","",IF(COUNTIF($E$2:$E1018,$E1018)=1,1,0))</f>
        <v/>
      </c>
      <c r="AO1018">
        <f>IF($AN1018=1,SUMPRODUCT(--($AR$2:$AR$3001&lt;$AR1018))+1,"")</f>
        <v/>
      </c>
      <c r="AP1018">
        <f>IF($E1018="","",IF(OR($U1018=TRUE(),$U1018="TRUE"),1,0))</f>
        <v/>
      </c>
      <c r="AQ1018">
        <f>IF($E1018="","",IF($AD1018="Yes",1,0))</f>
        <v/>
      </c>
      <c r="AR1018">
        <f>IF($AN1018=1,IFERROR(VALUE(MID($E1018,2,20)),1000000000)+ROW()/100000,"")</f>
        <v/>
      </c>
    </row>
    <row r="1019">
      <c r="G1019" s="11" t="n"/>
      <c r="Q1019" s="7">
        <f>IF($E1019="","",P1019*AB1019/100)</f>
        <v/>
      </c>
      <c r="R1019" s="7" t="n"/>
      <c r="X1019" s="7" t="n"/>
      <c r="Y1019" s="7">
        <f>IF($E1019="","",AB1019*AE1019/100)</f>
        <v/>
      </c>
      <c r="Z1019" s="7">
        <f>IF($E1019="","",AB1019-Y1019)</f>
        <v/>
      </c>
      <c r="AA1019" s="7">
        <f>IF($E1019="","",Z1019-Q1019)</f>
        <v/>
      </c>
      <c r="AB1019" s="7" t="n"/>
      <c r="AE1019">
        <f>IF($E1019="","",IF($AQ1019=1,0,IF($AP1019=1,Settings!$C$6,Settings!$C$7))*100)</f>
        <v/>
      </c>
      <c r="AI1019" s="7" t="n"/>
      <c r="AL1019" s="11" t="n"/>
      <c r="AN1019">
        <f>IF($E1019="","",IF(COUNTIF($E$2:$E1019,$E1019)=1,1,0))</f>
        <v/>
      </c>
      <c r="AO1019">
        <f>IF($AN1019=1,SUMPRODUCT(--($AR$2:$AR$3001&lt;$AR1019))+1,"")</f>
        <v/>
      </c>
      <c r="AP1019">
        <f>IF($E1019="","",IF(OR($U1019=TRUE(),$U1019="TRUE"),1,0))</f>
        <v/>
      </c>
      <c r="AQ1019">
        <f>IF($E1019="","",IF($AD1019="Yes",1,0))</f>
        <v/>
      </c>
      <c r="AR1019">
        <f>IF($AN1019=1,IFERROR(VALUE(MID($E1019,2,20)),1000000000)+ROW()/100000,"")</f>
        <v/>
      </c>
    </row>
    <row r="1020">
      <c r="G1020" s="11" t="n"/>
      <c r="Q1020" s="7">
        <f>IF($E1020="","",P1020*AB1020/100)</f>
        <v/>
      </c>
      <c r="R1020" s="7" t="n"/>
      <c r="X1020" s="7" t="n"/>
      <c r="Y1020" s="7">
        <f>IF($E1020="","",AB1020*AE1020/100)</f>
        <v/>
      </c>
      <c r="Z1020" s="7">
        <f>IF($E1020="","",AB1020-Y1020)</f>
        <v/>
      </c>
      <c r="AA1020" s="7">
        <f>IF($E1020="","",Z1020-Q1020)</f>
        <v/>
      </c>
      <c r="AB1020" s="7" t="n"/>
      <c r="AE1020">
        <f>IF($E1020="","",IF($AQ1020=1,0,IF($AP1020=1,Settings!$C$6,Settings!$C$7))*100)</f>
        <v/>
      </c>
      <c r="AI1020" s="7" t="n"/>
      <c r="AL1020" s="11" t="n"/>
      <c r="AN1020">
        <f>IF($E1020="","",IF(COUNTIF($E$2:$E1020,$E1020)=1,1,0))</f>
        <v/>
      </c>
      <c r="AO1020">
        <f>IF($AN1020=1,SUMPRODUCT(--($AR$2:$AR$3001&lt;$AR1020))+1,"")</f>
        <v/>
      </c>
      <c r="AP1020">
        <f>IF($E1020="","",IF(OR($U1020=TRUE(),$U1020="TRUE"),1,0))</f>
        <v/>
      </c>
      <c r="AQ1020">
        <f>IF($E1020="","",IF($AD1020="Yes",1,0))</f>
        <v/>
      </c>
      <c r="AR1020">
        <f>IF($AN1020=1,IFERROR(VALUE(MID($E1020,2,20)),1000000000)+ROW()/100000,"")</f>
        <v/>
      </c>
    </row>
    <row r="1021">
      <c r="G1021" s="11" t="n"/>
      <c r="Q1021" s="7">
        <f>IF($E1021="","",P1021*AB1021/100)</f>
        <v/>
      </c>
      <c r="R1021" s="7" t="n"/>
      <c r="X1021" s="7" t="n"/>
      <c r="Y1021" s="7">
        <f>IF($E1021="","",AB1021*AE1021/100)</f>
        <v/>
      </c>
      <c r="Z1021" s="7">
        <f>IF($E1021="","",AB1021-Y1021)</f>
        <v/>
      </c>
      <c r="AA1021" s="7">
        <f>IF($E1021="","",Z1021-Q1021)</f>
        <v/>
      </c>
      <c r="AB1021" s="7" t="n"/>
      <c r="AE1021">
        <f>IF($E1021="","",IF($AQ1021=1,0,IF($AP1021=1,Settings!$C$6,Settings!$C$7))*100)</f>
        <v/>
      </c>
      <c r="AI1021" s="7" t="n"/>
      <c r="AL1021" s="11" t="n"/>
      <c r="AN1021">
        <f>IF($E1021="","",IF(COUNTIF($E$2:$E1021,$E1021)=1,1,0))</f>
        <v/>
      </c>
      <c r="AO1021">
        <f>IF($AN1021=1,SUMPRODUCT(--($AR$2:$AR$3001&lt;$AR1021))+1,"")</f>
        <v/>
      </c>
      <c r="AP1021">
        <f>IF($E1021="","",IF(OR($U1021=TRUE(),$U1021="TRUE"),1,0))</f>
        <v/>
      </c>
      <c r="AQ1021">
        <f>IF($E1021="","",IF($AD1021="Yes",1,0))</f>
        <v/>
      </c>
      <c r="AR1021">
        <f>IF($AN1021=1,IFERROR(VALUE(MID($E1021,2,20)),1000000000)+ROW()/100000,"")</f>
        <v/>
      </c>
    </row>
    <row r="1022">
      <c r="G1022" s="11" t="n"/>
      <c r="Q1022" s="7">
        <f>IF($E1022="","",P1022*AB1022/100)</f>
        <v/>
      </c>
      <c r="R1022" s="7" t="n"/>
      <c r="X1022" s="7" t="n"/>
      <c r="Y1022" s="7">
        <f>IF($E1022="","",AB1022*AE1022/100)</f>
        <v/>
      </c>
      <c r="Z1022" s="7">
        <f>IF($E1022="","",AB1022-Y1022)</f>
        <v/>
      </c>
      <c r="AA1022" s="7">
        <f>IF($E1022="","",Z1022-Q1022)</f>
        <v/>
      </c>
      <c r="AB1022" s="7" t="n"/>
      <c r="AE1022">
        <f>IF($E1022="","",IF($AQ1022=1,0,IF($AP1022=1,Settings!$C$6,Settings!$C$7))*100)</f>
        <v/>
      </c>
      <c r="AI1022" s="7" t="n"/>
      <c r="AL1022" s="11" t="n"/>
      <c r="AN1022">
        <f>IF($E1022="","",IF(COUNTIF($E$2:$E1022,$E1022)=1,1,0))</f>
        <v/>
      </c>
      <c r="AO1022">
        <f>IF($AN1022=1,SUMPRODUCT(--($AR$2:$AR$3001&lt;$AR1022))+1,"")</f>
        <v/>
      </c>
      <c r="AP1022">
        <f>IF($E1022="","",IF(OR($U1022=TRUE(),$U1022="TRUE"),1,0))</f>
        <v/>
      </c>
      <c r="AQ1022">
        <f>IF($E1022="","",IF($AD1022="Yes",1,0))</f>
        <v/>
      </c>
      <c r="AR1022">
        <f>IF($AN1022=1,IFERROR(VALUE(MID($E1022,2,20)),1000000000)+ROW()/100000,"")</f>
        <v/>
      </c>
    </row>
    <row r="1023">
      <c r="G1023" s="11" t="n"/>
      <c r="Q1023" s="7">
        <f>IF($E1023="","",P1023*AB1023/100)</f>
        <v/>
      </c>
      <c r="R1023" s="7" t="n"/>
      <c r="X1023" s="7" t="n"/>
      <c r="Y1023" s="7">
        <f>IF($E1023="","",AB1023*AE1023/100)</f>
        <v/>
      </c>
      <c r="Z1023" s="7">
        <f>IF($E1023="","",AB1023-Y1023)</f>
        <v/>
      </c>
      <c r="AA1023" s="7">
        <f>IF($E1023="","",Z1023-Q1023)</f>
        <v/>
      </c>
      <c r="AB1023" s="7" t="n"/>
      <c r="AE1023">
        <f>IF($E1023="","",IF($AQ1023=1,0,IF($AP1023=1,Settings!$C$6,Settings!$C$7))*100)</f>
        <v/>
      </c>
      <c r="AI1023" s="7" t="n"/>
      <c r="AL1023" s="11" t="n"/>
      <c r="AN1023">
        <f>IF($E1023="","",IF(COUNTIF($E$2:$E1023,$E1023)=1,1,0))</f>
        <v/>
      </c>
      <c r="AO1023">
        <f>IF($AN1023=1,SUMPRODUCT(--($AR$2:$AR$3001&lt;$AR1023))+1,"")</f>
        <v/>
      </c>
      <c r="AP1023">
        <f>IF($E1023="","",IF(OR($U1023=TRUE(),$U1023="TRUE"),1,0))</f>
        <v/>
      </c>
      <c r="AQ1023">
        <f>IF($E1023="","",IF($AD1023="Yes",1,0))</f>
        <v/>
      </c>
      <c r="AR1023">
        <f>IF($AN1023=1,IFERROR(VALUE(MID($E1023,2,20)),1000000000)+ROW()/100000,"")</f>
        <v/>
      </c>
    </row>
    <row r="1024">
      <c r="G1024" s="11" t="n"/>
      <c r="Q1024" s="7">
        <f>IF($E1024="","",P1024*AB1024/100)</f>
        <v/>
      </c>
      <c r="R1024" s="7" t="n"/>
      <c r="X1024" s="7" t="n"/>
      <c r="Y1024" s="7">
        <f>IF($E1024="","",AB1024*AE1024/100)</f>
        <v/>
      </c>
      <c r="Z1024" s="7">
        <f>IF($E1024="","",AB1024-Y1024)</f>
        <v/>
      </c>
      <c r="AA1024" s="7">
        <f>IF($E1024="","",Z1024-Q1024)</f>
        <v/>
      </c>
      <c r="AB1024" s="7" t="n"/>
      <c r="AE1024">
        <f>IF($E1024="","",IF($AQ1024=1,0,IF($AP1024=1,Settings!$C$6,Settings!$C$7))*100)</f>
        <v/>
      </c>
      <c r="AI1024" s="7" t="n"/>
      <c r="AL1024" s="11" t="n"/>
      <c r="AN1024">
        <f>IF($E1024="","",IF(COUNTIF($E$2:$E1024,$E1024)=1,1,0))</f>
        <v/>
      </c>
      <c r="AO1024">
        <f>IF($AN1024=1,SUMPRODUCT(--($AR$2:$AR$3001&lt;$AR1024))+1,"")</f>
        <v/>
      </c>
      <c r="AP1024">
        <f>IF($E1024="","",IF(OR($U1024=TRUE(),$U1024="TRUE"),1,0))</f>
        <v/>
      </c>
      <c r="AQ1024">
        <f>IF($E1024="","",IF($AD1024="Yes",1,0))</f>
        <v/>
      </c>
      <c r="AR1024">
        <f>IF($AN1024=1,IFERROR(VALUE(MID($E1024,2,20)),1000000000)+ROW()/100000,"")</f>
        <v/>
      </c>
    </row>
    <row r="1025">
      <c r="G1025" s="11" t="n"/>
      <c r="Q1025" s="7">
        <f>IF($E1025="","",P1025*AB1025/100)</f>
        <v/>
      </c>
      <c r="R1025" s="7" t="n"/>
      <c r="X1025" s="7" t="n"/>
      <c r="Y1025" s="7">
        <f>IF($E1025="","",AB1025*AE1025/100)</f>
        <v/>
      </c>
      <c r="Z1025" s="7">
        <f>IF($E1025="","",AB1025-Y1025)</f>
        <v/>
      </c>
      <c r="AA1025" s="7">
        <f>IF($E1025="","",Z1025-Q1025)</f>
        <v/>
      </c>
      <c r="AB1025" s="7" t="n"/>
      <c r="AE1025">
        <f>IF($E1025="","",IF($AQ1025=1,0,IF($AP1025=1,Settings!$C$6,Settings!$C$7))*100)</f>
        <v/>
      </c>
      <c r="AI1025" s="7" t="n"/>
      <c r="AL1025" s="11" t="n"/>
      <c r="AN1025">
        <f>IF($E1025="","",IF(COUNTIF($E$2:$E1025,$E1025)=1,1,0))</f>
        <v/>
      </c>
      <c r="AO1025">
        <f>IF($AN1025=1,SUMPRODUCT(--($AR$2:$AR$3001&lt;$AR1025))+1,"")</f>
        <v/>
      </c>
      <c r="AP1025">
        <f>IF($E1025="","",IF(OR($U1025=TRUE(),$U1025="TRUE"),1,0))</f>
        <v/>
      </c>
      <c r="AQ1025">
        <f>IF($E1025="","",IF($AD1025="Yes",1,0))</f>
        <v/>
      </c>
      <c r="AR1025">
        <f>IF($AN1025=1,IFERROR(VALUE(MID($E1025,2,20)),1000000000)+ROW()/100000,"")</f>
        <v/>
      </c>
    </row>
    <row r="1026">
      <c r="G1026" s="11" t="n"/>
      <c r="Q1026" s="7">
        <f>IF($E1026="","",P1026*AB1026/100)</f>
        <v/>
      </c>
      <c r="R1026" s="7" t="n"/>
      <c r="X1026" s="7" t="n"/>
      <c r="Y1026" s="7">
        <f>IF($E1026="","",AB1026*AE1026/100)</f>
        <v/>
      </c>
      <c r="Z1026" s="7">
        <f>IF($E1026="","",AB1026-Y1026)</f>
        <v/>
      </c>
      <c r="AA1026" s="7">
        <f>IF($E1026="","",Z1026-Q1026)</f>
        <v/>
      </c>
      <c r="AB1026" s="7" t="n"/>
      <c r="AE1026">
        <f>IF($E1026="","",IF($AQ1026=1,0,IF($AP1026=1,Settings!$C$6,Settings!$C$7))*100)</f>
        <v/>
      </c>
      <c r="AI1026" s="7" t="n"/>
      <c r="AL1026" s="11" t="n"/>
      <c r="AN1026">
        <f>IF($E1026="","",IF(COUNTIF($E$2:$E1026,$E1026)=1,1,0))</f>
        <v/>
      </c>
      <c r="AO1026">
        <f>IF($AN1026=1,SUMPRODUCT(--($AR$2:$AR$3001&lt;$AR1026))+1,"")</f>
        <v/>
      </c>
      <c r="AP1026">
        <f>IF($E1026="","",IF(OR($U1026=TRUE(),$U1026="TRUE"),1,0))</f>
        <v/>
      </c>
      <c r="AQ1026">
        <f>IF($E1026="","",IF($AD1026="Yes",1,0))</f>
        <v/>
      </c>
      <c r="AR1026">
        <f>IF($AN1026=1,IFERROR(VALUE(MID($E1026,2,20)),1000000000)+ROW()/100000,"")</f>
        <v/>
      </c>
    </row>
    <row r="1027">
      <c r="G1027" s="11" t="n"/>
      <c r="Q1027" s="7">
        <f>IF($E1027="","",P1027*AB1027/100)</f>
        <v/>
      </c>
      <c r="R1027" s="7" t="n"/>
      <c r="X1027" s="7" t="n"/>
      <c r="Y1027" s="7">
        <f>IF($E1027="","",AB1027*AE1027/100)</f>
        <v/>
      </c>
      <c r="Z1027" s="7">
        <f>IF($E1027="","",AB1027-Y1027)</f>
        <v/>
      </c>
      <c r="AA1027" s="7">
        <f>IF($E1027="","",Z1027-Q1027)</f>
        <v/>
      </c>
      <c r="AB1027" s="7" t="n"/>
      <c r="AE1027">
        <f>IF($E1027="","",IF($AQ1027=1,0,IF($AP1027=1,Settings!$C$6,Settings!$C$7))*100)</f>
        <v/>
      </c>
      <c r="AI1027" s="7" t="n"/>
      <c r="AL1027" s="11" t="n"/>
      <c r="AN1027">
        <f>IF($E1027="","",IF(COUNTIF($E$2:$E1027,$E1027)=1,1,0))</f>
        <v/>
      </c>
      <c r="AO1027">
        <f>IF($AN1027=1,SUMPRODUCT(--($AR$2:$AR$3001&lt;$AR1027))+1,"")</f>
        <v/>
      </c>
      <c r="AP1027">
        <f>IF($E1027="","",IF(OR($U1027=TRUE(),$U1027="TRUE"),1,0))</f>
        <v/>
      </c>
      <c r="AQ1027">
        <f>IF($E1027="","",IF($AD1027="Yes",1,0))</f>
        <v/>
      </c>
      <c r="AR1027">
        <f>IF($AN1027=1,IFERROR(VALUE(MID($E1027,2,20)),1000000000)+ROW()/100000,"")</f>
        <v/>
      </c>
    </row>
    <row r="1028">
      <c r="G1028" s="11" t="n"/>
      <c r="Q1028" s="7">
        <f>IF($E1028="","",P1028*AB1028/100)</f>
        <v/>
      </c>
      <c r="R1028" s="7" t="n"/>
      <c r="X1028" s="7" t="n"/>
      <c r="Y1028" s="7">
        <f>IF($E1028="","",AB1028*AE1028/100)</f>
        <v/>
      </c>
      <c r="Z1028" s="7">
        <f>IF($E1028="","",AB1028-Y1028)</f>
        <v/>
      </c>
      <c r="AA1028" s="7">
        <f>IF($E1028="","",Z1028-Q1028)</f>
        <v/>
      </c>
      <c r="AB1028" s="7" t="n"/>
      <c r="AE1028">
        <f>IF($E1028="","",IF($AQ1028=1,0,IF($AP1028=1,Settings!$C$6,Settings!$C$7))*100)</f>
        <v/>
      </c>
      <c r="AI1028" s="7" t="n"/>
      <c r="AL1028" s="11" t="n"/>
      <c r="AN1028">
        <f>IF($E1028="","",IF(COUNTIF($E$2:$E1028,$E1028)=1,1,0))</f>
        <v/>
      </c>
      <c r="AO1028">
        <f>IF($AN1028=1,SUMPRODUCT(--($AR$2:$AR$3001&lt;$AR1028))+1,"")</f>
        <v/>
      </c>
      <c r="AP1028">
        <f>IF($E1028="","",IF(OR($U1028=TRUE(),$U1028="TRUE"),1,0))</f>
        <v/>
      </c>
      <c r="AQ1028">
        <f>IF($E1028="","",IF($AD1028="Yes",1,0))</f>
        <v/>
      </c>
      <c r="AR1028">
        <f>IF($AN1028=1,IFERROR(VALUE(MID($E1028,2,20)),1000000000)+ROW()/100000,"")</f>
        <v/>
      </c>
    </row>
    <row r="1029">
      <c r="G1029" s="11" t="n"/>
      <c r="Q1029" s="7">
        <f>IF($E1029="","",P1029*AB1029/100)</f>
        <v/>
      </c>
      <c r="R1029" s="7" t="n"/>
      <c r="X1029" s="7" t="n"/>
      <c r="Y1029" s="7">
        <f>IF($E1029="","",AB1029*AE1029/100)</f>
        <v/>
      </c>
      <c r="Z1029" s="7">
        <f>IF($E1029="","",AB1029-Y1029)</f>
        <v/>
      </c>
      <c r="AA1029" s="7">
        <f>IF($E1029="","",Z1029-Q1029)</f>
        <v/>
      </c>
      <c r="AB1029" s="7" t="n"/>
      <c r="AE1029">
        <f>IF($E1029="","",IF($AQ1029=1,0,IF($AP1029=1,Settings!$C$6,Settings!$C$7))*100)</f>
        <v/>
      </c>
      <c r="AI1029" s="7" t="n"/>
      <c r="AL1029" s="11" t="n"/>
      <c r="AN1029">
        <f>IF($E1029="","",IF(COUNTIF($E$2:$E1029,$E1029)=1,1,0))</f>
        <v/>
      </c>
      <c r="AO1029">
        <f>IF($AN1029=1,SUMPRODUCT(--($AR$2:$AR$3001&lt;$AR1029))+1,"")</f>
        <v/>
      </c>
      <c r="AP1029">
        <f>IF($E1029="","",IF(OR($U1029=TRUE(),$U1029="TRUE"),1,0))</f>
        <v/>
      </c>
      <c r="AQ1029">
        <f>IF($E1029="","",IF($AD1029="Yes",1,0))</f>
        <v/>
      </c>
      <c r="AR1029">
        <f>IF($AN1029=1,IFERROR(VALUE(MID($E1029,2,20)),1000000000)+ROW()/100000,"")</f>
        <v/>
      </c>
    </row>
    <row r="1030">
      <c r="G1030" s="11" t="n"/>
      <c r="Q1030" s="7">
        <f>IF($E1030="","",P1030*AB1030/100)</f>
        <v/>
      </c>
      <c r="R1030" s="7" t="n"/>
      <c r="X1030" s="7" t="n"/>
      <c r="Y1030" s="7">
        <f>IF($E1030="","",AB1030*AE1030/100)</f>
        <v/>
      </c>
      <c r="Z1030" s="7">
        <f>IF($E1030="","",AB1030-Y1030)</f>
        <v/>
      </c>
      <c r="AA1030" s="7">
        <f>IF($E1030="","",Z1030-Q1030)</f>
        <v/>
      </c>
      <c r="AB1030" s="7" t="n"/>
      <c r="AE1030">
        <f>IF($E1030="","",IF($AQ1030=1,0,IF($AP1030=1,Settings!$C$6,Settings!$C$7))*100)</f>
        <v/>
      </c>
      <c r="AI1030" s="7" t="n"/>
      <c r="AL1030" s="11" t="n"/>
      <c r="AN1030">
        <f>IF($E1030="","",IF(COUNTIF($E$2:$E1030,$E1030)=1,1,0))</f>
        <v/>
      </c>
      <c r="AO1030">
        <f>IF($AN1030=1,SUMPRODUCT(--($AR$2:$AR$3001&lt;$AR1030))+1,"")</f>
        <v/>
      </c>
      <c r="AP1030">
        <f>IF($E1030="","",IF(OR($U1030=TRUE(),$U1030="TRUE"),1,0))</f>
        <v/>
      </c>
      <c r="AQ1030">
        <f>IF($E1030="","",IF($AD1030="Yes",1,0))</f>
        <v/>
      </c>
      <c r="AR1030">
        <f>IF($AN1030=1,IFERROR(VALUE(MID($E1030,2,20)),1000000000)+ROW()/100000,"")</f>
        <v/>
      </c>
    </row>
    <row r="1031">
      <c r="G1031" s="11" t="n"/>
      <c r="Q1031" s="7">
        <f>IF($E1031="","",P1031*AB1031/100)</f>
        <v/>
      </c>
      <c r="R1031" s="7" t="n"/>
      <c r="X1031" s="7" t="n"/>
      <c r="Y1031" s="7">
        <f>IF($E1031="","",AB1031*AE1031/100)</f>
        <v/>
      </c>
      <c r="Z1031" s="7">
        <f>IF($E1031="","",AB1031-Y1031)</f>
        <v/>
      </c>
      <c r="AA1031" s="7">
        <f>IF($E1031="","",Z1031-Q1031)</f>
        <v/>
      </c>
      <c r="AB1031" s="7" t="n"/>
      <c r="AE1031">
        <f>IF($E1031="","",IF($AQ1031=1,0,IF($AP1031=1,Settings!$C$6,Settings!$C$7))*100)</f>
        <v/>
      </c>
      <c r="AI1031" s="7" t="n"/>
      <c r="AL1031" s="11" t="n"/>
      <c r="AN1031">
        <f>IF($E1031="","",IF(COUNTIF($E$2:$E1031,$E1031)=1,1,0))</f>
        <v/>
      </c>
      <c r="AO1031">
        <f>IF($AN1031=1,SUMPRODUCT(--($AR$2:$AR$3001&lt;$AR1031))+1,"")</f>
        <v/>
      </c>
      <c r="AP1031">
        <f>IF($E1031="","",IF(OR($U1031=TRUE(),$U1031="TRUE"),1,0))</f>
        <v/>
      </c>
      <c r="AQ1031">
        <f>IF($E1031="","",IF($AD1031="Yes",1,0))</f>
        <v/>
      </c>
      <c r="AR1031">
        <f>IF($AN1031=1,IFERROR(VALUE(MID($E1031,2,20)),1000000000)+ROW()/100000,"")</f>
        <v/>
      </c>
    </row>
    <row r="1032">
      <c r="G1032" s="11" t="n"/>
      <c r="Q1032" s="7">
        <f>IF($E1032="","",P1032*AB1032/100)</f>
        <v/>
      </c>
      <c r="R1032" s="7" t="n"/>
      <c r="X1032" s="7" t="n"/>
      <c r="Y1032" s="7">
        <f>IF($E1032="","",AB1032*AE1032/100)</f>
        <v/>
      </c>
      <c r="Z1032" s="7">
        <f>IF($E1032="","",AB1032-Y1032)</f>
        <v/>
      </c>
      <c r="AA1032" s="7">
        <f>IF($E1032="","",Z1032-Q1032)</f>
        <v/>
      </c>
      <c r="AB1032" s="7" t="n"/>
      <c r="AE1032">
        <f>IF($E1032="","",IF($AQ1032=1,0,IF($AP1032=1,Settings!$C$6,Settings!$C$7))*100)</f>
        <v/>
      </c>
      <c r="AI1032" s="7" t="n"/>
      <c r="AL1032" s="11" t="n"/>
      <c r="AN1032">
        <f>IF($E1032="","",IF(COUNTIF($E$2:$E1032,$E1032)=1,1,0))</f>
        <v/>
      </c>
      <c r="AO1032">
        <f>IF($AN1032=1,SUMPRODUCT(--($AR$2:$AR$3001&lt;$AR1032))+1,"")</f>
        <v/>
      </c>
      <c r="AP1032">
        <f>IF($E1032="","",IF(OR($U1032=TRUE(),$U1032="TRUE"),1,0))</f>
        <v/>
      </c>
      <c r="AQ1032">
        <f>IF($E1032="","",IF($AD1032="Yes",1,0))</f>
        <v/>
      </c>
      <c r="AR1032">
        <f>IF($AN1032=1,IFERROR(VALUE(MID($E1032,2,20)),1000000000)+ROW()/100000,"")</f>
        <v/>
      </c>
    </row>
    <row r="1033">
      <c r="G1033" s="11" t="n"/>
      <c r="Q1033" s="7">
        <f>IF($E1033="","",P1033*AB1033/100)</f>
        <v/>
      </c>
      <c r="R1033" s="7" t="n"/>
      <c r="X1033" s="7" t="n"/>
      <c r="Y1033" s="7">
        <f>IF($E1033="","",AB1033*AE1033/100)</f>
        <v/>
      </c>
      <c r="Z1033" s="7">
        <f>IF($E1033="","",AB1033-Y1033)</f>
        <v/>
      </c>
      <c r="AA1033" s="7">
        <f>IF($E1033="","",Z1033-Q1033)</f>
        <v/>
      </c>
      <c r="AB1033" s="7" t="n"/>
      <c r="AE1033">
        <f>IF($E1033="","",IF($AQ1033=1,0,IF($AP1033=1,Settings!$C$6,Settings!$C$7))*100)</f>
        <v/>
      </c>
      <c r="AI1033" s="7" t="n"/>
      <c r="AL1033" s="11" t="n"/>
      <c r="AN1033">
        <f>IF($E1033="","",IF(COUNTIF($E$2:$E1033,$E1033)=1,1,0))</f>
        <v/>
      </c>
      <c r="AO1033">
        <f>IF($AN1033=1,SUMPRODUCT(--($AR$2:$AR$3001&lt;$AR1033))+1,"")</f>
        <v/>
      </c>
      <c r="AP1033">
        <f>IF($E1033="","",IF(OR($U1033=TRUE(),$U1033="TRUE"),1,0))</f>
        <v/>
      </c>
      <c r="AQ1033">
        <f>IF($E1033="","",IF($AD1033="Yes",1,0))</f>
        <v/>
      </c>
      <c r="AR1033">
        <f>IF($AN1033=1,IFERROR(VALUE(MID($E1033,2,20)),1000000000)+ROW()/100000,"")</f>
        <v/>
      </c>
    </row>
    <row r="1034">
      <c r="G1034" s="11" t="n"/>
      <c r="Q1034" s="7">
        <f>IF($E1034="","",P1034*AB1034/100)</f>
        <v/>
      </c>
      <c r="R1034" s="7" t="n"/>
      <c r="X1034" s="7" t="n"/>
      <c r="Y1034" s="7">
        <f>IF($E1034="","",AB1034*AE1034/100)</f>
        <v/>
      </c>
      <c r="Z1034" s="7">
        <f>IF($E1034="","",AB1034-Y1034)</f>
        <v/>
      </c>
      <c r="AA1034" s="7">
        <f>IF($E1034="","",Z1034-Q1034)</f>
        <v/>
      </c>
      <c r="AB1034" s="7" t="n"/>
      <c r="AE1034">
        <f>IF($E1034="","",IF($AQ1034=1,0,IF($AP1034=1,Settings!$C$6,Settings!$C$7))*100)</f>
        <v/>
      </c>
      <c r="AI1034" s="7" t="n"/>
      <c r="AL1034" s="11" t="n"/>
      <c r="AN1034">
        <f>IF($E1034="","",IF(COUNTIF($E$2:$E1034,$E1034)=1,1,0))</f>
        <v/>
      </c>
      <c r="AO1034">
        <f>IF($AN1034=1,SUMPRODUCT(--($AR$2:$AR$3001&lt;$AR1034))+1,"")</f>
        <v/>
      </c>
      <c r="AP1034">
        <f>IF($E1034="","",IF(OR($U1034=TRUE(),$U1034="TRUE"),1,0))</f>
        <v/>
      </c>
      <c r="AQ1034">
        <f>IF($E1034="","",IF($AD1034="Yes",1,0))</f>
        <v/>
      </c>
      <c r="AR1034">
        <f>IF($AN1034=1,IFERROR(VALUE(MID($E1034,2,20)),1000000000)+ROW()/100000,"")</f>
        <v/>
      </c>
    </row>
    <row r="1035">
      <c r="G1035" s="11" t="n"/>
      <c r="Q1035" s="7">
        <f>IF($E1035="","",P1035*AB1035/100)</f>
        <v/>
      </c>
      <c r="R1035" s="7" t="n"/>
      <c r="X1035" s="7" t="n"/>
      <c r="Y1035" s="7">
        <f>IF($E1035="","",AB1035*AE1035/100)</f>
        <v/>
      </c>
      <c r="Z1035" s="7">
        <f>IF($E1035="","",AB1035-Y1035)</f>
        <v/>
      </c>
      <c r="AA1035" s="7">
        <f>IF($E1035="","",Z1035-Q1035)</f>
        <v/>
      </c>
      <c r="AB1035" s="7" t="n"/>
      <c r="AE1035">
        <f>IF($E1035="","",IF($AQ1035=1,0,IF($AP1035=1,Settings!$C$6,Settings!$C$7))*100)</f>
        <v/>
      </c>
      <c r="AI1035" s="7" t="n"/>
      <c r="AL1035" s="11" t="n"/>
      <c r="AN1035">
        <f>IF($E1035="","",IF(COUNTIF($E$2:$E1035,$E1035)=1,1,0))</f>
        <v/>
      </c>
      <c r="AO1035">
        <f>IF($AN1035=1,SUMPRODUCT(--($AR$2:$AR$3001&lt;$AR1035))+1,"")</f>
        <v/>
      </c>
      <c r="AP1035">
        <f>IF($E1035="","",IF(OR($U1035=TRUE(),$U1035="TRUE"),1,0))</f>
        <v/>
      </c>
      <c r="AQ1035">
        <f>IF($E1035="","",IF($AD1035="Yes",1,0))</f>
        <v/>
      </c>
      <c r="AR1035">
        <f>IF($AN1035=1,IFERROR(VALUE(MID($E1035,2,20)),1000000000)+ROW()/100000,"")</f>
        <v/>
      </c>
    </row>
    <row r="1036">
      <c r="G1036" s="11" t="n"/>
      <c r="Q1036" s="7">
        <f>IF($E1036="","",P1036*AB1036/100)</f>
        <v/>
      </c>
      <c r="R1036" s="7" t="n"/>
      <c r="X1036" s="7" t="n"/>
      <c r="Y1036" s="7">
        <f>IF($E1036="","",AB1036*AE1036/100)</f>
        <v/>
      </c>
      <c r="Z1036" s="7">
        <f>IF($E1036="","",AB1036-Y1036)</f>
        <v/>
      </c>
      <c r="AA1036" s="7">
        <f>IF($E1036="","",Z1036-Q1036)</f>
        <v/>
      </c>
      <c r="AB1036" s="7" t="n"/>
      <c r="AE1036">
        <f>IF($E1036="","",IF($AQ1036=1,0,IF($AP1036=1,Settings!$C$6,Settings!$C$7))*100)</f>
        <v/>
      </c>
      <c r="AI1036" s="7" t="n"/>
      <c r="AL1036" s="11" t="n"/>
      <c r="AN1036">
        <f>IF($E1036="","",IF(COUNTIF($E$2:$E1036,$E1036)=1,1,0))</f>
        <v/>
      </c>
      <c r="AO1036">
        <f>IF($AN1036=1,SUMPRODUCT(--($AR$2:$AR$3001&lt;$AR1036))+1,"")</f>
        <v/>
      </c>
      <c r="AP1036">
        <f>IF($E1036="","",IF(OR($U1036=TRUE(),$U1036="TRUE"),1,0))</f>
        <v/>
      </c>
      <c r="AQ1036">
        <f>IF($E1036="","",IF($AD1036="Yes",1,0))</f>
        <v/>
      </c>
      <c r="AR1036">
        <f>IF($AN1036=1,IFERROR(VALUE(MID($E1036,2,20)),1000000000)+ROW()/100000,"")</f>
        <v/>
      </c>
    </row>
    <row r="1037">
      <c r="G1037" s="11" t="n"/>
      <c r="Q1037" s="7">
        <f>IF($E1037="","",P1037*AB1037/100)</f>
        <v/>
      </c>
      <c r="R1037" s="7" t="n"/>
      <c r="X1037" s="7" t="n"/>
      <c r="Y1037" s="7">
        <f>IF($E1037="","",AB1037*AE1037/100)</f>
        <v/>
      </c>
      <c r="Z1037" s="7">
        <f>IF($E1037="","",AB1037-Y1037)</f>
        <v/>
      </c>
      <c r="AA1037" s="7">
        <f>IF($E1037="","",Z1037-Q1037)</f>
        <v/>
      </c>
      <c r="AB1037" s="7" t="n"/>
      <c r="AE1037">
        <f>IF($E1037="","",IF($AQ1037=1,0,IF($AP1037=1,Settings!$C$6,Settings!$C$7))*100)</f>
        <v/>
      </c>
      <c r="AI1037" s="7" t="n"/>
      <c r="AL1037" s="11" t="n"/>
      <c r="AN1037">
        <f>IF($E1037="","",IF(COUNTIF($E$2:$E1037,$E1037)=1,1,0))</f>
        <v/>
      </c>
      <c r="AO1037">
        <f>IF($AN1037=1,SUMPRODUCT(--($AR$2:$AR$3001&lt;$AR1037))+1,"")</f>
        <v/>
      </c>
      <c r="AP1037">
        <f>IF($E1037="","",IF(OR($U1037=TRUE(),$U1037="TRUE"),1,0))</f>
        <v/>
      </c>
      <c r="AQ1037">
        <f>IF($E1037="","",IF($AD1037="Yes",1,0))</f>
        <v/>
      </c>
      <c r="AR1037">
        <f>IF($AN1037=1,IFERROR(VALUE(MID($E1037,2,20)),1000000000)+ROW()/100000,"")</f>
        <v/>
      </c>
    </row>
    <row r="1038">
      <c r="G1038" s="11" t="n"/>
      <c r="Q1038" s="7">
        <f>IF($E1038="","",P1038*AB1038/100)</f>
        <v/>
      </c>
      <c r="R1038" s="7" t="n"/>
      <c r="X1038" s="7" t="n"/>
      <c r="Y1038" s="7">
        <f>IF($E1038="","",AB1038*AE1038/100)</f>
        <v/>
      </c>
      <c r="Z1038" s="7">
        <f>IF($E1038="","",AB1038-Y1038)</f>
        <v/>
      </c>
      <c r="AA1038" s="7">
        <f>IF($E1038="","",Z1038-Q1038)</f>
        <v/>
      </c>
      <c r="AB1038" s="7" t="n"/>
      <c r="AE1038">
        <f>IF($E1038="","",IF($AQ1038=1,0,IF($AP1038=1,Settings!$C$6,Settings!$C$7))*100)</f>
        <v/>
      </c>
      <c r="AI1038" s="7" t="n"/>
      <c r="AL1038" s="11" t="n"/>
      <c r="AN1038">
        <f>IF($E1038="","",IF(COUNTIF($E$2:$E1038,$E1038)=1,1,0))</f>
        <v/>
      </c>
      <c r="AO1038">
        <f>IF($AN1038=1,SUMPRODUCT(--($AR$2:$AR$3001&lt;$AR1038))+1,"")</f>
        <v/>
      </c>
      <c r="AP1038">
        <f>IF($E1038="","",IF(OR($U1038=TRUE(),$U1038="TRUE"),1,0))</f>
        <v/>
      </c>
      <c r="AQ1038">
        <f>IF($E1038="","",IF($AD1038="Yes",1,0))</f>
        <v/>
      </c>
      <c r="AR1038">
        <f>IF($AN1038=1,IFERROR(VALUE(MID($E1038,2,20)),1000000000)+ROW()/100000,"")</f>
        <v/>
      </c>
    </row>
    <row r="1039">
      <c r="G1039" s="11" t="n"/>
      <c r="Q1039" s="7">
        <f>IF($E1039="","",P1039*AB1039/100)</f>
        <v/>
      </c>
      <c r="R1039" s="7" t="n"/>
      <c r="X1039" s="7" t="n"/>
      <c r="Y1039" s="7">
        <f>IF($E1039="","",AB1039*AE1039/100)</f>
        <v/>
      </c>
      <c r="Z1039" s="7">
        <f>IF($E1039="","",AB1039-Y1039)</f>
        <v/>
      </c>
      <c r="AA1039" s="7">
        <f>IF($E1039="","",Z1039-Q1039)</f>
        <v/>
      </c>
      <c r="AB1039" s="7" t="n"/>
      <c r="AE1039">
        <f>IF($E1039="","",IF($AQ1039=1,0,IF($AP1039=1,Settings!$C$6,Settings!$C$7))*100)</f>
        <v/>
      </c>
      <c r="AI1039" s="7" t="n"/>
      <c r="AL1039" s="11" t="n"/>
      <c r="AN1039">
        <f>IF($E1039="","",IF(COUNTIF($E$2:$E1039,$E1039)=1,1,0))</f>
        <v/>
      </c>
      <c r="AO1039">
        <f>IF($AN1039=1,SUMPRODUCT(--($AR$2:$AR$3001&lt;$AR1039))+1,"")</f>
        <v/>
      </c>
      <c r="AP1039">
        <f>IF($E1039="","",IF(OR($U1039=TRUE(),$U1039="TRUE"),1,0))</f>
        <v/>
      </c>
      <c r="AQ1039">
        <f>IF($E1039="","",IF($AD1039="Yes",1,0))</f>
        <v/>
      </c>
      <c r="AR1039">
        <f>IF($AN1039=1,IFERROR(VALUE(MID($E1039,2,20)),1000000000)+ROW()/100000,"")</f>
        <v/>
      </c>
    </row>
    <row r="1040">
      <c r="G1040" s="11" t="n"/>
      <c r="Q1040" s="7">
        <f>IF($E1040="","",P1040*AB1040/100)</f>
        <v/>
      </c>
      <c r="R1040" s="7" t="n"/>
      <c r="X1040" s="7" t="n"/>
      <c r="Y1040" s="7">
        <f>IF($E1040="","",AB1040*AE1040/100)</f>
        <v/>
      </c>
      <c r="Z1040" s="7">
        <f>IF($E1040="","",AB1040-Y1040)</f>
        <v/>
      </c>
      <c r="AA1040" s="7">
        <f>IF($E1040="","",Z1040-Q1040)</f>
        <v/>
      </c>
      <c r="AB1040" s="7" t="n"/>
      <c r="AE1040">
        <f>IF($E1040="","",IF($AQ1040=1,0,IF($AP1040=1,Settings!$C$6,Settings!$C$7))*100)</f>
        <v/>
      </c>
      <c r="AI1040" s="7" t="n"/>
      <c r="AL1040" s="11" t="n"/>
      <c r="AN1040">
        <f>IF($E1040="","",IF(COUNTIF($E$2:$E1040,$E1040)=1,1,0))</f>
        <v/>
      </c>
      <c r="AO1040">
        <f>IF($AN1040=1,SUMPRODUCT(--($AR$2:$AR$3001&lt;$AR1040))+1,"")</f>
        <v/>
      </c>
      <c r="AP1040">
        <f>IF($E1040="","",IF(OR($U1040=TRUE(),$U1040="TRUE"),1,0))</f>
        <v/>
      </c>
      <c r="AQ1040">
        <f>IF($E1040="","",IF($AD1040="Yes",1,0))</f>
        <v/>
      </c>
      <c r="AR1040">
        <f>IF($AN1040=1,IFERROR(VALUE(MID($E1040,2,20)),1000000000)+ROW()/100000,"")</f>
        <v/>
      </c>
    </row>
    <row r="1041">
      <c r="G1041" s="11" t="n"/>
      <c r="Q1041" s="7">
        <f>IF($E1041="","",P1041*AB1041/100)</f>
        <v/>
      </c>
      <c r="R1041" s="7" t="n"/>
      <c r="X1041" s="7" t="n"/>
      <c r="Y1041" s="7">
        <f>IF($E1041="","",AB1041*AE1041/100)</f>
        <v/>
      </c>
      <c r="Z1041" s="7">
        <f>IF($E1041="","",AB1041-Y1041)</f>
        <v/>
      </c>
      <c r="AA1041" s="7">
        <f>IF($E1041="","",Z1041-Q1041)</f>
        <v/>
      </c>
      <c r="AB1041" s="7" t="n"/>
      <c r="AE1041">
        <f>IF($E1041="","",IF($AQ1041=1,0,IF($AP1041=1,Settings!$C$6,Settings!$C$7))*100)</f>
        <v/>
      </c>
      <c r="AI1041" s="7" t="n"/>
      <c r="AL1041" s="11" t="n"/>
      <c r="AN1041">
        <f>IF($E1041="","",IF(COUNTIF($E$2:$E1041,$E1041)=1,1,0))</f>
        <v/>
      </c>
      <c r="AO1041">
        <f>IF($AN1041=1,SUMPRODUCT(--($AR$2:$AR$3001&lt;$AR1041))+1,"")</f>
        <v/>
      </c>
      <c r="AP1041">
        <f>IF($E1041="","",IF(OR($U1041=TRUE(),$U1041="TRUE"),1,0))</f>
        <v/>
      </c>
      <c r="AQ1041">
        <f>IF($E1041="","",IF($AD1041="Yes",1,0))</f>
        <v/>
      </c>
      <c r="AR1041">
        <f>IF($AN1041=1,IFERROR(VALUE(MID($E1041,2,20)),1000000000)+ROW()/100000,"")</f>
        <v/>
      </c>
    </row>
    <row r="1042">
      <c r="G1042" s="11" t="n"/>
      <c r="Q1042" s="7">
        <f>IF($E1042="","",P1042*AB1042/100)</f>
        <v/>
      </c>
      <c r="R1042" s="7" t="n"/>
      <c r="X1042" s="7" t="n"/>
      <c r="Y1042" s="7">
        <f>IF($E1042="","",AB1042*AE1042/100)</f>
        <v/>
      </c>
      <c r="Z1042" s="7">
        <f>IF($E1042="","",AB1042-Y1042)</f>
        <v/>
      </c>
      <c r="AA1042" s="7">
        <f>IF($E1042="","",Z1042-Q1042)</f>
        <v/>
      </c>
      <c r="AB1042" s="7" t="n"/>
      <c r="AE1042">
        <f>IF($E1042="","",IF($AQ1042=1,0,IF($AP1042=1,Settings!$C$6,Settings!$C$7))*100)</f>
        <v/>
      </c>
      <c r="AI1042" s="7" t="n"/>
      <c r="AL1042" s="11" t="n"/>
      <c r="AN1042">
        <f>IF($E1042="","",IF(COUNTIF($E$2:$E1042,$E1042)=1,1,0))</f>
        <v/>
      </c>
      <c r="AO1042">
        <f>IF($AN1042=1,SUMPRODUCT(--($AR$2:$AR$3001&lt;$AR1042))+1,"")</f>
        <v/>
      </c>
      <c r="AP1042">
        <f>IF($E1042="","",IF(OR($U1042=TRUE(),$U1042="TRUE"),1,0))</f>
        <v/>
      </c>
      <c r="AQ1042">
        <f>IF($E1042="","",IF($AD1042="Yes",1,0))</f>
        <v/>
      </c>
      <c r="AR1042">
        <f>IF($AN1042=1,IFERROR(VALUE(MID($E1042,2,20)),1000000000)+ROW()/100000,"")</f>
        <v/>
      </c>
    </row>
    <row r="1043">
      <c r="G1043" s="11" t="n"/>
      <c r="Q1043" s="7">
        <f>IF($E1043="","",P1043*AB1043/100)</f>
        <v/>
      </c>
      <c r="R1043" s="7" t="n"/>
      <c r="X1043" s="7" t="n"/>
      <c r="Y1043" s="7">
        <f>IF($E1043="","",AB1043*AE1043/100)</f>
        <v/>
      </c>
      <c r="Z1043" s="7">
        <f>IF($E1043="","",AB1043-Y1043)</f>
        <v/>
      </c>
      <c r="AA1043" s="7">
        <f>IF($E1043="","",Z1043-Q1043)</f>
        <v/>
      </c>
      <c r="AB1043" s="7" t="n"/>
      <c r="AE1043">
        <f>IF($E1043="","",IF($AQ1043=1,0,IF($AP1043=1,Settings!$C$6,Settings!$C$7))*100)</f>
        <v/>
      </c>
      <c r="AI1043" s="7" t="n"/>
      <c r="AL1043" s="11" t="n"/>
      <c r="AN1043">
        <f>IF($E1043="","",IF(COUNTIF($E$2:$E1043,$E1043)=1,1,0))</f>
        <v/>
      </c>
      <c r="AO1043">
        <f>IF($AN1043=1,SUMPRODUCT(--($AR$2:$AR$3001&lt;$AR1043))+1,"")</f>
        <v/>
      </c>
      <c r="AP1043">
        <f>IF($E1043="","",IF(OR($U1043=TRUE(),$U1043="TRUE"),1,0))</f>
        <v/>
      </c>
      <c r="AQ1043">
        <f>IF($E1043="","",IF($AD1043="Yes",1,0))</f>
        <v/>
      </c>
      <c r="AR1043">
        <f>IF($AN1043=1,IFERROR(VALUE(MID($E1043,2,20)),1000000000)+ROW()/100000,"")</f>
        <v/>
      </c>
    </row>
    <row r="1044">
      <c r="G1044" s="11" t="n"/>
      <c r="Q1044" s="7">
        <f>IF($E1044="","",P1044*AB1044/100)</f>
        <v/>
      </c>
      <c r="R1044" s="7" t="n"/>
      <c r="X1044" s="7" t="n"/>
      <c r="Y1044" s="7">
        <f>IF($E1044="","",AB1044*AE1044/100)</f>
        <v/>
      </c>
      <c r="Z1044" s="7">
        <f>IF($E1044="","",AB1044-Y1044)</f>
        <v/>
      </c>
      <c r="AA1044" s="7">
        <f>IF($E1044="","",Z1044-Q1044)</f>
        <v/>
      </c>
      <c r="AB1044" s="7" t="n"/>
      <c r="AE1044">
        <f>IF($E1044="","",IF($AQ1044=1,0,IF($AP1044=1,Settings!$C$6,Settings!$C$7))*100)</f>
        <v/>
      </c>
      <c r="AI1044" s="7" t="n"/>
      <c r="AL1044" s="11" t="n"/>
      <c r="AN1044">
        <f>IF($E1044="","",IF(COUNTIF($E$2:$E1044,$E1044)=1,1,0))</f>
        <v/>
      </c>
      <c r="AO1044">
        <f>IF($AN1044=1,SUMPRODUCT(--($AR$2:$AR$3001&lt;$AR1044))+1,"")</f>
        <v/>
      </c>
      <c r="AP1044">
        <f>IF($E1044="","",IF(OR($U1044=TRUE(),$U1044="TRUE"),1,0))</f>
        <v/>
      </c>
      <c r="AQ1044">
        <f>IF($E1044="","",IF($AD1044="Yes",1,0))</f>
        <v/>
      </c>
      <c r="AR1044">
        <f>IF($AN1044=1,IFERROR(VALUE(MID($E1044,2,20)),1000000000)+ROW()/100000,"")</f>
        <v/>
      </c>
    </row>
    <row r="1045">
      <c r="G1045" s="11" t="n"/>
      <c r="Q1045" s="7">
        <f>IF($E1045="","",P1045*AB1045/100)</f>
        <v/>
      </c>
      <c r="R1045" s="7" t="n"/>
      <c r="X1045" s="7" t="n"/>
      <c r="Y1045" s="7">
        <f>IF($E1045="","",AB1045*AE1045/100)</f>
        <v/>
      </c>
      <c r="Z1045" s="7">
        <f>IF($E1045="","",AB1045-Y1045)</f>
        <v/>
      </c>
      <c r="AA1045" s="7">
        <f>IF($E1045="","",Z1045-Q1045)</f>
        <v/>
      </c>
      <c r="AB1045" s="7" t="n"/>
      <c r="AE1045">
        <f>IF($E1045="","",IF($AQ1045=1,0,IF($AP1045=1,Settings!$C$6,Settings!$C$7))*100)</f>
        <v/>
      </c>
      <c r="AI1045" s="7" t="n"/>
      <c r="AL1045" s="11" t="n"/>
      <c r="AN1045">
        <f>IF($E1045="","",IF(COUNTIF($E$2:$E1045,$E1045)=1,1,0))</f>
        <v/>
      </c>
      <c r="AO1045">
        <f>IF($AN1045=1,SUMPRODUCT(--($AR$2:$AR$3001&lt;$AR1045))+1,"")</f>
        <v/>
      </c>
      <c r="AP1045">
        <f>IF($E1045="","",IF(OR($U1045=TRUE(),$U1045="TRUE"),1,0))</f>
        <v/>
      </c>
      <c r="AQ1045">
        <f>IF($E1045="","",IF($AD1045="Yes",1,0))</f>
        <v/>
      </c>
      <c r="AR1045">
        <f>IF($AN1045=1,IFERROR(VALUE(MID($E1045,2,20)),1000000000)+ROW()/100000,"")</f>
        <v/>
      </c>
    </row>
    <row r="1046">
      <c r="G1046" s="11" t="n"/>
      <c r="Q1046" s="7">
        <f>IF($E1046="","",P1046*AB1046/100)</f>
        <v/>
      </c>
      <c r="R1046" s="7" t="n"/>
      <c r="X1046" s="7" t="n"/>
      <c r="Y1046" s="7">
        <f>IF($E1046="","",AB1046*AE1046/100)</f>
        <v/>
      </c>
      <c r="Z1046" s="7">
        <f>IF($E1046="","",AB1046-Y1046)</f>
        <v/>
      </c>
      <c r="AA1046" s="7">
        <f>IF($E1046="","",Z1046-Q1046)</f>
        <v/>
      </c>
      <c r="AB1046" s="7" t="n"/>
      <c r="AE1046">
        <f>IF($E1046="","",IF($AQ1046=1,0,IF($AP1046=1,Settings!$C$6,Settings!$C$7))*100)</f>
        <v/>
      </c>
      <c r="AI1046" s="7" t="n"/>
      <c r="AL1046" s="11" t="n"/>
      <c r="AN1046">
        <f>IF($E1046="","",IF(COUNTIF($E$2:$E1046,$E1046)=1,1,0))</f>
        <v/>
      </c>
      <c r="AO1046">
        <f>IF($AN1046=1,SUMPRODUCT(--($AR$2:$AR$3001&lt;$AR1046))+1,"")</f>
        <v/>
      </c>
      <c r="AP1046">
        <f>IF($E1046="","",IF(OR($U1046=TRUE(),$U1046="TRUE"),1,0))</f>
        <v/>
      </c>
      <c r="AQ1046">
        <f>IF($E1046="","",IF($AD1046="Yes",1,0))</f>
        <v/>
      </c>
      <c r="AR1046">
        <f>IF($AN1046=1,IFERROR(VALUE(MID($E1046,2,20)),1000000000)+ROW()/100000,"")</f>
        <v/>
      </c>
    </row>
    <row r="1047">
      <c r="G1047" s="11" t="n"/>
      <c r="Q1047" s="7">
        <f>IF($E1047="","",P1047*AB1047/100)</f>
        <v/>
      </c>
      <c r="R1047" s="7" t="n"/>
      <c r="X1047" s="7" t="n"/>
      <c r="Y1047" s="7">
        <f>IF($E1047="","",AB1047*AE1047/100)</f>
        <v/>
      </c>
      <c r="Z1047" s="7">
        <f>IF($E1047="","",AB1047-Y1047)</f>
        <v/>
      </c>
      <c r="AA1047" s="7">
        <f>IF($E1047="","",Z1047-Q1047)</f>
        <v/>
      </c>
      <c r="AB1047" s="7" t="n"/>
      <c r="AE1047">
        <f>IF($E1047="","",IF($AQ1047=1,0,IF($AP1047=1,Settings!$C$6,Settings!$C$7))*100)</f>
        <v/>
      </c>
      <c r="AI1047" s="7" t="n"/>
      <c r="AL1047" s="11" t="n"/>
      <c r="AN1047">
        <f>IF($E1047="","",IF(COUNTIF($E$2:$E1047,$E1047)=1,1,0))</f>
        <v/>
      </c>
      <c r="AO1047">
        <f>IF($AN1047=1,SUMPRODUCT(--($AR$2:$AR$3001&lt;$AR1047))+1,"")</f>
        <v/>
      </c>
      <c r="AP1047">
        <f>IF($E1047="","",IF(OR($U1047=TRUE(),$U1047="TRUE"),1,0))</f>
        <v/>
      </c>
      <c r="AQ1047">
        <f>IF($E1047="","",IF($AD1047="Yes",1,0))</f>
        <v/>
      </c>
      <c r="AR1047">
        <f>IF($AN1047=1,IFERROR(VALUE(MID($E1047,2,20)),1000000000)+ROW()/100000,"")</f>
        <v/>
      </c>
    </row>
    <row r="1048">
      <c r="G1048" s="11" t="n"/>
      <c r="Q1048" s="7">
        <f>IF($E1048="","",P1048*AB1048/100)</f>
        <v/>
      </c>
      <c r="R1048" s="7" t="n"/>
      <c r="X1048" s="7" t="n"/>
      <c r="Y1048" s="7">
        <f>IF($E1048="","",AB1048*AE1048/100)</f>
        <v/>
      </c>
      <c r="Z1048" s="7">
        <f>IF($E1048="","",AB1048-Y1048)</f>
        <v/>
      </c>
      <c r="AA1048" s="7">
        <f>IF($E1048="","",Z1048-Q1048)</f>
        <v/>
      </c>
      <c r="AB1048" s="7" t="n"/>
      <c r="AE1048">
        <f>IF($E1048="","",IF($AQ1048=1,0,IF($AP1048=1,Settings!$C$6,Settings!$C$7))*100)</f>
        <v/>
      </c>
      <c r="AI1048" s="7" t="n"/>
      <c r="AL1048" s="11" t="n"/>
      <c r="AN1048">
        <f>IF($E1048="","",IF(COUNTIF($E$2:$E1048,$E1048)=1,1,0))</f>
        <v/>
      </c>
      <c r="AO1048">
        <f>IF($AN1048=1,SUMPRODUCT(--($AR$2:$AR$3001&lt;$AR1048))+1,"")</f>
        <v/>
      </c>
      <c r="AP1048">
        <f>IF($E1048="","",IF(OR($U1048=TRUE(),$U1048="TRUE"),1,0))</f>
        <v/>
      </c>
      <c r="AQ1048">
        <f>IF($E1048="","",IF($AD1048="Yes",1,0))</f>
        <v/>
      </c>
      <c r="AR1048">
        <f>IF($AN1048=1,IFERROR(VALUE(MID($E1048,2,20)),1000000000)+ROW()/100000,"")</f>
        <v/>
      </c>
    </row>
    <row r="1049">
      <c r="G1049" s="11" t="n"/>
      <c r="Q1049" s="7">
        <f>IF($E1049="","",P1049*AB1049/100)</f>
        <v/>
      </c>
      <c r="R1049" s="7" t="n"/>
      <c r="X1049" s="7" t="n"/>
      <c r="Y1049" s="7">
        <f>IF($E1049="","",AB1049*AE1049/100)</f>
        <v/>
      </c>
      <c r="Z1049" s="7">
        <f>IF($E1049="","",AB1049-Y1049)</f>
        <v/>
      </c>
      <c r="AA1049" s="7">
        <f>IF($E1049="","",Z1049-Q1049)</f>
        <v/>
      </c>
      <c r="AB1049" s="7" t="n"/>
      <c r="AE1049">
        <f>IF($E1049="","",IF($AQ1049=1,0,IF($AP1049=1,Settings!$C$6,Settings!$C$7))*100)</f>
        <v/>
      </c>
      <c r="AI1049" s="7" t="n"/>
      <c r="AL1049" s="11" t="n"/>
      <c r="AN1049">
        <f>IF($E1049="","",IF(COUNTIF($E$2:$E1049,$E1049)=1,1,0))</f>
        <v/>
      </c>
      <c r="AO1049">
        <f>IF($AN1049=1,SUMPRODUCT(--($AR$2:$AR$3001&lt;$AR1049))+1,"")</f>
        <v/>
      </c>
      <c r="AP1049">
        <f>IF($E1049="","",IF(OR($U1049=TRUE(),$U1049="TRUE"),1,0))</f>
        <v/>
      </c>
      <c r="AQ1049">
        <f>IF($E1049="","",IF($AD1049="Yes",1,0))</f>
        <v/>
      </c>
      <c r="AR1049">
        <f>IF($AN1049=1,IFERROR(VALUE(MID($E1049,2,20)),1000000000)+ROW()/100000,"")</f>
        <v/>
      </c>
    </row>
    <row r="1050">
      <c r="G1050" s="11" t="n"/>
      <c r="Q1050" s="7">
        <f>IF($E1050="","",P1050*AB1050/100)</f>
        <v/>
      </c>
      <c r="R1050" s="7" t="n"/>
      <c r="X1050" s="7" t="n"/>
      <c r="Y1050" s="7">
        <f>IF($E1050="","",AB1050*AE1050/100)</f>
        <v/>
      </c>
      <c r="Z1050" s="7">
        <f>IF($E1050="","",AB1050-Y1050)</f>
        <v/>
      </c>
      <c r="AA1050" s="7">
        <f>IF($E1050="","",Z1050-Q1050)</f>
        <v/>
      </c>
      <c r="AB1050" s="7" t="n"/>
      <c r="AE1050">
        <f>IF($E1050="","",IF($AQ1050=1,0,IF($AP1050=1,Settings!$C$6,Settings!$C$7))*100)</f>
        <v/>
      </c>
      <c r="AI1050" s="7" t="n"/>
      <c r="AL1050" s="11" t="n"/>
      <c r="AN1050">
        <f>IF($E1050="","",IF(COUNTIF($E$2:$E1050,$E1050)=1,1,0))</f>
        <v/>
      </c>
      <c r="AO1050">
        <f>IF($AN1050=1,SUMPRODUCT(--($AR$2:$AR$3001&lt;$AR1050))+1,"")</f>
        <v/>
      </c>
      <c r="AP1050">
        <f>IF($E1050="","",IF(OR($U1050=TRUE(),$U1050="TRUE"),1,0))</f>
        <v/>
      </c>
      <c r="AQ1050">
        <f>IF($E1050="","",IF($AD1050="Yes",1,0))</f>
        <v/>
      </c>
      <c r="AR1050">
        <f>IF($AN1050=1,IFERROR(VALUE(MID($E1050,2,20)),1000000000)+ROW()/100000,"")</f>
        <v/>
      </c>
    </row>
    <row r="1051">
      <c r="G1051" s="11" t="n"/>
      <c r="Q1051" s="7">
        <f>IF($E1051="","",P1051*AB1051/100)</f>
        <v/>
      </c>
      <c r="R1051" s="7" t="n"/>
      <c r="X1051" s="7" t="n"/>
      <c r="Y1051" s="7">
        <f>IF($E1051="","",AB1051*AE1051/100)</f>
        <v/>
      </c>
      <c r="Z1051" s="7">
        <f>IF($E1051="","",AB1051-Y1051)</f>
        <v/>
      </c>
      <c r="AA1051" s="7">
        <f>IF($E1051="","",Z1051-Q1051)</f>
        <v/>
      </c>
      <c r="AB1051" s="7" t="n"/>
      <c r="AE1051">
        <f>IF($E1051="","",IF($AQ1051=1,0,IF($AP1051=1,Settings!$C$6,Settings!$C$7))*100)</f>
        <v/>
      </c>
      <c r="AI1051" s="7" t="n"/>
      <c r="AL1051" s="11" t="n"/>
      <c r="AN1051">
        <f>IF($E1051="","",IF(COUNTIF($E$2:$E1051,$E1051)=1,1,0))</f>
        <v/>
      </c>
      <c r="AO1051">
        <f>IF($AN1051=1,SUMPRODUCT(--($AR$2:$AR$3001&lt;$AR1051))+1,"")</f>
        <v/>
      </c>
      <c r="AP1051">
        <f>IF($E1051="","",IF(OR($U1051=TRUE(),$U1051="TRUE"),1,0))</f>
        <v/>
      </c>
      <c r="AQ1051">
        <f>IF($E1051="","",IF($AD1051="Yes",1,0))</f>
        <v/>
      </c>
      <c r="AR1051">
        <f>IF($AN1051=1,IFERROR(VALUE(MID($E1051,2,20)),1000000000)+ROW()/100000,"")</f>
        <v/>
      </c>
    </row>
    <row r="1052">
      <c r="G1052" s="11" t="n"/>
      <c r="Q1052" s="7">
        <f>IF($E1052="","",P1052*AB1052/100)</f>
        <v/>
      </c>
      <c r="R1052" s="7" t="n"/>
      <c r="X1052" s="7" t="n"/>
      <c r="Y1052" s="7">
        <f>IF($E1052="","",AB1052*AE1052/100)</f>
        <v/>
      </c>
      <c r="Z1052" s="7">
        <f>IF($E1052="","",AB1052-Y1052)</f>
        <v/>
      </c>
      <c r="AA1052" s="7">
        <f>IF($E1052="","",Z1052-Q1052)</f>
        <v/>
      </c>
      <c r="AB1052" s="7" t="n"/>
      <c r="AE1052">
        <f>IF($E1052="","",IF($AQ1052=1,0,IF($AP1052=1,Settings!$C$6,Settings!$C$7))*100)</f>
        <v/>
      </c>
      <c r="AI1052" s="7" t="n"/>
      <c r="AL1052" s="11" t="n"/>
      <c r="AN1052">
        <f>IF($E1052="","",IF(COUNTIF($E$2:$E1052,$E1052)=1,1,0))</f>
        <v/>
      </c>
      <c r="AO1052">
        <f>IF($AN1052=1,SUMPRODUCT(--($AR$2:$AR$3001&lt;$AR1052))+1,"")</f>
        <v/>
      </c>
      <c r="AP1052">
        <f>IF($E1052="","",IF(OR($U1052=TRUE(),$U1052="TRUE"),1,0))</f>
        <v/>
      </c>
      <c r="AQ1052">
        <f>IF($E1052="","",IF($AD1052="Yes",1,0))</f>
        <v/>
      </c>
      <c r="AR1052">
        <f>IF($AN1052=1,IFERROR(VALUE(MID($E1052,2,20)),1000000000)+ROW()/100000,"")</f>
        <v/>
      </c>
    </row>
    <row r="1053">
      <c r="G1053" s="11" t="n"/>
      <c r="Q1053" s="7">
        <f>IF($E1053="","",P1053*AB1053/100)</f>
        <v/>
      </c>
      <c r="R1053" s="7" t="n"/>
      <c r="X1053" s="7" t="n"/>
      <c r="Y1053" s="7">
        <f>IF($E1053="","",AB1053*AE1053/100)</f>
        <v/>
      </c>
      <c r="Z1053" s="7">
        <f>IF($E1053="","",AB1053-Y1053)</f>
        <v/>
      </c>
      <c r="AA1053" s="7">
        <f>IF($E1053="","",Z1053-Q1053)</f>
        <v/>
      </c>
      <c r="AB1053" s="7" t="n"/>
      <c r="AE1053">
        <f>IF($E1053="","",IF($AQ1053=1,0,IF($AP1053=1,Settings!$C$6,Settings!$C$7))*100)</f>
        <v/>
      </c>
      <c r="AI1053" s="7" t="n"/>
      <c r="AL1053" s="11" t="n"/>
      <c r="AN1053">
        <f>IF($E1053="","",IF(COUNTIF($E$2:$E1053,$E1053)=1,1,0))</f>
        <v/>
      </c>
      <c r="AO1053">
        <f>IF($AN1053=1,SUMPRODUCT(--($AR$2:$AR$3001&lt;$AR1053))+1,"")</f>
        <v/>
      </c>
      <c r="AP1053">
        <f>IF($E1053="","",IF(OR($U1053=TRUE(),$U1053="TRUE"),1,0))</f>
        <v/>
      </c>
      <c r="AQ1053">
        <f>IF($E1053="","",IF($AD1053="Yes",1,0))</f>
        <v/>
      </c>
      <c r="AR1053">
        <f>IF($AN1053=1,IFERROR(VALUE(MID($E1053,2,20)),1000000000)+ROW()/100000,"")</f>
        <v/>
      </c>
    </row>
    <row r="1054">
      <c r="G1054" s="11" t="n"/>
      <c r="Q1054" s="7">
        <f>IF($E1054="","",P1054*AB1054/100)</f>
        <v/>
      </c>
      <c r="R1054" s="7" t="n"/>
      <c r="X1054" s="7" t="n"/>
      <c r="Y1054" s="7">
        <f>IF($E1054="","",AB1054*AE1054/100)</f>
        <v/>
      </c>
      <c r="Z1054" s="7">
        <f>IF($E1054="","",AB1054-Y1054)</f>
        <v/>
      </c>
      <c r="AA1054" s="7">
        <f>IF($E1054="","",Z1054-Q1054)</f>
        <v/>
      </c>
      <c r="AB1054" s="7" t="n"/>
      <c r="AE1054">
        <f>IF($E1054="","",IF($AQ1054=1,0,IF($AP1054=1,Settings!$C$6,Settings!$C$7))*100)</f>
        <v/>
      </c>
      <c r="AI1054" s="7" t="n"/>
      <c r="AL1054" s="11" t="n"/>
      <c r="AN1054">
        <f>IF($E1054="","",IF(COUNTIF($E$2:$E1054,$E1054)=1,1,0))</f>
        <v/>
      </c>
      <c r="AO1054">
        <f>IF($AN1054=1,SUMPRODUCT(--($AR$2:$AR$3001&lt;$AR1054))+1,"")</f>
        <v/>
      </c>
      <c r="AP1054">
        <f>IF($E1054="","",IF(OR($U1054=TRUE(),$U1054="TRUE"),1,0))</f>
        <v/>
      </c>
      <c r="AQ1054">
        <f>IF($E1054="","",IF($AD1054="Yes",1,0))</f>
        <v/>
      </c>
      <c r="AR1054">
        <f>IF($AN1054=1,IFERROR(VALUE(MID($E1054,2,20)),1000000000)+ROW()/100000,"")</f>
        <v/>
      </c>
    </row>
    <row r="1055">
      <c r="G1055" s="11" t="n"/>
      <c r="Q1055" s="7">
        <f>IF($E1055="","",P1055*AB1055/100)</f>
        <v/>
      </c>
      <c r="R1055" s="7" t="n"/>
      <c r="X1055" s="7" t="n"/>
      <c r="Y1055" s="7">
        <f>IF($E1055="","",AB1055*AE1055/100)</f>
        <v/>
      </c>
      <c r="Z1055" s="7">
        <f>IF($E1055="","",AB1055-Y1055)</f>
        <v/>
      </c>
      <c r="AA1055" s="7">
        <f>IF($E1055="","",Z1055-Q1055)</f>
        <v/>
      </c>
      <c r="AB1055" s="7" t="n"/>
      <c r="AE1055">
        <f>IF($E1055="","",IF($AQ1055=1,0,IF($AP1055=1,Settings!$C$6,Settings!$C$7))*100)</f>
        <v/>
      </c>
      <c r="AI1055" s="7" t="n"/>
      <c r="AL1055" s="11" t="n"/>
      <c r="AN1055">
        <f>IF($E1055="","",IF(COUNTIF($E$2:$E1055,$E1055)=1,1,0))</f>
        <v/>
      </c>
      <c r="AO1055">
        <f>IF($AN1055=1,SUMPRODUCT(--($AR$2:$AR$3001&lt;$AR1055))+1,"")</f>
        <v/>
      </c>
      <c r="AP1055">
        <f>IF($E1055="","",IF(OR($U1055=TRUE(),$U1055="TRUE"),1,0))</f>
        <v/>
      </c>
      <c r="AQ1055">
        <f>IF($E1055="","",IF($AD1055="Yes",1,0))</f>
        <v/>
      </c>
      <c r="AR1055">
        <f>IF($AN1055=1,IFERROR(VALUE(MID($E1055,2,20)),1000000000)+ROW()/100000,"")</f>
        <v/>
      </c>
    </row>
    <row r="1056">
      <c r="G1056" s="11" t="n"/>
      <c r="Q1056" s="7">
        <f>IF($E1056="","",P1056*AB1056/100)</f>
        <v/>
      </c>
      <c r="R1056" s="7" t="n"/>
      <c r="X1056" s="7" t="n"/>
      <c r="Y1056" s="7">
        <f>IF($E1056="","",AB1056*AE1056/100)</f>
        <v/>
      </c>
      <c r="Z1056" s="7">
        <f>IF($E1056="","",AB1056-Y1056)</f>
        <v/>
      </c>
      <c r="AA1056" s="7">
        <f>IF($E1056="","",Z1056-Q1056)</f>
        <v/>
      </c>
      <c r="AB1056" s="7" t="n"/>
      <c r="AE1056">
        <f>IF($E1056="","",IF($AQ1056=1,0,IF($AP1056=1,Settings!$C$6,Settings!$C$7))*100)</f>
        <v/>
      </c>
      <c r="AI1056" s="7" t="n"/>
      <c r="AL1056" s="11" t="n"/>
      <c r="AN1056">
        <f>IF($E1056="","",IF(COUNTIF($E$2:$E1056,$E1056)=1,1,0))</f>
        <v/>
      </c>
      <c r="AO1056">
        <f>IF($AN1056=1,SUMPRODUCT(--($AR$2:$AR$3001&lt;$AR1056))+1,"")</f>
        <v/>
      </c>
      <c r="AP1056">
        <f>IF($E1056="","",IF(OR($U1056=TRUE(),$U1056="TRUE"),1,0))</f>
        <v/>
      </c>
      <c r="AQ1056">
        <f>IF($E1056="","",IF($AD1056="Yes",1,0))</f>
        <v/>
      </c>
      <c r="AR1056">
        <f>IF($AN1056=1,IFERROR(VALUE(MID($E1056,2,20)),1000000000)+ROW()/100000,"")</f>
        <v/>
      </c>
    </row>
    <row r="1057">
      <c r="G1057" s="11" t="n"/>
      <c r="Q1057" s="7">
        <f>IF($E1057="","",P1057*AB1057/100)</f>
        <v/>
      </c>
      <c r="R1057" s="7" t="n"/>
      <c r="X1057" s="7" t="n"/>
      <c r="Y1057" s="7">
        <f>IF($E1057="","",AB1057*AE1057/100)</f>
        <v/>
      </c>
      <c r="Z1057" s="7">
        <f>IF($E1057="","",AB1057-Y1057)</f>
        <v/>
      </c>
      <c r="AA1057" s="7">
        <f>IF($E1057="","",Z1057-Q1057)</f>
        <v/>
      </c>
      <c r="AB1057" s="7" t="n"/>
      <c r="AE1057">
        <f>IF($E1057="","",IF($AQ1057=1,0,IF($AP1057=1,Settings!$C$6,Settings!$C$7))*100)</f>
        <v/>
      </c>
      <c r="AI1057" s="7" t="n"/>
      <c r="AL1057" s="11" t="n"/>
      <c r="AN1057">
        <f>IF($E1057="","",IF(COUNTIF($E$2:$E1057,$E1057)=1,1,0))</f>
        <v/>
      </c>
      <c r="AO1057">
        <f>IF($AN1057=1,SUMPRODUCT(--($AR$2:$AR$3001&lt;$AR1057))+1,"")</f>
        <v/>
      </c>
      <c r="AP1057">
        <f>IF($E1057="","",IF(OR($U1057=TRUE(),$U1057="TRUE"),1,0))</f>
        <v/>
      </c>
      <c r="AQ1057">
        <f>IF($E1057="","",IF($AD1057="Yes",1,0))</f>
        <v/>
      </c>
      <c r="AR1057">
        <f>IF($AN1057=1,IFERROR(VALUE(MID($E1057,2,20)),1000000000)+ROW()/100000,"")</f>
        <v/>
      </c>
    </row>
    <row r="1058">
      <c r="G1058" s="11" t="n"/>
      <c r="Q1058" s="7">
        <f>IF($E1058="","",P1058*AB1058/100)</f>
        <v/>
      </c>
      <c r="R1058" s="7" t="n"/>
      <c r="X1058" s="7" t="n"/>
      <c r="Y1058" s="7">
        <f>IF($E1058="","",AB1058*AE1058/100)</f>
        <v/>
      </c>
      <c r="Z1058" s="7">
        <f>IF($E1058="","",AB1058-Y1058)</f>
        <v/>
      </c>
      <c r="AA1058" s="7">
        <f>IF($E1058="","",Z1058-Q1058)</f>
        <v/>
      </c>
      <c r="AB1058" s="7" t="n"/>
      <c r="AE1058">
        <f>IF($E1058="","",IF($AQ1058=1,0,IF($AP1058=1,Settings!$C$6,Settings!$C$7))*100)</f>
        <v/>
      </c>
      <c r="AI1058" s="7" t="n"/>
      <c r="AL1058" s="11" t="n"/>
      <c r="AN1058">
        <f>IF($E1058="","",IF(COUNTIF($E$2:$E1058,$E1058)=1,1,0))</f>
        <v/>
      </c>
      <c r="AO1058">
        <f>IF($AN1058=1,SUMPRODUCT(--($AR$2:$AR$3001&lt;$AR1058))+1,"")</f>
        <v/>
      </c>
      <c r="AP1058">
        <f>IF($E1058="","",IF(OR($U1058=TRUE(),$U1058="TRUE"),1,0))</f>
        <v/>
      </c>
      <c r="AQ1058">
        <f>IF($E1058="","",IF($AD1058="Yes",1,0))</f>
        <v/>
      </c>
      <c r="AR1058">
        <f>IF($AN1058=1,IFERROR(VALUE(MID($E1058,2,20)),1000000000)+ROW()/100000,"")</f>
        <v/>
      </c>
    </row>
    <row r="1059">
      <c r="G1059" s="11" t="n"/>
      <c r="Q1059" s="7">
        <f>IF($E1059="","",P1059*AB1059/100)</f>
        <v/>
      </c>
      <c r="R1059" s="7" t="n"/>
      <c r="X1059" s="7" t="n"/>
      <c r="Y1059" s="7">
        <f>IF($E1059="","",AB1059*AE1059/100)</f>
        <v/>
      </c>
      <c r="Z1059" s="7">
        <f>IF($E1059="","",AB1059-Y1059)</f>
        <v/>
      </c>
      <c r="AA1059" s="7">
        <f>IF($E1059="","",Z1059-Q1059)</f>
        <v/>
      </c>
      <c r="AB1059" s="7" t="n"/>
      <c r="AE1059">
        <f>IF($E1059="","",IF($AQ1059=1,0,IF($AP1059=1,Settings!$C$6,Settings!$C$7))*100)</f>
        <v/>
      </c>
      <c r="AI1059" s="7" t="n"/>
      <c r="AL1059" s="11" t="n"/>
      <c r="AN1059">
        <f>IF($E1059="","",IF(COUNTIF($E$2:$E1059,$E1059)=1,1,0))</f>
        <v/>
      </c>
      <c r="AO1059">
        <f>IF($AN1059=1,SUMPRODUCT(--($AR$2:$AR$3001&lt;$AR1059))+1,"")</f>
        <v/>
      </c>
      <c r="AP1059">
        <f>IF($E1059="","",IF(OR($U1059=TRUE(),$U1059="TRUE"),1,0))</f>
        <v/>
      </c>
      <c r="AQ1059">
        <f>IF($E1059="","",IF($AD1059="Yes",1,0))</f>
        <v/>
      </c>
      <c r="AR1059">
        <f>IF($AN1059=1,IFERROR(VALUE(MID($E1059,2,20)),1000000000)+ROW()/100000,"")</f>
        <v/>
      </c>
    </row>
    <row r="1060">
      <c r="G1060" s="11" t="n"/>
      <c r="Q1060" s="7">
        <f>IF($E1060="","",P1060*AB1060/100)</f>
        <v/>
      </c>
      <c r="R1060" s="7" t="n"/>
      <c r="X1060" s="7" t="n"/>
      <c r="Y1060" s="7">
        <f>IF($E1060="","",AB1060*AE1060/100)</f>
        <v/>
      </c>
      <c r="Z1060" s="7">
        <f>IF($E1060="","",AB1060-Y1060)</f>
        <v/>
      </c>
      <c r="AA1060" s="7">
        <f>IF($E1060="","",Z1060-Q1060)</f>
        <v/>
      </c>
      <c r="AB1060" s="7" t="n"/>
      <c r="AE1060">
        <f>IF($E1060="","",IF($AQ1060=1,0,IF($AP1060=1,Settings!$C$6,Settings!$C$7))*100)</f>
        <v/>
      </c>
      <c r="AI1060" s="7" t="n"/>
      <c r="AL1060" s="11" t="n"/>
      <c r="AN1060">
        <f>IF($E1060="","",IF(COUNTIF($E$2:$E1060,$E1060)=1,1,0))</f>
        <v/>
      </c>
      <c r="AO1060">
        <f>IF($AN1060=1,SUMPRODUCT(--($AR$2:$AR$3001&lt;$AR1060))+1,"")</f>
        <v/>
      </c>
      <c r="AP1060">
        <f>IF($E1060="","",IF(OR($U1060=TRUE(),$U1060="TRUE"),1,0))</f>
        <v/>
      </c>
      <c r="AQ1060">
        <f>IF($E1060="","",IF($AD1060="Yes",1,0))</f>
        <v/>
      </c>
      <c r="AR1060">
        <f>IF($AN1060=1,IFERROR(VALUE(MID($E1060,2,20)),1000000000)+ROW()/100000,"")</f>
        <v/>
      </c>
    </row>
    <row r="1061">
      <c r="G1061" s="11" t="n"/>
      <c r="Q1061" s="7">
        <f>IF($E1061="","",P1061*AB1061/100)</f>
        <v/>
      </c>
      <c r="R1061" s="7" t="n"/>
      <c r="X1061" s="7" t="n"/>
      <c r="Y1061" s="7">
        <f>IF($E1061="","",AB1061*AE1061/100)</f>
        <v/>
      </c>
      <c r="Z1061" s="7">
        <f>IF($E1061="","",AB1061-Y1061)</f>
        <v/>
      </c>
      <c r="AA1061" s="7">
        <f>IF($E1061="","",Z1061-Q1061)</f>
        <v/>
      </c>
      <c r="AB1061" s="7" t="n"/>
      <c r="AE1061">
        <f>IF($E1061="","",IF($AQ1061=1,0,IF($AP1061=1,Settings!$C$6,Settings!$C$7))*100)</f>
        <v/>
      </c>
      <c r="AI1061" s="7" t="n"/>
      <c r="AL1061" s="11" t="n"/>
      <c r="AN1061">
        <f>IF($E1061="","",IF(COUNTIF($E$2:$E1061,$E1061)=1,1,0))</f>
        <v/>
      </c>
      <c r="AO1061">
        <f>IF($AN1061=1,SUMPRODUCT(--($AR$2:$AR$3001&lt;$AR1061))+1,"")</f>
        <v/>
      </c>
      <c r="AP1061">
        <f>IF($E1061="","",IF(OR($U1061=TRUE(),$U1061="TRUE"),1,0))</f>
        <v/>
      </c>
      <c r="AQ1061">
        <f>IF($E1061="","",IF($AD1061="Yes",1,0))</f>
        <v/>
      </c>
      <c r="AR1061">
        <f>IF($AN1061=1,IFERROR(VALUE(MID($E1061,2,20)),1000000000)+ROW()/100000,"")</f>
        <v/>
      </c>
    </row>
    <row r="1062">
      <c r="G1062" s="11" t="n"/>
      <c r="Q1062" s="7">
        <f>IF($E1062="","",P1062*AB1062/100)</f>
        <v/>
      </c>
      <c r="R1062" s="7" t="n"/>
      <c r="X1062" s="7" t="n"/>
      <c r="Y1062" s="7">
        <f>IF($E1062="","",AB1062*AE1062/100)</f>
        <v/>
      </c>
      <c r="Z1062" s="7">
        <f>IF($E1062="","",AB1062-Y1062)</f>
        <v/>
      </c>
      <c r="AA1062" s="7">
        <f>IF($E1062="","",Z1062-Q1062)</f>
        <v/>
      </c>
      <c r="AB1062" s="7" t="n"/>
      <c r="AE1062">
        <f>IF($E1062="","",IF($AQ1062=1,0,IF($AP1062=1,Settings!$C$6,Settings!$C$7))*100)</f>
        <v/>
      </c>
      <c r="AI1062" s="7" t="n"/>
      <c r="AL1062" s="11" t="n"/>
      <c r="AN1062">
        <f>IF($E1062="","",IF(COUNTIF($E$2:$E1062,$E1062)=1,1,0))</f>
        <v/>
      </c>
      <c r="AO1062">
        <f>IF($AN1062=1,SUMPRODUCT(--($AR$2:$AR$3001&lt;$AR1062))+1,"")</f>
        <v/>
      </c>
      <c r="AP1062">
        <f>IF($E1062="","",IF(OR($U1062=TRUE(),$U1062="TRUE"),1,0))</f>
        <v/>
      </c>
      <c r="AQ1062">
        <f>IF($E1062="","",IF($AD1062="Yes",1,0))</f>
        <v/>
      </c>
      <c r="AR1062">
        <f>IF($AN1062=1,IFERROR(VALUE(MID($E1062,2,20)),1000000000)+ROW()/100000,"")</f>
        <v/>
      </c>
    </row>
    <row r="1063">
      <c r="G1063" s="11" t="n"/>
      <c r="Q1063" s="7">
        <f>IF($E1063="","",P1063*AB1063/100)</f>
        <v/>
      </c>
      <c r="R1063" s="7" t="n"/>
      <c r="X1063" s="7" t="n"/>
      <c r="Y1063" s="7">
        <f>IF($E1063="","",AB1063*AE1063/100)</f>
        <v/>
      </c>
      <c r="Z1063" s="7">
        <f>IF($E1063="","",AB1063-Y1063)</f>
        <v/>
      </c>
      <c r="AA1063" s="7">
        <f>IF($E1063="","",Z1063-Q1063)</f>
        <v/>
      </c>
      <c r="AB1063" s="7" t="n"/>
      <c r="AE1063">
        <f>IF($E1063="","",IF($AQ1063=1,0,IF($AP1063=1,Settings!$C$6,Settings!$C$7))*100)</f>
        <v/>
      </c>
      <c r="AI1063" s="7" t="n"/>
      <c r="AL1063" s="11" t="n"/>
      <c r="AN1063">
        <f>IF($E1063="","",IF(COUNTIF($E$2:$E1063,$E1063)=1,1,0))</f>
        <v/>
      </c>
      <c r="AO1063">
        <f>IF($AN1063=1,SUMPRODUCT(--($AR$2:$AR$3001&lt;$AR1063))+1,"")</f>
        <v/>
      </c>
      <c r="AP1063">
        <f>IF($E1063="","",IF(OR($U1063=TRUE(),$U1063="TRUE"),1,0))</f>
        <v/>
      </c>
      <c r="AQ1063">
        <f>IF($E1063="","",IF($AD1063="Yes",1,0))</f>
        <v/>
      </c>
      <c r="AR1063">
        <f>IF($AN1063=1,IFERROR(VALUE(MID($E1063,2,20)),1000000000)+ROW()/100000,"")</f>
        <v/>
      </c>
    </row>
    <row r="1064">
      <c r="G1064" s="11" t="n"/>
      <c r="Q1064" s="7">
        <f>IF($E1064="","",P1064*AB1064/100)</f>
        <v/>
      </c>
      <c r="R1064" s="7" t="n"/>
      <c r="X1064" s="7" t="n"/>
      <c r="Y1064" s="7">
        <f>IF($E1064="","",AB1064*AE1064/100)</f>
        <v/>
      </c>
      <c r="Z1064" s="7">
        <f>IF($E1064="","",AB1064-Y1064)</f>
        <v/>
      </c>
      <c r="AA1064" s="7">
        <f>IF($E1064="","",Z1064-Q1064)</f>
        <v/>
      </c>
      <c r="AB1064" s="7" t="n"/>
      <c r="AE1064">
        <f>IF($E1064="","",IF($AQ1064=1,0,IF($AP1064=1,Settings!$C$6,Settings!$C$7))*100)</f>
        <v/>
      </c>
      <c r="AI1064" s="7" t="n"/>
      <c r="AL1064" s="11" t="n"/>
      <c r="AN1064">
        <f>IF($E1064="","",IF(COUNTIF($E$2:$E1064,$E1064)=1,1,0))</f>
        <v/>
      </c>
      <c r="AO1064">
        <f>IF($AN1064=1,SUMPRODUCT(--($AR$2:$AR$3001&lt;$AR1064))+1,"")</f>
        <v/>
      </c>
      <c r="AP1064">
        <f>IF($E1064="","",IF(OR($U1064=TRUE(),$U1064="TRUE"),1,0))</f>
        <v/>
      </c>
      <c r="AQ1064">
        <f>IF($E1064="","",IF($AD1064="Yes",1,0))</f>
        <v/>
      </c>
      <c r="AR1064">
        <f>IF($AN1064=1,IFERROR(VALUE(MID($E1064,2,20)),1000000000)+ROW()/100000,"")</f>
        <v/>
      </c>
    </row>
    <row r="1065">
      <c r="G1065" s="11" t="n"/>
      <c r="Q1065" s="7">
        <f>IF($E1065="","",P1065*AB1065/100)</f>
        <v/>
      </c>
      <c r="R1065" s="7" t="n"/>
      <c r="X1065" s="7" t="n"/>
      <c r="Y1065" s="7">
        <f>IF($E1065="","",AB1065*AE1065/100)</f>
        <v/>
      </c>
      <c r="Z1065" s="7">
        <f>IF($E1065="","",AB1065-Y1065)</f>
        <v/>
      </c>
      <c r="AA1065" s="7">
        <f>IF($E1065="","",Z1065-Q1065)</f>
        <v/>
      </c>
      <c r="AB1065" s="7" t="n"/>
      <c r="AE1065">
        <f>IF($E1065="","",IF($AQ1065=1,0,IF($AP1065=1,Settings!$C$6,Settings!$C$7))*100)</f>
        <v/>
      </c>
      <c r="AI1065" s="7" t="n"/>
      <c r="AL1065" s="11" t="n"/>
      <c r="AN1065">
        <f>IF($E1065="","",IF(COUNTIF($E$2:$E1065,$E1065)=1,1,0))</f>
        <v/>
      </c>
      <c r="AO1065">
        <f>IF($AN1065=1,SUMPRODUCT(--($AR$2:$AR$3001&lt;$AR1065))+1,"")</f>
        <v/>
      </c>
      <c r="AP1065">
        <f>IF($E1065="","",IF(OR($U1065=TRUE(),$U1065="TRUE"),1,0))</f>
        <v/>
      </c>
      <c r="AQ1065">
        <f>IF($E1065="","",IF($AD1065="Yes",1,0))</f>
        <v/>
      </c>
      <c r="AR1065">
        <f>IF($AN1065=1,IFERROR(VALUE(MID($E1065,2,20)),1000000000)+ROW()/100000,"")</f>
        <v/>
      </c>
    </row>
    <row r="1066">
      <c r="G1066" s="11" t="n"/>
      <c r="Q1066" s="7">
        <f>IF($E1066="","",P1066*AB1066/100)</f>
        <v/>
      </c>
      <c r="R1066" s="7" t="n"/>
      <c r="X1066" s="7" t="n"/>
      <c r="Y1066" s="7">
        <f>IF($E1066="","",AB1066*AE1066/100)</f>
        <v/>
      </c>
      <c r="Z1066" s="7">
        <f>IF($E1066="","",AB1066-Y1066)</f>
        <v/>
      </c>
      <c r="AA1066" s="7">
        <f>IF($E1066="","",Z1066-Q1066)</f>
        <v/>
      </c>
      <c r="AB1066" s="7" t="n"/>
      <c r="AE1066">
        <f>IF($E1066="","",IF($AQ1066=1,0,IF($AP1066=1,Settings!$C$6,Settings!$C$7))*100)</f>
        <v/>
      </c>
      <c r="AI1066" s="7" t="n"/>
      <c r="AL1066" s="11" t="n"/>
      <c r="AN1066">
        <f>IF($E1066="","",IF(COUNTIF($E$2:$E1066,$E1066)=1,1,0))</f>
        <v/>
      </c>
      <c r="AO1066">
        <f>IF($AN1066=1,SUMPRODUCT(--($AR$2:$AR$3001&lt;$AR1066))+1,"")</f>
        <v/>
      </c>
      <c r="AP1066">
        <f>IF($E1066="","",IF(OR($U1066=TRUE(),$U1066="TRUE"),1,0))</f>
        <v/>
      </c>
      <c r="AQ1066">
        <f>IF($E1066="","",IF($AD1066="Yes",1,0))</f>
        <v/>
      </c>
      <c r="AR1066">
        <f>IF($AN1066=1,IFERROR(VALUE(MID($E1066,2,20)),1000000000)+ROW()/100000,"")</f>
        <v/>
      </c>
    </row>
    <row r="1067">
      <c r="G1067" s="11" t="n"/>
      <c r="Q1067" s="7">
        <f>IF($E1067="","",P1067*AB1067/100)</f>
        <v/>
      </c>
      <c r="R1067" s="7" t="n"/>
      <c r="X1067" s="7" t="n"/>
      <c r="Y1067" s="7">
        <f>IF($E1067="","",AB1067*AE1067/100)</f>
        <v/>
      </c>
      <c r="Z1067" s="7">
        <f>IF($E1067="","",AB1067-Y1067)</f>
        <v/>
      </c>
      <c r="AA1067" s="7">
        <f>IF($E1067="","",Z1067-Q1067)</f>
        <v/>
      </c>
      <c r="AB1067" s="7" t="n"/>
      <c r="AE1067">
        <f>IF($E1067="","",IF($AQ1067=1,0,IF($AP1067=1,Settings!$C$6,Settings!$C$7))*100)</f>
        <v/>
      </c>
      <c r="AI1067" s="7" t="n"/>
      <c r="AL1067" s="11" t="n"/>
      <c r="AN1067">
        <f>IF($E1067="","",IF(COUNTIF($E$2:$E1067,$E1067)=1,1,0))</f>
        <v/>
      </c>
      <c r="AO1067">
        <f>IF($AN1067=1,SUMPRODUCT(--($AR$2:$AR$3001&lt;$AR1067))+1,"")</f>
        <v/>
      </c>
      <c r="AP1067">
        <f>IF($E1067="","",IF(OR($U1067=TRUE(),$U1067="TRUE"),1,0))</f>
        <v/>
      </c>
      <c r="AQ1067">
        <f>IF($E1067="","",IF($AD1067="Yes",1,0))</f>
        <v/>
      </c>
      <c r="AR1067">
        <f>IF($AN1067=1,IFERROR(VALUE(MID($E1067,2,20)),1000000000)+ROW()/100000,"")</f>
        <v/>
      </c>
    </row>
    <row r="1068">
      <c r="G1068" s="11" t="n"/>
      <c r="Q1068" s="7">
        <f>IF($E1068="","",P1068*AB1068/100)</f>
        <v/>
      </c>
      <c r="R1068" s="7" t="n"/>
      <c r="X1068" s="7" t="n"/>
      <c r="Y1068" s="7">
        <f>IF($E1068="","",AB1068*AE1068/100)</f>
        <v/>
      </c>
      <c r="Z1068" s="7">
        <f>IF($E1068="","",AB1068-Y1068)</f>
        <v/>
      </c>
      <c r="AA1068" s="7">
        <f>IF($E1068="","",Z1068-Q1068)</f>
        <v/>
      </c>
      <c r="AB1068" s="7" t="n"/>
      <c r="AE1068">
        <f>IF($E1068="","",IF($AQ1068=1,0,IF($AP1068=1,Settings!$C$6,Settings!$C$7))*100)</f>
        <v/>
      </c>
      <c r="AI1068" s="7" t="n"/>
      <c r="AL1068" s="11" t="n"/>
      <c r="AN1068">
        <f>IF($E1068="","",IF(COUNTIF($E$2:$E1068,$E1068)=1,1,0))</f>
        <v/>
      </c>
      <c r="AO1068">
        <f>IF($AN1068=1,SUMPRODUCT(--($AR$2:$AR$3001&lt;$AR1068))+1,"")</f>
        <v/>
      </c>
      <c r="AP1068">
        <f>IF($E1068="","",IF(OR($U1068=TRUE(),$U1068="TRUE"),1,0))</f>
        <v/>
      </c>
      <c r="AQ1068">
        <f>IF($E1068="","",IF($AD1068="Yes",1,0))</f>
        <v/>
      </c>
      <c r="AR1068">
        <f>IF($AN1068=1,IFERROR(VALUE(MID($E1068,2,20)),1000000000)+ROW()/100000,"")</f>
        <v/>
      </c>
    </row>
    <row r="1069">
      <c r="G1069" s="11" t="n"/>
      <c r="Q1069" s="7">
        <f>IF($E1069="","",P1069*AB1069/100)</f>
        <v/>
      </c>
      <c r="R1069" s="7" t="n"/>
      <c r="X1069" s="7" t="n"/>
      <c r="Y1069" s="7">
        <f>IF($E1069="","",AB1069*AE1069/100)</f>
        <v/>
      </c>
      <c r="Z1069" s="7">
        <f>IF($E1069="","",AB1069-Y1069)</f>
        <v/>
      </c>
      <c r="AA1069" s="7">
        <f>IF($E1069="","",Z1069-Q1069)</f>
        <v/>
      </c>
      <c r="AB1069" s="7" t="n"/>
      <c r="AE1069">
        <f>IF($E1069="","",IF($AQ1069=1,0,IF($AP1069=1,Settings!$C$6,Settings!$C$7))*100)</f>
        <v/>
      </c>
      <c r="AI1069" s="7" t="n"/>
      <c r="AL1069" s="11" t="n"/>
      <c r="AN1069">
        <f>IF($E1069="","",IF(COUNTIF($E$2:$E1069,$E1069)=1,1,0))</f>
        <v/>
      </c>
      <c r="AO1069">
        <f>IF($AN1069=1,SUMPRODUCT(--($AR$2:$AR$3001&lt;$AR1069))+1,"")</f>
        <v/>
      </c>
      <c r="AP1069">
        <f>IF($E1069="","",IF(OR($U1069=TRUE(),$U1069="TRUE"),1,0))</f>
        <v/>
      </c>
      <c r="AQ1069">
        <f>IF($E1069="","",IF($AD1069="Yes",1,0))</f>
        <v/>
      </c>
      <c r="AR1069">
        <f>IF($AN1069=1,IFERROR(VALUE(MID($E1069,2,20)),1000000000)+ROW()/100000,"")</f>
        <v/>
      </c>
    </row>
    <row r="1070">
      <c r="G1070" s="11" t="n"/>
      <c r="Q1070" s="7">
        <f>IF($E1070="","",P1070*AB1070/100)</f>
        <v/>
      </c>
      <c r="R1070" s="7" t="n"/>
      <c r="X1070" s="7" t="n"/>
      <c r="Y1070" s="7">
        <f>IF($E1070="","",AB1070*AE1070/100)</f>
        <v/>
      </c>
      <c r="Z1070" s="7">
        <f>IF($E1070="","",AB1070-Y1070)</f>
        <v/>
      </c>
      <c r="AA1070" s="7">
        <f>IF($E1070="","",Z1070-Q1070)</f>
        <v/>
      </c>
      <c r="AB1070" s="7" t="n"/>
      <c r="AE1070">
        <f>IF($E1070="","",IF($AQ1070=1,0,IF($AP1070=1,Settings!$C$6,Settings!$C$7))*100)</f>
        <v/>
      </c>
      <c r="AI1070" s="7" t="n"/>
      <c r="AL1070" s="11" t="n"/>
      <c r="AN1070">
        <f>IF($E1070="","",IF(COUNTIF($E$2:$E1070,$E1070)=1,1,0))</f>
        <v/>
      </c>
      <c r="AO1070">
        <f>IF($AN1070=1,SUMPRODUCT(--($AR$2:$AR$3001&lt;$AR1070))+1,"")</f>
        <v/>
      </c>
      <c r="AP1070">
        <f>IF($E1070="","",IF(OR($U1070=TRUE(),$U1070="TRUE"),1,0))</f>
        <v/>
      </c>
      <c r="AQ1070">
        <f>IF($E1070="","",IF($AD1070="Yes",1,0))</f>
        <v/>
      </c>
      <c r="AR1070">
        <f>IF($AN1070=1,IFERROR(VALUE(MID($E1070,2,20)),1000000000)+ROW()/100000,"")</f>
        <v/>
      </c>
    </row>
    <row r="1071">
      <c r="G1071" s="11" t="n"/>
      <c r="Q1071" s="7">
        <f>IF($E1071="","",P1071*AB1071/100)</f>
        <v/>
      </c>
      <c r="R1071" s="7" t="n"/>
      <c r="X1071" s="7" t="n"/>
      <c r="Y1071" s="7">
        <f>IF($E1071="","",AB1071*AE1071/100)</f>
        <v/>
      </c>
      <c r="Z1071" s="7">
        <f>IF($E1071="","",AB1071-Y1071)</f>
        <v/>
      </c>
      <c r="AA1071" s="7">
        <f>IF($E1071="","",Z1071-Q1071)</f>
        <v/>
      </c>
      <c r="AB1071" s="7" t="n"/>
      <c r="AE1071">
        <f>IF($E1071="","",IF($AQ1071=1,0,IF($AP1071=1,Settings!$C$6,Settings!$C$7))*100)</f>
        <v/>
      </c>
      <c r="AI1071" s="7" t="n"/>
      <c r="AL1071" s="11" t="n"/>
      <c r="AN1071">
        <f>IF($E1071="","",IF(COUNTIF($E$2:$E1071,$E1071)=1,1,0))</f>
        <v/>
      </c>
      <c r="AO1071">
        <f>IF($AN1071=1,SUMPRODUCT(--($AR$2:$AR$3001&lt;$AR1071))+1,"")</f>
        <v/>
      </c>
      <c r="AP1071">
        <f>IF($E1071="","",IF(OR($U1071=TRUE(),$U1071="TRUE"),1,0))</f>
        <v/>
      </c>
      <c r="AQ1071">
        <f>IF($E1071="","",IF($AD1071="Yes",1,0))</f>
        <v/>
      </c>
      <c r="AR1071">
        <f>IF($AN1071=1,IFERROR(VALUE(MID($E1071,2,20)),1000000000)+ROW()/100000,"")</f>
        <v/>
      </c>
    </row>
    <row r="1072">
      <c r="G1072" s="11" t="n"/>
      <c r="Q1072" s="7">
        <f>IF($E1072="","",P1072*AB1072/100)</f>
        <v/>
      </c>
      <c r="R1072" s="7" t="n"/>
      <c r="X1072" s="7" t="n"/>
      <c r="Y1072" s="7">
        <f>IF($E1072="","",AB1072*AE1072/100)</f>
        <v/>
      </c>
      <c r="Z1072" s="7">
        <f>IF($E1072="","",AB1072-Y1072)</f>
        <v/>
      </c>
      <c r="AA1072" s="7">
        <f>IF($E1072="","",Z1072-Q1072)</f>
        <v/>
      </c>
      <c r="AB1072" s="7" t="n"/>
      <c r="AE1072">
        <f>IF($E1072="","",IF($AQ1072=1,0,IF($AP1072=1,Settings!$C$6,Settings!$C$7))*100)</f>
        <v/>
      </c>
      <c r="AI1072" s="7" t="n"/>
      <c r="AL1072" s="11" t="n"/>
      <c r="AN1072">
        <f>IF($E1072="","",IF(COUNTIF($E$2:$E1072,$E1072)=1,1,0))</f>
        <v/>
      </c>
      <c r="AO1072">
        <f>IF($AN1072=1,SUMPRODUCT(--($AR$2:$AR$3001&lt;$AR1072))+1,"")</f>
        <v/>
      </c>
      <c r="AP1072">
        <f>IF($E1072="","",IF(OR($U1072=TRUE(),$U1072="TRUE"),1,0))</f>
        <v/>
      </c>
      <c r="AQ1072">
        <f>IF($E1072="","",IF($AD1072="Yes",1,0))</f>
        <v/>
      </c>
      <c r="AR1072">
        <f>IF($AN1072=1,IFERROR(VALUE(MID($E1072,2,20)),1000000000)+ROW()/100000,"")</f>
        <v/>
      </c>
    </row>
    <row r="1073">
      <c r="G1073" s="11" t="n"/>
      <c r="Q1073" s="7">
        <f>IF($E1073="","",P1073*AB1073/100)</f>
        <v/>
      </c>
      <c r="R1073" s="7" t="n"/>
      <c r="X1073" s="7" t="n"/>
      <c r="Y1073" s="7">
        <f>IF($E1073="","",AB1073*AE1073/100)</f>
        <v/>
      </c>
      <c r="Z1073" s="7">
        <f>IF($E1073="","",AB1073-Y1073)</f>
        <v/>
      </c>
      <c r="AA1073" s="7">
        <f>IF($E1073="","",Z1073-Q1073)</f>
        <v/>
      </c>
      <c r="AB1073" s="7" t="n"/>
      <c r="AE1073">
        <f>IF($E1073="","",IF($AQ1073=1,0,IF($AP1073=1,Settings!$C$6,Settings!$C$7))*100)</f>
        <v/>
      </c>
      <c r="AI1073" s="7" t="n"/>
      <c r="AL1073" s="11" t="n"/>
      <c r="AN1073">
        <f>IF($E1073="","",IF(COUNTIF($E$2:$E1073,$E1073)=1,1,0))</f>
        <v/>
      </c>
      <c r="AO1073">
        <f>IF($AN1073=1,SUMPRODUCT(--($AR$2:$AR$3001&lt;$AR1073))+1,"")</f>
        <v/>
      </c>
      <c r="AP1073">
        <f>IF($E1073="","",IF(OR($U1073=TRUE(),$U1073="TRUE"),1,0))</f>
        <v/>
      </c>
      <c r="AQ1073">
        <f>IF($E1073="","",IF($AD1073="Yes",1,0))</f>
        <v/>
      </c>
      <c r="AR1073">
        <f>IF($AN1073=1,IFERROR(VALUE(MID($E1073,2,20)),1000000000)+ROW()/100000,"")</f>
        <v/>
      </c>
    </row>
    <row r="1074">
      <c r="G1074" s="11" t="n"/>
      <c r="Q1074" s="7">
        <f>IF($E1074="","",P1074*AB1074/100)</f>
        <v/>
      </c>
      <c r="R1074" s="7" t="n"/>
      <c r="X1074" s="7" t="n"/>
      <c r="Y1074" s="7">
        <f>IF($E1074="","",AB1074*AE1074/100)</f>
        <v/>
      </c>
      <c r="Z1074" s="7">
        <f>IF($E1074="","",AB1074-Y1074)</f>
        <v/>
      </c>
      <c r="AA1074" s="7">
        <f>IF($E1074="","",Z1074-Q1074)</f>
        <v/>
      </c>
      <c r="AB1074" s="7" t="n"/>
      <c r="AE1074">
        <f>IF($E1074="","",IF($AQ1074=1,0,IF($AP1074=1,Settings!$C$6,Settings!$C$7))*100)</f>
        <v/>
      </c>
      <c r="AI1074" s="7" t="n"/>
      <c r="AL1074" s="11" t="n"/>
      <c r="AN1074">
        <f>IF($E1074="","",IF(COUNTIF($E$2:$E1074,$E1074)=1,1,0))</f>
        <v/>
      </c>
      <c r="AO1074">
        <f>IF($AN1074=1,SUMPRODUCT(--($AR$2:$AR$3001&lt;$AR1074))+1,"")</f>
        <v/>
      </c>
      <c r="AP1074">
        <f>IF($E1074="","",IF(OR($U1074=TRUE(),$U1074="TRUE"),1,0))</f>
        <v/>
      </c>
      <c r="AQ1074">
        <f>IF($E1074="","",IF($AD1074="Yes",1,0))</f>
        <v/>
      </c>
      <c r="AR1074">
        <f>IF($AN1074=1,IFERROR(VALUE(MID($E1074,2,20)),1000000000)+ROW()/100000,"")</f>
        <v/>
      </c>
    </row>
    <row r="1075">
      <c r="G1075" s="11" t="n"/>
      <c r="Q1075" s="7">
        <f>IF($E1075="","",P1075*AB1075/100)</f>
        <v/>
      </c>
      <c r="R1075" s="7" t="n"/>
      <c r="X1075" s="7" t="n"/>
      <c r="Y1075" s="7">
        <f>IF($E1075="","",AB1075*AE1075/100)</f>
        <v/>
      </c>
      <c r="Z1075" s="7">
        <f>IF($E1075="","",AB1075-Y1075)</f>
        <v/>
      </c>
      <c r="AA1075" s="7">
        <f>IF($E1075="","",Z1075-Q1075)</f>
        <v/>
      </c>
      <c r="AB1075" s="7" t="n"/>
      <c r="AE1075">
        <f>IF($E1075="","",IF($AQ1075=1,0,IF($AP1075=1,Settings!$C$6,Settings!$C$7))*100)</f>
        <v/>
      </c>
      <c r="AI1075" s="7" t="n"/>
      <c r="AL1075" s="11" t="n"/>
      <c r="AN1075">
        <f>IF($E1075="","",IF(COUNTIF($E$2:$E1075,$E1075)=1,1,0))</f>
        <v/>
      </c>
      <c r="AO1075">
        <f>IF($AN1075=1,SUMPRODUCT(--($AR$2:$AR$3001&lt;$AR1075))+1,"")</f>
        <v/>
      </c>
      <c r="AP1075">
        <f>IF($E1075="","",IF(OR($U1075=TRUE(),$U1075="TRUE"),1,0))</f>
        <v/>
      </c>
      <c r="AQ1075">
        <f>IF($E1075="","",IF($AD1075="Yes",1,0))</f>
        <v/>
      </c>
      <c r="AR1075">
        <f>IF($AN1075=1,IFERROR(VALUE(MID($E1075,2,20)),1000000000)+ROW()/100000,"")</f>
        <v/>
      </c>
    </row>
    <row r="1076">
      <c r="G1076" s="11" t="n"/>
      <c r="Q1076" s="7">
        <f>IF($E1076="","",P1076*AB1076/100)</f>
        <v/>
      </c>
      <c r="R1076" s="7" t="n"/>
      <c r="X1076" s="7" t="n"/>
      <c r="Y1076" s="7">
        <f>IF($E1076="","",AB1076*AE1076/100)</f>
        <v/>
      </c>
      <c r="Z1076" s="7">
        <f>IF($E1076="","",AB1076-Y1076)</f>
        <v/>
      </c>
      <c r="AA1076" s="7">
        <f>IF($E1076="","",Z1076-Q1076)</f>
        <v/>
      </c>
      <c r="AB1076" s="7" t="n"/>
      <c r="AE1076">
        <f>IF($E1076="","",IF($AQ1076=1,0,IF($AP1076=1,Settings!$C$6,Settings!$C$7))*100)</f>
        <v/>
      </c>
      <c r="AI1076" s="7" t="n"/>
      <c r="AL1076" s="11" t="n"/>
      <c r="AN1076">
        <f>IF($E1076="","",IF(COUNTIF($E$2:$E1076,$E1076)=1,1,0))</f>
        <v/>
      </c>
      <c r="AO1076">
        <f>IF($AN1076=1,SUMPRODUCT(--($AR$2:$AR$3001&lt;$AR1076))+1,"")</f>
        <v/>
      </c>
      <c r="AP1076">
        <f>IF($E1076="","",IF(OR($U1076=TRUE(),$U1076="TRUE"),1,0))</f>
        <v/>
      </c>
      <c r="AQ1076">
        <f>IF($E1076="","",IF($AD1076="Yes",1,0))</f>
        <v/>
      </c>
      <c r="AR1076">
        <f>IF($AN1076=1,IFERROR(VALUE(MID($E1076,2,20)),1000000000)+ROW()/100000,"")</f>
        <v/>
      </c>
    </row>
    <row r="1077">
      <c r="G1077" s="11" t="n"/>
      <c r="Q1077" s="7">
        <f>IF($E1077="","",P1077*AB1077/100)</f>
        <v/>
      </c>
      <c r="R1077" s="7" t="n"/>
      <c r="X1077" s="7" t="n"/>
      <c r="Y1077" s="7">
        <f>IF($E1077="","",AB1077*AE1077/100)</f>
        <v/>
      </c>
      <c r="Z1077" s="7">
        <f>IF($E1077="","",AB1077-Y1077)</f>
        <v/>
      </c>
      <c r="AA1077" s="7">
        <f>IF($E1077="","",Z1077-Q1077)</f>
        <v/>
      </c>
      <c r="AB1077" s="7" t="n"/>
      <c r="AE1077">
        <f>IF($E1077="","",IF($AQ1077=1,0,IF($AP1077=1,Settings!$C$6,Settings!$C$7))*100)</f>
        <v/>
      </c>
      <c r="AI1077" s="7" t="n"/>
      <c r="AL1077" s="11" t="n"/>
      <c r="AN1077">
        <f>IF($E1077="","",IF(COUNTIF($E$2:$E1077,$E1077)=1,1,0))</f>
        <v/>
      </c>
      <c r="AO1077">
        <f>IF($AN1077=1,SUMPRODUCT(--($AR$2:$AR$3001&lt;$AR1077))+1,"")</f>
        <v/>
      </c>
      <c r="AP1077">
        <f>IF($E1077="","",IF(OR($U1077=TRUE(),$U1077="TRUE"),1,0))</f>
        <v/>
      </c>
      <c r="AQ1077">
        <f>IF($E1077="","",IF($AD1077="Yes",1,0))</f>
        <v/>
      </c>
      <c r="AR1077">
        <f>IF($AN1077=1,IFERROR(VALUE(MID($E1077,2,20)),1000000000)+ROW()/100000,"")</f>
        <v/>
      </c>
    </row>
    <row r="1078">
      <c r="G1078" s="11" t="n"/>
      <c r="Q1078" s="7">
        <f>IF($E1078="","",P1078*AB1078/100)</f>
        <v/>
      </c>
      <c r="R1078" s="7" t="n"/>
      <c r="X1078" s="7" t="n"/>
      <c r="Y1078" s="7">
        <f>IF($E1078="","",AB1078*AE1078/100)</f>
        <v/>
      </c>
      <c r="Z1078" s="7">
        <f>IF($E1078="","",AB1078-Y1078)</f>
        <v/>
      </c>
      <c r="AA1078" s="7">
        <f>IF($E1078="","",Z1078-Q1078)</f>
        <v/>
      </c>
      <c r="AB1078" s="7" t="n"/>
      <c r="AE1078">
        <f>IF($E1078="","",IF($AQ1078=1,0,IF($AP1078=1,Settings!$C$6,Settings!$C$7))*100)</f>
        <v/>
      </c>
      <c r="AI1078" s="7" t="n"/>
      <c r="AL1078" s="11" t="n"/>
      <c r="AN1078">
        <f>IF($E1078="","",IF(COUNTIF($E$2:$E1078,$E1078)=1,1,0))</f>
        <v/>
      </c>
      <c r="AO1078">
        <f>IF($AN1078=1,SUMPRODUCT(--($AR$2:$AR$3001&lt;$AR1078))+1,"")</f>
        <v/>
      </c>
      <c r="AP1078">
        <f>IF($E1078="","",IF(OR($U1078=TRUE(),$U1078="TRUE"),1,0))</f>
        <v/>
      </c>
      <c r="AQ1078">
        <f>IF($E1078="","",IF($AD1078="Yes",1,0))</f>
        <v/>
      </c>
      <c r="AR1078">
        <f>IF($AN1078=1,IFERROR(VALUE(MID($E1078,2,20)),1000000000)+ROW()/100000,"")</f>
        <v/>
      </c>
    </row>
    <row r="1079">
      <c r="G1079" s="11" t="n"/>
      <c r="Q1079" s="7">
        <f>IF($E1079="","",P1079*AB1079/100)</f>
        <v/>
      </c>
      <c r="R1079" s="7" t="n"/>
      <c r="X1079" s="7" t="n"/>
      <c r="Y1079" s="7">
        <f>IF($E1079="","",AB1079*AE1079/100)</f>
        <v/>
      </c>
      <c r="Z1079" s="7">
        <f>IF($E1079="","",AB1079-Y1079)</f>
        <v/>
      </c>
      <c r="AA1079" s="7">
        <f>IF($E1079="","",Z1079-Q1079)</f>
        <v/>
      </c>
      <c r="AB1079" s="7" t="n"/>
      <c r="AE1079">
        <f>IF($E1079="","",IF($AQ1079=1,0,IF($AP1079=1,Settings!$C$6,Settings!$C$7))*100)</f>
        <v/>
      </c>
      <c r="AI1079" s="7" t="n"/>
      <c r="AL1079" s="11" t="n"/>
      <c r="AN1079">
        <f>IF($E1079="","",IF(COUNTIF($E$2:$E1079,$E1079)=1,1,0))</f>
        <v/>
      </c>
      <c r="AO1079">
        <f>IF($AN1079=1,SUMPRODUCT(--($AR$2:$AR$3001&lt;$AR1079))+1,"")</f>
        <v/>
      </c>
      <c r="AP1079">
        <f>IF($E1079="","",IF(OR($U1079=TRUE(),$U1079="TRUE"),1,0))</f>
        <v/>
      </c>
      <c r="AQ1079">
        <f>IF($E1079="","",IF($AD1079="Yes",1,0))</f>
        <v/>
      </c>
      <c r="AR1079">
        <f>IF($AN1079=1,IFERROR(VALUE(MID($E1079,2,20)),1000000000)+ROW()/100000,"")</f>
        <v/>
      </c>
    </row>
    <row r="1080">
      <c r="G1080" s="11" t="n"/>
      <c r="Q1080" s="7">
        <f>IF($E1080="","",P1080*AB1080/100)</f>
        <v/>
      </c>
      <c r="R1080" s="7" t="n"/>
      <c r="X1080" s="7" t="n"/>
      <c r="Y1080" s="7">
        <f>IF($E1080="","",AB1080*AE1080/100)</f>
        <v/>
      </c>
      <c r="Z1080" s="7">
        <f>IF($E1080="","",AB1080-Y1080)</f>
        <v/>
      </c>
      <c r="AA1080" s="7">
        <f>IF($E1080="","",Z1080-Q1080)</f>
        <v/>
      </c>
      <c r="AB1080" s="7" t="n"/>
      <c r="AE1080">
        <f>IF($E1080="","",IF($AQ1080=1,0,IF($AP1080=1,Settings!$C$6,Settings!$C$7))*100)</f>
        <v/>
      </c>
      <c r="AI1080" s="7" t="n"/>
      <c r="AL1080" s="11" t="n"/>
      <c r="AN1080">
        <f>IF($E1080="","",IF(COUNTIF($E$2:$E1080,$E1080)=1,1,0))</f>
        <v/>
      </c>
      <c r="AO1080">
        <f>IF($AN1080=1,SUMPRODUCT(--($AR$2:$AR$3001&lt;$AR1080))+1,"")</f>
        <v/>
      </c>
      <c r="AP1080">
        <f>IF($E1080="","",IF(OR($U1080=TRUE(),$U1080="TRUE"),1,0))</f>
        <v/>
      </c>
      <c r="AQ1080">
        <f>IF($E1080="","",IF($AD1080="Yes",1,0))</f>
        <v/>
      </c>
      <c r="AR1080">
        <f>IF($AN1080=1,IFERROR(VALUE(MID($E1080,2,20)),1000000000)+ROW()/100000,"")</f>
        <v/>
      </c>
    </row>
    <row r="1081">
      <c r="G1081" s="11" t="n"/>
      <c r="Q1081" s="7">
        <f>IF($E1081="","",P1081*AB1081/100)</f>
        <v/>
      </c>
      <c r="R1081" s="7" t="n"/>
      <c r="X1081" s="7" t="n"/>
      <c r="Y1081" s="7">
        <f>IF($E1081="","",AB1081*AE1081/100)</f>
        <v/>
      </c>
      <c r="Z1081" s="7">
        <f>IF($E1081="","",AB1081-Y1081)</f>
        <v/>
      </c>
      <c r="AA1081" s="7">
        <f>IF($E1081="","",Z1081-Q1081)</f>
        <v/>
      </c>
      <c r="AB1081" s="7" t="n"/>
      <c r="AE1081">
        <f>IF($E1081="","",IF($AQ1081=1,0,IF($AP1081=1,Settings!$C$6,Settings!$C$7))*100)</f>
        <v/>
      </c>
      <c r="AI1081" s="7" t="n"/>
      <c r="AL1081" s="11" t="n"/>
      <c r="AN1081">
        <f>IF($E1081="","",IF(COUNTIF($E$2:$E1081,$E1081)=1,1,0))</f>
        <v/>
      </c>
      <c r="AO1081">
        <f>IF($AN1081=1,SUMPRODUCT(--($AR$2:$AR$3001&lt;$AR1081))+1,"")</f>
        <v/>
      </c>
      <c r="AP1081">
        <f>IF($E1081="","",IF(OR($U1081=TRUE(),$U1081="TRUE"),1,0))</f>
        <v/>
      </c>
      <c r="AQ1081">
        <f>IF($E1081="","",IF($AD1081="Yes",1,0))</f>
        <v/>
      </c>
      <c r="AR1081">
        <f>IF($AN1081=1,IFERROR(VALUE(MID($E1081,2,20)),1000000000)+ROW()/100000,"")</f>
        <v/>
      </c>
    </row>
    <row r="1082">
      <c r="G1082" s="11" t="n"/>
      <c r="Q1082" s="7">
        <f>IF($E1082="","",P1082*AB1082/100)</f>
        <v/>
      </c>
      <c r="R1082" s="7" t="n"/>
      <c r="X1082" s="7" t="n"/>
      <c r="Y1082" s="7">
        <f>IF($E1082="","",AB1082*AE1082/100)</f>
        <v/>
      </c>
      <c r="Z1082" s="7">
        <f>IF($E1082="","",AB1082-Y1082)</f>
        <v/>
      </c>
      <c r="AA1082" s="7">
        <f>IF($E1082="","",Z1082-Q1082)</f>
        <v/>
      </c>
      <c r="AB1082" s="7" t="n"/>
      <c r="AE1082">
        <f>IF($E1082="","",IF($AQ1082=1,0,IF($AP1082=1,Settings!$C$6,Settings!$C$7))*100)</f>
        <v/>
      </c>
      <c r="AI1082" s="7" t="n"/>
      <c r="AL1082" s="11" t="n"/>
      <c r="AN1082">
        <f>IF($E1082="","",IF(COUNTIF($E$2:$E1082,$E1082)=1,1,0))</f>
        <v/>
      </c>
      <c r="AO1082">
        <f>IF($AN1082=1,SUMPRODUCT(--($AR$2:$AR$3001&lt;$AR1082))+1,"")</f>
        <v/>
      </c>
      <c r="AP1082">
        <f>IF($E1082="","",IF(OR($U1082=TRUE(),$U1082="TRUE"),1,0))</f>
        <v/>
      </c>
      <c r="AQ1082">
        <f>IF($E1082="","",IF($AD1082="Yes",1,0))</f>
        <v/>
      </c>
      <c r="AR1082">
        <f>IF($AN1082=1,IFERROR(VALUE(MID($E1082,2,20)),1000000000)+ROW()/100000,"")</f>
        <v/>
      </c>
    </row>
    <row r="1083">
      <c r="G1083" s="11" t="n"/>
      <c r="Q1083" s="7">
        <f>IF($E1083="","",P1083*AB1083/100)</f>
        <v/>
      </c>
      <c r="R1083" s="7" t="n"/>
      <c r="X1083" s="7" t="n"/>
      <c r="Y1083" s="7">
        <f>IF($E1083="","",AB1083*AE1083/100)</f>
        <v/>
      </c>
      <c r="Z1083" s="7">
        <f>IF($E1083="","",AB1083-Y1083)</f>
        <v/>
      </c>
      <c r="AA1083" s="7">
        <f>IF($E1083="","",Z1083-Q1083)</f>
        <v/>
      </c>
      <c r="AB1083" s="7" t="n"/>
      <c r="AE1083">
        <f>IF($E1083="","",IF($AQ1083=1,0,IF($AP1083=1,Settings!$C$6,Settings!$C$7))*100)</f>
        <v/>
      </c>
      <c r="AI1083" s="7" t="n"/>
      <c r="AL1083" s="11" t="n"/>
      <c r="AN1083">
        <f>IF($E1083="","",IF(COUNTIF($E$2:$E1083,$E1083)=1,1,0))</f>
        <v/>
      </c>
      <c r="AO1083">
        <f>IF($AN1083=1,SUMPRODUCT(--($AR$2:$AR$3001&lt;$AR1083))+1,"")</f>
        <v/>
      </c>
      <c r="AP1083">
        <f>IF($E1083="","",IF(OR($U1083=TRUE(),$U1083="TRUE"),1,0))</f>
        <v/>
      </c>
      <c r="AQ1083">
        <f>IF($E1083="","",IF($AD1083="Yes",1,0))</f>
        <v/>
      </c>
      <c r="AR1083">
        <f>IF($AN1083=1,IFERROR(VALUE(MID($E1083,2,20)),1000000000)+ROW()/100000,"")</f>
        <v/>
      </c>
    </row>
    <row r="1084">
      <c r="G1084" s="11" t="n"/>
      <c r="Q1084" s="7">
        <f>IF($E1084="","",P1084*AB1084/100)</f>
        <v/>
      </c>
      <c r="R1084" s="7" t="n"/>
      <c r="X1084" s="7" t="n"/>
      <c r="Y1084" s="7">
        <f>IF($E1084="","",AB1084*AE1084/100)</f>
        <v/>
      </c>
      <c r="Z1084" s="7">
        <f>IF($E1084="","",AB1084-Y1084)</f>
        <v/>
      </c>
      <c r="AA1084" s="7">
        <f>IF($E1084="","",Z1084-Q1084)</f>
        <v/>
      </c>
      <c r="AB1084" s="7" t="n"/>
      <c r="AE1084">
        <f>IF($E1084="","",IF($AQ1084=1,0,IF($AP1084=1,Settings!$C$6,Settings!$C$7))*100)</f>
        <v/>
      </c>
      <c r="AI1084" s="7" t="n"/>
      <c r="AL1084" s="11" t="n"/>
      <c r="AN1084">
        <f>IF($E1084="","",IF(COUNTIF($E$2:$E1084,$E1084)=1,1,0))</f>
        <v/>
      </c>
      <c r="AO1084">
        <f>IF($AN1084=1,SUMPRODUCT(--($AR$2:$AR$3001&lt;$AR1084))+1,"")</f>
        <v/>
      </c>
      <c r="AP1084">
        <f>IF($E1084="","",IF(OR($U1084=TRUE(),$U1084="TRUE"),1,0))</f>
        <v/>
      </c>
      <c r="AQ1084">
        <f>IF($E1084="","",IF($AD1084="Yes",1,0))</f>
        <v/>
      </c>
      <c r="AR1084">
        <f>IF($AN1084=1,IFERROR(VALUE(MID($E1084,2,20)),1000000000)+ROW()/100000,"")</f>
        <v/>
      </c>
    </row>
    <row r="1085">
      <c r="G1085" s="11" t="n"/>
      <c r="Q1085" s="7">
        <f>IF($E1085="","",P1085*AB1085/100)</f>
        <v/>
      </c>
      <c r="R1085" s="7" t="n"/>
      <c r="X1085" s="7" t="n"/>
      <c r="Y1085" s="7">
        <f>IF($E1085="","",AB1085*AE1085/100)</f>
        <v/>
      </c>
      <c r="Z1085" s="7">
        <f>IF($E1085="","",AB1085-Y1085)</f>
        <v/>
      </c>
      <c r="AA1085" s="7">
        <f>IF($E1085="","",Z1085-Q1085)</f>
        <v/>
      </c>
      <c r="AB1085" s="7" t="n"/>
      <c r="AE1085">
        <f>IF($E1085="","",IF($AQ1085=1,0,IF($AP1085=1,Settings!$C$6,Settings!$C$7))*100)</f>
        <v/>
      </c>
      <c r="AI1085" s="7" t="n"/>
      <c r="AL1085" s="11" t="n"/>
      <c r="AN1085">
        <f>IF($E1085="","",IF(COUNTIF($E$2:$E1085,$E1085)=1,1,0))</f>
        <v/>
      </c>
      <c r="AO1085">
        <f>IF($AN1085=1,SUMPRODUCT(--($AR$2:$AR$3001&lt;$AR1085))+1,"")</f>
        <v/>
      </c>
      <c r="AP1085">
        <f>IF($E1085="","",IF(OR($U1085=TRUE(),$U1085="TRUE"),1,0))</f>
        <v/>
      </c>
      <c r="AQ1085">
        <f>IF($E1085="","",IF($AD1085="Yes",1,0))</f>
        <v/>
      </c>
      <c r="AR1085">
        <f>IF($AN1085=1,IFERROR(VALUE(MID($E1085,2,20)),1000000000)+ROW()/100000,"")</f>
        <v/>
      </c>
    </row>
    <row r="1086">
      <c r="G1086" s="11" t="n"/>
      <c r="Q1086" s="7">
        <f>IF($E1086="","",P1086*AB1086/100)</f>
        <v/>
      </c>
      <c r="R1086" s="7" t="n"/>
      <c r="X1086" s="7" t="n"/>
      <c r="Y1086" s="7">
        <f>IF($E1086="","",AB1086*AE1086/100)</f>
        <v/>
      </c>
      <c r="Z1086" s="7">
        <f>IF($E1086="","",AB1086-Y1086)</f>
        <v/>
      </c>
      <c r="AA1086" s="7">
        <f>IF($E1086="","",Z1086-Q1086)</f>
        <v/>
      </c>
      <c r="AB1086" s="7" t="n"/>
      <c r="AE1086">
        <f>IF($E1086="","",IF($AQ1086=1,0,IF($AP1086=1,Settings!$C$6,Settings!$C$7))*100)</f>
        <v/>
      </c>
      <c r="AI1086" s="7" t="n"/>
      <c r="AL1086" s="11" t="n"/>
      <c r="AN1086">
        <f>IF($E1086="","",IF(COUNTIF($E$2:$E1086,$E1086)=1,1,0))</f>
        <v/>
      </c>
      <c r="AO1086">
        <f>IF($AN1086=1,SUMPRODUCT(--($AR$2:$AR$3001&lt;$AR1086))+1,"")</f>
        <v/>
      </c>
      <c r="AP1086">
        <f>IF($E1086="","",IF(OR($U1086=TRUE(),$U1086="TRUE"),1,0))</f>
        <v/>
      </c>
      <c r="AQ1086">
        <f>IF($E1086="","",IF($AD1086="Yes",1,0))</f>
        <v/>
      </c>
      <c r="AR1086">
        <f>IF($AN1086=1,IFERROR(VALUE(MID($E1086,2,20)),1000000000)+ROW()/100000,"")</f>
        <v/>
      </c>
    </row>
    <row r="1087">
      <c r="G1087" s="11" t="n"/>
      <c r="Q1087" s="7">
        <f>IF($E1087="","",P1087*AB1087/100)</f>
        <v/>
      </c>
      <c r="R1087" s="7" t="n"/>
      <c r="X1087" s="7" t="n"/>
      <c r="Y1087" s="7">
        <f>IF($E1087="","",AB1087*AE1087/100)</f>
        <v/>
      </c>
      <c r="Z1087" s="7">
        <f>IF($E1087="","",AB1087-Y1087)</f>
        <v/>
      </c>
      <c r="AA1087" s="7">
        <f>IF($E1087="","",Z1087-Q1087)</f>
        <v/>
      </c>
      <c r="AB1087" s="7" t="n"/>
      <c r="AE1087">
        <f>IF($E1087="","",IF($AQ1087=1,0,IF($AP1087=1,Settings!$C$6,Settings!$C$7))*100)</f>
        <v/>
      </c>
      <c r="AI1087" s="7" t="n"/>
      <c r="AL1087" s="11" t="n"/>
      <c r="AN1087">
        <f>IF($E1087="","",IF(COUNTIF($E$2:$E1087,$E1087)=1,1,0))</f>
        <v/>
      </c>
      <c r="AO1087">
        <f>IF($AN1087=1,SUMPRODUCT(--($AR$2:$AR$3001&lt;$AR1087))+1,"")</f>
        <v/>
      </c>
      <c r="AP1087">
        <f>IF($E1087="","",IF(OR($U1087=TRUE(),$U1087="TRUE"),1,0))</f>
        <v/>
      </c>
      <c r="AQ1087">
        <f>IF($E1087="","",IF($AD1087="Yes",1,0))</f>
        <v/>
      </c>
      <c r="AR1087">
        <f>IF($AN1087=1,IFERROR(VALUE(MID($E1087,2,20)),1000000000)+ROW()/100000,"")</f>
        <v/>
      </c>
    </row>
    <row r="1088">
      <c r="G1088" s="11" t="n"/>
      <c r="Q1088" s="7">
        <f>IF($E1088="","",P1088*AB1088/100)</f>
        <v/>
      </c>
      <c r="R1088" s="7" t="n"/>
      <c r="X1088" s="7" t="n"/>
      <c r="Y1088" s="7">
        <f>IF($E1088="","",AB1088*AE1088/100)</f>
        <v/>
      </c>
      <c r="Z1088" s="7">
        <f>IF($E1088="","",AB1088-Y1088)</f>
        <v/>
      </c>
      <c r="AA1088" s="7">
        <f>IF($E1088="","",Z1088-Q1088)</f>
        <v/>
      </c>
      <c r="AB1088" s="7" t="n"/>
      <c r="AE1088">
        <f>IF($E1088="","",IF($AQ1088=1,0,IF($AP1088=1,Settings!$C$6,Settings!$C$7))*100)</f>
        <v/>
      </c>
      <c r="AI1088" s="7" t="n"/>
      <c r="AL1088" s="11" t="n"/>
      <c r="AN1088">
        <f>IF($E1088="","",IF(COUNTIF($E$2:$E1088,$E1088)=1,1,0))</f>
        <v/>
      </c>
      <c r="AO1088">
        <f>IF($AN1088=1,SUMPRODUCT(--($AR$2:$AR$3001&lt;$AR1088))+1,"")</f>
        <v/>
      </c>
      <c r="AP1088">
        <f>IF($E1088="","",IF(OR($U1088=TRUE(),$U1088="TRUE"),1,0))</f>
        <v/>
      </c>
      <c r="AQ1088">
        <f>IF($E1088="","",IF($AD1088="Yes",1,0))</f>
        <v/>
      </c>
      <c r="AR1088">
        <f>IF($AN1088=1,IFERROR(VALUE(MID($E1088,2,20)),1000000000)+ROW()/100000,"")</f>
        <v/>
      </c>
    </row>
    <row r="1089">
      <c r="G1089" s="11" t="n"/>
      <c r="Q1089" s="7">
        <f>IF($E1089="","",P1089*AB1089/100)</f>
        <v/>
      </c>
      <c r="R1089" s="7" t="n"/>
      <c r="X1089" s="7" t="n"/>
      <c r="Y1089" s="7">
        <f>IF($E1089="","",AB1089*AE1089/100)</f>
        <v/>
      </c>
      <c r="Z1089" s="7">
        <f>IF($E1089="","",AB1089-Y1089)</f>
        <v/>
      </c>
      <c r="AA1089" s="7">
        <f>IF($E1089="","",Z1089-Q1089)</f>
        <v/>
      </c>
      <c r="AB1089" s="7" t="n"/>
      <c r="AE1089">
        <f>IF($E1089="","",IF($AQ1089=1,0,IF($AP1089=1,Settings!$C$6,Settings!$C$7))*100)</f>
        <v/>
      </c>
      <c r="AI1089" s="7" t="n"/>
      <c r="AL1089" s="11" t="n"/>
      <c r="AN1089">
        <f>IF($E1089="","",IF(COUNTIF($E$2:$E1089,$E1089)=1,1,0))</f>
        <v/>
      </c>
      <c r="AO1089">
        <f>IF($AN1089=1,SUMPRODUCT(--($AR$2:$AR$3001&lt;$AR1089))+1,"")</f>
        <v/>
      </c>
      <c r="AP1089">
        <f>IF($E1089="","",IF(OR($U1089=TRUE(),$U1089="TRUE"),1,0))</f>
        <v/>
      </c>
      <c r="AQ1089">
        <f>IF($E1089="","",IF($AD1089="Yes",1,0))</f>
        <v/>
      </c>
      <c r="AR1089">
        <f>IF($AN1089=1,IFERROR(VALUE(MID($E1089,2,20)),1000000000)+ROW()/100000,"")</f>
        <v/>
      </c>
    </row>
    <row r="1090">
      <c r="G1090" s="11" t="n"/>
      <c r="Q1090" s="7">
        <f>IF($E1090="","",P1090*AB1090/100)</f>
        <v/>
      </c>
      <c r="R1090" s="7" t="n"/>
      <c r="X1090" s="7" t="n"/>
      <c r="Y1090" s="7">
        <f>IF($E1090="","",AB1090*AE1090/100)</f>
        <v/>
      </c>
      <c r="Z1090" s="7">
        <f>IF($E1090="","",AB1090-Y1090)</f>
        <v/>
      </c>
      <c r="AA1090" s="7">
        <f>IF($E1090="","",Z1090-Q1090)</f>
        <v/>
      </c>
      <c r="AB1090" s="7" t="n"/>
      <c r="AE1090">
        <f>IF($E1090="","",IF($AQ1090=1,0,IF($AP1090=1,Settings!$C$6,Settings!$C$7))*100)</f>
        <v/>
      </c>
      <c r="AI1090" s="7" t="n"/>
      <c r="AL1090" s="11" t="n"/>
      <c r="AN1090">
        <f>IF($E1090="","",IF(COUNTIF($E$2:$E1090,$E1090)=1,1,0))</f>
        <v/>
      </c>
      <c r="AO1090">
        <f>IF($AN1090=1,SUMPRODUCT(--($AR$2:$AR$3001&lt;$AR1090))+1,"")</f>
        <v/>
      </c>
      <c r="AP1090">
        <f>IF($E1090="","",IF(OR($U1090=TRUE(),$U1090="TRUE"),1,0))</f>
        <v/>
      </c>
      <c r="AQ1090">
        <f>IF($E1090="","",IF($AD1090="Yes",1,0))</f>
        <v/>
      </c>
      <c r="AR1090">
        <f>IF($AN1090=1,IFERROR(VALUE(MID($E1090,2,20)),1000000000)+ROW()/100000,"")</f>
        <v/>
      </c>
    </row>
    <row r="1091">
      <c r="G1091" s="11" t="n"/>
      <c r="Q1091" s="7">
        <f>IF($E1091="","",P1091*AB1091/100)</f>
        <v/>
      </c>
      <c r="R1091" s="7" t="n"/>
      <c r="X1091" s="7" t="n"/>
      <c r="Y1091" s="7">
        <f>IF($E1091="","",AB1091*AE1091/100)</f>
        <v/>
      </c>
      <c r="Z1091" s="7">
        <f>IF($E1091="","",AB1091-Y1091)</f>
        <v/>
      </c>
      <c r="AA1091" s="7">
        <f>IF($E1091="","",Z1091-Q1091)</f>
        <v/>
      </c>
      <c r="AB1091" s="7" t="n"/>
      <c r="AE1091">
        <f>IF($E1091="","",IF($AQ1091=1,0,IF($AP1091=1,Settings!$C$6,Settings!$C$7))*100)</f>
        <v/>
      </c>
      <c r="AI1091" s="7" t="n"/>
      <c r="AL1091" s="11" t="n"/>
      <c r="AN1091">
        <f>IF($E1091="","",IF(COUNTIF($E$2:$E1091,$E1091)=1,1,0))</f>
        <v/>
      </c>
      <c r="AO1091">
        <f>IF($AN1091=1,SUMPRODUCT(--($AR$2:$AR$3001&lt;$AR1091))+1,"")</f>
        <v/>
      </c>
      <c r="AP1091">
        <f>IF($E1091="","",IF(OR($U1091=TRUE(),$U1091="TRUE"),1,0))</f>
        <v/>
      </c>
      <c r="AQ1091">
        <f>IF($E1091="","",IF($AD1091="Yes",1,0))</f>
        <v/>
      </c>
      <c r="AR1091">
        <f>IF($AN1091=1,IFERROR(VALUE(MID($E1091,2,20)),1000000000)+ROW()/100000,"")</f>
        <v/>
      </c>
    </row>
    <row r="1092">
      <c r="G1092" s="11" t="n"/>
      <c r="Q1092" s="7">
        <f>IF($E1092="","",P1092*AB1092/100)</f>
        <v/>
      </c>
      <c r="R1092" s="7" t="n"/>
      <c r="X1092" s="7" t="n"/>
      <c r="Y1092" s="7">
        <f>IF($E1092="","",AB1092*AE1092/100)</f>
        <v/>
      </c>
      <c r="Z1092" s="7">
        <f>IF($E1092="","",AB1092-Y1092)</f>
        <v/>
      </c>
      <c r="AA1092" s="7">
        <f>IF($E1092="","",Z1092-Q1092)</f>
        <v/>
      </c>
      <c r="AB1092" s="7" t="n"/>
      <c r="AE1092">
        <f>IF($E1092="","",IF($AQ1092=1,0,IF($AP1092=1,Settings!$C$6,Settings!$C$7))*100)</f>
        <v/>
      </c>
      <c r="AI1092" s="7" t="n"/>
      <c r="AL1092" s="11" t="n"/>
      <c r="AN1092">
        <f>IF($E1092="","",IF(COUNTIF($E$2:$E1092,$E1092)=1,1,0))</f>
        <v/>
      </c>
      <c r="AO1092">
        <f>IF($AN1092=1,SUMPRODUCT(--($AR$2:$AR$3001&lt;$AR1092))+1,"")</f>
        <v/>
      </c>
      <c r="AP1092">
        <f>IF($E1092="","",IF(OR($U1092=TRUE(),$U1092="TRUE"),1,0))</f>
        <v/>
      </c>
      <c r="AQ1092">
        <f>IF($E1092="","",IF($AD1092="Yes",1,0))</f>
        <v/>
      </c>
      <c r="AR1092">
        <f>IF($AN1092=1,IFERROR(VALUE(MID($E1092,2,20)),1000000000)+ROW()/100000,"")</f>
        <v/>
      </c>
    </row>
    <row r="1093">
      <c r="G1093" s="11" t="n"/>
      <c r="Q1093" s="7">
        <f>IF($E1093="","",P1093*AB1093/100)</f>
        <v/>
      </c>
      <c r="R1093" s="7" t="n"/>
      <c r="X1093" s="7" t="n"/>
      <c r="Y1093" s="7">
        <f>IF($E1093="","",AB1093*AE1093/100)</f>
        <v/>
      </c>
      <c r="Z1093" s="7">
        <f>IF($E1093="","",AB1093-Y1093)</f>
        <v/>
      </c>
      <c r="AA1093" s="7">
        <f>IF($E1093="","",Z1093-Q1093)</f>
        <v/>
      </c>
      <c r="AB1093" s="7" t="n"/>
      <c r="AE1093">
        <f>IF($E1093="","",IF($AQ1093=1,0,IF($AP1093=1,Settings!$C$6,Settings!$C$7))*100)</f>
        <v/>
      </c>
      <c r="AI1093" s="7" t="n"/>
      <c r="AL1093" s="11" t="n"/>
      <c r="AN1093">
        <f>IF($E1093="","",IF(COUNTIF($E$2:$E1093,$E1093)=1,1,0))</f>
        <v/>
      </c>
      <c r="AO1093">
        <f>IF($AN1093=1,SUMPRODUCT(--($AR$2:$AR$3001&lt;$AR1093))+1,"")</f>
        <v/>
      </c>
      <c r="AP1093">
        <f>IF($E1093="","",IF(OR($U1093=TRUE(),$U1093="TRUE"),1,0))</f>
        <v/>
      </c>
      <c r="AQ1093">
        <f>IF($E1093="","",IF($AD1093="Yes",1,0))</f>
        <v/>
      </c>
      <c r="AR1093">
        <f>IF($AN1093=1,IFERROR(VALUE(MID($E1093,2,20)),1000000000)+ROW()/100000,"")</f>
        <v/>
      </c>
    </row>
    <row r="1094">
      <c r="G1094" s="11" t="n"/>
      <c r="Q1094" s="7">
        <f>IF($E1094="","",P1094*AB1094/100)</f>
        <v/>
      </c>
      <c r="R1094" s="7" t="n"/>
      <c r="X1094" s="7" t="n"/>
      <c r="Y1094" s="7">
        <f>IF($E1094="","",AB1094*AE1094/100)</f>
        <v/>
      </c>
      <c r="Z1094" s="7">
        <f>IF($E1094="","",AB1094-Y1094)</f>
        <v/>
      </c>
      <c r="AA1094" s="7">
        <f>IF($E1094="","",Z1094-Q1094)</f>
        <v/>
      </c>
      <c r="AB1094" s="7" t="n"/>
      <c r="AE1094">
        <f>IF($E1094="","",IF($AQ1094=1,0,IF($AP1094=1,Settings!$C$6,Settings!$C$7))*100)</f>
        <v/>
      </c>
      <c r="AI1094" s="7" t="n"/>
      <c r="AL1094" s="11" t="n"/>
      <c r="AN1094">
        <f>IF($E1094="","",IF(COUNTIF($E$2:$E1094,$E1094)=1,1,0))</f>
        <v/>
      </c>
      <c r="AO1094">
        <f>IF($AN1094=1,SUMPRODUCT(--($AR$2:$AR$3001&lt;$AR1094))+1,"")</f>
        <v/>
      </c>
      <c r="AP1094">
        <f>IF($E1094="","",IF(OR($U1094=TRUE(),$U1094="TRUE"),1,0))</f>
        <v/>
      </c>
      <c r="AQ1094">
        <f>IF($E1094="","",IF($AD1094="Yes",1,0))</f>
        <v/>
      </c>
      <c r="AR1094">
        <f>IF($AN1094=1,IFERROR(VALUE(MID($E1094,2,20)),1000000000)+ROW()/100000,"")</f>
        <v/>
      </c>
    </row>
    <row r="1095">
      <c r="G1095" s="11" t="n"/>
      <c r="Q1095" s="7">
        <f>IF($E1095="","",P1095*AB1095/100)</f>
        <v/>
      </c>
      <c r="R1095" s="7" t="n"/>
      <c r="X1095" s="7" t="n"/>
      <c r="Y1095" s="7">
        <f>IF($E1095="","",AB1095*AE1095/100)</f>
        <v/>
      </c>
      <c r="Z1095" s="7">
        <f>IF($E1095="","",AB1095-Y1095)</f>
        <v/>
      </c>
      <c r="AA1095" s="7">
        <f>IF($E1095="","",Z1095-Q1095)</f>
        <v/>
      </c>
      <c r="AB1095" s="7" t="n"/>
      <c r="AE1095">
        <f>IF($E1095="","",IF($AQ1095=1,0,IF($AP1095=1,Settings!$C$6,Settings!$C$7))*100)</f>
        <v/>
      </c>
      <c r="AI1095" s="7" t="n"/>
      <c r="AL1095" s="11" t="n"/>
      <c r="AN1095">
        <f>IF($E1095="","",IF(COUNTIF($E$2:$E1095,$E1095)=1,1,0))</f>
        <v/>
      </c>
      <c r="AO1095">
        <f>IF($AN1095=1,SUMPRODUCT(--($AR$2:$AR$3001&lt;$AR1095))+1,"")</f>
        <v/>
      </c>
      <c r="AP1095">
        <f>IF($E1095="","",IF(OR($U1095=TRUE(),$U1095="TRUE"),1,0))</f>
        <v/>
      </c>
      <c r="AQ1095">
        <f>IF($E1095="","",IF($AD1095="Yes",1,0))</f>
        <v/>
      </c>
      <c r="AR1095">
        <f>IF($AN1095=1,IFERROR(VALUE(MID($E1095,2,20)),1000000000)+ROW()/100000,"")</f>
        <v/>
      </c>
    </row>
    <row r="1096">
      <c r="G1096" s="11" t="n"/>
      <c r="Q1096" s="7">
        <f>IF($E1096="","",P1096*AB1096/100)</f>
        <v/>
      </c>
      <c r="R1096" s="7" t="n"/>
      <c r="X1096" s="7" t="n"/>
      <c r="Y1096" s="7">
        <f>IF($E1096="","",AB1096*AE1096/100)</f>
        <v/>
      </c>
      <c r="Z1096" s="7">
        <f>IF($E1096="","",AB1096-Y1096)</f>
        <v/>
      </c>
      <c r="AA1096" s="7">
        <f>IF($E1096="","",Z1096-Q1096)</f>
        <v/>
      </c>
      <c r="AB1096" s="7" t="n"/>
      <c r="AE1096">
        <f>IF($E1096="","",IF($AQ1096=1,0,IF($AP1096=1,Settings!$C$6,Settings!$C$7))*100)</f>
        <v/>
      </c>
      <c r="AI1096" s="7" t="n"/>
      <c r="AL1096" s="11" t="n"/>
      <c r="AN1096">
        <f>IF($E1096="","",IF(COUNTIF($E$2:$E1096,$E1096)=1,1,0))</f>
        <v/>
      </c>
      <c r="AO1096">
        <f>IF($AN1096=1,SUMPRODUCT(--($AR$2:$AR$3001&lt;$AR1096))+1,"")</f>
        <v/>
      </c>
      <c r="AP1096">
        <f>IF($E1096="","",IF(OR($U1096=TRUE(),$U1096="TRUE"),1,0))</f>
        <v/>
      </c>
      <c r="AQ1096">
        <f>IF($E1096="","",IF($AD1096="Yes",1,0))</f>
        <v/>
      </c>
      <c r="AR1096">
        <f>IF($AN1096=1,IFERROR(VALUE(MID($E1096,2,20)),1000000000)+ROW()/100000,"")</f>
        <v/>
      </c>
    </row>
    <row r="1097">
      <c r="G1097" s="11" t="n"/>
      <c r="Q1097" s="7">
        <f>IF($E1097="","",P1097*AB1097/100)</f>
        <v/>
      </c>
      <c r="R1097" s="7" t="n"/>
      <c r="X1097" s="7" t="n"/>
      <c r="Y1097" s="7">
        <f>IF($E1097="","",AB1097*AE1097/100)</f>
        <v/>
      </c>
      <c r="Z1097" s="7">
        <f>IF($E1097="","",AB1097-Y1097)</f>
        <v/>
      </c>
      <c r="AA1097" s="7">
        <f>IF($E1097="","",Z1097-Q1097)</f>
        <v/>
      </c>
      <c r="AB1097" s="7" t="n"/>
      <c r="AE1097">
        <f>IF($E1097="","",IF($AQ1097=1,0,IF($AP1097=1,Settings!$C$6,Settings!$C$7))*100)</f>
        <v/>
      </c>
      <c r="AI1097" s="7" t="n"/>
      <c r="AL1097" s="11" t="n"/>
      <c r="AN1097">
        <f>IF($E1097="","",IF(COUNTIF($E$2:$E1097,$E1097)=1,1,0))</f>
        <v/>
      </c>
      <c r="AO1097">
        <f>IF($AN1097=1,SUMPRODUCT(--($AR$2:$AR$3001&lt;$AR1097))+1,"")</f>
        <v/>
      </c>
      <c r="AP1097">
        <f>IF($E1097="","",IF(OR($U1097=TRUE(),$U1097="TRUE"),1,0))</f>
        <v/>
      </c>
      <c r="AQ1097">
        <f>IF($E1097="","",IF($AD1097="Yes",1,0))</f>
        <v/>
      </c>
      <c r="AR1097">
        <f>IF($AN1097=1,IFERROR(VALUE(MID($E1097,2,20)),1000000000)+ROW()/100000,"")</f>
        <v/>
      </c>
    </row>
    <row r="1098">
      <c r="G1098" s="11" t="n"/>
      <c r="Q1098" s="7">
        <f>IF($E1098="","",P1098*AB1098/100)</f>
        <v/>
      </c>
      <c r="R1098" s="7" t="n"/>
      <c r="X1098" s="7" t="n"/>
      <c r="Y1098" s="7">
        <f>IF($E1098="","",AB1098*AE1098/100)</f>
        <v/>
      </c>
      <c r="Z1098" s="7">
        <f>IF($E1098="","",AB1098-Y1098)</f>
        <v/>
      </c>
      <c r="AA1098" s="7">
        <f>IF($E1098="","",Z1098-Q1098)</f>
        <v/>
      </c>
      <c r="AB1098" s="7" t="n"/>
      <c r="AE1098">
        <f>IF($E1098="","",IF($AQ1098=1,0,IF($AP1098=1,Settings!$C$6,Settings!$C$7))*100)</f>
        <v/>
      </c>
      <c r="AI1098" s="7" t="n"/>
      <c r="AL1098" s="11" t="n"/>
      <c r="AN1098">
        <f>IF($E1098="","",IF(COUNTIF($E$2:$E1098,$E1098)=1,1,0))</f>
        <v/>
      </c>
      <c r="AO1098">
        <f>IF($AN1098=1,SUMPRODUCT(--($AR$2:$AR$3001&lt;$AR1098))+1,"")</f>
        <v/>
      </c>
      <c r="AP1098">
        <f>IF($E1098="","",IF(OR($U1098=TRUE(),$U1098="TRUE"),1,0))</f>
        <v/>
      </c>
      <c r="AQ1098">
        <f>IF($E1098="","",IF($AD1098="Yes",1,0))</f>
        <v/>
      </c>
      <c r="AR1098">
        <f>IF($AN1098=1,IFERROR(VALUE(MID($E1098,2,20)),1000000000)+ROW()/100000,"")</f>
        <v/>
      </c>
    </row>
    <row r="1099">
      <c r="G1099" s="11" t="n"/>
      <c r="Q1099" s="7">
        <f>IF($E1099="","",P1099*AB1099/100)</f>
        <v/>
      </c>
      <c r="R1099" s="7" t="n"/>
      <c r="X1099" s="7" t="n"/>
      <c r="Y1099" s="7">
        <f>IF($E1099="","",AB1099*AE1099/100)</f>
        <v/>
      </c>
      <c r="Z1099" s="7">
        <f>IF($E1099="","",AB1099-Y1099)</f>
        <v/>
      </c>
      <c r="AA1099" s="7">
        <f>IF($E1099="","",Z1099-Q1099)</f>
        <v/>
      </c>
      <c r="AB1099" s="7" t="n"/>
      <c r="AE1099">
        <f>IF($E1099="","",IF($AQ1099=1,0,IF($AP1099=1,Settings!$C$6,Settings!$C$7))*100)</f>
        <v/>
      </c>
      <c r="AI1099" s="7" t="n"/>
      <c r="AL1099" s="11" t="n"/>
      <c r="AN1099">
        <f>IF($E1099="","",IF(COUNTIF($E$2:$E1099,$E1099)=1,1,0))</f>
        <v/>
      </c>
      <c r="AO1099">
        <f>IF($AN1099=1,SUMPRODUCT(--($AR$2:$AR$3001&lt;$AR1099))+1,"")</f>
        <v/>
      </c>
      <c r="AP1099">
        <f>IF($E1099="","",IF(OR($U1099=TRUE(),$U1099="TRUE"),1,0))</f>
        <v/>
      </c>
      <c r="AQ1099">
        <f>IF($E1099="","",IF($AD1099="Yes",1,0))</f>
        <v/>
      </c>
      <c r="AR1099">
        <f>IF($AN1099=1,IFERROR(VALUE(MID($E1099,2,20)),1000000000)+ROW()/100000,"")</f>
        <v/>
      </c>
    </row>
    <row r="1100">
      <c r="G1100" s="11" t="n"/>
      <c r="Q1100" s="7">
        <f>IF($E1100="","",P1100*AB1100/100)</f>
        <v/>
      </c>
      <c r="R1100" s="7" t="n"/>
      <c r="X1100" s="7" t="n"/>
      <c r="Y1100" s="7">
        <f>IF($E1100="","",AB1100*AE1100/100)</f>
        <v/>
      </c>
      <c r="Z1100" s="7">
        <f>IF($E1100="","",AB1100-Y1100)</f>
        <v/>
      </c>
      <c r="AA1100" s="7">
        <f>IF($E1100="","",Z1100-Q1100)</f>
        <v/>
      </c>
      <c r="AB1100" s="7" t="n"/>
      <c r="AE1100">
        <f>IF($E1100="","",IF($AQ1100=1,0,IF($AP1100=1,Settings!$C$6,Settings!$C$7))*100)</f>
        <v/>
      </c>
      <c r="AI1100" s="7" t="n"/>
      <c r="AL1100" s="11" t="n"/>
      <c r="AN1100">
        <f>IF($E1100="","",IF(COUNTIF($E$2:$E1100,$E1100)=1,1,0))</f>
        <v/>
      </c>
      <c r="AO1100">
        <f>IF($AN1100=1,SUMPRODUCT(--($AR$2:$AR$3001&lt;$AR1100))+1,"")</f>
        <v/>
      </c>
      <c r="AP1100">
        <f>IF($E1100="","",IF(OR($U1100=TRUE(),$U1100="TRUE"),1,0))</f>
        <v/>
      </c>
      <c r="AQ1100">
        <f>IF($E1100="","",IF($AD1100="Yes",1,0))</f>
        <v/>
      </c>
      <c r="AR1100">
        <f>IF($AN1100=1,IFERROR(VALUE(MID($E1100,2,20)),1000000000)+ROW()/100000,"")</f>
        <v/>
      </c>
    </row>
    <row r="1101">
      <c r="G1101" s="11" t="n"/>
      <c r="Q1101" s="7">
        <f>IF($E1101="","",P1101*AB1101/100)</f>
        <v/>
      </c>
      <c r="R1101" s="7" t="n"/>
      <c r="X1101" s="7" t="n"/>
      <c r="Y1101" s="7">
        <f>IF($E1101="","",AB1101*AE1101/100)</f>
        <v/>
      </c>
      <c r="Z1101" s="7">
        <f>IF($E1101="","",AB1101-Y1101)</f>
        <v/>
      </c>
      <c r="AA1101" s="7">
        <f>IF($E1101="","",Z1101-Q1101)</f>
        <v/>
      </c>
      <c r="AB1101" s="7" t="n"/>
      <c r="AE1101">
        <f>IF($E1101="","",IF($AQ1101=1,0,IF($AP1101=1,Settings!$C$6,Settings!$C$7))*100)</f>
        <v/>
      </c>
      <c r="AI1101" s="7" t="n"/>
      <c r="AL1101" s="11" t="n"/>
      <c r="AN1101">
        <f>IF($E1101="","",IF(COUNTIF($E$2:$E1101,$E1101)=1,1,0))</f>
        <v/>
      </c>
      <c r="AO1101">
        <f>IF($AN1101=1,SUMPRODUCT(--($AR$2:$AR$3001&lt;$AR1101))+1,"")</f>
        <v/>
      </c>
      <c r="AP1101">
        <f>IF($E1101="","",IF(OR($U1101=TRUE(),$U1101="TRUE"),1,0))</f>
        <v/>
      </c>
      <c r="AQ1101">
        <f>IF($E1101="","",IF($AD1101="Yes",1,0))</f>
        <v/>
      </c>
      <c r="AR1101">
        <f>IF($AN1101=1,IFERROR(VALUE(MID($E1101,2,20)),1000000000)+ROW()/100000,"")</f>
        <v/>
      </c>
    </row>
    <row r="1102">
      <c r="G1102" s="11" t="n"/>
      <c r="Q1102" s="7">
        <f>IF($E1102="","",P1102*AB1102/100)</f>
        <v/>
      </c>
      <c r="R1102" s="7" t="n"/>
      <c r="X1102" s="7" t="n"/>
      <c r="Y1102" s="7">
        <f>IF($E1102="","",AB1102*AE1102/100)</f>
        <v/>
      </c>
      <c r="Z1102" s="7">
        <f>IF($E1102="","",AB1102-Y1102)</f>
        <v/>
      </c>
      <c r="AA1102" s="7">
        <f>IF($E1102="","",Z1102-Q1102)</f>
        <v/>
      </c>
      <c r="AB1102" s="7" t="n"/>
      <c r="AE1102">
        <f>IF($E1102="","",IF($AQ1102=1,0,IF($AP1102=1,Settings!$C$6,Settings!$C$7))*100)</f>
        <v/>
      </c>
      <c r="AI1102" s="7" t="n"/>
      <c r="AL1102" s="11" t="n"/>
      <c r="AN1102">
        <f>IF($E1102="","",IF(COUNTIF($E$2:$E1102,$E1102)=1,1,0))</f>
        <v/>
      </c>
      <c r="AO1102">
        <f>IF($AN1102=1,SUMPRODUCT(--($AR$2:$AR$3001&lt;$AR1102))+1,"")</f>
        <v/>
      </c>
      <c r="AP1102">
        <f>IF($E1102="","",IF(OR($U1102=TRUE(),$U1102="TRUE"),1,0))</f>
        <v/>
      </c>
      <c r="AQ1102">
        <f>IF($E1102="","",IF($AD1102="Yes",1,0))</f>
        <v/>
      </c>
      <c r="AR1102">
        <f>IF($AN1102=1,IFERROR(VALUE(MID($E1102,2,20)),1000000000)+ROW()/100000,"")</f>
        <v/>
      </c>
    </row>
    <row r="1103">
      <c r="G1103" s="11" t="n"/>
      <c r="Q1103" s="7">
        <f>IF($E1103="","",P1103*AB1103/100)</f>
        <v/>
      </c>
      <c r="R1103" s="7" t="n"/>
      <c r="X1103" s="7" t="n"/>
      <c r="Y1103" s="7">
        <f>IF($E1103="","",AB1103*AE1103/100)</f>
        <v/>
      </c>
      <c r="Z1103" s="7">
        <f>IF($E1103="","",AB1103-Y1103)</f>
        <v/>
      </c>
      <c r="AA1103" s="7">
        <f>IF($E1103="","",Z1103-Q1103)</f>
        <v/>
      </c>
      <c r="AB1103" s="7" t="n"/>
      <c r="AE1103">
        <f>IF($E1103="","",IF($AQ1103=1,0,IF($AP1103=1,Settings!$C$6,Settings!$C$7))*100)</f>
        <v/>
      </c>
      <c r="AI1103" s="7" t="n"/>
      <c r="AL1103" s="11" t="n"/>
      <c r="AN1103">
        <f>IF($E1103="","",IF(COUNTIF($E$2:$E1103,$E1103)=1,1,0))</f>
        <v/>
      </c>
      <c r="AO1103">
        <f>IF($AN1103=1,SUMPRODUCT(--($AR$2:$AR$3001&lt;$AR1103))+1,"")</f>
        <v/>
      </c>
      <c r="AP1103">
        <f>IF($E1103="","",IF(OR($U1103=TRUE(),$U1103="TRUE"),1,0))</f>
        <v/>
      </c>
      <c r="AQ1103">
        <f>IF($E1103="","",IF($AD1103="Yes",1,0))</f>
        <v/>
      </c>
      <c r="AR1103">
        <f>IF($AN1103=1,IFERROR(VALUE(MID($E1103,2,20)),1000000000)+ROW()/100000,"")</f>
        <v/>
      </c>
    </row>
    <row r="1104">
      <c r="G1104" s="11" t="n"/>
      <c r="Q1104" s="7">
        <f>IF($E1104="","",P1104*AB1104/100)</f>
        <v/>
      </c>
      <c r="R1104" s="7" t="n"/>
      <c r="X1104" s="7" t="n"/>
      <c r="Y1104" s="7">
        <f>IF($E1104="","",AB1104*AE1104/100)</f>
        <v/>
      </c>
      <c r="Z1104" s="7">
        <f>IF($E1104="","",AB1104-Y1104)</f>
        <v/>
      </c>
      <c r="AA1104" s="7">
        <f>IF($E1104="","",Z1104-Q1104)</f>
        <v/>
      </c>
      <c r="AB1104" s="7" t="n"/>
      <c r="AE1104">
        <f>IF($E1104="","",IF($AQ1104=1,0,IF($AP1104=1,Settings!$C$6,Settings!$C$7))*100)</f>
        <v/>
      </c>
      <c r="AI1104" s="7" t="n"/>
      <c r="AL1104" s="11" t="n"/>
      <c r="AN1104">
        <f>IF($E1104="","",IF(COUNTIF($E$2:$E1104,$E1104)=1,1,0))</f>
        <v/>
      </c>
      <c r="AO1104">
        <f>IF($AN1104=1,SUMPRODUCT(--($AR$2:$AR$3001&lt;$AR1104))+1,"")</f>
        <v/>
      </c>
      <c r="AP1104">
        <f>IF($E1104="","",IF(OR($U1104=TRUE(),$U1104="TRUE"),1,0))</f>
        <v/>
      </c>
      <c r="AQ1104">
        <f>IF($E1104="","",IF($AD1104="Yes",1,0))</f>
        <v/>
      </c>
      <c r="AR1104">
        <f>IF($AN1104=1,IFERROR(VALUE(MID($E1104,2,20)),1000000000)+ROW()/100000,"")</f>
        <v/>
      </c>
    </row>
    <row r="1105">
      <c r="G1105" s="11" t="n"/>
      <c r="Q1105" s="7">
        <f>IF($E1105="","",P1105*AB1105/100)</f>
        <v/>
      </c>
      <c r="R1105" s="7" t="n"/>
      <c r="X1105" s="7" t="n"/>
      <c r="Y1105" s="7">
        <f>IF($E1105="","",AB1105*AE1105/100)</f>
        <v/>
      </c>
      <c r="Z1105" s="7">
        <f>IF($E1105="","",AB1105-Y1105)</f>
        <v/>
      </c>
      <c r="AA1105" s="7">
        <f>IF($E1105="","",Z1105-Q1105)</f>
        <v/>
      </c>
      <c r="AB1105" s="7" t="n"/>
      <c r="AE1105">
        <f>IF($E1105="","",IF($AQ1105=1,0,IF($AP1105=1,Settings!$C$6,Settings!$C$7))*100)</f>
        <v/>
      </c>
      <c r="AI1105" s="7" t="n"/>
      <c r="AL1105" s="11" t="n"/>
      <c r="AN1105">
        <f>IF($E1105="","",IF(COUNTIF($E$2:$E1105,$E1105)=1,1,0))</f>
        <v/>
      </c>
      <c r="AO1105">
        <f>IF($AN1105=1,SUMPRODUCT(--($AR$2:$AR$3001&lt;$AR1105))+1,"")</f>
        <v/>
      </c>
      <c r="AP1105">
        <f>IF($E1105="","",IF(OR($U1105=TRUE(),$U1105="TRUE"),1,0))</f>
        <v/>
      </c>
      <c r="AQ1105">
        <f>IF($E1105="","",IF($AD1105="Yes",1,0))</f>
        <v/>
      </c>
      <c r="AR1105">
        <f>IF($AN1105=1,IFERROR(VALUE(MID($E1105,2,20)),1000000000)+ROW()/100000,"")</f>
        <v/>
      </c>
    </row>
    <row r="1106">
      <c r="G1106" s="11" t="n"/>
      <c r="Q1106" s="7">
        <f>IF($E1106="","",P1106*AB1106/100)</f>
        <v/>
      </c>
      <c r="R1106" s="7" t="n"/>
      <c r="X1106" s="7" t="n"/>
      <c r="Y1106" s="7">
        <f>IF($E1106="","",AB1106*AE1106/100)</f>
        <v/>
      </c>
      <c r="Z1106" s="7">
        <f>IF($E1106="","",AB1106-Y1106)</f>
        <v/>
      </c>
      <c r="AA1106" s="7">
        <f>IF($E1106="","",Z1106-Q1106)</f>
        <v/>
      </c>
      <c r="AB1106" s="7" t="n"/>
      <c r="AE1106">
        <f>IF($E1106="","",IF($AQ1106=1,0,IF($AP1106=1,Settings!$C$6,Settings!$C$7))*100)</f>
        <v/>
      </c>
      <c r="AI1106" s="7" t="n"/>
      <c r="AL1106" s="11" t="n"/>
      <c r="AN1106">
        <f>IF($E1106="","",IF(COUNTIF($E$2:$E1106,$E1106)=1,1,0))</f>
        <v/>
      </c>
      <c r="AO1106">
        <f>IF($AN1106=1,SUMPRODUCT(--($AR$2:$AR$3001&lt;$AR1106))+1,"")</f>
        <v/>
      </c>
      <c r="AP1106">
        <f>IF($E1106="","",IF(OR($U1106=TRUE(),$U1106="TRUE"),1,0))</f>
        <v/>
      </c>
      <c r="AQ1106">
        <f>IF($E1106="","",IF($AD1106="Yes",1,0))</f>
        <v/>
      </c>
      <c r="AR1106">
        <f>IF($AN1106=1,IFERROR(VALUE(MID($E1106,2,20)),1000000000)+ROW()/100000,"")</f>
        <v/>
      </c>
    </row>
    <row r="1107">
      <c r="G1107" s="11" t="n"/>
      <c r="Q1107" s="7">
        <f>IF($E1107="","",P1107*AB1107/100)</f>
        <v/>
      </c>
      <c r="R1107" s="7" t="n"/>
      <c r="X1107" s="7" t="n"/>
      <c r="Y1107" s="7">
        <f>IF($E1107="","",AB1107*AE1107/100)</f>
        <v/>
      </c>
      <c r="Z1107" s="7">
        <f>IF($E1107="","",AB1107-Y1107)</f>
        <v/>
      </c>
      <c r="AA1107" s="7">
        <f>IF($E1107="","",Z1107-Q1107)</f>
        <v/>
      </c>
      <c r="AB1107" s="7" t="n"/>
      <c r="AE1107">
        <f>IF($E1107="","",IF($AQ1107=1,0,IF($AP1107=1,Settings!$C$6,Settings!$C$7))*100)</f>
        <v/>
      </c>
      <c r="AI1107" s="7" t="n"/>
      <c r="AL1107" s="11" t="n"/>
      <c r="AN1107">
        <f>IF($E1107="","",IF(COUNTIF($E$2:$E1107,$E1107)=1,1,0))</f>
        <v/>
      </c>
      <c r="AO1107">
        <f>IF($AN1107=1,SUMPRODUCT(--($AR$2:$AR$3001&lt;$AR1107))+1,"")</f>
        <v/>
      </c>
      <c r="AP1107">
        <f>IF($E1107="","",IF(OR($U1107=TRUE(),$U1107="TRUE"),1,0))</f>
        <v/>
      </c>
      <c r="AQ1107">
        <f>IF($E1107="","",IF($AD1107="Yes",1,0))</f>
        <v/>
      </c>
      <c r="AR1107">
        <f>IF($AN1107=1,IFERROR(VALUE(MID($E1107,2,20)),1000000000)+ROW()/100000,"")</f>
        <v/>
      </c>
    </row>
    <row r="1108">
      <c r="G1108" s="11" t="n"/>
      <c r="Q1108" s="7">
        <f>IF($E1108="","",P1108*AB1108/100)</f>
        <v/>
      </c>
      <c r="R1108" s="7" t="n"/>
      <c r="X1108" s="7" t="n"/>
      <c r="Y1108" s="7">
        <f>IF($E1108="","",AB1108*AE1108/100)</f>
        <v/>
      </c>
      <c r="Z1108" s="7">
        <f>IF($E1108="","",AB1108-Y1108)</f>
        <v/>
      </c>
      <c r="AA1108" s="7">
        <f>IF($E1108="","",Z1108-Q1108)</f>
        <v/>
      </c>
      <c r="AB1108" s="7" t="n"/>
      <c r="AE1108">
        <f>IF($E1108="","",IF($AQ1108=1,0,IF($AP1108=1,Settings!$C$6,Settings!$C$7))*100)</f>
        <v/>
      </c>
      <c r="AI1108" s="7" t="n"/>
      <c r="AL1108" s="11" t="n"/>
      <c r="AN1108">
        <f>IF($E1108="","",IF(COUNTIF($E$2:$E1108,$E1108)=1,1,0))</f>
        <v/>
      </c>
      <c r="AO1108">
        <f>IF($AN1108=1,SUMPRODUCT(--($AR$2:$AR$3001&lt;$AR1108))+1,"")</f>
        <v/>
      </c>
      <c r="AP1108">
        <f>IF($E1108="","",IF(OR($U1108=TRUE(),$U1108="TRUE"),1,0))</f>
        <v/>
      </c>
      <c r="AQ1108">
        <f>IF($E1108="","",IF($AD1108="Yes",1,0))</f>
        <v/>
      </c>
      <c r="AR1108">
        <f>IF($AN1108=1,IFERROR(VALUE(MID($E1108,2,20)),1000000000)+ROW()/100000,"")</f>
        <v/>
      </c>
    </row>
    <row r="1109">
      <c r="G1109" s="11" t="n"/>
      <c r="Q1109" s="7">
        <f>IF($E1109="","",P1109*AB1109/100)</f>
        <v/>
      </c>
      <c r="R1109" s="7" t="n"/>
      <c r="X1109" s="7" t="n"/>
      <c r="Y1109" s="7">
        <f>IF($E1109="","",AB1109*AE1109/100)</f>
        <v/>
      </c>
      <c r="Z1109" s="7">
        <f>IF($E1109="","",AB1109-Y1109)</f>
        <v/>
      </c>
      <c r="AA1109" s="7">
        <f>IF($E1109="","",Z1109-Q1109)</f>
        <v/>
      </c>
      <c r="AB1109" s="7" t="n"/>
      <c r="AE1109">
        <f>IF($E1109="","",IF($AQ1109=1,0,IF($AP1109=1,Settings!$C$6,Settings!$C$7))*100)</f>
        <v/>
      </c>
      <c r="AI1109" s="7" t="n"/>
      <c r="AL1109" s="11" t="n"/>
      <c r="AN1109">
        <f>IF($E1109="","",IF(COUNTIF($E$2:$E1109,$E1109)=1,1,0))</f>
        <v/>
      </c>
      <c r="AO1109">
        <f>IF($AN1109=1,SUMPRODUCT(--($AR$2:$AR$3001&lt;$AR1109))+1,"")</f>
        <v/>
      </c>
      <c r="AP1109">
        <f>IF($E1109="","",IF(OR($U1109=TRUE(),$U1109="TRUE"),1,0))</f>
        <v/>
      </c>
      <c r="AQ1109">
        <f>IF($E1109="","",IF($AD1109="Yes",1,0))</f>
        <v/>
      </c>
      <c r="AR1109">
        <f>IF($AN1109=1,IFERROR(VALUE(MID($E1109,2,20)),1000000000)+ROW()/100000,"")</f>
        <v/>
      </c>
    </row>
    <row r="1110">
      <c r="G1110" s="11" t="n"/>
      <c r="Q1110" s="7">
        <f>IF($E1110="","",P1110*AB1110/100)</f>
        <v/>
      </c>
      <c r="R1110" s="7" t="n"/>
      <c r="X1110" s="7" t="n"/>
      <c r="Y1110" s="7">
        <f>IF($E1110="","",AB1110*AE1110/100)</f>
        <v/>
      </c>
      <c r="Z1110" s="7">
        <f>IF($E1110="","",AB1110-Y1110)</f>
        <v/>
      </c>
      <c r="AA1110" s="7">
        <f>IF($E1110="","",Z1110-Q1110)</f>
        <v/>
      </c>
      <c r="AB1110" s="7" t="n"/>
      <c r="AE1110">
        <f>IF($E1110="","",IF($AQ1110=1,0,IF($AP1110=1,Settings!$C$6,Settings!$C$7))*100)</f>
        <v/>
      </c>
      <c r="AI1110" s="7" t="n"/>
      <c r="AL1110" s="11" t="n"/>
      <c r="AN1110">
        <f>IF($E1110="","",IF(COUNTIF($E$2:$E1110,$E1110)=1,1,0))</f>
        <v/>
      </c>
      <c r="AO1110">
        <f>IF($AN1110=1,SUMPRODUCT(--($AR$2:$AR$3001&lt;$AR1110))+1,"")</f>
        <v/>
      </c>
      <c r="AP1110">
        <f>IF($E1110="","",IF(OR($U1110=TRUE(),$U1110="TRUE"),1,0))</f>
        <v/>
      </c>
      <c r="AQ1110">
        <f>IF($E1110="","",IF($AD1110="Yes",1,0))</f>
        <v/>
      </c>
      <c r="AR1110">
        <f>IF($AN1110=1,IFERROR(VALUE(MID($E1110,2,20)),1000000000)+ROW()/100000,"")</f>
        <v/>
      </c>
    </row>
    <row r="1111">
      <c r="G1111" s="11" t="n"/>
      <c r="Q1111" s="7">
        <f>IF($E1111="","",P1111*AB1111/100)</f>
        <v/>
      </c>
      <c r="R1111" s="7" t="n"/>
      <c r="X1111" s="7" t="n"/>
      <c r="Y1111" s="7">
        <f>IF($E1111="","",AB1111*AE1111/100)</f>
        <v/>
      </c>
      <c r="Z1111" s="7">
        <f>IF($E1111="","",AB1111-Y1111)</f>
        <v/>
      </c>
      <c r="AA1111" s="7">
        <f>IF($E1111="","",Z1111-Q1111)</f>
        <v/>
      </c>
      <c r="AB1111" s="7" t="n"/>
      <c r="AE1111">
        <f>IF($E1111="","",IF($AQ1111=1,0,IF($AP1111=1,Settings!$C$6,Settings!$C$7))*100)</f>
        <v/>
      </c>
      <c r="AI1111" s="7" t="n"/>
      <c r="AL1111" s="11" t="n"/>
      <c r="AN1111">
        <f>IF($E1111="","",IF(COUNTIF($E$2:$E1111,$E1111)=1,1,0))</f>
        <v/>
      </c>
      <c r="AO1111">
        <f>IF($AN1111=1,SUMPRODUCT(--($AR$2:$AR$3001&lt;$AR1111))+1,"")</f>
        <v/>
      </c>
      <c r="AP1111">
        <f>IF($E1111="","",IF(OR($U1111=TRUE(),$U1111="TRUE"),1,0))</f>
        <v/>
      </c>
      <c r="AQ1111">
        <f>IF($E1111="","",IF($AD1111="Yes",1,0))</f>
        <v/>
      </c>
      <c r="AR1111">
        <f>IF($AN1111=1,IFERROR(VALUE(MID($E1111,2,20)),1000000000)+ROW()/100000,"")</f>
        <v/>
      </c>
    </row>
    <row r="1112">
      <c r="G1112" s="11" t="n"/>
      <c r="Q1112" s="7">
        <f>IF($E1112="","",P1112*AB1112/100)</f>
        <v/>
      </c>
      <c r="R1112" s="7" t="n"/>
      <c r="X1112" s="7" t="n"/>
      <c r="Y1112" s="7">
        <f>IF($E1112="","",AB1112*AE1112/100)</f>
        <v/>
      </c>
      <c r="Z1112" s="7">
        <f>IF($E1112="","",AB1112-Y1112)</f>
        <v/>
      </c>
      <c r="AA1112" s="7">
        <f>IF($E1112="","",Z1112-Q1112)</f>
        <v/>
      </c>
      <c r="AB1112" s="7" t="n"/>
      <c r="AE1112">
        <f>IF($E1112="","",IF($AQ1112=1,0,IF($AP1112=1,Settings!$C$6,Settings!$C$7))*100)</f>
        <v/>
      </c>
      <c r="AI1112" s="7" t="n"/>
      <c r="AL1112" s="11" t="n"/>
      <c r="AN1112">
        <f>IF($E1112="","",IF(COUNTIF($E$2:$E1112,$E1112)=1,1,0))</f>
        <v/>
      </c>
      <c r="AO1112">
        <f>IF($AN1112=1,SUMPRODUCT(--($AR$2:$AR$3001&lt;$AR1112))+1,"")</f>
        <v/>
      </c>
      <c r="AP1112">
        <f>IF($E1112="","",IF(OR($U1112=TRUE(),$U1112="TRUE"),1,0))</f>
        <v/>
      </c>
      <c r="AQ1112">
        <f>IF($E1112="","",IF($AD1112="Yes",1,0))</f>
        <v/>
      </c>
      <c r="AR1112">
        <f>IF($AN1112=1,IFERROR(VALUE(MID($E1112,2,20)),1000000000)+ROW()/100000,"")</f>
        <v/>
      </c>
    </row>
    <row r="1113">
      <c r="G1113" s="11" t="n"/>
      <c r="Q1113" s="7">
        <f>IF($E1113="","",P1113*AB1113/100)</f>
        <v/>
      </c>
      <c r="R1113" s="7" t="n"/>
      <c r="X1113" s="7" t="n"/>
      <c r="Y1113" s="7">
        <f>IF($E1113="","",AB1113*AE1113/100)</f>
        <v/>
      </c>
      <c r="Z1113" s="7">
        <f>IF($E1113="","",AB1113-Y1113)</f>
        <v/>
      </c>
      <c r="AA1113" s="7">
        <f>IF($E1113="","",Z1113-Q1113)</f>
        <v/>
      </c>
      <c r="AB1113" s="7" t="n"/>
      <c r="AE1113">
        <f>IF($E1113="","",IF($AQ1113=1,0,IF($AP1113=1,Settings!$C$6,Settings!$C$7))*100)</f>
        <v/>
      </c>
      <c r="AI1113" s="7" t="n"/>
      <c r="AL1113" s="11" t="n"/>
      <c r="AN1113">
        <f>IF($E1113="","",IF(COUNTIF($E$2:$E1113,$E1113)=1,1,0))</f>
        <v/>
      </c>
      <c r="AO1113">
        <f>IF($AN1113=1,SUMPRODUCT(--($AR$2:$AR$3001&lt;$AR1113))+1,"")</f>
        <v/>
      </c>
      <c r="AP1113">
        <f>IF($E1113="","",IF(OR($U1113=TRUE(),$U1113="TRUE"),1,0))</f>
        <v/>
      </c>
      <c r="AQ1113">
        <f>IF($E1113="","",IF($AD1113="Yes",1,0))</f>
        <v/>
      </c>
      <c r="AR1113">
        <f>IF($AN1113=1,IFERROR(VALUE(MID($E1113,2,20)),1000000000)+ROW()/100000,"")</f>
        <v/>
      </c>
    </row>
    <row r="1114">
      <c r="G1114" s="11" t="n"/>
      <c r="Q1114" s="7">
        <f>IF($E1114="","",P1114*AB1114/100)</f>
        <v/>
      </c>
      <c r="R1114" s="7" t="n"/>
      <c r="X1114" s="7" t="n"/>
      <c r="Y1114" s="7">
        <f>IF($E1114="","",AB1114*AE1114/100)</f>
        <v/>
      </c>
      <c r="Z1114" s="7">
        <f>IF($E1114="","",AB1114-Y1114)</f>
        <v/>
      </c>
      <c r="AA1114" s="7">
        <f>IF($E1114="","",Z1114-Q1114)</f>
        <v/>
      </c>
      <c r="AB1114" s="7" t="n"/>
      <c r="AE1114">
        <f>IF($E1114="","",IF($AQ1114=1,0,IF($AP1114=1,Settings!$C$6,Settings!$C$7))*100)</f>
        <v/>
      </c>
      <c r="AI1114" s="7" t="n"/>
      <c r="AL1114" s="11" t="n"/>
      <c r="AN1114">
        <f>IF($E1114="","",IF(COUNTIF($E$2:$E1114,$E1114)=1,1,0))</f>
        <v/>
      </c>
      <c r="AO1114">
        <f>IF($AN1114=1,SUMPRODUCT(--($AR$2:$AR$3001&lt;$AR1114))+1,"")</f>
        <v/>
      </c>
      <c r="AP1114">
        <f>IF($E1114="","",IF(OR($U1114=TRUE(),$U1114="TRUE"),1,0))</f>
        <v/>
      </c>
      <c r="AQ1114">
        <f>IF($E1114="","",IF($AD1114="Yes",1,0))</f>
        <v/>
      </c>
      <c r="AR1114">
        <f>IF($AN1114=1,IFERROR(VALUE(MID($E1114,2,20)),1000000000)+ROW()/100000,"")</f>
        <v/>
      </c>
    </row>
    <row r="1115">
      <c r="G1115" s="11" t="n"/>
      <c r="Q1115" s="7">
        <f>IF($E1115="","",P1115*AB1115/100)</f>
        <v/>
      </c>
      <c r="R1115" s="7" t="n"/>
      <c r="X1115" s="7" t="n"/>
      <c r="Y1115" s="7">
        <f>IF($E1115="","",AB1115*AE1115/100)</f>
        <v/>
      </c>
      <c r="Z1115" s="7">
        <f>IF($E1115="","",AB1115-Y1115)</f>
        <v/>
      </c>
      <c r="AA1115" s="7">
        <f>IF($E1115="","",Z1115-Q1115)</f>
        <v/>
      </c>
      <c r="AB1115" s="7" t="n"/>
      <c r="AE1115">
        <f>IF($E1115="","",IF($AQ1115=1,0,IF($AP1115=1,Settings!$C$6,Settings!$C$7))*100)</f>
        <v/>
      </c>
      <c r="AI1115" s="7" t="n"/>
      <c r="AL1115" s="11" t="n"/>
      <c r="AN1115">
        <f>IF($E1115="","",IF(COUNTIF($E$2:$E1115,$E1115)=1,1,0))</f>
        <v/>
      </c>
      <c r="AO1115">
        <f>IF($AN1115=1,SUMPRODUCT(--($AR$2:$AR$3001&lt;$AR1115))+1,"")</f>
        <v/>
      </c>
      <c r="AP1115">
        <f>IF($E1115="","",IF(OR($U1115=TRUE(),$U1115="TRUE"),1,0))</f>
        <v/>
      </c>
      <c r="AQ1115">
        <f>IF($E1115="","",IF($AD1115="Yes",1,0))</f>
        <v/>
      </c>
      <c r="AR1115">
        <f>IF($AN1115=1,IFERROR(VALUE(MID($E1115,2,20)),1000000000)+ROW()/100000,"")</f>
        <v/>
      </c>
    </row>
    <row r="1116">
      <c r="G1116" s="11" t="n"/>
      <c r="Q1116" s="7">
        <f>IF($E1116="","",P1116*AB1116/100)</f>
        <v/>
      </c>
      <c r="R1116" s="7" t="n"/>
      <c r="X1116" s="7" t="n"/>
      <c r="Y1116" s="7">
        <f>IF($E1116="","",AB1116*AE1116/100)</f>
        <v/>
      </c>
      <c r="Z1116" s="7">
        <f>IF($E1116="","",AB1116-Y1116)</f>
        <v/>
      </c>
      <c r="AA1116" s="7">
        <f>IF($E1116="","",Z1116-Q1116)</f>
        <v/>
      </c>
      <c r="AB1116" s="7" t="n"/>
      <c r="AE1116">
        <f>IF($E1116="","",IF($AQ1116=1,0,IF($AP1116=1,Settings!$C$6,Settings!$C$7))*100)</f>
        <v/>
      </c>
      <c r="AI1116" s="7" t="n"/>
      <c r="AL1116" s="11" t="n"/>
      <c r="AN1116">
        <f>IF($E1116="","",IF(COUNTIF($E$2:$E1116,$E1116)=1,1,0))</f>
        <v/>
      </c>
      <c r="AO1116">
        <f>IF($AN1116=1,SUMPRODUCT(--($AR$2:$AR$3001&lt;$AR1116))+1,"")</f>
        <v/>
      </c>
      <c r="AP1116">
        <f>IF($E1116="","",IF(OR($U1116=TRUE(),$U1116="TRUE"),1,0))</f>
        <v/>
      </c>
      <c r="AQ1116">
        <f>IF($E1116="","",IF($AD1116="Yes",1,0))</f>
        <v/>
      </c>
      <c r="AR1116">
        <f>IF($AN1116=1,IFERROR(VALUE(MID($E1116,2,20)),1000000000)+ROW()/100000,"")</f>
        <v/>
      </c>
    </row>
    <row r="1117">
      <c r="G1117" s="11" t="n"/>
      <c r="Q1117" s="7">
        <f>IF($E1117="","",P1117*AB1117/100)</f>
        <v/>
      </c>
      <c r="R1117" s="7" t="n"/>
      <c r="X1117" s="7" t="n"/>
      <c r="Y1117" s="7">
        <f>IF($E1117="","",AB1117*AE1117/100)</f>
        <v/>
      </c>
      <c r="Z1117" s="7">
        <f>IF($E1117="","",AB1117-Y1117)</f>
        <v/>
      </c>
      <c r="AA1117" s="7">
        <f>IF($E1117="","",Z1117-Q1117)</f>
        <v/>
      </c>
      <c r="AB1117" s="7" t="n"/>
      <c r="AE1117">
        <f>IF($E1117="","",IF($AQ1117=1,0,IF($AP1117=1,Settings!$C$6,Settings!$C$7))*100)</f>
        <v/>
      </c>
      <c r="AI1117" s="7" t="n"/>
      <c r="AL1117" s="11" t="n"/>
      <c r="AN1117">
        <f>IF($E1117="","",IF(COUNTIF($E$2:$E1117,$E1117)=1,1,0))</f>
        <v/>
      </c>
      <c r="AO1117">
        <f>IF($AN1117=1,SUMPRODUCT(--($AR$2:$AR$3001&lt;$AR1117))+1,"")</f>
        <v/>
      </c>
      <c r="AP1117">
        <f>IF($E1117="","",IF(OR($U1117=TRUE(),$U1117="TRUE"),1,0))</f>
        <v/>
      </c>
      <c r="AQ1117">
        <f>IF($E1117="","",IF($AD1117="Yes",1,0))</f>
        <v/>
      </c>
      <c r="AR1117">
        <f>IF($AN1117=1,IFERROR(VALUE(MID($E1117,2,20)),1000000000)+ROW()/100000,"")</f>
        <v/>
      </c>
    </row>
    <row r="1118">
      <c r="G1118" s="11" t="n"/>
      <c r="Q1118" s="7">
        <f>IF($E1118="","",P1118*AB1118/100)</f>
        <v/>
      </c>
      <c r="R1118" s="7" t="n"/>
      <c r="X1118" s="7" t="n"/>
      <c r="Y1118" s="7">
        <f>IF($E1118="","",AB1118*AE1118/100)</f>
        <v/>
      </c>
      <c r="Z1118" s="7">
        <f>IF($E1118="","",AB1118-Y1118)</f>
        <v/>
      </c>
      <c r="AA1118" s="7">
        <f>IF($E1118="","",Z1118-Q1118)</f>
        <v/>
      </c>
      <c r="AB1118" s="7" t="n"/>
      <c r="AE1118">
        <f>IF($E1118="","",IF($AQ1118=1,0,IF($AP1118=1,Settings!$C$6,Settings!$C$7))*100)</f>
        <v/>
      </c>
      <c r="AI1118" s="7" t="n"/>
      <c r="AL1118" s="11" t="n"/>
      <c r="AN1118">
        <f>IF($E1118="","",IF(COUNTIF($E$2:$E1118,$E1118)=1,1,0))</f>
        <v/>
      </c>
      <c r="AO1118">
        <f>IF($AN1118=1,SUMPRODUCT(--($AR$2:$AR$3001&lt;$AR1118))+1,"")</f>
        <v/>
      </c>
      <c r="AP1118">
        <f>IF($E1118="","",IF(OR($U1118=TRUE(),$U1118="TRUE"),1,0))</f>
        <v/>
      </c>
      <c r="AQ1118">
        <f>IF($E1118="","",IF($AD1118="Yes",1,0))</f>
        <v/>
      </c>
      <c r="AR1118">
        <f>IF($AN1118=1,IFERROR(VALUE(MID($E1118,2,20)),1000000000)+ROW()/100000,"")</f>
        <v/>
      </c>
    </row>
    <row r="1119">
      <c r="G1119" s="11" t="n"/>
      <c r="Q1119" s="7">
        <f>IF($E1119="","",P1119*AB1119/100)</f>
        <v/>
      </c>
      <c r="R1119" s="7" t="n"/>
      <c r="X1119" s="7" t="n"/>
      <c r="Y1119" s="7">
        <f>IF($E1119="","",AB1119*AE1119/100)</f>
        <v/>
      </c>
      <c r="Z1119" s="7">
        <f>IF($E1119="","",AB1119-Y1119)</f>
        <v/>
      </c>
      <c r="AA1119" s="7">
        <f>IF($E1119="","",Z1119-Q1119)</f>
        <v/>
      </c>
      <c r="AB1119" s="7" t="n"/>
      <c r="AE1119">
        <f>IF($E1119="","",IF($AQ1119=1,0,IF($AP1119=1,Settings!$C$6,Settings!$C$7))*100)</f>
        <v/>
      </c>
      <c r="AI1119" s="7" t="n"/>
      <c r="AL1119" s="11" t="n"/>
      <c r="AN1119">
        <f>IF($E1119="","",IF(COUNTIF($E$2:$E1119,$E1119)=1,1,0))</f>
        <v/>
      </c>
      <c r="AO1119">
        <f>IF($AN1119=1,SUMPRODUCT(--($AR$2:$AR$3001&lt;$AR1119))+1,"")</f>
        <v/>
      </c>
      <c r="AP1119">
        <f>IF($E1119="","",IF(OR($U1119=TRUE(),$U1119="TRUE"),1,0))</f>
        <v/>
      </c>
      <c r="AQ1119">
        <f>IF($E1119="","",IF($AD1119="Yes",1,0))</f>
        <v/>
      </c>
      <c r="AR1119">
        <f>IF($AN1119=1,IFERROR(VALUE(MID($E1119,2,20)),1000000000)+ROW()/100000,"")</f>
        <v/>
      </c>
    </row>
    <row r="1120">
      <c r="G1120" s="11" t="n"/>
      <c r="Q1120" s="7">
        <f>IF($E1120="","",P1120*AB1120/100)</f>
        <v/>
      </c>
      <c r="R1120" s="7" t="n"/>
      <c r="X1120" s="7" t="n"/>
      <c r="Y1120" s="7">
        <f>IF($E1120="","",AB1120*AE1120/100)</f>
        <v/>
      </c>
      <c r="Z1120" s="7">
        <f>IF($E1120="","",AB1120-Y1120)</f>
        <v/>
      </c>
      <c r="AA1120" s="7">
        <f>IF($E1120="","",Z1120-Q1120)</f>
        <v/>
      </c>
      <c r="AB1120" s="7" t="n"/>
      <c r="AE1120">
        <f>IF($E1120="","",IF($AQ1120=1,0,IF($AP1120=1,Settings!$C$6,Settings!$C$7))*100)</f>
        <v/>
      </c>
      <c r="AI1120" s="7" t="n"/>
      <c r="AL1120" s="11" t="n"/>
      <c r="AN1120">
        <f>IF($E1120="","",IF(COUNTIF($E$2:$E1120,$E1120)=1,1,0))</f>
        <v/>
      </c>
      <c r="AO1120">
        <f>IF($AN1120=1,SUMPRODUCT(--($AR$2:$AR$3001&lt;$AR1120))+1,"")</f>
        <v/>
      </c>
      <c r="AP1120">
        <f>IF($E1120="","",IF(OR($U1120=TRUE(),$U1120="TRUE"),1,0))</f>
        <v/>
      </c>
      <c r="AQ1120">
        <f>IF($E1120="","",IF($AD1120="Yes",1,0))</f>
        <v/>
      </c>
      <c r="AR1120">
        <f>IF($AN1120=1,IFERROR(VALUE(MID($E1120,2,20)),1000000000)+ROW()/100000,"")</f>
        <v/>
      </c>
    </row>
    <row r="1121">
      <c r="G1121" s="11" t="n"/>
      <c r="Q1121" s="7">
        <f>IF($E1121="","",P1121*AB1121/100)</f>
        <v/>
      </c>
      <c r="R1121" s="7" t="n"/>
      <c r="X1121" s="7" t="n"/>
      <c r="Y1121" s="7">
        <f>IF($E1121="","",AB1121*AE1121/100)</f>
        <v/>
      </c>
      <c r="Z1121" s="7">
        <f>IF($E1121="","",AB1121-Y1121)</f>
        <v/>
      </c>
      <c r="AA1121" s="7">
        <f>IF($E1121="","",Z1121-Q1121)</f>
        <v/>
      </c>
      <c r="AB1121" s="7" t="n"/>
      <c r="AE1121">
        <f>IF($E1121="","",IF($AQ1121=1,0,IF($AP1121=1,Settings!$C$6,Settings!$C$7))*100)</f>
        <v/>
      </c>
      <c r="AI1121" s="7" t="n"/>
      <c r="AL1121" s="11" t="n"/>
      <c r="AN1121">
        <f>IF($E1121="","",IF(COUNTIF($E$2:$E1121,$E1121)=1,1,0))</f>
        <v/>
      </c>
      <c r="AO1121">
        <f>IF($AN1121=1,SUMPRODUCT(--($AR$2:$AR$3001&lt;$AR1121))+1,"")</f>
        <v/>
      </c>
      <c r="AP1121">
        <f>IF($E1121="","",IF(OR($U1121=TRUE(),$U1121="TRUE"),1,0))</f>
        <v/>
      </c>
      <c r="AQ1121">
        <f>IF($E1121="","",IF($AD1121="Yes",1,0))</f>
        <v/>
      </c>
      <c r="AR1121">
        <f>IF($AN1121=1,IFERROR(VALUE(MID($E1121,2,20)),1000000000)+ROW()/100000,"")</f>
        <v/>
      </c>
    </row>
    <row r="1122">
      <c r="G1122" s="11" t="n"/>
      <c r="Q1122" s="7">
        <f>IF($E1122="","",P1122*AB1122/100)</f>
        <v/>
      </c>
      <c r="R1122" s="7" t="n"/>
      <c r="X1122" s="7" t="n"/>
      <c r="Y1122" s="7">
        <f>IF($E1122="","",AB1122*AE1122/100)</f>
        <v/>
      </c>
      <c r="Z1122" s="7">
        <f>IF($E1122="","",AB1122-Y1122)</f>
        <v/>
      </c>
      <c r="AA1122" s="7">
        <f>IF($E1122="","",Z1122-Q1122)</f>
        <v/>
      </c>
      <c r="AB1122" s="7" t="n"/>
      <c r="AE1122">
        <f>IF($E1122="","",IF($AQ1122=1,0,IF($AP1122=1,Settings!$C$6,Settings!$C$7))*100)</f>
        <v/>
      </c>
      <c r="AI1122" s="7" t="n"/>
      <c r="AL1122" s="11" t="n"/>
      <c r="AN1122">
        <f>IF($E1122="","",IF(COUNTIF($E$2:$E1122,$E1122)=1,1,0))</f>
        <v/>
      </c>
      <c r="AO1122">
        <f>IF($AN1122=1,SUMPRODUCT(--($AR$2:$AR$3001&lt;$AR1122))+1,"")</f>
        <v/>
      </c>
      <c r="AP1122">
        <f>IF($E1122="","",IF(OR($U1122=TRUE(),$U1122="TRUE"),1,0))</f>
        <v/>
      </c>
      <c r="AQ1122">
        <f>IF($E1122="","",IF($AD1122="Yes",1,0))</f>
        <v/>
      </c>
      <c r="AR1122">
        <f>IF($AN1122=1,IFERROR(VALUE(MID($E1122,2,20)),1000000000)+ROW()/100000,"")</f>
        <v/>
      </c>
    </row>
    <row r="1123">
      <c r="G1123" s="11" t="n"/>
      <c r="Q1123" s="7">
        <f>IF($E1123="","",P1123*AB1123/100)</f>
        <v/>
      </c>
      <c r="R1123" s="7" t="n"/>
      <c r="X1123" s="7" t="n"/>
      <c r="Y1123" s="7">
        <f>IF($E1123="","",AB1123*AE1123/100)</f>
        <v/>
      </c>
      <c r="Z1123" s="7">
        <f>IF($E1123="","",AB1123-Y1123)</f>
        <v/>
      </c>
      <c r="AA1123" s="7">
        <f>IF($E1123="","",Z1123-Q1123)</f>
        <v/>
      </c>
      <c r="AB1123" s="7" t="n"/>
      <c r="AE1123">
        <f>IF($E1123="","",IF($AQ1123=1,0,IF($AP1123=1,Settings!$C$6,Settings!$C$7))*100)</f>
        <v/>
      </c>
      <c r="AI1123" s="7" t="n"/>
      <c r="AL1123" s="11" t="n"/>
      <c r="AN1123">
        <f>IF($E1123="","",IF(COUNTIF($E$2:$E1123,$E1123)=1,1,0))</f>
        <v/>
      </c>
      <c r="AO1123">
        <f>IF($AN1123=1,SUMPRODUCT(--($AR$2:$AR$3001&lt;$AR1123))+1,"")</f>
        <v/>
      </c>
      <c r="AP1123">
        <f>IF($E1123="","",IF(OR($U1123=TRUE(),$U1123="TRUE"),1,0))</f>
        <v/>
      </c>
      <c r="AQ1123">
        <f>IF($E1123="","",IF($AD1123="Yes",1,0))</f>
        <v/>
      </c>
      <c r="AR1123">
        <f>IF($AN1123=1,IFERROR(VALUE(MID($E1123,2,20)),1000000000)+ROW()/100000,"")</f>
        <v/>
      </c>
    </row>
    <row r="1124">
      <c r="G1124" s="11" t="n"/>
      <c r="Q1124" s="7">
        <f>IF($E1124="","",P1124*AB1124/100)</f>
        <v/>
      </c>
      <c r="R1124" s="7" t="n"/>
      <c r="X1124" s="7" t="n"/>
      <c r="Y1124" s="7">
        <f>IF($E1124="","",AB1124*AE1124/100)</f>
        <v/>
      </c>
      <c r="Z1124" s="7">
        <f>IF($E1124="","",AB1124-Y1124)</f>
        <v/>
      </c>
      <c r="AA1124" s="7">
        <f>IF($E1124="","",Z1124-Q1124)</f>
        <v/>
      </c>
      <c r="AB1124" s="7" t="n"/>
      <c r="AE1124">
        <f>IF($E1124="","",IF($AQ1124=1,0,IF($AP1124=1,Settings!$C$6,Settings!$C$7))*100)</f>
        <v/>
      </c>
      <c r="AI1124" s="7" t="n"/>
      <c r="AL1124" s="11" t="n"/>
      <c r="AN1124">
        <f>IF($E1124="","",IF(COUNTIF($E$2:$E1124,$E1124)=1,1,0))</f>
        <v/>
      </c>
      <c r="AO1124">
        <f>IF($AN1124=1,SUMPRODUCT(--($AR$2:$AR$3001&lt;$AR1124))+1,"")</f>
        <v/>
      </c>
      <c r="AP1124">
        <f>IF($E1124="","",IF(OR($U1124=TRUE(),$U1124="TRUE"),1,0))</f>
        <v/>
      </c>
      <c r="AQ1124">
        <f>IF($E1124="","",IF($AD1124="Yes",1,0))</f>
        <v/>
      </c>
      <c r="AR1124">
        <f>IF($AN1124=1,IFERROR(VALUE(MID($E1124,2,20)),1000000000)+ROW()/100000,"")</f>
        <v/>
      </c>
    </row>
    <row r="1125">
      <c r="G1125" s="11" t="n"/>
      <c r="Q1125" s="7">
        <f>IF($E1125="","",P1125*AB1125/100)</f>
        <v/>
      </c>
      <c r="R1125" s="7" t="n"/>
      <c r="X1125" s="7" t="n"/>
      <c r="Y1125" s="7">
        <f>IF($E1125="","",AB1125*AE1125/100)</f>
        <v/>
      </c>
      <c r="Z1125" s="7">
        <f>IF($E1125="","",AB1125-Y1125)</f>
        <v/>
      </c>
      <c r="AA1125" s="7">
        <f>IF($E1125="","",Z1125-Q1125)</f>
        <v/>
      </c>
      <c r="AB1125" s="7" t="n"/>
      <c r="AE1125">
        <f>IF($E1125="","",IF($AQ1125=1,0,IF($AP1125=1,Settings!$C$6,Settings!$C$7))*100)</f>
        <v/>
      </c>
      <c r="AI1125" s="7" t="n"/>
      <c r="AL1125" s="11" t="n"/>
      <c r="AN1125">
        <f>IF($E1125="","",IF(COUNTIF($E$2:$E1125,$E1125)=1,1,0))</f>
        <v/>
      </c>
      <c r="AO1125">
        <f>IF($AN1125=1,SUMPRODUCT(--($AR$2:$AR$3001&lt;$AR1125))+1,"")</f>
        <v/>
      </c>
      <c r="AP1125">
        <f>IF($E1125="","",IF(OR($U1125=TRUE(),$U1125="TRUE"),1,0))</f>
        <v/>
      </c>
      <c r="AQ1125">
        <f>IF($E1125="","",IF($AD1125="Yes",1,0))</f>
        <v/>
      </c>
      <c r="AR1125">
        <f>IF($AN1125=1,IFERROR(VALUE(MID($E1125,2,20)),1000000000)+ROW()/100000,"")</f>
        <v/>
      </c>
    </row>
    <row r="1126">
      <c r="G1126" s="11" t="n"/>
      <c r="Q1126" s="7">
        <f>IF($E1126="","",P1126*AB1126/100)</f>
        <v/>
      </c>
      <c r="R1126" s="7" t="n"/>
      <c r="X1126" s="7" t="n"/>
      <c r="Y1126" s="7">
        <f>IF($E1126="","",AB1126*AE1126/100)</f>
        <v/>
      </c>
      <c r="Z1126" s="7">
        <f>IF($E1126="","",AB1126-Y1126)</f>
        <v/>
      </c>
      <c r="AA1126" s="7">
        <f>IF($E1126="","",Z1126-Q1126)</f>
        <v/>
      </c>
      <c r="AB1126" s="7" t="n"/>
      <c r="AE1126">
        <f>IF($E1126="","",IF($AQ1126=1,0,IF($AP1126=1,Settings!$C$6,Settings!$C$7))*100)</f>
        <v/>
      </c>
      <c r="AI1126" s="7" t="n"/>
      <c r="AL1126" s="11" t="n"/>
      <c r="AN1126">
        <f>IF($E1126="","",IF(COUNTIF($E$2:$E1126,$E1126)=1,1,0))</f>
        <v/>
      </c>
      <c r="AO1126">
        <f>IF($AN1126=1,SUMPRODUCT(--($AR$2:$AR$3001&lt;$AR1126))+1,"")</f>
        <v/>
      </c>
      <c r="AP1126">
        <f>IF($E1126="","",IF(OR($U1126=TRUE(),$U1126="TRUE"),1,0))</f>
        <v/>
      </c>
      <c r="AQ1126">
        <f>IF($E1126="","",IF($AD1126="Yes",1,0))</f>
        <v/>
      </c>
      <c r="AR1126">
        <f>IF($AN1126=1,IFERROR(VALUE(MID($E1126,2,20)),1000000000)+ROW()/100000,"")</f>
        <v/>
      </c>
    </row>
    <row r="1127">
      <c r="G1127" s="11" t="n"/>
      <c r="Q1127" s="7">
        <f>IF($E1127="","",P1127*AB1127/100)</f>
        <v/>
      </c>
      <c r="R1127" s="7" t="n"/>
      <c r="X1127" s="7" t="n"/>
      <c r="Y1127" s="7">
        <f>IF($E1127="","",AB1127*AE1127/100)</f>
        <v/>
      </c>
      <c r="Z1127" s="7">
        <f>IF($E1127="","",AB1127-Y1127)</f>
        <v/>
      </c>
      <c r="AA1127" s="7">
        <f>IF($E1127="","",Z1127-Q1127)</f>
        <v/>
      </c>
      <c r="AB1127" s="7" t="n"/>
      <c r="AE1127">
        <f>IF($E1127="","",IF($AQ1127=1,0,IF($AP1127=1,Settings!$C$6,Settings!$C$7))*100)</f>
        <v/>
      </c>
      <c r="AI1127" s="7" t="n"/>
      <c r="AL1127" s="11" t="n"/>
      <c r="AN1127">
        <f>IF($E1127="","",IF(COUNTIF($E$2:$E1127,$E1127)=1,1,0))</f>
        <v/>
      </c>
      <c r="AO1127">
        <f>IF($AN1127=1,SUMPRODUCT(--($AR$2:$AR$3001&lt;$AR1127))+1,"")</f>
        <v/>
      </c>
      <c r="AP1127">
        <f>IF($E1127="","",IF(OR($U1127=TRUE(),$U1127="TRUE"),1,0))</f>
        <v/>
      </c>
      <c r="AQ1127">
        <f>IF($E1127="","",IF($AD1127="Yes",1,0))</f>
        <v/>
      </c>
      <c r="AR1127">
        <f>IF($AN1127=1,IFERROR(VALUE(MID($E1127,2,20)),1000000000)+ROW()/100000,"")</f>
        <v/>
      </c>
    </row>
    <row r="1128">
      <c r="G1128" s="11" t="n"/>
      <c r="Q1128" s="7">
        <f>IF($E1128="","",P1128*AB1128/100)</f>
        <v/>
      </c>
      <c r="R1128" s="7" t="n"/>
      <c r="X1128" s="7" t="n"/>
      <c r="Y1128" s="7">
        <f>IF($E1128="","",AB1128*AE1128/100)</f>
        <v/>
      </c>
      <c r="Z1128" s="7">
        <f>IF($E1128="","",AB1128-Y1128)</f>
        <v/>
      </c>
      <c r="AA1128" s="7">
        <f>IF($E1128="","",Z1128-Q1128)</f>
        <v/>
      </c>
      <c r="AB1128" s="7" t="n"/>
      <c r="AE1128">
        <f>IF($E1128="","",IF($AQ1128=1,0,IF($AP1128=1,Settings!$C$6,Settings!$C$7))*100)</f>
        <v/>
      </c>
      <c r="AI1128" s="7" t="n"/>
      <c r="AL1128" s="11" t="n"/>
      <c r="AN1128">
        <f>IF($E1128="","",IF(COUNTIF($E$2:$E1128,$E1128)=1,1,0))</f>
        <v/>
      </c>
      <c r="AO1128">
        <f>IF($AN1128=1,SUMPRODUCT(--($AR$2:$AR$3001&lt;$AR1128))+1,"")</f>
        <v/>
      </c>
      <c r="AP1128">
        <f>IF($E1128="","",IF(OR($U1128=TRUE(),$U1128="TRUE"),1,0))</f>
        <v/>
      </c>
      <c r="AQ1128">
        <f>IF($E1128="","",IF($AD1128="Yes",1,0))</f>
        <v/>
      </c>
      <c r="AR1128">
        <f>IF($AN1128=1,IFERROR(VALUE(MID($E1128,2,20)),1000000000)+ROW()/100000,"")</f>
        <v/>
      </c>
    </row>
    <row r="1129">
      <c r="G1129" s="11" t="n"/>
      <c r="Q1129" s="7">
        <f>IF($E1129="","",P1129*AB1129/100)</f>
        <v/>
      </c>
      <c r="R1129" s="7" t="n"/>
      <c r="X1129" s="7" t="n"/>
      <c r="Y1129" s="7">
        <f>IF($E1129="","",AB1129*AE1129/100)</f>
        <v/>
      </c>
      <c r="Z1129" s="7">
        <f>IF($E1129="","",AB1129-Y1129)</f>
        <v/>
      </c>
      <c r="AA1129" s="7">
        <f>IF($E1129="","",Z1129-Q1129)</f>
        <v/>
      </c>
      <c r="AB1129" s="7" t="n"/>
      <c r="AE1129">
        <f>IF($E1129="","",IF($AQ1129=1,0,IF($AP1129=1,Settings!$C$6,Settings!$C$7))*100)</f>
        <v/>
      </c>
      <c r="AI1129" s="7" t="n"/>
      <c r="AL1129" s="11" t="n"/>
      <c r="AN1129">
        <f>IF($E1129="","",IF(COUNTIF($E$2:$E1129,$E1129)=1,1,0))</f>
        <v/>
      </c>
      <c r="AO1129">
        <f>IF($AN1129=1,SUMPRODUCT(--($AR$2:$AR$3001&lt;$AR1129))+1,"")</f>
        <v/>
      </c>
      <c r="AP1129">
        <f>IF($E1129="","",IF(OR($U1129=TRUE(),$U1129="TRUE"),1,0))</f>
        <v/>
      </c>
      <c r="AQ1129">
        <f>IF($E1129="","",IF($AD1129="Yes",1,0))</f>
        <v/>
      </c>
      <c r="AR1129">
        <f>IF($AN1129=1,IFERROR(VALUE(MID($E1129,2,20)),1000000000)+ROW()/100000,"")</f>
        <v/>
      </c>
    </row>
    <row r="1130">
      <c r="G1130" s="11" t="n"/>
      <c r="Q1130" s="7">
        <f>IF($E1130="","",P1130*AB1130/100)</f>
        <v/>
      </c>
      <c r="R1130" s="7" t="n"/>
      <c r="X1130" s="7" t="n"/>
      <c r="Y1130" s="7">
        <f>IF($E1130="","",AB1130*AE1130/100)</f>
        <v/>
      </c>
      <c r="Z1130" s="7">
        <f>IF($E1130="","",AB1130-Y1130)</f>
        <v/>
      </c>
      <c r="AA1130" s="7">
        <f>IF($E1130="","",Z1130-Q1130)</f>
        <v/>
      </c>
      <c r="AB1130" s="7" t="n"/>
      <c r="AE1130">
        <f>IF($E1130="","",IF($AQ1130=1,0,IF($AP1130=1,Settings!$C$6,Settings!$C$7))*100)</f>
        <v/>
      </c>
      <c r="AI1130" s="7" t="n"/>
      <c r="AL1130" s="11" t="n"/>
      <c r="AN1130">
        <f>IF($E1130="","",IF(COUNTIF($E$2:$E1130,$E1130)=1,1,0))</f>
        <v/>
      </c>
      <c r="AO1130">
        <f>IF($AN1130=1,SUMPRODUCT(--($AR$2:$AR$3001&lt;$AR1130))+1,"")</f>
        <v/>
      </c>
      <c r="AP1130">
        <f>IF($E1130="","",IF(OR($U1130=TRUE(),$U1130="TRUE"),1,0))</f>
        <v/>
      </c>
      <c r="AQ1130">
        <f>IF($E1130="","",IF($AD1130="Yes",1,0))</f>
        <v/>
      </c>
      <c r="AR1130">
        <f>IF($AN1130=1,IFERROR(VALUE(MID($E1130,2,20)),1000000000)+ROW()/100000,"")</f>
        <v/>
      </c>
    </row>
    <row r="1131">
      <c r="G1131" s="11" t="n"/>
      <c r="Q1131" s="7">
        <f>IF($E1131="","",P1131*AB1131/100)</f>
        <v/>
      </c>
      <c r="R1131" s="7" t="n"/>
      <c r="X1131" s="7" t="n"/>
      <c r="Y1131" s="7">
        <f>IF($E1131="","",AB1131*AE1131/100)</f>
        <v/>
      </c>
      <c r="Z1131" s="7">
        <f>IF($E1131="","",AB1131-Y1131)</f>
        <v/>
      </c>
      <c r="AA1131" s="7">
        <f>IF($E1131="","",Z1131-Q1131)</f>
        <v/>
      </c>
      <c r="AB1131" s="7" t="n"/>
      <c r="AE1131">
        <f>IF($E1131="","",IF($AQ1131=1,0,IF($AP1131=1,Settings!$C$6,Settings!$C$7))*100)</f>
        <v/>
      </c>
      <c r="AI1131" s="7" t="n"/>
      <c r="AL1131" s="11" t="n"/>
      <c r="AN1131">
        <f>IF($E1131="","",IF(COUNTIF($E$2:$E1131,$E1131)=1,1,0))</f>
        <v/>
      </c>
      <c r="AO1131">
        <f>IF($AN1131=1,SUMPRODUCT(--($AR$2:$AR$3001&lt;$AR1131))+1,"")</f>
        <v/>
      </c>
      <c r="AP1131">
        <f>IF($E1131="","",IF(OR($U1131=TRUE(),$U1131="TRUE"),1,0))</f>
        <v/>
      </c>
      <c r="AQ1131">
        <f>IF($E1131="","",IF($AD1131="Yes",1,0))</f>
        <v/>
      </c>
      <c r="AR1131">
        <f>IF($AN1131=1,IFERROR(VALUE(MID($E1131,2,20)),1000000000)+ROW()/100000,"")</f>
        <v/>
      </c>
    </row>
    <row r="1132">
      <c r="G1132" s="11" t="n"/>
      <c r="Q1132" s="7">
        <f>IF($E1132="","",P1132*AB1132/100)</f>
        <v/>
      </c>
      <c r="R1132" s="7" t="n"/>
      <c r="X1132" s="7" t="n"/>
      <c r="Y1132" s="7">
        <f>IF($E1132="","",AB1132*AE1132/100)</f>
        <v/>
      </c>
      <c r="Z1132" s="7">
        <f>IF($E1132="","",AB1132-Y1132)</f>
        <v/>
      </c>
      <c r="AA1132" s="7">
        <f>IF($E1132="","",Z1132-Q1132)</f>
        <v/>
      </c>
      <c r="AB1132" s="7" t="n"/>
      <c r="AE1132">
        <f>IF($E1132="","",IF($AQ1132=1,0,IF($AP1132=1,Settings!$C$6,Settings!$C$7))*100)</f>
        <v/>
      </c>
      <c r="AI1132" s="7" t="n"/>
      <c r="AL1132" s="11" t="n"/>
      <c r="AN1132">
        <f>IF($E1132="","",IF(COUNTIF($E$2:$E1132,$E1132)=1,1,0))</f>
        <v/>
      </c>
      <c r="AO1132">
        <f>IF($AN1132=1,SUMPRODUCT(--($AR$2:$AR$3001&lt;$AR1132))+1,"")</f>
        <v/>
      </c>
      <c r="AP1132">
        <f>IF($E1132="","",IF(OR($U1132=TRUE(),$U1132="TRUE"),1,0))</f>
        <v/>
      </c>
      <c r="AQ1132">
        <f>IF($E1132="","",IF($AD1132="Yes",1,0))</f>
        <v/>
      </c>
      <c r="AR1132">
        <f>IF($AN1132=1,IFERROR(VALUE(MID($E1132,2,20)),1000000000)+ROW()/100000,"")</f>
        <v/>
      </c>
    </row>
    <row r="1133">
      <c r="G1133" s="11" t="n"/>
      <c r="Q1133" s="7">
        <f>IF($E1133="","",P1133*AB1133/100)</f>
        <v/>
      </c>
      <c r="R1133" s="7" t="n"/>
      <c r="X1133" s="7" t="n"/>
      <c r="Y1133" s="7">
        <f>IF($E1133="","",AB1133*AE1133/100)</f>
        <v/>
      </c>
      <c r="Z1133" s="7">
        <f>IF($E1133="","",AB1133-Y1133)</f>
        <v/>
      </c>
      <c r="AA1133" s="7">
        <f>IF($E1133="","",Z1133-Q1133)</f>
        <v/>
      </c>
      <c r="AB1133" s="7" t="n"/>
      <c r="AE1133">
        <f>IF($E1133="","",IF($AQ1133=1,0,IF($AP1133=1,Settings!$C$6,Settings!$C$7))*100)</f>
        <v/>
      </c>
      <c r="AI1133" s="7" t="n"/>
      <c r="AL1133" s="11" t="n"/>
      <c r="AN1133">
        <f>IF($E1133="","",IF(COUNTIF($E$2:$E1133,$E1133)=1,1,0))</f>
        <v/>
      </c>
      <c r="AO1133">
        <f>IF($AN1133=1,SUMPRODUCT(--($AR$2:$AR$3001&lt;$AR1133))+1,"")</f>
        <v/>
      </c>
      <c r="AP1133">
        <f>IF($E1133="","",IF(OR($U1133=TRUE(),$U1133="TRUE"),1,0))</f>
        <v/>
      </c>
      <c r="AQ1133">
        <f>IF($E1133="","",IF($AD1133="Yes",1,0))</f>
        <v/>
      </c>
      <c r="AR1133">
        <f>IF($AN1133=1,IFERROR(VALUE(MID($E1133,2,20)),1000000000)+ROW()/100000,"")</f>
        <v/>
      </c>
    </row>
    <row r="1134">
      <c r="G1134" s="11" t="n"/>
      <c r="Q1134" s="7">
        <f>IF($E1134="","",P1134*AB1134/100)</f>
        <v/>
      </c>
      <c r="R1134" s="7" t="n"/>
      <c r="X1134" s="7" t="n"/>
      <c r="Y1134" s="7">
        <f>IF($E1134="","",AB1134*AE1134/100)</f>
        <v/>
      </c>
      <c r="Z1134" s="7">
        <f>IF($E1134="","",AB1134-Y1134)</f>
        <v/>
      </c>
      <c r="AA1134" s="7">
        <f>IF($E1134="","",Z1134-Q1134)</f>
        <v/>
      </c>
      <c r="AB1134" s="7" t="n"/>
      <c r="AE1134">
        <f>IF($E1134="","",IF($AQ1134=1,0,IF($AP1134=1,Settings!$C$6,Settings!$C$7))*100)</f>
        <v/>
      </c>
      <c r="AI1134" s="7" t="n"/>
      <c r="AL1134" s="11" t="n"/>
      <c r="AN1134">
        <f>IF($E1134="","",IF(COUNTIF($E$2:$E1134,$E1134)=1,1,0))</f>
        <v/>
      </c>
      <c r="AO1134">
        <f>IF($AN1134=1,SUMPRODUCT(--($AR$2:$AR$3001&lt;$AR1134))+1,"")</f>
        <v/>
      </c>
      <c r="AP1134">
        <f>IF($E1134="","",IF(OR($U1134=TRUE(),$U1134="TRUE"),1,0))</f>
        <v/>
      </c>
      <c r="AQ1134">
        <f>IF($E1134="","",IF($AD1134="Yes",1,0))</f>
        <v/>
      </c>
      <c r="AR1134">
        <f>IF($AN1134=1,IFERROR(VALUE(MID($E1134,2,20)),1000000000)+ROW()/100000,"")</f>
        <v/>
      </c>
    </row>
    <row r="1135">
      <c r="G1135" s="11" t="n"/>
      <c r="Q1135" s="7">
        <f>IF($E1135="","",P1135*AB1135/100)</f>
        <v/>
      </c>
      <c r="R1135" s="7" t="n"/>
      <c r="X1135" s="7" t="n"/>
      <c r="Y1135" s="7">
        <f>IF($E1135="","",AB1135*AE1135/100)</f>
        <v/>
      </c>
      <c r="Z1135" s="7">
        <f>IF($E1135="","",AB1135-Y1135)</f>
        <v/>
      </c>
      <c r="AA1135" s="7">
        <f>IF($E1135="","",Z1135-Q1135)</f>
        <v/>
      </c>
      <c r="AB1135" s="7" t="n"/>
      <c r="AE1135">
        <f>IF($E1135="","",IF($AQ1135=1,0,IF($AP1135=1,Settings!$C$6,Settings!$C$7))*100)</f>
        <v/>
      </c>
      <c r="AI1135" s="7" t="n"/>
      <c r="AL1135" s="11" t="n"/>
      <c r="AN1135">
        <f>IF($E1135="","",IF(COUNTIF($E$2:$E1135,$E1135)=1,1,0))</f>
        <v/>
      </c>
      <c r="AO1135">
        <f>IF($AN1135=1,SUMPRODUCT(--($AR$2:$AR$3001&lt;$AR1135))+1,"")</f>
        <v/>
      </c>
      <c r="AP1135">
        <f>IF($E1135="","",IF(OR($U1135=TRUE(),$U1135="TRUE"),1,0))</f>
        <v/>
      </c>
      <c r="AQ1135">
        <f>IF($E1135="","",IF($AD1135="Yes",1,0))</f>
        <v/>
      </c>
      <c r="AR1135">
        <f>IF($AN1135=1,IFERROR(VALUE(MID($E1135,2,20)),1000000000)+ROW()/100000,"")</f>
        <v/>
      </c>
    </row>
    <row r="1136">
      <c r="G1136" s="11" t="n"/>
      <c r="Q1136" s="7">
        <f>IF($E1136="","",P1136*AB1136/100)</f>
        <v/>
      </c>
      <c r="R1136" s="7" t="n"/>
      <c r="X1136" s="7" t="n"/>
      <c r="Y1136" s="7">
        <f>IF($E1136="","",AB1136*AE1136/100)</f>
        <v/>
      </c>
      <c r="Z1136" s="7">
        <f>IF($E1136="","",AB1136-Y1136)</f>
        <v/>
      </c>
      <c r="AA1136" s="7">
        <f>IF($E1136="","",Z1136-Q1136)</f>
        <v/>
      </c>
      <c r="AB1136" s="7" t="n"/>
      <c r="AE1136">
        <f>IF($E1136="","",IF($AQ1136=1,0,IF($AP1136=1,Settings!$C$6,Settings!$C$7))*100)</f>
        <v/>
      </c>
      <c r="AI1136" s="7" t="n"/>
      <c r="AL1136" s="11" t="n"/>
      <c r="AN1136">
        <f>IF($E1136="","",IF(COUNTIF($E$2:$E1136,$E1136)=1,1,0))</f>
        <v/>
      </c>
      <c r="AO1136">
        <f>IF($AN1136=1,SUMPRODUCT(--($AR$2:$AR$3001&lt;$AR1136))+1,"")</f>
        <v/>
      </c>
      <c r="AP1136">
        <f>IF($E1136="","",IF(OR($U1136=TRUE(),$U1136="TRUE"),1,0))</f>
        <v/>
      </c>
      <c r="AQ1136">
        <f>IF($E1136="","",IF($AD1136="Yes",1,0))</f>
        <v/>
      </c>
      <c r="AR1136">
        <f>IF($AN1136=1,IFERROR(VALUE(MID($E1136,2,20)),1000000000)+ROW()/100000,"")</f>
        <v/>
      </c>
    </row>
    <row r="1137">
      <c r="G1137" s="11" t="n"/>
      <c r="Q1137" s="7">
        <f>IF($E1137="","",P1137*AB1137/100)</f>
        <v/>
      </c>
      <c r="R1137" s="7" t="n"/>
      <c r="X1137" s="7" t="n"/>
      <c r="Y1137" s="7">
        <f>IF($E1137="","",AB1137*AE1137/100)</f>
        <v/>
      </c>
      <c r="Z1137" s="7">
        <f>IF($E1137="","",AB1137-Y1137)</f>
        <v/>
      </c>
      <c r="AA1137" s="7">
        <f>IF($E1137="","",Z1137-Q1137)</f>
        <v/>
      </c>
      <c r="AB1137" s="7" t="n"/>
      <c r="AE1137">
        <f>IF($E1137="","",IF($AQ1137=1,0,IF($AP1137=1,Settings!$C$6,Settings!$C$7))*100)</f>
        <v/>
      </c>
      <c r="AI1137" s="7" t="n"/>
      <c r="AL1137" s="11" t="n"/>
      <c r="AN1137">
        <f>IF($E1137="","",IF(COUNTIF($E$2:$E1137,$E1137)=1,1,0))</f>
        <v/>
      </c>
      <c r="AO1137">
        <f>IF($AN1137=1,SUMPRODUCT(--($AR$2:$AR$3001&lt;$AR1137))+1,"")</f>
        <v/>
      </c>
      <c r="AP1137">
        <f>IF($E1137="","",IF(OR($U1137=TRUE(),$U1137="TRUE"),1,0))</f>
        <v/>
      </c>
      <c r="AQ1137">
        <f>IF($E1137="","",IF($AD1137="Yes",1,0))</f>
        <v/>
      </c>
      <c r="AR1137">
        <f>IF($AN1137=1,IFERROR(VALUE(MID($E1137,2,20)),1000000000)+ROW()/100000,"")</f>
        <v/>
      </c>
    </row>
    <row r="1138">
      <c r="G1138" s="11" t="n"/>
      <c r="Q1138" s="7">
        <f>IF($E1138="","",P1138*AB1138/100)</f>
        <v/>
      </c>
      <c r="R1138" s="7" t="n"/>
      <c r="X1138" s="7" t="n"/>
      <c r="Y1138" s="7">
        <f>IF($E1138="","",AB1138*AE1138/100)</f>
        <v/>
      </c>
      <c r="Z1138" s="7">
        <f>IF($E1138="","",AB1138-Y1138)</f>
        <v/>
      </c>
      <c r="AA1138" s="7">
        <f>IF($E1138="","",Z1138-Q1138)</f>
        <v/>
      </c>
      <c r="AB1138" s="7" t="n"/>
      <c r="AE1138">
        <f>IF($E1138="","",IF($AQ1138=1,0,IF($AP1138=1,Settings!$C$6,Settings!$C$7))*100)</f>
        <v/>
      </c>
      <c r="AI1138" s="7" t="n"/>
      <c r="AL1138" s="11" t="n"/>
      <c r="AN1138">
        <f>IF($E1138="","",IF(COUNTIF($E$2:$E1138,$E1138)=1,1,0))</f>
        <v/>
      </c>
      <c r="AO1138">
        <f>IF($AN1138=1,SUMPRODUCT(--($AR$2:$AR$3001&lt;$AR1138))+1,"")</f>
        <v/>
      </c>
      <c r="AP1138">
        <f>IF($E1138="","",IF(OR($U1138=TRUE(),$U1138="TRUE"),1,0))</f>
        <v/>
      </c>
      <c r="AQ1138">
        <f>IF($E1138="","",IF($AD1138="Yes",1,0))</f>
        <v/>
      </c>
      <c r="AR1138">
        <f>IF($AN1138=1,IFERROR(VALUE(MID($E1138,2,20)),1000000000)+ROW()/100000,"")</f>
        <v/>
      </c>
    </row>
    <row r="1139">
      <c r="G1139" s="11" t="n"/>
      <c r="Q1139" s="7">
        <f>IF($E1139="","",P1139*AB1139/100)</f>
        <v/>
      </c>
      <c r="R1139" s="7" t="n"/>
      <c r="X1139" s="7" t="n"/>
      <c r="Y1139" s="7">
        <f>IF($E1139="","",AB1139*AE1139/100)</f>
        <v/>
      </c>
      <c r="Z1139" s="7">
        <f>IF($E1139="","",AB1139-Y1139)</f>
        <v/>
      </c>
      <c r="AA1139" s="7">
        <f>IF($E1139="","",Z1139-Q1139)</f>
        <v/>
      </c>
      <c r="AB1139" s="7" t="n"/>
      <c r="AE1139">
        <f>IF($E1139="","",IF($AQ1139=1,0,IF($AP1139=1,Settings!$C$6,Settings!$C$7))*100)</f>
        <v/>
      </c>
      <c r="AI1139" s="7" t="n"/>
      <c r="AL1139" s="11" t="n"/>
      <c r="AN1139">
        <f>IF($E1139="","",IF(COUNTIF($E$2:$E1139,$E1139)=1,1,0))</f>
        <v/>
      </c>
      <c r="AO1139">
        <f>IF($AN1139=1,SUMPRODUCT(--($AR$2:$AR$3001&lt;$AR1139))+1,"")</f>
        <v/>
      </c>
      <c r="AP1139">
        <f>IF($E1139="","",IF(OR($U1139=TRUE(),$U1139="TRUE"),1,0))</f>
        <v/>
      </c>
      <c r="AQ1139">
        <f>IF($E1139="","",IF($AD1139="Yes",1,0))</f>
        <v/>
      </c>
      <c r="AR1139">
        <f>IF($AN1139=1,IFERROR(VALUE(MID($E1139,2,20)),1000000000)+ROW()/100000,"")</f>
        <v/>
      </c>
    </row>
    <row r="1140">
      <c r="G1140" s="11" t="n"/>
      <c r="Q1140" s="7">
        <f>IF($E1140="","",P1140*AB1140/100)</f>
        <v/>
      </c>
      <c r="R1140" s="7" t="n"/>
      <c r="X1140" s="7" t="n"/>
      <c r="Y1140" s="7">
        <f>IF($E1140="","",AB1140*AE1140/100)</f>
        <v/>
      </c>
      <c r="Z1140" s="7">
        <f>IF($E1140="","",AB1140-Y1140)</f>
        <v/>
      </c>
      <c r="AA1140" s="7">
        <f>IF($E1140="","",Z1140-Q1140)</f>
        <v/>
      </c>
      <c r="AB1140" s="7" t="n"/>
      <c r="AE1140">
        <f>IF($E1140="","",IF($AQ1140=1,0,IF($AP1140=1,Settings!$C$6,Settings!$C$7))*100)</f>
        <v/>
      </c>
      <c r="AI1140" s="7" t="n"/>
      <c r="AL1140" s="11" t="n"/>
      <c r="AN1140">
        <f>IF($E1140="","",IF(COUNTIF($E$2:$E1140,$E1140)=1,1,0))</f>
        <v/>
      </c>
      <c r="AO1140">
        <f>IF($AN1140=1,SUMPRODUCT(--($AR$2:$AR$3001&lt;$AR1140))+1,"")</f>
        <v/>
      </c>
      <c r="AP1140">
        <f>IF($E1140="","",IF(OR($U1140=TRUE(),$U1140="TRUE"),1,0))</f>
        <v/>
      </c>
      <c r="AQ1140">
        <f>IF($E1140="","",IF($AD1140="Yes",1,0))</f>
        <v/>
      </c>
      <c r="AR1140">
        <f>IF($AN1140=1,IFERROR(VALUE(MID($E1140,2,20)),1000000000)+ROW()/100000,"")</f>
        <v/>
      </c>
    </row>
    <row r="1141">
      <c r="G1141" s="11" t="n"/>
      <c r="Q1141" s="7">
        <f>IF($E1141="","",P1141*AB1141/100)</f>
        <v/>
      </c>
      <c r="R1141" s="7" t="n"/>
      <c r="X1141" s="7" t="n"/>
      <c r="Y1141" s="7">
        <f>IF($E1141="","",AB1141*AE1141/100)</f>
        <v/>
      </c>
      <c r="Z1141" s="7">
        <f>IF($E1141="","",AB1141-Y1141)</f>
        <v/>
      </c>
      <c r="AA1141" s="7">
        <f>IF($E1141="","",Z1141-Q1141)</f>
        <v/>
      </c>
      <c r="AB1141" s="7" t="n"/>
      <c r="AE1141">
        <f>IF($E1141="","",IF($AQ1141=1,0,IF($AP1141=1,Settings!$C$6,Settings!$C$7))*100)</f>
        <v/>
      </c>
      <c r="AI1141" s="7" t="n"/>
      <c r="AL1141" s="11" t="n"/>
      <c r="AN1141">
        <f>IF($E1141="","",IF(COUNTIF($E$2:$E1141,$E1141)=1,1,0))</f>
        <v/>
      </c>
      <c r="AO1141">
        <f>IF($AN1141=1,SUMPRODUCT(--($AR$2:$AR$3001&lt;$AR1141))+1,"")</f>
        <v/>
      </c>
      <c r="AP1141">
        <f>IF($E1141="","",IF(OR($U1141=TRUE(),$U1141="TRUE"),1,0))</f>
        <v/>
      </c>
      <c r="AQ1141">
        <f>IF($E1141="","",IF($AD1141="Yes",1,0))</f>
        <v/>
      </c>
      <c r="AR1141">
        <f>IF($AN1141=1,IFERROR(VALUE(MID($E1141,2,20)),1000000000)+ROW()/100000,"")</f>
        <v/>
      </c>
    </row>
    <row r="1142">
      <c r="G1142" s="11" t="n"/>
      <c r="Q1142" s="7">
        <f>IF($E1142="","",P1142*AB1142/100)</f>
        <v/>
      </c>
      <c r="R1142" s="7" t="n"/>
      <c r="X1142" s="7" t="n"/>
      <c r="Y1142" s="7">
        <f>IF($E1142="","",AB1142*AE1142/100)</f>
        <v/>
      </c>
      <c r="Z1142" s="7">
        <f>IF($E1142="","",AB1142-Y1142)</f>
        <v/>
      </c>
      <c r="AA1142" s="7">
        <f>IF($E1142="","",Z1142-Q1142)</f>
        <v/>
      </c>
      <c r="AB1142" s="7" t="n"/>
      <c r="AE1142">
        <f>IF($E1142="","",IF($AQ1142=1,0,IF($AP1142=1,Settings!$C$6,Settings!$C$7))*100)</f>
        <v/>
      </c>
      <c r="AI1142" s="7" t="n"/>
      <c r="AL1142" s="11" t="n"/>
      <c r="AN1142">
        <f>IF($E1142="","",IF(COUNTIF($E$2:$E1142,$E1142)=1,1,0))</f>
        <v/>
      </c>
      <c r="AO1142">
        <f>IF($AN1142=1,SUMPRODUCT(--($AR$2:$AR$3001&lt;$AR1142))+1,"")</f>
        <v/>
      </c>
      <c r="AP1142">
        <f>IF($E1142="","",IF(OR($U1142=TRUE(),$U1142="TRUE"),1,0))</f>
        <v/>
      </c>
      <c r="AQ1142">
        <f>IF($E1142="","",IF($AD1142="Yes",1,0))</f>
        <v/>
      </c>
      <c r="AR1142">
        <f>IF($AN1142=1,IFERROR(VALUE(MID($E1142,2,20)),1000000000)+ROW()/100000,"")</f>
        <v/>
      </c>
    </row>
    <row r="1143">
      <c r="G1143" s="11" t="n"/>
      <c r="Q1143" s="7">
        <f>IF($E1143="","",P1143*AB1143/100)</f>
        <v/>
      </c>
      <c r="R1143" s="7" t="n"/>
      <c r="X1143" s="7" t="n"/>
      <c r="Y1143" s="7">
        <f>IF($E1143="","",AB1143*AE1143/100)</f>
        <v/>
      </c>
      <c r="Z1143" s="7">
        <f>IF($E1143="","",AB1143-Y1143)</f>
        <v/>
      </c>
      <c r="AA1143" s="7">
        <f>IF($E1143="","",Z1143-Q1143)</f>
        <v/>
      </c>
      <c r="AB1143" s="7" t="n"/>
      <c r="AE1143">
        <f>IF($E1143="","",IF($AQ1143=1,0,IF($AP1143=1,Settings!$C$6,Settings!$C$7))*100)</f>
        <v/>
      </c>
      <c r="AI1143" s="7" t="n"/>
      <c r="AL1143" s="11" t="n"/>
      <c r="AN1143">
        <f>IF($E1143="","",IF(COUNTIF($E$2:$E1143,$E1143)=1,1,0))</f>
        <v/>
      </c>
      <c r="AO1143">
        <f>IF($AN1143=1,SUMPRODUCT(--($AR$2:$AR$3001&lt;$AR1143))+1,"")</f>
        <v/>
      </c>
      <c r="AP1143">
        <f>IF($E1143="","",IF(OR($U1143=TRUE(),$U1143="TRUE"),1,0))</f>
        <v/>
      </c>
      <c r="AQ1143">
        <f>IF($E1143="","",IF($AD1143="Yes",1,0))</f>
        <v/>
      </c>
      <c r="AR1143">
        <f>IF($AN1143=1,IFERROR(VALUE(MID($E1143,2,20)),1000000000)+ROW()/100000,"")</f>
        <v/>
      </c>
    </row>
    <row r="1144">
      <c r="G1144" s="11" t="n"/>
      <c r="Q1144" s="7">
        <f>IF($E1144="","",P1144*AB1144/100)</f>
        <v/>
      </c>
      <c r="R1144" s="7" t="n"/>
      <c r="X1144" s="7" t="n"/>
      <c r="Y1144" s="7">
        <f>IF($E1144="","",AB1144*AE1144/100)</f>
        <v/>
      </c>
      <c r="Z1144" s="7">
        <f>IF($E1144="","",AB1144-Y1144)</f>
        <v/>
      </c>
      <c r="AA1144" s="7">
        <f>IF($E1144="","",Z1144-Q1144)</f>
        <v/>
      </c>
      <c r="AB1144" s="7" t="n"/>
      <c r="AE1144">
        <f>IF($E1144="","",IF($AQ1144=1,0,IF($AP1144=1,Settings!$C$6,Settings!$C$7))*100)</f>
        <v/>
      </c>
      <c r="AI1144" s="7" t="n"/>
      <c r="AL1144" s="11" t="n"/>
      <c r="AN1144">
        <f>IF($E1144="","",IF(COUNTIF($E$2:$E1144,$E1144)=1,1,0))</f>
        <v/>
      </c>
      <c r="AO1144">
        <f>IF($AN1144=1,SUMPRODUCT(--($AR$2:$AR$3001&lt;$AR1144))+1,"")</f>
        <v/>
      </c>
      <c r="AP1144">
        <f>IF($E1144="","",IF(OR($U1144=TRUE(),$U1144="TRUE"),1,0))</f>
        <v/>
      </c>
      <c r="AQ1144">
        <f>IF($E1144="","",IF($AD1144="Yes",1,0))</f>
        <v/>
      </c>
      <c r="AR1144">
        <f>IF($AN1144=1,IFERROR(VALUE(MID($E1144,2,20)),1000000000)+ROW()/100000,"")</f>
        <v/>
      </c>
    </row>
    <row r="1145">
      <c r="G1145" s="11" t="n"/>
      <c r="Q1145" s="7">
        <f>IF($E1145="","",P1145*AB1145/100)</f>
        <v/>
      </c>
      <c r="R1145" s="7" t="n"/>
      <c r="X1145" s="7" t="n"/>
      <c r="Y1145" s="7">
        <f>IF($E1145="","",AB1145*AE1145/100)</f>
        <v/>
      </c>
      <c r="Z1145" s="7">
        <f>IF($E1145="","",AB1145-Y1145)</f>
        <v/>
      </c>
      <c r="AA1145" s="7">
        <f>IF($E1145="","",Z1145-Q1145)</f>
        <v/>
      </c>
      <c r="AB1145" s="7" t="n"/>
      <c r="AE1145">
        <f>IF($E1145="","",IF($AQ1145=1,0,IF($AP1145=1,Settings!$C$6,Settings!$C$7))*100)</f>
        <v/>
      </c>
      <c r="AI1145" s="7" t="n"/>
      <c r="AL1145" s="11" t="n"/>
      <c r="AN1145">
        <f>IF($E1145="","",IF(COUNTIF($E$2:$E1145,$E1145)=1,1,0))</f>
        <v/>
      </c>
      <c r="AO1145">
        <f>IF($AN1145=1,SUMPRODUCT(--($AR$2:$AR$3001&lt;$AR1145))+1,"")</f>
        <v/>
      </c>
      <c r="AP1145">
        <f>IF($E1145="","",IF(OR($U1145=TRUE(),$U1145="TRUE"),1,0))</f>
        <v/>
      </c>
      <c r="AQ1145">
        <f>IF($E1145="","",IF($AD1145="Yes",1,0))</f>
        <v/>
      </c>
      <c r="AR1145">
        <f>IF($AN1145=1,IFERROR(VALUE(MID($E1145,2,20)),1000000000)+ROW()/100000,"")</f>
        <v/>
      </c>
    </row>
    <row r="1146">
      <c r="G1146" s="11" t="n"/>
      <c r="Q1146" s="7">
        <f>IF($E1146="","",P1146*AB1146/100)</f>
        <v/>
      </c>
      <c r="R1146" s="7" t="n"/>
      <c r="X1146" s="7" t="n"/>
      <c r="Y1146" s="7">
        <f>IF($E1146="","",AB1146*AE1146/100)</f>
        <v/>
      </c>
      <c r="Z1146" s="7">
        <f>IF($E1146="","",AB1146-Y1146)</f>
        <v/>
      </c>
      <c r="AA1146" s="7">
        <f>IF($E1146="","",Z1146-Q1146)</f>
        <v/>
      </c>
      <c r="AB1146" s="7" t="n"/>
      <c r="AE1146">
        <f>IF($E1146="","",IF($AQ1146=1,0,IF($AP1146=1,Settings!$C$6,Settings!$C$7))*100)</f>
        <v/>
      </c>
      <c r="AI1146" s="7" t="n"/>
      <c r="AL1146" s="11" t="n"/>
      <c r="AN1146">
        <f>IF($E1146="","",IF(COUNTIF($E$2:$E1146,$E1146)=1,1,0))</f>
        <v/>
      </c>
      <c r="AO1146">
        <f>IF($AN1146=1,SUMPRODUCT(--($AR$2:$AR$3001&lt;$AR1146))+1,"")</f>
        <v/>
      </c>
      <c r="AP1146">
        <f>IF($E1146="","",IF(OR($U1146=TRUE(),$U1146="TRUE"),1,0))</f>
        <v/>
      </c>
      <c r="AQ1146">
        <f>IF($E1146="","",IF($AD1146="Yes",1,0))</f>
        <v/>
      </c>
      <c r="AR1146">
        <f>IF($AN1146=1,IFERROR(VALUE(MID($E1146,2,20)),1000000000)+ROW()/100000,"")</f>
        <v/>
      </c>
    </row>
    <row r="1147">
      <c r="G1147" s="11" t="n"/>
      <c r="Q1147" s="7">
        <f>IF($E1147="","",P1147*AB1147/100)</f>
        <v/>
      </c>
      <c r="R1147" s="7" t="n"/>
      <c r="X1147" s="7" t="n"/>
      <c r="Y1147" s="7">
        <f>IF($E1147="","",AB1147*AE1147/100)</f>
        <v/>
      </c>
      <c r="Z1147" s="7">
        <f>IF($E1147="","",AB1147-Y1147)</f>
        <v/>
      </c>
      <c r="AA1147" s="7">
        <f>IF($E1147="","",Z1147-Q1147)</f>
        <v/>
      </c>
      <c r="AB1147" s="7" t="n"/>
      <c r="AE1147">
        <f>IF($E1147="","",IF($AQ1147=1,0,IF($AP1147=1,Settings!$C$6,Settings!$C$7))*100)</f>
        <v/>
      </c>
      <c r="AI1147" s="7" t="n"/>
      <c r="AL1147" s="11" t="n"/>
      <c r="AN1147">
        <f>IF($E1147="","",IF(COUNTIF($E$2:$E1147,$E1147)=1,1,0))</f>
        <v/>
      </c>
      <c r="AO1147">
        <f>IF($AN1147=1,SUMPRODUCT(--($AR$2:$AR$3001&lt;$AR1147))+1,"")</f>
        <v/>
      </c>
      <c r="AP1147">
        <f>IF($E1147="","",IF(OR($U1147=TRUE(),$U1147="TRUE"),1,0))</f>
        <v/>
      </c>
      <c r="AQ1147">
        <f>IF($E1147="","",IF($AD1147="Yes",1,0))</f>
        <v/>
      </c>
      <c r="AR1147">
        <f>IF($AN1147=1,IFERROR(VALUE(MID($E1147,2,20)),1000000000)+ROW()/100000,"")</f>
        <v/>
      </c>
    </row>
    <row r="1148">
      <c r="G1148" s="11" t="n"/>
      <c r="Q1148" s="7">
        <f>IF($E1148="","",P1148*AB1148/100)</f>
        <v/>
      </c>
      <c r="R1148" s="7" t="n"/>
      <c r="X1148" s="7" t="n"/>
      <c r="Y1148" s="7">
        <f>IF($E1148="","",AB1148*AE1148/100)</f>
        <v/>
      </c>
      <c r="Z1148" s="7">
        <f>IF($E1148="","",AB1148-Y1148)</f>
        <v/>
      </c>
      <c r="AA1148" s="7">
        <f>IF($E1148="","",Z1148-Q1148)</f>
        <v/>
      </c>
      <c r="AB1148" s="7" t="n"/>
      <c r="AE1148">
        <f>IF($E1148="","",IF($AQ1148=1,0,IF($AP1148=1,Settings!$C$6,Settings!$C$7))*100)</f>
        <v/>
      </c>
      <c r="AI1148" s="7" t="n"/>
      <c r="AL1148" s="11" t="n"/>
      <c r="AN1148">
        <f>IF($E1148="","",IF(COUNTIF($E$2:$E1148,$E1148)=1,1,0))</f>
        <v/>
      </c>
      <c r="AO1148">
        <f>IF($AN1148=1,SUMPRODUCT(--($AR$2:$AR$3001&lt;$AR1148))+1,"")</f>
        <v/>
      </c>
      <c r="AP1148">
        <f>IF($E1148="","",IF(OR($U1148=TRUE(),$U1148="TRUE"),1,0))</f>
        <v/>
      </c>
      <c r="AQ1148">
        <f>IF($E1148="","",IF($AD1148="Yes",1,0))</f>
        <v/>
      </c>
      <c r="AR1148">
        <f>IF($AN1148=1,IFERROR(VALUE(MID($E1148,2,20)),1000000000)+ROW()/100000,"")</f>
        <v/>
      </c>
    </row>
    <row r="1149">
      <c r="G1149" s="11" t="n"/>
      <c r="Q1149" s="7">
        <f>IF($E1149="","",P1149*AB1149/100)</f>
        <v/>
      </c>
      <c r="R1149" s="7" t="n"/>
      <c r="X1149" s="7" t="n"/>
      <c r="Y1149" s="7">
        <f>IF($E1149="","",AB1149*AE1149/100)</f>
        <v/>
      </c>
      <c r="Z1149" s="7">
        <f>IF($E1149="","",AB1149-Y1149)</f>
        <v/>
      </c>
      <c r="AA1149" s="7">
        <f>IF($E1149="","",Z1149-Q1149)</f>
        <v/>
      </c>
      <c r="AB1149" s="7" t="n"/>
      <c r="AE1149">
        <f>IF($E1149="","",IF($AQ1149=1,0,IF($AP1149=1,Settings!$C$6,Settings!$C$7))*100)</f>
        <v/>
      </c>
      <c r="AI1149" s="7" t="n"/>
      <c r="AL1149" s="11" t="n"/>
      <c r="AN1149">
        <f>IF($E1149="","",IF(COUNTIF($E$2:$E1149,$E1149)=1,1,0))</f>
        <v/>
      </c>
      <c r="AO1149">
        <f>IF($AN1149=1,SUMPRODUCT(--($AR$2:$AR$3001&lt;$AR1149))+1,"")</f>
        <v/>
      </c>
      <c r="AP1149">
        <f>IF($E1149="","",IF(OR($U1149=TRUE(),$U1149="TRUE"),1,0))</f>
        <v/>
      </c>
      <c r="AQ1149">
        <f>IF($E1149="","",IF($AD1149="Yes",1,0))</f>
        <v/>
      </c>
      <c r="AR1149">
        <f>IF($AN1149=1,IFERROR(VALUE(MID($E1149,2,20)),1000000000)+ROW()/100000,"")</f>
        <v/>
      </c>
    </row>
    <row r="1150">
      <c r="G1150" s="11" t="n"/>
      <c r="Q1150" s="7">
        <f>IF($E1150="","",P1150*AB1150/100)</f>
        <v/>
      </c>
      <c r="R1150" s="7" t="n"/>
      <c r="X1150" s="7" t="n"/>
      <c r="Y1150" s="7">
        <f>IF($E1150="","",AB1150*AE1150/100)</f>
        <v/>
      </c>
      <c r="Z1150" s="7">
        <f>IF($E1150="","",AB1150-Y1150)</f>
        <v/>
      </c>
      <c r="AA1150" s="7">
        <f>IF($E1150="","",Z1150-Q1150)</f>
        <v/>
      </c>
      <c r="AB1150" s="7" t="n"/>
      <c r="AE1150">
        <f>IF($E1150="","",IF($AQ1150=1,0,IF($AP1150=1,Settings!$C$6,Settings!$C$7))*100)</f>
        <v/>
      </c>
      <c r="AI1150" s="7" t="n"/>
      <c r="AL1150" s="11" t="n"/>
      <c r="AN1150">
        <f>IF($E1150="","",IF(COUNTIF($E$2:$E1150,$E1150)=1,1,0))</f>
        <v/>
      </c>
      <c r="AO1150">
        <f>IF($AN1150=1,SUMPRODUCT(--($AR$2:$AR$3001&lt;$AR1150))+1,"")</f>
        <v/>
      </c>
      <c r="AP1150">
        <f>IF($E1150="","",IF(OR($U1150=TRUE(),$U1150="TRUE"),1,0))</f>
        <v/>
      </c>
      <c r="AQ1150">
        <f>IF($E1150="","",IF($AD1150="Yes",1,0))</f>
        <v/>
      </c>
      <c r="AR1150">
        <f>IF($AN1150=1,IFERROR(VALUE(MID($E1150,2,20)),1000000000)+ROW()/100000,"")</f>
        <v/>
      </c>
    </row>
    <row r="1151">
      <c r="G1151" s="11" t="n"/>
      <c r="Q1151" s="7">
        <f>IF($E1151="","",P1151*AB1151/100)</f>
        <v/>
      </c>
      <c r="R1151" s="7" t="n"/>
      <c r="X1151" s="7" t="n"/>
      <c r="Y1151" s="7">
        <f>IF($E1151="","",AB1151*AE1151/100)</f>
        <v/>
      </c>
      <c r="Z1151" s="7">
        <f>IF($E1151="","",AB1151-Y1151)</f>
        <v/>
      </c>
      <c r="AA1151" s="7">
        <f>IF($E1151="","",Z1151-Q1151)</f>
        <v/>
      </c>
      <c r="AB1151" s="7" t="n"/>
      <c r="AE1151">
        <f>IF($E1151="","",IF($AQ1151=1,0,IF($AP1151=1,Settings!$C$6,Settings!$C$7))*100)</f>
        <v/>
      </c>
      <c r="AI1151" s="7" t="n"/>
      <c r="AL1151" s="11" t="n"/>
      <c r="AN1151">
        <f>IF($E1151="","",IF(COUNTIF($E$2:$E1151,$E1151)=1,1,0))</f>
        <v/>
      </c>
      <c r="AO1151">
        <f>IF($AN1151=1,SUMPRODUCT(--($AR$2:$AR$3001&lt;$AR1151))+1,"")</f>
        <v/>
      </c>
      <c r="AP1151">
        <f>IF($E1151="","",IF(OR($U1151=TRUE(),$U1151="TRUE"),1,0))</f>
        <v/>
      </c>
      <c r="AQ1151">
        <f>IF($E1151="","",IF($AD1151="Yes",1,0))</f>
        <v/>
      </c>
      <c r="AR1151">
        <f>IF($AN1151=1,IFERROR(VALUE(MID($E1151,2,20)),1000000000)+ROW()/100000,"")</f>
        <v/>
      </c>
    </row>
    <row r="1152">
      <c r="G1152" s="11" t="n"/>
      <c r="Q1152" s="7">
        <f>IF($E1152="","",P1152*AB1152/100)</f>
        <v/>
      </c>
      <c r="R1152" s="7" t="n"/>
      <c r="X1152" s="7" t="n"/>
      <c r="Y1152" s="7">
        <f>IF($E1152="","",AB1152*AE1152/100)</f>
        <v/>
      </c>
      <c r="Z1152" s="7">
        <f>IF($E1152="","",AB1152-Y1152)</f>
        <v/>
      </c>
      <c r="AA1152" s="7">
        <f>IF($E1152="","",Z1152-Q1152)</f>
        <v/>
      </c>
      <c r="AB1152" s="7" t="n"/>
      <c r="AE1152">
        <f>IF($E1152="","",IF($AQ1152=1,0,IF($AP1152=1,Settings!$C$6,Settings!$C$7))*100)</f>
        <v/>
      </c>
      <c r="AI1152" s="7" t="n"/>
      <c r="AL1152" s="11" t="n"/>
      <c r="AN1152">
        <f>IF($E1152="","",IF(COUNTIF($E$2:$E1152,$E1152)=1,1,0))</f>
        <v/>
      </c>
      <c r="AO1152">
        <f>IF($AN1152=1,SUMPRODUCT(--($AR$2:$AR$3001&lt;$AR1152))+1,"")</f>
        <v/>
      </c>
      <c r="AP1152">
        <f>IF($E1152="","",IF(OR($U1152=TRUE(),$U1152="TRUE"),1,0))</f>
        <v/>
      </c>
      <c r="AQ1152">
        <f>IF($E1152="","",IF($AD1152="Yes",1,0))</f>
        <v/>
      </c>
      <c r="AR1152">
        <f>IF($AN1152=1,IFERROR(VALUE(MID($E1152,2,20)),1000000000)+ROW()/100000,"")</f>
        <v/>
      </c>
    </row>
    <row r="1153">
      <c r="G1153" s="11" t="n"/>
      <c r="Q1153" s="7">
        <f>IF($E1153="","",P1153*AB1153/100)</f>
        <v/>
      </c>
      <c r="R1153" s="7" t="n"/>
      <c r="X1153" s="7" t="n"/>
      <c r="Y1153" s="7">
        <f>IF($E1153="","",AB1153*AE1153/100)</f>
        <v/>
      </c>
      <c r="Z1153" s="7">
        <f>IF($E1153="","",AB1153-Y1153)</f>
        <v/>
      </c>
      <c r="AA1153" s="7">
        <f>IF($E1153="","",Z1153-Q1153)</f>
        <v/>
      </c>
      <c r="AB1153" s="7" t="n"/>
      <c r="AE1153">
        <f>IF($E1153="","",IF($AQ1153=1,0,IF($AP1153=1,Settings!$C$6,Settings!$C$7))*100)</f>
        <v/>
      </c>
      <c r="AI1153" s="7" t="n"/>
      <c r="AL1153" s="11" t="n"/>
      <c r="AN1153">
        <f>IF($E1153="","",IF(COUNTIF($E$2:$E1153,$E1153)=1,1,0))</f>
        <v/>
      </c>
      <c r="AO1153">
        <f>IF($AN1153=1,SUMPRODUCT(--($AR$2:$AR$3001&lt;$AR1153))+1,"")</f>
        <v/>
      </c>
      <c r="AP1153">
        <f>IF($E1153="","",IF(OR($U1153=TRUE(),$U1153="TRUE"),1,0))</f>
        <v/>
      </c>
      <c r="AQ1153">
        <f>IF($E1153="","",IF($AD1153="Yes",1,0))</f>
        <v/>
      </c>
      <c r="AR1153">
        <f>IF($AN1153=1,IFERROR(VALUE(MID($E1153,2,20)),1000000000)+ROW()/100000,"")</f>
        <v/>
      </c>
    </row>
    <row r="1154">
      <c r="G1154" s="11" t="n"/>
      <c r="Q1154" s="7">
        <f>IF($E1154="","",P1154*AB1154/100)</f>
        <v/>
      </c>
      <c r="R1154" s="7" t="n"/>
      <c r="X1154" s="7" t="n"/>
      <c r="Y1154" s="7">
        <f>IF($E1154="","",AB1154*AE1154/100)</f>
        <v/>
      </c>
      <c r="Z1154" s="7">
        <f>IF($E1154="","",AB1154-Y1154)</f>
        <v/>
      </c>
      <c r="AA1154" s="7">
        <f>IF($E1154="","",Z1154-Q1154)</f>
        <v/>
      </c>
      <c r="AB1154" s="7" t="n"/>
      <c r="AE1154">
        <f>IF($E1154="","",IF($AQ1154=1,0,IF($AP1154=1,Settings!$C$6,Settings!$C$7))*100)</f>
        <v/>
      </c>
      <c r="AI1154" s="7" t="n"/>
      <c r="AL1154" s="11" t="n"/>
      <c r="AN1154">
        <f>IF($E1154="","",IF(COUNTIF($E$2:$E1154,$E1154)=1,1,0))</f>
        <v/>
      </c>
      <c r="AO1154">
        <f>IF($AN1154=1,SUMPRODUCT(--($AR$2:$AR$3001&lt;$AR1154))+1,"")</f>
        <v/>
      </c>
      <c r="AP1154">
        <f>IF($E1154="","",IF(OR($U1154=TRUE(),$U1154="TRUE"),1,0))</f>
        <v/>
      </c>
      <c r="AQ1154">
        <f>IF($E1154="","",IF($AD1154="Yes",1,0))</f>
        <v/>
      </c>
      <c r="AR1154">
        <f>IF($AN1154=1,IFERROR(VALUE(MID($E1154,2,20)),1000000000)+ROW()/100000,"")</f>
        <v/>
      </c>
    </row>
    <row r="1155">
      <c r="G1155" s="11" t="n"/>
      <c r="Q1155" s="7">
        <f>IF($E1155="","",P1155*AB1155/100)</f>
        <v/>
      </c>
      <c r="R1155" s="7" t="n"/>
      <c r="X1155" s="7" t="n"/>
      <c r="Y1155" s="7">
        <f>IF($E1155="","",AB1155*AE1155/100)</f>
        <v/>
      </c>
      <c r="Z1155" s="7">
        <f>IF($E1155="","",AB1155-Y1155)</f>
        <v/>
      </c>
      <c r="AA1155" s="7">
        <f>IF($E1155="","",Z1155-Q1155)</f>
        <v/>
      </c>
      <c r="AB1155" s="7" t="n"/>
      <c r="AE1155">
        <f>IF($E1155="","",IF($AQ1155=1,0,IF($AP1155=1,Settings!$C$6,Settings!$C$7))*100)</f>
        <v/>
      </c>
      <c r="AI1155" s="7" t="n"/>
      <c r="AL1155" s="11" t="n"/>
      <c r="AN1155">
        <f>IF($E1155="","",IF(COUNTIF($E$2:$E1155,$E1155)=1,1,0))</f>
        <v/>
      </c>
      <c r="AO1155">
        <f>IF($AN1155=1,SUMPRODUCT(--($AR$2:$AR$3001&lt;$AR1155))+1,"")</f>
        <v/>
      </c>
      <c r="AP1155">
        <f>IF($E1155="","",IF(OR($U1155=TRUE(),$U1155="TRUE"),1,0))</f>
        <v/>
      </c>
      <c r="AQ1155">
        <f>IF($E1155="","",IF($AD1155="Yes",1,0))</f>
        <v/>
      </c>
      <c r="AR1155">
        <f>IF($AN1155=1,IFERROR(VALUE(MID($E1155,2,20)),1000000000)+ROW()/100000,"")</f>
        <v/>
      </c>
    </row>
    <row r="1156">
      <c r="G1156" s="11" t="n"/>
      <c r="Q1156" s="7">
        <f>IF($E1156="","",P1156*AB1156/100)</f>
        <v/>
      </c>
      <c r="R1156" s="7" t="n"/>
      <c r="X1156" s="7" t="n"/>
      <c r="Y1156" s="7">
        <f>IF($E1156="","",AB1156*AE1156/100)</f>
        <v/>
      </c>
      <c r="Z1156" s="7">
        <f>IF($E1156="","",AB1156-Y1156)</f>
        <v/>
      </c>
      <c r="AA1156" s="7">
        <f>IF($E1156="","",Z1156-Q1156)</f>
        <v/>
      </c>
      <c r="AB1156" s="7" t="n"/>
      <c r="AE1156">
        <f>IF($E1156="","",IF($AQ1156=1,0,IF($AP1156=1,Settings!$C$6,Settings!$C$7))*100)</f>
        <v/>
      </c>
      <c r="AI1156" s="7" t="n"/>
      <c r="AL1156" s="11" t="n"/>
      <c r="AN1156">
        <f>IF($E1156="","",IF(COUNTIF($E$2:$E1156,$E1156)=1,1,0))</f>
        <v/>
      </c>
      <c r="AO1156">
        <f>IF($AN1156=1,SUMPRODUCT(--($AR$2:$AR$3001&lt;$AR1156))+1,"")</f>
        <v/>
      </c>
      <c r="AP1156">
        <f>IF($E1156="","",IF(OR($U1156=TRUE(),$U1156="TRUE"),1,0))</f>
        <v/>
      </c>
      <c r="AQ1156">
        <f>IF($E1156="","",IF($AD1156="Yes",1,0))</f>
        <v/>
      </c>
      <c r="AR1156">
        <f>IF($AN1156=1,IFERROR(VALUE(MID($E1156,2,20)),1000000000)+ROW()/100000,"")</f>
        <v/>
      </c>
    </row>
    <row r="1157">
      <c r="G1157" s="11" t="n"/>
      <c r="Q1157" s="7">
        <f>IF($E1157="","",P1157*AB1157/100)</f>
        <v/>
      </c>
      <c r="R1157" s="7" t="n"/>
      <c r="X1157" s="7" t="n"/>
      <c r="Y1157" s="7">
        <f>IF($E1157="","",AB1157*AE1157/100)</f>
        <v/>
      </c>
      <c r="Z1157" s="7">
        <f>IF($E1157="","",AB1157-Y1157)</f>
        <v/>
      </c>
      <c r="AA1157" s="7">
        <f>IF($E1157="","",Z1157-Q1157)</f>
        <v/>
      </c>
      <c r="AB1157" s="7" t="n"/>
      <c r="AE1157">
        <f>IF($E1157="","",IF($AQ1157=1,0,IF($AP1157=1,Settings!$C$6,Settings!$C$7))*100)</f>
        <v/>
      </c>
      <c r="AI1157" s="7" t="n"/>
      <c r="AL1157" s="11" t="n"/>
      <c r="AN1157">
        <f>IF($E1157="","",IF(COUNTIF($E$2:$E1157,$E1157)=1,1,0))</f>
        <v/>
      </c>
      <c r="AO1157">
        <f>IF($AN1157=1,SUMPRODUCT(--($AR$2:$AR$3001&lt;$AR1157))+1,"")</f>
        <v/>
      </c>
      <c r="AP1157">
        <f>IF($E1157="","",IF(OR($U1157=TRUE(),$U1157="TRUE"),1,0))</f>
        <v/>
      </c>
      <c r="AQ1157">
        <f>IF($E1157="","",IF($AD1157="Yes",1,0))</f>
        <v/>
      </c>
      <c r="AR1157">
        <f>IF($AN1157=1,IFERROR(VALUE(MID($E1157,2,20)),1000000000)+ROW()/100000,"")</f>
        <v/>
      </c>
    </row>
    <row r="1158">
      <c r="G1158" s="11" t="n"/>
      <c r="Q1158" s="7">
        <f>IF($E1158="","",P1158*AB1158/100)</f>
        <v/>
      </c>
      <c r="R1158" s="7" t="n"/>
      <c r="X1158" s="7" t="n"/>
      <c r="Y1158" s="7">
        <f>IF($E1158="","",AB1158*AE1158/100)</f>
        <v/>
      </c>
      <c r="Z1158" s="7">
        <f>IF($E1158="","",AB1158-Y1158)</f>
        <v/>
      </c>
      <c r="AA1158" s="7">
        <f>IF($E1158="","",Z1158-Q1158)</f>
        <v/>
      </c>
      <c r="AB1158" s="7" t="n"/>
      <c r="AE1158">
        <f>IF($E1158="","",IF($AQ1158=1,0,IF($AP1158=1,Settings!$C$6,Settings!$C$7))*100)</f>
        <v/>
      </c>
      <c r="AI1158" s="7" t="n"/>
      <c r="AL1158" s="11" t="n"/>
      <c r="AN1158">
        <f>IF($E1158="","",IF(COUNTIF($E$2:$E1158,$E1158)=1,1,0))</f>
        <v/>
      </c>
      <c r="AO1158">
        <f>IF($AN1158=1,SUMPRODUCT(--($AR$2:$AR$3001&lt;$AR1158))+1,"")</f>
        <v/>
      </c>
      <c r="AP1158">
        <f>IF($E1158="","",IF(OR($U1158=TRUE(),$U1158="TRUE"),1,0))</f>
        <v/>
      </c>
      <c r="AQ1158">
        <f>IF($E1158="","",IF($AD1158="Yes",1,0))</f>
        <v/>
      </c>
      <c r="AR1158">
        <f>IF($AN1158=1,IFERROR(VALUE(MID($E1158,2,20)),1000000000)+ROW()/100000,"")</f>
        <v/>
      </c>
    </row>
    <row r="1159">
      <c r="G1159" s="11" t="n"/>
      <c r="Q1159" s="7">
        <f>IF($E1159="","",P1159*AB1159/100)</f>
        <v/>
      </c>
      <c r="R1159" s="7" t="n"/>
      <c r="X1159" s="7" t="n"/>
      <c r="Y1159" s="7">
        <f>IF($E1159="","",AB1159*AE1159/100)</f>
        <v/>
      </c>
      <c r="Z1159" s="7">
        <f>IF($E1159="","",AB1159-Y1159)</f>
        <v/>
      </c>
      <c r="AA1159" s="7">
        <f>IF($E1159="","",Z1159-Q1159)</f>
        <v/>
      </c>
      <c r="AB1159" s="7" t="n"/>
      <c r="AE1159">
        <f>IF($E1159="","",IF($AQ1159=1,0,IF($AP1159=1,Settings!$C$6,Settings!$C$7))*100)</f>
        <v/>
      </c>
      <c r="AI1159" s="7" t="n"/>
      <c r="AL1159" s="11" t="n"/>
      <c r="AN1159">
        <f>IF($E1159="","",IF(COUNTIF($E$2:$E1159,$E1159)=1,1,0))</f>
        <v/>
      </c>
      <c r="AO1159">
        <f>IF($AN1159=1,SUMPRODUCT(--($AR$2:$AR$3001&lt;$AR1159))+1,"")</f>
        <v/>
      </c>
      <c r="AP1159">
        <f>IF($E1159="","",IF(OR($U1159=TRUE(),$U1159="TRUE"),1,0))</f>
        <v/>
      </c>
      <c r="AQ1159">
        <f>IF($E1159="","",IF($AD1159="Yes",1,0))</f>
        <v/>
      </c>
      <c r="AR1159">
        <f>IF($AN1159=1,IFERROR(VALUE(MID($E1159,2,20)),1000000000)+ROW()/100000,"")</f>
        <v/>
      </c>
    </row>
    <row r="1160">
      <c r="G1160" s="11" t="n"/>
      <c r="Q1160" s="7">
        <f>IF($E1160="","",P1160*AB1160/100)</f>
        <v/>
      </c>
      <c r="R1160" s="7" t="n"/>
      <c r="X1160" s="7" t="n"/>
      <c r="Y1160" s="7">
        <f>IF($E1160="","",AB1160*AE1160/100)</f>
        <v/>
      </c>
      <c r="Z1160" s="7">
        <f>IF($E1160="","",AB1160-Y1160)</f>
        <v/>
      </c>
      <c r="AA1160" s="7">
        <f>IF($E1160="","",Z1160-Q1160)</f>
        <v/>
      </c>
      <c r="AB1160" s="7" t="n"/>
      <c r="AE1160">
        <f>IF($E1160="","",IF($AQ1160=1,0,IF($AP1160=1,Settings!$C$6,Settings!$C$7))*100)</f>
        <v/>
      </c>
      <c r="AI1160" s="7" t="n"/>
      <c r="AL1160" s="11" t="n"/>
      <c r="AN1160">
        <f>IF($E1160="","",IF(COUNTIF($E$2:$E1160,$E1160)=1,1,0))</f>
        <v/>
      </c>
      <c r="AO1160">
        <f>IF($AN1160=1,SUMPRODUCT(--($AR$2:$AR$3001&lt;$AR1160))+1,"")</f>
        <v/>
      </c>
      <c r="AP1160">
        <f>IF($E1160="","",IF(OR($U1160=TRUE(),$U1160="TRUE"),1,0))</f>
        <v/>
      </c>
      <c r="AQ1160">
        <f>IF($E1160="","",IF($AD1160="Yes",1,0))</f>
        <v/>
      </c>
      <c r="AR1160">
        <f>IF($AN1160=1,IFERROR(VALUE(MID($E1160,2,20)),1000000000)+ROW()/100000,"")</f>
        <v/>
      </c>
    </row>
    <row r="1161">
      <c r="G1161" s="11" t="n"/>
      <c r="Q1161" s="7">
        <f>IF($E1161="","",P1161*AB1161/100)</f>
        <v/>
      </c>
      <c r="R1161" s="7" t="n"/>
      <c r="X1161" s="7" t="n"/>
      <c r="Y1161" s="7">
        <f>IF($E1161="","",AB1161*AE1161/100)</f>
        <v/>
      </c>
      <c r="Z1161" s="7">
        <f>IF($E1161="","",AB1161-Y1161)</f>
        <v/>
      </c>
      <c r="AA1161" s="7">
        <f>IF($E1161="","",Z1161-Q1161)</f>
        <v/>
      </c>
      <c r="AB1161" s="7" t="n"/>
      <c r="AE1161">
        <f>IF($E1161="","",IF($AQ1161=1,0,IF($AP1161=1,Settings!$C$6,Settings!$C$7))*100)</f>
        <v/>
      </c>
      <c r="AI1161" s="7" t="n"/>
      <c r="AL1161" s="11" t="n"/>
      <c r="AN1161">
        <f>IF($E1161="","",IF(COUNTIF($E$2:$E1161,$E1161)=1,1,0))</f>
        <v/>
      </c>
      <c r="AO1161">
        <f>IF($AN1161=1,SUMPRODUCT(--($AR$2:$AR$3001&lt;$AR1161))+1,"")</f>
        <v/>
      </c>
      <c r="AP1161">
        <f>IF($E1161="","",IF(OR($U1161=TRUE(),$U1161="TRUE"),1,0))</f>
        <v/>
      </c>
      <c r="AQ1161">
        <f>IF($E1161="","",IF($AD1161="Yes",1,0))</f>
        <v/>
      </c>
      <c r="AR1161">
        <f>IF($AN1161=1,IFERROR(VALUE(MID($E1161,2,20)),1000000000)+ROW()/100000,"")</f>
        <v/>
      </c>
    </row>
    <row r="1162">
      <c r="G1162" s="11" t="n"/>
      <c r="Q1162" s="7">
        <f>IF($E1162="","",P1162*AB1162/100)</f>
        <v/>
      </c>
      <c r="R1162" s="7" t="n"/>
      <c r="X1162" s="7" t="n"/>
      <c r="Y1162" s="7">
        <f>IF($E1162="","",AB1162*AE1162/100)</f>
        <v/>
      </c>
      <c r="Z1162" s="7">
        <f>IF($E1162="","",AB1162-Y1162)</f>
        <v/>
      </c>
      <c r="AA1162" s="7">
        <f>IF($E1162="","",Z1162-Q1162)</f>
        <v/>
      </c>
      <c r="AB1162" s="7" t="n"/>
      <c r="AE1162">
        <f>IF($E1162="","",IF($AQ1162=1,0,IF($AP1162=1,Settings!$C$6,Settings!$C$7))*100)</f>
        <v/>
      </c>
      <c r="AI1162" s="7" t="n"/>
      <c r="AL1162" s="11" t="n"/>
      <c r="AN1162">
        <f>IF($E1162="","",IF(COUNTIF($E$2:$E1162,$E1162)=1,1,0))</f>
        <v/>
      </c>
      <c r="AO1162">
        <f>IF($AN1162=1,SUMPRODUCT(--($AR$2:$AR$3001&lt;$AR1162))+1,"")</f>
        <v/>
      </c>
      <c r="AP1162">
        <f>IF($E1162="","",IF(OR($U1162=TRUE(),$U1162="TRUE"),1,0))</f>
        <v/>
      </c>
      <c r="AQ1162">
        <f>IF($E1162="","",IF($AD1162="Yes",1,0))</f>
        <v/>
      </c>
      <c r="AR1162">
        <f>IF($AN1162=1,IFERROR(VALUE(MID($E1162,2,20)),1000000000)+ROW()/100000,"")</f>
        <v/>
      </c>
    </row>
    <row r="1163">
      <c r="G1163" s="11" t="n"/>
      <c r="Q1163" s="7">
        <f>IF($E1163="","",P1163*AB1163/100)</f>
        <v/>
      </c>
      <c r="R1163" s="7" t="n"/>
      <c r="X1163" s="7" t="n"/>
      <c r="Y1163" s="7">
        <f>IF($E1163="","",AB1163*AE1163/100)</f>
        <v/>
      </c>
      <c r="Z1163" s="7">
        <f>IF($E1163="","",AB1163-Y1163)</f>
        <v/>
      </c>
      <c r="AA1163" s="7">
        <f>IF($E1163="","",Z1163-Q1163)</f>
        <v/>
      </c>
      <c r="AB1163" s="7" t="n"/>
      <c r="AE1163">
        <f>IF($E1163="","",IF($AQ1163=1,0,IF($AP1163=1,Settings!$C$6,Settings!$C$7))*100)</f>
        <v/>
      </c>
      <c r="AI1163" s="7" t="n"/>
      <c r="AL1163" s="11" t="n"/>
      <c r="AN1163">
        <f>IF($E1163="","",IF(COUNTIF($E$2:$E1163,$E1163)=1,1,0))</f>
        <v/>
      </c>
      <c r="AO1163">
        <f>IF($AN1163=1,SUMPRODUCT(--($AR$2:$AR$3001&lt;$AR1163))+1,"")</f>
        <v/>
      </c>
      <c r="AP1163">
        <f>IF($E1163="","",IF(OR($U1163=TRUE(),$U1163="TRUE"),1,0))</f>
        <v/>
      </c>
      <c r="AQ1163">
        <f>IF($E1163="","",IF($AD1163="Yes",1,0))</f>
        <v/>
      </c>
      <c r="AR1163">
        <f>IF($AN1163=1,IFERROR(VALUE(MID($E1163,2,20)),1000000000)+ROW()/100000,"")</f>
        <v/>
      </c>
    </row>
    <row r="1164">
      <c r="G1164" s="11" t="n"/>
      <c r="Q1164" s="7">
        <f>IF($E1164="","",P1164*AB1164/100)</f>
        <v/>
      </c>
      <c r="R1164" s="7" t="n"/>
      <c r="X1164" s="7" t="n"/>
      <c r="Y1164" s="7">
        <f>IF($E1164="","",AB1164*AE1164/100)</f>
        <v/>
      </c>
      <c r="Z1164" s="7">
        <f>IF($E1164="","",AB1164-Y1164)</f>
        <v/>
      </c>
      <c r="AA1164" s="7">
        <f>IF($E1164="","",Z1164-Q1164)</f>
        <v/>
      </c>
      <c r="AB1164" s="7" t="n"/>
      <c r="AE1164">
        <f>IF($E1164="","",IF($AQ1164=1,0,IF($AP1164=1,Settings!$C$6,Settings!$C$7))*100)</f>
        <v/>
      </c>
      <c r="AI1164" s="7" t="n"/>
      <c r="AL1164" s="11" t="n"/>
      <c r="AN1164">
        <f>IF($E1164="","",IF(COUNTIF($E$2:$E1164,$E1164)=1,1,0))</f>
        <v/>
      </c>
      <c r="AO1164">
        <f>IF($AN1164=1,SUMPRODUCT(--($AR$2:$AR$3001&lt;$AR1164))+1,"")</f>
        <v/>
      </c>
      <c r="AP1164">
        <f>IF($E1164="","",IF(OR($U1164=TRUE(),$U1164="TRUE"),1,0))</f>
        <v/>
      </c>
      <c r="AQ1164">
        <f>IF($E1164="","",IF($AD1164="Yes",1,0))</f>
        <v/>
      </c>
      <c r="AR1164">
        <f>IF($AN1164=1,IFERROR(VALUE(MID($E1164,2,20)),1000000000)+ROW()/100000,"")</f>
        <v/>
      </c>
    </row>
    <row r="1165">
      <c r="G1165" s="11" t="n"/>
      <c r="Q1165" s="7">
        <f>IF($E1165="","",P1165*AB1165/100)</f>
        <v/>
      </c>
      <c r="R1165" s="7" t="n"/>
      <c r="X1165" s="7" t="n"/>
      <c r="Y1165" s="7">
        <f>IF($E1165="","",AB1165*AE1165/100)</f>
        <v/>
      </c>
      <c r="Z1165" s="7">
        <f>IF($E1165="","",AB1165-Y1165)</f>
        <v/>
      </c>
      <c r="AA1165" s="7">
        <f>IF($E1165="","",Z1165-Q1165)</f>
        <v/>
      </c>
      <c r="AB1165" s="7" t="n"/>
      <c r="AE1165">
        <f>IF($E1165="","",IF($AQ1165=1,0,IF($AP1165=1,Settings!$C$6,Settings!$C$7))*100)</f>
        <v/>
      </c>
      <c r="AI1165" s="7" t="n"/>
      <c r="AL1165" s="11" t="n"/>
      <c r="AN1165">
        <f>IF($E1165="","",IF(COUNTIF($E$2:$E1165,$E1165)=1,1,0))</f>
        <v/>
      </c>
      <c r="AO1165">
        <f>IF($AN1165=1,SUMPRODUCT(--($AR$2:$AR$3001&lt;$AR1165))+1,"")</f>
        <v/>
      </c>
      <c r="AP1165">
        <f>IF($E1165="","",IF(OR($U1165=TRUE(),$U1165="TRUE"),1,0))</f>
        <v/>
      </c>
      <c r="AQ1165">
        <f>IF($E1165="","",IF($AD1165="Yes",1,0))</f>
        <v/>
      </c>
      <c r="AR1165">
        <f>IF($AN1165=1,IFERROR(VALUE(MID($E1165,2,20)),1000000000)+ROW()/100000,"")</f>
        <v/>
      </c>
    </row>
    <row r="1166">
      <c r="G1166" s="11" t="n"/>
      <c r="Q1166" s="7">
        <f>IF($E1166="","",P1166*AB1166/100)</f>
        <v/>
      </c>
      <c r="R1166" s="7" t="n"/>
      <c r="X1166" s="7" t="n"/>
      <c r="Y1166" s="7">
        <f>IF($E1166="","",AB1166*AE1166/100)</f>
        <v/>
      </c>
      <c r="Z1166" s="7">
        <f>IF($E1166="","",AB1166-Y1166)</f>
        <v/>
      </c>
      <c r="AA1166" s="7">
        <f>IF($E1166="","",Z1166-Q1166)</f>
        <v/>
      </c>
      <c r="AB1166" s="7" t="n"/>
      <c r="AE1166">
        <f>IF($E1166="","",IF($AQ1166=1,0,IF($AP1166=1,Settings!$C$6,Settings!$C$7))*100)</f>
        <v/>
      </c>
      <c r="AI1166" s="7" t="n"/>
      <c r="AL1166" s="11" t="n"/>
      <c r="AN1166">
        <f>IF($E1166="","",IF(COUNTIF($E$2:$E1166,$E1166)=1,1,0))</f>
        <v/>
      </c>
      <c r="AO1166">
        <f>IF($AN1166=1,SUMPRODUCT(--($AR$2:$AR$3001&lt;$AR1166))+1,"")</f>
        <v/>
      </c>
      <c r="AP1166">
        <f>IF($E1166="","",IF(OR($U1166=TRUE(),$U1166="TRUE"),1,0))</f>
        <v/>
      </c>
      <c r="AQ1166">
        <f>IF($E1166="","",IF($AD1166="Yes",1,0))</f>
        <v/>
      </c>
      <c r="AR1166">
        <f>IF($AN1166=1,IFERROR(VALUE(MID($E1166,2,20)),1000000000)+ROW()/100000,"")</f>
        <v/>
      </c>
    </row>
    <row r="1167">
      <c r="G1167" s="11" t="n"/>
      <c r="Q1167" s="7">
        <f>IF($E1167="","",P1167*AB1167/100)</f>
        <v/>
      </c>
      <c r="R1167" s="7" t="n"/>
      <c r="X1167" s="7" t="n"/>
      <c r="Y1167" s="7">
        <f>IF($E1167="","",AB1167*AE1167/100)</f>
        <v/>
      </c>
      <c r="Z1167" s="7">
        <f>IF($E1167="","",AB1167-Y1167)</f>
        <v/>
      </c>
      <c r="AA1167" s="7">
        <f>IF($E1167="","",Z1167-Q1167)</f>
        <v/>
      </c>
      <c r="AB1167" s="7" t="n"/>
      <c r="AE1167">
        <f>IF($E1167="","",IF($AQ1167=1,0,IF($AP1167=1,Settings!$C$6,Settings!$C$7))*100)</f>
        <v/>
      </c>
      <c r="AI1167" s="7" t="n"/>
      <c r="AL1167" s="11" t="n"/>
      <c r="AN1167">
        <f>IF($E1167="","",IF(COUNTIF($E$2:$E1167,$E1167)=1,1,0))</f>
        <v/>
      </c>
      <c r="AO1167">
        <f>IF($AN1167=1,SUMPRODUCT(--($AR$2:$AR$3001&lt;$AR1167))+1,"")</f>
        <v/>
      </c>
      <c r="AP1167">
        <f>IF($E1167="","",IF(OR($U1167=TRUE(),$U1167="TRUE"),1,0))</f>
        <v/>
      </c>
      <c r="AQ1167">
        <f>IF($E1167="","",IF($AD1167="Yes",1,0))</f>
        <v/>
      </c>
      <c r="AR1167">
        <f>IF($AN1167=1,IFERROR(VALUE(MID($E1167,2,20)),1000000000)+ROW()/100000,"")</f>
        <v/>
      </c>
    </row>
    <row r="1168">
      <c r="G1168" s="11" t="n"/>
      <c r="Q1168" s="7">
        <f>IF($E1168="","",P1168*AB1168/100)</f>
        <v/>
      </c>
      <c r="R1168" s="7" t="n"/>
      <c r="X1168" s="7" t="n"/>
      <c r="Y1168" s="7">
        <f>IF($E1168="","",AB1168*AE1168/100)</f>
        <v/>
      </c>
      <c r="Z1168" s="7">
        <f>IF($E1168="","",AB1168-Y1168)</f>
        <v/>
      </c>
      <c r="AA1168" s="7">
        <f>IF($E1168="","",Z1168-Q1168)</f>
        <v/>
      </c>
      <c r="AB1168" s="7" t="n"/>
      <c r="AE1168">
        <f>IF($E1168="","",IF($AQ1168=1,0,IF($AP1168=1,Settings!$C$6,Settings!$C$7))*100)</f>
        <v/>
      </c>
      <c r="AI1168" s="7" t="n"/>
      <c r="AL1168" s="11" t="n"/>
      <c r="AN1168">
        <f>IF($E1168="","",IF(COUNTIF($E$2:$E1168,$E1168)=1,1,0))</f>
        <v/>
      </c>
      <c r="AO1168">
        <f>IF($AN1168=1,SUMPRODUCT(--($AR$2:$AR$3001&lt;$AR1168))+1,"")</f>
        <v/>
      </c>
      <c r="AP1168">
        <f>IF($E1168="","",IF(OR($U1168=TRUE(),$U1168="TRUE"),1,0))</f>
        <v/>
      </c>
      <c r="AQ1168">
        <f>IF($E1168="","",IF($AD1168="Yes",1,0))</f>
        <v/>
      </c>
      <c r="AR1168">
        <f>IF($AN1168=1,IFERROR(VALUE(MID($E1168,2,20)),1000000000)+ROW()/100000,"")</f>
        <v/>
      </c>
    </row>
    <row r="1169">
      <c r="G1169" s="11" t="n"/>
      <c r="Q1169" s="7">
        <f>IF($E1169="","",P1169*AB1169/100)</f>
        <v/>
      </c>
      <c r="R1169" s="7" t="n"/>
      <c r="X1169" s="7" t="n"/>
      <c r="Y1169" s="7">
        <f>IF($E1169="","",AB1169*AE1169/100)</f>
        <v/>
      </c>
      <c r="Z1169" s="7">
        <f>IF($E1169="","",AB1169-Y1169)</f>
        <v/>
      </c>
      <c r="AA1169" s="7">
        <f>IF($E1169="","",Z1169-Q1169)</f>
        <v/>
      </c>
      <c r="AB1169" s="7" t="n"/>
      <c r="AE1169">
        <f>IF($E1169="","",IF($AQ1169=1,0,IF($AP1169=1,Settings!$C$6,Settings!$C$7))*100)</f>
        <v/>
      </c>
      <c r="AI1169" s="7" t="n"/>
      <c r="AL1169" s="11" t="n"/>
      <c r="AN1169">
        <f>IF($E1169="","",IF(COUNTIF($E$2:$E1169,$E1169)=1,1,0))</f>
        <v/>
      </c>
      <c r="AO1169">
        <f>IF($AN1169=1,SUMPRODUCT(--($AR$2:$AR$3001&lt;$AR1169))+1,"")</f>
        <v/>
      </c>
      <c r="AP1169">
        <f>IF($E1169="","",IF(OR($U1169=TRUE(),$U1169="TRUE"),1,0))</f>
        <v/>
      </c>
      <c r="AQ1169">
        <f>IF($E1169="","",IF($AD1169="Yes",1,0))</f>
        <v/>
      </c>
      <c r="AR1169">
        <f>IF($AN1169=1,IFERROR(VALUE(MID($E1169,2,20)),1000000000)+ROW()/100000,"")</f>
        <v/>
      </c>
    </row>
    <row r="1170">
      <c r="G1170" s="11" t="n"/>
      <c r="Q1170" s="7">
        <f>IF($E1170="","",P1170*AB1170/100)</f>
        <v/>
      </c>
      <c r="R1170" s="7" t="n"/>
      <c r="X1170" s="7" t="n"/>
      <c r="Y1170" s="7">
        <f>IF($E1170="","",AB1170*AE1170/100)</f>
        <v/>
      </c>
      <c r="Z1170" s="7">
        <f>IF($E1170="","",AB1170-Y1170)</f>
        <v/>
      </c>
      <c r="AA1170" s="7">
        <f>IF($E1170="","",Z1170-Q1170)</f>
        <v/>
      </c>
      <c r="AB1170" s="7" t="n"/>
      <c r="AE1170">
        <f>IF($E1170="","",IF($AQ1170=1,0,IF($AP1170=1,Settings!$C$6,Settings!$C$7))*100)</f>
        <v/>
      </c>
      <c r="AI1170" s="7" t="n"/>
      <c r="AL1170" s="11" t="n"/>
      <c r="AN1170">
        <f>IF($E1170="","",IF(COUNTIF($E$2:$E1170,$E1170)=1,1,0))</f>
        <v/>
      </c>
      <c r="AO1170">
        <f>IF($AN1170=1,SUMPRODUCT(--($AR$2:$AR$3001&lt;$AR1170))+1,"")</f>
        <v/>
      </c>
      <c r="AP1170">
        <f>IF($E1170="","",IF(OR($U1170=TRUE(),$U1170="TRUE"),1,0))</f>
        <v/>
      </c>
      <c r="AQ1170">
        <f>IF($E1170="","",IF($AD1170="Yes",1,0))</f>
        <v/>
      </c>
      <c r="AR1170">
        <f>IF($AN1170=1,IFERROR(VALUE(MID($E1170,2,20)),1000000000)+ROW()/100000,"")</f>
        <v/>
      </c>
    </row>
    <row r="1171">
      <c r="G1171" s="11" t="n"/>
      <c r="Q1171" s="7">
        <f>IF($E1171="","",P1171*AB1171/100)</f>
        <v/>
      </c>
      <c r="R1171" s="7" t="n"/>
      <c r="X1171" s="7" t="n"/>
      <c r="Y1171" s="7">
        <f>IF($E1171="","",AB1171*AE1171/100)</f>
        <v/>
      </c>
      <c r="Z1171" s="7">
        <f>IF($E1171="","",AB1171-Y1171)</f>
        <v/>
      </c>
      <c r="AA1171" s="7">
        <f>IF($E1171="","",Z1171-Q1171)</f>
        <v/>
      </c>
      <c r="AB1171" s="7" t="n"/>
      <c r="AE1171">
        <f>IF($E1171="","",IF($AQ1171=1,0,IF($AP1171=1,Settings!$C$6,Settings!$C$7))*100)</f>
        <v/>
      </c>
      <c r="AI1171" s="7" t="n"/>
      <c r="AL1171" s="11" t="n"/>
      <c r="AN1171">
        <f>IF($E1171="","",IF(COUNTIF($E$2:$E1171,$E1171)=1,1,0))</f>
        <v/>
      </c>
      <c r="AO1171">
        <f>IF($AN1171=1,SUMPRODUCT(--($AR$2:$AR$3001&lt;$AR1171))+1,"")</f>
        <v/>
      </c>
      <c r="AP1171">
        <f>IF($E1171="","",IF(OR($U1171=TRUE(),$U1171="TRUE"),1,0))</f>
        <v/>
      </c>
      <c r="AQ1171">
        <f>IF($E1171="","",IF($AD1171="Yes",1,0))</f>
        <v/>
      </c>
      <c r="AR1171">
        <f>IF($AN1171=1,IFERROR(VALUE(MID($E1171,2,20)),1000000000)+ROW()/100000,"")</f>
        <v/>
      </c>
    </row>
    <row r="1172">
      <c r="G1172" s="11" t="n"/>
      <c r="Q1172" s="7">
        <f>IF($E1172="","",P1172*AB1172/100)</f>
        <v/>
      </c>
      <c r="R1172" s="7" t="n"/>
      <c r="X1172" s="7" t="n"/>
      <c r="Y1172" s="7">
        <f>IF($E1172="","",AB1172*AE1172/100)</f>
        <v/>
      </c>
      <c r="Z1172" s="7">
        <f>IF($E1172="","",AB1172-Y1172)</f>
        <v/>
      </c>
      <c r="AA1172" s="7">
        <f>IF($E1172="","",Z1172-Q1172)</f>
        <v/>
      </c>
      <c r="AB1172" s="7" t="n"/>
      <c r="AE1172">
        <f>IF($E1172="","",IF($AQ1172=1,0,IF($AP1172=1,Settings!$C$6,Settings!$C$7))*100)</f>
        <v/>
      </c>
      <c r="AI1172" s="7" t="n"/>
      <c r="AL1172" s="11" t="n"/>
      <c r="AN1172">
        <f>IF($E1172="","",IF(COUNTIF($E$2:$E1172,$E1172)=1,1,0))</f>
        <v/>
      </c>
      <c r="AO1172">
        <f>IF($AN1172=1,SUMPRODUCT(--($AR$2:$AR$3001&lt;$AR1172))+1,"")</f>
        <v/>
      </c>
      <c r="AP1172">
        <f>IF($E1172="","",IF(OR($U1172=TRUE(),$U1172="TRUE"),1,0))</f>
        <v/>
      </c>
      <c r="AQ1172">
        <f>IF($E1172="","",IF($AD1172="Yes",1,0))</f>
        <v/>
      </c>
      <c r="AR1172">
        <f>IF($AN1172=1,IFERROR(VALUE(MID($E1172,2,20)),1000000000)+ROW()/100000,"")</f>
        <v/>
      </c>
    </row>
    <row r="1173">
      <c r="G1173" s="11" t="n"/>
      <c r="Q1173" s="7">
        <f>IF($E1173="","",P1173*AB1173/100)</f>
        <v/>
      </c>
      <c r="R1173" s="7" t="n"/>
      <c r="X1173" s="7" t="n"/>
      <c r="Y1173" s="7">
        <f>IF($E1173="","",AB1173*AE1173/100)</f>
        <v/>
      </c>
      <c r="Z1173" s="7">
        <f>IF($E1173="","",AB1173-Y1173)</f>
        <v/>
      </c>
      <c r="AA1173" s="7">
        <f>IF($E1173="","",Z1173-Q1173)</f>
        <v/>
      </c>
      <c r="AB1173" s="7" t="n"/>
      <c r="AE1173">
        <f>IF($E1173="","",IF($AQ1173=1,0,IF($AP1173=1,Settings!$C$6,Settings!$C$7))*100)</f>
        <v/>
      </c>
      <c r="AI1173" s="7" t="n"/>
      <c r="AL1173" s="11" t="n"/>
      <c r="AN1173">
        <f>IF($E1173="","",IF(COUNTIF($E$2:$E1173,$E1173)=1,1,0))</f>
        <v/>
      </c>
      <c r="AO1173">
        <f>IF($AN1173=1,SUMPRODUCT(--($AR$2:$AR$3001&lt;$AR1173))+1,"")</f>
        <v/>
      </c>
      <c r="AP1173">
        <f>IF($E1173="","",IF(OR($U1173=TRUE(),$U1173="TRUE"),1,0))</f>
        <v/>
      </c>
      <c r="AQ1173">
        <f>IF($E1173="","",IF($AD1173="Yes",1,0))</f>
        <v/>
      </c>
      <c r="AR1173">
        <f>IF($AN1173=1,IFERROR(VALUE(MID($E1173,2,20)),1000000000)+ROW()/100000,"")</f>
        <v/>
      </c>
    </row>
    <row r="1174">
      <c r="G1174" s="11" t="n"/>
      <c r="Q1174" s="7">
        <f>IF($E1174="","",P1174*AB1174/100)</f>
        <v/>
      </c>
      <c r="R1174" s="7" t="n"/>
      <c r="X1174" s="7" t="n"/>
      <c r="Y1174" s="7">
        <f>IF($E1174="","",AB1174*AE1174/100)</f>
        <v/>
      </c>
      <c r="Z1174" s="7">
        <f>IF($E1174="","",AB1174-Y1174)</f>
        <v/>
      </c>
      <c r="AA1174" s="7">
        <f>IF($E1174="","",Z1174-Q1174)</f>
        <v/>
      </c>
      <c r="AB1174" s="7" t="n"/>
      <c r="AE1174">
        <f>IF($E1174="","",IF($AQ1174=1,0,IF($AP1174=1,Settings!$C$6,Settings!$C$7))*100)</f>
        <v/>
      </c>
      <c r="AI1174" s="7" t="n"/>
      <c r="AL1174" s="11" t="n"/>
      <c r="AN1174">
        <f>IF($E1174="","",IF(COUNTIF($E$2:$E1174,$E1174)=1,1,0))</f>
        <v/>
      </c>
      <c r="AO1174">
        <f>IF($AN1174=1,SUMPRODUCT(--($AR$2:$AR$3001&lt;$AR1174))+1,"")</f>
        <v/>
      </c>
      <c r="AP1174">
        <f>IF($E1174="","",IF(OR($U1174=TRUE(),$U1174="TRUE"),1,0))</f>
        <v/>
      </c>
      <c r="AQ1174">
        <f>IF($E1174="","",IF($AD1174="Yes",1,0))</f>
        <v/>
      </c>
      <c r="AR1174">
        <f>IF($AN1174=1,IFERROR(VALUE(MID($E1174,2,20)),1000000000)+ROW()/100000,"")</f>
        <v/>
      </c>
    </row>
    <row r="1175">
      <c r="G1175" s="11" t="n"/>
      <c r="Q1175" s="7">
        <f>IF($E1175="","",P1175*AB1175/100)</f>
        <v/>
      </c>
      <c r="R1175" s="7" t="n"/>
      <c r="X1175" s="7" t="n"/>
      <c r="Y1175" s="7">
        <f>IF($E1175="","",AB1175*AE1175/100)</f>
        <v/>
      </c>
      <c r="Z1175" s="7">
        <f>IF($E1175="","",AB1175-Y1175)</f>
        <v/>
      </c>
      <c r="AA1175" s="7">
        <f>IF($E1175="","",Z1175-Q1175)</f>
        <v/>
      </c>
      <c r="AB1175" s="7" t="n"/>
      <c r="AE1175">
        <f>IF($E1175="","",IF($AQ1175=1,0,IF($AP1175=1,Settings!$C$6,Settings!$C$7))*100)</f>
        <v/>
      </c>
      <c r="AI1175" s="7" t="n"/>
      <c r="AL1175" s="11" t="n"/>
      <c r="AN1175">
        <f>IF($E1175="","",IF(COUNTIF($E$2:$E1175,$E1175)=1,1,0))</f>
        <v/>
      </c>
      <c r="AO1175">
        <f>IF($AN1175=1,SUMPRODUCT(--($AR$2:$AR$3001&lt;$AR1175))+1,"")</f>
        <v/>
      </c>
      <c r="AP1175">
        <f>IF($E1175="","",IF(OR($U1175=TRUE(),$U1175="TRUE"),1,0))</f>
        <v/>
      </c>
      <c r="AQ1175">
        <f>IF($E1175="","",IF($AD1175="Yes",1,0))</f>
        <v/>
      </c>
      <c r="AR1175">
        <f>IF($AN1175=1,IFERROR(VALUE(MID($E1175,2,20)),1000000000)+ROW()/100000,"")</f>
        <v/>
      </c>
    </row>
    <row r="1176">
      <c r="G1176" s="11" t="n"/>
      <c r="Q1176" s="7">
        <f>IF($E1176="","",P1176*AB1176/100)</f>
        <v/>
      </c>
      <c r="R1176" s="7" t="n"/>
      <c r="X1176" s="7" t="n"/>
      <c r="Y1176" s="7">
        <f>IF($E1176="","",AB1176*AE1176/100)</f>
        <v/>
      </c>
      <c r="Z1176" s="7">
        <f>IF($E1176="","",AB1176-Y1176)</f>
        <v/>
      </c>
      <c r="AA1176" s="7">
        <f>IF($E1176="","",Z1176-Q1176)</f>
        <v/>
      </c>
      <c r="AB1176" s="7" t="n"/>
      <c r="AE1176">
        <f>IF($E1176="","",IF($AQ1176=1,0,IF($AP1176=1,Settings!$C$6,Settings!$C$7))*100)</f>
        <v/>
      </c>
      <c r="AI1176" s="7" t="n"/>
      <c r="AL1176" s="11" t="n"/>
      <c r="AN1176">
        <f>IF($E1176="","",IF(COUNTIF($E$2:$E1176,$E1176)=1,1,0))</f>
        <v/>
      </c>
      <c r="AO1176">
        <f>IF($AN1176=1,SUMPRODUCT(--($AR$2:$AR$3001&lt;$AR1176))+1,"")</f>
        <v/>
      </c>
      <c r="AP1176">
        <f>IF($E1176="","",IF(OR($U1176=TRUE(),$U1176="TRUE"),1,0))</f>
        <v/>
      </c>
      <c r="AQ1176">
        <f>IF($E1176="","",IF($AD1176="Yes",1,0))</f>
        <v/>
      </c>
      <c r="AR1176">
        <f>IF($AN1176=1,IFERROR(VALUE(MID($E1176,2,20)),1000000000)+ROW()/100000,"")</f>
        <v/>
      </c>
    </row>
    <row r="1177">
      <c r="G1177" s="11" t="n"/>
      <c r="Q1177" s="7">
        <f>IF($E1177="","",P1177*AB1177/100)</f>
        <v/>
      </c>
      <c r="R1177" s="7" t="n"/>
      <c r="X1177" s="7" t="n"/>
      <c r="Y1177" s="7">
        <f>IF($E1177="","",AB1177*AE1177/100)</f>
        <v/>
      </c>
      <c r="Z1177" s="7">
        <f>IF($E1177="","",AB1177-Y1177)</f>
        <v/>
      </c>
      <c r="AA1177" s="7">
        <f>IF($E1177="","",Z1177-Q1177)</f>
        <v/>
      </c>
      <c r="AB1177" s="7" t="n"/>
      <c r="AE1177">
        <f>IF($E1177="","",IF($AQ1177=1,0,IF($AP1177=1,Settings!$C$6,Settings!$C$7))*100)</f>
        <v/>
      </c>
      <c r="AI1177" s="7" t="n"/>
      <c r="AL1177" s="11" t="n"/>
      <c r="AN1177">
        <f>IF($E1177="","",IF(COUNTIF($E$2:$E1177,$E1177)=1,1,0))</f>
        <v/>
      </c>
      <c r="AO1177">
        <f>IF($AN1177=1,SUMPRODUCT(--($AR$2:$AR$3001&lt;$AR1177))+1,"")</f>
        <v/>
      </c>
      <c r="AP1177">
        <f>IF($E1177="","",IF(OR($U1177=TRUE(),$U1177="TRUE"),1,0))</f>
        <v/>
      </c>
      <c r="AQ1177">
        <f>IF($E1177="","",IF($AD1177="Yes",1,0))</f>
        <v/>
      </c>
      <c r="AR1177">
        <f>IF($AN1177=1,IFERROR(VALUE(MID($E1177,2,20)),1000000000)+ROW()/100000,"")</f>
        <v/>
      </c>
    </row>
    <row r="1178">
      <c r="G1178" s="11" t="n"/>
      <c r="Q1178" s="7">
        <f>IF($E1178="","",P1178*AB1178/100)</f>
        <v/>
      </c>
      <c r="R1178" s="7" t="n"/>
      <c r="X1178" s="7" t="n"/>
      <c r="Y1178" s="7">
        <f>IF($E1178="","",AB1178*AE1178/100)</f>
        <v/>
      </c>
      <c r="Z1178" s="7">
        <f>IF($E1178="","",AB1178-Y1178)</f>
        <v/>
      </c>
      <c r="AA1178" s="7">
        <f>IF($E1178="","",Z1178-Q1178)</f>
        <v/>
      </c>
      <c r="AB1178" s="7" t="n"/>
      <c r="AE1178">
        <f>IF($E1178="","",IF($AQ1178=1,0,IF($AP1178=1,Settings!$C$6,Settings!$C$7))*100)</f>
        <v/>
      </c>
      <c r="AI1178" s="7" t="n"/>
      <c r="AL1178" s="11" t="n"/>
      <c r="AN1178">
        <f>IF($E1178="","",IF(COUNTIF($E$2:$E1178,$E1178)=1,1,0))</f>
        <v/>
      </c>
      <c r="AO1178">
        <f>IF($AN1178=1,SUMPRODUCT(--($AR$2:$AR$3001&lt;$AR1178))+1,"")</f>
        <v/>
      </c>
      <c r="AP1178">
        <f>IF($E1178="","",IF(OR($U1178=TRUE(),$U1178="TRUE"),1,0))</f>
        <v/>
      </c>
      <c r="AQ1178">
        <f>IF($E1178="","",IF($AD1178="Yes",1,0))</f>
        <v/>
      </c>
      <c r="AR1178">
        <f>IF($AN1178=1,IFERROR(VALUE(MID($E1178,2,20)),1000000000)+ROW()/100000,"")</f>
        <v/>
      </c>
    </row>
    <row r="1179">
      <c r="G1179" s="11" t="n"/>
      <c r="Q1179" s="7">
        <f>IF($E1179="","",P1179*AB1179/100)</f>
        <v/>
      </c>
      <c r="R1179" s="7" t="n"/>
      <c r="X1179" s="7" t="n"/>
      <c r="Y1179" s="7">
        <f>IF($E1179="","",AB1179*AE1179/100)</f>
        <v/>
      </c>
      <c r="Z1179" s="7">
        <f>IF($E1179="","",AB1179-Y1179)</f>
        <v/>
      </c>
      <c r="AA1179" s="7">
        <f>IF($E1179="","",Z1179-Q1179)</f>
        <v/>
      </c>
      <c r="AB1179" s="7" t="n"/>
      <c r="AE1179">
        <f>IF($E1179="","",IF($AQ1179=1,0,IF($AP1179=1,Settings!$C$6,Settings!$C$7))*100)</f>
        <v/>
      </c>
      <c r="AI1179" s="7" t="n"/>
      <c r="AL1179" s="11" t="n"/>
      <c r="AN1179">
        <f>IF($E1179="","",IF(COUNTIF($E$2:$E1179,$E1179)=1,1,0))</f>
        <v/>
      </c>
      <c r="AO1179">
        <f>IF($AN1179=1,SUMPRODUCT(--($AR$2:$AR$3001&lt;$AR1179))+1,"")</f>
        <v/>
      </c>
      <c r="AP1179">
        <f>IF($E1179="","",IF(OR($U1179=TRUE(),$U1179="TRUE"),1,0))</f>
        <v/>
      </c>
      <c r="AQ1179">
        <f>IF($E1179="","",IF($AD1179="Yes",1,0))</f>
        <v/>
      </c>
      <c r="AR1179">
        <f>IF($AN1179=1,IFERROR(VALUE(MID($E1179,2,20)),1000000000)+ROW()/100000,"")</f>
        <v/>
      </c>
    </row>
    <row r="1180">
      <c r="G1180" s="11" t="n"/>
      <c r="Q1180" s="7">
        <f>IF($E1180="","",P1180*AB1180/100)</f>
        <v/>
      </c>
      <c r="R1180" s="7" t="n"/>
      <c r="X1180" s="7" t="n"/>
      <c r="Y1180" s="7">
        <f>IF($E1180="","",AB1180*AE1180/100)</f>
        <v/>
      </c>
      <c r="Z1180" s="7">
        <f>IF($E1180="","",AB1180-Y1180)</f>
        <v/>
      </c>
      <c r="AA1180" s="7">
        <f>IF($E1180="","",Z1180-Q1180)</f>
        <v/>
      </c>
      <c r="AB1180" s="7" t="n"/>
      <c r="AE1180">
        <f>IF($E1180="","",IF($AQ1180=1,0,IF($AP1180=1,Settings!$C$6,Settings!$C$7))*100)</f>
        <v/>
      </c>
      <c r="AI1180" s="7" t="n"/>
      <c r="AL1180" s="11" t="n"/>
      <c r="AN1180">
        <f>IF($E1180="","",IF(COUNTIF($E$2:$E1180,$E1180)=1,1,0))</f>
        <v/>
      </c>
      <c r="AO1180">
        <f>IF($AN1180=1,SUMPRODUCT(--($AR$2:$AR$3001&lt;$AR1180))+1,"")</f>
        <v/>
      </c>
      <c r="AP1180">
        <f>IF($E1180="","",IF(OR($U1180=TRUE(),$U1180="TRUE"),1,0))</f>
        <v/>
      </c>
      <c r="AQ1180">
        <f>IF($E1180="","",IF($AD1180="Yes",1,0))</f>
        <v/>
      </c>
      <c r="AR1180">
        <f>IF($AN1180=1,IFERROR(VALUE(MID($E1180,2,20)),1000000000)+ROW()/100000,"")</f>
        <v/>
      </c>
    </row>
    <row r="1181">
      <c r="G1181" s="11" t="n"/>
      <c r="Q1181" s="7">
        <f>IF($E1181="","",P1181*AB1181/100)</f>
        <v/>
      </c>
      <c r="R1181" s="7" t="n"/>
      <c r="X1181" s="7" t="n"/>
      <c r="Y1181" s="7">
        <f>IF($E1181="","",AB1181*AE1181/100)</f>
        <v/>
      </c>
      <c r="Z1181" s="7">
        <f>IF($E1181="","",AB1181-Y1181)</f>
        <v/>
      </c>
      <c r="AA1181" s="7">
        <f>IF($E1181="","",Z1181-Q1181)</f>
        <v/>
      </c>
      <c r="AB1181" s="7" t="n"/>
      <c r="AE1181">
        <f>IF($E1181="","",IF($AQ1181=1,0,IF($AP1181=1,Settings!$C$6,Settings!$C$7))*100)</f>
        <v/>
      </c>
      <c r="AI1181" s="7" t="n"/>
      <c r="AL1181" s="11" t="n"/>
      <c r="AN1181">
        <f>IF($E1181="","",IF(COUNTIF($E$2:$E1181,$E1181)=1,1,0))</f>
        <v/>
      </c>
      <c r="AO1181">
        <f>IF($AN1181=1,SUMPRODUCT(--($AR$2:$AR$3001&lt;$AR1181))+1,"")</f>
        <v/>
      </c>
      <c r="AP1181">
        <f>IF($E1181="","",IF(OR($U1181=TRUE(),$U1181="TRUE"),1,0))</f>
        <v/>
      </c>
      <c r="AQ1181">
        <f>IF($E1181="","",IF($AD1181="Yes",1,0))</f>
        <v/>
      </c>
      <c r="AR1181">
        <f>IF($AN1181=1,IFERROR(VALUE(MID($E1181,2,20)),1000000000)+ROW()/100000,"")</f>
        <v/>
      </c>
    </row>
    <row r="1182">
      <c r="G1182" s="11" t="n"/>
      <c r="Q1182" s="7">
        <f>IF($E1182="","",P1182*AB1182/100)</f>
        <v/>
      </c>
      <c r="R1182" s="7" t="n"/>
      <c r="X1182" s="7" t="n"/>
      <c r="Y1182" s="7">
        <f>IF($E1182="","",AB1182*AE1182/100)</f>
        <v/>
      </c>
      <c r="Z1182" s="7">
        <f>IF($E1182="","",AB1182-Y1182)</f>
        <v/>
      </c>
      <c r="AA1182" s="7">
        <f>IF($E1182="","",Z1182-Q1182)</f>
        <v/>
      </c>
      <c r="AB1182" s="7" t="n"/>
      <c r="AE1182">
        <f>IF($E1182="","",IF($AQ1182=1,0,IF($AP1182=1,Settings!$C$6,Settings!$C$7))*100)</f>
        <v/>
      </c>
      <c r="AI1182" s="7" t="n"/>
      <c r="AL1182" s="11" t="n"/>
      <c r="AN1182">
        <f>IF($E1182="","",IF(COUNTIF($E$2:$E1182,$E1182)=1,1,0))</f>
        <v/>
      </c>
      <c r="AO1182">
        <f>IF($AN1182=1,SUMPRODUCT(--($AR$2:$AR$3001&lt;$AR1182))+1,"")</f>
        <v/>
      </c>
      <c r="AP1182">
        <f>IF($E1182="","",IF(OR($U1182=TRUE(),$U1182="TRUE"),1,0))</f>
        <v/>
      </c>
      <c r="AQ1182">
        <f>IF($E1182="","",IF($AD1182="Yes",1,0))</f>
        <v/>
      </c>
      <c r="AR1182">
        <f>IF($AN1182=1,IFERROR(VALUE(MID($E1182,2,20)),1000000000)+ROW()/100000,"")</f>
        <v/>
      </c>
    </row>
    <row r="1183">
      <c r="G1183" s="11" t="n"/>
      <c r="Q1183" s="7">
        <f>IF($E1183="","",P1183*AB1183/100)</f>
        <v/>
      </c>
      <c r="R1183" s="7" t="n"/>
      <c r="X1183" s="7" t="n"/>
      <c r="Y1183" s="7">
        <f>IF($E1183="","",AB1183*AE1183/100)</f>
        <v/>
      </c>
      <c r="Z1183" s="7">
        <f>IF($E1183="","",AB1183-Y1183)</f>
        <v/>
      </c>
      <c r="AA1183" s="7">
        <f>IF($E1183="","",Z1183-Q1183)</f>
        <v/>
      </c>
      <c r="AB1183" s="7" t="n"/>
      <c r="AE1183">
        <f>IF($E1183="","",IF($AQ1183=1,0,IF($AP1183=1,Settings!$C$6,Settings!$C$7))*100)</f>
        <v/>
      </c>
      <c r="AI1183" s="7" t="n"/>
      <c r="AL1183" s="11" t="n"/>
      <c r="AN1183">
        <f>IF($E1183="","",IF(COUNTIF($E$2:$E1183,$E1183)=1,1,0))</f>
        <v/>
      </c>
      <c r="AO1183">
        <f>IF($AN1183=1,SUMPRODUCT(--($AR$2:$AR$3001&lt;$AR1183))+1,"")</f>
        <v/>
      </c>
      <c r="AP1183">
        <f>IF($E1183="","",IF(OR($U1183=TRUE(),$U1183="TRUE"),1,0))</f>
        <v/>
      </c>
      <c r="AQ1183">
        <f>IF($E1183="","",IF($AD1183="Yes",1,0))</f>
        <v/>
      </c>
      <c r="AR1183">
        <f>IF($AN1183=1,IFERROR(VALUE(MID($E1183,2,20)),1000000000)+ROW()/100000,"")</f>
        <v/>
      </c>
    </row>
    <row r="1184">
      <c r="G1184" s="11" t="n"/>
      <c r="Q1184" s="7">
        <f>IF($E1184="","",P1184*AB1184/100)</f>
        <v/>
      </c>
      <c r="R1184" s="7" t="n"/>
      <c r="X1184" s="7" t="n"/>
      <c r="Y1184" s="7">
        <f>IF($E1184="","",AB1184*AE1184/100)</f>
        <v/>
      </c>
      <c r="Z1184" s="7">
        <f>IF($E1184="","",AB1184-Y1184)</f>
        <v/>
      </c>
      <c r="AA1184" s="7">
        <f>IF($E1184="","",Z1184-Q1184)</f>
        <v/>
      </c>
      <c r="AB1184" s="7" t="n"/>
      <c r="AE1184">
        <f>IF($E1184="","",IF($AQ1184=1,0,IF($AP1184=1,Settings!$C$6,Settings!$C$7))*100)</f>
        <v/>
      </c>
      <c r="AI1184" s="7" t="n"/>
      <c r="AL1184" s="11" t="n"/>
      <c r="AN1184">
        <f>IF($E1184="","",IF(COUNTIF($E$2:$E1184,$E1184)=1,1,0))</f>
        <v/>
      </c>
      <c r="AO1184">
        <f>IF($AN1184=1,SUMPRODUCT(--($AR$2:$AR$3001&lt;$AR1184))+1,"")</f>
        <v/>
      </c>
      <c r="AP1184">
        <f>IF($E1184="","",IF(OR($U1184=TRUE(),$U1184="TRUE"),1,0))</f>
        <v/>
      </c>
      <c r="AQ1184">
        <f>IF($E1184="","",IF($AD1184="Yes",1,0))</f>
        <v/>
      </c>
      <c r="AR1184">
        <f>IF($AN1184=1,IFERROR(VALUE(MID($E1184,2,20)),1000000000)+ROW()/100000,"")</f>
        <v/>
      </c>
    </row>
    <row r="1185">
      <c r="G1185" s="11" t="n"/>
      <c r="Q1185" s="7">
        <f>IF($E1185="","",P1185*AB1185/100)</f>
        <v/>
      </c>
      <c r="R1185" s="7" t="n"/>
      <c r="X1185" s="7" t="n"/>
      <c r="Y1185" s="7">
        <f>IF($E1185="","",AB1185*AE1185/100)</f>
        <v/>
      </c>
      <c r="Z1185" s="7">
        <f>IF($E1185="","",AB1185-Y1185)</f>
        <v/>
      </c>
      <c r="AA1185" s="7">
        <f>IF($E1185="","",Z1185-Q1185)</f>
        <v/>
      </c>
      <c r="AB1185" s="7" t="n"/>
      <c r="AE1185">
        <f>IF($E1185="","",IF($AQ1185=1,0,IF($AP1185=1,Settings!$C$6,Settings!$C$7))*100)</f>
        <v/>
      </c>
      <c r="AI1185" s="7" t="n"/>
      <c r="AL1185" s="11" t="n"/>
      <c r="AN1185">
        <f>IF($E1185="","",IF(COUNTIF($E$2:$E1185,$E1185)=1,1,0))</f>
        <v/>
      </c>
      <c r="AO1185">
        <f>IF($AN1185=1,SUMPRODUCT(--($AR$2:$AR$3001&lt;$AR1185))+1,"")</f>
        <v/>
      </c>
      <c r="AP1185">
        <f>IF($E1185="","",IF(OR($U1185=TRUE(),$U1185="TRUE"),1,0))</f>
        <v/>
      </c>
      <c r="AQ1185">
        <f>IF($E1185="","",IF($AD1185="Yes",1,0))</f>
        <v/>
      </c>
      <c r="AR1185">
        <f>IF($AN1185=1,IFERROR(VALUE(MID($E1185,2,20)),1000000000)+ROW()/100000,"")</f>
        <v/>
      </c>
    </row>
    <row r="1186">
      <c r="G1186" s="11" t="n"/>
      <c r="Q1186" s="7">
        <f>IF($E1186="","",P1186*AB1186/100)</f>
        <v/>
      </c>
      <c r="R1186" s="7" t="n"/>
      <c r="X1186" s="7" t="n"/>
      <c r="Y1186" s="7">
        <f>IF($E1186="","",AB1186*AE1186/100)</f>
        <v/>
      </c>
      <c r="Z1186" s="7">
        <f>IF($E1186="","",AB1186-Y1186)</f>
        <v/>
      </c>
      <c r="AA1186" s="7">
        <f>IF($E1186="","",Z1186-Q1186)</f>
        <v/>
      </c>
      <c r="AB1186" s="7" t="n"/>
      <c r="AE1186">
        <f>IF($E1186="","",IF($AQ1186=1,0,IF($AP1186=1,Settings!$C$6,Settings!$C$7))*100)</f>
        <v/>
      </c>
      <c r="AI1186" s="7" t="n"/>
      <c r="AL1186" s="11" t="n"/>
      <c r="AN1186">
        <f>IF($E1186="","",IF(COUNTIF($E$2:$E1186,$E1186)=1,1,0))</f>
        <v/>
      </c>
      <c r="AO1186">
        <f>IF($AN1186=1,SUMPRODUCT(--($AR$2:$AR$3001&lt;$AR1186))+1,"")</f>
        <v/>
      </c>
      <c r="AP1186">
        <f>IF($E1186="","",IF(OR($U1186=TRUE(),$U1186="TRUE"),1,0))</f>
        <v/>
      </c>
      <c r="AQ1186">
        <f>IF($E1186="","",IF($AD1186="Yes",1,0))</f>
        <v/>
      </c>
      <c r="AR1186">
        <f>IF($AN1186=1,IFERROR(VALUE(MID($E1186,2,20)),1000000000)+ROW()/100000,"")</f>
        <v/>
      </c>
    </row>
    <row r="1187">
      <c r="G1187" s="11" t="n"/>
      <c r="Q1187" s="7">
        <f>IF($E1187="","",P1187*AB1187/100)</f>
        <v/>
      </c>
      <c r="R1187" s="7" t="n"/>
      <c r="X1187" s="7" t="n"/>
      <c r="Y1187" s="7">
        <f>IF($E1187="","",AB1187*AE1187/100)</f>
        <v/>
      </c>
      <c r="Z1187" s="7">
        <f>IF($E1187="","",AB1187-Y1187)</f>
        <v/>
      </c>
      <c r="AA1187" s="7">
        <f>IF($E1187="","",Z1187-Q1187)</f>
        <v/>
      </c>
      <c r="AB1187" s="7" t="n"/>
      <c r="AE1187">
        <f>IF($E1187="","",IF($AQ1187=1,0,IF($AP1187=1,Settings!$C$6,Settings!$C$7))*100)</f>
        <v/>
      </c>
      <c r="AI1187" s="7" t="n"/>
      <c r="AL1187" s="11" t="n"/>
      <c r="AN1187">
        <f>IF($E1187="","",IF(COUNTIF($E$2:$E1187,$E1187)=1,1,0))</f>
        <v/>
      </c>
      <c r="AO1187">
        <f>IF($AN1187=1,SUMPRODUCT(--($AR$2:$AR$3001&lt;$AR1187))+1,"")</f>
        <v/>
      </c>
      <c r="AP1187">
        <f>IF($E1187="","",IF(OR($U1187=TRUE(),$U1187="TRUE"),1,0))</f>
        <v/>
      </c>
      <c r="AQ1187">
        <f>IF($E1187="","",IF($AD1187="Yes",1,0))</f>
        <v/>
      </c>
      <c r="AR1187">
        <f>IF($AN1187=1,IFERROR(VALUE(MID($E1187,2,20)),1000000000)+ROW()/100000,"")</f>
        <v/>
      </c>
    </row>
    <row r="1188">
      <c r="G1188" s="11" t="n"/>
      <c r="Q1188" s="7">
        <f>IF($E1188="","",P1188*AB1188/100)</f>
        <v/>
      </c>
      <c r="R1188" s="7" t="n"/>
      <c r="X1188" s="7" t="n"/>
      <c r="Y1188" s="7">
        <f>IF($E1188="","",AB1188*AE1188/100)</f>
        <v/>
      </c>
      <c r="Z1188" s="7">
        <f>IF($E1188="","",AB1188-Y1188)</f>
        <v/>
      </c>
      <c r="AA1188" s="7">
        <f>IF($E1188="","",Z1188-Q1188)</f>
        <v/>
      </c>
      <c r="AB1188" s="7" t="n"/>
      <c r="AE1188">
        <f>IF($E1188="","",IF($AQ1188=1,0,IF($AP1188=1,Settings!$C$6,Settings!$C$7))*100)</f>
        <v/>
      </c>
      <c r="AI1188" s="7" t="n"/>
      <c r="AL1188" s="11" t="n"/>
      <c r="AN1188">
        <f>IF($E1188="","",IF(COUNTIF($E$2:$E1188,$E1188)=1,1,0))</f>
        <v/>
      </c>
      <c r="AO1188">
        <f>IF($AN1188=1,SUMPRODUCT(--($AR$2:$AR$3001&lt;$AR1188))+1,"")</f>
        <v/>
      </c>
      <c r="AP1188">
        <f>IF($E1188="","",IF(OR($U1188=TRUE(),$U1188="TRUE"),1,0))</f>
        <v/>
      </c>
      <c r="AQ1188">
        <f>IF($E1188="","",IF($AD1188="Yes",1,0))</f>
        <v/>
      </c>
      <c r="AR1188">
        <f>IF($AN1188=1,IFERROR(VALUE(MID($E1188,2,20)),1000000000)+ROW()/100000,"")</f>
        <v/>
      </c>
    </row>
    <row r="1189">
      <c r="G1189" s="11" t="n"/>
      <c r="Q1189" s="7">
        <f>IF($E1189="","",P1189*AB1189/100)</f>
        <v/>
      </c>
      <c r="R1189" s="7" t="n"/>
      <c r="X1189" s="7" t="n"/>
      <c r="Y1189" s="7">
        <f>IF($E1189="","",AB1189*AE1189/100)</f>
        <v/>
      </c>
      <c r="Z1189" s="7">
        <f>IF($E1189="","",AB1189-Y1189)</f>
        <v/>
      </c>
      <c r="AA1189" s="7">
        <f>IF($E1189="","",Z1189-Q1189)</f>
        <v/>
      </c>
      <c r="AB1189" s="7" t="n"/>
      <c r="AE1189">
        <f>IF($E1189="","",IF($AQ1189=1,0,IF($AP1189=1,Settings!$C$6,Settings!$C$7))*100)</f>
        <v/>
      </c>
      <c r="AI1189" s="7" t="n"/>
      <c r="AL1189" s="11" t="n"/>
      <c r="AN1189">
        <f>IF($E1189="","",IF(COUNTIF($E$2:$E1189,$E1189)=1,1,0))</f>
        <v/>
      </c>
      <c r="AO1189">
        <f>IF($AN1189=1,SUMPRODUCT(--($AR$2:$AR$3001&lt;$AR1189))+1,"")</f>
        <v/>
      </c>
      <c r="AP1189">
        <f>IF($E1189="","",IF(OR($U1189=TRUE(),$U1189="TRUE"),1,0))</f>
        <v/>
      </c>
      <c r="AQ1189">
        <f>IF($E1189="","",IF($AD1189="Yes",1,0))</f>
        <v/>
      </c>
      <c r="AR1189">
        <f>IF($AN1189=1,IFERROR(VALUE(MID($E1189,2,20)),1000000000)+ROW()/100000,"")</f>
        <v/>
      </c>
    </row>
    <row r="1190">
      <c r="G1190" s="11" t="n"/>
      <c r="Q1190" s="7">
        <f>IF($E1190="","",P1190*AB1190/100)</f>
        <v/>
      </c>
      <c r="R1190" s="7" t="n"/>
      <c r="X1190" s="7" t="n"/>
      <c r="Y1190" s="7">
        <f>IF($E1190="","",AB1190*AE1190/100)</f>
        <v/>
      </c>
      <c r="Z1190" s="7">
        <f>IF($E1190="","",AB1190-Y1190)</f>
        <v/>
      </c>
      <c r="AA1190" s="7">
        <f>IF($E1190="","",Z1190-Q1190)</f>
        <v/>
      </c>
      <c r="AB1190" s="7" t="n"/>
      <c r="AE1190">
        <f>IF($E1190="","",IF($AQ1190=1,0,IF($AP1190=1,Settings!$C$6,Settings!$C$7))*100)</f>
        <v/>
      </c>
      <c r="AI1190" s="7" t="n"/>
      <c r="AL1190" s="11" t="n"/>
      <c r="AN1190">
        <f>IF($E1190="","",IF(COUNTIF($E$2:$E1190,$E1190)=1,1,0))</f>
        <v/>
      </c>
      <c r="AO1190">
        <f>IF($AN1190=1,SUMPRODUCT(--($AR$2:$AR$3001&lt;$AR1190))+1,"")</f>
        <v/>
      </c>
      <c r="AP1190">
        <f>IF($E1190="","",IF(OR($U1190=TRUE(),$U1190="TRUE"),1,0))</f>
        <v/>
      </c>
      <c r="AQ1190">
        <f>IF($E1190="","",IF($AD1190="Yes",1,0))</f>
        <v/>
      </c>
      <c r="AR1190">
        <f>IF($AN1190=1,IFERROR(VALUE(MID($E1190,2,20)),1000000000)+ROW()/100000,"")</f>
        <v/>
      </c>
    </row>
    <row r="1191">
      <c r="G1191" s="11" t="n"/>
      <c r="Q1191" s="7">
        <f>IF($E1191="","",P1191*AB1191/100)</f>
        <v/>
      </c>
      <c r="R1191" s="7" t="n"/>
      <c r="X1191" s="7" t="n"/>
      <c r="Y1191" s="7">
        <f>IF($E1191="","",AB1191*AE1191/100)</f>
        <v/>
      </c>
      <c r="Z1191" s="7">
        <f>IF($E1191="","",AB1191-Y1191)</f>
        <v/>
      </c>
      <c r="AA1191" s="7">
        <f>IF($E1191="","",Z1191-Q1191)</f>
        <v/>
      </c>
      <c r="AB1191" s="7" t="n"/>
      <c r="AE1191">
        <f>IF($E1191="","",IF($AQ1191=1,0,IF($AP1191=1,Settings!$C$6,Settings!$C$7))*100)</f>
        <v/>
      </c>
      <c r="AI1191" s="7" t="n"/>
      <c r="AL1191" s="11" t="n"/>
      <c r="AN1191">
        <f>IF($E1191="","",IF(COUNTIF($E$2:$E1191,$E1191)=1,1,0))</f>
        <v/>
      </c>
      <c r="AO1191">
        <f>IF($AN1191=1,SUMPRODUCT(--($AR$2:$AR$3001&lt;$AR1191))+1,"")</f>
        <v/>
      </c>
      <c r="AP1191">
        <f>IF($E1191="","",IF(OR($U1191=TRUE(),$U1191="TRUE"),1,0))</f>
        <v/>
      </c>
      <c r="AQ1191">
        <f>IF($E1191="","",IF($AD1191="Yes",1,0))</f>
        <v/>
      </c>
      <c r="AR1191">
        <f>IF($AN1191=1,IFERROR(VALUE(MID($E1191,2,20)),1000000000)+ROW()/100000,"")</f>
        <v/>
      </c>
    </row>
    <row r="1192">
      <c r="G1192" s="11" t="n"/>
      <c r="Q1192" s="7">
        <f>IF($E1192="","",P1192*AB1192/100)</f>
        <v/>
      </c>
      <c r="R1192" s="7" t="n"/>
      <c r="X1192" s="7" t="n"/>
      <c r="Y1192" s="7">
        <f>IF($E1192="","",AB1192*AE1192/100)</f>
        <v/>
      </c>
      <c r="Z1192" s="7">
        <f>IF($E1192="","",AB1192-Y1192)</f>
        <v/>
      </c>
      <c r="AA1192" s="7">
        <f>IF($E1192="","",Z1192-Q1192)</f>
        <v/>
      </c>
      <c r="AB1192" s="7" t="n"/>
      <c r="AE1192">
        <f>IF($E1192="","",IF($AQ1192=1,0,IF($AP1192=1,Settings!$C$6,Settings!$C$7))*100)</f>
        <v/>
      </c>
      <c r="AI1192" s="7" t="n"/>
      <c r="AL1192" s="11" t="n"/>
      <c r="AN1192">
        <f>IF($E1192="","",IF(COUNTIF($E$2:$E1192,$E1192)=1,1,0))</f>
        <v/>
      </c>
      <c r="AO1192">
        <f>IF($AN1192=1,SUMPRODUCT(--($AR$2:$AR$3001&lt;$AR1192))+1,"")</f>
        <v/>
      </c>
      <c r="AP1192">
        <f>IF($E1192="","",IF(OR($U1192=TRUE(),$U1192="TRUE"),1,0))</f>
        <v/>
      </c>
      <c r="AQ1192">
        <f>IF($E1192="","",IF($AD1192="Yes",1,0))</f>
        <v/>
      </c>
      <c r="AR1192">
        <f>IF($AN1192=1,IFERROR(VALUE(MID($E1192,2,20)),1000000000)+ROW()/100000,"")</f>
        <v/>
      </c>
    </row>
    <row r="1193">
      <c r="G1193" s="11" t="n"/>
      <c r="Q1193" s="7">
        <f>IF($E1193="","",P1193*AB1193/100)</f>
        <v/>
      </c>
      <c r="R1193" s="7" t="n"/>
      <c r="X1193" s="7" t="n"/>
      <c r="Y1193" s="7">
        <f>IF($E1193="","",AB1193*AE1193/100)</f>
        <v/>
      </c>
      <c r="Z1193" s="7">
        <f>IF($E1193="","",AB1193-Y1193)</f>
        <v/>
      </c>
      <c r="AA1193" s="7">
        <f>IF($E1193="","",Z1193-Q1193)</f>
        <v/>
      </c>
      <c r="AB1193" s="7" t="n"/>
      <c r="AE1193">
        <f>IF($E1193="","",IF($AQ1193=1,0,IF($AP1193=1,Settings!$C$6,Settings!$C$7))*100)</f>
        <v/>
      </c>
      <c r="AI1193" s="7" t="n"/>
      <c r="AL1193" s="11" t="n"/>
      <c r="AN1193">
        <f>IF($E1193="","",IF(COUNTIF($E$2:$E1193,$E1193)=1,1,0))</f>
        <v/>
      </c>
      <c r="AO1193">
        <f>IF($AN1193=1,SUMPRODUCT(--($AR$2:$AR$3001&lt;$AR1193))+1,"")</f>
        <v/>
      </c>
      <c r="AP1193">
        <f>IF($E1193="","",IF(OR($U1193=TRUE(),$U1193="TRUE"),1,0))</f>
        <v/>
      </c>
      <c r="AQ1193">
        <f>IF($E1193="","",IF($AD1193="Yes",1,0))</f>
        <v/>
      </c>
      <c r="AR1193">
        <f>IF($AN1193=1,IFERROR(VALUE(MID($E1193,2,20)),1000000000)+ROW()/100000,"")</f>
        <v/>
      </c>
    </row>
    <row r="1194">
      <c r="G1194" s="11" t="n"/>
      <c r="Q1194" s="7">
        <f>IF($E1194="","",P1194*AB1194/100)</f>
        <v/>
      </c>
      <c r="R1194" s="7" t="n"/>
      <c r="X1194" s="7" t="n"/>
      <c r="Y1194" s="7">
        <f>IF($E1194="","",AB1194*AE1194/100)</f>
        <v/>
      </c>
      <c r="Z1194" s="7">
        <f>IF($E1194="","",AB1194-Y1194)</f>
        <v/>
      </c>
      <c r="AA1194" s="7">
        <f>IF($E1194="","",Z1194-Q1194)</f>
        <v/>
      </c>
      <c r="AB1194" s="7" t="n"/>
      <c r="AE1194">
        <f>IF($E1194="","",IF($AQ1194=1,0,IF($AP1194=1,Settings!$C$6,Settings!$C$7))*100)</f>
        <v/>
      </c>
      <c r="AI1194" s="7" t="n"/>
      <c r="AL1194" s="11" t="n"/>
      <c r="AN1194">
        <f>IF($E1194="","",IF(COUNTIF($E$2:$E1194,$E1194)=1,1,0))</f>
        <v/>
      </c>
      <c r="AO1194">
        <f>IF($AN1194=1,SUMPRODUCT(--($AR$2:$AR$3001&lt;$AR1194))+1,"")</f>
        <v/>
      </c>
      <c r="AP1194">
        <f>IF($E1194="","",IF(OR($U1194=TRUE(),$U1194="TRUE"),1,0))</f>
        <v/>
      </c>
      <c r="AQ1194">
        <f>IF($E1194="","",IF($AD1194="Yes",1,0))</f>
        <v/>
      </c>
      <c r="AR1194">
        <f>IF($AN1194=1,IFERROR(VALUE(MID($E1194,2,20)),1000000000)+ROW()/100000,"")</f>
        <v/>
      </c>
    </row>
    <row r="1195">
      <c r="G1195" s="11" t="n"/>
      <c r="Q1195" s="7">
        <f>IF($E1195="","",P1195*AB1195/100)</f>
        <v/>
      </c>
      <c r="R1195" s="7" t="n"/>
      <c r="X1195" s="7" t="n"/>
      <c r="Y1195" s="7">
        <f>IF($E1195="","",AB1195*AE1195/100)</f>
        <v/>
      </c>
      <c r="Z1195" s="7">
        <f>IF($E1195="","",AB1195-Y1195)</f>
        <v/>
      </c>
      <c r="AA1195" s="7">
        <f>IF($E1195="","",Z1195-Q1195)</f>
        <v/>
      </c>
      <c r="AB1195" s="7" t="n"/>
      <c r="AE1195">
        <f>IF($E1195="","",IF($AQ1195=1,0,IF($AP1195=1,Settings!$C$6,Settings!$C$7))*100)</f>
        <v/>
      </c>
      <c r="AI1195" s="7" t="n"/>
      <c r="AL1195" s="11" t="n"/>
      <c r="AN1195">
        <f>IF($E1195="","",IF(COUNTIF($E$2:$E1195,$E1195)=1,1,0))</f>
        <v/>
      </c>
      <c r="AO1195">
        <f>IF($AN1195=1,SUMPRODUCT(--($AR$2:$AR$3001&lt;$AR1195))+1,"")</f>
        <v/>
      </c>
      <c r="AP1195">
        <f>IF($E1195="","",IF(OR($U1195=TRUE(),$U1195="TRUE"),1,0))</f>
        <v/>
      </c>
      <c r="AQ1195">
        <f>IF($E1195="","",IF($AD1195="Yes",1,0))</f>
        <v/>
      </c>
      <c r="AR1195">
        <f>IF($AN1195=1,IFERROR(VALUE(MID($E1195,2,20)),1000000000)+ROW()/100000,"")</f>
        <v/>
      </c>
    </row>
    <row r="1196">
      <c r="G1196" s="11" t="n"/>
      <c r="Q1196" s="7">
        <f>IF($E1196="","",P1196*AB1196/100)</f>
        <v/>
      </c>
      <c r="R1196" s="7" t="n"/>
      <c r="X1196" s="7" t="n"/>
      <c r="Y1196" s="7">
        <f>IF($E1196="","",AB1196*AE1196/100)</f>
        <v/>
      </c>
      <c r="Z1196" s="7">
        <f>IF($E1196="","",AB1196-Y1196)</f>
        <v/>
      </c>
      <c r="AA1196" s="7">
        <f>IF($E1196="","",Z1196-Q1196)</f>
        <v/>
      </c>
      <c r="AB1196" s="7" t="n"/>
      <c r="AE1196">
        <f>IF($E1196="","",IF($AQ1196=1,0,IF($AP1196=1,Settings!$C$6,Settings!$C$7))*100)</f>
        <v/>
      </c>
      <c r="AI1196" s="7" t="n"/>
      <c r="AL1196" s="11" t="n"/>
      <c r="AN1196">
        <f>IF($E1196="","",IF(COUNTIF($E$2:$E1196,$E1196)=1,1,0))</f>
        <v/>
      </c>
      <c r="AO1196">
        <f>IF($AN1196=1,SUMPRODUCT(--($AR$2:$AR$3001&lt;$AR1196))+1,"")</f>
        <v/>
      </c>
      <c r="AP1196">
        <f>IF($E1196="","",IF(OR($U1196=TRUE(),$U1196="TRUE"),1,0))</f>
        <v/>
      </c>
      <c r="AQ1196">
        <f>IF($E1196="","",IF($AD1196="Yes",1,0))</f>
        <v/>
      </c>
      <c r="AR1196">
        <f>IF($AN1196=1,IFERROR(VALUE(MID($E1196,2,20)),1000000000)+ROW()/100000,"")</f>
        <v/>
      </c>
    </row>
    <row r="1197">
      <c r="G1197" s="11" t="n"/>
      <c r="Q1197" s="7">
        <f>IF($E1197="","",P1197*AB1197/100)</f>
        <v/>
      </c>
      <c r="R1197" s="7" t="n"/>
      <c r="X1197" s="7" t="n"/>
      <c r="Y1197" s="7">
        <f>IF($E1197="","",AB1197*AE1197/100)</f>
        <v/>
      </c>
      <c r="Z1197" s="7">
        <f>IF($E1197="","",AB1197-Y1197)</f>
        <v/>
      </c>
      <c r="AA1197" s="7">
        <f>IF($E1197="","",Z1197-Q1197)</f>
        <v/>
      </c>
      <c r="AB1197" s="7" t="n"/>
      <c r="AE1197">
        <f>IF($E1197="","",IF($AQ1197=1,0,IF($AP1197=1,Settings!$C$6,Settings!$C$7))*100)</f>
        <v/>
      </c>
      <c r="AI1197" s="7" t="n"/>
      <c r="AL1197" s="11" t="n"/>
      <c r="AN1197">
        <f>IF($E1197="","",IF(COUNTIF($E$2:$E1197,$E1197)=1,1,0))</f>
        <v/>
      </c>
      <c r="AO1197">
        <f>IF($AN1197=1,SUMPRODUCT(--($AR$2:$AR$3001&lt;$AR1197))+1,"")</f>
        <v/>
      </c>
      <c r="AP1197">
        <f>IF($E1197="","",IF(OR($U1197=TRUE(),$U1197="TRUE"),1,0))</f>
        <v/>
      </c>
      <c r="AQ1197">
        <f>IF($E1197="","",IF($AD1197="Yes",1,0))</f>
        <v/>
      </c>
      <c r="AR1197">
        <f>IF($AN1197=1,IFERROR(VALUE(MID($E1197,2,20)),1000000000)+ROW()/100000,"")</f>
        <v/>
      </c>
    </row>
    <row r="1198">
      <c r="G1198" s="11" t="n"/>
      <c r="Q1198" s="7">
        <f>IF($E1198="","",P1198*AB1198/100)</f>
        <v/>
      </c>
      <c r="R1198" s="7" t="n"/>
      <c r="X1198" s="7" t="n"/>
      <c r="Y1198" s="7">
        <f>IF($E1198="","",AB1198*AE1198/100)</f>
        <v/>
      </c>
      <c r="Z1198" s="7">
        <f>IF($E1198="","",AB1198-Y1198)</f>
        <v/>
      </c>
      <c r="AA1198" s="7">
        <f>IF($E1198="","",Z1198-Q1198)</f>
        <v/>
      </c>
      <c r="AB1198" s="7" t="n"/>
      <c r="AE1198">
        <f>IF($E1198="","",IF($AQ1198=1,0,IF($AP1198=1,Settings!$C$6,Settings!$C$7))*100)</f>
        <v/>
      </c>
      <c r="AI1198" s="7" t="n"/>
      <c r="AL1198" s="11" t="n"/>
      <c r="AN1198">
        <f>IF($E1198="","",IF(COUNTIF($E$2:$E1198,$E1198)=1,1,0))</f>
        <v/>
      </c>
      <c r="AO1198">
        <f>IF($AN1198=1,SUMPRODUCT(--($AR$2:$AR$3001&lt;$AR1198))+1,"")</f>
        <v/>
      </c>
      <c r="AP1198">
        <f>IF($E1198="","",IF(OR($U1198=TRUE(),$U1198="TRUE"),1,0))</f>
        <v/>
      </c>
      <c r="AQ1198">
        <f>IF($E1198="","",IF($AD1198="Yes",1,0))</f>
        <v/>
      </c>
      <c r="AR1198">
        <f>IF($AN1198=1,IFERROR(VALUE(MID($E1198,2,20)),1000000000)+ROW()/100000,"")</f>
        <v/>
      </c>
    </row>
    <row r="1199">
      <c r="G1199" s="11" t="n"/>
      <c r="Q1199" s="7">
        <f>IF($E1199="","",P1199*AB1199/100)</f>
        <v/>
      </c>
      <c r="R1199" s="7" t="n"/>
      <c r="X1199" s="7" t="n"/>
      <c r="Y1199" s="7">
        <f>IF($E1199="","",AB1199*AE1199/100)</f>
        <v/>
      </c>
      <c r="Z1199" s="7">
        <f>IF($E1199="","",AB1199-Y1199)</f>
        <v/>
      </c>
      <c r="AA1199" s="7">
        <f>IF($E1199="","",Z1199-Q1199)</f>
        <v/>
      </c>
      <c r="AB1199" s="7" t="n"/>
      <c r="AE1199">
        <f>IF($E1199="","",IF($AQ1199=1,0,IF($AP1199=1,Settings!$C$6,Settings!$C$7))*100)</f>
        <v/>
      </c>
      <c r="AI1199" s="7" t="n"/>
      <c r="AL1199" s="11" t="n"/>
      <c r="AN1199">
        <f>IF($E1199="","",IF(COUNTIF($E$2:$E1199,$E1199)=1,1,0))</f>
        <v/>
      </c>
      <c r="AO1199">
        <f>IF($AN1199=1,SUMPRODUCT(--($AR$2:$AR$3001&lt;$AR1199))+1,"")</f>
        <v/>
      </c>
      <c r="AP1199">
        <f>IF($E1199="","",IF(OR($U1199=TRUE(),$U1199="TRUE"),1,0))</f>
        <v/>
      </c>
      <c r="AQ1199">
        <f>IF($E1199="","",IF($AD1199="Yes",1,0))</f>
        <v/>
      </c>
      <c r="AR1199">
        <f>IF($AN1199=1,IFERROR(VALUE(MID($E1199,2,20)),1000000000)+ROW()/100000,"")</f>
        <v/>
      </c>
    </row>
    <row r="1200">
      <c r="G1200" s="11" t="n"/>
      <c r="Q1200" s="7">
        <f>IF($E1200="","",P1200*AB1200/100)</f>
        <v/>
      </c>
      <c r="R1200" s="7" t="n"/>
      <c r="X1200" s="7" t="n"/>
      <c r="Y1200" s="7">
        <f>IF($E1200="","",AB1200*AE1200/100)</f>
        <v/>
      </c>
      <c r="Z1200" s="7">
        <f>IF($E1200="","",AB1200-Y1200)</f>
        <v/>
      </c>
      <c r="AA1200" s="7">
        <f>IF($E1200="","",Z1200-Q1200)</f>
        <v/>
      </c>
      <c r="AB1200" s="7" t="n"/>
      <c r="AE1200">
        <f>IF($E1200="","",IF($AQ1200=1,0,IF($AP1200=1,Settings!$C$6,Settings!$C$7))*100)</f>
        <v/>
      </c>
      <c r="AI1200" s="7" t="n"/>
      <c r="AL1200" s="11" t="n"/>
      <c r="AN1200">
        <f>IF($E1200="","",IF(COUNTIF($E$2:$E1200,$E1200)=1,1,0))</f>
        <v/>
      </c>
      <c r="AO1200">
        <f>IF($AN1200=1,SUMPRODUCT(--($AR$2:$AR$3001&lt;$AR1200))+1,"")</f>
        <v/>
      </c>
      <c r="AP1200">
        <f>IF($E1200="","",IF(OR($U1200=TRUE(),$U1200="TRUE"),1,0))</f>
        <v/>
      </c>
      <c r="AQ1200">
        <f>IF($E1200="","",IF($AD1200="Yes",1,0))</f>
        <v/>
      </c>
      <c r="AR1200">
        <f>IF($AN1200=1,IFERROR(VALUE(MID($E1200,2,20)),1000000000)+ROW()/100000,"")</f>
        <v/>
      </c>
    </row>
    <row r="1201">
      <c r="G1201" s="11" t="n"/>
      <c r="Q1201" s="7">
        <f>IF($E1201="","",P1201*AB1201/100)</f>
        <v/>
      </c>
      <c r="R1201" s="7" t="n"/>
      <c r="X1201" s="7" t="n"/>
      <c r="Y1201" s="7">
        <f>IF($E1201="","",AB1201*AE1201/100)</f>
        <v/>
      </c>
      <c r="Z1201" s="7">
        <f>IF($E1201="","",AB1201-Y1201)</f>
        <v/>
      </c>
      <c r="AA1201" s="7">
        <f>IF($E1201="","",Z1201-Q1201)</f>
        <v/>
      </c>
      <c r="AB1201" s="7" t="n"/>
      <c r="AE1201">
        <f>IF($E1201="","",IF($AQ1201=1,0,IF($AP1201=1,Settings!$C$6,Settings!$C$7))*100)</f>
        <v/>
      </c>
      <c r="AI1201" s="7" t="n"/>
      <c r="AL1201" s="11" t="n"/>
      <c r="AN1201">
        <f>IF($E1201="","",IF(COUNTIF($E$2:$E1201,$E1201)=1,1,0))</f>
        <v/>
      </c>
      <c r="AO1201">
        <f>IF($AN1201=1,SUMPRODUCT(--($AR$2:$AR$3001&lt;$AR1201))+1,"")</f>
        <v/>
      </c>
      <c r="AP1201">
        <f>IF($E1201="","",IF(OR($U1201=TRUE(),$U1201="TRUE"),1,0))</f>
        <v/>
      </c>
      <c r="AQ1201">
        <f>IF($E1201="","",IF($AD1201="Yes",1,0))</f>
        <v/>
      </c>
      <c r="AR1201">
        <f>IF($AN1201=1,IFERROR(VALUE(MID($E1201,2,20)),1000000000)+ROW()/100000,"")</f>
        <v/>
      </c>
    </row>
    <row r="1202">
      <c r="G1202" s="11" t="n"/>
      <c r="Q1202" s="7">
        <f>IF($E1202="","",P1202*AB1202/100)</f>
        <v/>
      </c>
      <c r="R1202" s="7" t="n"/>
      <c r="X1202" s="7" t="n"/>
      <c r="Y1202" s="7">
        <f>IF($E1202="","",AB1202*AE1202/100)</f>
        <v/>
      </c>
      <c r="Z1202" s="7">
        <f>IF($E1202="","",AB1202-Y1202)</f>
        <v/>
      </c>
      <c r="AA1202" s="7">
        <f>IF($E1202="","",Z1202-Q1202)</f>
        <v/>
      </c>
      <c r="AB1202" s="7" t="n"/>
      <c r="AE1202">
        <f>IF($E1202="","",IF($AQ1202=1,0,IF($AP1202=1,Settings!$C$6,Settings!$C$7))*100)</f>
        <v/>
      </c>
      <c r="AI1202" s="7" t="n"/>
      <c r="AL1202" s="11" t="n"/>
      <c r="AN1202">
        <f>IF($E1202="","",IF(COUNTIF($E$2:$E1202,$E1202)=1,1,0))</f>
        <v/>
      </c>
      <c r="AO1202">
        <f>IF($AN1202=1,SUMPRODUCT(--($AR$2:$AR$3001&lt;$AR1202))+1,"")</f>
        <v/>
      </c>
      <c r="AP1202">
        <f>IF($E1202="","",IF(OR($U1202=TRUE(),$U1202="TRUE"),1,0))</f>
        <v/>
      </c>
      <c r="AQ1202">
        <f>IF($E1202="","",IF($AD1202="Yes",1,0))</f>
        <v/>
      </c>
      <c r="AR1202">
        <f>IF($AN1202=1,IFERROR(VALUE(MID($E1202,2,20)),1000000000)+ROW()/100000,"")</f>
        <v/>
      </c>
    </row>
    <row r="1203">
      <c r="G1203" s="11" t="n"/>
      <c r="Q1203" s="7">
        <f>IF($E1203="","",P1203*AB1203/100)</f>
        <v/>
      </c>
      <c r="R1203" s="7" t="n"/>
      <c r="X1203" s="7" t="n"/>
      <c r="Y1203" s="7">
        <f>IF($E1203="","",AB1203*AE1203/100)</f>
        <v/>
      </c>
      <c r="Z1203" s="7">
        <f>IF($E1203="","",AB1203-Y1203)</f>
        <v/>
      </c>
      <c r="AA1203" s="7">
        <f>IF($E1203="","",Z1203-Q1203)</f>
        <v/>
      </c>
      <c r="AB1203" s="7" t="n"/>
      <c r="AE1203">
        <f>IF($E1203="","",IF($AQ1203=1,0,IF($AP1203=1,Settings!$C$6,Settings!$C$7))*100)</f>
        <v/>
      </c>
      <c r="AI1203" s="7" t="n"/>
      <c r="AL1203" s="11" t="n"/>
      <c r="AN1203">
        <f>IF($E1203="","",IF(COUNTIF($E$2:$E1203,$E1203)=1,1,0))</f>
        <v/>
      </c>
      <c r="AO1203">
        <f>IF($AN1203=1,SUMPRODUCT(--($AR$2:$AR$3001&lt;$AR1203))+1,"")</f>
        <v/>
      </c>
      <c r="AP1203">
        <f>IF($E1203="","",IF(OR($U1203=TRUE(),$U1203="TRUE"),1,0))</f>
        <v/>
      </c>
      <c r="AQ1203">
        <f>IF($E1203="","",IF($AD1203="Yes",1,0))</f>
        <v/>
      </c>
      <c r="AR1203">
        <f>IF($AN1203=1,IFERROR(VALUE(MID($E1203,2,20)),1000000000)+ROW()/100000,"")</f>
        <v/>
      </c>
    </row>
    <row r="1204">
      <c r="G1204" s="11" t="n"/>
      <c r="Q1204" s="7">
        <f>IF($E1204="","",P1204*AB1204/100)</f>
        <v/>
      </c>
      <c r="R1204" s="7" t="n"/>
      <c r="X1204" s="7" t="n"/>
      <c r="Y1204" s="7">
        <f>IF($E1204="","",AB1204*AE1204/100)</f>
        <v/>
      </c>
      <c r="Z1204" s="7">
        <f>IF($E1204="","",AB1204-Y1204)</f>
        <v/>
      </c>
      <c r="AA1204" s="7">
        <f>IF($E1204="","",Z1204-Q1204)</f>
        <v/>
      </c>
      <c r="AB1204" s="7" t="n"/>
      <c r="AE1204">
        <f>IF($E1204="","",IF($AQ1204=1,0,IF($AP1204=1,Settings!$C$6,Settings!$C$7))*100)</f>
        <v/>
      </c>
      <c r="AI1204" s="7" t="n"/>
      <c r="AL1204" s="11" t="n"/>
      <c r="AN1204">
        <f>IF($E1204="","",IF(COUNTIF($E$2:$E1204,$E1204)=1,1,0))</f>
        <v/>
      </c>
      <c r="AO1204">
        <f>IF($AN1204=1,SUMPRODUCT(--($AR$2:$AR$3001&lt;$AR1204))+1,"")</f>
        <v/>
      </c>
      <c r="AP1204">
        <f>IF($E1204="","",IF(OR($U1204=TRUE(),$U1204="TRUE"),1,0))</f>
        <v/>
      </c>
      <c r="AQ1204">
        <f>IF($E1204="","",IF($AD1204="Yes",1,0))</f>
        <v/>
      </c>
      <c r="AR1204">
        <f>IF($AN1204=1,IFERROR(VALUE(MID($E1204,2,20)),1000000000)+ROW()/100000,"")</f>
        <v/>
      </c>
    </row>
    <row r="1205">
      <c r="G1205" s="11" t="n"/>
      <c r="Q1205" s="7">
        <f>IF($E1205="","",P1205*AB1205/100)</f>
        <v/>
      </c>
      <c r="R1205" s="7" t="n"/>
      <c r="X1205" s="7" t="n"/>
      <c r="Y1205" s="7">
        <f>IF($E1205="","",AB1205*AE1205/100)</f>
        <v/>
      </c>
      <c r="Z1205" s="7">
        <f>IF($E1205="","",AB1205-Y1205)</f>
        <v/>
      </c>
      <c r="AA1205" s="7">
        <f>IF($E1205="","",Z1205-Q1205)</f>
        <v/>
      </c>
      <c r="AB1205" s="7" t="n"/>
      <c r="AE1205">
        <f>IF($E1205="","",IF($AQ1205=1,0,IF($AP1205=1,Settings!$C$6,Settings!$C$7))*100)</f>
        <v/>
      </c>
      <c r="AI1205" s="7" t="n"/>
      <c r="AL1205" s="11" t="n"/>
      <c r="AN1205">
        <f>IF($E1205="","",IF(COUNTIF($E$2:$E1205,$E1205)=1,1,0))</f>
        <v/>
      </c>
      <c r="AO1205">
        <f>IF($AN1205=1,SUMPRODUCT(--($AR$2:$AR$3001&lt;$AR1205))+1,"")</f>
        <v/>
      </c>
      <c r="AP1205">
        <f>IF($E1205="","",IF(OR($U1205=TRUE(),$U1205="TRUE"),1,0))</f>
        <v/>
      </c>
      <c r="AQ1205">
        <f>IF($E1205="","",IF($AD1205="Yes",1,0))</f>
        <v/>
      </c>
      <c r="AR1205">
        <f>IF($AN1205=1,IFERROR(VALUE(MID($E1205,2,20)),1000000000)+ROW()/100000,"")</f>
        <v/>
      </c>
    </row>
    <row r="1206">
      <c r="G1206" s="11" t="n"/>
      <c r="Q1206" s="7">
        <f>IF($E1206="","",P1206*AB1206/100)</f>
        <v/>
      </c>
      <c r="R1206" s="7" t="n"/>
      <c r="X1206" s="7" t="n"/>
      <c r="Y1206" s="7">
        <f>IF($E1206="","",AB1206*AE1206/100)</f>
        <v/>
      </c>
      <c r="Z1206" s="7">
        <f>IF($E1206="","",AB1206-Y1206)</f>
        <v/>
      </c>
      <c r="AA1206" s="7">
        <f>IF($E1206="","",Z1206-Q1206)</f>
        <v/>
      </c>
      <c r="AB1206" s="7" t="n"/>
      <c r="AE1206">
        <f>IF($E1206="","",IF($AQ1206=1,0,IF($AP1206=1,Settings!$C$6,Settings!$C$7))*100)</f>
        <v/>
      </c>
      <c r="AI1206" s="7" t="n"/>
      <c r="AL1206" s="11" t="n"/>
      <c r="AN1206">
        <f>IF($E1206="","",IF(COUNTIF($E$2:$E1206,$E1206)=1,1,0))</f>
        <v/>
      </c>
      <c r="AO1206">
        <f>IF($AN1206=1,SUMPRODUCT(--($AR$2:$AR$3001&lt;$AR1206))+1,"")</f>
        <v/>
      </c>
      <c r="AP1206">
        <f>IF($E1206="","",IF(OR($U1206=TRUE(),$U1206="TRUE"),1,0))</f>
        <v/>
      </c>
      <c r="AQ1206">
        <f>IF($E1206="","",IF($AD1206="Yes",1,0))</f>
        <v/>
      </c>
      <c r="AR1206">
        <f>IF($AN1206=1,IFERROR(VALUE(MID($E1206,2,20)),1000000000)+ROW()/100000,"")</f>
        <v/>
      </c>
    </row>
    <row r="1207">
      <c r="G1207" s="11" t="n"/>
      <c r="Q1207" s="7">
        <f>IF($E1207="","",P1207*AB1207/100)</f>
        <v/>
      </c>
      <c r="R1207" s="7" t="n"/>
      <c r="X1207" s="7" t="n"/>
      <c r="Y1207" s="7">
        <f>IF($E1207="","",AB1207*AE1207/100)</f>
        <v/>
      </c>
      <c r="Z1207" s="7">
        <f>IF($E1207="","",AB1207-Y1207)</f>
        <v/>
      </c>
      <c r="AA1207" s="7">
        <f>IF($E1207="","",Z1207-Q1207)</f>
        <v/>
      </c>
      <c r="AB1207" s="7" t="n"/>
      <c r="AE1207">
        <f>IF($E1207="","",IF($AQ1207=1,0,IF($AP1207=1,Settings!$C$6,Settings!$C$7))*100)</f>
        <v/>
      </c>
      <c r="AI1207" s="7" t="n"/>
      <c r="AL1207" s="11" t="n"/>
      <c r="AN1207">
        <f>IF($E1207="","",IF(COUNTIF($E$2:$E1207,$E1207)=1,1,0))</f>
        <v/>
      </c>
      <c r="AO1207">
        <f>IF($AN1207=1,SUMPRODUCT(--($AR$2:$AR$3001&lt;$AR1207))+1,"")</f>
        <v/>
      </c>
      <c r="AP1207">
        <f>IF($E1207="","",IF(OR($U1207=TRUE(),$U1207="TRUE"),1,0))</f>
        <v/>
      </c>
      <c r="AQ1207">
        <f>IF($E1207="","",IF($AD1207="Yes",1,0))</f>
        <v/>
      </c>
      <c r="AR1207">
        <f>IF($AN1207=1,IFERROR(VALUE(MID($E1207,2,20)),1000000000)+ROW()/100000,"")</f>
        <v/>
      </c>
    </row>
    <row r="1208">
      <c r="G1208" s="11" t="n"/>
      <c r="Q1208" s="7">
        <f>IF($E1208="","",P1208*AB1208/100)</f>
        <v/>
      </c>
      <c r="R1208" s="7" t="n"/>
      <c r="X1208" s="7" t="n"/>
      <c r="Y1208" s="7">
        <f>IF($E1208="","",AB1208*AE1208/100)</f>
        <v/>
      </c>
      <c r="Z1208" s="7">
        <f>IF($E1208="","",AB1208-Y1208)</f>
        <v/>
      </c>
      <c r="AA1208" s="7">
        <f>IF($E1208="","",Z1208-Q1208)</f>
        <v/>
      </c>
      <c r="AB1208" s="7" t="n"/>
      <c r="AE1208">
        <f>IF($E1208="","",IF($AQ1208=1,0,IF($AP1208=1,Settings!$C$6,Settings!$C$7))*100)</f>
        <v/>
      </c>
      <c r="AI1208" s="7" t="n"/>
      <c r="AL1208" s="11" t="n"/>
      <c r="AN1208">
        <f>IF($E1208="","",IF(COUNTIF($E$2:$E1208,$E1208)=1,1,0))</f>
        <v/>
      </c>
      <c r="AO1208">
        <f>IF($AN1208=1,SUMPRODUCT(--($AR$2:$AR$3001&lt;$AR1208))+1,"")</f>
        <v/>
      </c>
      <c r="AP1208">
        <f>IF($E1208="","",IF(OR($U1208=TRUE(),$U1208="TRUE"),1,0))</f>
        <v/>
      </c>
      <c r="AQ1208">
        <f>IF($E1208="","",IF($AD1208="Yes",1,0))</f>
        <v/>
      </c>
      <c r="AR1208">
        <f>IF($AN1208=1,IFERROR(VALUE(MID($E1208,2,20)),1000000000)+ROW()/100000,"")</f>
        <v/>
      </c>
    </row>
    <row r="1209">
      <c r="G1209" s="11" t="n"/>
      <c r="Q1209" s="7">
        <f>IF($E1209="","",P1209*AB1209/100)</f>
        <v/>
      </c>
      <c r="R1209" s="7" t="n"/>
      <c r="X1209" s="7" t="n"/>
      <c r="Y1209" s="7">
        <f>IF($E1209="","",AB1209*AE1209/100)</f>
        <v/>
      </c>
      <c r="Z1209" s="7">
        <f>IF($E1209="","",AB1209-Y1209)</f>
        <v/>
      </c>
      <c r="AA1209" s="7">
        <f>IF($E1209="","",Z1209-Q1209)</f>
        <v/>
      </c>
      <c r="AB1209" s="7" t="n"/>
      <c r="AE1209">
        <f>IF($E1209="","",IF($AQ1209=1,0,IF($AP1209=1,Settings!$C$6,Settings!$C$7))*100)</f>
        <v/>
      </c>
      <c r="AI1209" s="7" t="n"/>
      <c r="AL1209" s="11" t="n"/>
      <c r="AN1209">
        <f>IF($E1209="","",IF(COUNTIF($E$2:$E1209,$E1209)=1,1,0))</f>
        <v/>
      </c>
      <c r="AO1209">
        <f>IF($AN1209=1,SUMPRODUCT(--($AR$2:$AR$3001&lt;$AR1209))+1,"")</f>
        <v/>
      </c>
      <c r="AP1209">
        <f>IF($E1209="","",IF(OR($U1209=TRUE(),$U1209="TRUE"),1,0))</f>
        <v/>
      </c>
      <c r="AQ1209">
        <f>IF($E1209="","",IF($AD1209="Yes",1,0))</f>
        <v/>
      </c>
      <c r="AR1209">
        <f>IF($AN1209=1,IFERROR(VALUE(MID($E1209,2,20)),1000000000)+ROW()/100000,"")</f>
        <v/>
      </c>
    </row>
    <row r="1210">
      <c r="G1210" s="11" t="n"/>
      <c r="Q1210" s="7">
        <f>IF($E1210="","",P1210*AB1210/100)</f>
        <v/>
      </c>
      <c r="R1210" s="7" t="n"/>
      <c r="X1210" s="7" t="n"/>
      <c r="Y1210" s="7">
        <f>IF($E1210="","",AB1210*AE1210/100)</f>
        <v/>
      </c>
      <c r="Z1210" s="7">
        <f>IF($E1210="","",AB1210-Y1210)</f>
        <v/>
      </c>
      <c r="AA1210" s="7">
        <f>IF($E1210="","",Z1210-Q1210)</f>
        <v/>
      </c>
      <c r="AB1210" s="7" t="n"/>
      <c r="AE1210">
        <f>IF($E1210="","",IF($AQ1210=1,0,IF($AP1210=1,Settings!$C$6,Settings!$C$7))*100)</f>
        <v/>
      </c>
      <c r="AI1210" s="7" t="n"/>
      <c r="AL1210" s="11" t="n"/>
      <c r="AN1210">
        <f>IF($E1210="","",IF(COUNTIF($E$2:$E1210,$E1210)=1,1,0))</f>
        <v/>
      </c>
      <c r="AO1210">
        <f>IF($AN1210=1,SUMPRODUCT(--($AR$2:$AR$3001&lt;$AR1210))+1,"")</f>
        <v/>
      </c>
      <c r="AP1210">
        <f>IF($E1210="","",IF(OR($U1210=TRUE(),$U1210="TRUE"),1,0))</f>
        <v/>
      </c>
      <c r="AQ1210">
        <f>IF($E1210="","",IF($AD1210="Yes",1,0))</f>
        <v/>
      </c>
      <c r="AR1210">
        <f>IF($AN1210=1,IFERROR(VALUE(MID($E1210,2,20)),1000000000)+ROW()/100000,"")</f>
        <v/>
      </c>
    </row>
    <row r="1211">
      <c r="G1211" s="11" t="n"/>
      <c r="Q1211" s="7">
        <f>IF($E1211="","",P1211*AB1211/100)</f>
        <v/>
      </c>
      <c r="R1211" s="7" t="n"/>
      <c r="X1211" s="7" t="n"/>
      <c r="Y1211" s="7">
        <f>IF($E1211="","",AB1211*AE1211/100)</f>
        <v/>
      </c>
      <c r="Z1211" s="7">
        <f>IF($E1211="","",AB1211-Y1211)</f>
        <v/>
      </c>
      <c r="AA1211" s="7">
        <f>IF($E1211="","",Z1211-Q1211)</f>
        <v/>
      </c>
      <c r="AB1211" s="7" t="n"/>
      <c r="AE1211">
        <f>IF($E1211="","",IF($AQ1211=1,0,IF($AP1211=1,Settings!$C$6,Settings!$C$7))*100)</f>
        <v/>
      </c>
      <c r="AI1211" s="7" t="n"/>
      <c r="AL1211" s="11" t="n"/>
      <c r="AN1211">
        <f>IF($E1211="","",IF(COUNTIF($E$2:$E1211,$E1211)=1,1,0))</f>
        <v/>
      </c>
      <c r="AO1211">
        <f>IF($AN1211=1,SUMPRODUCT(--($AR$2:$AR$3001&lt;$AR1211))+1,"")</f>
        <v/>
      </c>
      <c r="AP1211">
        <f>IF($E1211="","",IF(OR($U1211=TRUE(),$U1211="TRUE"),1,0))</f>
        <v/>
      </c>
      <c r="AQ1211">
        <f>IF($E1211="","",IF($AD1211="Yes",1,0))</f>
        <v/>
      </c>
      <c r="AR1211">
        <f>IF($AN1211=1,IFERROR(VALUE(MID($E1211,2,20)),1000000000)+ROW()/100000,"")</f>
        <v/>
      </c>
    </row>
    <row r="1212">
      <c r="G1212" s="11" t="n"/>
      <c r="Q1212" s="7">
        <f>IF($E1212="","",P1212*AB1212/100)</f>
        <v/>
      </c>
      <c r="R1212" s="7" t="n"/>
      <c r="X1212" s="7" t="n"/>
      <c r="Y1212" s="7">
        <f>IF($E1212="","",AB1212*AE1212/100)</f>
        <v/>
      </c>
      <c r="Z1212" s="7">
        <f>IF($E1212="","",AB1212-Y1212)</f>
        <v/>
      </c>
      <c r="AA1212" s="7">
        <f>IF($E1212="","",Z1212-Q1212)</f>
        <v/>
      </c>
      <c r="AB1212" s="7" t="n"/>
      <c r="AE1212">
        <f>IF($E1212="","",IF($AQ1212=1,0,IF($AP1212=1,Settings!$C$6,Settings!$C$7))*100)</f>
        <v/>
      </c>
      <c r="AI1212" s="7" t="n"/>
      <c r="AL1212" s="11" t="n"/>
      <c r="AN1212">
        <f>IF($E1212="","",IF(COUNTIF($E$2:$E1212,$E1212)=1,1,0))</f>
        <v/>
      </c>
      <c r="AO1212">
        <f>IF($AN1212=1,SUMPRODUCT(--($AR$2:$AR$3001&lt;$AR1212))+1,"")</f>
        <v/>
      </c>
      <c r="AP1212">
        <f>IF($E1212="","",IF(OR($U1212=TRUE(),$U1212="TRUE"),1,0))</f>
        <v/>
      </c>
      <c r="AQ1212">
        <f>IF($E1212="","",IF($AD1212="Yes",1,0))</f>
        <v/>
      </c>
      <c r="AR1212">
        <f>IF($AN1212=1,IFERROR(VALUE(MID($E1212,2,20)),1000000000)+ROW()/100000,"")</f>
        <v/>
      </c>
    </row>
    <row r="1213">
      <c r="G1213" s="11" t="n"/>
      <c r="Q1213" s="7">
        <f>IF($E1213="","",P1213*AB1213/100)</f>
        <v/>
      </c>
      <c r="R1213" s="7" t="n"/>
      <c r="X1213" s="7" t="n"/>
      <c r="Y1213" s="7">
        <f>IF($E1213="","",AB1213*AE1213/100)</f>
        <v/>
      </c>
      <c r="Z1213" s="7">
        <f>IF($E1213="","",AB1213-Y1213)</f>
        <v/>
      </c>
      <c r="AA1213" s="7">
        <f>IF($E1213="","",Z1213-Q1213)</f>
        <v/>
      </c>
      <c r="AB1213" s="7" t="n"/>
      <c r="AE1213">
        <f>IF($E1213="","",IF($AQ1213=1,0,IF($AP1213=1,Settings!$C$6,Settings!$C$7))*100)</f>
        <v/>
      </c>
      <c r="AI1213" s="7" t="n"/>
      <c r="AL1213" s="11" t="n"/>
      <c r="AN1213">
        <f>IF($E1213="","",IF(COUNTIF($E$2:$E1213,$E1213)=1,1,0))</f>
        <v/>
      </c>
      <c r="AO1213">
        <f>IF($AN1213=1,SUMPRODUCT(--($AR$2:$AR$3001&lt;$AR1213))+1,"")</f>
        <v/>
      </c>
      <c r="AP1213">
        <f>IF($E1213="","",IF(OR($U1213=TRUE(),$U1213="TRUE"),1,0))</f>
        <v/>
      </c>
      <c r="AQ1213">
        <f>IF($E1213="","",IF($AD1213="Yes",1,0))</f>
        <v/>
      </c>
      <c r="AR1213">
        <f>IF($AN1213=1,IFERROR(VALUE(MID($E1213,2,20)),1000000000)+ROW()/100000,"")</f>
        <v/>
      </c>
    </row>
    <row r="1214">
      <c r="G1214" s="11" t="n"/>
      <c r="Q1214" s="7">
        <f>IF($E1214="","",P1214*AB1214/100)</f>
        <v/>
      </c>
      <c r="R1214" s="7" t="n"/>
      <c r="X1214" s="7" t="n"/>
      <c r="Y1214" s="7">
        <f>IF($E1214="","",AB1214*AE1214/100)</f>
        <v/>
      </c>
      <c r="Z1214" s="7">
        <f>IF($E1214="","",AB1214-Y1214)</f>
        <v/>
      </c>
      <c r="AA1214" s="7">
        <f>IF($E1214="","",Z1214-Q1214)</f>
        <v/>
      </c>
      <c r="AB1214" s="7" t="n"/>
      <c r="AE1214">
        <f>IF($E1214="","",IF($AQ1214=1,0,IF($AP1214=1,Settings!$C$6,Settings!$C$7))*100)</f>
        <v/>
      </c>
      <c r="AI1214" s="7" t="n"/>
      <c r="AL1214" s="11" t="n"/>
      <c r="AN1214">
        <f>IF($E1214="","",IF(COUNTIF($E$2:$E1214,$E1214)=1,1,0))</f>
        <v/>
      </c>
      <c r="AO1214">
        <f>IF($AN1214=1,SUMPRODUCT(--($AR$2:$AR$3001&lt;$AR1214))+1,"")</f>
        <v/>
      </c>
      <c r="AP1214">
        <f>IF($E1214="","",IF(OR($U1214=TRUE(),$U1214="TRUE"),1,0))</f>
        <v/>
      </c>
      <c r="AQ1214">
        <f>IF($E1214="","",IF($AD1214="Yes",1,0))</f>
        <v/>
      </c>
      <c r="AR1214">
        <f>IF($AN1214=1,IFERROR(VALUE(MID($E1214,2,20)),1000000000)+ROW()/100000,"")</f>
        <v/>
      </c>
    </row>
    <row r="1215">
      <c r="G1215" s="11" t="n"/>
      <c r="Q1215" s="7">
        <f>IF($E1215="","",P1215*AB1215/100)</f>
        <v/>
      </c>
      <c r="R1215" s="7" t="n"/>
      <c r="X1215" s="7" t="n"/>
      <c r="Y1215" s="7">
        <f>IF($E1215="","",AB1215*AE1215/100)</f>
        <v/>
      </c>
      <c r="Z1215" s="7">
        <f>IF($E1215="","",AB1215-Y1215)</f>
        <v/>
      </c>
      <c r="AA1215" s="7">
        <f>IF($E1215="","",Z1215-Q1215)</f>
        <v/>
      </c>
      <c r="AB1215" s="7" t="n"/>
      <c r="AE1215">
        <f>IF($E1215="","",IF($AQ1215=1,0,IF($AP1215=1,Settings!$C$6,Settings!$C$7))*100)</f>
        <v/>
      </c>
      <c r="AI1215" s="7" t="n"/>
      <c r="AL1215" s="11" t="n"/>
      <c r="AN1215">
        <f>IF($E1215="","",IF(COUNTIF($E$2:$E1215,$E1215)=1,1,0))</f>
        <v/>
      </c>
      <c r="AO1215">
        <f>IF($AN1215=1,SUMPRODUCT(--($AR$2:$AR$3001&lt;$AR1215))+1,"")</f>
        <v/>
      </c>
      <c r="AP1215">
        <f>IF($E1215="","",IF(OR($U1215=TRUE(),$U1215="TRUE"),1,0))</f>
        <v/>
      </c>
      <c r="AQ1215">
        <f>IF($E1215="","",IF($AD1215="Yes",1,0))</f>
        <v/>
      </c>
      <c r="AR1215">
        <f>IF($AN1215=1,IFERROR(VALUE(MID($E1215,2,20)),1000000000)+ROW()/100000,"")</f>
        <v/>
      </c>
    </row>
    <row r="1216">
      <c r="G1216" s="11" t="n"/>
      <c r="Q1216" s="7">
        <f>IF($E1216="","",P1216*AB1216/100)</f>
        <v/>
      </c>
      <c r="R1216" s="7" t="n"/>
      <c r="X1216" s="7" t="n"/>
      <c r="Y1216" s="7">
        <f>IF($E1216="","",AB1216*AE1216/100)</f>
        <v/>
      </c>
      <c r="Z1216" s="7">
        <f>IF($E1216="","",AB1216-Y1216)</f>
        <v/>
      </c>
      <c r="AA1216" s="7">
        <f>IF($E1216="","",Z1216-Q1216)</f>
        <v/>
      </c>
      <c r="AB1216" s="7" t="n"/>
      <c r="AE1216">
        <f>IF($E1216="","",IF($AQ1216=1,0,IF($AP1216=1,Settings!$C$6,Settings!$C$7))*100)</f>
        <v/>
      </c>
      <c r="AI1216" s="7" t="n"/>
      <c r="AL1216" s="11" t="n"/>
      <c r="AN1216">
        <f>IF($E1216="","",IF(COUNTIF($E$2:$E1216,$E1216)=1,1,0))</f>
        <v/>
      </c>
      <c r="AO1216">
        <f>IF($AN1216=1,SUMPRODUCT(--($AR$2:$AR$3001&lt;$AR1216))+1,"")</f>
        <v/>
      </c>
      <c r="AP1216">
        <f>IF($E1216="","",IF(OR($U1216=TRUE(),$U1216="TRUE"),1,0))</f>
        <v/>
      </c>
      <c r="AQ1216">
        <f>IF($E1216="","",IF($AD1216="Yes",1,0))</f>
        <v/>
      </c>
      <c r="AR1216">
        <f>IF($AN1216=1,IFERROR(VALUE(MID($E1216,2,20)),1000000000)+ROW()/100000,"")</f>
        <v/>
      </c>
    </row>
    <row r="1217">
      <c r="G1217" s="11" t="n"/>
      <c r="Q1217" s="7">
        <f>IF($E1217="","",P1217*AB1217/100)</f>
        <v/>
      </c>
      <c r="R1217" s="7" t="n"/>
      <c r="X1217" s="7" t="n"/>
      <c r="Y1217" s="7">
        <f>IF($E1217="","",AB1217*AE1217/100)</f>
        <v/>
      </c>
      <c r="Z1217" s="7">
        <f>IF($E1217="","",AB1217-Y1217)</f>
        <v/>
      </c>
      <c r="AA1217" s="7">
        <f>IF($E1217="","",Z1217-Q1217)</f>
        <v/>
      </c>
      <c r="AB1217" s="7" t="n"/>
      <c r="AE1217">
        <f>IF($E1217="","",IF($AQ1217=1,0,IF($AP1217=1,Settings!$C$6,Settings!$C$7))*100)</f>
        <v/>
      </c>
      <c r="AI1217" s="7" t="n"/>
      <c r="AL1217" s="11" t="n"/>
      <c r="AN1217">
        <f>IF($E1217="","",IF(COUNTIF($E$2:$E1217,$E1217)=1,1,0))</f>
        <v/>
      </c>
      <c r="AO1217">
        <f>IF($AN1217=1,SUMPRODUCT(--($AR$2:$AR$3001&lt;$AR1217))+1,"")</f>
        <v/>
      </c>
      <c r="AP1217">
        <f>IF($E1217="","",IF(OR($U1217=TRUE(),$U1217="TRUE"),1,0))</f>
        <v/>
      </c>
      <c r="AQ1217">
        <f>IF($E1217="","",IF($AD1217="Yes",1,0))</f>
        <v/>
      </c>
      <c r="AR1217">
        <f>IF($AN1217=1,IFERROR(VALUE(MID($E1217,2,20)),1000000000)+ROW()/100000,"")</f>
        <v/>
      </c>
    </row>
    <row r="1218">
      <c r="G1218" s="11" t="n"/>
      <c r="Q1218" s="7">
        <f>IF($E1218="","",P1218*AB1218/100)</f>
        <v/>
      </c>
      <c r="R1218" s="7" t="n"/>
      <c r="X1218" s="7" t="n"/>
      <c r="Y1218" s="7">
        <f>IF($E1218="","",AB1218*AE1218/100)</f>
        <v/>
      </c>
      <c r="Z1218" s="7">
        <f>IF($E1218="","",AB1218-Y1218)</f>
        <v/>
      </c>
      <c r="AA1218" s="7">
        <f>IF($E1218="","",Z1218-Q1218)</f>
        <v/>
      </c>
      <c r="AB1218" s="7" t="n"/>
      <c r="AE1218">
        <f>IF($E1218="","",IF($AQ1218=1,0,IF($AP1218=1,Settings!$C$6,Settings!$C$7))*100)</f>
        <v/>
      </c>
      <c r="AI1218" s="7" t="n"/>
      <c r="AL1218" s="11" t="n"/>
      <c r="AN1218">
        <f>IF($E1218="","",IF(COUNTIF($E$2:$E1218,$E1218)=1,1,0))</f>
        <v/>
      </c>
      <c r="AO1218">
        <f>IF($AN1218=1,SUMPRODUCT(--($AR$2:$AR$3001&lt;$AR1218))+1,"")</f>
        <v/>
      </c>
      <c r="AP1218">
        <f>IF($E1218="","",IF(OR($U1218=TRUE(),$U1218="TRUE"),1,0))</f>
        <v/>
      </c>
      <c r="AQ1218">
        <f>IF($E1218="","",IF($AD1218="Yes",1,0))</f>
        <v/>
      </c>
      <c r="AR1218">
        <f>IF($AN1218=1,IFERROR(VALUE(MID($E1218,2,20)),1000000000)+ROW()/100000,"")</f>
        <v/>
      </c>
    </row>
    <row r="1219">
      <c r="G1219" s="11" t="n"/>
      <c r="Q1219" s="7">
        <f>IF($E1219="","",P1219*AB1219/100)</f>
        <v/>
      </c>
      <c r="R1219" s="7" t="n"/>
      <c r="X1219" s="7" t="n"/>
      <c r="Y1219" s="7">
        <f>IF($E1219="","",AB1219*AE1219/100)</f>
        <v/>
      </c>
      <c r="Z1219" s="7">
        <f>IF($E1219="","",AB1219-Y1219)</f>
        <v/>
      </c>
      <c r="AA1219" s="7">
        <f>IF($E1219="","",Z1219-Q1219)</f>
        <v/>
      </c>
      <c r="AB1219" s="7" t="n"/>
      <c r="AE1219">
        <f>IF($E1219="","",IF($AQ1219=1,0,IF($AP1219=1,Settings!$C$6,Settings!$C$7))*100)</f>
        <v/>
      </c>
      <c r="AI1219" s="7" t="n"/>
      <c r="AL1219" s="11" t="n"/>
      <c r="AN1219">
        <f>IF($E1219="","",IF(COUNTIF($E$2:$E1219,$E1219)=1,1,0))</f>
        <v/>
      </c>
      <c r="AO1219">
        <f>IF($AN1219=1,SUMPRODUCT(--($AR$2:$AR$3001&lt;$AR1219))+1,"")</f>
        <v/>
      </c>
      <c r="AP1219">
        <f>IF($E1219="","",IF(OR($U1219=TRUE(),$U1219="TRUE"),1,0))</f>
        <v/>
      </c>
      <c r="AQ1219">
        <f>IF($E1219="","",IF($AD1219="Yes",1,0))</f>
        <v/>
      </c>
      <c r="AR1219">
        <f>IF($AN1219=1,IFERROR(VALUE(MID($E1219,2,20)),1000000000)+ROW()/100000,"")</f>
        <v/>
      </c>
    </row>
    <row r="1220">
      <c r="G1220" s="11" t="n"/>
      <c r="Q1220" s="7">
        <f>IF($E1220="","",P1220*AB1220/100)</f>
        <v/>
      </c>
      <c r="R1220" s="7" t="n"/>
      <c r="X1220" s="7" t="n"/>
      <c r="Y1220" s="7">
        <f>IF($E1220="","",AB1220*AE1220/100)</f>
        <v/>
      </c>
      <c r="Z1220" s="7">
        <f>IF($E1220="","",AB1220-Y1220)</f>
        <v/>
      </c>
      <c r="AA1220" s="7">
        <f>IF($E1220="","",Z1220-Q1220)</f>
        <v/>
      </c>
      <c r="AB1220" s="7" t="n"/>
      <c r="AE1220">
        <f>IF($E1220="","",IF($AQ1220=1,0,IF($AP1220=1,Settings!$C$6,Settings!$C$7))*100)</f>
        <v/>
      </c>
      <c r="AI1220" s="7" t="n"/>
      <c r="AL1220" s="11" t="n"/>
      <c r="AN1220">
        <f>IF($E1220="","",IF(COUNTIF($E$2:$E1220,$E1220)=1,1,0))</f>
        <v/>
      </c>
      <c r="AO1220">
        <f>IF($AN1220=1,SUMPRODUCT(--($AR$2:$AR$3001&lt;$AR1220))+1,"")</f>
        <v/>
      </c>
      <c r="AP1220">
        <f>IF($E1220="","",IF(OR($U1220=TRUE(),$U1220="TRUE"),1,0))</f>
        <v/>
      </c>
      <c r="AQ1220">
        <f>IF($E1220="","",IF($AD1220="Yes",1,0))</f>
        <v/>
      </c>
      <c r="AR1220">
        <f>IF($AN1220=1,IFERROR(VALUE(MID($E1220,2,20)),1000000000)+ROW()/100000,"")</f>
        <v/>
      </c>
    </row>
    <row r="1221">
      <c r="G1221" s="11" t="n"/>
      <c r="Q1221" s="7">
        <f>IF($E1221="","",P1221*AB1221/100)</f>
        <v/>
      </c>
      <c r="R1221" s="7" t="n"/>
      <c r="X1221" s="7" t="n"/>
      <c r="Y1221" s="7">
        <f>IF($E1221="","",AB1221*AE1221/100)</f>
        <v/>
      </c>
      <c r="Z1221" s="7">
        <f>IF($E1221="","",AB1221-Y1221)</f>
        <v/>
      </c>
      <c r="AA1221" s="7">
        <f>IF($E1221="","",Z1221-Q1221)</f>
        <v/>
      </c>
      <c r="AB1221" s="7" t="n"/>
      <c r="AE1221">
        <f>IF($E1221="","",IF($AQ1221=1,0,IF($AP1221=1,Settings!$C$6,Settings!$C$7))*100)</f>
        <v/>
      </c>
      <c r="AI1221" s="7" t="n"/>
      <c r="AL1221" s="11" t="n"/>
      <c r="AN1221">
        <f>IF($E1221="","",IF(COUNTIF($E$2:$E1221,$E1221)=1,1,0))</f>
        <v/>
      </c>
      <c r="AO1221">
        <f>IF($AN1221=1,SUMPRODUCT(--($AR$2:$AR$3001&lt;$AR1221))+1,"")</f>
        <v/>
      </c>
      <c r="AP1221">
        <f>IF($E1221="","",IF(OR($U1221=TRUE(),$U1221="TRUE"),1,0))</f>
        <v/>
      </c>
      <c r="AQ1221">
        <f>IF($E1221="","",IF($AD1221="Yes",1,0))</f>
        <v/>
      </c>
      <c r="AR1221">
        <f>IF($AN1221=1,IFERROR(VALUE(MID($E1221,2,20)),1000000000)+ROW()/100000,"")</f>
        <v/>
      </c>
    </row>
    <row r="1222">
      <c r="G1222" s="11" t="n"/>
      <c r="Q1222" s="7">
        <f>IF($E1222="","",P1222*AB1222/100)</f>
        <v/>
      </c>
      <c r="R1222" s="7" t="n"/>
      <c r="X1222" s="7" t="n"/>
      <c r="Y1222" s="7">
        <f>IF($E1222="","",AB1222*AE1222/100)</f>
        <v/>
      </c>
      <c r="Z1222" s="7">
        <f>IF($E1222="","",AB1222-Y1222)</f>
        <v/>
      </c>
      <c r="AA1222" s="7">
        <f>IF($E1222="","",Z1222-Q1222)</f>
        <v/>
      </c>
      <c r="AB1222" s="7" t="n"/>
      <c r="AE1222">
        <f>IF($E1222="","",IF($AQ1222=1,0,IF($AP1222=1,Settings!$C$6,Settings!$C$7))*100)</f>
        <v/>
      </c>
      <c r="AI1222" s="7" t="n"/>
      <c r="AL1222" s="11" t="n"/>
      <c r="AN1222">
        <f>IF($E1222="","",IF(COUNTIF($E$2:$E1222,$E1222)=1,1,0))</f>
        <v/>
      </c>
      <c r="AO1222">
        <f>IF($AN1222=1,SUMPRODUCT(--($AR$2:$AR$3001&lt;$AR1222))+1,"")</f>
        <v/>
      </c>
      <c r="AP1222">
        <f>IF($E1222="","",IF(OR($U1222=TRUE(),$U1222="TRUE"),1,0))</f>
        <v/>
      </c>
      <c r="AQ1222">
        <f>IF($E1222="","",IF($AD1222="Yes",1,0))</f>
        <v/>
      </c>
      <c r="AR1222">
        <f>IF($AN1222=1,IFERROR(VALUE(MID($E1222,2,20)),1000000000)+ROW()/100000,"")</f>
        <v/>
      </c>
    </row>
    <row r="1223">
      <c r="G1223" s="11" t="n"/>
      <c r="Q1223" s="7">
        <f>IF($E1223="","",P1223*AB1223/100)</f>
        <v/>
      </c>
      <c r="R1223" s="7" t="n"/>
      <c r="X1223" s="7" t="n"/>
      <c r="Y1223" s="7">
        <f>IF($E1223="","",AB1223*AE1223/100)</f>
        <v/>
      </c>
      <c r="Z1223" s="7">
        <f>IF($E1223="","",AB1223-Y1223)</f>
        <v/>
      </c>
      <c r="AA1223" s="7">
        <f>IF($E1223="","",Z1223-Q1223)</f>
        <v/>
      </c>
      <c r="AB1223" s="7" t="n"/>
      <c r="AE1223">
        <f>IF($E1223="","",IF($AQ1223=1,0,IF($AP1223=1,Settings!$C$6,Settings!$C$7))*100)</f>
        <v/>
      </c>
      <c r="AI1223" s="7" t="n"/>
      <c r="AL1223" s="11" t="n"/>
      <c r="AN1223">
        <f>IF($E1223="","",IF(COUNTIF($E$2:$E1223,$E1223)=1,1,0))</f>
        <v/>
      </c>
      <c r="AO1223">
        <f>IF($AN1223=1,SUMPRODUCT(--($AR$2:$AR$3001&lt;$AR1223))+1,"")</f>
        <v/>
      </c>
      <c r="AP1223">
        <f>IF($E1223="","",IF(OR($U1223=TRUE(),$U1223="TRUE"),1,0))</f>
        <v/>
      </c>
      <c r="AQ1223">
        <f>IF($E1223="","",IF($AD1223="Yes",1,0))</f>
        <v/>
      </c>
      <c r="AR1223">
        <f>IF($AN1223=1,IFERROR(VALUE(MID($E1223,2,20)),1000000000)+ROW()/100000,"")</f>
        <v/>
      </c>
    </row>
    <row r="1224">
      <c r="G1224" s="11" t="n"/>
      <c r="Q1224" s="7">
        <f>IF($E1224="","",P1224*AB1224/100)</f>
        <v/>
      </c>
      <c r="R1224" s="7" t="n"/>
      <c r="X1224" s="7" t="n"/>
      <c r="Y1224" s="7">
        <f>IF($E1224="","",AB1224*AE1224/100)</f>
        <v/>
      </c>
      <c r="Z1224" s="7">
        <f>IF($E1224="","",AB1224-Y1224)</f>
        <v/>
      </c>
      <c r="AA1224" s="7">
        <f>IF($E1224="","",Z1224-Q1224)</f>
        <v/>
      </c>
      <c r="AB1224" s="7" t="n"/>
      <c r="AE1224">
        <f>IF($E1224="","",IF($AQ1224=1,0,IF($AP1224=1,Settings!$C$6,Settings!$C$7))*100)</f>
        <v/>
      </c>
      <c r="AI1224" s="7" t="n"/>
      <c r="AL1224" s="11" t="n"/>
      <c r="AN1224">
        <f>IF($E1224="","",IF(COUNTIF($E$2:$E1224,$E1224)=1,1,0))</f>
        <v/>
      </c>
      <c r="AO1224">
        <f>IF($AN1224=1,SUMPRODUCT(--($AR$2:$AR$3001&lt;$AR1224))+1,"")</f>
        <v/>
      </c>
      <c r="AP1224">
        <f>IF($E1224="","",IF(OR($U1224=TRUE(),$U1224="TRUE"),1,0))</f>
        <v/>
      </c>
      <c r="AQ1224">
        <f>IF($E1224="","",IF($AD1224="Yes",1,0))</f>
        <v/>
      </c>
      <c r="AR1224">
        <f>IF($AN1224=1,IFERROR(VALUE(MID($E1224,2,20)),1000000000)+ROW()/100000,"")</f>
        <v/>
      </c>
    </row>
    <row r="1225">
      <c r="G1225" s="11" t="n"/>
      <c r="Q1225" s="7">
        <f>IF($E1225="","",P1225*AB1225/100)</f>
        <v/>
      </c>
      <c r="R1225" s="7" t="n"/>
      <c r="X1225" s="7" t="n"/>
      <c r="Y1225" s="7">
        <f>IF($E1225="","",AB1225*AE1225/100)</f>
        <v/>
      </c>
      <c r="Z1225" s="7">
        <f>IF($E1225="","",AB1225-Y1225)</f>
        <v/>
      </c>
      <c r="AA1225" s="7">
        <f>IF($E1225="","",Z1225-Q1225)</f>
        <v/>
      </c>
      <c r="AB1225" s="7" t="n"/>
      <c r="AE1225">
        <f>IF($E1225="","",IF($AQ1225=1,0,IF($AP1225=1,Settings!$C$6,Settings!$C$7))*100)</f>
        <v/>
      </c>
      <c r="AI1225" s="7" t="n"/>
      <c r="AL1225" s="11" t="n"/>
      <c r="AN1225">
        <f>IF($E1225="","",IF(COUNTIF($E$2:$E1225,$E1225)=1,1,0))</f>
        <v/>
      </c>
      <c r="AO1225">
        <f>IF($AN1225=1,SUMPRODUCT(--($AR$2:$AR$3001&lt;$AR1225))+1,"")</f>
        <v/>
      </c>
      <c r="AP1225">
        <f>IF($E1225="","",IF(OR($U1225=TRUE(),$U1225="TRUE"),1,0))</f>
        <v/>
      </c>
      <c r="AQ1225">
        <f>IF($E1225="","",IF($AD1225="Yes",1,0))</f>
        <v/>
      </c>
      <c r="AR1225">
        <f>IF($AN1225=1,IFERROR(VALUE(MID($E1225,2,20)),1000000000)+ROW()/100000,"")</f>
        <v/>
      </c>
    </row>
    <row r="1226">
      <c r="G1226" s="11" t="n"/>
      <c r="Q1226" s="7">
        <f>IF($E1226="","",P1226*AB1226/100)</f>
        <v/>
      </c>
      <c r="R1226" s="7" t="n"/>
      <c r="X1226" s="7" t="n"/>
      <c r="Y1226" s="7">
        <f>IF($E1226="","",AB1226*AE1226/100)</f>
        <v/>
      </c>
      <c r="Z1226" s="7">
        <f>IF($E1226="","",AB1226-Y1226)</f>
        <v/>
      </c>
      <c r="AA1226" s="7">
        <f>IF($E1226="","",Z1226-Q1226)</f>
        <v/>
      </c>
      <c r="AB1226" s="7" t="n"/>
      <c r="AE1226">
        <f>IF($E1226="","",IF($AQ1226=1,0,IF($AP1226=1,Settings!$C$6,Settings!$C$7))*100)</f>
        <v/>
      </c>
      <c r="AI1226" s="7" t="n"/>
      <c r="AL1226" s="11" t="n"/>
      <c r="AN1226">
        <f>IF($E1226="","",IF(COUNTIF($E$2:$E1226,$E1226)=1,1,0))</f>
        <v/>
      </c>
      <c r="AO1226">
        <f>IF($AN1226=1,SUMPRODUCT(--($AR$2:$AR$3001&lt;$AR1226))+1,"")</f>
        <v/>
      </c>
      <c r="AP1226">
        <f>IF($E1226="","",IF(OR($U1226=TRUE(),$U1226="TRUE"),1,0))</f>
        <v/>
      </c>
      <c r="AQ1226">
        <f>IF($E1226="","",IF($AD1226="Yes",1,0))</f>
        <v/>
      </c>
      <c r="AR1226">
        <f>IF($AN1226=1,IFERROR(VALUE(MID($E1226,2,20)),1000000000)+ROW()/100000,"")</f>
        <v/>
      </c>
    </row>
    <row r="1227">
      <c r="G1227" s="11" t="n"/>
      <c r="Q1227" s="7">
        <f>IF($E1227="","",P1227*AB1227/100)</f>
        <v/>
      </c>
      <c r="R1227" s="7" t="n"/>
      <c r="X1227" s="7" t="n"/>
      <c r="Y1227" s="7">
        <f>IF($E1227="","",AB1227*AE1227/100)</f>
        <v/>
      </c>
      <c r="Z1227" s="7">
        <f>IF($E1227="","",AB1227-Y1227)</f>
        <v/>
      </c>
      <c r="AA1227" s="7">
        <f>IF($E1227="","",Z1227-Q1227)</f>
        <v/>
      </c>
      <c r="AB1227" s="7" t="n"/>
      <c r="AE1227">
        <f>IF($E1227="","",IF($AQ1227=1,0,IF($AP1227=1,Settings!$C$6,Settings!$C$7))*100)</f>
        <v/>
      </c>
      <c r="AI1227" s="7" t="n"/>
      <c r="AL1227" s="11" t="n"/>
      <c r="AN1227">
        <f>IF($E1227="","",IF(COUNTIF($E$2:$E1227,$E1227)=1,1,0))</f>
        <v/>
      </c>
      <c r="AO1227">
        <f>IF($AN1227=1,SUMPRODUCT(--($AR$2:$AR$3001&lt;$AR1227))+1,"")</f>
        <v/>
      </c>
      <c r="AP1227">
        <f>IF($E1227="","",IF(OR($U1227=TRUE(),$U1227="TRUE"),1,0))</f>
        <v/>
      </c>
      <c r="AQ1227">
        <f>IF($E1227="","",IF($AD1227="Yes",1,0))</f>
        <v/>
      </c>
      <c r="AR1227">
        <f>IF($AN1227=1,IFERROR(VALUE(MID($E1227,2,20)),1000000000)+ROW()/100000,"")</f>
        <v/>
      </c>
    </row>
    <row r="1228">
      <c r="G1228" s="11" t="n"/>
      <c r="Q1228" s="7">
        <f>IF($E1228="","",P1228*AB1228/100)</f>
        <v/>
      </c>
      <c r="R1228" s="7" t="n"/>
      <c r="X1228" s="7" t="n"/>
      <c r="Y1228" s="7">
        <f>IF($E1228="","",AB1228*AE1228/100)</f>
        <v/>
      </c>
      <c r="Z1228" s="7">
        <f>IF($E1228="","",AB1228-Y1228)</f>
        <v/>
      </c>
      <c r="AA1228" s="7">
        <f>IF($E1228="","",Z1228-Q1228)</f>
        <v/>
      </c>
      <c r="AB1228" s="7" t="n"/>
      <c r="AE1228">
        <f>IF($E1228="","",IF($AQ1228=1,0,IF($AP1228=1,Settings!$C$6,Settings!$C$7))*100)</f>
        <v/>
      </c>
      <c r="AI1228" s="7" t="n"/>
      <c r="AL1228" s="11" t="n"/>
      <c r="AN1228">
        <f>IF($E1228="","",IF(COUNTIF($E$2:$E1228,$E1228)=1,1,0))</f>
        <v/>
      </c>
      <c r="AO1228">
        <f>IF($AN1228=1,SUMPRODUCT(--($AR$2:$AR$3001&lt;$AR1228))+1,"")</f>
        <v/>
      </c>
      <c r="AP1228">
        <f>IF($E1228="","",IF(OR($U1228=TRUE(),$U1228="TRUE"),1,0))</f>
        <v/>
      </c>
      <c r="AQ1228">
        <f>IF($E1228="","",IF($AD1228="Yes",1,0))</f>
        <v/>
      </c>
      <c r="AR1228">
        <f>IF($AN1228=1,IFERROR(VALUE(MID($E1228,2,20)),1000000000)+ROW()/100000,"")</f>
        <v/>
      </c>
    </row>
    <row r="1229">
      <c r="G1229" s="11" t="n"/>
      <c r="Q1229" s="7">
        <f>IF($E1229="","",P1229*AB1229/100)</f>
        <v/>
      </c>
      <c r="R1229" s="7" t="n"/>
      <c r="X1229" s="7" t="n"/>
      <c r="Y1229" s="7">
        <f>IF($E1229="","",AB1229*AE1229/100)</f>
        <v/>
      </c>
      <c r="Z1229" s="7">
        <f>IF($E1229="","",AB1229-Y1229)</f>
        <v/>
      </c>
      <c r="AA1229" s="7">
        <f>IF($E1229="","",Z1229-Q1229)</f>
        <v/>
      </c>
      <c r="AB1229" s="7" t="n"/>
      <c r="AE1229">
        <f>IF($E1229="","",IF($AQ1229=1,0,IF($AP1229=1,Settings!$C$6,Settings!$C$7))*100)</f>
        <v/>
      </c>
      <c r="AI1229" s="7" t="n"/>
      <c r="AL1229" s="11" t="n"/>
      <c r="AN1229">
        <f>IF($E1229="","",IF(COUNTIF($E$2:$E1229,$E1229)=1,1,0))</f>
        <v/>
      </c>
      <c r="AO1229">
        <f>IF($AN1229=1,SUMPRODUCT(--($AR$2:$AR$3001&lt;$AR1229))+1,"")</f>
        <v/>
      </c>
      <c r="AP1229">
        <f>IF($E1229="","",IF(OR($U1229=TRUE(),$U1229="TRUE"),1,0))</f>
        <v/>
      </c>
      <c r="AQ1229">
        <f>IF($E1229="","",IF($AD1229="Yes",1,0))</f>
        <v/>
      </c>
      <c r="AR1229">
        <f>IF($AN1229=1,IFERROR(VALUE(MID($E1229,2,20)),1000000000)+ROW()/100000,"")</f>
        <v/>
      </c>
    </row>
    <row r="1230">
      <c r="G1230" s="11" t="n"/>
      <c r="Q1230" s="7">
        <f>IF($E1230="","",P1230*AB1230/100)</f>
        <v/>
      </c>
      <c r="R1230" s="7" t="n"/>
      <c r="X1230" s="7" t="n"/>
      <c r="Y1230" s="7">
        <f>IF($E1230="","",AB1230*AE1230/100)</f>
        <v/>
      </c>
      <c r="Z1230" s="7">
        <f>IF($E1230="","",AB1230-Y1230)</f>
        <v/>
      </c>
      <c r="AA1230" s="7">
        <f>IF($E1230="","",Z1230-Q1230)</f>
        <v/>
      </c>
      <c r="AB1230" s="7" t="n"/>
      <c r="AE1230">
        <f>IF($E1230="","",IF($AQ1230=1,0,IF($AP1230=1,Settings!$C$6,Settings!$C$7))*100)</f>
        <v/>
      </c>
      <c r="AI1230" s="7" t="n"/>
      <c r="AL1230" s="11" t="n"/>
      <c r="AN1230">
        <f>IF($E1230="","",IF(COUNTIF($E$2:$E1230,$E1230)=1,1,0))</f>
        <v/>
      </c>
      <c r="AO1230">
        <f>IF($AN1230=1,SUMPRODUCT(--($AR$2:$AR$3001&lt;$AR1230))+1,"")</f>
        <v/>
      </c>
      <c r="AP1230">
        <f>IF($E1230="","",IF(OR($U1230=TRUE(),$U1230="TRUE"),1,0))</f>
        <v/>
      </c>
      <c r="AQ1230">
        <f>IF($E1230="","",IF($AD1230="Yes",1,0))</f>
        <v/>
      </c>
      <c r="AR1230">
        <f>IF($AN1230=1,IFERROR(VALUE(MID($E1230,2,20)),1000000000)+ROW()/100000,"")</f>
        <v/>
      </c>
    </row>
    <row r="1231">
      <c r="G1231" s="11" t="n"/>
      <c r="Q1231" s="7">
        <f>IF($E1231="","",P1231*AB1231/100)</f>
        <v/>
      </c>
      <c r="R1231" s="7" t="n"/>
      <c r="X1231" s="7" t="n"/>
      <c r="Y1231" s="7">
        <f>IF($E1231="","",AB1231*AE1231/100)</f>
        <v/>
      </c>
      <c r="Z1231" s="7">
        <f>IF($E1231="","",AB1231-Y1231)</f>
        <v/>
      </c>
      <c r="AA1231" s="7">
        <f>IF($E1231="","",Z1231-Q1231)</f>
        <v/>
      </c>
      <c r="AB1231" s="7" t="n"/>
      <c r="AE1231">
        <f>IF($E1231="","",IF($AQ1231=1,0,IF($AP1231=1,Settings!$C$6,Settings!$C$7))*100)</f>
        <v/>
      </c>
      <c r="AI1231" s="7" t="n"/>
      <c r="AL1231" s="11" t="n"/>
      <c r="AN1231">
        <f>IF($E1231="","",IF(COUNTIF($E$2:$E1231,$E1231)=1,1,0))</f>
        <v/>
      </c>
      <c r="AO1231">
        <f>IF($AN1231=1,SUMPRODUCT(--($AR$2:$AR$3001&lt;$AR1231))+1,"")</f>
        <v/>
      </c>
      <c r="AP1231">
        <f>IF($E1231="","",IF(OR($U1231=TRUE(),$U1231="TRUE"),1,0))</f>
        <v/>
      </c>
      <c r="AQ1231">
        <f>IF($E1231="","",IF($AD1231="Yes",1,0))</f>
        <v/>
      </c>
      <c r="AR1231">
        <f>IF($AN1231=1,IFERROR(VALUE(MID($E1231,2,20)),1000000000)+ROW()/100000,"")</f>
        <v/>
      </c>
    </row>
    <row r="1232">
      <c r="G1232" s="11" t="n"/>
      <c r="Q1232" s="7">
        <f>IF($E1232="","",P1232*AB1232/100)</f>
        <v/>
      </c>
      <c r="R1232" s="7" t="n"/>
      <c r="X1232" s="7" t="n"/>
      <c r="Y1232" s="7">
        <f>IF($E1232="","",AB1232*AE1232/100)</f>
        <v/>
      </c>
      <c r="Z1232" s="7">
        <f>IF($E1232="","",AB1232-Y1232)</f>
        <v/>
      </c>
      <c r="AA1232" s="7">
        <f>IF($E1232="","",Z1232-Q1232)</f>
        <v/>
      </c>
      <c r="AB1232" s="7" t="n"/>
      <c r="AE1232">
        <f>IF($E1232="","",IF($AQ1232=1,0,IF($AP1232=1,Settings!$C$6,Settings!$C$7))*100)</f>
        <v/>
      </c>
      <c r="AI1232" s="7" t="n"/>
      <c r="AL1232" s="11" t="n"/>
      <c r="AN1232">
        <f>IF($E1232="","",IF(COUNTIF($E$2:$E1232,$E1232)=1,1,0))</f>
        <v/>
      </c>
      <c r="AO1232">
        <f>IF($AN1232=1,SUMPRODUCT(--($AR$2:$AR$3001&lt;$AR1232))+1,"")</f>
        <v/>
      </c>
      <c r="AP1232">
        <f>IF($E1232="","",IF(OR($U1232=TRUE(),$U1232="TRUE"),1,0))</f>
        <v/>
      </c>
      <c r="AQ1232">
        <f>IF($E1232="","",IF($AD1232="Yes",1,0))</f>
        <v/>
      </c>
      <c r="AR1232">
        <f>IF($AN1232=1,IFERROR(VALUE(MID($E1232,2,20)),1000000000)+ROW()/100000,"")</f>
        <v/>
      </c>
    </row>
    <row r="1233">
      <c r="G1233" s="11" t="n"/>
      <c r="Q1233" s="7">
        <f>IF($E1233="","",P1233*AB1233/100)</f>
        <v/>
      </c>
      <c r="R1233" s="7" t="n"/>
      <c r="X1233" s="7" t="n"/>
      <c r="Y1233" s="7">
        <f>IF($E1233="","",AB1233*AE1233/100)</f>
        <v/>
      </c>
      <c r="Z1233" s="7">
        <f>IF($E1233="","",AB1233-Y1233)</f>
        <v/>
      </c>
      <c r="AA1233" s="7">
        <f>IF($E1233="","",Z1233-Q1233)</f>
        <v/>
      </c>
      <c r="AB1233" s="7" t="n"/>
      <c r="AE1233">
        <f>IF($E1233="","",IF($AQ1233=1,0,IF($AP1233=1,Settings!$C$6,Settings!$C$7))*100)</f>
        <v/>
      </c>
      <c r="AI1233" s="7" t="n"/>
      <c r="AL1233" s="11" t="n"/>
      <c r="AN1233">
        <f>IF($E1233="","",IF(COUNTIF($E$2:$E1233,$E1233)=1,1,0))</f>
        <v/>
      </c>
      <c r="AO1233">
        <f>IF($AN1233=1,SUMPRODUCT(--($AR$2:$AR$3001&lt;$AR1233))+1,"")</f>
        <v/>
      </c>
      <c r="AP1233">
        <f>IF($E1233="","",IF(OR($U1233=TRUE(),$U1233="TRUE"),1,0))</f>
        <v/>
      </c>
      <c r="AQ1233">
        <f>IF($E1233="","",IF($AD1233="Yes",1,0))</f>
        <v/>
      </c>
      <c r="AR1233">
        <f>IF($AN1233=1,IFERROR(VALUE(MID($E1233,2,20)),1000000000)+ROW()/100000,"")</f>
        <v/>
      </c>
    </row>
    <row r="1234">
      <c r="G1234" s="11" t="n"/>
      <c r="Q1234" s="7">
        <f>IF($E1234="","",P1234*AB1234/100)</f>
        <v/>
      </c>
      <c r="R1234" s="7" t="n"/>
      <c r="X1234" s="7" t="n"/>
      <c r="Y1234" s="7">
        <f>IF($E1234="","",AB1234*AE1234/100)</f>
        <v/>
      </c>
      <c r="Z1234" s="7">
        <f>IF($E1234="","",AB1234-Y1234)</f>
        <v/>
      </c>
      <c r="AA1234" s="7">
        <f>IF($E1234="","",Z1234-Q1234)</f>
        <v/>
      </c>
      <c r="AB1234" s="7" t="n"/>
      <c r="AE1234">
        <f>IF($E1234="","",IF($AQ1234=1,0,IF($AP1234=1,Settings!$C$6,Settings!$C$7))*100)</f>
        <v/>
      </c>
      <c r="AI1234" s="7" t="n"/>
      <c r="AL1234" s="11" t="n"/>
      <c r="AN1234">
        <f>IF($E1234="","",IF(COUNTIF($E$2:$E1234,$E1234)=1,1,0))</f>
        <v/>
      </c>
      <c r="AO1234">
        <f>IF($AN1234=1,SUMPRODUCT(--($AR$2:$AR$3001&lt;$AR1234))+1,"")</f>
        <v/>
      </c>
      <c r="AP1234">
        <f>IF($E1234="","",IF(OR($U1234=TRUE(),$U1234="TRUE"),1,0))</f>
        <v/>
      </c>
      <c r="AQ1234">
        <f>IF($E1234="","",IF($AD1234="Yes",1,0))</f>
        <v/>
      </c>
      <c r="AR1234">
        <f>IF($AN1234=1,IFERROR(VALUE(MID($E1234,2,20)),1000000000)+ROW()/100000,"")</f>
        <v/>
      </c>
    </row>
    <row r="1235">
      <c r="G1235" s="11" t="n"/>
      <c r="Q1235" s="7">
        <f>IF($E1235="","",P1235*AB1235/100)</f>
        <v/>
      </c>
      <c r="R1235" s="7" t="n"/>
      <c r="X1235" s="7" t="n"/>
      <c r="Y1235" s="7">
        <f>IF($E1235="","",AB1235*AE1235/100)</f>
        <v/>
      </c>
      <c r="Z1235" s="7">
        <f>IF($E1235="","",AB1235-Y1235)</f>
        <v/>
      </c>
      <c r="AA1235" s="7">
        <f>IF($E1235="","",Z1235-Q1235)</f>
        <v/>
      </c>
      <c r="AB1235" s="7" t="n"/>
      <c r="AE1235">
        <f>IF($E1235="","",IF($AQ1235=1,0,IF($AP1235=1,Settings!$C$6,Settings!$C$7))*100)</f>
        <v/>
      </c>
      <c r="AI1235" s="7" t="n"/>
      <c r="AL1235" s="11" t="n"/>
      <c r="AN1235">
        <f>IF($E1235="","",IF(COUNTIF($E$2:$E1235,$E1235)=1,1,0))</f>
        <v/>
      </c>
      <c r="AO1235">
        <f>IF($AN1235=1,SUMPRODUCT(--($AR$2:$AR$3001&lt;$AR1235))+1,"")</f>
        <v/>
      </c>
      <c r="AP1235">
        <f>IF($E1235="","",IF(OR($U1235=TRUE(),$U1235="TRUE"),1,0))</f>
        <v/>
      </c>
      <c r="AQ1235">
        <f>IF($E1235="","",IF($AD1235="Yes",1,0))</f>
        <v/>
      </c>
      <c r="AR1235">
        <f>IF($AN1235=1,IFERROR(VALUE(MID($E1235,2,20)),1000000000)+ROW()/100000,"")</f>
        <v/>
      </c>
    </row>
    <row r="1236">
      <c r="G1236" s="11" t="n"/>
      <c r="Q1236" s="7">
        <f>IF($E1236="","",P1236*AB1236/100)</f>
        <v/>
      </c>
      <c r="R1236" s="7" t="n"/>
      <c r="X1236" s="7" t="n"/>
      <c r="Y1236" s="7">
        <f>IF($E1236="","",AB1236*AE1236/100)</f>
        <v/>
      </c>
      <c r="Z1236" s="7">
        <f>IF($E1236="","",AB1236-Y1236)</f>
        <v/>
      </c>
      <c r="AA1236" s="7">
        <f>IF($E1236="","",Z1236-Q1236)</f>
        <v/>
      </c>
      <c r="AB1236" s="7" t="n"/>
      <c r="AE1236">
        <f>IF($E1236="","",IF($AQ1236=1,0,IF($AP1236=1,Settings!$C$6,Settings!$C$7))*100)</f>
        <v/>
      </c>
      <c r="AI1236" s="7" t="n"/>
      <c r="AL1236" s="11" t="n"/>
      <c r="AN1236">
        <f>IF($E1236="","",IF(COUNTIF($E$2:$E1236,$E1236)=1,1,0))</f>
        <v/>
      </c>
      <c r="AO1236">
        <f>IF($AN1236=1,SUMPRODUCT(--($AR$2:$AR$3001&lt;$AR1236))+1,"")</f>
        <v/>
      </c>
      <c r="AP1236">
        <f>IF($E1236="","",IF(OR($U1236=TRUE(),$U1236="TRUE"),1,0))</f>
        <v/>
      </c>
      <c r="AQ1236">
        <f>IF($E1236="","",IF($AD1236="Yes",1,0))</f>
        <v/>
      </c>
      <c r="AR1236">
        <f>IF($AN1236=1,IFERROR(VALUE(MID($E1236,2,20)),1000000000)+ROW()/100000,"")</f>
        <v/>
      </c>
    </row>
    <row r="1237">
      <c r="G1237" s="11" t="n"/>
      <c r="Q1237" s="7">
        <f>IF($E1237="","",P1237*AB1237/100)</f>
        <v/>
      </c>
      <c r="R1237" s="7" t="n"/>
      <c r="X1237" s="7" t="n"/>
      <c r="Y1237" s="7">
        <f>IF($E1237="","",AB1237*AE1237/100)</f>
        <v/>
      </c>
      <c r="Z1237" s="7">
        <f>IF($E1237="","",AB1237-Y1237)</f>
        <v/>
      </c>
      <c r="AA1237" s="7">
        <f>IF($E1237="","",Z1237-Q1237)</f>
        <v/>
      </c>
      <c r="AB1237" s="7" t="n"/>
      <c r="AE1237">
        <f>IF($E1237="","",IF($AQ1237=1,0,IF($AP1237=1,Settings!$C$6,Settings!$C$7))*100)</f>
        <v/>
      </c>
      <c r="AI1237" s="7" t="n"/>
      <c r="AL1237" s="11" t="n"/>
      <c r="AN1237">
        <f>IF($E1237="","",IF(COUNTIF($E$2:$E1237,$E1237)=1,1,0))</f>
        <v/>
      </c>
      <c r="AO1237">
        <f>IF($AN1237=1,SUMPRODUCT(--($AR$2:$AR$3001&lt;$AR1237))+1,"")</f>
        <v/>
      </c>
      <c r="AP1237">
        <f>IF($E1237="","",IF(OR($U1237=TRUE(),$U1237="TRUE"),1,0))</f>
        <v/>
      </c>
      <c r="AQ1237">
        <f>IF($E1237="","",IF($AD1237="Yes",1,0))</f>
        <v/>
      </c>
      <c r="AR1237">
        <f>IF($AN1237=1,IFERROR(VALUE(MID($E1237,2,20)),1000000000)+ROW()/100000,"")</f>
        <v/>
      </c>
    </row>
    <row r="1238">
      <c r="G1238" s="11" t="n"/>
      <c r="Q1238" s="7">
        <f>IF($E1238="","",P1238*AB1238/100)</f>
        <v/>
      </c>
      <c r="R1238" s="7" t="n"/>
      <c r="X1238" s="7" t="n"/>
      <c r="Y1238" s="7">
        <f>IF($E1238="","",AB1238*AE1238/100)</f>
        <v/>
      </c>
      <c r="Z1238" s="7">
        <f>IF($E1238="","",AB1238-Y1238)</f>
        <v/>
      </c>
      <c r="AA1238" s="7">
        <f>IF($E1238="","",Z1238-Q1238)</f>
        <v/>
      </c>
      <c r="AB1238" s="7" t="n"/>
      <c r="AE1238">
        <f>IF($E1238="","",IF($AQ1238=1,0,IF($AP1238=1,Settings!$C$6,Settings!$C$7))*100)</f>
        <v/>
      </c>
      <c r="AI1238" s="7" t="n"/>
      <c r="AL1238" s="11" t="n"/>
      <c r="AN1238">
        <f>IF($E1238="","",IF(COUNTIF($E$2:$E1238,$E1238)=1,1,0))</f>
        <v/>
      </c>
      <c r="AO1238">
        <f>IF($AN1238=1,SUMPRODUCT(--($AR$2:$AR$3001&lt;$AR1238))+1,"")</f>
        <v/>
      </c>
      <c r="AP1238">
        <f>IF($E1238="","",IF(OR($U1238=TRUE(),$U1238="TRUE"),1,0))</f>
        <v/>
      </c>
      <c r="AQ1238">
        <f>IF($E1238="","",IF($AD1238="Yes",1,0))</f>
        <v/>
      </c>
      <c r="AR1238">
        <f>IF($AN1238=1,IFERROR(VALUE(MID($E1238,2,20)),1000000000)+ROW()/100000,"")</f>
        <v/>
      </c>
    </row>
    <row r="1239">
      <c r="G1239" s="11" t="n"/>
      <c r="Q1239" s="7">
        <f>IF($E1239="","",P1239*AB1239/100)</f>
        <v/>
      </c>
      <c r="R1239" s="7" t="n"/>
      <c r="X1239" s="7" t="n"/>
      <c r="Y1239" s="7">
        <f>IF($E1239="","",AB1239*AE1239/100)</f>
        <v/>
      </c>
      <c r="Z1239" s="7">
        <f>IF($E1239="","",AB1239-Y1239)</f>
        <v/>
      </c>
      <c r="AA1239" s="7">
        <f>IF($E1239="","",Z1239-Q1239)</f>
        <v/>
      </c>
      <c r="AB1239" s="7" t="n"/>
      <c r="AE1239">
        <f>IF($E1239="","",IF($AQ1239=1,0,IF($AP1239=1,Settings!$C$6,Settings!$C$7))*100)</f>
        <v/>
      </c>
      <c r="AI1239" s="7" t="n"/>
      <c r="AL1239" s="11" t="n"/>
      <c r="AN1239">
        <f>IF($E1239="","",IF(COUNTIF($E$2:$E1239,$E1239)=1,1,0))</f>
        <v/>
      </c>
      <c r="AO1239">
        <f>IF($AN1239=1,SUMPRODUCT(--($AR$2:$AR$3001&lt;$AR1239))+1,"")</f>
        <v/>
      </c>
      <c r="AP1239">
        <f>IF($E1239="","",IF(OR($U1239=TRUE(),$U1239="TRUE"),1,0))</f>
        <v/>
      </c>
      <c r="AQ1239">
        <f>IF($E1239="","",IF($AD1239="Yes",1,0))</f>
        <v/>
      </c>
      <c r="AR1239">
        <f>IF($AN1239=1,IFERROR(VALUE(MID($E1239,2,20)),1000000000)+ROW()/100000,"")</f>
        <v/>
      </c>
    </row>
    <row r="1240">
      <c r="G1240" s="11" t="n"/>
      <c r="Q1240" s="7">
        <f>IF($E1240="","",P1240*AB1240/100)</f>
        <v/>
      </c>
      <c r="R1240" s="7" t="n"/>
      <c r="X1240" s="7" t="n"/>
      <c r="Y1240" s="7">
        <f>IF($E1240="","",AB1240*AE1240/100)</f>
        <v/>
      </c>
      <c r="Z1240" s="7">
        <f>IF($E1240="","",AB1240-Y1240)</f>
        <v/>
      </c>
      <c r="AA1240" s="7">
        <f>IF($E1240="","",Z1240-Q1240)</f>
        <v/>
      </c>
      <c r="AB1240" s="7" t="n"/>
      <c r="AE1240">
        <f>IF($E1240="","",IF($AQ1240=1,0,IF($AP1240=1,Settings!$C$6,Settings!$C$7))*100)</f>
        <v/>
      </c>
      <c r="AI1240" s="7" t="n"/>
      <c r="AL1240" s="11" t="n"/>
      <c r="AN1240">
        <f>IF($E1240="","",IF(COUNTIF($E$2:$E1240,$E1240)=1,1,0))</f>
        <v/>
      </c>
      <c r="AO1240">
        <f>IF($AN1240=1,SUMPRODUCT(--($AR$2:$AR$3001&lt;$AR1240))+1,"")</f>
        <v/>
      </c>
      <c r="AP1240">
        <f>IF($E1240="","",IF(OR($U1240=TRUE(),$U1240="TRUE"),1,0))</f>
        <v/>
      </c>
      <c r="AQ1240">
        <f>IF($E1240="","",IF($AD1240="Yes",1,0))</f>
        <v/>
      </c>
      <c r="AR1240">
        <f>IF($AN1240=1,IFERROR(VALUE(MID($E1240,2,20)),1000000000)+ROW()/100000,"")</f>
        <v/>
      </c>
    </row>
    <row r="1241">
      <c r="G1241" s="11" t="n"/>
      <c r="Q1241" s="7">
        <f>IF($E1241="","",P1241*AB1241/100)</f>
        <v/>
      </c>
      <c r="R1241" s="7" t="n"/>
      <c r="X1241" s="7" t="n"/>
      <c r="Y1241" s="7">
        <f>IF($E1241="","",AB1241*AE1241/100)</f>
        <v/>
      </c>
      <c r="Z1241" s="7">
        <f>IF($E1241="","",AB1241-Y1241)</f>
        <v/>
      </c>
      <c r="AA1241" s="7">
        <f>IF($E1241="","",Z1241-Q1241)</f>
        <v/>
      </c>
      <c r="AB1241" s="7" t="n"/>
      <c r="AE1241">
        <f>IF($E1241="","",IF($AQ1241=1,0,IF($AP1241=1,Settings!$C$6,Settings!$C$7))*100)</f>
        <v/>
      </c>
      <c r="AI1241" s="7" t="n"/>
      <c r="AL1241" s="11" t="n"/>
      <c r="AN1241">
        <f>IF($E1241="","",IF(COUNTIF($E$2:$E1241,$E1241)=1,1,0))</f>
        <v/>
      </c>
      <c r="AO1241">
        <f>IF($AN1241=1,SUMPRODUCT(--($AR$2:$AR$3001&lt;$AR1241))+1,"")</f>
        <v/>
      </c>
      <c r="AP1241">
        <f>IF($E1241="","",IF(OR($U1241=TRUE(),$U1241="TRUE"),1,0))</f>
        <v/>
      </c>
      <c r="AQ1241">
        <f>IF($E1241="","",IF($AD1241="Yes",1,0))</f>
        <v/>
      </c>
      <c r="AR1241">
        <f>IF($AN1241=1,IFERROR(VALUE(MID($E1241,2,20)),1000000000)+ROW()/100000,"")</f>
        <v/>
      </c>
    </row>
    <row r="1242">
      <c r="G1242" s="11" t="n"/>
      <c r="Q1242" s="7">
        <f>IF($E1242="","",P1242*AB1242/100)</f>
        <v/>
      </c>
      <c r="R1242" s="7" t="n"/>
      <c r="X1242" s="7" t="n"/>
      <c r="Y1242" s="7">
        <f>IF($E1242="","",AB1242*AE1242/100)</f>
        <v/>
      </c>
      <c r="Z1242" s="7">
        <f>IF($E1242="","",AB1242-Y1242)</f>
        <v/>
      </c>
      <c r="AA1242" s="7">
        <f>IF($E1242="","",Z1242-Q1242)</f>
        <v/>
      </c>
      <c r="AB1242" s="7" t="n"/>
      <c r="AE1242">
        <f>IF($E1242="","",IF($AQ1242=1,0,IF($AP1242=1,Settings!$C$6,Settings!$C$7))*100)</f>
        <v/>
      </c>
      <c r="AI1242" s="7" t="n"/>
      <c r="AL1242" s="11" t="n"/>
      <c r="AN1242">
        <f>IF($E1242="","",IF(COUNTIF($E$2:$E1242,$E1242)=1,1,0))</f>
        <v/>
      </c>
      <c r="AO1242">
        <f>IF($AN1242=1,SUMPRODUCT(--($AR$2:$AR$3001&lt;$AR1242))+1,"")</f>
        <v/>
      </c>
      <c r="AP1242">
        <f>IF($E1242="","",IF(OR($U1242=TRUE(),$U1242="TRUE"),1,0))</f>
        <v/>
      </c>
      <c r="AQ1242">
        <f>IF($E1242="","",IF($AD1242="Yes",1,0))</f>
        <v/>
      </c>
      <c r="AR1242">
        <f>IF($AN1242=1,IFERROR(VALUE(MID($E1242,2,20)),1000000000)+ROW()/100000,"")</f>
        <v/>
      </c>
    </row>
    <row r="1243">
      <c r="G1243" s="11" t="n"/>
      <c r="Q1243" s="7">
        <f>IF($E1243="","",P1243*AB1243/100)</f>
        <v/>
      </c>
      <c r="R1243" s="7" t="n"/>
      <c r="X1243" s="7" t="n"/>
      <c r="Y1243" s="7">
        <f>IF($E1243="","",AB1243*AE1243/100)</f>
        <v/>
      </c>
      <c r="Z1243" s="7">
        <f>IF($E1243="","",AB1243-Y1243)</f>
        <v/>
      </c>
      <c r="AA1243" s="7">
        <f>IF($E1243="","",Z1243-Q1243)</f>
        <v/>
      </c>
      <c r="AB1243" s="7" t="n"/>
      <c r="AE1243">
        <f>IF($E1243="","",IF($AQ1243=1,0,IF($AP1243=1,Settings!$C$6,Settings!$C$7))*100)</f>
        <v/>
      </c>
      <c r="AI1243" s="7" t="n"/>
      <c r="AL1243" s="11" t="n"/>
      <c r="AN1243">
        <f>IF($E1243="","",IF(COUNTIF($E$2:$E1243,$E1243)=1,1,0))</f>
        <v/>
      </c>
      <c r="AO1243">
        <f>IF($AN1243=1,SUMPRODUCT(--($AR$2:$AR$3001&lt;$AR1243))+1,"")</f>
        <v/>
      </c>
      <c r="AP1243">
        <f>IF($E1243="","",IF(OR($U1243=TRUE(),$U1243="TRUE"),1,0))</f>
        <v/>
      </c>
      <c r="AQ1243">
        <f>IF($E1243="","",IF($AD1243="Yes",1,0))</f>
        <v/>
      </c>
      <c r="AR1243">
        <f>IF($AN1243=1,IFERROR(VALUE(MID($E1243,2,20)),1000000000)+ROW()/100000,"")</f>
        <v/>
      </c>
    </row>
    <row r="1244">
      <c r="G1244" s="11" t="n"/>
      <c r="Q1244" s="7">
        <f>IF($E1244="","",P1244*AB1244/100)</f>
        <v/>
      </c>
      <c r="R1244" s="7" t="n"/>
      <c r="X1244" s="7" t="n"/>
      <c r="Y1244" s="7">
        <f>IF($E1244="","",AB1244*AE1244/100)</f>
        <v/>
      </c>
      <c r="Z1244" s="7">
        <f>IF($E1244="","",AB1244-Y1244)</f>
        <v/>
      </c>
      <c r="AA1244" s="7">
        <f>IF($E1244="","",Z1244-Q1244)</f>
        <v/>
      </c>
      <c r="AB1244" s="7" t="n"/>
      <c r="AE1244">
        <f>IF($E1244="","",IF($AQ1244=1,0,IF($AP1244=1,Settings!$C$6,Settings!$C$7))*100)</f>
        <v/>
      </c>
      <c r="AI1244" s="7" t="n"/>
      <c r="AL1244" s="11" t="n"/>
      <c r="AN1244">
        <f>IF($E1244="","",IF(COUNTIF($E$2:$E1244,$E1244)=1,1,0))</f>
        <v/>
      </c>
      <c r="AO1244">
        <f>IF($AN1244=1,SUMPRODUCT(--($AR$2:$AR$3001&lt;$AR1244))+1,"")</f>
        <v/>
      </c>
      <c r="AP1244">
        <f>IF($E1244="","",IF(OR($U1244=TRUE(),$U1244="TRUE"),1,0))</f>
        <v/>
      </c>
      <c r="AQ1244">
        <f>IF($E1244="","",IF($AD1244="Yes",1,0))</f>
        <v/>
      </c>
      <c r="AR1244">
        <f>IF($AN1244=1,IFERROR(VALUE(MID($E1244,2,20)),1000000000)+ROW()/100000,"")</f>
        <v/>
      </c>
    </row>
    <row r="1245">
      <c r="G1245" s="11" t="n"/>
      <c r="Q1245" s="7">
        <f>IF($E1245="","",P1245*AB1245/100)</f>
        <v/>
      </c>
      <c r="R1245" s="7" t="n"/>
      <c r="X1245" s="7" t="n"/>
      <c r="Y1245" s="7">
        <f>IF($E1245="","",AB1245*AE1245/100)</f>
        <v/>
      </c>
      <c r="Z1245" s="7">
        <f>IF($E1245="","",AB1245-Y1245)</f>
        <v/>
      </c>
      <c r="AA1245" s="7">
        <f>IF($E1245="","",Z1245-Q1245)</f>
        <v/>
      </c>
      <c r="AB1245" s="7" t="n"/>
      <c r="AE1245">
        <f>IF($E1245="","",IF($AQ1245=1,0,IF($AP1245=1,Settings!$C$6,Settings!$C$7))*100)</f>
        <v/>
      </c>
      <c r="AI1245" s="7" t="n"/>
      <c r="AL1245" s="11" t="n"/>
      <c r="AN1245">
        <f>IF($E1245="","",IF(COUNTIF($E$2:$E1245,$E1245)=1,1,0))</f>
        <v/>
      </c>
      <c r="AO1245">
        <f>IF($AN1245=1,SUMPRODUCT(--($AR$2:$AR$3001&lt;$AR1245))+1,"")</f>
        <v/>
      </c>
      <c r="AP1245">
        <f>IF($E1245="","",IF(OR($U1245=TRUE(),$U1245="TRUE"),1,0))</f>
        <v/>
      </c>
      <c r="AQ1245">
        <f>IF($E1245="","",IF($AD1245="Yes",1,0))</f>
        <v/>
      </c>
      <c r="AR1245">
        <f>IF($AN1245=1,IFERROR(VALUE(MID($E1245,2,20)),1000000000)+ROW()/100000,"")</f>
        <v/>
      </c>
    </row>
    <row r="1246">
      <c r="G1246" s="11" t="n"/>
      <c r="Q1246" s="7">
        <f>IF($E1246="","",P1246*AB1246/100)</f>
        <v/>
      </c>
      <c r="R1246" s="7" t="n"/>
      <c r="X1246" s="7" t="n"/>
      <c r="Y1246" s="7">
        <f>IF($E1246="","",AB1246*AE1246/100)</f>
        <v/>
      </c>
      <c r="Z1246" s="7">
        <f>IF($E1246="","",AB1246-Y1246)</f>
        <v/>
      </c>
      <c r="AA1246" s="7">
        <f>IF($E1246="","",Z1246-Q1246)</f>
        <v/>
      </c>
      <c r="AB1246" s="7" t="n"/>
      <c r="AE1246">
        <f>IF($E1246="","",IF($AQ1246=1,0,IF($AP1246=1,Settings!$C$6,Settings!$C$7))*100)</f>
        <v/>
      </c>
      <c r="AI1246" s="7" t="n"/>
      <c r="AL1246" s="11" t="n"/>
      <c r="AN1246">
        <f>IF($E1246="","",IF(COUNTIF($E$2:$E1246,$E1246)=1,1,0))</f>
        <v/>
      </c>
      <c r="AO1246">
        <f>IF($AN1246=1,SUMPRODUCT(--($AR$2:$AR$3001&lt;$AR1246))+1,"")</f>
        <v/>
      </c>
      <c r="AP1246">
        <f>IF($E1246="","",IF(OR($U1246=TRUE(),$U1246="TRUE"),1,0))</f>
        <v/>
      </c>
      <c r="AQ1246">
        <f>IF($E1246="","",IF($AD1246="Yes",1,0))</f>
        <v/>
      </c>
      <c r="AR1246">
        <f>IF($AN1246=1,IFERROR(VALUE(MID($E1246,2,20)),1000000000)+ROW()/100000,"")</f>
        <v/>
      </c>
    </row>
    <row r="1247">
      <c r="G1247" s="11" t="n"/>
      <c r="Q1247" s="7">
        <f>IF($E1247="","",P1247*AB1247/100)</f>
        <v/>
      </c>
      <c r="R1247" s="7" t="n"/>
      <c r="X1247" s="7" t="n"/>
      <c r="Y1247" s="7">
        <f>IF($E1247="","",AB1247*AE1247/100)</f>
        <v/>
      </c>
      <c r="Z1247" s="7">
        <f>IF($E1247="","",AB1247-Y1247)</f>
        <v/>
      </c>
      <c r="AA1247" s="7">
        <f>IF($E1247="","",Z1247-Q1247)</f>
        <v/>
      </c>
      <c r="AB1247" s="7" t="n"/>
      <c r="AE1247">
        <f>IF($E1247="","",IF($AQ1247=1,0,IF($AP1247=1,Settings!$C$6,Settings!$C$7))*100)</f>
        <v/>
      </c>
      <c r="AI1247" s="7" t="n"/>
      <c r="AL1247" s="11" t="n"/>
      <c r="AN1247">
        <f>IF($E1247="","",IF(COUNTIF($E$2:$E1247,$E1247)=1,1,0))</f>
        <v/>
      </c>
      <c r="AO1247">
        <f>IF($AN1247=1,SUMPRODUCT(--($AR$2:$AR$3001&lt;$AR1247))+1,"")</f>
        <v/>
      </c>
      <c r="AP1247">
        <f>IF($E1247="","",IF(OR($U1247=TRUE(),$U1247="TRUE"),1,0))</f>
        <v/>
      </c>
      <c r="AQ1247">
        <f>IF($E1247="","",IF($AD1247="Yes",1,0))</f>
        <v/>
      </c>
      <c r="AR1247">
        <f>IF($AN1247=1,IFERROR(VALUE(MID($E1247,2,20)),1000000000)+ROW()/100000,"")</f>
        <v/>
      </c>
    </row>
    <row r="1248">
      <c r="G1248" s="11" t="n"/>
      <c r="Q1248" s="7">
        <f>IF($E1248="","",P1248*AB1248/100)</f>
        <v/>
      </c>
      <c r="R1248" s="7" t="n"/>
      <c r="X1248" s="7" t="n"/>
      <c r="Y1248" s="7">
        <f>IF($E1248="","",AB1248*AE1248/100)</f>
        <v/>
      </c>
      <c r="Z1248" s="7">
        <f>IF($E1248="","",AB1248-Y1248)</f>
        <v/>
      </c>
      <c r="AA1248" s="7">
        <f>IF($E1248="","",Z1248-Q1248)</f>
        <v/>
      </c>
      <c r="AB1248" s="7" t="n"/>
      <c r="AE1248">
        <f>IF($E1248="","",IF($AQ1248=1,0,IF($AP1248=1,Settings!$C$6,Settings!$C$7))*100)</f>
        <v/>
      </c>
      <c r="AI1248" s="7" t="n"/>
      <c r="AL1248" s="11" t="n"/>
      <c r="AN1248">
        <f>IF($E1248="","",IF(COUNTIF($E$2:$E1248,$E1248)=1,1,0))</f>
        <v/>
      </c>
      <c r="AO1248">
        <f>IF($AN1248=1,SUMPRODUCT(--($AR$2:$AR$3001&lt;$AR1248))+1,"")</f>
        <v/>
      </c>
      <c r="AP1248">
        <f>IF($E1248="","",IF(OR($U1248=TRUE(),$U1248="TRUE"),1,0))</f>
        <v/>
      </c>
      <c r="AQ1248">
        <f>IF($E1248="","",IF($AD1248="Yes",1,0))</f>
        <v/>
      </c>
      <c r="AR1248">
        <f>IF($AN1248=1,IFERROR(VALUE(MID($E1248,2,20)),1000000000)+ROW()/100000,"")</f>
        <v/>
      </c>
    </row>
    <row r="1249">
      <c r="G1249" s="11" t="n"/>
      <c r="Q1249" s="7">
        <f>IF($E1249="","",P1249*AB1249/100)</f>
        <v/>
      </c>
      <c r="R1249" s="7" t="n"/>
      <c r="X1249" s="7" t="n"/>
      <c r="Y1249" s="7">
        <f>IF($E1249="","",AB1249*AE1249/100)</f>
        <v/>
      </c>
      <c r="Z1249" s="7">
        <f>IF($E1249="","",AB1249-Y1249)</f>
        <v/>
      </c>
      <c r="AA1249" s="7">
        <f>IF($E1249="","",Z1249-Q1249)</f>
        <v/>
      </c>
      <c r="AB1249" s="7" t="n"/>
      <c r="AE1249">
        <f>IF($E1249="","",IF($AQ1249=1,0,IF($AP1249=1,Settings!$C$6,Settings!$C$7))*100)</f>
        <v/>
      </c>
      <c r="AI1249" s="7" t="n"/>
      <c r="AL1249" s="11" t="n"/>
      <c r="AN1249">
        <f>IF($E1249="","",IF(COUNTIF($E$2:$E1249,$E1249)=1,1,0))</f>
        <v/>
      </c>
      <c r="AO1249">
        <f>IF($AN1249=1,SUMPRODUCT(--($AR$2:$AR$3001&lt;$AR1249))+1,"")</f>
        <v/>
      </c>
      <c r="AP1249">
        <f>IF($E1249="","",IF(OR($U1249=TRUE(),$U1249="TRUE"),1,0))</f>
        <v/>
      </c>
      <c r="AQ1249">
        <f>IF($E1249="","",IF($AD1249="Yes",1,0))</f>
        <v/>
      </c>
      <c r="AR1249">
        <f>IF($AN1249=1,IFERROR(VALUE(MID($E1249,2,20)),1000000000)+ROW()/100000,"")</f>
        <v/>
      </c>
    </row>
    <row r="1250">
      <c r="G1250" s="11" t="n"/>
      <c r="Q1250" s="7">
        <f>IF($E1250="","",P1250*AB1250/100)</f>
        <v/>
      </c>
      <c r="R1250" s="7" t="n"/>
      <c r="X1250" s="7" t="n"/>
      <c r="Y1250" s="7">
        <f>IF($E1250="","",AB1250*AE1250/100)</f>
        <v/>
      </c>
      <c r="Z1250" s="7">
        <f>IF($E1250="","",AB1250-Y1250)</f>
        <v/>
      </c>
      <c r="AA1250" s="7">
        <f>IF($E1250="","",Z1250-Q1250)</f>
        <v/>
      </c>
      <c r="AB1250" s="7" t="n"/>
      <c r="AE1250">
        <f>IF($E1250="","",IF($AQ1250=1,0,IF($AP1250=1,Settings!$C$6,Settings!$C$7))*100)</f>
        <v/>
      </c>
      <c r="AI1250" s="7" t="n"/>
      <c r="AL1250" s="11" t="n"/>
      <c r="AN1250">
        <f>IF($E1250="","",IF(COUNTIF($E$2:$E1250,$E1250)=1,1,0))</f>
        <v/>
      </c>
      <c r="AO1250">
        <f>IF($AN1250=1,SUMPRODUCT(--($AR$2:$AR$3001&lt;$AR1250))+1,"")</f>
        <v/>
      </c>
      <c r="AP1250">
        <f>IF($E1250="","",IF(OR($U1250=TRUE(),$U1250="TRUE"),1,0))</f>
        <v/>
      </c>
      <c r="AQ1250">
        <f>IF($E1250="","",IF($AD1250="Yes",1,0))</f>
        <v/>
      </c>
      <c r="AR1250">
        <f>IF($AN1250=1,IFERROR(VALUE(MID($E1250,2,20)),1000000000)+ROW()/100000,"")</f>
        <v/>
      </c>
    </row>
    <row r="1251">
      <c r="G1251" s="11" t="n"/>
      <c r="Q1251" s="7">
        <f>IF($E1251="","",P1251*AB1251/100)</f>
        <v/>
      </c>
      <c r="R1251" s="7" t="n"/>
      <c r="X1251" s="7" t="n"/>
      <c r="Y1251" s="7">
        <f>IF($E1251="","",AB1251*AE1251/100)</f>
        <v/>
      </c>
      <c r="Z1251" s="7">
        <f>IF($E1251="","",AB1251-Y1251)</f>
        <v/>
      </c>
      <c r="AA1251" s="7">
        <f>IF($E1251="","",Z1251-Q1251)</f>
        <v/>
      </c>
      <c r="AB1251" s="7" t="n"/>
      <c r="AE1251">
        <f>IF($E1251="","",IF($AQ1251=1,0,IF($AP1251=1,Settings!$C$6,Settings!$C$7))*100)</f>
        <v/>
      </c>
      <c r="AI1251" s="7" t="n"/>
      <c r="AL1251" s="11" t="n"/>
      <c r="AN1251">
        <f>IF($E1251="","",IF(COUNTIF($E$2:$E1251,$E1251)=1,1,0))</f>
        <v/>
      </c>
      <c r="AO1251">
        <f>IF($AN1251=1,SUMPRODUCT(--($AR$2:$AR$3001&lt;$AR1251))+1,"")</f>
        <v/>
      </c>
      <c r="AP1251">
        <f>IF($E1251="","",IF(OR($U1251=TRUE(),$U1251="TRUE"),1,0))</f>
        <v/>
      </c>
      <c r="AQ1251">
        <f>IF($E1251="","",IF($AD1251="Yes",1,0))</f>
        <v/>
      </c>
      <c r="AR1251">
        <f>IF($AN1251=1,IFERROR(VALUE(MID($E1251,2,20)),1000000000)+ROW()/100000,"")</f>
        <v/>
      </c>
    </row>
    <row r="1252">
      <c r="G1252" s="11" t="n"/>
      <c r="Q1252" s="7">
        <f>IF($E1252="","",P1252*AB1252/100)</f>
        <v/>
      </c>
      <c r="R1252" s="7" t="n"/>
      <c r="X1252" s="7" t="n"/>
      <c r="Y1252" s="7">
        <f>IF($E1252="","",AB1252*AE1252/100)</f>
        <v/>
      </c>
      <c r="Z1252" s="7">
        <f>IF($E1252="","",AB1252-Y1252)</f>
        <v/>
      </c>
      <c r="AA1252" s="7">
        <f>IF($E1252="","",Z1252-Q1252)</f>
        <v/>
      </c>
      <c r="AB1252" s="7" t="n"/>
      <c r="AE1252">
        <f>IF($E1252="","",IF($AQ1252=1,0,IF($AP1252=1,Settings!$C$6,Settings!$C$7))*100)</f>
        <v/>
      </c>
      <c r="AI1252" s="7" t="n"/>
      <c r="AL1252" s="11" t="n"/>
      <c r="AN1252">
        <f>IF($E1252="","",IF(COUNTIF($E$2:$E1252,$E1252)=1,1,0))</f>
        <v/>
      </c>
      <c r="AO1252">
        <f>IF($AN1252=1,SUMPRODUCT(--($AR$2:$AR$3001&lt;$AR1252))+1,"")</f>
        <v/>
      </c>
      <c r="AP1252">
        <f>IF($E1252="","",IF(OR($U1252=TRUE(),$U1252="TRUE"),1,0))</f>
        <v/>
      </c>
      <c r="AQ1252">
        <f>IF($E1252="","",IF($AD1252="Yes",1,0))</f>
        <v/>
      </c>
      <c r="AR1252">
        <f>IF($AN1252=1,IFERROR(VALUE(MID($E1252,2,20)),1000000000)+ROW()/100000,"")</f>
        <v/>
      </c>
    </row>
    <row r="1253">
      <c r="G1253" s="11" t="n"/>
      <c r="Q1253" s="7">
        <f>IF($E1253="","",P1253*AB1253/100)</f>
        <v/>
      </c>
      <c r="R1253" s="7" t="n"/>
      <c r="X1253" s="7" t="n"/>
      <c r="Y1253" s="7">
        <f>IF($E1253="","",AB1253*AE1253/100)</f>
        <v/>
      </c>
      <c r="Z1253" s="7">
        <f>IF($E1253="","",AB1253-Y1253)</f>
        <v/>
      </c>
      <c r="AA1253" s="7">
        <f>IF($E1253="","",Z1253-Q1253)</f>
        <v/>
      </c>
      <c r="AB1253" s="7" t="n"/>
      <c r="AE1253">
        <f>IF($E1253="","",IF($AQ1253=1,0,IF($AP1253=1,Settings!$C$6,Settings!$C$7))*100)</f>
        <v/>
      </c>
      <c r="AI1253" s="7" t="n"/>
      <c r="AL1253" s="11" t="n"/>
      <c r="AN1253">
        <f>IF($E1253="","",IF(COUNTIF($E$2:$E1253,$E1253)=1,1,0))</f>
        <v/>
      </c>
      <c r="AO1253">
        <f>IF($AN1253=1,SUMPRODUCT(--($AR$2:$AR$3001&lt;$AR1253))+1,"")</f>
        <v/>
      </c>
      <c r="AP1253">
        <f>IF($E1253="","",IF(OR($U1253=TRUE(),$U1253="TRUE"),1,0))</f>
        <v/>
      </c>
      <c r="AQ1253">
        <f>IF($E1253="","",IF($AD1253="Yes",1,0))</f>
        <v/>
      </c>
      <c r="AR1253">
        <f>IF($AN1253=1,IFERROR(VALUE(MID($E1253,2,20)),1000000000)+ROW()/100000,"")</f>
        <v/>
      </c>
    </row>
    <row r="1254">
      <c r="G1254" s="11" t="n"/>
      <c r="Q1254" s="7">
        <f>IF($E1254="","",P1254*AB1254/100)</f>
        <v/>
      </c>
      <c r="R1254" s="7" t="n"/>
      <c r="X1254" s="7" t="n"/>
      <c r="Y1254" s="7">
        <f>IF($E1254="","",AB1254*AE1254/100)</f>
        <v/>
      </c>
      <c r="Z1254" s="7">
        <f>IF($E1254="","",AB1254-Y1254)</f>
        <v/>
      </c>
      <c r="AA1254" s="7">
        <f>IF($E1254="","",Z1254-Q1254)</f>
        <v/>
      </c>
      <c r="AB1254" s="7" t="n"/>
      <c r="AE1254">
        <f>IF($E1254="","",IF($AQ1254=1,0,IF($AP1254=1,Settings!$C$6,Settings!$C$7))*100)</f>
        <v/>
      </c>
      <c r="AI1254" s="7" t="n"/>
      <c r="AL1254" s="11" t="n"/>
      <c r="AN1254">
        <f>IF($E1254="","",IF(COUNTIF($E$2:$E1254,$E1254)=1,1,0))</f>
        <v/>
      </c>
      <c r="AO1254">
        <f>IF($AN1254=1,SUMPRODUCT(--($AR$2:$AR$3001&lt;$AR1254))+1,"")</f>
        <v/>
      </c>
      <c r="AP1254">
        <f>IF($E1254="","",IF(OR($U1254=TRUE(),$U1254="TRUE"),1,0))</f>
        <v/>
      </c>
      <c r="AQ1254">
        <f>IF($E1254="","",IF($AD1254="Yes",1,0))</f>
        <v/>
      </c>
      <c r="AR1254">
        <f>IF($AN1254=1,IFERROR(VALUE(MID($E1254,2,20)),1000000000)+ROW()/100000,"")</f>
        <v/>
      </c>
    </row>
    <row r="1255">
      <c r="G1255" s="11" t="n"/>
      <c r="Q1255" s="7">
        <f>IF($E1255="","",P1255*AB1255/100)</f>
        <v/>
      </c>
      <c r="R1255" s="7" t="n"/>
      <c r="X1255" s="7" t="n"/>
      <c r="Y1255" s="7">
        <f>IF($E1255="","",AB1255*AE1255/100)</f>
        <v/>
      </c>
      <c r="Z1255" s="7">
        <f>IF($E1255="","",AB1255-Y1255)</f>
        <v/>
      </c>
      <c r="AA1255" s="7">
        <f>IF($E1255="","",Z1255-Q1255)</f>
        <v/>
      </c>
      <c r="AB1255" s="7" t="n"/>
      <c r="AE1255">
        <f>IF($E1255="","",IF($AQ1255=1,0,IF($AP1255=1,Settings!$C$6,Settings!$C$7))*100)</f>
        <v/>
      </c>
      <c r="AI1255" s="7" t="n"/>
      <c r="AL1255" s="11" t="n"/>
      <c r="AN1255">
        <f>IF($E1255="","",IF(COUNTIF($E$2:$E1255,$E1255)=1,1,0))</f>
        <v/>
      </c>
      <c r="AO1255">
        <f>IF($AN1255=1,SUMPRODUCT(--($AR$2:$AR$3001&lt;$AR1255))+1,"")</f>
        <v/>
      </c>
      <c r="AP1255">
        <f>IF($E1255="","",IF(OR($U1255=TRUE(),$U1255="TRUE"),1,0))</f>
        <v/>
      </c>
      <c r="AQ1255">
        <f>IF($E1255="","",IF($AD1255="Yes",1,0))</f>
        <v/>
      </c>
      <c r="AR1255">
        <f>IF($AN1255=1,IFERROR(VALUE(MID($E1255,2,20)),1000000000)+ROW()/100000,"")</f>
        <v/>
      </c>
    </row>
    <row r="1256">
      <c r="G1256" s="11" t="n"/>
      <c r="Q1256" s="7">
        <f>IF($E1256="","",P1256*AB1256/100)</f>
        <v/>
      </c>
      <c r="R1256" s="7" t="n"/>
      <c r="X1256" s="7" t="n"/>
      <c r="Y1256" s="7">
        <f>IF($E1256="","",AB1256*AE1256/100)</f>
        <v/>
      </c>
      <c r="Z1256" s="7">
        <f>IF($E1256="","",AB1256-Y1256)</f>
        <v/>
      </c>
      <c r="AA1256" s="7">
        <f>IF($E1256="","",Z1256-Q1256)</f>
        <v/>
      </c>
      <c r="AB1256" s="7" t="n"/>
      <c r="AE1256">
        <f>IF($E1256="","",IF($AQ1256=1,0,IF($AP1256=1,Settings!$C$6,Settings!$C$7))*100)</f>
        <v/>
      </c>
      <c r="AI1256" s="7" t="n"/>
      <c r="AL1256" s="11" t="n"/>
      <c r="AN1256">
        <f>IF($E1256="","",IF(COUNTIF($E$2:$E1256,$E1256)=1,1,0))</f>
        <v/>
      </c>
      <c r="AO1256">
        <f>IF($AN1256=1,SUMPRODUCT(--($AR$2:$AR$3001&lt;$AR1256))+1,"")</f>
        <v/>
      </c>
      <c r="AP1256">
        <f>IF($E1256="","",IF(OR($U1256=TRUE(),$U1256="TRUE"),1,0))</f>
        <v/>
      </c>
      <c r="AQ1256">
        <f>IF($E1256="","",IF($AD1256="Yes",1,0))</f>
        <v/>
      </c>
      <c r="AR1256">
        <f>IF($AN1256=1,IFERROR(VALUE(MID($E1256,2,20)),1000000000)+ROW()/100000,"")</f>
        <v/>
      </c>
    </row>
    <row r="1257">
      <c r="G1257" s="11" t="n"/>
      <c r="Q1257" s="7">
        <f>IF($E1257="","",P1257*AB1257/100)</f>
        <v/>
      </c>
      <c r="R1257" s="7" t="n"/>
      <c r="X1257" s="7" t="n"/>
      <c r="Y1257" s="7">
        <f>IF($E1257="","",AB1257*AE1257/100)</f>
        <v/>
      </c>
      <c r="Z1257" s="7">
        <f>IF($E1257="","",AB1257-Y1257)</f>
        <v/>
      </c>
      <c r="AA1257" s="7">
        <f>IF($E1257="","",Z1257-Q1257)</f>
        <v/>
      </c>
      <c r="AB1257" s="7" t="n"/>
      <c r="AE1257">
        <f>IF($E1257="","",IF($AQ1257=1,0,IF($AP1257=1,Settings!$C$6,Settings!$C$7))*100)</f>
        <v/>
      </c>
      <c r="AI1257" s="7" t="n"/>
      <c r="AL1257" s="11" t="n"/>
      <c r="AN1257">
        <f>IF($E1257="","",IF(COUNTIF($E$2:$E1257,$E1257)=1,1,0))</f>
        <v/>
      </c>
      <c r="AO1257">
        <f>IF($AN1257=1,SUMPRODUCT(--($AR$2:$AR$3001&lt;$AR1257))+1,"")</f>
        <v/>
      </c>
      <c r="AP1257">
        <f>IF($E1257="","",IF(OR($U1257=TRUE(),$U1257="TRUE"),1,0))</f>
        <v/>
      </c>
      <c r="AQ1257">
        <f>IF($E1257="","",IF($AD1257="Yes",1,0))</f>
        <v/>
      </c>
      <c r="AR1257">
        <f>IF($AN1257=1,IFERROR(VALUE(MID($E1257,2,20)),1000000000)+ROW()/100000,"")</f>
        <v/>
      </c>
    </row>
    <row r="1258">
      <c r="G1258" s="11" t="n"/>
      <c r="Q1258" s="7">
        <f>IF($E1258="","",P1258*AB1258/100)</f>
        <v/>
      </c>
      <c r="R1258" s="7" t="n"/>
      <c r="X1258" s="7" t="n"/>
      <c r="Y1258" s="7">
        <f>IF($E1258="","",AB1258*AE1258/100)</f>
        <v/>
      </c>
      <c r="Z1258" s="7">
        <f>IF($E1258="","",AB1258-Y1258)</f>
        <v/>
      </c>
      <c r="AA1258" s="7">
        <f>IF($E1258="","",Z1258-Q1258)</f>
        <v/>
      </c>
      <c r="AB1258" s="7" t="n"/>
      <c r="AE1258">
        <f>IF($E1258="","",IF($AQ1258=1,0,IF($AP1258=1,Settings!$C$6,Settings!$C$7))*100)</f>
        <v/>
      </c>
      <c r="AI1258" s="7" t="n"/>
      <c r="AL1258" s="11" t="n"/>
      <c r="AN1258">
        <f>IF($E1258="","",IF(COUNTIF($E$2:$E1258,$E1258)=1,1,0))</f>
        <v/>
      </c>
      <c r="AO1258">
        <f>IF($AN1258=1,SUMPRODUCT(--($AR$2:$AR$3001&lt;$AR1258))+1,"")</f>
        <v/>
      </c>
      <c r="AP1258">
        <f>IF($E1258="","",IF(OR($U1258=TRUE(),$U1258="TRUE"),1,0))</f>
        <v/>
      </c>
      <c r="AQ1258">
        <f>IF($E1258="","",IF($AD1258="Yes",1,0))</f>
        <v/>
      </c>
      <c r="AR1258">
        <f>IF($AN1258=1,IFERROR(VALUE(MID($E1258,2,20)),1000000000)+ROW()/100000,"")</f>
        <v/>
      </c>
    </row>
    <row r="1259">
      <c r="G1259" s="11" t="n"/>
      <c r="Q1259" s="7">
        <f>IF($E1259="","",P1259*AB1259/100)</f>
        <v/>
      </c>
      <c r="R1259" s="7" t="n"/>
      <c r="X1259" s="7" t="n"/>
      <c r="Y1259" s="7">
        <f>IF($E1259="","",AB1259*AE1259/100)</f>
        <v/>
      </c>
      <c r="Z1259" s="7">
        <f>IF($E1259="","",AB1259-Y1259)</f>
        <v/>
      </c>
      <c r="AA1259" s="7">
        <f>IF($E1259="","",Z1259-Q1259)</f>
        <v/>
      </c>
      <c r="AB1259" s="7" t="n"/>
      <c r="AE1259">
        <f>IF($E1259="","",IF($AQ1259=1,0,IF($AP1259=1,Settings!$C$6,Settings!$C$7))*100)</f>
        <v/>
      </c>
      <c r="AI1259" s="7" t="n"/>
      <c r="AL1259" s="11" t="n"/>
      <c r="AN1259">
        <f>IF($E1259="","",IF(COUNTIF($E$2:$E1259,$E1259)=1,1,0))</f>
        <v/>
      </c>
      <c r="AO1259">
        <f>IF($AN1259=1,SUMPRODUCT(--($AR$2:$AR$3001&lt;$AR1259))+1,"")</f>
        <v/>
      </c>
      <c r="AP1259">
        <f>IF($E1259="","",IF(OR($U1259=TRUE(),$U1259="TRUE"),1,0))</f>
        <v/>
      </c>
      <c r="AQ1259">
        <f>IF($E1259="","",IF($AD1259="Yes",1,0))</f>
        <v/>
      </c>
      <c r="AR1259">
        <f>IF($AN1259=1,IFERROR(VALUE(MID($E1259,2,20)),1000000000)+ROW()/100000,"")</f>
        <v/>
      </c>
    </row>
    <row r="1260">
      <c r="G1260" s="11" t="n"/>
      <c r="Q1260" s="7">
        <f>IF($E1260="","",P1260*AB1260/100)</f>
        <v/>
      </c>
      <c r="R1260" s="7" t="n"/>
      <c r="X1260" s="7" t="n"/>
      <c r="Y1260" s="7">
        <f>IF($E1260="","",AB1260*AE1260/100)</f>
        <v/>
      </c>
      <c r="Z1260" s="7">
        <f>IF($E1260="","",AB1260-Y1260)</f>
        <v/>
      </c>
      <c r="AA1260" s="7">
        <f>IF($E1260="","",Z1260-Q1260)</f>
        <v/>
      </c>
      <c r="AB1260" s="7" t="n"/>
      <c r="AE1260">
        <f>IF($E1260="","",IF($AQ1260=1,0,IF($AP1260=1,Settings!$C$6,Settings!$C$7))*100)</f>
        <v/>
      </c>
      <c r="AI1260" s="7" t="n"/>
      <c r="AL1260" s="11" t="n"/>
      <c r="AN1260">
        <f>IF($E1260="","",IF(COUNTIF($E$2:$E1260,$E1260)=1,1,0))</f>
        <v/>
      </c>
      <c r="AO1260">
        <f>IF($AN1260=1,SUMPRODUCT(--($AR$2:$AR$3001&lt;$AR1260))+1,"")</f>
        <v/>
      </c>
      <c r="AP1260">
        <f>IF($E1260="","",IF(OR($U1260=TRUE(),$U1260="TRUE"),1,0))</f>
        <v/>
      </c>
      <c r="AQ1260">
        <f>IF($E1260="","",IF($AD1260="Yes",1,0))</f>
        <v/>
      </c>
      <c r="AR1260">
        <f>IF($AN1260=1,IFERROR(VALUE(MID($E1260,2,20)),1000000000)+ROW()/100000,"")</f>
        <v/>
      </c>
    </row>
    <row r="1261">
      <c r="G1261" s="11" t="n"/>
      <c r="Q1261" s="7">
        <f>IF($E1261="","",P1261*AB1261/100)</f>
        <v/>
      </c>
      <c r="R1261" s="7" t="n"/>
      <c r="X1261" s="7" t="n"/>
      <c r="Y1261" s="7">
        <f>IF($E1261="","",AB1261*AE1261/100)</f>
        <v/>
      </c>
      <c r="Z1261" s="7">
        <f>IF($E1261="","",AB1261-Y1261)</f>
        <v/>
      </c>
      <c r="AA1261" s="7">
        <f>IF($E1261="","",Z1261-Q1261)</f>
        <v/>
      </c>
      <c r="AB1261" s="7" t="n"/>
      <c r="AE1261">
        <f>IF($E1261="","",IF($AQ1261=1,0,IF($AP1261=1,Settings!$C$6,Settings!$C$7))*100)</f>
        <v/>
      </c>
      <c r="AI1261" s="7" t="n"/>
      <c r="AL1261" s="11" t="n"/>
      <c r="AN1261">
        <f>IF($E1261="","",IF(COUNTIF($E$2:$E1261,$E1261)=1,1,0))</f>
        <v/>
      </c>
      <c r="AO1261">
        <f>IF($AN1261=1,SUMPRODUCT(--($AR$2:$AR$3001&lt;$AR1261))+1,"")</f>
        <v/>
      </c>
      <c r="AP1261">
        <f>IF($E1261="","",IF(OR($U1261=TRUE(),$U1261="TRUE"),1,0))</f>
        <v/>
      </c>
      <c r="AQ1261">
        <f>IF($E1261="","",IF($AD1261="Yes",1,0))</f>
        <v/>
      </c>
      <c r="AR1261">
        <f>IF($AN1261=1,IFERROR(VALUE(MID($E1261,2,20)),1000000000)+ROW()/100000,"")</f>
        <v/>
      </c>
    </row>
    <row r="1262">
      <c r="G1262" s="11" t="n"/>
      <c r="Q1262" s="7">
        <f>IF($E1262="","",P1262*AB1262/100)</f>
        <v/>
      </c>
      <c r="R1262" s="7" t="n"/>
      <c r="X1262" s="7" t="n"/>
      <c r="Y1262" s="7">
        <f>IF($E1262="","",AB1262*AE1262/100)</f>
        <v/>
      </c>
      <c r="Z1262" s="7">
        <f>IF($E1262="","",AB1262-Y1262)</f>
        <v/>
      </c>
      <c r="AA1262" s="7">
        <f>IF($E1262="","",Z1262-Q1262)</f>
        <v/>
      </c>
      <c r="AB1262" s="7" t="n"/>
      <c r="AE1262">
        <f>IF($E1262="","",IF($AQ1262=1,0,IF($AP1262=1,Settings!$C$6,Settings!$C$7))*100)</f>
        <v/>
      </c>
      <c r="AI1262" s="7" t="n"/>
      <c r="AL1262" s="11" t="n"/>
      <c r="AN1262">
        <f>IF($E1262="","",IF(COUNTIF($E$2:$E1262,$E1262)=1,1,0))</f>
        <v/>
      </c>
      <c r="AO1262">
        <f>IF($AN1262=1,SUMPRODUCT(--($AR$2:$AR$3001&lt;$AR1262))+1,"")</f>
        <v/>
      </c>
      <c r="AP1262">
        <f>IF($E1262="","",IF(OR($U1262=TRUE(),$U1262="TRUE"),1,0))</f>
        <v/>
      </c>
      <c r="AQ1262">
        <f>IF($E1262="","",IF($AD1262="Yes",1,0))</f>
        <v/>
      </c>
      <c r="AR1262">
        <f>IF($AN1262=1,IFERROR(VALUE(MID($E1262,2,20)),1000000000)+ROW()/100000,"")</f>
        <v/>
      </c>
    </row>
    <row r="1263">
      <c r="G1263" s="11" t="n"/>
      <c r="Q1263" s="7">
        <f>IF($E1263="","",P1263*AB1263/100)</f>
        <v/>
      </c>
      <c r="R1263" s="7" t="n"/>
      <c r="X1263" s="7" t="n"/>
      <c r="Y1263" s="7">
        <f>IF($E1263="","",AB1263*AE1263/100)</f>
        <v/>
      </c>
      <c r="Z1263" s="7">
        <f>IF($E1263="","",AB1263-Y1263)</f>
        <v/>
      </c>
      <c r="AA1263" s="7">
        <f>IF($E1263="","",Z1263-Q1263)</f>
        <v/>
      </c>
      <c r="AB1263" s="7" t="n"/>
      <c r="AE1263">
        <f>IF($E1263="","",IF($AQ1263=1,0,IF($AP1263=1,Settings!$C$6,Settings!$C$7))*100)</f>
        <v/>
      </c>
      <c r="AI1263" s="7" t="n"/>
      <c r="AL1263" s="11" t="n"/>
      <c r="AN1263">
        <f>IF($E1263="","",IF(COUNTIF($E$2:$E1263,$E1263)=1,1,0))</f>
        <v/>
      </c>
      <c r="AO1263">
        <f>IF($AN1263=1,SUMPRODUCT(--($AR$2:$AR$3001&lt;$AR1263))+1,"")</f>
        <v/>
      </c>
      <c r="AP1263">
        <f>IF($E1263="","",IF(OR($U1263=TRUE(),$U1263="TRUE"),1,0))</f>
        <v/>
      </c>
      <c r="AQ1263">
        <f>IF($E1263="","",IF($AD1263="Yes",1,0))</f>
        <v/>
      </c>
      <c r="AR1263">
        <f>IF($AN1263=1,IFERROR(VALUE(MID($E1263,2,20)),1000000000)+ROW()/100000,"")</f>
        <v/>
      </c>
    </row>
    <row r="1264">
      <c r="G1264" s="11" t="n"/>
      <c r="Q1264" s="7">
        <f>IF($E1264="","",P1264*AB1264/100)</f>
        <v/>
      </c>
      <c r="R1264" s="7" t="n"/>
      <c r="X1264" s="7" t="n"/>
      <c r="Y1264" s="7">
        <f>IF($E1264="","",AB1264*AE1264/100)</f>
        <v/>
      </c>
      <c r="Z1264" s="7">
        <f>IF($E1264="","",AB1264-Y1264)</f>
        <v/>
      </c>
      <c r="AA1264" s="7">
        <f>IF($E1264="","",Z1264-Q1264)</f>
        <v/>
      </c>
      <c r="AB1264" s="7" t="n"/>
      <c r="AE1264">
        <f>IF($E1264="","",IF($AQ1264=1,0,IF($AP1264=1,Settings!$C$6,Settings!$C$7))*100)</f>
        <v/>
      </c>
      <c r="AI1264" s="7" t="n"/>
      <c r="AL1264" s="11" t="n"/>
      <c r="AN1264">
        <f>IF($E1264="","",IF(COUNTIF($E$2:$E1264,$E1264)=1,1,0))</f>
        <v/>
      </c>
      <c r="AO1264">
        <f>IF($AN1264=1,SUMPRODUCT(--($AR$2:$AR$3001&lt;$AR1264))+1,"")</f>
        <v/>
      </c>
      <c r="AP1264">
        <f>IF($E1264="","",IF(OR($U1264=TRUE(),$U1264="TRUE"),1,0))</f>
        <v/>
      </c>
      <c r="AQ1264">
        <f>IF($E1264="","",IF($AD1264="Yes",1,0))</f>
        <v/>
      </c>
      <c r="AR1264">
        <f>IF($AN1264=1,IFERROR(VALUE(MID($E1264,2,20)),1000000000)+ROW()/100000,"")</f>
        <v/>
      </c>
    </row>
    <row r="1265">
      <c r="G1265" s="11" t="n"/>
      <c r="Q1265" s="7">
        <f>IF($E1265="","",P1265*AB1265/100)</f>
        <v/>
      </c>
      <c r="R1265" s="7" t="n"/>
      <c r="X1265" s="7" t="n"/>
      <c r="Y1265" s="7">
        <f>IF($E1265="","",AB1265*AE1265/100)</f>
        <v/>
      </c>
      <c r="Z1265" s="7">
        <f>IF($E1265="","",AB1265-Y1265)</f>
        <v/>
      </c>
      <c r="AA1265" s="7">
        <f>IF($E1265="","",Z1265-Q1265)</f>
        <v/>
      </c>
      <c r="AB1265" s="7" t="n"/>
      <c r="AE1265">
        <f>IF($E1265="","",IF($AQ1265=1,0,IF($AP1265=1,Settings!$C$6,Settings!$C$7))*100)</f>
        <v/>
      </c>
      <c r="AI1265" s="7" t="n"/>
      <c r="AL1265" s="11" t="n"/>
      <c r="AN1265">
        <f>IF($E1265="","",IF(COUNTIF($E$2:$E1265,$E1265)=1,1,0))</f>
        <v/>
      </c>
      <c r="AO1265">
        <f>IF($AN1265=1,SUMPRODUCT(--($AR$2:$AR$3001&lt;$AR1265))+1,"")</f>
        <v/>
      </c>
      <c r="AP1265">
        <f>IF($E1265="","",IF(OR($U1265=TRUE(),$U1265="TRUE"),1,0))</f>
        <v/>
      </c>
      <c r="AQ1265">
        <f>IF($E1265="","",IF($AD1265="Yes",1,0))</f>
        <v/>
      </c>
      <c r="AR1265">
        <f>IF($AN1265=1,IFERROR(VALUE(MID($E1265,2,20)),1000000000)+ROW()/100000,"")</f>
        <v/>
      </c>
    </row>
    <row r="1266">
      <c r="G1266" s="11" t="n"/>
      <c r="Q1266" s="7">
        <f>IF($E1266="","",P1266*AB1266/100)</f>
        <v/>
      </c>
      <c r="R1266" s="7" t="n"/>
      <c r="X1266" s="7" t="n"/>
      <c r="Y1266" s="7">
        <f>IF($E1266="","",AB1266*AE1266/100)</f>
        <v/>
      </c>
      <c r="Z1266" s="7">
        <f>IF($E1266="","",AB1266-Y1266)</f>
        <v/>
      </c>
      <c r="AA1266" s="7">
        <f>IF($E1266="","",Z1266-Q1266)</f>
        <v/>
      </c>
      <c r="AB1266" s="7" t="n"/>
      <c r="AE1266">
        <f>IF($E1266="","",IF($AQ1266=1,0,IF($AP1266=1,Settings!$C$6,Settings!$C$7))*100)</f>
        <v/>
      </c>
      <c r="AI1266" s="7" t="n"/>
      <c r="AL1266" s="11" t="n"/>
      <c r="AN1266">
        <f>IF($E1266="","",IF(COUNTIF($E$2:$E1266,$E1266)=1,1,0))</f>
        <v/>
      </c>
      <c r="AO1266">
        <f>IF($AN1266=1,SUMPRODUCT(--($AR$2:$AR$3001&lt;$AR1266))+1,"")</f>
        <v/>
      </c>
      <c r="AP1266">
        <f>IF($E1266="","",IF(OR($U1266=TRUE(),$U1266="TRUE"),1,0))</f>
        <v/>
      </c>
      <c r="AQ1266">
        <f>IF($E1266="","",IF($AD1266="Yes",1,0))</f>
        <v/>
      </c>
      <c r="AR1266">
        <f>IF($AN1266=1,IFERROR(VALUE(MID($E1266,2,20)),1000000000)+ROW()/100000,"")</f>
        <v/>
      </c>
    </row>
    <row r="1267">
      <c r="G1267" s="11" t="n"/>
      <c r="Q1267" s="7">
        <f>IF($E1267="","",P1267*AB1267/100)</f>
        <v/>
      </c>
      <c r="R1267" s="7" t="n"/>
      <c r="X1267" s="7" t="n"/>
      <c r="Y1267" s="7">
        <f>IF($E1267="","",AB1267*AE1267/100)</f>
        <v/>
      </c>
      <c r="Z1267" s="7">
        <f>IF($E1267="","",AB1267-Y1267)</f>
        <v/>
      </c>
      <c r="AA1267" s="7">
        <f>IF($E1267="","",Z1267-Q1267)</f>
        <v/>
      </c>
      <c r="AB1267" s="7" t="n"/>
      <c r="AE1267">
        <f>IF($E1267="","",IF($AQ1267=1,0,IF($AP1267=1,Settings!$C$6,Settings!$C$7))*100)</f>
        <v/>
      </c>
      <c r="AI1267" s="7" t="n"/>
      <c r="AL1267" s="11" t="n"/>
      <c r="AN1267">
        <f>IF($E1267="","",IF(COUNTIF($E$2:$E1267,$E1267)=1,1,0))</f>
        <v/>
      </c>
      <c r="AO1267">
        <f>IF($AN1267=1,SUMPRODUCT(--($AR$2:$AR$3001&lt;$AR1267))+1,"")</f>
        <v/>
      </c>
      <c r="AP1267">
        <f>IF($E1267="","",IF(OR($U1267=TRUE(),$U1267="TRUE"),1,0))</f>
        <v/>
      </c>
      <c r="AQ1267">
        <f>IF($E1267="","",IF($AD1267="Yes",1,0))</f>
        <v/>
      </c>
      <c r="AR1267">
        <f>IF($AN1267=1,IFERROR(VALUE(MID($E1267,2,20)),1000000000)+ROW()/100000,"")</f>
        <v/>
      </c>
    </row>
    <row r="1268">
      <c r="G1268" s="11" t="n"/>
      <c r="Q1268" s="7">
        <f>IF($E1268="","",P1268*AB1268/100)</f>
        <v/>
      </c>
      <c r="R1268" s="7" t="n"/>
      <c r="X1268" s="7" t="n"/>
      <c r="Y1268" s="7">
        <f>IF($E1268="","",AB1268*AE1268/100)</f>
        <v/>
      </c>
      <c r="Z1268" s="7">
        <f>IF($E1268="","",AB1268-Y1268)</f>
        <v/>
      </c>
      <c r="AA1268" s="7">
        <f>IF($E1268="","",Z1268-Q1268)</f>
        <v/>
      </c>
      <c r="AB1268" s="7" t="n"/>
      <c r="AE1268">
        <f>IF($E1268="","",IF($AQ1268=1,0,IF($AP1268=1,Settings!$C$6,Settings!$C$7))*100)</f>
        <v/>
      </c>
      <c r="AI1268" s="7" t="n"/>
      <c r="AL1268" s="11" t="n"/>
      <c r="AN1268">
        <f>IF($E1268="","",IF(COUNTIF($E$2:$E1268,$E1268)=1,1,0))</f>
        <v/>
      </c>
      <c r="AO1268">
        <f>IF($AN1268=1,SUMPRODUCT(--($AR$2:$AR$3001&lt;$AR1268))+1,"")</f>
        <v/>
      </c>
      <c r="AP1268">
        <f>IF($E1268="","",IF(OR($U1268=TRUE(),$U1268="TRUE"),1,0))</f>
        <v/>
      </c>
      <c r="AQ1268">
        <f>IF($E1268="","",IF($AD1268="Yes",1,0))</f>
        <v/>
      </c>
      <c r="AR1268">
        <f>IF($AN1268=1,IFERROR(VALUE(MID($E1268,2,20)),1000000000)+ROW()/100000,"")</f>
        <v/>
      </c>
    </row>
    <row r="1269">
      <c r="G1269" s="11" t="n"/>
      <c r="Q1269" s="7">
        <f>IF($E1269="","",P1269*AB1269/100)</f>
        <v/>
      </c>
      <c r="R1269" s="7" t="n"/>
      <c r="X1269" s="7" t="n"/>
      <c r="Y1269" s="7">
        <f>IF($E1269="","",AB1269*AE1269/100)</f>
        <v/>
      </c>
      <c r="Z1269" s="7">
        <f>IF($E1269="","",AB1269-Y1269)</f>
        <v/>
      </c>
      <c r="AA1269" s="7">
        <f>IF($E1269="","",Z1269-Q1269)</f>
        <v/>
      </c>
      <c r="AB1269" s="7" t="n"/>
      <c r="AE1269">
        <f>IF($E1269="","",IF($AQ1269=1,0,IF($AP1269=1,Settings!$C$6,Settings!$C$7))*100)</f>
        <v/>
      </c>
      <c r="AI1269" s="7" t="n"/>
      <c r="AL1269" s="11" t="n"/>
      <c r="AN1269">
        <f>IF($E1269="","",IF(COUNTIF($E$2:$E1269,$E1269)=1,1,0))</f>
        <v/>
      </c>
      <c r="AO1269">
        <f>IF($AN1269=1,SUMPRODUCT(--($AR$2:$AR$3001&lt;$AR1269))+1,"")</f>
        <v/>
      </c>
      <c r="AP1269">
        <f>IF($E1269="","",IF(OR($U1269=TRUE(),$U1269="TRUE"),1,0))</f>
        <v/>
      </c>
      <c r="AQ1269">
        <f>IF($E1269="","",IF($AD1269="Yes",1,0))</f>
        <v/>
      </c>
      <c r="AR1269">
        <f>IF($AN1269=1,IFERROR(VALUE(MID($E1269,2,20)),1000000000)+ROW()/100000,"")</f>
        <v/>
      </c>
    </row>
    <row r="1270">
      <c r="G1270" s="11" t="n"/>
      <c r="Q1270" s="7">
        <f>IF($E1270="","",P1270*AB1270/100)</f>
        <v/>
      </c>
      <c r="R1270" s="7" t="n"/>
      <c r="X1270" s="7" t="n"/>
      <c r="Y1270" s="7">
        <f>IF($E1270="","",AB1270*AE1270/100)</f>
        <v/>
      </c>
      <c r="Z1270" s="7">
        <f>IF($E1270="","",AB1270-Y1270)</f>
        <v/>
      </c>
      <c r="AA1270" s="7">
        <f>IF($E1270="","",Z1270-Q1270)</f>
        <v/>
      </c>
      <c r="AB1270" s="7" t="n"/>
      <c r="AE1270">
        <f>IF($E1270="","",IF($AQ1270=1,0,IF($AP1270=1,Settings!$C$6,Settings!$C$7))*100)</f>
        <v/>
      </c>
      <c r="AI1270" s="7" t="n"/>
      <c r="AL1270" s="11" t="n"/>
      <c r="AN1270">
        <f>IF($E1270="","",IF(COUNTIF($E$2:$E1270,$E1270)=1,1,0))</f>
        <v/>
      </c>
      <c r="AO1270">
        <f>IF($AN1270=1,SUMPRODUCT(--($AR$2:$AR$3001&lt;$AR1270))+1,"")</f>
        <v/>
      </c>
      <c r="AP1270">
        <f>IF($E1270="","",IF(OR($U1270=TRUE(),$U1270="TRUE"),1,0))</f>
        <v/>
      </c>
      <c r="AQ1270">
        <f>IF($E1270="","",IF($AD1270="Yes",1,0))</f>
        <v/>
      </c>
      <c r="AR1270">
        <f>IF($AN1270=1,IFERROR(VALUE(MID($E1270,2,20)),1000000000)+ROW()/100000,"")</f>
        <v/>
      </c>
    </row>
    <row r="1271">
      <c r="G1271" s="11" t="n"/>
      <c r="Q1271" s="7">
        <f>IF($E1271="","",P1271*AB1271/100)</f>
        <v/>
      </c>
      <c r="R1271" s="7" t="n"/>
      <c r="X1271" s="7" t="n"/>
      <c r="Y1271" s="7">
        <f>IF($E1271="","",AB1271*AE1271/100)</f>
        <v/>
      </c>
      <c r="Z1271" s="7">
        <f>IF($E1271="","",AB1271-Y1271)</f>
        <v/>
      </c>
      <c r="AA1271" s="7">
        <f>IF($E1271="","",Z1271-Q1271)</f>
        <v/>
      </c>
      <c r="AB1271" s="7" t="n"/>
      <c r="AE1271">
        <f>IF($E1271="","",IF($AQ1271=1,0,IF($AP1271=1,Settings!$C$6,Settings!$C$7))*100)</f>
        <v/>
      </c>
      <c r="AI1271" s="7" t="n"/>
      <c r="AL1271" s="11" t="n"/>
      <c r="AN1271">
        <f>IF($E1271="","",IF(COUNTIF($E$2:$E1271,$E1271)=1,1,0))</f>
        <v/>
      </c>
      <c r="AO1271">
        <f>IF($AN1271=1,SUMPRODUCT(--($AR$2:$AR$3001&lt;$AR1271))+1,"")</f>
        <v/>
      </c>
      <c r="AP1271">
        <f>IF($E1271="","",IF(OR($U1271=TRUE(),$U1271="TRUE"),1,0))</f>
        <v/>
      </c>
      <c r="AQ1271">
        <f>IF($E1271="","",IF($AD1271="Yes",1,0))</f>
        <v/>
      </c>
      <c r="AR1271">
        <f>IF($AN1271=1,IFERROR(VALUE(MID($E1271,2,20)),1000000000)+ROW()/100000,"")</f>
        <v/>
      </c>
    </row>
    <row r="1272">
      <c r="G1272" s="11" t="n"/>
      <c r="Q1272" s="7">
        <f>IF($E1272="","",P1272*AB1272/100)</f>
        <v/>
      </c>
      <c r="R1272" s="7" t="n"/>
      <c r="X1272" s="7" t="n"/>
      <c r="Y1272" s="7">
        <f>IF($E1272="","",AB1272*AE1272/100)</f>
        <v/>
      </c>
      <c r="Z1272" s="7">
        <f>IF($E1272="","",AB1272-Y1272)</f>
        <v/>
      </c>
      <c r="AA1272" s="7">
        <f>IF($E1272="","",Z1272-Q1272)</f>
        <v/>
      </c>
      <c r="AB1272" s="7" t="n"/>
      <c r="AE1272">
        <f>IF($E1272="","",IF($AQ1272=1,0,IF($AP1272=1,Settings!$C$6,Settings!$C$7))*100)</f>
        <v/>
      </c>
      <c r="AI1272" s="7" t="n"/>
      <c r="AL1272" s="11" t="n"/>
      <c r="AN1272">
        <f>IF($E1272="","",IF(COUNTIF($E$2:$E1272,$E1272)=1,1,0))</f>
        <v/>
      </c>
      <c r="AO1272">
        <f>IF($AN1272=1,SUMPRODUCT(--($AR$2:$AR$3001&lt;$AR1272))+1,"")</f>
        <v/>
      </c>
      <c r="AP1272">
        <f>IF($E1272="","",IF(OR($U1272=TRUE(),$U1272="TRUE"),1,0))</f>
        <v/>
      </c>
      <c r="AQ1272">
        <f>IF($E1272="","",IF($AD1272="Yes",1,0))</f>
        <v/>
      </c>
      <c r="AR1272">
        <f>IF($AN1272=1,IFERROR(VALUE(MID($E1272,2,20)),1000000000)+ROW()/100000,"")</f>
        <v/>
      </c>
    </row>
    <row r="1273">
      <c r="G1273" s="11" t="n"/>
      <c r="Q1273" s="7">
        <f>IF($E1273="","",P1273*AB1273/100)</f>
        <v/>
      </c>
      <c r="R1273" s="7" t="n"/>
      <c r="X1273" s="7" t="n"/>
      <c r="Y1273" s="7">
        <f>IF($E1273="","",AB1273*AE1273/100)</f>
        <v/>
      </c>
      <c r="Z1273" s="7">
        <f>IF($E1273="","",AB1273-Y1273)</f>
        <v/>
      </c>
      <c r="AA1273" s="7">
        <f>IF($E1273="","",Z1273-Q1273)</f>
        <v/>
      </c>
      <c r="AB1273" s="7" t="n"/>
      <c r="AE1273">
        <f>IF($E1273="","",IF($AQ1273=1,0,IF($AP1273=1,Settings!$C$6,Settings!$C$7))*100)</f>
        <v/>
      </c>
      <c r="AI1273" s="7" t="n"/>
      <c r="AL1273" s="11" t="n"/>
      <c r="AN1273">
        <f>IF($E1273="","",IF(COUNTIF($E$2:$E1273,$E1273)=1,1,0))</f>
        <v/>
      </c>
      <c r="AO1273">
        <f>IF($AN1273=1,SUMPRODUCT(--($AR$2:$AR$3001&lt;$AR1273))+1,"")</f>
        <v/>
      </c>
      <c r="AP1273">
        <f>IF($E1273="","",IF(OR($U1273=TRUE(),$U1273="TRUE"),1,0))</f>
        <v/>
      </c>
      <c r="AQ1273">
        <f>IF($E1273="","",IF($AD1273="Yes",1,0))</f>
        <v/>
      </c>
      <c r="AR1273">
        <f>IF($AN1273=1,IFERROR(VALUE(MID($E1273,2,20)),1000000000)+ROW()/100000,"")</f>
        <v/>
      </c>
    </row>
    <row r="1274">
      <c r="G1274" s="11" t="n"/>
      <c r="Q1274" s="7">
        <f>IF($E1274="","",P1274*AB1274/100)</f>
        <v/>
      </c>
      <c r="R1274" s="7" t="n"/>
      <c r="X1274" s="7" t="n"/>
      <c r="Y1274" s="7">
        <f>IF($E1274="","",AB1274*AE1274/100)</f>
        <v/>
      </c>
      <c r="Z1274" s="7">
        <f>IF($E1274="","",AB1274-Y1274)</f>
        <v/>
      </c>
      <c r="AA1274" s="7">
        <f>IF($E1274="","",Z1274-Q1274)</f>
        <v/>
      </c>
      <c r="AB1274" s="7" t="n"/>
      <c r="AE1274">
        <f>IF($E1274="","",IF($AQ1274=1,0,IF($AP1274=1,Settings!$C$6,Settings!$C$7))*100)</f>
        <v/>
      </c>
      <c r="AI1274" s="7" t="n"/>
      <c r="AL1274" s="11" t="n"/>
      <c r="AN1274">
        <f>IF($E1274="","",IF(COUNTIF($E$2:$E1274,$E1274)=1,1,0))</f>
        <v/>
      </c>
      <c r="AO1274">
        <f>IF($AN1274=1,SUMPRODUCT(--($AR$2:$AR$3001&lt;$AR1274))+1,"")</f>
        <v/>
      </c>
      <c r="AP1274">
        <f>IF($E1274="","",IF(OR($U1274=TRUE(),$U1274="TRUE"),1,0))</f>
        <v/>
      </c>
      <c r="AQ1274">
        <f>IF($E1274="","",IF($AD1274="Yes",1,0))</f>
        <v/>
      </c>
      <c r="AR1274">
        <f>IF($AN1274=1,IFERROR(VALUE(MID($E1274,2,20)),1000000000)+ROW()/100000,"")</f>
        <v/>
      </c>
    </row>
    <row r="1275">
      <c r="G1275" s="11" t="n"/>
      <c r="Q1275" s="7">
        <f>IF($E1275="","",P1275*AB1275/100)</f>
        <v/>
      </c>
      <c r="R1275" s="7" t="n"/>
      <c r="X1275" s="7" t="n"/>
      <c r="Y1275" s="7">
        <f>IF($E1275="","",AB1275*AE1275/100)</f>
        <v/>
      </c>
      <c r="Z1275" s="7">
        <f>IF($E1275="","",AB1275-Y1275)</f>
        <v/>
      </c>
      <c r="AA1275" s="7">
        <f>IF($E1275="","",Z1275-Q1275)</f>
        <v/>
      </c>
      <c r="AB1275" s="7" t="n"/>
      <c r="AE1275">
        <f>IF($E1275="","",IF($AQ1275=1,0,IF($AP1275=1,Settings!$C$6,Settings!$C$7))*100)</f>
        <v/>
      </c>
      <c r="AI1275" s="7" t="n"/>
      <c r="AL1275" s="11" t="n"/>
      <c r="AN1275">
        <f>IF($E1275="","",IF(COUNTIF($E$2:$E1275,$E1275)=1,1,0))</f>
        <v/>
      </c>
      <c r="AO1275">
        <f>IF($AN1275=1,SUMPRODUCT(--($AR$2:$AR$3001&lt;$AR1275))+1,"")</f>
        <v/>
      </c>
      <c r="AP1275">
        <f>IF($E1275="","",IF(OR($U1275=TRUE(),$U1275="TRUE"),1,0))</f>
        <v/>
      </c>
      <c r="AQ1275">
        <f>IF($E1275="","",IF($AD1275="Yes",1,0))</f>
        <v/>
      </c>
      <c r="AR1275">
        <f>IF($AN1275=1,IFERROR(VALUE(MID($E1275,2,20)),1000000000)+ROW()/100000,"")</f>
        <v/>
      </c>
    </row>
    <row r="1276">
      <c r="G1276" s="11" t="n"/>
      <c r="Q1276" s="7">
        <f>IF($E1276="","",P1276*AB1276/100)</f>
        <v/>
      </c>
      <c r="R1276" s="7" t="n"/>
      <c r="X1276" s="7" t="n"/>
      <c r="Y1276" s="7">
        <f>IF($E1276="","",AB1276*AE1276/100)</f>
        <v/>
      </c>
      <c r="Z1276" s="7">
        <f>IF($E1276="","",AB1276-Y1276)</f>
        <v/>
      </c>
      <c r="AA1276" s="7">
        <f>IF($E1276="","",Z1276-Q1276)</f>
        <v/>
      </c>
      <c r="AB1276" s="7" t="n"/>
      <c r="AE1276">
        <f>IF($E1276="","",IF($AQ1276=1,0,IF($AP1276=1,Settings!$C$6,Settings!$C$7))*100)</f>
        <v/>
      </c>
      <c r="AI1276" s="7" t="n"/>
      <c r="AL1276" s="11" t="n"/>
      <c r="AN1276">
        <f>IF($E1276="","",IF(COUNTIF($E$2:$E1276,$E1276)=1,1,0))</f>
        <v/>
      </c>
      <c r="AO1276">
        <f>IF($AN1276=1,SUMPRODUCT(--($AR$2:$AR$3001&lt;$AR1276))+1,"")</f>
        <v/>
      </c>
      <c r="AP1276">
        <f>IF($E1276="","",IF(OR($U1276=TRUE(),$U1276="TRUE"),1,0))</f>
        <v/>
      </c>
      <c r="AQ1276">
        <f>IF($E1276="","",IF($AD1276="Yes",1,0))</f>
        <v/>
      </c>
      <c r="AR1276">
        <f>IF($AN1276=1,IFERROR(VALUE(MID($E1276,2,20)),1000000000)+ROW()/100000,"")</f>
        <v/>
      </c>
    </row>
    <row r="1277">
      <c r="G1277" s="11" t="n"/>
      <c r="Q1277" s="7">
        <f>IF($E1277="","",P1277*AB1277/100)</f>
        <v/>
      </c>
      <c r="R1277" s="7" t="n"/>
      <c r="X1277" s="7" t="n"/>
      <c r="Y1277" s="7">
        <f>IF($E1277="","",AB1277*AE1277/100)</f>
        <v/>
      </c>
      <c r="Z1277" s="7">
        <f>IF($E1277="","",AB1277-Y1277)</f>
        <v/>
      </c>
      <c r="AA1277" s="7">
        <f>IF($E1277="","",Z1277-Q1277)</f>
        <v/>
      </c>
      <c r="AB1277" s="7" t="n"/>
      <c r="AE1277">
        <f>IF($E1277="","",IF($AQ1277=1,0,IF($AP1277=1,Settings!$C$6,Settings!$C$7))*100)</f>
        <v/>
      </c>
      <c r="AI1277" s="7" t="n"/>
      <c r="AL1277" s="11" t="n"/>
      <c r="AN1277">
        <f>IF($E1277="","",IF(COUNTIF($E$2:$E1277,$E1277)=1,1,0))</f>
        <v/>
      </c>
      <c r="AO1277">
        <f>IF($AN1277=1,SUMPRODUCT(--($AR$2:$AR$3001&lt;$AR1277))+1,"")</f>
        <v/>
      </c>
      <c r="AP1277">
        <f>IF($E1277="","",IF(OR($U1277=TRUE(),$U1277="TRUE"),1,0))</f>
        <v/>
      </c>
      <c r="AQ1277">
        <f>IF($E1277="","",IF($AD1277="Yes",1,0))</f>
        <v/>
      </c>
      <c r="AR1277">
        <f>IF($AN1277=1,IFERROR(VALUE(MID($E1277,2,20)),1000000000)+ROW()/100000,"")</f>
        <v/>
      </c>
    </row>
    <row r="1278">
      <c r="G1278" s="11" t="n"/>
      <c r="Q1278" s="7">
        <f>IF($E1278="","",P1278*AB1278/100)</f>
        <v/>
      </c>
      <c r="R1278" s="7" t="n"/>
      <c r="X1278" s="7" t="n"/>
      <c r="Y1278" s="7">
        <f>IF($E1278="","",AB1278*AE1278/100)</f>
        <v/>
      </c>
      <c r="Z1278" s="7">
        <f>IF($E1278="","",AB1278-Y1278)</f>
        <v/>
      </c>
      <c r="AA1278" s="7">
        <f>IF($E1278="","",Z1278-Q1278)</f>
        <v/>
      </c>
      <c r="AB1278" s="7" t="n"/>
      <c r="AE1278">
        <f>IF($E1278="","",IF($AQ1278=1,0,IF($AP1278=1,Settings!$C$6,Settings!$C$7))*100)</f>
        <v/>
      </c>
      <c r="AI1278" s="7" t="n"/>
      <c r="AL1278" s="11" t="n"/>
      <c r="AN1278">
        <f>IF($E1278="","",IF(COUNTIF($E$2:$E1278,$E1278)=1,1,0))</f>
        <v/>
      </c>
      <c r="AO1278">
        <f>IF($AN1278=1,SUMPRODUCT(--($AR$2:$AR$3001&lt;$AR1278))+1,"")</f>
        <v/>
      </c>
      <c r="AP1278">
        <f>IF($E1278="","",IF(OR($U1278=TRUE(),$U1278="TRUE"),1,0))</f>
        <v/>
      </c>
      <c r="AQ1278">
        <f>IF($E1278="","",IF($AD1278="Yes",1,0))</f>
        <v/>
      </c>
      <c r="AR1278">
        <f>IF($AN1278=1,IFERROR(VALUE(MID($E1278,2,20)),1000000000)+ROW()/100000,"")</f>
        <v/>
      </c>
    </row>
    <row r="1279">
      <c r="G1279" s="11" t="n"/>
      <c r="Q1279" s="7">
        <f>IF($E1279="","",P1279*AB1279/100)</f>
        <v/>
      </c>
      <c r="R1279" s="7" t="n"/>
      <c r="X1279" s="7" t="n"/>
      <c r="Y1279" s="7">
        <f>IF($E1279="","",AB1279*AE1279/100)</f>
        <v/>
      </c>
      <c r="Z1279" s="7">
        <f>IF($E1279="","",AB1279-Y1279)</f>
        <v/>
      </c>
      <c r="AA1279" s="7">
        <f>IF($E1279="","",Z1279-Q1279)</f>
        <v/>
      </c>
      <c r="AB1279" s="7" t="n"/>
      <c r="AE1279">
        <f>IF($E1279="","",IF($AQ1279=1,0,IF($AP1279=1,Settings!$C$6,Settings!$C$7))*100)</f>
        <v/>
      </c>
      <c r="AI1279" s="7" t="n"/>
      <c r="AL1279" s="11" t="n"/>
      <c r="AN1279">
        <f>IF($E1279="","",IF(COUNTIF($E$2:$E1279,$E1279)=1,1,0))</f>
        <v/>
      </c>
      <c r="AO1279">
        <f>IF($AN1279=1,SUMPRODUCT(--($AR$2:$AR$3001&lt;$AR1279))+1,"")</f>
        <v/>
      </c>
      <c r="AP1279">
        <f>IF($E1279="","",IF(OR($U1279=TRUE(),$U1279="TRUE"),1,0))</f>
        <v/>
      </c>
      <c r="AQ1279">
        <f>IF($E1279="","",IF($AD1279="Yes",1,0))</f>
        <v/>
      </c>
      <c r="AR1279">
        <f>IF($AN1279=1,IFERROR(VALUE(MID($E1279,2,20)),1000000000)+ROW()/100000,"")</f>
        <v/>
      </c>
    </row>
    <row r="1280">
      <c r="G1280" s="11" t="n"/>
      <c r="Q1280" s="7">
        <f>IF($E1280="","",P1280*AB1280/100)</f>
        <v/>
      </c>
      <c r="R1280" s="7" t="n"/>
      <c r="X1280" s="7" t="n"/>
      <c r="Y1280" s="7">
        <f>IF($E1280="","",AB1280*AE1280/100)</f>
        <v/>
      </c>
      <c r="Z1280" s="7">
        <f>IF($E1280="","",AB1280-Y1280)</f>
        <v/>
      </c>
      <c r="AA1280" s="7">
        <f>IF($E1280="","",Z1280-Q1280)</f>
        <v/>
      </c>
      <c r="AB1280" s="7" t="n"/>
      <c r="AE1280">
        <f>IF($E1280="","",IF($AQ1280=1,0,IF($AP1280=1,Settings!$C$6,Settings!$C$7))*100)</f>
        <v/>
      </c>
      <c r="AI1280" s="7" t="n"/>
      <c r="AL1280" s="11" t="n"/>
      <c r="AN1280">
        <f>IF($E1280="","",IF(COUNTIF($E$2:$E1280,$E1280)=1,1,0))</f>
        <v/>
      </c>
      <c r="AO1280">
        <f>IF($AN1280=1,SUMPRODUCT(--($AR$2:$AR$3001&lt;$AR1280))+1,"")</f>
        <v/>
      </c>
      <c r="AP1280">
        <f>IF($E1280="","",IF(OR($U1280=TRUE(),$U1280="TRUE"),1,0))</f>
        <v/>
      </c>
      <c r="AQ1280">
        <f>IF($E1280="","",IF($AD1280="Yes",1,0))</f>
        <v/>
      </c>
      <c r="AR1280">
        <f>IF($AN1280=1,IFERROR(VALUE(MID($E1280,2,20)),1000000000)+ROW()/100000,"")</f>
        <v/>
      </c>
    </row>
    <row r="1281">
      <c r="G1281" s="11" t="n"/>
      <c r="Q1281" s="7">
        <f>IF($E1281="","",P1281*AB1281/100)</f>
        <v/>
      </c>
      <c r="R1281" s="7" t="n"/>
      <c r="X1281" s="7" t="n"/>
      <c r="Y1281" s="7">
        <f>IF($E1281="","",AB1281*AE1281/100)</f>
        <v/>
      </c>
      <c r="Z1281" s="7">
        <f>IF($E1281="","",AB1281-Y1281)</f>
        <v/>
      </c>
      <c r="AA1281" s="7">
        <f>IF($E1281="","",Z1281-Q1281)</f>
        <v/>
      </c>
      <c r="AB1281" s="7" t="n"/>
      <c r="AE1281">
        <f>IF($E1281="","",IF($AQ1281=1,0,IF($AP1281=1,Settings!$C$6,Settings!$C$7))*100)</f>
        <v/>
      </c>
      <c r="AI1281" s="7" t="n"/>
      <c r="AL1281" s="11" t="n"/>
      <c r="AN1281">
        <f>IF($E1281="","",IF(COUNTIF($E$2:$E1281,$E1281)=1,1,0))</f>
        <v/>
      </c>
      <c r="AO1281">
        <f>IF($AN1281=1,SUMPRODUCT(--($AR$2:$AR$3001&lt;$AR1281))+1,"")</f>
        <v/>
      </c>
      <c r="AP1281">
        <f>IF($E1281="","",IF(OR($U1281=TRUE(),$U1281="TRUE"),1,0))</f>
        <v/>
      </c>
      <c r="AQ1281">
        <f>IF($E1281="","",IF($AD1281="Yes",1,0))</f>
        <v/>
      </c>
      <c r="AR1281">
        <f>IF($AN1281=1,IFERROR(VALUE(MID($E1281,2,20)),1000000000)+ROW()/100000,"")</f>
        <v/>
      </c>
    </row>
    <row r="1282">
      <c r="G1282" s="11" t="n"/>
      <c r="Q1282" s="7">
        <f>IF($E1282="","",P1282*AB1282/100)</f>
        <v/>
      </c>
      <c r="R1282" s="7" t="n"/>
      <c r="X1282" s="7" t="n"/>
      <c r="Y1282" s="7">
        <f>IF($E1282="","",AB1282*AE1282/100)</f>
        <v/>
      </c>
      <c r="Z1282" s="7">
        <f>IF($E1282="","",AB1282-Y1282)</f>
        <v/>
      </c>
      <c r="AA1282" s="7">
        <f>IF($E1282="","",Z1282-Q1282)</f>
        <v/>
      </c>
      <c r="AB1282" s="7" t="n"/>
      <c r="AE1282">
        <f>IF($E1282="","",IF($AQ1282=1,0,IF($AP1282=1,Settings!$C$6,Settings!$C$7))*100)</f>
        <v/>
      </c>
      <c r="AI1282" s="7" t="n"/>
      <c r="AL1282" s="11" t="n"/>
      <c r="AN1282">
        <f>IF($E1282="","",IF(COUNTIF($E$2:$E1282,$E1282)=1,1,0))</f>
        <v/>
      </c>
      <c r="AO1282">
        <f>IF($AN1282=1,SUMPRODUCT(--($AR$2:$AR$3001&lt;$AR1282))+1,"")</f>
        <v/>
      </c>
      <c r="AP1282">
        <f>IF($E1282="","",IF(OR($U1282=TRUE(),$U1282="TRUE"),1,0))</f>
        <v/>
      </c>
      <c r="AQ1282">
        <f>IF($E1282="","",IF($AD1282="Yes",1,0))</f>
        <v/>
      </c>
      <c r="AR1282">
        <f>IF($AN1282=1,IFERROR(VALUE(MID($E1282,2,20)),1000000000)+ROW()/100000,"")</f>
        <v/>
      </c>
    </row>
    <row r="1283">
      <c r="G1283" s="11" t="n"/>
      <c r="Q1283" s="7">
        <f>IF($E1283="","",P1283*AB1283/100)</f>
        <v/>
      </c>
      <c r="R1283" s="7" t="n"/>
      <c r="X1283" s="7" t="n"/>
      <c r="Y1283" s="7">
        <f>IF($E1283="","",AB1283*AE1283/100)</f>
        <v/>
      </c>
      <c r="Z1283" s="7">
        <f>IF($E1283="","",AB1283-Y1283)</f>
        <v/>
      </c>
      <c r="AA1283" s="7">
        <f>IF($E1283="","",Z1283-Q1283)</f>
        <v/>
      </c>
      <c r="AB1283" s="7" t="n"/>
      <c r="AE1283">
        <f>IF($E1283="","",IF($AQ1283=1,0,IF($AP1283=1,Settings!$C$6,Settings!$C$7))*100)</f>
        <v/>
      </c>
      <c r="AI1283" s="7" t="n"/>
      <c r="AL1283" s="11" t="n"/>
      <c r="AN1283">
        <f>IF($E1283="","",IF(COUNTIF($E$2:$E1283,$E1283)=1,1,0))</f>
        <v/>
      </c>
      <c r="AO1283">
        <f>IF($AN1283=1,SUMPRODUCT(--($AR$2:$AR$3001&lt;$AR1283))+1,"")</f>
        <v/>
      </c>
      <c r="AP1283">
        <f>IF($E1283="","",IF(OR($U1283=TRUE(),$U1283="TRUE"),1,0))</f>
        <v/>
      </c>
      <c r="AQ1283">
        <f>IF($E1283="","",IF($AD1283="Yes",1,0))</f>
        <v/>
      </c>
      <c r="AR1283">
        <f>IF($AN1283=1,IFERROR(VALUE(MID($E1283,2,20)),1000000000)+ROW()/100000,"")</f>
        <v/>
      </c>
    </row>
    <row r="1284">
      <c r="G1284" s="11" t="n"/>
      <c r="Q1284" s="7">
        <f>IF($E1284="","",P1284*AB1284/100)</f>
        <v/>
      </c>
      <c r="R1284" s="7" t="n"/>
      <c r="X1284" s="7" t="n"/>
      <c r="Y1284" s="7">
        <f>IF($E1284="","",AB1284*AE1284/100)</f>
        <v/>
      </c>
      <c r="Z1284" s="7">
        <f>IF($E1284="","",AB1284-Y1284)</f>
        <v/>
      </c>
      <c r="AA1284" s="7">
        <f>IF($E1284="","",Z1284-Q1284)</f>
        <v/>
      </c>
      <c r="AB1284" s="7" t="n"/>
      <c r="AE1284">
        <f>IF($E1284="","",IF($AQ1284=1,0,IF($AP1284=1,Settings!$C$6,Settings!$C$7))*100)</f>
        <v/>
      </c>
      <c r="AI1284" s="7" t="n"/>
      <c r="AL1284" s="11" t="n"/>
      <c r="AN1284">
        <f>IF($E1284="","",IF(COUNTIF($E$2:$E1284,$E1284)=1,1,0))</f>
        <v/>
      </c>
      <c r="AO1284">
        <f>IF($AN1284=1,SUMPRODUCT(--($AR$2:$AR$3001&lt;$AR1284))+1,"")</f>
        <v/>
      </c>
      <c r="AP1284">
        <f>IF($E1284="","",IF(OR($U1284=TRUE(),$U1284="TRUE"),1,0))</f>
        <v/>
      </c>
      <c r="AQ1284">
        <f>IF($E1284="","",IF($AD1284="Yes",1,0))</f>
        <v/>
      </c>
      <c r="AR1284">
        <f>IF($AN1284=1,IFERROR(VALUE(MID($E1284,2,20)),1000000000)+ROW()/100000,"")</f>
        <v/>
      </c>
    </row>
    <row r="1285">
      <c r="G1285" s="11" t="n"/>
      <c r="Q1285" s="7">
        <f>IF($E1285="","",P1285*AB1285/100)</f>
        <v/>
      </c>
      <c r="R1285" s="7" t="n"/>
      <c r="X1285" s="7" t="n"/>
      <c r="Y1285" s="7">
        <f>IF($E1285="","",AB1285*AE1285/100)</f>
        <v/>
      </c>
      <c r="Z1285" s="7">
        <f>IF($E1285="","",AB1285-Y1285)</f>
        <v/>
      </c>
      <c r="AA1285" s="7">
        <f>IF($E1285="","",Z1285-Q1285)</f>
        <v/>
      </c>
      <c r="AB1285" s="7" t="n"/>
      <c r="AE1285">
        <f>IF($E1285="","",IF($AQ1285=1,0,IF($AP1285=1,Settings!$C$6,Settings!$C$7))*100)</f>
        <v/>
      </c>
      <c r="AI1285" s="7" t="n"/>
      <c r="AL1285" s="11" t="n"/>
      <c r="AN1285">
        <f>IF($E1285="","",IF(COUNTIF($E$2:$E1285,$E1285)=1,1,0))</f>
        <v/>
      </c>
      <c r="AO1285">
        <f>IF($AN1285=1,SUMPRODUCT(--($AR$2:$AR$3001&lt;$AR1285))+1,"")</f>
        <v/>
      </c>
      <c r="AP1285">
        <f>IF($E1285="","",IF(OR($U1285=TRUE(),$U1285="TRUE"),1,0))</f>
        <v/>
      </c>
      <c r="AQ1285">
        <f>IF($E1285="","",IF($AD1285="Yes",1,0))</f>
        <v/>
      </c>
      <c r="AR1285">
        <f>IF($AN1285=1,IFERROR(VALUE(MID($E1285,2,20)),1000000000)+ROW()/100000,"")</f>
        <v/>
      </c>
    </row>
    <row r="1286">
      <c r="G1286" s="11" t="n"/>
      <c r="Q1286" s="7">
        <f>IF($E1286="","",P1286*AB1286/100)</f>
        <v/>
      </c>
      <c r="R1286" s="7" t="n"/>
      <c r="X1286" s="7" t="n"/>
      <c r="Y1286" s="7">
        <f>IF($E1286="","",AB1286*AE1286/100)</f>
        <v/>
      </c>
      <c r="Z1286" s="7">
        <f>IF($E1286="","",AB1286-Y1286)</f>
        <v/>
      </c>
      <c r="AA1286" s="7">
        <f>IF($E1286="","",Z1286-Q1286)</f>
        <v/>
      </c>
      <c r="AB1286" s="7" t="n"/>
      <c r="AE1286">
        <f>IF($E1286="","",IF($AQ1286=1,0,IF($AP1286=1,Settings!$C$6,Settings!$C$7))*100)</f>
        <v/>
      </c>
      <c r="AI1286" s="7" t="n"/>
      <c r="AL1286" s="11" t="n"/>
      <c r="AN1286">
        <f>IF($E1286="","",IF(COUNTIF($E$2:$E1286,$E1286)=1,1,0))</f>
        <v/>
      </c>
      <c r="AO1286">
        <f>IF($AN1286=1,SUMPRODUCT(--($AR$2:$AR$3001&lt;$AR1286))+1,"")</f>
        <v/>
      </c>
      <c r="AP1286">
        <f>IF($E1286="","",IF(OR($U1286=TRUE(),$U1286="TRUE"),1,0))</f>
        <v/>
      </c>
      <c r="AQ1286">
        <f>IF($E1286="","",IF($AD1286="Yes",1,0))</f>
        <v/>
      </c>
      <c r="AR1286">
        <f>IF($AN1286=1,IFERROR(VALUE(MID($E1286,2,20)),1000000000)+ROW()/100000,"")</f>
        <v/>
      </c>
    </row>
    <row r="1287">
      <c r="G1287" s="11" t="n"/>
      <c r="Q1287" s="7">
        <f>IF($E1287="","",P1287*AB1287/100)</f>
        <v/>
      </c>
      <c r="R1287" s="7" t="n"/>
      <c r="X1287" s="7" t="n"/>
      <c r="Y1287" s="7">
        <f>IF($E1287="","",AB1287*AE1287/100)</f>
        <v/>
      </c>
      <c r="Z1287" s="7">
        <f>IF($E1287="","",AB1287-Y1287)</f>
        <v/>
      </c>
      <c r="AA1287" s="7">
        <f>IF($E1287="","",Z1287-Q1287)</f>
        <v/>
      </c>
      <c r="AB1287" s="7" t="n"/>
      <c r="AE1287">
        <f>IF($E1287="","",IF($AQ1287=1,0,IF($AP1287=1,Settings!$C$6,Settings!$C$7))*100)</f>
        <v/>
      </c>
      <c r="AI1287" s="7" t="n"/>
      <c r="AL1287" s="11" t="n"/>
      <c r="AN1287">
        <f>IF($E1287="","",IF(COUNTIF($E$2:$E1287,$E1287)=1,1,0))</f>
        <v/>
      </c>
      <c r="AO1287">
        <f>IF($AN1287=1,SUMPRODUCT(--($AR$2:$AR$3001&lt;$AR1287))+1,"")</f>
        <v/>
      </c>
      <c r="AP1287">
        <f>IF($E1287="","",IF(OR($U1287=TRUE(),$U1287="TRUE"),1,0))</f>
        <v/>
      </c>
      <c r="AQ1287">
        <f>IF($E1287="","",IF($AD1287="Yes",1,0))</f>
        <v/>
      </c>
      <c r="AR1287">
        <f>IF($AN1287=1,IFERROR(VALUE(MID($E1287,2,20)),1000000000)+ROW()/100000,"")</f>
        <v/>
      </c>
    </row>
    <row r="1288">
      <c r="G1288" s="11" t="n"/>
      <c r="Q1288" s="7">
        <f>IF($E1288="","",P1288*AB1288/100)</f>
        <v/>
      </c>
      <c r="R1288" s="7" t="n"/>
      <c r="X1288" s="7" t="n"/>
      <c r="Y1288" s="7">
        <f>IF($E1288="","",AB1288*AE1288/100)</f>
        <v/>
      </c>
      <c r="Z1288" s="7">
        <f>IF($E1288="","",AB1288-Y1288)</f>
        <v/>
      </c>
      <c r="AA1288" s="7">
        <f>IF($E1288="","",Z1288-Q1288)</f>
        <v/>
      </c>
      <c r="AB1288" s="7" t="n"/>
      <c r="AE1288">
        <f>IF($E1288="","",IF($AQ1288=1,0,IF($AP1288=1,Settings!$C$6,Settings!$C$7))*100)</f>
        <v/>
      </c>
      <c r="AI1288" s="7" t="n"/>
      <c r="AL1288" s="11" t="n"/>
      <c r="AN1288">
        <f>IF($E1288="","",IF(COUNTIF($E$2:$E1288,$E1288)=1,1,0))</f>
        <v/>
      </c>
      <c r="AO1288">
        <f>IF($AN1288=1,SUMPRODUCT(--($AR$2:$AR$3001&lt;$AR1288))+1,"")</f>
        <v/>
      </c>
      <c r="AP1288">
        <f>IF($E1288="","",IF(OR($U1288=TRUE(),$U1288="TRUE"),1,0))</f>
        <v/>
      </c>
      <c r="AQ1288">
        <f>IF($E1288="","",IF($AD1288="Yes",1,0))</f>
        <v/>
      </c>
      <c r="AR1288">
        <f>IF($AN1288=1,IFERROR(VALUE(MID($E1288,2,20)),1000000000)+ROW()/100000,"")</f>
        <v/>
      </c>
    </row>
    <row r="1289">
      <c r="G1289" s="11" t="n"/>
      <c r="Q1289" s="7">
        <f>IF($E1289="","",P1289*AB1289/100)</f>
        <v/>
      </c>
      <c r="R1289" s="7" t="n"/>
      <c r="X1289" s="7" t="n"/>
      <c r="Y1289" s="7">
        <f>IF($E1289="","",AB1289*AE1289/100)</f>
        <v/>
      </c>
      <c r="Z1289" s="7">
        <f>IF($E1289="","",AB1289-Y1289)</f>
        <v/>
      </c>
      <c r="AA1289" s="7">
        <f>IF($E1289="","",Z1289-Q1289)</f>
        <v/>
      </c>
      <c r="AB1289" s="7" t="n"/>
      <c r="AE1289">
        <f>IF($E1289="","",IF($AQ1289=1,0,IF($AP1289=1,Settings!$C$6,Settings!$C$7))*100)</f>
        <v/>
      </c>
      <c r="AI1289" s="7" t="n"/>
      <c r="AL1289" s="11" t="n"/>
      <c r="AN1289">
        <f>IF($E1289="","",IF(COUNTIF($E$2:$E1289,$E1289)=1,1,0))</f>
        <v/>
      </c>
      <c r="AO1289">
        <f>IF($AN1289=1,SUMPRODUCT(--($AR$2:$AR$3001&lt;$AR1289))+1,"")</f>
        <v/>
      </c>
      <c r="AP1289">
        <f>IF($E1289="","",IF(OR($U1289=TRUE(),$U1289="TRUE"),1,0))</f>
        <v/>
      </c>
      <c r="AQ1289">
        <f>IF($E1289="","",IF($AD1289="Yes",1,0))</f>
        <v/>
      </c>
      <c r="AR1289">
        <f>IF($AN1289=1,IFERROR(VALUE(MID($E1289,2,20)),1000000000)+ROW()/100000,"")</f>
        <v/>
      </c>
    </row>
    <row r="1290">
      <c r="G1290" s="11" t="n"/>
      <c r="Q1290" s="7">
        <f>IF($E1290="","",P1290*AB1290/100)</f>
        <v/>
      </c>
      <c r="R1290" s="7" t="n"/>
      <c r="X1290" s="7" t="n"/>
      <c r="Y1290" s="7">
        <f>IF($E1290="","",AB1290*AE1290/100)</f>
        <v/>
      </c>
      <c r="Z1290" s="7">
        <f>IF($E1290="","",AB1290-Y1290)</f>
        <v/>
      </c>
      <c r="AA1290" s="7">
        <f>IF($E1290="","",Z1290-Q1290)</f>
        <v/>
      </c>
      <c r="AB1290" s="7" t="n"/>
      <c r="AE1290">
        <f>IF($E1290="","",IF($AQ1290=1,0,IF($AP1290=1,Settings!$C$6,Settings!$C$7))*100)</f>
        <v/>
      </c>
      <c r="AI1290" s="7" t="n"/>
      <c r="AL1290" s="11" t="n"/>
      <c r="AN1290">
        <f>IF($E1290="","",IF(COUNTIF($E$2:$E1290,$E1290)=1,1,0))</f>
        <v/>
      </c>
      <c r="AO1290">
        <f>IF($AN1290=1,SUMPRODUCT(--($AR$2:$AR$3001&lt;$AR1290))+1,"")</f>
        <v/>
      </c>
      <c r="AP1290">
        <f>IF($E1290="","",IF(OR($U1290=TRUE(),$U1290="TRUE"),1,0))</f>
        <v/>
      </c>
      <c r="AQ1290">
        <f>IF($E1290="","",IF($AD1290="Yes",1,0))</f>
        <v/>
      </c>
      <c r="AR1290">
        <f>IF($AN1290=1,IFERROR(VALUE(MID($E1290,2,20)),1000000000)+ROW()/100000,"")</f>
        <v/>
      </c>
    </row>
    <row r="1291">
      <c r="G1291" s="11" t="n"/>
      <c r="Q1291" s="7">
        <f>IF($E1291="","",P1291*AB1291/100)</f>
        <v/>
      </c>
      <c r="R1291" s="7" t="n"/>
      <c r="X1291" s="7" t="n"/>
      <c r="Y1291" s="7">
        <f>IF($E1291="","",AB1291*AE1291/100)</f>
        <v/>
      </c>
      <c r="Z1291" s="7">
        <f>IF($E1291="","",AB1291-Y1291)</f>
        <v/>
      </c>
      <c r="AA1291" s="7">
        <f>IF($E1291="","",Z1291-Q1291)</f>
        <v/>
      </c>
      <c r="AB1291" s="7" t="n"/>
      <c r="AE1291">
        <f>IF($E1291="","",IF($AQ1291=1,0,IF($AP1291=1,Settings!$C$6,Settings!$C$7))*100)</f>
        <v/>
      </c>
      <c r="AI1291" s="7" t="n"/>
      <c r="AL1291" s="11" t="n"/>
      <c r="AN1291">
        <f>IF($E1291="","",IF(COUNTIF($E$2:$E1291,$E1291)=1,1,0))</f>
        <v/>
      </c>
      <c r="AO1291">
        <f>IF($AN1291=1,SUMPRODUCT(--($AR$2:$AR$3001&lt;$AR1291))+1,"")</f>
        <v/>
      </c>
      <c r="AP1291">
        <f>IF($E1291="","",IF(OR($U1291=TRUE(),$U1291="TRUE"),1,0))</f>
        <v/>
      </c>
      <c r="AQ1291">
        <f>IF($E1291="","",IF($AD1291="Yes",1,0))</f>
        <v/>
      </c>
      <c r="AR1291">
        <f>IF($AN1291=1,IFERROR(VALUE(MID($E1291,2,20)),1000000000)+ROW()/100000,"")</f>
        <v/>
      </c>
    </row>
    <row r="1292">
      <c r="G1292" s="11" t="n"/>
      <c r="Q1292" s="7">
        <f>IF($E1292="","",P1292*AB1292/100)</f>
        <v/>
      </c>
      <c r="R1292" s="7" t="n"/>
      <c r="X1292" s="7" t="n"/>
      <c r="Y1292" s="7">
        <f>IF($E1292="","",AB1292*AE1292/100)</f>
        <v/>
      </c>
      <c r="Z1292" s="7">
        <f>IF($E1292="","",AB1292-Y1292)</f>
        <v/>
      </c>
      <c r="AA1292" s="7">
        <f>IF($E1292="","",Z1292-Q1292)</f>
        <v/>
      </c>
      <c r="AB1292" s="7" t="n"/>
      <c r="AE1292">
        <f>IF($E1292="","",IF($AQ1292=1,0,IF($AP1292=1,Settings!$C$6,Settings!$C$7))*100)</f>
        <v/>
      </c>
      <c r="AI1292" s="7" t="n"/>
      <c r="AL1292" s="11" t="n"/>
      <c r="AN1292">
        <f>IF($E1292="","",IF(COUNTIF($E$2:$E1292,$E1292)=1,1,0))</f>
        <v/>
      </c>
      <c r="AO1292">
        <f>IF($AN1292=1,SUMPRODUCT(--($AR$2:$AR$3001&lt;$AR1292))+1,"")</f>
        <v/>
      </c>
      <c r="AP1292">
        <f>IF($E1292="","",IF(OR($U1292=TRUE(),$U1292="TRUE"),1,0))</f>
        <v/>
      </c>
      <c r="AQ1292">
        <f>IF($E1292="","",IF($AD1292="Yes",1,0))</f>
        <v/>
      </c>
      <c r="AR1292">
        <f>IF($AN1292=1,IFERROR(VALUE(MID($E1292,2,20)),1000000000)+ROW()/100000,"")</f>
        <v/>
      </c>
    </row>
    <row r="1293">
      <c r="G1293" s="11" t="n"/>
      <c r="Q1293" s="7">
        <f>IF($E1293="","",P1293*AB1293/100)</f>
        <v/>
      </c>
      <c r="R1293" s="7" t="n"/>
      <c r="X1293" s="7" t="n"/>
      <c r="Y1293" s="7">
        <f>IF($E1293="","",AB1293*AE1293/100)</f>
        <v/>
      </c>
      <c r="Z1293" s="7">
        <f>IF($E1293="","",AB1293-Y1293)</f>
        <v/>
      </c>
      <c r="AA1293" s="7">
        <f>IF($E1293="","",Z1293-Q1293)</f>
        <v/>
      </c>
      <c r="AB1293" s="7" t="n"/>
      <c r="AE1293">
        <f>IF($E1293="","",IF($AQ1293=1,0,IF($AP1293=1,Settings!$C$6,Settings!$C$7))*100)</f>
        <v/>
      </c>
      <c r="AI1293" s="7" t="n"/>
      <c r="AL1293" s="11" t="n"/>
      <c r="AN1293">
        <f>IF($E1293="","",IF(COUNTIF($E$2:$E1293,$E1293)=1,1,0))</f>
        <v/>
      </c>
      <c r="AO1293">
        <f>IF($AN1293=1,SUMPRODUCT(--($AR$2:$AR$3001&lt;$AR1293))+1,"")</f>
        <v/>
      </c>
      <c r="AP1293">
        <f>IF($E1293="","",IF(OR($U1293=TRUE(),$U1293="TRUE"),1,0))</f>
        <v/>
      </c>
      <c r="AQ1293">
        <f>IF($E1293="","",IF($AD1293="Yes",1,0))</f>
        <v/>
      </c>
      <c r="AR1293">
        <f>IF($AN1293=1,IFERROR(VALUE(MID($E1293,2,20)),1000000000)+ROW()/100000,"")</f>
        <v/>
      </c>
    </row>
    <row r="1294">
      <c r="G1294" s="11" t="n"/>
      <c r="Q1294" s="7">
        <f>IF($E1294="","",P1294*AB1294/100)</f>
        <v/>
      </c>
      <c r="R1294" s="7" t="n"/>
      <c r="X1294" s="7" t="n"/>
      <c r="Y1294" s="7">
        <f>IF($E1294="","",AB1294*AE1294/100)</f>
        <v/>
      </c>
      <c r="Z1294" s="7">
        <f>IF($E1294="","",AB1294-Y1294)</f>
        <v/>
      </c>
      <c r="AA1294" s="7">
        <f>IF($E1294="","",Z1294-Q1294)</f>
        <v/>
      </c>
      <c r="AB1294" s="7" t="n"/>
      <c r="AE1294">
        <f>IF($E1294="","",IF($AQ1294=1,0,IF($AP1294=1,Settings!$C$6,Settings!$C$7))*100)</f>
        <v/>
      </c>
      <c r="AI1294" s="7" t="n"/>
      <c r="AL1294" s="11" t="n"/>
      <c r="AN1294">
        <f>IF($E1294="","",IF(COUNTIF($E$2:$E1294,$E1294)=1,1,0))</f>
        <v/>
      </c>
      <c r="AO1294">
        <f>IF($AN1294=1,SUMPRODUCT(--($AR$2:$AR$3001&lt;$AR1294))+1,"")</f>
        <v/>
      </c>
      <c r="AP1294">
        <f>IF($E1294="","",IF(OR($U1294=TRUE(),$U1294="TRUE"),1,0))</f>
        <v/>
      </c>
      <c r="AQ1294">
        <f>IF($E1294="","",IF($AD1294="Yes",1,0))</f>
        <v/>
      </c>
      <c r="AR1294">
        <f>IF($AN1294=1,IFERROR(VALUE(MID($E1294,2,20)),1000000000)+ROW()/100000,"")</f>
        <v/>
      </c>
    </row>
    <row r="1295">
      <c r="G1295" s="11" t="n"/>
      <c r="Q1295" s="7">
        <f>IF($E1295="","",P1295*AB1295/100)</f>
        <v/>
      </c>
      <c r="R1295" s="7" t="n"/>
      <c r="X1295" s="7" t="n"/>
      <c r="Y1295" s="7">
        <f>IF($E1295="","",AB1295*AE1295/100)</f>
        <v/>
      </c>
      <c r="Z1295" s="7">
        <f>IF($E1295="","",AB1295-Y1295)</f>
        <v/>
      </c>
      <c r="AA1295" s="7">
        <f>IF($E1295="","",Z1295-Q1295)</f>
        <v/>
      </c>
      <c r="AB1295" s="7" t="n"/>
      <c r="AE1295">
        <f>IF($E1295="","",IF($AQ1295=1,0,IF($AP1295=1,Settings!$C$6,Settings!$C$7))*100)</f>
        <v/>
      </c>
      <c r="AI1295" s="7" t="n"/>
      <c r="AL1295" s="11" t="n"/>
      <c r="AN1295">
        <f>IF($E1295="","",IF(COUNTIF($E$2:$E1295,$E1295)=1,1,0))</f>
        <v/>
      </c>
      <c r="AO1295">
        <f>IF($AN1295=1,SUMPRODUCT(--($AR$2:$AR$3001&lt;$AR1295))+1,"")</f>
        <v/>
      </c>
      <c r="AP1295">
        <f>IF($E1295="","",IF(OR($U1295=TRUE(),$U1295="TRUE"),1,0))</f>
        <v/>
      </c>
      <c r="AQ1295">
        <f>IF($E1295="","",IF($AD1295="Yes",1,0))</f>
        <v/>
      </c>
      <c r="AR1295">
        <f>IF($AN1295=1,IFERROR(VALUE(MID($E1295,2,20)),1000000000)+ROW()/100000,"")</f>
        <v/>
      </c>
    </row>
    <row r="1296">
      <c r="G1296" s="11" t="n"/>
      <c r="Q1296" s="7">
        <f>IF($E1296="","",P1296*AB1296/100)</f>
        <v/>
      </c>
      <c r="R1296" s="7" t="n"/>
      <c r="X1296" s="7" t="n"/>
      <c r="Y1296" s="7">
        <f>IF($E1296="","",AB1296*AE1296/100)</f>
        <v/>
      </c>
      <c r="Z1296" s="7">
        <f>IF($E1296="","",AB1296-Y1296)</f>
        <v/>
      </c>
      <c r="AA1296" s="7">
        <f>IF($E1296="","",Z1296-Q1296)</f>
        <v/>
      </c>
      <c r="AB1296" s="7" t="n"/>
      <c r="AE1296">
        <f>IF($E1296="","",IF($AQ1296=1,0,IF($AP1296=1,Settings!$C$6,Settings!$C$7))*100)</f>
        <v/>
      </c>
      <c r="AI1296" s="7" t="n"/>
      <c r="AL1296" s="11" t="n"/>
      <c r="AN1296">
        <f>IF($E1296="","",IF(COUNTIF($E$2:$E1296,$E1296)=1,1,0))</f>
        <v/>
      </c>
      <c r="AO1296">
        <f>IF($AN1296=1,SUMPRODUCT(--($AR$2:$AR$3001&lt;$AR1296))+1,"")</f>
        <v/>
      </c>
      <c r="AP1296">
        <f>IF($E1296="","",IF(OR($U1296=TRUE(),$U1296="TRUE"),1,0))</f>
        <v/>
      </c>
      <c r="AQ1296">
        <f>IF($E1296="","",IF($AD1296="Yes",1,0))</f>
        <v/>
      </c>
      <c r="AR1296">
        <f>IF($AN1296=1,IFERROR(VALUE(MID($E1296,2,20)),1000000000)+ROW()/100000,"")</f>
        <v/>
      </c>
    </row>
    <row r="1297">
      <c r="G1297" s="11" t="n"/>
      <c r="Q1297" s="7">
        <f>IF($E1297="","",P1297*AB1297/100)</f>
        <v/>
      </c>
      <c r="R1297" s="7" t="n"/>
      <c r="X1297" s="7" t="n"/>
      <c r="Y1297" s="7">
        <f>IF($E1297="","",AB1297*AE1297/100)</f>
        <v/>
      </c>
      <c r="Z1297" s="7">
        <f>IF($E1297="","",AB1297-Y1297)</f>
        <v/>
      </c>
      <c r="AA1297" s="7">
        <f>IF($E1297="","",Z1297-Q1297)</f>
        <v/>
      </c>
      <c r="AB1297" s="7" t="n"/>
      <c r="AE1297">
        <f>IF($E1297="","",IF($AQ1297=1,0,IF($AP1297=1,Settings!$C$6,Settings!$C$7))*100)</f>
        <v/>
      </c>
      <c r="AI1297" s="7" t="n"/>
      <c r="AL1297" s="11" t="n"/>
      <c r="AN1297">
        <f>IF($E1297="","",IF(COUNTIF($E$2:$E1297,$E1297)=1,1,0))</f>
        <v/>
      </c>
      <c r="AO1297">
        <f>IF($AN1297=1,SUMPRODUCT(--($AR$2:$AR$3001&lt;$AR1297))+1,"")</f>
        <v/>
      </c>
      <c r="AP1297">
        <f>IF($E1297="","",IF(OR($U1297=TRUE(),$U1297="TRUE"),1,0))</f>
        <v/>
      </c>
      <c r="AQ1297">
        <f>IF($E1297="","",IF($AD1297="Yes",1,0))</f>
        <v/>
      </c>
      <c r="AR1297">
        <f>IF($AN1297=1,IFERROR(VALUE(MID($E1297,2,20)),1000000000)+ROW()/100000,"")</f>
        <v/>
      </c>
    </row>
    <row r="1298">
      <c r="G1298" s="11" t="n"/>
      <c r="Q1298" s="7">
        <f>IF($E1298="","",P1298*AB1298/100)</f>
        <v/>
      </c>
      <c r="R1298" s="7" t="n"/>
      <c r="X1298" s="7" t="n"/>
      <c r="Y1298" s="7">
        <f>IF($E1298="","",AB1298*AE1298/100)</f>
        <v/>
      </c>
      <c r="Z1298" s="7">
        <f>IF($E1298="","",AB1298-Y1298)</f>
        <v/>
      </c>
      <c r="AA1298" s="7">
        <f>IF($E1298="","",Z1298-Q1298)</f>
        <v/>
      </c>
      <c r="AB1298" s="7" t="n"/>
      <c r="AE1298">
        <f>IF($E1298="","",IF($AQ1298=1,0,IF($AP1298=1,Settings!$C$6,Settings!$C$7))*100)</f>
        <v/>
      </c>
      <c r="AI1298" s="7" t="n"/>
      <c r="AL1298" s="11" t="n"/>
      <c r="AN1298">
        <f>IF($E1298="","",IF(COUNTIF($E$2:$E1298,$E1298)=1,1,0))</f>
        <v/>
      </c>
      <c r="AO1298">
        <f>IF($AN1298=1,SUMPRODUCT(--($AR$2:$AR$3001&lt;$AR1298))+1,"")</f>
        <v/>
      </c>
      <c r="AP1298">
        <f>IF($E1298="","",IF(OR($U1298=TRUE(),$U1298="TRUE"),1,0))</f>
        <v/>
      </c>
      <c r="AQ1298">
        <f>IF($E1298="","",IF($AD1298="Yes",1,0))</f>
        <v/>
      </c>
      <c r="AR1298">
        <f>IF($AN1298=1,IFERROR(VALUE(MID($E1298,2,20)),1000000000)+ROW()/100000,"")</f>
        <v/>
      </c>
    </row>
    <row r="1299">
      <c r="G1299" s="11" t="n"/>
      <c r="Q1299" s="7">
        <f>IF($E1299="","",P1299*AB1299/100)</f>
        <v/>
      </c>
      <c r="R1299" s="7" t="n"/>
      <c r="X1299" s="7" t="n"/>
      <c r="Y1299" s="7">
        <f>IF($E1299="","",AB1299*AE1299/100)</f>
        <v/>
      </c>
      <c r="Z1299" s="7">
        <f>IF($E1299="","",AB1299-Y1299)</f>
        <v/>
      </c>
      <c r="AA1299" s="7">
        <f>IF($E1299="","",Z1299-Q1299)</f>
        <v/>
      </c>
      <c r="AB1299" s="7" t="n"/>
      <c r="AE1299">
        <f>IF($E1299="","",IF($AQ1299=1,0,IF($AP1299=1,Settings!$C$6,Settings!$C$7))*100)</f>
        <v/>
      </c>
      <c r="AI1299" s="7" t="n"/>
      <c r="AL1299" s="11" t="n"/>
      <c r="AN1299">
        <f>IF($E1299="","",IF(COUNTIF($E$2:$E1299,$E1299)=1,1,0))</f>
        <v/>
      </c>
      <c r="AO1299">
        <f>IF($AN1299=1,SUMPRODUCT(--($AR$2:$AR$3001&lt;$AR1299))+1,"")</f>
        <v/>
      </c>
      <c r="AP1299">
        <f>IF($E1299="","",IF(OR($U1299=TRUE(),$U1299="TRUE"),1,0))</f>
        <v/>
      </c>
      <c r="AQ1299">
        <f>IF($E1299="","",IF($AD1299="Yes",1,0))</f>
        <v/>
      </c>
      <c r="AR1299">
        <f>IF($AN1299=1,IFERROR(VALUE(MID($E1299,2,20)),1000000000)+ROW()/100000,"")</f>
        <v/>
      </c>
    </row>
    <row r="1300">
      <c r="G1300" s="11" t="n"/>
      <c r="Q1300" s="7">
        <f>IF($E1300="","",P1300*AB1300/100)</f>
        <v/>
      </c>
      <c r="R1300" s="7" t="n"/>
      <c r="X1300" s="7" t="n"/>
      <c r="Y1300" s="7">
        <f>IF($E1300="","",AB1300*AE1300/100)</f>
        <v/>
      </c>
      <c r="Z1300" s="7">
        <f>IF($E1300="","",AB1300-Y1300)</f>
        <v/>
      </c>
      <c r="AA1300" s="7">
        <f>IF($E1300="","",Z1300-Q1300)</f>
        <v/>
      </c>
      <c r="AB1300" s="7" t="n"/>
      <c r="AE1300">
        <f>IF($E1300="","",IF($AQ1300=1,0,IF($AP1300=1,Settings!$C$6,Settings!$C$7))*100)</f>
        <v/>
      </c>
      <c r="AI1300" s="7" t="n"/>
      <c r="AL1300" s="11" t="n"/>
      <c r="AN1300">
        <f>IF($E1300="","",IF(COUNTIF($E$2:$E1300,$E1300)=1,1,0))</f>
        <v/>
      </c>
      <c r="AO1300">
        <f>IF($AN1300=1,SUMPRODUCT(--($AR$2:$AR$3001&lt;$AR1300))+1,"")</f>
        <v/>
      </c>
      <c r="AP1300">
        <f>IF($E1300="","",IF(OR($U1300=TRUE(),$U1300="TRUE"),1,0))</f>
        <v/>
      </c>
      <c r="AQ1300">
        <f>IF($E1300="","",IF($AD1300="Yes",1,0))</f>
        <v/>
      </c>
      <c r="AR1300">
        <f>IF($AN1300=1,IFERROR(VALUE(MID($E1300,2,20)),1000000000)+ROW()/100000,"")</f>
        <v/>
      </c>
    </row>
    <row r="1301">
      <c r="G1301" s="11" t="n"/>
      <c r="Q1301" s="7">
        <f>IF($E1301="","",P1301*AB1301/100)</f>
        <v/>
      </c>
      <c r="R1301" s="7" t="n"/>
      <c r="X1301" s="7" t="n"/>
      <c r="Y1301" s="7">
        <f>IF($E1301="","",AB1301*AE1301/100)</f>
        <v/>
      </c>
      <c r="Z1301" s="7">
        <f>IF($E1301="","",AB1301-Y1301)</f>
        <v/>
      </c>
      <c r="AA1301" s="7">
        <f>IF($E1301="","",Z1301-Q1301)</f>
        <v/>
      </c>
      <c r="AB1301" s="7" t="n"/>
      <c r="AE1301">
        <f>IF($E1301="","",IF($AQ1301=1,0,IF($AP1301=1,Settings!$C$6,Settings!$C$7))*100)</f>
        <v/>
      </c>
      <c r="AI1301" s="7" t="n"/>
      <c r="AL1301" s="11" t="n"/>
      <c r="AN1301">
        <f>IF($E1301="","",IF(COUNTIF($E$2:$E1301,$E1301)=1,1,0))</f>
        <v/>
      </c>
      <c r="AO1301">
        <f>IF($AN1301=1,SUMPRODUCT(--($AR$2:$AR$3001&lt;$AR1301))+1,"")</f>
        <v/>
      </c>
      <c r="AP1301">
        <f>IF($E1301="","",IF(OR($U1301=TRUE(),$U1301="TRUE"),1,0))</f>
        <v/>
      </c>
      <c r="AQ1301">
        <f>IF($E1301="","",IF($AD1301="Yes",1,0))</f>
        <v/>
      </c>
      <c r="AR1301">
        <f>IF($AN1301=1,IFERROR(VALUE(MID($E1301,2,20)),1000000000)+ROW()/100000,"")</f>
        <v/>
      </c>
    </row>
    <row r="1302">
      <c r="G1302" s="11" t="n"/>
      <c r="Q1302" s="7">
        <f>IF($E1302="","",P1302*AB1302/100)</f>
        <v/>
      </c>
      <c r="R1302" s="7" t="n"/>
      <c r="X1302" s="7" t="n"/>
      <c r="Y1302" s="7">
        <f>IF($E1302="","",AB1302*AE1302/100)</f>
        <v/>
      </c>
      <c r="Z1302" s="7">
        <f>IF($E1302="","",AB1302-Y1302)</f>
        <v/>
      </c>
      <c r="AA1302" s="7">
        <f>IF($E1302="","",Z1302-Q1302)</f>
        <v/>
      </c>
      <c r="AB1302" s="7" t="n"/>
      <c r="AE1302">
        <f>IF($E1302="","",IF($AQ1302=1,0,IF($AP1302=1,Settings!$C$6,Settings!$C$7))*100)</f>
        <v/>
      </c>
      <c r="AI1302" s="7" t="n"/>
      <c r="AL1302" s="11" t="n"/>
      <c r="AN1302">
        <f>IF($E1302="","",IF(COUNTIF($E$2:$E1302,$E1302)=1,1,0))</f>
        <v/>
      </c>
      <c r="AO1302">
        <f>IF($AN1302=1,SUMPRODUCT(--($AR$2:$AR$3001&lt;$AR1302))+1,"")</f>
        <v/>
      </c>
      <c r="AP1302">
        <f>IF($E1302="","",IF(OR($U1302=TRUE(),$U1302="TRUE"),1,0))</f>
        <v/>
      </c>
      <c r="AQ1302">
        <f>IF($E1302="","",IF($AD1302="Yes",1,0))</f>
        <v/>
      </c>
      <c r="AR1302">
        <f>IF($AN1302=1,IFERROR(VALUE(MID($E1302,2,20)),1000000000)+ROW()/100000,"")</f>
        <v/>
      </c>
    </row>
    <row r="1303">
      <c r="G1303" s="11" t="n"/>
      <c r="Q1303" s="7">
        <f>IF($E1303="","",P1303*AB1303/100)</f>
        <v/>
      </c>
      <c r="R1303" s="7" t="n"/>
      <c r="X1303" s="7" t="n"/>
      <c r="Y1303" s="7">
        <f>IF($E1303="","",AB1303*AE1303/100)</f>
        <v/>
      </c>
      <c r="Z1303" s="7">
        <f>IF($E1303="","",AB1303-Y1303)</f>
        <v/>
      </c>
      <c r="AA1303" s="7">
        <f>IF($E1303="","",Z1303-Q1303)</f>
        <v/>
      </c>
      <c r="AB1303" s="7" t="n"/>
      <c r="AE1303">
        <f>IF($E1303="","",IF($AQ1303=1,0,IF($AP1303=1,Settings!$C$6,Settings!$C$7))*100)</f>
        <v/>
      </c>
      <c r="AI1303" s="7" t="n"/>
      <c r="AL1303" s="11" t="n"/>
      <c r="AN1303">
        <f>IF($E1303="","",IF(COUNTIF($E$2:$E1303,$E1303)=1,1,0))</f>
        <v/>
      </c>
      <c r="AO1303">
        <f>IF($AN1303=1,SUMPRODUCT(--($AR$2:$AR$3001&lt;$AR1303))+1,"")</f>
        <v/>
      </c>
      <c r="AP1303">
        <f>IF($E1303="","",IF(OR($U1303=TRUE(),$U1303="TRUE"),1,0))</f>
        <v/>
      </c>
      <c r="AQ1303">
        <f>IF($E1303="","",IF($AD1303="Yes",1,0))</f>
        <v/>
      </c>
      <c r="AR1303">
        <f>IF($AN1303=1,IFERROR(VALUE(MID($E1303,2,20)),1000000000)+ROW()/100000,"")</f>
        <v/>
      </c>
    </row>
    <row r="1304">
      <c r="G1304" s="11" t="n"/>
      <c r="Q1304" s="7">
        <f>IF($E1304="","",P1304*AB1304/100)</f>
        <v/>
      </c>
      <c r="R1304" s="7" t="n"/>
      <c r="X1304" s="7" t="n"/>
      <c r="Y1304" s="7">
        <f>IF($E1304="","",AB1304*AE1304/100)</f>
        <v/>
      </c>
      <c r="Z1304" s="7">
        <f>IF($E1304="","",AB1304-Y1304)</f>
        <v/>
      </c>
      <c r="AA1304" s="7">
        <f>IF($E1304="","",Z1304-Q1304)</f>
        <v/>
      </c>
      <c r="AB1304" s="7" t="n"/>
      <c r="AE1304">
        <f>IF($E1304="","",IF($AQ1304=1,0,IF($AP1304=1,Settings!$C$6,Settings!$C$7))*100)</f>
        <v/>
      </c>
      <c r="AI1304" s="7" t="n"/>
      <c r="AL1304" s="11" t="n"/>
      <c r="AN1304">
        <f>IF($E1304="","",IF(COUNTIF($E$2:$E1304,$E1304)=1,1,0))</f>
        <v/>
      </c>
      <c r="AO1304">
        <f>IF($AN1304=1,SUMPRODUCT(--($AR$2:$AR$3001&lt;$AR1304))+1,"")</f>
        <v/>
      </c>
      <c r="AP1304">
        <f>IF($E1304="","",IF(OR($U1304=TRUE(),$U1304="TRUE"),1,0))</f>
        <v/>
      </c>
      <c r="AQ1304">
        <f>IF($E1304="","",IF($AD1304="Yes",1,0))</f>
        <v/>
      </c>
      <c r="AR1304">
        <f>IF($AN1304=1,IFERROR(VALUE(MID($E1304,2,20)),1000000000)+ROW()/100000,"")</f>
        <v/>
      </c>
    </row>
    <row r="1305">
      <c r="G1305" s="11" t="n"/>
      <c r="Q1305" s="7">
        <f>IF($E1305="","",P1305*AB1305/100)</f>
        <v/>
      </c>
      <c r="R1305" s="7" t="n"/>
      <c r="X1305" s="7" t="n"/>
      <c r="Y1305" s="7">
        <f>IF($E1305="","",AB1305*AE1305/100)</f>
        <v/>
      </c>
      <c r="Z1305" s="7">
        <f>IF($E1305="","",AB1305-Y1305)</f>
        <v/>
      </c>
      <c r="AA1305" s="7">
        <f>IF($E1305="","",Z1305-Q1305)</f>
        <v/>
      </c>
      <c r="AB1305" s="7" t="n"/>
      <c r="AE1305">
        <f>IF($E1305="","",IF($AQ1305=1,0,IF($AP1305=1,Settings!$C$6,Settings!$C$7))*100)</f>
        <v/>
      </c>
      <c r="AI1305" s="7" t="n"/>
      <c r="AL1305" s="11" t="n"/>
      <c r="AN1305">
        <f>IF($E1305="","",IF(COUNTIF($E$2:$E1305,$E1305)=1,1,0))</f>
        <v/>
      </c>
      <c r="AO1305">
        <f>IF($AN1305=1,SUMPRODUCT(--($AR$2:$AR$3001&lt;$AR1305))+1,"")</f>
        <v/>
      </c>
      <c r="AP1305">
        <f>IF($E1305="","",IF(OR($U1305=TRUE(),$U1305="TRUE"),1,0))</f>
        <v/>
      </c>
      <c r="AQ1305">
        <f>IF($E1305="","",IF($AD1305="Yes",1,0))</f>
        <v/>
      </c>
      <c r="AR1305">
        <f>IF($AN1305=1,IFERROR(VALUE(MID($E1305,2,20)),1000000000)+ROW()/100000,"")</f>
        <v/>
      </c>
    </row>
    <row r="1306">
      <c r="G1306" s="11" t="n"/>
      <c r="Q1306" s="7">
        <f>IF($E1306="","",P1306*AB1306/100)</f>
        <v/>
      </c>
      <c r="R1306" s="7" t="n"/>
      <c r="X1306" s="7" t="n"/>
      <c r="Y1306" s="7">
        <f>IF($E1306="","",AB1306*AE1306/100)</f>
        <v/>
      </c>
      <c r="Z1306" s="7">
        <f>IF($E1306="","",AB1306-Y1306)</f>
        <v/>
      </c>
      <c r="AA1306" s="7">
        <f>IF($E1306="","",Z1306-Q1306)</f>
        <v/>
      </c>
      <c r="AB1306" s="7" t="n"/>
      <c r="AE1306">
        <f>IF($E1306="","",IF($AQ1306=1,0,IF($AP1306=1,Settings!$C$6,Settings!$C$7))*100)</f>
        <v/>
      </c>
      <c r="AI1306" s="7" t="n"/>
      <c r="AL1306" s="11" t="n"/>
      <c r="AN1306">
        <f>IF($E1306="","",IF(COUNTIF($E$2:$E1306,$E1306)=1,1,0))</f>
        <v/>
      </c>
      <c r="AO1306">
        <f>IF($AN1306=1,SUMPRODUCT(--($AR$2:$AR$3001&lt;$AR1306))+1,"")</f>
        <v/>
      </c>
      <c r="AP1306">
        <f>IF($E1306="","",IF(OR($U1306=TRUE(),$U1306="TRUE"),1,0))</f>
        <v/>
      </c>
      <c r="AQ1306">
        <f>IF($E1306="","",IF($AD1306="Yes",1,0))</f>
        <v/>
      </c>
      <c r="AR1306">
        <f>IF($AN1306=1,IFERROR(VALUE(MID($E1306,2,20)),1000000000)+ROW()/100000,"")</f>
        <v/>
      </c>
    </row>
    <row r="1307">
      <c r="G1307" s="11" t="n"/>
      <c r="Q1307" s="7">
        <f>IF($E1307="","",P1307*AB1307/100)</f>
        <v/>
      </c>
      <c r="R1307" s="7" t="n"/>
      <c r="X1307" s="7" t="n"/>
      <c r="Y1307" s="7">
        <f>IF($E1307="","",AB1307*AE1307/100)</f>
        <v/>
      </c>
      <c r="Z1307" s="7">
        <f>IF($E1307="","",AB1307-Y1307)</f>
        <v/>
      </c>
      <c r="AA1307" s="7">
        <f>IF($E1307="","",Z1307-Q1307)</f>
        <v/>
      </c>
      <c r="AB1307" s="7" t="n"/>
      <c r="AE1307">
        <f>IF($E1307="","",IF($AQ1307=1,0,IF($AP1307=1,Settings!$C$6,Settings!$C$7))*100)</f>
        <v/>
      </c>
      <c r="AI1307" s="7" t="n"/>
      <c r="AL1307" s="11" t="n"/>
      <c r="AN1307">
        <f>IF($E1307="","",IF(COUNTIF($E$2:$E1307,$E1307)=1,1,0))</f>
        <v/>
      </c>
      <c r="AO1307">
        <f>IF($AN1307=1,SUMPRODUCT(--($AR$2:$AR$3001&lt;$AR1307))+1,"")</f>
        <v/>
      </c>
      <c r="AP1307">
        <f>IF($E1307="","",IF(OR($U1307=TRUE(),$U1307="TRUE"),1,0))</f>
        <v/>
      </c>
      <c r="AQ1307">
        <f>IF($E1307="","",IF($AD1307="Yes",1,0))</f>
        <v/>
      </c>
      <c r="AR1307">
        <f>IF($AN1307=1,IFERROR(VALUE(MID($E1307,2,20)),1000000000)+ROW()/100000,"")</f>
        <v/>
      </c>
    </row>
    <row r="1308">
      <c r="G1308" s="11" t="n"/>
      <c r="Q1308" s="7">
        <f>IF($E1308="","",P1308*AB1308/100)</f>
        <v/>
      </c>
      <c r="R1308" s="7" t="n"/>
      <c r="X1308" s="7" t="n"/>
      <c r="Y1308" s="7">
        <f>IF($E1308="","",AB1308*AE1308/100)</f>
        <v/>
      </c>
      <c r="Z1308" s="7">
        <f>IF($E1308="","",AB1308-Y1308)</f>
        <v/>
      </c>
      <c r="AA1308" s="7">
        <f>IF($E1308="","",Z1308-Q1308)</f>
        <v/>
      </c>
      <c r="AB1308" s="7" t="n"/>
      <c r="AE1308">
        <f>IF($E1308="","",IF($AQ1308=1,0,IF($AP1308=1,Settings!$C$6,Settings!$C$7))*100)</f>
        <v/>
      </c>
      <c r="AI1308" s="7" t="n"/>
      <c r="AL1308" s="11" t="n"/>
      <c r="AN1308">
        <f>IF($E1308="","",IF(COUNTIF($E$2:$E1308,$E1308)=1,1,0))</f>
        <v/>
      </c>
      <c r="AO1308">
        <f>IF($AN1308=1,SUMPRODUCT(--($AR$2:$AR$3001&lt;$AR1308))+1,"")</f>
        <v/>
      </c>
      <c r="AP1308">
        <f>IF($E1308="","",IF(OR($U1308=TRUE(),$U1308="TRUE"),1,0))</f>
        <v/>
      </c>
      <c r="AQ1308">
        <f>IF($E1308="","",IF($AD1308="Yes",1,0))</f>
        <v/>
      </c>
      <c r="AR1308">
        <f>IF($AN1308=1,IFERROR(VALUE(MID($E1308,2,20)),1000000000)+ROW()/100000,"")</f>
        <v/>
      </c>
    </row>
    <row r="1309">
      <c r="G1309" s="11" t="n"/>
      <c r="Q1309" s="7">
        <f>IF($E1309="","",P1309*AB1309/100)</f>
        <v/>
      </c>
      <c r="R1309" s="7" t="n"/>
      <c r="X1309" s="7" t="n"/>
      <c r="Y1309" s="7">
        <f>IF($E1309="","",AB1309*AE1309/100)</f>
        <v/>
      </c>
      <c r="Z1309" s="7">
        <f>IF($E1309="","",AB1309-Y1309)</f>
        <v/>
      </c>
      <c r="AA1309" s="7">
        <f>IF($E1309="","",Z1309-Q1309)</f>
        <v/>
      </c>
      <c r="AB1309" s="7" t="n"/>
      <c r="AE1309">
        <f>IF($E1309="","",IF($AQ1309=1,0,IF($AP1309=1,Settings!$C$6,Settings!$C$7))*100)</f>
        <v/>
      </c>
      <c r="AI1309" s="7" t="n"/>
      <c r="AL1309" s="11" t="n"/>
      <c r="AN1309">
        <f>IF($E1309="","",IF(COUNTIF($E$2:$E1309,$E1309)=1,1,0))</f>
        <v/>
      </c>
      <c r="AO1309">
        <f>IF($AN1309=1,SUMPRODUCT(--($AR$2:$AR$3001&lt;$AR1309))+1,"")</f>
        <v/>
      </c>
      <c r="AP1309">
        <f>IF($E1309="","",IF(OR($U1309=TRUE(),$U1309="TRUE"),1,0))</f>
        <v/>
      </c>
      <c r="AQ1309">
        <f>IF($E1309="","",IF($AD1309="Yes",1,0))</f>
        <v/>
      </c>
      <c r="AR1309">
        <f>IF($AN1309=1,IFERROR(VALUE(MID($E1309,2,20)),1000000000)+ROW()/100000,"")</f>
        <v/>
      </c>
    </row>
    <row r="1310">
      <c r="G1310" s="11" t="n"/>
      <c r="Q1310" s="7">
        <f>IF($E1310="","",P1310*AB1310/100)</f>
        <v/>
      </c>
      <c r="R1310" s="7" t="n"/>
      <c r="X1310" s="7" t="n"/>
      <c r="Y1310" s="7">
        <f>IF($E1310="","",AB1310*AE1310/100)</f>
        <v/>
      </c>
      <c r="Z1310" s="7">
        <f>IF($E1310="","",AB1310-Y1310)</f>
        <v/>
      </c>
      <c r="AA1310" s="7">
        <f>IF($E1310="","",Z1310-Q1310)</f>
        <v/>
      </c>
      <c r="AB1310" s="7" t="n"/>
      <c r="AE1310">
        <f>IF($E1310="","",IF($AQ1310=1,0,IF($AP1310=1,Settings!$C$6,Settings!$C$7))*100)</f>
        <v/>
      </c>
      <c r="AI1310" s="7" t="n"/>
      <c r="AL1310" s="11" t="n"/>
      <c r="AN1310">
        <f>IF($E1310="","",IF(COUNTIF($E$2:$E1310,$E1310)=1,1,0))</f>
        <v/>
      </c>
      <c r="AO1310">
        <f>IF($AN1310=1,SUMPRODUCT(--($AR$2:$AR$3001&lt;$AR1310))+1,"")</f>
        <v/>
      </c>
      <c r="AP1310">
        <f>IF($E1310="","",IF(OR($U1310=TRUE(),$U1310="TRUE"),1,0))</f>
        <v/>
      </c>
      <c r="AQ1310">
        <f>IF($E1310="","",IF($AD1310="Yes",1,0))</f>
        <v/>
      </c>
      <c r="AR1310">
        <f>IF($AN1310=1,IFERROR(VALUE(MID($E1310,2,20)),1000000000)+ROW()/100000,"")</f>
        <v/>
      </c>
    </row>
    <row r="1311">
      <c r="G1311" s="11" t="n"/>
      <c r="Q1311" s="7">
        <f>IF($E1311="","",P1311*AB1311/100)</f>
        <v/>
      </c>
      <c r="R1311" s="7" t="n"/>
      <c r="X1311" s="7" t="n"/>
      <c r="Y1311" s="7">
        <f>IF($E1311="","",AB1311*AE1311/100)</f>
        <v/>
      </c>
      <c r="Z1311" s="7">
        <f>IF($E1311="","",AB1311-Y1311)</f>
        <v/>
      </c>
      <c r="AA1311" s="7">
        <f>IF($E1311="","",Z1311-Q1311)</f>
        <v/>
      </c>
      <c r="AB1311" s="7" t="n"/>
      <c r="AE1311">
        <f>IF($E1311="","",IF($AQ1311=1,0,IF($AP1311=1,Settings!$C$6,Settings!$C$7))*100)</f>
        <v/>
      </c>
      <c r="AI1311" s="7" t="n"/>
      <c r="AL1311" s="11" t="n"/>
      <c r="AN1311">
        <f>IF($E1311="","",IF(COUNTIF($E$2:$E1311,$E1311)=1,1,0))</f>
        <v/>
      </c>
      <c r="AO1311">
        <f>IF($AN1311=1,SUMPRODUCT(--($AR$2:$AR$3001&lt;$AR1311))+1,"")</f>
        <v/>
      </c>
      <c r="AP1311">
        <f>IF($E1311="","",IF(OR($U1311=TRUE(),$U1311="TRUE"),1,0))</f>
        <v/>
      </c>
      <c r="AQ1311">
        <f>IF($E1311="","",IF($AD1311="Yes",1,0))</f>
        <v/>
      </c>
      <c r="AR1311">
        <f>IF($AN1311=1,IFERROR(VALUE(MID($E1311,2,20)),1000000000)+ROW()/100000,"")</f>
        <v/>
      </c>
    </row>
    <row r="1312">
      <c r="G1312" s="11" t="n"/>
      <c r="Q1312" s="7">
        <f>IF($E1312="","",P1312*AB1312/100)</f>
        <v/>
      </c>
      <c r="R1312" s="7" t="n"/>
      <c r="X1312" s="7" t="n"/>
      <c r="Y1312" s="7">
        <f>IF($E1312="","",AB1312*AE1312/100)</f>
        <v/>
      </c>
      <c r="Z1312" s="7">
        <f>IF($E1312="","",AB1312-Y1312)</f>
        <v/>
      </c>
      <c r="AA1312" s="7">
        <f>IF($E1312="","",Z1312-Q1312)</f>
        <v/>
      </c>
      <c r="AB1312" s="7" t="n"/>
      <c r="AE1312">
        <f>IF($E1312="","",IF($AQ1312=1,0,IF($AP1312=1,Settings!$C$6,Settings!$C$7))*100)</f>
        <v/>
      </c>
      <c r="AI1312" s="7" t="n"/>
      <c r="AL1312" s="11" t="n"/>
      <c r="AN1312">
        <f>IF($E1312="","",IF(COUNTIF($E$2:$E1312,$E1312)=1,1,0))</f>
        <v/>
      </c>
      <c r="AO1312">
        <f>IF($AN1312=1,SUMPRODUCT(--($AR$2:$AR$3001&lt;$AR1312))+1,"")</f>
        <v/>
      </c>
      <c r="AP1312">
        <f>IF($E1312="","",IF(OR($U1312=TRUE(),$U1312="TRUE"),1,0))</f>
        <v/>
      </c>
      <c r="AQ1312">
        <f>IF($E1312="","",IF($AD1312="Yes",1,0))</f>
        <v/>
      </c>
      <c r="AR1312">
        <f>IF($AN1312=1,IFERROR(VALUE(MID($E1312,2,20)),1000000000)+ROW()/100000,"")</f>
        <v/>
      </c>
    </row>
    <row r="1313">
      <c r="G1313" s="11" t="n"/>
      <c r="Q1313" s="7">
        <f>IF($E1313="","",P1313*AB1313/100)</f>
        <v/>
      </c>
      <c r="R1313" s="7" t="n"/>
      <c r="X1313" s="7" t="n"/>
      <c r="Y1313" s="7">
        <f>IF($E1313="","",AB1313*AE1313/100)</f>
        <v/>
      </c>
      <c r="Z1313" s="7">
        <f>IF($E1313="","",AB1313-Y1313)</f>
        <v/>
      </c>
      <c r="AA1313" s="7">
        <f>IF($E1313="","",Z1313-Q1313)</f>
        <v/>
      </c>
      <c r="AB1313" s="7" t="n"/>
      <c r="AE1313">
        <f>IF($E1313="","",IF($AQ1313=1,0,IF($AP1313=1,Settings!$C$6,Settings!$C$7))*100)</f>
        <v/>
      </c>
      <c r="AI1313" s="7" t="n"/>
      <c r="AL1313" s="11" t="n"/>
      <c r="AN1313">
        <f>IF($E1313="","",IF(COUNTIF($E$2:$E1313,$E1313)=1,1,0))</f>
        <v/>
      </c>
      <c r="AO1313">
        <f>IF($AN1313=1,SUMPRODUCT(--($AR$2:$AR$3001&lt;$AR1313))+1,"")</f>
        <v/>
      </c>
      <c r="AP1313">
        <f>IF($E1313="","",IF(OR($U1313=TRUE(),$U1313="TRUE"),1,0))</f>
        <v/>
      </c>
      <c r="AQ1313">
        <f>IF($E1313="","",IF($AD1313="Yes",1,0))</f>
        <v/>
      </c>
      <c r="AR1313">
        <f>IF($AN1313=1,IFERROR(VALUE(MID($E1313,2,20)),1000000000)+ROW()/100000,"")</f>
        <v/>
      </c>
    </row>
    <row r="1314">
      <c r="G1314" s="11" t="n"/>
      <c r="Q1314" s="7">
        <f>IF($E1314="","",P1314*AB1314/100)</f>
        <v/>
      </c>
      <c r="R1314" s="7" t="n"/>
      <c r="X1314" s="7" t="n"/>
      <c r="Y1314" s="7">
        <f>IF($E1314="","",AB1314*AE1314/100)</f>
        <v/>
      </c>
      <c r="Z1314" s="7">
        <f>IF($E1314="","",AB1314-Y1314)</f>
        <v/>
      </c>
      <c r="AA1314" s="7">
        <f>IF($E1314="","",Z1314-Q1314)</f>
        <v/>
      </c>
      <c r="AB1314" s="7" t="n"/>
      <c r="AE1314">
        <f>IF($E1314="","",IF($AQ1314=1,0,IF($AP1314=1,Settings!$C$6,Settings!$C$7))*100)</f>
        <v/>
      </c>
      <c r="AI1314" s="7" t="n"/>
      <c r="AL1314" s="11" t="n"/>
      <c r="AN1314">
        <f>IF($E1314="","",IF(COUNTIF($E$2:$E1314,$E1314)=1,1,0))</f>
        <v/>
      </c>
      <c r="AO1314">
        <f>IF($AN1314=1,SUMPRODUCT(--($AR$2:$AR$3001&lt;$AR1314))+1,"")</f>
        <v/>
      </c>
      <c r="AP1314">
        <f>IF($E1314="","",IF(OR($U1314=TRUE(),$U1314="TRUE"),1,0))</f>
        <v/>
      </c>
      <c r="AQ1314">
        <f>IF($E1314="","",IF($AD1314="Yes",1,0))</f>
        <v/>
      </c>
      <c r="AR1314">
        <f>IF($AN1314=1,IFERROR(VALUE(MID($E1314,2,20)),1000000000)+ROW()/100000,"")</f>
        <v/>
      </c>
    </row>
    <row r="1315">
      <c r="G1315" s="11" t="n"/>
      <c r="Q1315" s="7">
        <f>IF($E1315="","",P1315*AB1315/100)</f>
        <v/>
      </c>
      <c r="R1315" s="7" t="n"/>
      <c r="X1315" s="7" t="n"/>
      <c r="Y1315" s="7">
        <f>IF($E1315="","",AB1315*AE1315/100)</f>
        <v/>
      </c>
      <c r="Z1315" s="7">
        <f>IF($E1315="","",AB1315-Y1315)</f>
        <v/>
      </c>
      <c r="AA1315" s="7">
        <f>IF($E1315="","",Z1315-Q1315)</f>
        <v/>
      </c>
      <c r="AB1315" s="7" t="n"/>
      <c r="AE1315">
        <f>IF($E1315="","",IF($AQ1315=1,0,IF($AP1315=1,Settings!$C$6,Settings!$C$7))*100)</f>
        <v/>
      </c>
      <c r="AI1315" s="7" t="n"/>
      <c r="AL1315" s="11" t="n"/>
      <c r="AN1315">
        <f>IF($E1315="","",IF(COUNTIF($E$2:$E1315,$E1315)=1,1,0))</f>
        <v/>
      </c>
      <c r="AO1315">
        <f>IF($AN1315=1,SUMPRODUCT(--($AR$2:$AR$3001&lt;$AR1315))+1,"")</f>
        <v/>
      </c>
      <c r="AP1315">
        <f>IF($E1315="","",IF(OR($U1315=TRUE(),$U1315="TRUE"),1,0))</f>
        <v/>
      </c>
      <c r="AQ1315">
        <f>IF($E1315="","",IF($AD1315="Yes",1,0))</f>
        <v/>
      </c>
      <c r="AR1315">
        <f>IF($AN1315=1,IFERROR(VALUE(MID($E1315,2,20)),1000000000)+ROW()/100000,"")</f>
        <v/>
      </c>
    </row>
    <row r="1316">
      <c r="G1316" s="11" t="n"/>
      <c r="Q1316" s="7">
        <f>IF($E1316="","",P1316*AB1316/100)</f>
        <v/>
      </c>
      <c r="R1316" s="7" t="n"/>
      <c r="X1316" s="7" t="n"/>
      <c r="Y1316" s="7">
        <f>IF($E1316="","",AB1316*AE1316/100)</f>
        <v/>
      </c>
      <c r="Z1316" s="7">
        <f>IF($E1316="","",AB1316-Y1316)</f>
        <v/>
      </c>
      <c r="AA1316" s="7">
        <f>IF($E1316="","",Z1316-Q1316)</f>
        <v/>
      </c>
      <c r="AB1316" s="7" t="n"/>
      <c r="AE1316">
        <f>IF($E1316="","",IF($AQ1316=1,0,IF($AP1316=1,Settings!$C$6,Settings!$C$7))*100)</f>
        <v/>
      </c>
      <c r="AI1316" s="7" t="n"/>
      <c r="AL1316" s="11" t="n"/>
      <c r="AN1316">
        <f>IF($E1316="","",IF(COUNTIF($E$2:$E1316,$E1316)=1,1,0))</f>
        <v/>
      </c>
      <c r="AO1316">
        <f>IF($AN1316=1,SUMPRODUCT(--($AR$2:$AR$3001&lt;$AR1316))+1,"")</f>
        <v/>
      </c>
      <c r="AP1316">
        <f>IF($E1316="","",IF(OR($U1316=TRUE(),$U1316="TRUE"),1,0))</f>
        <v/>
      </c>
      <c r="AQ1316">
        <f>IF($E1316="","",IF($AD1316="Yes",1,0))</f>
        <v/>
      </c>
      <c r="AR1316">
        <f>IF($AN1316=1,IFERROR(VALUE(MID($E1316,2,20)),1000000000)+ROW()/100000,"")</f>
        <v/>
      </c>
    </row>
    <row r="1317">
      <c r="G1317" s="11" t="n"/>
      <c r="Q1317" s="7">
        <f>IF($E1317="","",P1317*AB1317/100)</f>
        <v/>
      </c>
      <c r="R1317" s="7" t="n"/>
      <c r="X1317" s="7" t="n"/>
      <c r="Y1317" s="7">
        <f>IF($E1317="","",AB1317*AE1317/100)</f>
        <v/>
      </c>
      <c r="Z1317" s="7">
        <f>IF($E1317="","",AB1317-Y1317)</f>
        <v/>
      </c>
      <c r="AA1317" s="7">
        <f>IF($E1317="","",Z1317-Q1317)</f>
        <v/>
      </c>
      <c r="AB1317" s="7" t="n"/>
      <c r="AE1317">
        <f>IF($E1317="","",IF($AQ1317=1,0,IF($AP1317=1,Settings!$C$6,Settings!$C$7))*100)</f>
        <v/>
      </c>
      <c r="AI1317" s="7" t="n"/>
      <c r="AL1317" s="11" t="n"/>
      <c r="AN1317">
        <f>IF($E1317="","",IF(COUNTIF($E$2:$E1317,$E1317)=1,1,0))</f>
        <v/>
      </c>
      <c r="AO1317">
        <f>IF($AN1317=1,SUMPRODUCT(--($AR$2:$AR$3001&lt;$AR1317))+1,"")</f>
        <v/>
      </c>
      <c r="AP1317">
        <f>IF($E1317="","",IF(OR($U1317=TRUE(),$U1317="TRUE"),1,0))</f>
        <v/>
      </c>
      <c r="AQ1317">
        <f>IF($E1317="","",IF($AD1317="Yes",1,0))</f>
        <v/>
      </c>
      <c r="AR1317">
        <f>IF($AN1317=1,IFERROR(VALUE(MID($E1317,2,20)),1000000000)+ROW()/100000,"")</f>
        <v/>
      </c>
    </row>
    <row r="1318">
      <c r="G1318" s="11" t="n"/>
      <c r="Q1318" s="7">
        <f>IF($E1318="","",P1318*AB1318/100)</f>
        <v/>
      </c>
      <c r="R1318" s="7" t="n"/>
      <c r="X1318" s="7" t="n"/>
      <c r="Y1318" s="7">
        <f>IF($E1318="","",AB1318*AE1318/100)</f>
        <v/>
      </c>
      <c r="Z1318" s="7">
        <f>IF($E1318="","",AB1318-Y1318)</f>
        <v/>
      </c>
      <c r="AA1318" s="7">
        <f>IF($E1318="","",Z1318-Q1318)</f>
        <v/>
      </c>
      <c r="AB1318" s="7" t="n"/>
      <c r="AE1318">
        <f>IF($E1318="","",IF($AQ1318=1,0,IF($AP1318=1,Settings!$C$6,Settings!$C$7))*100)</f>
        <v/>
      </c>
      <c r="AI1318" s="7" t="n"/>
      <c r="AL1318" s="11" t="n"/>
      <c r="AN1318">
        <f>IF($E1318="","",IF(COUNTIF($E$2:$E1318,$E1318)=1,1,0))</f>
        <v/>
      </c>
      <c r="AO1318">
        <f>IF($AN1318=1,SUMPRODUCT(--($AR$2:$AR$3001&lt;$AR1318))+1,"")</f>
        <v/>
      </c>
      <c r="AP1318">
        <f>IF($E1318="","",IF(OR($U1318=TRUE(),$U1318="TRUE"),1,0))</f>
        <v/>
      </c>
      <c r="AQ1318">
        <f>IF($E1318="","",IF($AD1318="Yes",1,0))</f>
        <v/>
      </c>
      <c r="AR1318">
        <f>IF($AN1318=1,IFERROR(VALUE(MID($E1318,2,20)),1000000000)+ROW()/100000,"")</f>
        <v/>
      </c>
    </row>
    <row r="1319">
      <c r="G1319" s="11" t="n"/>
      <c r="Q1319" s="7">
        <f>IF($E1319="","",P1319*AB1319/100)</f>
        <v/>
      </c>
      <c r="R1319" s="7" t="n"/>
      <c r="X1319" s="7" t="n"/>
      <c r="Y1319" s="7">
        <f>IF($E1319="","",AB1319*AE1319/100)</f>
        <v/>
      </c>
      <c r="Z1319" s="7">
        <f>IF($E1319="","",AB1319-Y1319)</f>
        <v/>
      </c>
      <c r="AA1319" s="7">
        <f>IF($E1319="","",Z1319-Q1319)</f>
        <v/>
      </c>
      <c r="AB1319" s="7" t="n"/>
      <c r="AE1319">
        <f>IF($E1319="","",IF($AQ1319=1,0,IF($AP1319=1,Settings!$C$6,Settings!$C$7))*100)</f>
        <v/>
      </c>
      <c r="AI1319" s="7" t="n"/>
      <c r="AL1319" s="11" t="n"/>
      <c r="AN1319">
        <f>IF($E1319="","",IF(COUNTIF($E$2:$E1319,$E1319)=1,1,0))</f>
        <v/>
      </c>
      <c r="AO1319">
        <f>IF($AN1319=1,SUMPRODUCT(--($AR$2:$AR$3001&lt;$AR1319))+1,"")</f>
        <v/>
      </c>
      <c r="AP1319">
        <f>IF($E1319="","",IF(OR($U1319=TRUE(),$U1319="TRUE"),1,0))</f>
        <v/>
      </c>
      <c r="AQ1319">
        <f>IF($E1319="","",IF($AD1319="Yes",1,0))</f>
        <v/>
      </c>
      <c r="AR1319">
        <f>IF($AN1319=1,IFERROR(VALUE(MID($E1319,2,20)),1000000000)+ROW()/100000,"")</f>
        <v/>
      </c>
    </row>
    <row r="1320">
      <c r="G1320" s="11" t="n"/>
      <c r="Q1320" s="7">
        <f>IF($E1320="","",P1320*AB1320/100)</f>
        <v/>
      </c>
      <c r="R1320" s="7" t="n"/>
      <c r="X1320" s="7" t="n"/>
      <c r="Y1320" s="7">
        <f>IF($E1320="","",AB1320*AE1320/100)</f>
        <v/>
      </c>
      <c r="Z1320" s="7">
        <f>IF($E1320="","",AB1320-Y1320)</f>
        <v/>
      </c>
      <c r="AA1320" s="7">
        <f>IF($E1320="","",Z1320-Q1320)</f>
        <v/>
      </c>
      <c r="AB1320" s="7" t="n"/>
      <c r="AE1320">
        <f>IF($E1320="","",IF($AQ1320=1,0,IF($AP1320=1,Settings!$C$6,Settings!$C$7))*100)</f>
        <v/>
      </c>
      <c r="AI1320" s="7" t="n"/>
      <c r="AL1320" s="11" t="n"/>
      <c r="AN1320">
        <f>IF($E1320="","",IF(COUNTIF($E$2:$E1320,$E1320)=1,1,0))</f>
        <v/>
      </c>
      <c r="AO1320">
        <f>IF($AN1320=1,SUMPRODUCT(--($AR$2:$AR$3001&lt;$AR1320))+1,"")</f>
        <v/>
      </c>
      <c r="AP1320">
        <f>IF($E1320="","",IF(OR($U1320=TRUE(),$U1320="TRUE"),1,0))</f>
        <v/>
      </c>
      <c r="AQ1320">
        <f>IF($E1320="","",IF($AD1320="Yes",1,0))</f>
        <v/>
      </c>
      <c r="AR1320">
        <f>IF($AN1320=1,IFERROR(VALUE(MID($E1320,2,20)),1000000000)+ROW()/100000,"")</f>
        <v/>
      </c>
    </row>
    <row r="1321">
      <c r="G1321" s="11" t="n"/>
      <c r="Q1321" s="7">
        <f>IF($E1321="","",P1321*AB1321/100)</f>
        <v/>
      </c>
      <c r="R1321" s="7" t="n"/>
      <c r="X1321" s="7" t="n"/>
      <c r="Y1321" s="7">
        <f>IF($E1321="","",AB1321*AE1321/100)</f>
        <v/>
      </c>
      <c r="Z1321" s="7">
        <f>IF($E1321="","",AB1321-Y1321)</f>
        <v/>
      </c>
      <c r="AA1321" s="7">
        <f>IF($E1321="","",Z1321-Q1321)</f>
        <v/>
      </c>
      <c r="AB1321" s="7" t="n"/>
      <c r="AE1321">
        <f>IF($E1321="","",IF($AQ1321=1,0,IF($AP1321=1,Settings!$C$6,Settings!$C$7))*100)</f>
        <v/>
      </c>
      <c r="AI1321" s="7" t="n"/>
      <c r="AL1321" s="11" t="n"/>
      <c r="AN1321">
        <f>IF($E1321="","",IF(COUNTIF($E$2:$E1321,$E1321)=1,1,0))</f>
        <v/>
      </c>
      <c r="AO1321">
        <f>IF($AN1321=1,SUMPRODUCT(--($AR$2:$AR$3001&lt;$AR1321))+1,"")</f>
        <v/>
      </c>
      <c r="AP1321">
        <f>IF($E1321="","",IF(OR($U1321=TRUE(),$U1321="TRUE"),1,0))</f>
        <v/>
      </c>
      <c r="AQ1321">
        <f>IF($E1321="","",IF($AD1321="Yes",1,0))</f>
        <v/>
      </c>
      <c r="AR1321">
        <f>IF($AN1321=1,IFERROR(VALUE(MID($E1321,2,20)),1000000000)+ROW()/100000,"")</f>
        <v/>
      </c>
    </row>
    <row r="1322">
      <c r="G1322" s="11" t="n"/>
      <c r="Q1322" s="7">
        <f>IF($E1322="","",P1322*AB1322/100)</f>
        <v/>
      </c>
      <c r="R1322" s="7" t="n"/>
      <c r="X1322" s="7" t="n"/>
      <c r="Y1322" s="7">
        <f>IF($E1322="","",AB1322*AE1322/100)</f>
        <v/>
      </c>
      <c r="Z1322" s="7">
        <f>IF($E1322="","",AB1322-Y1322)</f>
        <v/>
      </c>
      <c r="AA1322" s="7">
        <f>IF($E1322="","",Z1322-Q1322)</f>
        <v/>
      </c>
      <c r="AB1322" s="7" t="n"/>
      <c r="AE1322">
        <f>IF($E1322="","",IF($AQ1322=1,0,IF($AP1322=1,Settings!$C$6,Settings!$C$7))*100)</f>
        <v/>
      </c>
      <c r="AI1322" s="7" t="n"/>
      <c r="AL1322" s="11" t="n"/>
      <c r="AN1322">
        <f>IF($E1322="","",IF(COUNTIF($E$2:$E1322,$E1322)=1,1,0))</f>
        <v/>
      </c>
      <c r="AO1322">
        <f>IF($AN1322=1,SUMPRODUCT(--($AR$2:$AR$3001&lt;$AR1322))+1,"")</f>
        <v/>
      </c>
      <c r="AP1322">
        <f>IF($E1322="","",IF(OR($U1322=TRUE(),$U1322="TRUE"),1,0))</f>
        <v/>
      </c>
      <c r="AQ1322">
        <f>IF($E1322="","",IF($AD1322="Yes",1,0))</f>
        <v/>
      </c>
      <c r="AR1322">
        <f>IF($AN1322=1,IFERROR(VALUE(MID($E1322,2,20)),1000000000)+ROW()/100000,"")</f>
        <v/>
      </c>
    </row>
    <row r="1323">
      <c r="G1323" s="11" t="n"/>
      <c r="Q1323" s="7">
        <f>IF($E1323="","",P1323*AB1323/100)</f>
        <v/>
      </c>
      <c r="R1323" s="7" t="n"/>
      <c r="X1323" s="7" t="n"/>
      <c r="Y1323" s="7">
        <f>IF($E1323="","",AB1323*AE1323/100)</f>
        <v/>
      </c>
      <c r="Z1323" s="7">
        <f>IF($E1323="","",AB1323-Y1323)</f>
        <v/>
      </c>
      <c r="AA1323" s="7">
        <f>IF($E1323="","",Z1323-Q1323)</f>
        <v/>
      </c>
      <c r="AB1323" s="7" t="n"/>
      <c r="AE1323">
        <f>IF($E1323="","",IF($AQ1323=1,0,IF($AP1323=1,Settings!$C$6,Settings!$C$7))*100)</f>
        <v/>
      </c>
      <c r="AI1323" s="7" t="n"/>
      <c r="AL1323" s="11" t="n"/>
      <c r="AN1323">
        <f>IF($E1323="","",IF(COUNTIF($E$2:$E1323,$E1323)=1,1,0))</f>
        <v/>
      </c>
      <c r="AO1323">
        <f>IF($AN1323=1,SUMPRODUCT(--($AR$2:$AR$3001&lt;$AR1323))+1,"")</f>
        <v/>
      </c>
      <c r="AP1323">
        <f>IF($E1323="","",IF(OR($U1323=TRUE(),$U1323="TRUE"),1,0))</f>
        <v/>
      </c>
      <c r="AQ1323">
        <f>IF($E1323="","",IF($AD1323="Yes",1,0))</f>
        <v/>
      </c>
      <c r="AR1323">
        <f>IF($AN1323=1,IFERROR(VALUE(MID($E1323,2,20)),1000000000)+ROW()/100000,"")</f>
        <v/>
      </c>
    </row>
    <row r="1324">
      <c r="G1324" s="11" t="n"/>
      <c r="Q1324" s="7">
        <f>IF($E1324="","",P1324*AB1324/100)</f>
        <v/>
      </c>
      <c r="R1324" s="7" t="n"/>
      <c r="X1324" s="7" t="n"/>
      <c r="Y1324" s="7">
        <f>IF($E1324="","",AB1324*AE1324/100)</f>
        <v/>
      </c>
      <c r="Z1324" s="7">
        <f>IF($E1324="","",AB1324-Y1324)</f>
        <v/>
      </c>
      <c r="AA1324" s="7">
        <f>IF($E1324="","",Z1324-Q1324)</f>
        <v/>
      </c>
      <c r="AB1324" s="7" t="n"/>
      <c r="AE1324">
        <f>IF($E1324="","",IF($AQ1324=1,0,IF($AP1324=1,Settings!$C$6,Settings!$C$7))*100)</f>
        <v/>
      </c>
      <c r="AI1324" s="7" t="n"/>
      <c r="AL1324" s="11" t="n"/>
      <c r="AN1324">
        <f>IF($E1324="","",IF(COUNTIF($E$2:$E1324,$E1324)=1,1,0))</f>
        <v/>
      </c>
      <c r="AO1324">
        <f>IF($AN1324=1,SUMPRODUCT(--($AR$2:$AR$3001&lt;$AR1324))+1,"")</f>
        <v/>
      </c>
      <c r="AP1324">
        <f>IF($E1324="","",IF(OR($U1324=TRUE(),$U1324="TRUE"),1,0))</f>
        <v/>
      </c>
      <c r="AQ1324">
        <f>IF($E1324="","",IF($AD1324="Yes",1,0))</f>
        <v/>
      </c>
      <c r="AR1324">
        <f>IF($AN1324=1,IFERROR(VALUE(MID($E1324,2,20)),1000000000)+ROW()/100000,"")</f>
        <v/>
      </c>
    </row>
    <row r="1325">
      <c r="G1325" s="11" t="n"/>
      <c r="Q1325" s="7">
        <f>IF($E1325="","",P1325*AB1325/100)</f>
        <v/>
      </c>
      <c r="R1325" s="7" t="n"/>
      <c r="X1325" s="7" t="n"/>
      <c r="Y1325" s="7">
        <f>IF($E1325="","",AB1325*AE1325/100)</f>
        <v/>
      </c>
      <c r="Z1325" s="7">
        <f>IF($E1325="","",AB1325-Y1325)</f>
        <v/>
      </c>
      <c r="AA1325" s="7">
        <f>IF($E1325="","",Z1325-Q1325)</f>
        <v/>
      </c>
      <c r="AB1325" s="7" t="n"/>
      <c r="AE1325">
        <f>IF($E1325="","",IF($AQ1325=1,0,IF($AP1325=1,Settings!$C$6,Settings!$C$7))*100)</f>
        <v/>
      </c>
      <c r="AI1325" s="7" t="n"/>
      <c r="AL1325" s="11" t="n"/>
      <c r="AN1325">
        <f>IF($E1325="","",IF(COUNTIF($E$2:$E1325,$E1325)=1,1,0))</f>
        <v/>
      </c>
      <c r="AO1325">
        <f>IF($AN1325=1,SUMPRODUCT(--($AR$2:$AR$3001&lt;$AR1325))+1,"")</f>
        <v/>
      </c>
      <c r="AP1325">
        <f>IF($E1325="","",IF(OR($U1325=TRUE(),$U1325="TRUE"),1,0))</f>
        <v/>
      </c>
      <c r="AQ1325">
        <f>IF($E1325="","",IF($AD1325="Yes",1,0))</f>
        <v/>
      </c>
      <c r="AR1325">
        <f>IF($AN1325=1,IFERROR(VALUE(MID($E1325,2,20)),1000000000)+ROW()/100000,"")</f>
        <v/>
      </c>
    </row>
    <row r="1326">
      <c r="G1326" s="11" t="n"/>
      <c r="Q1326" s="7">
        <f>IF($E1326="","",P1326*AB1326/100)</f>
        <v/>
      </c>
      <c r="R1326" s="7" t="n"/>
      <c r="X1326" s="7" t="n"/>
      <c r="Y1326" s="7">
        <f>IF($E1326="","",AB1326*AE1326/100)</f>
        <v/>
      </c>
      <c r="Z1326" s="7">
        <f>IF($E1326="","",AB1326-Y1326)</f>
        <v/>
      </c>
      <c r="AA1326" s="7">
        <f>IF($E1326="","",Z1326-Q1326)</f>
        <v/>
      </c>
      <c r="AB1326" s="7" t="n"/>
      <c r="AE1326">
        <f>IF($E1326="","",IF($AQ1326=1,0,IF($AP1326=1,Settings!$C$6,Settings!$C$7))*100)</f>
        <v/>
      </c>
      <c r="AI1326" s="7" t="n"/>
      <c r="AL1326" s="11" t="n"/>
      <c r="AN1326">
        <f>IF($E1326="","",IF(COUNTIF($E$2:$E1326,$E1326)=1,1,0))</f>
        <v/>
      </c>
      <c r="AO1326">
        <f>IF($AN1326=1,SUMPRODUCT(--($AR$2:$AR$3001&lt;$AR1326))+1,"")</f>
        <v/>
      </c>
      <c r="AP1326">
        <f>IF($E1326="","",IF(OR($U1326=TRUE(),$U1326="TRUE"),1,0))</f>
        <v/>
      </c>
      <c r="AQ1326">
        <f>IF($E1326="","",IF($AD1326="Yes",1,0))</f>
        <v/>
      </c>
      <c r="AR1326">
        <f>IF($AN1326=1,IFERROR(VALUE(MID($E1326,2,20)),1000000000)+ROW()/100000,"")</f>
        <v/>
      </c>
    </row>
    <row r="1327">
      <c r="G1327" s="11" t="n"/>
      <c r="Q1327" s="7">
        <f>IF($E1327="","",P1327*AB1327/100)</f>
        <v/>
      </c>
      <c r="R1327" s="7" t="n"/>
      <c r="X1327" s="7" t="n"/>
      <c r="Y1327" s="7">
        <f>IF($E1327="","",AB1327*AE1327/100)</f>
        <v/>
      </c>
      <c r="Z1327" s="7">
        <f>IF($E1327="","",AB1327-Y1327)</f>
        <v/>
      </c>
      <c r="AA1327" s="7">
        <f>IF($E1327="","",Z1327-Q1327)</f>
        <v/>
      </c>
      <c r="AB1327" s="7" t="n"/>
      <c r="AE1327">
        <f>IF($E1327="","",IF($AQ1327=1,0,IF($AP1327=1,Settings!$C$6,Settings!$C$7))*100)</f>
        <v/>
      </c>
      <c r="AI1327" s="7" t="n"/>
      <c r="AL1327" s="11" t="n"/>
      <c r="AN1327">
        <f>IF($E1327="","",IF(COUNTIF($E$2:$E1327,$E1327)=1,1,0))</f>
        <v/>
      </c>
      <c r="AO1327">
        <f>IF($AN1327=1,SUMPRODUCT(--($AR$2:$AR$3001&lt;$AR1327))+1,"")</f>
        <v/>
      </c>
      <c r="AP1327">
        <f>IF($E1327="","",IF(OR($U1327=TRUE(),$U1327="TRUE"),1,0))</f>
        <v/>
      </c>
      <c r="AQ1327">
        <f>IF($E1327="","",IF($AD1327="Yes",1,0))</f>
        <v/>
      </c>
      <c r="AR1327">
        <f>IF($AN1327=1,IFERROR(VALUE(MID($E1327,2,20)),1000000000)+ROW()/100000,"")</f>
        <v/>
      </c>
    </row>
    <row r="1328">
      <c r="G1328" s="11" t="n"/>
      <c r="Q1328" s="7">
        <f>IF($E1328="","",P1328*AB1328/100)</f>
        <v/>
      </c>
      <c r="R1328" s="7" t="n"/>
      <c r="X1328" s="7" t="n"/>
      <c r="Y1328" s="7">
        <f>IF($E1328="","",AB1328*AE1328/100)</f>
        <v/>
      </c>
      <c r="Z1328" s="7">
        <f>IF($E1328="","",AB1328-Y1328)</f>
        <v/>
      </c>
      <c r="AA1328" s="7">
        <f>IF($E1328="","",Z1328-Q1328)</f>
        <v/>
      </c>
      <c r="AB1328" s="7" t="n"/>
      <c r="AE1328">
        <f>IF($E1328="","",IF($AQ1328=1,0,IF($AP1328=1,Settings!$C$6,Settings!$C$7))*100)</f>
        <v/>
      </c>
      <c r="AI1328" s="7" t="n"/>
      <c r="AL1328" s="11" t="n"/>
      <c r="AN1328">
        <f>IF($E1328="","",IF(COUNTIF($E$2:$E1328,$E1328)=1,1,0))</f>
        <v/>
      </c>
      <c r="AO1328">
        <f>IF($AN1328=1,SUMPRODUCT(--($AR$2:$AR$3001&lt;$AR1328))+1,"")</f>
        <v/>
      </c>
      <c r="AP1328">
        <f>IF($E1328="","",IF(OR($U1328=TRUE(),$U1328="TRUE"),1,0))</f>
        <v/>
      </c>
      <c r="AQ1328">
        <f>IF($E1328="","",IF($AD1328="Yes",1,0))</f>
        <v/>
      </c>
      <c r="AR1328">
        <f>IF($AN1328=1,IFERROR(VALUE(MID($E1328,2,20)),1000000000)+ROW()/100000,"")</f>
        <v/>
      </c>
    </row>
    <row r="1329">
      <c r="G1329" s="11" t="n"/>
      <c r="Q1329" s="7">
        <f>IF($E1329="","",P1329*AB1329/100)</f>
        <v/>
      </c>
      <c r="R1329" s="7" t="n"/>
      <c r="X1329" s="7" t="n"/>
      <c r="Y1329" s="7">
        <f>IF($E1329="","",AB1329*AE1329/100)</f>
        <v/>
      </c>
      <c r="Z1329" s="7">
        <f>IF($E1329="","",AB1329-Y1329)</f>
        <v/>
      </c>
      <c r="AA1329" s="7">
        <f>IF($E1329="","",Z1329-Q1329)</f>
        <v/>
      </c>
      <c r="AB1329" s="7" t="n"/>
      <c r="AE1329">
        <f>IF($E1329="","",IF($AQ1329=1,0,IF($AP1329=1,Settings!$C$6,Settings!$C$7))*100)</f>
        <v/>
      </c>
      <c r="AI1329" s="7" t="n"/>
      <c r="AL1329" s="11" t="n"/>
      <c r="AN1329">
        <f>IF($E1329="","",IF(COUNTIF($E$2:$E1329,$E1329)=1,1,0))</f>
        <v/>
      </c>
      <c r="AO1329">
        <f>IF($AN1329=1,SUMPRODUCT(--($AR$2:$AR$3001&lt;$AR1329))+1,"")</f>
        <v/>
      </c>
      <c r="AP1329">
        <f>IF($E1329="","",IF(OR($U1329=TRUE(),$U1329="TRUE"),1,0))</f>
        <v/>
      </c>
      <c r="AQ1329">
        <f>IF($E1329="","",IF($AD1329="Yes",1,0))</f>
        <v/>
      </c>
      <c r="AR1329">
        <f>IF($AN1329=1,IFERROR(VALUE(MID($E1329,2,20)),1000000000)+ROW()/100000,"")</f>
        <v/>
      </c>
    </row>
    <row r="1330">
      <c r="G1330" s="11" t="n"/>
      <c r="Q1330" s="7">
        <f>IF($E1330="","",P1330*AB1330/100)</f>
        <v/>
      </c>
      <c r="R1330" s="7" t="n"/>
      <c r="X1330" s="7" t="n"/>
      <c r="Y1330" s="7">
        <f>IF($E1330="","",AB1330*AE1330/100)</f>
        <v/>
      </c>
      <c r="Z1330" s="7">
        <f>IF($E1330="","",AB1330-Y1330)</f>
        <v/>
      </c>
      <c r="AA1330" s="7">
        <f>IF($E1330="","",Z1330-Q1330)</f>
        <v/>
      </c>
      <c r="AB1330" s="7" t="n"/>
      <c r="AE1330">
        <f>IF($E1330="","",IF($AQ1330=1,0,IF($AP1330=1,Settings!$C$6,Settings!$C$7))*100)</f>
        <v/>
      </c>
      <c r="AI1330" s="7" t="n"/>
      <c r="AL1330" s="11" t="n"/>
      <c r="AN1330">
        <f>IF($E1330="","",IF(COUNTIF($E$2:$E1330,$E1330)=1,1,0))</f>
        <v/>
      </c>
      <c r="AO1330">
        <f>IF($AN1330=1,SUMPRODUCT(--($AR$2:$AR$3001&lt;$AR1330))+1,"")</f>
        <v/>
      </c>
      <c r="AP1330">
        <f>IF($E1330="","",IF(OR($U1330=TRUE(),$U1330="TRUE"),1,0))</f>
        <v/>
      </c>
      <c r="AQ1330">
        <f>IF($E1330="","",IF($AD1330="Yes",1,0))</f>
        <v/>
      </c>
      <c r="AR1330">
        <f>IF($AN1330=1,IFERROR(VALUE(MID($E1330,2,20)),1000000000)+ROW()/100000,"")</f>
        <v/>
      </c>
    </row>
    <row r="1331">
      <c r="G1331" s="11" t="n"/>
      <c r="Q1331" s="7">
        <f>IF($E1331="","",P1331*AB1331/100)</f>
        <v/>
      </c>
      <c r="R1331" s="7" t="n"/>
      <c r="X1331" s="7" t="n"/>
      <c r="Y1331" s="7">
        <f>IF($E1331="","",AB1331*AE1331/100)</f>
        <v/>
      </c>
      <c r="Z1331" s="7">
        <f>IF($E1331="","",AB1331-Y1331)</f>
        <v/>
      </c>
      <c r="AA1331" s="7">
        <f>IF($E1331="","",Z1331-Q1331)</f>
        <v/>
      </c>
      <c r="AB1331" s="7" t="n"/>
      <c r="AE1331">
        <f>IF($E1331="","",IF($AQ1331=1,0,IF($AP1331=1,Settings!$C$6,Settings!$C$7))*100)</f>
        <v/>
      </c>
      <c r="AI1331" s="7" t="n"/>
      <c r="AL1331" s="11" t="n"/>
      <c r="AN1331">
        <f>IF($E1331="","",IF(COUNTIF($E$2:$E1331,$E1331)=1,1,0))</f>
        <v/>
      </c>
      <c r="AO1331">
        <f>IF($AN1331=1,SUMPRODUCT(--($AR$2:$AR$3001&lt;$AR1331))+1,"")</f>
        <v/>
      </c>
      <c r="AP1331">
        <f>IF($E1331="","",IF(OR($U1331=TRUE(),$U1331="TRUE"),1,0))</f>
        <v/>
      </c>
      <c r="AQ1331">
        <f>IF($E1331="","",IF($AD1331="Yes",1,0))</f>
        <v/>
      </c>
      <c r="AR1331">
        <f>IF($AN1331=1,IFERROR(VALUE(MID($E1331,2,20)),1000000000)+ROW()/100000,"")</f>
        <v/>
      </c>
    </row>
    <row r="1332">
      <c r="G1332" s="11" t="n"/>
      <c r="Q1332" s="7">
        <f>IF($E1332="","",P1332*AB1332/100)</f>
        <v/>
      </c>
      <c r="R1332" s="7" t="n"/>
      <c r="X1332" s="7" t="n"/>
      <c r="Y1332" s="7">
        <f>IF($E1332="","",AB1332*AE1332/100)</f>
        <v/>
      </c>
      <c r="Z1332" s="7">
        <f>IF($E1332="","",AB1332-Y1332)</f>
        <v/>
      </c>
      <c r="AA1332" s="7">
        <f>IF($E1332="","",Z1332-Q1332)</f>
        <v/>
      </c>
      <c r="AB1332" s="7" t="n"/>
      <c r="AE1332">
        <f>IF($E1332="","",IF($AQ1332=1,0,IF($AP1332=1,Settings!$C$6,Settings!$C$7))*100)</f>
        <v/>
      </c>
      <c r="AI1332" s="7" t="n"/>
      <c r="AL1332" s="11" t="n"/>
      <c r="AN1332">
        <f>IF($E1332="","",IF(COUNTIF($E$2:$E1332,$E1332)=1,1,0))</f>
        <v/>
      </c>
      <c r="AO1332">
        <f>IF($AN1332=1,SUMPRODUCT(--($AR$2:$AR$3001&lt;$AR1332))+1,"")</f>
        <v/>
      </c>
      <c r="AP1332">
        <f>IF($E1332="","",IF(OR($U1332=TRUE(),$U1332="TRUE"),1,0))</f>
        <v/>
      </c>
      <c r="AQ1332">
        <f>IF($E1332="","",IF($AD1332="Yes",1,0))</f>
        <v/>
      </c>
      <c r="AR1332">
        <f>IF($AN1332=1,IFERROR(VALUE(MID($E1332,2,20)),1000000000)+ROW()/100000,"")</f>
        <v/>
      </c>
    </row>
    <row r="1333">
      <c r="G1333" s="11" t="n"/>
      <c r="Q1333" s="7">
        <f>IF($E1333="","",P1333*AB1333/100)</f>
        <v/>
      </c>
      <c r="R1333" s="7" t="n"/>
      <c r="X1333" s="7" t="n"/>
      <c r="Y1333" s="7">
        <f>IF($E1333="","",AB1333*AE1333/100)</f>
        <v/>
      </c>
      <c r="Z1333" s="7">
        <f>IF($E1333="","",AB1333-Y1333)</f>
        <v/>
      </c>
      <c r="AA1333" s="7">
        <f>IF($E1333="","",Z1333-Q1333)</f>
        <v/>
      </c>
      <c r="AB1333" s="7" t="n"/>
      <c r="AE1333">
        <f>IF($E1333="","",IF($AQ1333=1,0,IF($AP1333=1,Settings!$C$6,Settings!$C$7))*100)</f>
        <v/>
      </c>
      <c r="AI1333" s="7" t="n"/>
      <c r="AL1333" s="11" t="n"/>
      <c r="AN1333">
        <f>IF($E1333="","",IF(COUNTIF($E$2:$E1333,$E1333)=1,1,0))</f>
        <v/>
      </c>
      <c r="AO1333">
        <f>IF($AN1333=1,SUMPRODUCT(--($AR$2:$AR$3001&lt;$AR1333))+1,"")</f>
        <v/>
      </c>
      <c r="AP1333">
        <f>IF($E1333="","",IF(OR($U1333=TRUE(),$U1333="TRUE"),1,0))</f>
        <v/>
      </c>
      <c r="AQ1333">
        <f>IF($E1333="","",IF($AD1333="Yes",1,0))</f>
        <v/>
      </c>
      <c r="AR1333">
        <f>IF($AN1333=1,IFERROR(VALUE(MID($E1333,2,20)),1000000000)+ROW()/100000,"")</f>
        <v/>
      </c>
    </row>
    <row r="1334">
      <c r="G1334" s="11" t="n"/>
      <c r="Q1334" s="7">
        <f>IF($E1334="","",P1334*AB1334/100)</f>
        <v/>
      </c>
      <c r="R1334" s="7" t="n"/>
      <c r="X1334" s="7" t="n"/>
      <c r="Y1334" s="7">
        <f>IF($E1334="","",AB1334*AE1334/100)</f>
        <v/>
      </c>
      <c r="Z1334" s="7">
        <f>IF($E1334="","",AB1334-Y1334)</f>
        <v/>
      </c>
      <c r="AA1334" s="7">
        <f>IF($E1334="","",Z1334-Q1334)</f>
        <v/>
      </c>
      <c r="AB1334" s="7" t="n"/>
      <c r="AE1334">
        <f>IF($E1334="","",IF($AQ1334=1,0,IF($AP1334=1,Settings!$C$6,Settings!$C$7))*100)</f>
        <v/>
      </c>
      <c r="AI1334" s="7" t="n"/>
      <c r="AL1334" s="11" t="n"/>
      <c r="AN1334">
        <f>IF($E1334="","",IF(COUNTIF($E$2:$E1334,$E1334)=1,1,0))</f>
        <v/>
      </c>
      <c r="AO1334">
        <f>IF($AN1334=1,SUMPRODUCT(--($AR$2:$AR$3001&lt;$AR1334))+1,"")</f>
        <v/>
      </c>
      <c r="AP1334">
        <f>IF($E1334="","",IF(OR($U1334=TRUE(),$U1334="TRUE"),1,0))</f>
        <v/>
      </c>
      <c r="AQ1334">
        <f>IF($E1334="","",IF($AD1334="Yes",1,0))</f>
        <v/>
      </c>
      <c r="AR1334">
        <f>IF($AN1334=1,IFERROR(VALUE(MID($E1334,2,20)),1000000000)+ROW()/100000,"")</f>
        <v/>
      </c>
    </row>
    <row r="1335">
      <c r="G1335" s="11" t="n"/>
      <c r="Q1335" s="7">
        <f>IF($E1335="","",P1335*AB1335/100)</f>
        <v/>
      </c>
      <c r="R1335" s="7" t="n"/>
      <c r="X1335" s="7" t="n"/>
      <c r="Y1335" s="7">
        <f>IF($E1335="","",AB1335*AE1335/100)</f>
        <v/>
      </c>
      <c r="Z1335" s="7">
        <f>IF($E1335="","",AB1335-Y1335)</f>
        <v/>
      </c>
      <c r="AA1335" s="7">
        <f>IF($E1335="","",Z1335-Q1335)</f>
        <v/>
      </c>
      <c r="AB1335" s="7" t="n"/>
      <c r="AE1335">
        <f>IF($E1335="","",IF($AQ1335=1,0,IF($AP1335=1,Settings!$C$6,Settings!$C$7))*100)</f>
        <v/>
      </c>
      <c r="AI1335" s="7" t="n"/>
      <c r="AL1335" s="11" t="n"/>
      <c r="AN1335">
        <f>IF($E1335="","",IF(COUNTIF($E$2:$E1335,$E1335)=1,1,0))</f>
        <v/>
      </c>
      <c r="AO1335">
        <f>IF($AN1335=1,SUMPRODUCT(--($AR$2:$AR$3001&lt;$AR1335))+1,"")</f>
        <v/>
      </c>
      <c r="AP1335">
        <f>IF($E1335="","",IF(OR($U1335=TRUE(),$U1335="TRUE"),1,0))</f>
        <v/>
      </c>
      <c r="AQ1335">
        <f>IF($E1335="","",IF($AD1335="Yes",1,0))</f>
        <v/>
      </c>
      <c r="AR1335">
        <f>IF($AN1335=1,IFERROR(VALUE(MID($E1335,2,20)),1000000000)+ROW()/100000,"")</f>
        <v/>
      </c>
    </row>
    <row r="1336">
      <c r="G1336" s="11" t="n"/>
      <c r="Q1336" s="7">
        <f>IF($E1336="","",P1336*AB1336/100)</f>
        <v/>
      </c>
      <c r="R1336" s="7" t="n"/>
      <c r="X1336" s="7" t="n"/>
      <c r="Y1336" s="7">
        <f>IF($E1336="","",AB1336*AE1336/100)</f>
        <v/>
      </c>
      <c r="Z1336" s="7">
        <f>IF($E1336="","",AB1336-Y1336)</f>
        <v/>
      </c>
      <c r="AA1336" s="7">
        <f>IF($E1336="","",Z1336-Q1336)</f>
        <v/>
      </c>
      <c r="AB1336" s="7" t="n"/>
      <c r="AE1336">
        <f>IF($E1336="","",IF($AQ1336=1,0,IF($AP1336=1,Settings!$C$6,Settings!$C$7))*100)</f>
        <v/>
      </c>
      <c r="AI1336" s="7" t="n"/>
      <c r="AL1336" s="11" t="n"/>
      <c r="AN1336">
        <f>IF($E1336="","",IF(COUNTIF($E$2:$E1336,$E1336)=1,1,0))</f>
        <v/>
      </c>
      <c r="AO1336">
        <f>IF($AN1336=1,SUMPRODUCT(--($AR$2:$AR$3001&lt;$AR1336))+1,"")</f>
        <v/>
      </c>
      <c r="AP1336">
        <f>IF($E1336="","",IF(OR($U1336=TRUE(),$U1336="TRUE"),1,0))</f>
        <v/>
      </c>
      <c r="AQ1336">
        <f>IF($E1336="","",IF($AD1336="Yes",1,0))</f>
        <v/>
      </c>
      <c r="AR1336">
        <f>IF($AN1336=1,IFERROR(VALUE(MID($E1336,2,20)),1000000000)+ROW()/100000,"")</f>
        <v/>
      </c>
    </row>
    <row r="1337">
      <c r="G1337" s="11" t="n"/>
      <c r="Q1337" s="7">
        <f>IF($E1337="","",P1337*AB1337/100)</f>
        <v/>
      </c>
      <c r="R1337" s="7" t="n"/>
      <c r="X1337" s="7" t="n"/>
      <c r="Y1337" s="7">
        <f>IF($E1337="","",AB1337*AE1337/100)</f>
        <v/>
      </c>
      <c r="Z1337" s="7">
        <f>IF($E1337="","",AB1337-Y1337)</f>
        <v/>
      </c>
      <c r="AA1337" s="7">
        <f>IF($E1337="","",Z1337-Q1337)</f>
        <v/>
      </c>
      <c r="AB1337" s="7" t="n"/>
      <c r="AE1337">
        <f>IF($E1337="","",IF($AQ1337=1,0,IF($AP1337=1,Settings!$C$6,Settings!$C$7))*100)</f>
        <v/>
      </c>
      <c r="AI1337" s="7" t="n"/>
      <c r="AL1337" s="11" t="n"/>
      <c r="AN1337">
        <f>IF($E1337="","",IF(COUNTIF($E$2:$E1337,$E1337)=1,1,0))</f>
        <v/>
      </c>
      <c r="AO1337">
        <f>IF($AN1337=1,SUMPRODUCT(--($AR$2:$AR$3001&lt;$AR1337))+1,"")</f>
        <v/>
      </c>
      <c r="AP1337">
        <f>IF($E1337="","",IF(OR($U1337=TRUE(),$U1337="TRUE"),1,0))</f>
        <v/>
      </c>
      <c r="AQ1337">
        <f>IF($E1337="","",IF($AD1337="Yes",1,0))</f>
        <v/>
      </c>
      <c r="AR1337">
        <f>IF($AN1337=1,IFERROR(VALUE(MID($E1337,2,20)),1000000000)+ROW()/100000,"")</f>
        <v/>
      </c>
    </row>
    <row r="1338">
      <c r="G1338" s="11" t="n"/>
      <c r="Q1338" s="7">
        <f>IF($E1338="","",P1338*AB1338/100)</f>
        <v/>
      </c>
      <c r="R1338" s="7" t="n"/>
      <c r="X1338" s="7" t="n"/>
      <c r="Y1338" s="7">
        <f>IF($E1338="","",AB1338*AE1338/100)</f>
        <v/>
      </c>
      <c r="Z1338" s="7">
        <f>IF($E1338="","",AB1338-Y1338)</f>
        <v/>
      </c>
      <c r="AA1338" s="7">
        <f>IF($E1338="","",Z1338-Q1338)</f>
        <v/>
      </c>
      <c r="AB1338" s="7" t="n"/>
      <c r="AE1338">
        <f>IF($E1338="","",IF($AQ1338=1,0,IF($AP1338=1,Settings!$C$6,Settings!$C$7))*100)</f>
        <v/>
      </c>
      <c r="AI1338" s="7" t="n"/>
      <c r="AL1338" s="11" t="n"/>
      <c r="AN1338">
        <f>IF($E1338="","",IF(COUNTIF($E$2:$E1338,$E1338)=1,1,0))</f>
        <v/>
      </c>
      <c r="AO1338">
        <f>IF($AN1338=1,SUMPRODUCT(--($AR$2:$AR$3001&lt;$AR1338))+1,"")</f>
        <v/>
      </c>
      <c r="AP1338">
        <f>IF($E1338="","",IF(OR($U1338=TRUE(),$U1338="TRUE"),1,0))</f>
        <v/>
      </c>
      <c r="AQ1338">
        <f>IF($E1338="","",IF($AD1338="Yes",1,0))</f>
        <v/>
      </c>
      <c r="AR1338">
        <f>IF($AN1338=1,IFERROR(VALUE(MID($E1338,2,20)),1000000000)+ROW()/100000,"")</f>
        <v/>
      </c>
    </row>
    <row r="1339">
      <c r="G1339" s="11" t="n"/>
      <c r="Q1339" s="7">
        <f>IF($E1339="","",P1339*AB1339/100)</f>
        <v/>
      </c>
      <c r="R1339" s="7" t="n"/>
      <c r="X1339" s="7" t="n"/>
      <c r="Y1339" s="7">
        <f>IF($E1339="","",AB1339*AE1339/100)</f>
        <v/>
      </c>
      <c r="Z1339" s="7">
        <f>IF($E1339="","",AB1339-Y1339)</f>
        <v/>
      </c>
      <c r="AA1339" s="7">
        <f>IF($E1339="","",Z1339-Q1339)</f>
        <v/>
      </c>
      <c r="AB1339" s="7" t="n"/>
      <c r="AE1339">
        <f>IF($E1339="","",IF($AQ1339=1,0,IF($AP1339=1,Settings!$C$6,Settings!$C$7))*100)</f>
        <v/>
      </c>
      <c r="AI1339" s="7" t="n"/>
      <c r="AL1339" s="11" t="n"/>
      <c r="AN1339">
        <f>IF($E1339="","",IF(COUNTIF($E$2:$E1339,$E1339)=1,1,0))</f>
        <v/>
      </c>
      <c r="AO1339">
        <f>IF($AN1339=1,SUMPRODUCT(--($AR$2:$AR$3001&lt;$AR1339))+1,"")</f>
        <v/>
      </c>
      <c r="AP1339">
        <f>IF($E1339="","",IF(OR($U1339=TRUE(),$U1339="TRUE"),1,0))</f>
        <v/>
      </c>
      <c r="AQ1339">
        <f>IF($E1339="","",IF($AD1339="Yes",1,0))</f>
        <v/>
      </c>
      <c r="AR1339">
        <f>IF($AN1339=1,IFERROR(VALUE(MID($E1339,2,20)),1000000000)+ROW()/100000,"")</f>
        <v/>
      </c>
    </row>
    <row r="1340">
      <c r="G1340" s="11" t="n"/>
      <c r="Q1340" s="7">
        <f>IF($E1340="","",P1340*AB1340/100)</f>
        <v/>
      </c>
      <c r="R1340" s="7" t="n"/>
      <c r="X1340" s="7" t="n"/>
      <c r="Y1340" s="7">
        <f>IF($E1340="","",AB1340*AE1340/100)</f>
        <v/>
      </c>
      <c r="Z1340" s="7">
        <f>IF($E1340="","",AB1340-Y1340)</f>
        <v/>
      </c>
      <c r="AA1340" s="7">
        <f>IF($E1340="","",Z1340-Q1340)</f>
        <v/>
      </c>
      <c r="AB1340" s="7" t="n"/>
      <c r="AE1340">
        <f>IF($E1340="","",IF($AQ1340=1,0,IF($AP1340=1,Settings!$C$6,Settings!$C$7))*100)</f>
        <v/>
      </c>
      <c r="AI1340" s="7" t="n"/>
      <c r="AL1340" s="11" t="n"/>
      <c r="AN1340">
        <f>IF($E1340="","",IF(COUNTIF($E$2:$E1340,$E1340)=1,1,0))</f>
        <v/>
      </c>
      <c r="AO1340">
        <f>IF($AN1340=1,SUMPRODUCT(--($AR$2:$AR$3001&lt;$AR1340))+1,"")</f>
        <v/>
      </c>
      <c r="AP1340">
        <f>IF($E1340="","",IF(OR($U1340=TRUE(),$U1340="TRUE"),1,0))</f>
        <v/>
      </c>
      <c r="AQ1340">
        <f>IF($E1340="","",IF($AD1340="Yes",1,0))</f>
        <v/>
      </c>
      <c r="AR1340">
        <f>IF($AN1340=1,IFERROR(VALUE(MID($E1340,2,20)),1000000000)+ROW()/100000,"")</f>
        <v/>
      </c>
    </row>
    <row r="1341">
      <c r="G1341" s="11" t="n"/>
      <c r="Q1341" s="7">
        <f>IF($E1341="","",P1341*AB1341/100)</f>
        <v/>
      </c>
      <c r="R1341" s="7" t="n"/>
      <c r="X1341" s="7" t="n"/>
      <c r="Y1341" s="7">
        <f>IF($E1341="","",AB1341*AE1341/100)</f>
        <v/>
      </c>
      <c r="Z1341" s="7">
        <f>IF($E1341="","",AB1341-Y1341)</f>
        <v/>
      </c>
      <c r="AA1341" s="7">
        <f>IF($E1341="","",Z1341-Q1341)</f>
        <v/>
      </c>
      <c r="AB1341" s="7" t="n"/>
      <c r="AE1341">
        <f>IF($E1341="","",IF($AQ1341=1,0,IF($AP1341=1,Settings!$C$6,Settings!$C$7))*100)</f>
        <v/>
      </c>
      <c r="AI1341" s="7" t="n"/>
      <c r="AL1341" s="11" t="n"/>
      <c r="AN1341">
        <f>IF($E1341="","",IF(COUNTIF($E$2:$E1341,$E1341)=1,1,0))</f>
        <v/>
      </c>
      <c r="AO1341">
        <f>IF($AN1341=1,SUMPRODUCT(--($AR$2:$AR$3001&lt;$AR1341))+1,"")</f>
        <v/>
      </c>
      <c r="AP1341">
        <f>IF($E1341="","",IF(OR($U1341=TRUE(),$U1341="TRUE"),1,0))</f>
        <v/>
      </c>
      <c r="AQ1341">
        <f>IF($E1341="","",IF($AD1341="Yes",1,0))</f>
        <v/>
      </c>
      <c r="AR1341">
        <f>IF($AN1341=1,IFERROR(VALUE(MID($E1341,2,20)),1000000000)+ROW()/100000,"")</f>
        <v/>
      </c>
    </row>
    <row r="1342">
      <c r="G1342" s="11" t="n"/>
      <c r="Q1342" s="7">
        <f>IF($E1342="","",P1342*AB1342/100)</f>
        <v/>
      </c>
      <c r="R1342" s="7" t="n"/>
      <c r="X1342" s="7" t="n"/>
      <c r="Y1342" s="7">
        <f>IF($E1342="","",AB1342*AE1342/100)</f>
        <v/>
      </c>
      <c r="Z1342" s="7">
        <f>IF($E1342="","",AB1342-Y1342)</f>
        <v/>
      </c>
      <c r="AA1342" s="7">
        <f>IF($E1342="","",Z1342-Q1342)</f>
        <v/>
      </c>
      <c r="AB1342" s="7" t="n"/>
      <c r="AE1342">
        <f>IF($E1342="","",IF($AQ1342=1,0,IF($AP1342=1,Settings!$C$6,Settings!$C$7))*100)</f>
        <v/>
      </c>
      <c r="AI1342" s="7" t="n"/>
      <c r="AL1342" s="11" t="n"/>
      <c r="AN1342">
        <f>IF($E1342="","",IF(COUNTIF($E$2:$E1342,$E1342)=1,1,0))</f>
        <v/>
      </c>
      <c r="AO1342">
        <f>IF($AN1342=1,SUMPRODUCT(--($AR$2:$AR$3001&lt;$AR1342))+1,"")</f>
        <v/>
      </c>
      <c r="AP1342">
        <f>IF($E1342="","",IF(OR($U1342=TRUE(),$U1342="TRUE"),1,0))</f>
        <v/>
      </c>
      <c r="AQ1342">
        <f>IF($E1342="","",IF($AD1342="Yes",1,0))</f>
        <v/>
      </c>
      <c r="AR1342">
        <f>IF($AN1342=1,IFERROR(VALUE(MID($E1342,2,20)),1000000000)+ROW()/100000,"")</f>
        <v/>
      </c>
    </row>
    <row r="1343">
      <c r="G1343" s="11" t="n"/>
      <c r="Q1343" s="7">
        <f>IF($E1343="","",P1343*AB1343/100)</f>
        <v/>
      </c>
      <c r="R1343" s="7" t="n"/>
      <c r="X1343" s="7" t="n"/>
      <c r="Y1343" s="7">
        <f>IF($E1343="","",AB1343*AE1343/100)</f>
        <v/>
      </c>
      <c r="Z1343" s="7">
        <f>IF($E1343="","",AB1343-Y1343)</f>
        <v/>
      </c>
      <c r="AA1343" s="7">
        <f>IF($E1343="","",Z1343-Q1343)</f>
        <v/>
      </c>
      <c r="AB1343" s="7" t="n"/>
      <c r="AE1343">
        <f>IF($E1343="","",IF($AQ1343=1,0,IF($AP1343=1,Settings!$C$6,Settings!$C$7))*100)</f>
        <v/>
      </c>
      <c r="AI1343" s="7" t="n"/>
      <c r="AL1343" s="11" t="n"/>
      <c r="AN1343">
        <f>IF($E1343="","",IF(COUNTIF($E$2:$E1343,$E1343)=1,1,0))</f>
        <v/>
      </c>
      <c r="AO1343">
        <f>IF($AN1343=1,SUMPRODUCT(--($AR$2:$AR$3001&lt;$AR1343))+1,"")</f>
        <v/>
      </c>
      <c r="AP1343">
        <f>IF($E1343="","",IF(OR($U1343=TRUE(),$U1343="TRUE"),1,0))</f>
        <v/>
      </c>
      <c r="AQ1343">
        <f>IF($E1343="","",IF($AD1343="Yes",1,0))</f>
        <v/>
      </c>
      <c r="AR1343">
        <f>IF($AN1343=1,IFERROR(VALUE(MID($E1343,2,20)),1000000000)+ROW()/100000,"")</f>
        <v/>
      </c>
    </row>
    <row r="1344">
      <c r="G1344" s="11" t="n"/>
      <c r="Q1344" s="7">
        <f>IF($E1344="","",P1344*AB1344/100)</f>
        <v/>
      </c>
      <c r="R1344" s="7" t="n"/>
      <c r="X1344" s="7" t="n"/>
      <c r="Y1344" s="7">
        <f>IF($E1344="","",AB1344*AE1344/100)</f>
        <v/>
      </c>
      <c r="Z1344" s="7">
        <f>IF($E1344="","",AB1344-Y1344)</f>
        <v/>
      </c>
      <c r="AA1344" s="7">
        <f>IF($E1344="","",Z1344-Q1344)</f>
        <v/>
      </c>
      <c r="AB1344" s="7" t="n"/>
      <c r="AE1344">
        <f>IF($E1344="","",IF($AQ1344=1,0,IF($AP1344=1,Settings!$C$6,Settings!$C$7))*100)</f>
        <v/>
      </c>
      <c r="AI1344" s="7" t="n"/>
      <c r="AL1344" s="11" t="n"/>
      <c r="AN1344">
        <f>IF($E1344="","",IF(COUNTIF($E$2:$E1344,$E1344)=1,1,0))</f>
        <v/>
      </c>
      <c r="AO1344">
        <f>IF($AN1344=1,SUMPRODUCT(--($AR$2:$AR$3001&lt;$AR1344))+1,"")</f>
        <v/>
      </c>
      <c r="AP1344">
        <f>IF($E1344="","",IF(OR($U1344=TRUE(),$U1344="TRUE"),1,0))</f>
        <v/>
      </c>
      <c r="AQ1344">
        <f>IF($E1344="","",IF($AD1344="Yes",1,0))</f>
        <v/>
      </c>
      <c r="AR1344">
        <f>IF($AN1344=1,IFERROR(VALUE(MID($E1344,2,20)),1000000000)+ROW()/100000,"")</f>
        <v/>
      </c>
    </row>
    <row r="1345">
      <c r="G1345" s="11" t="n"/>
      <c r="Q1345" s="7">
        <f>IF($E1345="","",P1345*AB1345/100)</f>
        <v/>
      </c>
      <c r="R1345" s="7" t="n"/>
      <c r="X1345" s="7" t="n"/>
      <c r="Y1345" s="7">
        <f>IF($E1345="","",AB1345*AE1345/100)</f>
        <v/>
      </c>
      <c r="Z1345" s="7">
        <f>IF($E1345="","",AB1345-Y1345)</f>
        <v/>
      </c>
      <c r="AA1345" s="7">
        <f>IF($E1345="","",Z1345-Q1345)</f>
        <v/>
      </c>
      <c r="AB1345" s="7" t="n"/>
      <c r="AE1345">
        <f>IF($E1345="","",IF($AQ1345=1,0,IF($AP1345=1,Settings!$C$6,Settings!$C$7))*100)</f>
        <v/>
      </c>
      <c r="AI1345" s="7" t="n"/>
      <c r="AL1345" s="11" t="n"/>
      <c r="AN1345">
        <f>IF($E1345="","",IF(COUNTIF($E$2:$E1345,$E1345)=1,1,0))</f>
        <v/>
      </c>
      <c r="AO1345">
        <f>IF($AN1345=1,SUMPRODUCT(--($AR$2:$AR$3001&lt;$AR1345))+1,"")</f>
        <v/>
      </c>
      <c r="AP1345">
        <f>IF($E1345="","",IF(OR($U1345=TRUE(),$U1345="TRUE"),1,0))</f>
        <v/>
      </c>
      <c r="AQ1345">
        <f>IF($E1345="","",IF($AD1345="Yes",1,0))</f>
        <v/>
      </c>
      <c r="AR1345">
        <f>IF($AN1345=1,IFERROR(VALUE(MID($E1345,2,20)),1000000000)+ROW()/100000,"")</f>
        <v/>
      </c>
    </row>
    <row r="1346">
      <c r="G1346" s="11" t="n"/>
      <c r="Q1346" s="7">
        <f>IF($E1346="","",P1346*AB1346/100)</f>
        <v/>
      </c>
      <c r="R1346" s="7" t="n"/>
      <c r="X1346" s="7" t="n"/>
      <c r="Y1346" s="7">
        <f>IF($E1346="","",AB1346*AE1346/100)</f>
        <v/>
      </c>
      <c r="Z1346" s="7">
        <f>IF($E1346="","",AB1346-Y1346)</f>
        <v/>
      </c>
      <c r="AA1346" s="7">
        <f>IF($E1346="","",Z1346-Q1346)</f>
        <v/>
      </c>
      <c r="AB1346" s="7" t="n"/>
      <c r="AE1346">
        <f>IF($E1346="","",IF($AQ1346=1,0,IF($AP1346=1,Settings!$C$6,Settings!$C$7))*100)</f>
        <v/>
      </c>
      <c r="AI1346" s="7" t="n"/>
      <c r="AL1346" s="11" t="n"/>
      <c r="AN1346">
        <f>IF($E1346="","",IF(COUNTIF($E$2:$E1346,$E1346)=1,1,0))</f>
        <v/>
      </c>
      <c r="AO1346">
        <f>IF($AN1346=1,SUMPRODUCT(--($AR$2:$AR$3001&lt;$AR1346))+1,"")</f>
        <v/>
      </c>
      <c r="AP1346">
        <f>IF($E1346="","",IF(OR($U1346=TRUE(),$U1346="TRUE"),1,0))</f>
        <v/>
      </c>
      <c r="AQ1346">
        <f>IF($E1346="","",IF($AD1346="Yes",1,0))</f>
        <v/>
      </c>
      <c r="AR1346">
        <f>IF($AN1346=1,IFERROR(VALUE(MID($E1346,2,20)),1000000000)+ROW()/100000,"")</f>
        <v/>
      </c>
    </row>
    <row r="1347">
      <c r="G1347" s="11" t="n"/>
      <c r="Q1347" s="7">
        <f>IF($E1347="","",P1347*AB1347/100)</f>
        <v/>
      </c>
      <c r="R1347" s="7" t="n"/>
      <c r="X1347" s="7" t="n"/>
      <c r="Y1347" s="7">
        <f>IF($E1347="","",AB1347*AE1347/100)</f>
        <v/>
      </c>
      <c r="Z1347" s="7">
        <f>IF($E1347="","",AB1347-Y1347)</f>
        <v/>
      </c>
      <c r="AA1347" s="7">
        <f>IF($E1347="","",Z1347-Q1347)</f>
        <v/>
      </c>
      <c r="AB1347" s="7" t="n"/>
      <c r="AE1347">
        <f>IF($E1347="","",IF($AQ1347=1,0,IF($AP1347=1,Settings!$C$6,Settings!$C$7))*100)</f>
        <v/>
      </c>
      <c r="AI1347" s="7" t="n"/>
      <c r="AL1347" s="11" t="n"/>
      <c r="AN1347">
        <f>IF($E1347="","",IF(COUNTIF($E$2:$E1347,$E1347)=1,1,0))</f>
        <v/>
      </c>
      <c r="AO1347">
        <f>IF($AN1347=1,SUMPRODUCT(--($AR$2:$AR$3001&lt;$AR1347))+1,"")</f>
        <v/>
      </c>
      <c r="AP1347">
        <f>IF($E1347="","",IF(OR($U1347=TRUE(),$U1347="TRUE"),1,0))</f>
        <v/>
      </c>
      <c r="AQ1347">
        <f>IF($E1347="","",IF($AD1347="Yes",1,0))</f>
        <v/>
      </c>
      <c r="AR1347">
        <f>IF($AN1347=1,IFERROR(VALUE(MID($E1347,2,20)),1000000000)+ROW()/100000,"")</f>
        <v/>
      </c>
    </row>
    <row r="1348">
      <c r="G1348" s="11" t="n"/>
      <c r="Q1348" s="7">
        <f>IF($E1348="","",P1348*AB1348/100)</f>
        <v/>
      </c>
      <c r="R1348" s="7" t="n"/>
      <c r="X1348" s="7" t="n"/>
      <c r="Y1348" s="7">
        <f>IF($E1348="","",AB1348*AE1348/100)</f>
        <v/>
      </c>
      <c r="Z1348" s="7">
        <f>IF($E1348="","",AB1348-Y1348)</f>
        <v/>
      </c>
      <c r="AA1348" s="7">
        <f>IF($E1348="","",Z1348-Q1348)</f>
        <v/>
      </c>
      <c r="AB1348" s="7" t="n"/>
      <c r="AE1348">
        <f>IF($E1348="","",IF($AQ1348=1,0,IF($AP1348=1,Settings!$C$6,Settings!$C$7))*100)</f>
        <v/>
      </c>
      <c r="AI1348" s="7" t="n"/>
      <c r="AL1348" s="11" t="n"/>
      <c r="AN1348">
        <f>IF($E1348="","",IF(COUNTIF($E$2:$E1348,$E1348)=1,1,0))</f>
        <v/>
      </c>
      <c r="AO1348">
        <f>IF($AN1348=1,SUMPRODUCT(--($AR$2:$AR$3001&lt;$AR1348))+1,"")</f>
        <v/>
      </c>
      <c r="AP1348">
        <f>IF($E1348="","",IF(OR($U1348=TRUE(),$U1348="TRUE"),1,0))</f>
        <v/>
      </c>
      <c r="AQ1348">
        <f>IF($E1348="","",IF($AD1348="Yes",1,0))</f>
        <v/>
      </c>
      <c r="AR1348">
        <f>IF($AN1348=1,IFERROR(VALUE(MID($E1348,2,20)),1000000000)+ROW()/100000,"")</f>
        <v/>
      </c>
    </row>
    <row r="1349">
      <c r="G1349" s="11" t="n"/>
      <c r="Q1349" s="7">
        <f>IF($E1349="","",P1349*AB1349/100)</f>
        <v/>
      </c>
      <c r="R1349" s="7" t="n"/>
      <c r="X1349" s="7" t="n"/>
      <c r="Y1349" s="7">
        <f>IF($E1349="","",AB1349*AE1349/100)</f>
        <v/>
      </c>
      <c r="Z1349" s="7">
        <f>IF($E1349="","",AB1349-Y1349)</f>
        <v/>
      </c>
      <c r="AA1349" s="7">
        <f>IF($E1349="","",Z1349-Q1349)</f>
        <v/>
      </c>
      <c r="AB1349" s="7" t="n"/>
      <c r="AE1349">
        <f>IF($E1349="","",IF($AQ1349=1,0,IF($AP1349=1,Settings!$C$6,Settings!$C$7))*100)</f>
        <v/>
      </c>
      <c r="AI1349" s="7" t="n"/>
      <c r="AL1349" s="11" t="n"/>
      <c r="AN1349">
        <f>IF($E1349="","",IF(COUNTIF($E$2:$E1349,$E1349)=1,1,0))</f>
        <v/>
      </c>
      <c r="AO1349">
        <f>IF($AN1349=1,SUMPRODUCT(--($AR$2:$AR$3001&lt;$AR1349))+1,"")</f>
        <v/>
      </c>
      <c r="AP1349">
        <f>IF($E1349="","",IF(OR($U1349=TRUE(),$U1349="TRUE"),1,0))</f>
        <v/>
      </c>
      <c r="AQ1349">
        <f>IF($E1349="","",IF($AD1349="Yes",1,0))</f>
        <v/>
      </c>
      <c r="AR1349">
        <f>IF($AN1349=1,IFERROR(VALUE(MID($E1349,2,20)),1000000000)+ROW()/100000,"")</f>
        <v/>
      </c>
    </row>
    <row r="1350">
      <c r="G1350" s="11" t="n"/>
      <c r="Q1350" s="7">
        <f>IF($E1350="","",P1350*AB1350/100)</f>
        <v/>
      </c>
      <c r="R1350" s="7" t="n"/>
      <c r="X1350" s="7" t="n"/>
      <c r="Y1350" s="7">
        <f>IF($E1350="","",AB1350*AE1350/100)</f>
        <v/>
      </c>
      <c r="Z1350" s="7">
        <f>IF($E1350="","",AB1350-Y1350)</f>
        <v/>
      </c>
      <c r="AA1350" s="7">
        <f>IF($E1350="","",Z1350-Q1350)</f>
        <v/>
      </c>
      <c r="AB1350" s="7" t="n"/>
      <c r="AE1350">
        <f>IF($E1350="","",IF($AQ1350=1,0,IF($AP1350=1,Settings!$C$6,Settings!$C$7))*100)</f>
        <v/>
      </c>
      <c r="AI1350" s="7" t="n"/>
      <c r="AL1350" s="11" t="n"/>
      <c r="AN1350">
        <f>IF($E1350="","",IF(COUNTIF($E$2:$E1350,$E1350)=1,1,0))</f>
        <v/>
      </c>
      <c r="AO1350">
        <f>IF($AN1350=1,SUMPRODUCT(--($AR$2:$AR$3001&lt;$AR1350))+1,"")</f>
        <v/>
      </c>
      <c r="AP1350">
        <f>IF($E1350="","",IF(OR($U1350=TRUE(),$U1350="TRUE"),1,0))</f>
        <v/>
      </c>
      <c r="AQ1350">
        <f>IF($E1350="","",IF($AD1350="Yes",1,0))</f>
        <v/>
      </c>
      <c r="AR1350">
        <f>IF($AN1350=1,IFERROR(VALUE(MID($E1350,2,20)),1000000000)+ROW()/100000,"")</f>
        <v/>
      </c>
    </row>
    <row r="1351">
      <c r="G1351" s="11" t="n"/>
      <c r="Q1351" s="7">
        <f>IF($E1351="","",P1351*AB1351/100)</f>
        <v/>
      </c>
      <c r="R1351" s="7" t="n"/>
      <c r="X1351" s="7" t="n"/>
      <c r="Y1351" s="7">
        <f>IF($E1351="","",AB1351*AE1351/100)</f>
        <v/>
      </c>
      <c r="Z1351" s="7">
        <f>IF($E1351="","",AB1351-Y1351)</f>
        <v/>
      </c>
      <c r="AA1351" s="7">
        <f>IF($E1351="","",Z1351-Q1351)</f>
        <v/>
      </c>
      <c r="AB1351" s="7" t="n"/>
      <c r="AE1351">
        <f>IF($E1351="","",IF($AQ1351=1,0,IF($AP1351=1,Settings!$C$6,Settings!$C$7))*100)</f>
        <v/>
      </c>
      <c r="AI1351" s="7" t="n"/>
      <c r="AL1351" s="11" t="n"/>
      <c r="AN1351">
        <f>IF($E1351="","",IF(COUNTIF($E$2:$E1351,$E1351)=1,1,0))</f>
        <v/>
      </c>
      <c r="AO1351">
        <f>IF($AN1351=1,SUMPRODUCT(--($AR$2:$AR$3001&lt;$AR1351))+1,"")</f>
        <v/>
      </c>
      <c r="AP1351">
        <f>IF($E1351="","",IF(OR($U1351=TRUE(),$U1351="TRUE"),1,0))</f>
        <v/>
      </c>
      <c r="AQ1351">
        <f>IF($E1351="","",IF($AD1351="Yes",1,0))</f>
        <v/>
      </c>
      <c r="AR1351">
        <f>IF($AN1351=1,IFERROR(VALUE(MID($E1351,2,20)),1000000000)+ROW()/100000,"")</f>
        <v/>
      </c>
    </row>
    <row r="1352">
      <c r="G1352" s="11" t="n"/>
      <c r="Q1352" s="7">
        <f>IF($E1352="","",P1352*AB1352/100)</f>
        <v/>
      </c>
      <c r="R1352" s="7" t="n"/>
      <c r="X1352" s="7" t="n"/>
      <c r="Y1352" s="7">
        <f>IF($E1352="","",AB1352*AE1352/100)</f>
        <v/>
      </c>
      <c r="Z1352" s="7">
        <f>IF($E1352="","",AB1352-Y1352)</f>
        <v/>
      </c>
      <c r="AA1352" s="7">
        <f>IF($E1352="","",Z1352-Q1352)</f>
        <v/>
      </c>
      <c r="AB1352" s="7" t="n"/>
      <c r="AE1352">
        <f>IF($E1352="","",IF($AQ1352=1,0,IF($AP1352=1,Settings!$C$6,Settings!$C$7))*100)</f>
        <v/>
      </c>
      <c r="AI1352" s="7" t="n"/>
      <c r="AL1352" s="11" t="n"/>
      <c r="AN1352">
        <f>IF($E1352="","",IF(COUNTIF($E$2:$E1352,$E1352)=1,1,0))</f>
        <v/>
      </c>
      <c r="AO1352">
        <f>IF($AN1352=1,SUMPRODUCT(--($AR$2:$AR$3001&lt;$AR1352))+1,"")</f>
        <v/>
      </c>
      <c r="AP1352">
        <f>IF($E1352="","",IF(OR($U1352=TRUE(),$U1352="TRUE"),1,0))</f>
        <v/>
      </c>
      <c r="AQ1352">
        <f>IF($E1352="","",IF($AD1352="Yes",1,0))</f>
        <v/>
      </c>
      <c r="AR1352">
        <f>IF($AN1352=1,IFERROR(VALUE(MID($E1352,2,20)),1000000000)+ROW()/100000,"")</f>
        <v/>
      </c>
    </row>
    <row r="1353">
      <c r="G1353" s="11" t="n"/>
      <c r="Q1353" s="7">
        <f>IF($E1353="","",P1353*AB1353/100)</f>
        <v/>
      </c>
      <c r="R1353" s="7" t="n"/>
      <c r="X1353" s="7" t="n"/>
      <c r="Y1353" s="7">
        <f>IF($E1353="","",AB1353*AE1353/100)</f>
        <v/>
      </c>
      <c r="Z1353" s="7">
        <f>IF($E1353="","",AB1353-Y1353)</f>
        <v/>
      </c>
      <c r="AA1353" s="7">
        <f>IF($E1353="","",Z1353-Q1353)</f>
        <v/>
      </c>
      <c r="AB1353" s="7" t="n"/>
      <c r="AE1353">
        <f>IF($E1353="","",IF($AQ1353=1,0,IF($AP1353=1,Settings!$C$6,Settings!$C$7))*100)</f>
        <v/>
      </c>
      <c r="AI1353" s="7" t="n"/>
      <c r="AL1353" s="11" t="n"/>
      <c r="AN1353">
        <f>IF($E1353="","",IF(COUNTIF($E$2:$E1353,$E1353)=1,1,0))</f>
        <v/>
      </c>
      <c r="AO1353">
        <f>IF($AN1353=1,SUMPRODUCT(--($AR$2:$AR$3001&lt;$AR1353))+1,"")</f>
        <v/>
      </c>
      <c r="AP1353">
        <f>IF($E1353="","",IF(OR($U1353=TRUE(),$U1353="TRUE"),1,0))</f>
        <v/>
      </c>
      <c r="AQ1353">
        <f>IF($E1353="","",IF($AD1353="Yes",1,0))</f>
        <v/>
      </c>
      <c r="AR1353">
        <f>IF($AN1353=1,IFERROR(VALUE(MID($E1353,2,20)),1000000000)+ROW()/100000,"")</f>
        <v/>
      </c>
    </row>
    <row r="1354">
      <c r="G1354" s="11" t="n"/>
      <c r="Q1354" s="7">
        <f>IF($E1354="","",P1354*AB1354/100)</f>
        <v/>
      </c>
      <c r="R1354" s="7" t="n"/>
      <c r="X1354" s="7" t="n"/>
      <c r="Y1354" s="7">
        <f>IF($E1354="","",AB1354*AE1354/100)</f>
        <v/>
      </c>
      <c r="Z1354" s="7">
        <f>IF($E1354="","",AB1354-Y1354)</f>
        <v/>
      </c>
      <c r="AA1354" s="7">
        <f>IF($E1354="","",Z1354-Q1354)</f>
        <v/>
      </c>
      <c r="AB1354" s="7" t="n"/>
      <c r="AE1354">
        <f>IF($E1354="","",IF($AQ1354=1,0,IF($AP1354=1,Settings!$C$6,Settings!$C$7))*100)</f>
        <v/>
      </c>
      <c r="AI1354" s="7" t="n"/>
      <c r="AL1354" s="11" t="n"/>
      <c r="AN1354">
        <f>IF($E1354="","",IF(COUNTIF($E$2:$E1354,$E1354)=1,1,0))</f>
        <v/>
      </c>
      <c r="AO1354">
        <f>IF($AN1354=1,SUMPRODUCT(--($AR$2:$AR$3001&lt;$AR1354))+1,"")</f>
        <v/>
      </c>
      <c r="AP1354">
        <f>IF($E1354="","",IF(OR($U1354=TRUE(),$U1354="TRUE"),1,0))</f>
        <v/>
      </c>
      <c r="AQ1354">
        <f>IF($E1354="","",IF($AD1354="Yes",1,0))</f>
        <v/>
      </c>
      <c r="AR1354">
        <f>IF($AN1354=1,IFERROR(VALUE(MID($E1354,2,20)),1000000000)+ROW()/100000,"")</f>
        <v/>
      </c>
    </row>
    <row r="1355">
      <c r="G1355" s="11" t="n"/>
      <c r="Q1355" s="7">
        <f>IF($E1355="","",P1355*AB1355/100)</f>
        <v/>
      </c>
      <c r="R1355" s="7" t="n"/>
      <c r="X1355" s="7" t="n"/>
      <c r="Y1355" s="7">
        <f>IF($E1355="","",AB1355*AE1355/100)</f>
        <v/>
      </c>
      <c r="Z1355" s="7">
        <f>IF($E1355="","",AB1355-Y1355)</f>
        <v/>
      </c>
      <c r="AA1355" s="7">
        <f>IF($E1355="","",Z1355-Q1355)</f>
        <v/>
      </c>
      <c r="AB1355" s="7" t="n"/>
      <c r="AE1355">
        <f>IF($E1355="","",IF($AQ1355=1,0,IF($AP1355=1,Settings!$C$6,Settings!$C$7))*100)</f>
        <v/>
      </c>
      <c r="AI1355" s="7" t="n"/>
      <c r="AL1355" s="11" t="n"/>
      <c r="AN1355">
        <f>IF($E1355="","",IF(COUNTIF($E$2:$E1355,$E1355)=1,1,0))</f>
        <v/>
      </c>
      <c r="AO1355">
        <f>IF($AN1355=1,SUMPRODUCT(--($AR$2:$AR$3001&lt;$AR1355))+1,"")</f>
        <v/>
      </c>
      <c r="AP1355">
        <f>IF($E1355="","",IF(OR($U1355=TRUE(),$U1355="TRUE"),1,0))</f>
        <v/>
      </c>
      <c r="AQ1355">
        <f>IF($E1355="","",IF($AD1355="Yes",1,0))</f>
        <v/>
      </c>
      <c r="AR1355">
        <f>IF($AN1355=1,IFERROR(VALUE(MID($E1355,2,20)),1000000000)+ROW()/100000,"")</f>
        <v/>
      </c>
    </row>
    <row r="1356">
      <c r="G1356" s="11" t="n"/>
      <c r="Q1356" s="7">
        <f>IF($E1356="","",P1356*AB1356/100)</f>
        <v/>
      </c>
      <c r="R1356" s="7" t="n"/>
      <c r="X1356" s="7" t="n"/>
      <c r="Y1356" s="7">
        <f>IF($E1356="","",AB1356*AE1356/100)</f>
        <v/>
      </c>
      <c r="Z1356" s="7">
        <f>IF($E1356="","",AB1356-Y1356)</f>
        <v/>
      </c>
      <c r="AA1356" s="7">
        <f>IF($E1356="","",Z1356-Q1356)</f>
        <v/>
      </c>
      <c r="AB1356" s="7" t="n"/>
      <c r="AE1356">
        <f>IF($E1356="","",IF($AQ1356=1,0,IF($AP1356=1,Settings!$C$6,Settings!$C$7))*100)</f>
        <v/>
      </c>
      <c r="AI1356" s="7" t="n"/>
      <c r="AL1356" s="11" t="n"/>
      <c r="AN1356">
        <f>IF($E1356="","",IF(COUNTIF($E$2:$E1356,$E1356)=1,1,0))</f>
        <v/>
      </c>
      <c r="AO1356">
        <f>IF($AN1356=1,SUMPRODUCT(--($AR$2:$AR$3001&lt;$AR1356))+1,"")</f>
        <v/>
      </c>
      <c r="AP1356">
        <f>IF($E1356="","",IF(OR($U1356=TRUE(),$U1356="TRUE"),1,0))</f>
        <v/>
      </c>
      <c r="AQ1356">
        <f>IF($E1356="","",IF($AD1356="Yes",1,0))</f>
        <v/>
      </c>
      <c r="AR1356">
        <f>IF($AN1356=1,IFERROR(VALUE(MID($E1356,2,20)),1000000000)+ROW()/100000,"")</f>
        <v/>
      </c>
    </row>
    <row r="1357">
      <c r="G1357" s="11" t="n"/>
      <c r="Q1357" s="7">
        <f>IF($E1357="","",P1357*AB1357/100)</f>
        <v/>
      </c>
      <c r="R1357" s="7" t="n"/>
      <c r="X1357" s="7" t="n"/>
      <c r="Y1357" s="7">
        <f>IF($E1357="","",AB1357*AE1357/100)</f>
        <v/>
      </c>
      <c r="Z1357" s="7">
        <f>IF($E1357="","",AB1357-Y1357)</f>
        <v/>
      </c>
      <c r="AA1357" s="7">
        <f>IF($E1357="","",Z1357-Q1357)</f>
        <v/>
      </c>
      <c r="AB1357" s="7" t="n"/>
      <c r="AE1357">
        <f>IF($E1357="","",IF($AQ1357=1,0,IF($AP1357=1,Settings!$C$6,Settings!$C$7))*100)</f>
        <v/>
      </c>
      <c r="AI1357" s="7" t="n"/>
      <c r="AL1357" s="11" t="n"/>
      <c r="AN1357">
        <f>IF($E1357="","",IF(COUNTIF($E$2:$E1357,$E1357)=1,1,0))</f>
        <v/>
      </c>
      <c r="AO1357">
        <f>IF($AN1357=1,SUMPRODUCT(--($AR$2:$AR$3001&lt;$AR1357))+1,"")</f>
        <v/>
      </c>
      <c r="AP1357">
        <f>IF($E1357="","",IF(OR($U1357=TRUE(),$U1357="TRUE"),1,0))</f>
        <v/>
      </c>
      <c r="AQ1357">
        <f>IF($E1357="","",IF($AD1357="Yes",1,0))</f>
        <v/>
      </c>
      <c r="AR1357">
        <f>IF($AN1357=1,IFERROR(VALUE(MID($E1357,2,20)),1000000000)+ROW()/100000,"")</f>
        <v/>
      </c>
    </row>
    <row r="1358">
      <c r="G1358" s="11" t="n"/>
      <c r="Q1358" s="7">
        <f>IF($E1358="","",P1358*AB1358/100)</f>
        <v/>
      </c>
      <c r="R1358" s="7" t="n"/>
      <c r="X1358" s="7" t="n"/>
      <c r="Y1358" s="7">
        <f>IF($E1358="","",AB1358*AE1358/100)</f>
        <v/>
      </c>
      <c r="Z1358" s="7">
        <f>IF($E1358="","",AB1358-Y1358)</f>
        <v/>
      </c>
      <c r="AA1358" s="7">
        <f>IF($E1358="","",Z1358-Q1358)</f>
        <v/>
      </c>
      <c r="AB1358" s="7" t="n"/>
      <c r="AE1358">
        <f>IF($E1358="","",IF($AQ1358=1,0,IF($AP1358=1,Settings!$C$6,Settings!$C$7))*100)</f>
        <v/>
      </c>
      <c r="AI1358" s="7" t="n"/>
      <c r="AL1358" s="11" t="n"/>
      <c r="AN1358">
        <f>IF($E1358="","",IF(COUNTIF($E$2:$E1358,$E1358)=1,1,0))</f>
        <v/>
      </c>
      <c r="AO1358">
        <f>IF($AN1358=1,SUMPRODUCT(--($AR$2:$AR$3001&lt;$AR1358))+1,"")</f>
        <v/>
      </c>
      <c r="AP1358">
        <f>IF($E1358="","",IF(OR($U1358=TRUE(),$U1358="TRUE"),1,0))</f>
        <v/>
      </c>
      <c r="AQ1358">
        <f>IF($E1358="","",IF($AD1358="Yes",1,0))</f>
        <v/>
      </c>
      <c r="AR1358">
        <f>IF($AN1358=1,IFERROR(VALUE(MID($E1358,2,20)),1000000000)+ROW()/100000,"")</f>
        <v/>
      </c>
    </row>
    <row r="1359">
      <c r="G1359" s="11" t="n"/>
      <c r="Q1359" s="7">
        <f>IF($E1359="","",P1359*AB1359/100)</f>
        <v/>
      </c>
      <c r="R1359" s="7" t="n"/>
      <c r="X1359" s="7" t="n"/>
      <c r="Y1359" s="7">
        <f>IF($E1359="","",AB1359*AE1359/100)</f>
        <v/>
      </c>
      <c r="Z1359" s="7">
        <f>IF($E1359="","",AB1359-Y1359)</f>
        <v/>
      </c>
      <c r="AA1359" s="7">
        <f>IF($E1359="","",Z1359-Q1359)</f>
        <v/>
      </c>
      <c r="AB1359" s="7" t="n"/>
      <c r="AE1359">
        <f>IF($E1359="","",IF($AQ1359=1,0,IF($AP1359=1,Settings!$C$6,Settings!$C$7))*100)</f>
        <v/>
      </c>
      <c r="AI1359" s="7" t="n"/>
      <c r="AL1359" s="11" t="n"/>
      <c r="AN1359">
        <f>IF($E1359="","",IF(COUNTIF($E$2:$E1359,$E1359)=1,1,0))</f>
        <v/>
      </c>
      <c r="AO1359">
        <f>IF($AN1359=1,SUMPRODUCT(--($AR$2:$AR$3001&lt;$AR1359))+1,"")</f>
        <v/>
      </c>
      <c r="AP1359">
        <f>IF($E1359="","",IF(OR($U1359=TRUE(),$U1359="TRUE"),1,0))</f>
        <v/>
      </c>
      <c r="AQ1359">
        <f>IF($E1359="","",IF($AD1359="Yes",1,0))</f>
        <v/>
      </c>
      <c r="AR1359">
        <f>IF($AN1359=1,IFERROR(VALUE(MID($E1359,2,20)),1000000000)+ROW()/100000,"")</f>
        <v/>
      </c>
    </row>
    <row r="1360">
      <c r="G1360" s="11" t="n"/>
      <c r="Q1360" s="7">
        <f>IF($E1360="","",P1360*AB1360/100)</f>
        <v/>
      </c>
      <c r="R1360" s="7" t="n"/>
      <c r="X1360" s="7" t="n"/>
      <c r="Y1360" s="7">
        <f>IF($E1360="","",AB1360*AE1360/100)</f>
        <v/>
      </c>
      <c r="Z1360" s="7">
        <f>IF($E1360="","",AB1360-Y1360)</f>
        <v/>
      </c>
      <c r="AA1360" s="7">
        <f>IF($E1360="","",Z1360-Q1360)</f>
        <v/>
      </c>
      <c r="AB1360" s="7" t="n"/>
      <c r="AE1360">
        <f>IF($E1360="","",IF($AQ1360=1,0,IF($AP1360=1,Settings!$C$6,Settings!$C$7))*100)</f>
        <v/>
      </c>
      <c r="AI1360" s="7" t="n"/>
      <c r="AL1360" s="11" t="n"/>
      <c r="AN1360">
        <f>IF($E1360="","",IF(COUNTIF($E$2:$E1360,$E1360)=1,1,0))</f>
        <v/>
      </c>
      <c r="AO1360">
        <f>IF($AN1360=1,SUMPRODUCT(--($AR$2:$AR$3001&lt;$AR1360))+1,"")</f>
        <v/>
      </c>
      <c r="AP1360">
        <f>IF($E1360="","",IF(OR($U1360=TRUE(),$U1360="TRUE"),1,0))</f>
        <v/>
      </c>
      <c r="AQ1360">
        <f>IF($E1360="","",IF($AD1360="Yes",1,0))</f>
        <v/>
      </c>
      <c r="AR1360">
        <f>IF($AN1360=1,IFERROR(VALUE(MID($E1360,2,20)),1000000000)+ROW()/100000,"")</f>
        <v/>
      </c>
    </row>
    <row r="1361">
      <c r="G1361" s="11" t="n"/>
      <c r="Q1361" s="7">
        <f>IF($E1361="","",P1361*AB1361/100)</f>
        <v/>
      </c>
      <c r="R1361" s="7" t="n"/>
      <c r="X1361" s="7" t="n"/>
      <c r="Y1361" s="7">
        <f>IF($E1361="","",AB1361*AE1361/100)</f>
        <v/>
      </c>
      <c r="Z1361" s="7">
        <f>IF($E1361="","",AB1361-Y1361)</f>
        <v/>
      </c>
      <c r="AA1361" s="7">
        <f>IF($E1361="","",Z1361-Q1361)</f>
        <v/>
      </c>
      <c r="AB1361" s="7" t="n"/>
      <c r="AE1361">
        <f>IF($E1361="","",IF($AQ1361=1,0,IF($AP1361=1,Settings!$C$6,Settings!$C$7))*100)</f>
        <v/>
      </c>
      <c r="AI1361" s="7" t="n"/>
      <c r="AL1361" s="11" t="n"/>
      <c r="AN1361">
        <f>IF($E1361="","",IF(COUNTIF($E$2:$E1361,$E1361)=1,1,0))</f>
        <v/>
      </c>
      <c r="AO1361">
        <f>IF($AN1361=1,SUMPRODUCT(--($AR$2:$AR$3001&lt;$AR1361))+1,"")</f>
        <v/>
      </c>
      <c r="AP1361">
        <f>IF($E1361="","",IF(OR($U1361=TRUE(),$U1361="TRUE"),1,0))</f>
        <v/>
      </c>
      <c r="AQ1361">
        <f>IF($E1361="","",IF($AD1361="Yes",1,0))</f>
        <v/>
      </c>
      <c r="AR1361">
        <f>IF($AN1361=1,IFERROR(VALUE(MID($E1361,2,20)),1000000000)+ROW()/100000,"")</f>
        <v/>
      </c>
    </row>
    <row r="1362">
      <c r="G1362" s="11" t="n"/>
      <c r="Q1362" s="7">
        <f>IF($E1362="","",P1362*AB1362/100)</f>
        <v/>
      </c>
      <c r="R1362" s="7" t="n"/>
      <c r="X1362" s="7" t="n"/>
      <c r="Y1362" s="7">
        <f>IF($E1362="","",AB1362*AE1362/100)</f>
        <v/>
      </c>
      <c r="Z1362" s="7">
        <f>IF($E1362="","",AB1362-Y1362)</f>
        <v/>
      </c>
      <c r="AA1362" s="7">
        <f>IF($E1362="","",Z1362-Q1362)</f>
        <v/>
      </c>
      <c r="AB1362" s="7" t="n"/>
      <c r="AE1362">
        <f>IF($E1362="","",IF($AQ1362=1,0,IF($AP1362=1,Settings!$C$6,Settings!$C$7))*100)</f>
        <v/>
      </c>
      <c r="AI1362" s="7" t="n"/>
      <c r="AL1362" s="11" t="n"/>
      <c r="AN1362">
        <f>IF($E1362="","",IF(COUNTIF($E$2:$E1362,$E1362)=1,1,0))</f>
        <v/>
      </c>
      <c r="AO1362">
        <f>IF($AN1362=1,SUMPRODUCT(--($AR$2:$AR$3001&lt;$AR1362))+1,"")</f>
        <v/>
      </c>
      <c r="AP1362">
        <f>IF($E1362="","",IF(OR($U1362=TRUE(),$U1362="TRUE"),1,0))</f>
        <v/>
      </c>
      <c r="AQ1362">
        <f>IF($E1362="","",IF($AD1362="Yes",1,0))</f>
        <v/>
      </c>
      <c r="AR1362">
        <f>IF($AN1362=1,IFERROR(VALUE(MID($E1362,2,20)),1000000000)+ROW()/100000,"")</f>
        <v/>
      </c>
    </row>
    <row r="1363">
      <c r="G1363" s="11" t="n"/>
      <c r="Q1363" s="7">
        <f>IF($E1363="","",P1363*AB1363/100)</f>
        <v/>
      </c>
      <c r="R1363" s="7" t="n"/>
      <c r="X1363" s="7" t="n"/>
      <c r="Y1363" s="7">
        <f>IF($E1363="","",AB1363*AE1363/100)</f>
        <v/>
      </c>
      <c r="Z1363" s="7">
        <f>IF($E1363="","",AB1363-Y1363)</f>
        <v/>
      </c>
      <c r="AA1363" s="7">
        <f>IF($E1363="","",Z1363-Q1363)</f>
        <v/>
      </c>
      <c r="AB1363" s="7" t="n"/>
      <c r="AE1363">
        <f>IF($E1363="","",IF($AQ1363=1,0,IF($AP1363=1,Settings!$C$6,Settings!$C$7))*100)</f>
        <v/>
      </c>
      <c r="AI1363" s="7" t="n"/>
      <c r="AL1363" s="11" t="n"/>
      <c r="AN1363">
        <f>IF($E1363="","",IF(COUNTIF($E$2:$E1363,$E1363)=1,1,0))</f>
        <v/>
      </c>
      <c r="AO1363">
        <f>IF($AN1363=1,SUMPRODUCT(--($AR$2:$AR$3001&lt;$AR1363))+1,"")</f>
        <v/>
      </c>
      <c r="AP1363">
        <f>IF($E1363="","",IF(OR($U1363=TRUE(),$U1363="TRUE"),1,0))</f>
        <v/>
      </c>
      <c r="AQ1363">
        <f>IF($E1363="","",IF($AD1363="Yes",1,0))</f>
        <v/>
      </c>
      <c r="AR1363">
        <f>IF($AN1363=1,IFERROR(VALUE(MID($E1363,2,20)),1000000000)+ROW()/100000,"")</f>
        <v/>
      </c>
    </row>
    <row r="1364">
      <c r="G1364" s="11" t="n"/>
      <c r="Q1364" s="7">
        <f>IF($E1364="","",P1364*AB1364/100)</f>
        <v/>
      </c>
      <c r="R1364" s="7" t="n"/>
      <c r="X1364" s="7" t="n"/>
      <c r="Y1364" s="7">
        <f>IF($E1364="","",AB1364*AE1364/100)</f>
        <v/>
      </c>
      <c r="Z1364" s="7">
        <f>IF($E1364="","",AB1364-Y1364)</f>
        <v/>
      </c>
      <c r="AA1364" s="7">
        <f>IF($E1364="","",Z1364-Q1364)</f>
        <v/>
      </c>
      <c r="AB1364" s="7" t="n"/>
      <c r="AE1364">
        <f>IF($E1364="","",IF($AQ1364=1,0,IF($AP1364=1,Settings!$C$6,Settings!$C$7))*100)</f>
        <v/>
      </c>
      <c r="AI1364" s="7" t="n"/>
      <c r="AL1364" s="11" t="n"/>
      <c r="AN1364">
        <f>IF($E1364="","",IF(COUNTIF($E$2:$E1364,$E1364)=1,1,0))</f>
        <v/>
      </c>
      <c r="AO1364">
        <f>IF($AN1364=1,SUMPRODUCT(--($AR$2:$AR$3001&lt;$AR1364))+1,"")</f>
        <v/>
      </c>
      <c r="AP1364">
        <f>IF($E1364="","",IF(OR($U1364=TRUE(),$U1364="TRUE"),1,0))</f>
        <v/>
      </c>
      <c r="AQ1364">
        <f>IF($E1364="","",IF($AD1364="Yes",1,0))</f>
        <v/>
      </c>
      <c r="AR1364">
        <f>IF($AN1364=1,IFERROR(VALUE(MID($E1364,2,20)),1000000000)+ROW()/100000,"")</f>
        <v/>
      </c>
    </row>
    <row r="1365">
      <c r="G1365" s="11" t="n"/>
      <c r="Q1365" s="7">
        <f>IF($E1365="","",P1365*AB1365/100)</f>
        <v/>
      </c>
      <c r="R1365" s="7" t="n"/>
      <c r="X1365" s="7" t="n"/>
      <c r="Y1365" s="7">
        <f>IF($E1365="","",AB1365*AE1365/100)</f>
        <v/>
      </c>
      <c r="Z1365" s="7">
        <f>IF($E1365="","",AB1365-Y1365)</f>
        <v/>
      </c>
      <c r="AA1365" s="7">
        <f>IF($E1365="","",Z1365-Q1365)</f>
        <v/>
      </c>
      <c r="AB1365" s="7" t="n"/>
      <c r="AE1365">
        <f>IF($E1365="","",IF($AQ1365=1,0,IF($AP1365=1,Settings!$C$6,Settings!$C$7))*100)</f>
        <v/>
      </c>
      <c r="AI1365" s="7" t="n"/>
      <c r="AL1365" s="11" t="n"/>
      <c r="AN1365">
        <f>IF($E1365="","",IF(COUNTIF($E$2:$E1365,$E1365)=1,1,0))</f>
        <v/>
      </c>
      <c r="AO1365">
        <f>IF($AN1365=1,SUMPRODUCT(--($AR$2:$AR$3001&lt;$AR1365))+1,"")</f>
        <v/>
      </c>
      <c r="AP1365">
        <f>IF($E1365="","",IF(OR($U1365=TRUE(),$U1365="TRUE"),1,0))</f>
        <v/>
      </c>
      <c r="AQ1365">
        <f>IF($E1365="","",IF($AD1365="Yes",1,0))</f>
        <v/>
      </c>
      <c r="AR1365">
        <f>IF($AN1365=1,IFERROR(VALUE(MID($E1365,2,20)),1000000000)+ROW()/100000,"")</f>
        <v/>
      </c>
    </row>
    <row r="1366">
      <c r="G1366" s="11" t="n"/>
      <c r="Q1366" s="7">
        <f>IF($E1366="","",P1366*AB1366/100)</f>
        <v/>
      </c>
      <c r="R1366" s="7" t="n"/>
      <c r="X1366" s="7" t="n"/>
      <c r="Y1366" s="7">
        <f>IF($E1366="","",AB1366*AE1366/100)</f>
        <v/>
      </c>
      <c r="Z1366" s="7">
        <f>IF($E1366="","",AB1366-Y1366)</f>
        <v/>
      </c>
      <c r="AA1366" s="7">
        <f>IF($E1366="","",Z1366-Q1366)</f>
        <v/>
      </c>
      <c r="AB1366" s="7" t="n"/>
      <c r="AE1366">
        <f>IF($E1366="","",IF($AQ1366=1,0,IF($AP1366=1,Settings!$C$6,Settings!$C$7))*100)</f>
        <v/>
      </c>
      <c r="AI1366" s="7" t="n"/>
      <c r="AL1366" s="11" t="n"/>
      <c r="AN1366">
        <f>IF($E1366="","",IF(COUNTIF($E$2:$E1366,$E1366)=1,1,0))</f>
        <v/>
      </c>
      <c r="AO1366">
        <f>IF($AN1366=1,SUMPRODUCT(--($AR$2:$AR$3001&lt;$AR1366))+1,"")</f>
        <v/>
      </c>
      <c r="AP1366">
        <f>IF($E1366="","",IF(OR($U1366=TRUE(),$U1366="TRUE"),1,0))</f>
        <v/>
      </c>
      <c r="AQ1366">
        <f>IF($E1366="","",IF($AD1366="Yes",1,0))</f>
        <v/>
      </c>
      <c r="AR1366">
        <f>IF($AN1366=1,IFERROR(VALUE(MID($E1366,2,20)),1000000000)+ROW()/100000,"")</f>
        <v/>
      </c>
    </row>
    <row r="1367">
      <c r="G1367" s="11" t="n"/>
      <c r="Q1367" s="7">
        <f>IF($E1367="","",P1367*AB1367/100)</f>
        <v/>
      </c>
      <c r="R1367" s="7" t="n"/>
      <c r="X1367" s="7" t="n"/>
      <c r="Y1367" s="7">
        <f>IF($E1367="","",AB1367*AE1367/100)</f>
        <v/>
      </c>
      <c r="Z1367" s="7">
        <f>IF($E1367="","",AB1367-Y1367)</f>
        <v/>
      </c>
      <c r="AA1367" s="7">
        <f>IF($E1367="","",Z1367-Q1367)</f>
        <v/>
      </c>
      <c r="AB1367" s="7" t="n"/>
      <c r="AE1367">
        <f>IF($E1367="","",IF($AQ1367=1,0,IF($AP1367=1,Settings!$C$6,Settings!$C$7))*100)</f>
        <v/>
      </c>
      <c r="AI1367" s="7" t="n"/>
      <c r="AL1367" s="11" t="n"/>
      <c r="AN1367">
        <f>IF($E1367="","",IF(COUNTIF($E$2:$E1367,$E1367)=1,1,0))</f>
        <v/>
      </c>
      <c r="AO1367">
        <f>IF($AN1367=1,SUMPRODUCT(--($AR$2:$AR$3001&lt;$AR1367))+1,"")</f>
        <v/>
      </c>
      <c r="AP1367">
        <f>IF($E1367="","",IF(OR($U1367=TRUE(),$U1367="TRUE"),1,0))</f>
        <v/>
      </c>
      <c r="AQ1367">
        <f>IF($E1367="","",IF($AD1367="Yes",1,0))</f>
        <v/>
      </c>
      <c r="AR1367">
        <f>IF($AN1367=1,IFERROR(VALUE(MID($E1367,2,20)),1000000000)+ROW()/100000,"")</f>
        <v/>
      </c>
    </row>
    <row r="1368">
      <c r="G1368" s="11" t="n"/>
      <c r="Q1368" s="7">
        <f>IF($E1368="","",P1368*AB1368/100)</f>
        <v/>
      </c>
      <c r="R1368" s="7" t="n"/>
      <c r="X1368" s="7" t="n"/>
      <c r="Y1368" s="7">
        <f>IF($E1368="","",AB1368*AE1368/100)</f>
        <v/>
      </c>
      <c r="Z1368" s="7">
        <f>IF($E1368="","",AB1368-Y1368)</f>
        <v/>
      </c>
      <c r="AA1368" s="7">
        <f>IF($E1368="","",Z1368-Q1368)</f>
        <v/>
      </c>
      <c r="AB1368" s="7" t="n"/>
      <c r="AE1368">
        <f>IF($E1368="","",IF($AQ1368=1,0,IF($AP1368=1,Settings!$C$6,Settings!$C$7))*100)</f>
        <v/>
      </c>
      <c r="AI1368" s="7" t="n"/>
      <c r="AL1368" s="11" t="n"/>
      <c r="AN1368">
        <f>IF($E1368="","",IF(COUNTIF($E$2:$E1368,$E1368)=1,1,0))</f>
        <v/>
      </c>
      <c r="AO1368">
        <f>IF($AN1368=1,SUMPRODUCT(--($AR$2:$AR$3001&lt;$AR1368))+1,"")</f>
        <v/>
      </c>
      <c r="AP1368">
        <f>IF($E1368="","",IF(OR($U1368=TRUE(),$U1368="TRUE"),1,0))</f>
        <v/>
      </c>
      <c r="AQ1368">
        <f>IF($E1368="","",IF($AD1368="Yes",1,0))</f>
        <v/>
      </c>
      <c r="AR1368">
        <f>IF($AN1368=1,IFERROR(VALUE(MID($E1368,2,20)),1000000000)+ROW()/100000,"")</f>
        <v/>
      </c>
    </row>
    <row r="1369">
      <c r="G1369" s="11" t="n"/>
      <c r="Q1369" s="7">
        <f>IF($E1369="","",P1369*AB1369/100)</f>
        <v/>
      </c>
      <c r="R1369" s="7" t="n"/>
      <c r="X1369" s="7" t="n"/>
      <c r="Y1369" s="7">
        <f>IF($E1369="","",AB1369*AE1369/100)</f>
        <v/>
      </c>
      <c r="Z1369" s="7">
        <f>IF($E1369="","",AB1369-Y1369)</f>
        <v/>
      </c>
      <c r="AA1369" s="7">
        <f>IF($E1369="","",Z1369-Q1369)</f>
        <v/>
      </c>
      <c r="AB1369" s="7" t="n"/>
      <c r="AE1369">
        <f>IF($E1369="","",IF($AQ1369=1,0,IF($AP1369=1,Settings!$C$6,Settings!$C$7))*100)</f>
        <v/>
      </c>
      <c r="AI1369" s="7" t="n"/>
      <c r="AL1369" s="11" t="n"/>
      <c r="AN1369">
        <f>IF($E1369="","",IF(COUNTIF($E$2:$E1369,$E1369)=1,1,0))</f>
        <v/>
      </c>
      <c r="AO1369">
        <f>IF($AN1369=1,SUMPRODUCT(--($AR$2:$AR$3001&lt;$AR1369))+1,"")</f>
        <v/>
      </c>
      <c r="AP1369">
        <f>IF($E1369="","",IF(OR($U1369=TRUE(),$U1369="TRUE"),1,0))</f>
        <v/>
      </c>
      <c r="AQ1369">
        <f>IF($E1369="","",IF($AD1369="Yes",1,0))</f>
        <v/>
      </c>
      <c r="AR1369">
        <f>IF($AN1369=1,IFERROR(VALUE(MID($E1369,2,20)),1000000000)+ROW()/100000,"")</f>
        <v/>
      </c>
    </row>
    <row r="1370">
      <c r="G1370" s="11" t="n"/>
      <c r="Q1370" s="7">
        <f>IF($E1370="","",P1370*AB1370/100)</f>
        <v/>
      </c>
      <c r="R1370" s="7" t="n"/>
      <c r="X1370" s="7" t="n"/>
      <c r="Y1370" s="7">
        <f>IF($E1370="","",AB1370*AE1370/100)</f>
        <v/>
      </c>
      <c r="Z1370" s="7">
        <f>IF($E1370="","",AB1370-Y1370)</f>
        <v/>
      </c>
      <c r="AA1370" s="7">
        <f>IF($E1370="","",Z1370-Q1370)</f>
        <v/>
      </c>
      <c r="AB1370" s="7" t="n"/>
      <c r="AE1370">
        <f>IF($E1370="","",IF($AQ1370=1,0,IF($AP1370=1,Settings!$C$6,Settings!$C$7))*100)</f>
        <v/>
      </c>
      <c r="AI1370" s="7" t="n"/>
      <c r="AL1370" s="11" t="n"/>
      <c r="AN1370">
        <f>IF($E1370="","",IF(COUNTIF($E$2:$E1370,$E1370)=1,1,0))</f>
        <v/>
      </c>
      <c r="AO1370">
        <f>IF($AN1370=1,SUMPRODUCT(--($AR$2:$AR$3001&lt;$AR1370))+1,"")</f>
        <v/>
      </c>
      <c r="AP1370">
        <f>IF($E1370="","",IF(OR($U1370=TRUE(),$U1370="TRUE"),1,0))</f>
        <v/>
      </c>
      <c r="AQ1370">
        <f>IF($E1370="","",IF($AD1370="Yes",1,0))</f>
        <v/>
      </c>
      <c r="AR1370">
        <f>IF($AN1370=1,IFERROR(VALUE(MID($E1370,2,20)),1000000000)+ROW()/100000,"")</f>
        <v/>
      </c>
    </row>
    <row r="1371">
      <c r="G1371" s="11" t="n"/>
      <c r="Q1371" s="7">
        <f>IF($E1371="","",P1371*AB1371/100)</f>
        <v/>
      </c>
      <c r="R1371" s="7" t="n"/>
      <c r="X1371" s="7" t="n"/>
      <c r="Y1371" s="7">
        <f>IF($E1371="","",AB1371*AE1371/100)</f>
        <v/>
      </c>
      <c r="Z1371" s="7">
        <f>IF($E1371="","",AB1371-Y1371)</f>
        <v/>
      </c>
      <c r="AA1371" s="7">
        <f>IF($E1371="","",Z1371-Q1371)</f>
        <v/>
      </c>
      <c r="AB1371" s="7" t="n"/>
      <c r="AE1371">
        <f>IF($E1371="","",IF($AQ1371=1,0,IF($AP1371=1,Settings!$C$6,Settings!$C$7))*100)</f>
        <v/>
      </c>
      <c r="AI1371" s="7" t="n"/>
      <c r="AL1371" s="11" t="n"/>
      <c r="AN1371">
        <f>IF($E1371="","",IF(COUNTIF($E$2:$E1371,$E1371)=1,1,0))</f>
        <v/>
      </c>
      <c r="AO1371">
        <f>IF($AN1371=1,SUMPRODUCT(--($AR$2:$AR$3001&lt;$AR1371))+1,"")</f>
        <v/>
      </c>
      <c r="AP1371">
        <f>IF($E1371="","",IF(OR($U1371=TRUE(),$U1371="TRUE"),1,0))</f>
        <v/>
      </c>
      <c r="AQ1371">
        <f>IF($E1371="","",IF($AD1371="Yes",1,0))</f>
        <v/>
      </c>
      <c r="AR1371">
        <f>IF($AN1371=1,IFERROR(VALUE(MID($E1371,2,20)),1000000000)+ROW()/100000,"")</f>
        <v/>
      </c>
    </row>
    <row r="1372">
      <c r="G1372" s="11" t="n"/>
      <c r="Q1372" s="7">
        <f>IF($E1372="","",P1372*AB1372/100)</f>
        <v/>
      </c>
      <c r="R1372" s="7" t="n"/>
      <c r="X1372" s="7" t="n"/>
      <c r="Y1372" s="7">
        <f>IF($E1372="","",AB1372*AE1372/100)</f>
        <v/>
      </c>
      <c r="Z1372" s="7">
        <f>IF($E1372="","",AB1372-Y1372)</f>
        <v/>
      </c>
      <c r="AA1372" s="7">
        <f>IF($E1372="","",Z1372-Q1372)</f>
        <v/>
      </c>
      <c r="AB1372" s="7" t="n"/>
      <c r="AE1372">
        <f>IF($E1372="","",IF($AQ1372=1,0,IF($AP1372=1,Settings!$C$6,Settings!$C$7))*100)</f>
        <v/>
      </c>
      <c r="AI1372" s="7" t="n"/>
      <c r="AL1372" s="11" t="n"/>
      <c r="AN1372">
        <f>IF($E1372="","",IF(COUNTIF($E$2:$E1372,$E1372)=1,1,0))</f>
        <v/>
      </c>
      <c r="AO1372">
        <f>IF($AN1372=1,SUMPRODUCT(--($AR$2:$AR$3001&lt;$AR1372))+1,"")</f>
        <v/>
      </c>
      <c r="AP1372">
        <f>IF($E1372="","",IF(OR($U1372=TRUE(),$U1372="TRUE"),1,0))</f>
        <v/>
      </c>
      <c r="AQ1372">
        <f>IF($E1372="","",IF($AD1372="Yes",1,0))</f>
        <v/>
      </c>
      <c r="AR1372">
        <f>IF($AN1372=1,IFERROR(VALUE(MID($E1372,2,20)),1000000000)+ROW()/100000,"")</f>
        <v/>
      </c>
    </row>
    <row r="1373">
      <c r="G1373" s="11" t="n"/>
      <c r="Q1373" s="7">
        <f>IF($E1373="","",P1373*AB1373/100)</f>
        <v/>
      </c>
      <c r="R1373" s="7" t="n"/>
      <c r="X1373" s="7" t="n"/>
      <c r="Y1373" s="7">
        <f>IF($E1373="","",AB1373*AE1373/100)</f>
        <v/>
      </c>
      <c r="Z1373" s="7">
        <f>IF($E1373="","",AB1373-Y1373)</f>
        <v/>
      </c>
      <c r="AA1373" s="7">
        <f>IF($E1373="","",Z1373-Q1373)</f>
        <v/>
      </c>
      <c r="AB1373" s="7" t="n"/>
      <c r="AE1373">
        <f>IF($E1373="","",IF($AQ1373=1,0,IF($AP1373=1,Settings!$C$6,Settings!$C$7))*100)</f>
        <v/>
      </c>
      <c r="AI1373" s="7" t="n"/>
      <c r="AL1373" s="11" t="n"/>
      <c r="AN1373">
        <f>IF($E1373="","",IF(COUNTIF($E$2:$E1373,$E1373)=1,1,0))</f>
        <v/>
      </c>
      <c r="AO1373">
        <f>IF($AN1373=1,SUMPRODUCT(--($AR$2:$AR$3001&lt;$AR1373))+1,"")</f>
        <v/>
      </c>
      <c r="AP1373">
        <f>IF($E1373="","",IF(OR($U1373=TRUE(),$U1373="TRUE"),1,0))</f>
        <v/>
      </c>
      <c r="AQ1373">
        <f>IF($E1373="","",IF($AD1373="Yes",1,0))</f>
        <v/>
      </c>
      <c r="AR1373">
        <f>IF($AN1373=1,IFERROR(VALUE(MID($E1373,2,20)),1000000000)+ROW()/100000,"")</f>
        <v/>
      </c>
    </row>
    <row r="1374">
      <c r="G1374" s="11" t="n"/>
      <c r="Q1374" s="7">
        <f>IF($E1374="","",P1374*AB1374/100)</f>
        <v/>
      </c>
      <c r="R1374" s="7" t="n"/>
      <c r="X1374" s="7" t="n"/>
      <c r="Y1374" s="7">
        <f>IF($E1374="","",AB1374*AE1374/100)</f>
        <v/>
      </c>
      <c r="Z1374" s="7">
        <f>IF($E1374="","",AB1374-Y1374)</f>
        <v/>
      </c>
      <c r="AA1374" s="7">
        <f>IF($E1374="","",Z1374-Q1374)</f>
        <v/>
      </c>
      <c r="AB1374" s="7" t="n"/>
      <c r="AE1374">
        <f>IF($E1374="","",IF($AQ1374=1,0,IF($AP1374=1,Settings!$C$6,Settings!$C$7))*100)</f>
        <v/>
      </c>
      <c r="AI1374" s="7" t="n"/>
      <c r="AL1374" s="11" t="n"/>
      <c r="AN1374">
        <f>IF($E1374="","",IF(COUNTIF($E$2:$E1374,$E1374)=1,1,0))</f>
        <v/>
      </c>
      <c r="AO1374">
        <f>IF($AN1374=1,SUMPRODUCT(--($AR$2:$AR$3001&lt;$AR1374))+1,"")</f>
        <v/>
      </c>
      <c r="AP1374">
        <f>IF($E1374="","",IF(OR($U1374=TRUE(),$U1374="TRUE"),1,0))</f>
        <v/>
      </c>
      <c r="AQ1374">
        <f>IF($E1374="","",IF($AD1374="Yes",1,0))</f>
        <v/>
      </c>
      <c r="AR1374">
        <f>IF($AN1374=1,IFERROR(VALUE(MID($E1374,2,20)),1000000000)+ROW()/100000,"")</f>
        <v/>
      </c>
    </row>
    <row r="1375">
      <c r="G1375" s="11" t="n"/>
      <c r="Q1375" s="7">
        <f>IF($E1375="","",P1375*AB1375/100)</f>
        <v/>
      </c>
      <c r="R1375" s="7" t="n"/>
      <c r="X1375" s="7" t="n"/>
      <c r="Y1375" s="7">
        <f>IF($E1375="","",AB1375*AE1375/100)</f>
        <v/>
      </c>
      <c r="Z1375" s="7">
        <f>IF($E1375="","",AB1375-Y1375)</f>
        <v/>
      </c>
      <c r="AA1375" s="7">
        <f>IF($E1375="","",Z1375-Q1375)</f>
        <v/>
      </c>
      <c r="AB1375" s="7" t="n"/>
      <c r="AE1375">
        <f>IF($E1375="","",IF($AQ1375=1,0,IF($AP1375=1,Settings!$C$6,Settings!$C$7))*100)</f>
        <v/>
      </c>
      <c r="AI1375" s="7" t="n"/>
      <c r="AL1375" s="11" t="n"/>
      <c r="AN1375">
        <f>IF($E1375="","",IF(COUNTIF($E$2:$E1375,$E1375)=1,1,0))</f>
        <v/>
      </c>
      <c r="AO1375">
        <f>IF($AN1375=1,SUMPRODUCT(--($AR$2:$AR$3001&lt;$AR1375))+1,"")</f>
        <v/>
      </c>
      <c r="AP1375">
        <f>IF($E1375="","",IF(OR($U1375=TRUE(),$U1375="TRUE"),1,0))</f>
        <v/>
      </c>
      <c r="AQ1375">
        <f>IF($E1375="","",IF($AD1375="Yes",1,0))</f>
        <v/>
      </c>
      <c r="AR1375">
        <f>IF($AN1375=1,IFERROR(VALUE(MID($E1375,2,20)),1000000000)+ROW()/100000,"")</f>
        <v/>
      </c>
    </row>
    <row r="1376">
      <c r="G1376" s="11" t="n"/>
      <c r="Q1376" s="7">
        <f>IF($E1376="","",P1376*AB1376/100)</f>
        <v/>
      </c>
      <c r="R1376" s="7" t="n"/>
      <c r="X1376" s="7" t="n"/>
      <c r="Y1376" s="7">
        <f>IF($E1376="","",AB1376*AE1376/100)</f>
        <v/>
      </c>
      <c r="Z1376" s="7">
        <f>IF($E1376="","",AB1376-Y1376)</f>
        <v/>
      </c>
      <c r="AA1376" s="7">
        <f>IF($E1376="","",Z1376-Q1376)</f>
        <v/>
      </c>
      <c r="AB1376" s="7" t="n"/>
      <c r="AE1376">
        <f>IF($E1376="","",IF($AQ1376=1,0,IF($AP1376=1,Settings!$C$6,Settings!$C$7))*100)</f>
        <v/>
      </c>
      <c r="AI1376" s="7" t="n"/>
      <c r="AL1376" s="11" t="n"/>
      <c r="AN1376">
        <f>IF($E1376="","",IF(COUNTIF($E$2:$E1376,$E1376)=1,1,0))</f>
        <v/>
      </c>
      <c r="AO1376">
        <f>IF($AN1376=1,SUMPRODUCT(--($AR$2:$AR$3001&lt;$AR1376))+1,"")</f>
        <v/>
      </c>
      <c r="AP1376">
        <f>IF($E1376="","",IF(OR($U1376=TRUE(),$U1376="TRUE"),1,0))</f>
        <v/>
      </c>
      <c r="AQ1376">
        <f>IF($E1376="","",IF($AD1376="Yes",1,0))</f>
        <v/>
      </c>
      <c r="AR1376">
        <f>IF($AN1376=1,IFERROR(VALUE(MID($E1376,2,20)),1000000000)+ROW()/100000,"")</f>
        <v/>
      </c>
    </row>
    <row r="1377">
      <c r="G1377" s="11" t="n"/>
      <c r="Q1377" s="7">
        <f>IF($E1377="","",P1377*AB1377/100)</f>
        <v/>
      </c>
      <c r="R1377" s="7" t="n"/>
      <c r="X1377" s="7" t="n"/>
      <c r="Y1377" s="7">
        <f>IF($E1377="","",AB1377*AE1377/100)</f>
        <v/>
      </c>
      <c r="Z1377" s="7">
        <f>IF($E1377="","",AB1377-Y1377)</f>
        <v/>
      </c>
      <c r="AA1377" s="7">
        <f>IF($E1377="","",Z1377-Q1377)</f>
        <v/>
      </c>
      <c r="AB1377" s="7" t="n"/>
      <c r="AE1377">
        <f>IF($E1377="","",IF($AQ1377=1,0,IF($AP1377=1,Settings!$C$6,Settings!$C$7))*100)</f>
        <v/>
      </c>
      <c r="AI1377" s="7" t="n"/>
      <c r="AL1377" s="11" t="n"/>
      <c r="AN1377">
        <f>IF($E1377="","",IF(COUNTIF($E$2:$E1377,$E1377)=1,1,0))</f>
        <v/>
      </c>
      <c r="AO1377">
        <f>IF($AN1377=1,SUMPRODUCT(--($AR$2:$AR$3001&lt;$AR1377))+1,"")</f>
        <v/>
      </c>
      <c r="AP1377">
        <f>IF($E1377="","",IF(OR($U1377=TRUE(),$U1377="TRUE"),1,0))</f>
        <v/>
      </c>
      <c r="AQ1377">
        <f>IF($E1377="","",IF($AD1377="Yes",1,0))</f>
        <v/>
      </c>
      <c r="AR1377">
        <f>IF($AN1377=1,IFERROR(VALUE(MID($E1377,2,20)),1000000000)+ROW()/100000,"")</f>
        <v/>
      </c>
    </row>
    <row r="1378">
      <c r="G1378" s="11" t="n"/>
      <c r="Q1378" s="7">
        <f>IF($E1378="","",P1378*AB1378/100)</f>
        <v/>
      </c>
      <c r="R1378" s="7" t="n"/>
      <c r="X1378" s="7" t="n"/>
      <c r="Y1378" s="7">
        <f>IF($E1378="","",AB1378*AE1378/100)</f>
        <v/>
      </c>
      <c r="Z1378" s="7">
        <f>IF($E1378="","",AB1378-Y1378)</f>
        <v/>
      </c>
      <c r="AA1378" s="7">
        <f>IF($E1378="","",Z1378-Q1378)</f>
        <v/>
      </c>
      <c r="AB1378" s="7" t="n"/>
      <c r="AE1378">
        <f>IF($E1378="","",IF($AQ1378=1,0,IF($AP1378=1,Settings!$C$6,Settings!$C$7))*100)</f>
        <v/>
      </c>
      <c r="AI1378" s="7" t="n"/>
      <c r="AL1378" s="11" t="n"/>
      <c r="AN1378">
        <f>IF($E1378="","",IF(COUNTIF($E$2:$E1378,$E1378)=1,1,0))</f>
        <v/>
      </c>
      <c r="AO1378">
        <f>IF($AN1378=1,SUMPRODUCT(--($AR$2:$AR$3001&lt;$AR1378))+1,"")</f>
        <v/>
      </c>
      <c r="AP1378">
        <f>IF($E1378="","",IF(OR($U1378=TRUE(),$U1378="TRUE"),1,0))</f>
        <v/>
      </c>
      <c r="AQ1378">
        <f>IF($E1378="","",IF($AD1378="Yes",1,0))</f>
        <v/>
      </c>
      <c r="AR1378">
        <f>IF($AN1378=1,IFERROR(VALUE(MID($E1378,2,20)),1000000000)+ROW()/100000,"")</f>
        <v/>
      </c>
    </row>
    <row r="1379">
      <c r="G1379" s="11" t="n"/>
      <c r="Q1379" s="7">
        <f>IF($E1379="","",P1379*AB1379/100)</f>
        <v/>
      </c>
      <c r="R1379" s="7" t="n"/>
      <c r="X1379" s="7" t="n"/>
      <c r="Y1379" s="7">
        <f>IF($E1379="","",AB1379*AE1379/100)</f>
        <v/>
      </c>
      <c r="Z1379" s="7">
        <f>IF($E1379="","",AB1379-Y1379)</f>
        <v/>
      </c>
      <c r="AA1379" s="7">
        <f>IF($E1379="","",Z1379-Q1379)</f>
        <v/>
      </c>
      <c r="AB1379" s="7" t="n"/>
      <c r="AE1379">
        <f>IF($E1379="","",IF($AQ1379=1,0,IF($AP1379=1,Settings!$C$6,Settings!$C$7))*100)</f>
        <v/>
      </c>
      <c r="AI1379" s="7" t="n"/>
      <c r="AL1379" s="11" t="n"/>
      <c r="AN1379">
        <f>IF($E1379="","",IF(COUNTIF($E$2:$E1379,$E1379)=1,1,0))</f>
        <v/>
      </c>
      <c r="AO1379">
        <f>IF($AN1379=1,SUMPRODUCT(--($AR$2:$AR$3001&lt;$AR1379))+1,"")</f>
        <v/>
      </c>
      <c r="AP1379">
        <f>IF($E1379="","",IF(OR($U1379=TRUE(),$U1379="TRUE"),1,0))</f>
        <v/>
      </c>
      <c r="AQ1379">
        <f>IF($E1379="","",IF($AD1379="Yes",1,0))</f>
        <v/>
      </c>
      <c r="AR1379">
        <f>IF($AN1379=1,IFERROR(VALUE(MID($E1379,2,20)),1000000000)+ROW()/100000,"")</f>
        <v/>
      </c>
    </row>
    <row r="1380">
      <c r="G1380" s="11" t="n"/>
      <c r="Q1380" s="7">
        <f>IF($E1380="","",P1380*AB1380/100)</f>
        <v/>
      </c>
      <c r="R1380" s="7" t="n"/>
      <c r="X1380" s="7" t="n"/>
      <c r="Y1380" s="7">
        <f>IF($E1380="","",AB1380*AE1380/100)</f>
        <v/>
      </c>
      <c r="Z1380" s="7">
        <f>IF($E1380="","",AB1380-Y1380)</f>
        <v/>
      </c>
      <c r="AA1380" s="7">
        <f>IF($E1380="","",Z1380-Q1380)</f>
        <v/>
      </c>
      <c r="AB1380" s="7" t="n"/>
      <c r="AE1380">
        <f>IF($E1380="","",IF($AQ1380=1,0,IF($AP1380=1,Settings!$C$6,Settings!$C$7))*100)</f>
        <v/>
      </c>
      <c r="AI1380" s="7" t="n"/>
      <c r="AL1380" s="11" t="n"/>
      <c r="AN1380">
        <f>IF($E1380="","",IF(COUNTIF($E$2:$E1380,$E1380)=1,1,0))</f>
        <v/>
      </c>
      <c r="AO1380">
        <f>IF($AN1380=1,SUMPRODUCT(--($AR$2:$AR$3001&lt;$AR1380))+1,"")</f>
        <v/>
      </c>
      <c r="AP1380">
        <f>IF($E1380="","",IF(OR($U1380=TRUE(),$U1380="TRUE"),1,0))</f>
        <v/>
      </c>
      <c r="AQ1380">
        <f>IF($E1380="","",IF($AD1380="Yes",1,0))</f>
        <v/>
      </c>
      <c r="AR1380">
        <f>IF($AN1380=1,IFERROR(VALUE(MID($E1380,2,20)),1000000000)+ROW()/100000,"")</f>
        <v/>
      </c>
    </row>
    <row r="1381">
      <c r="G1381" s="11" t="n"/>
      <c r="Q1381" s="7">
        <f>IF($E1381="","",P1381*AB1381/100)</f>
        <v/>
      </c>
      <c r="R1381" s="7" t="n"/>
      <c r="X1381" s="7" t="n"/>
      <c r="Y1381" s="7">
        <f>IF($E1381="","",AB1381*AE1381/100)</f>
        <v/>
      </c>
      <c r="Z1381" s="7">
        <f>IF($E1381="","",AB1381-Y1381)</f>
        <v/>
      </c>
      <c r="AA1381" s="7">
        <f>IF($E1381="","",Z1381-Q1381)</f>
        <v/>
      </c>
      <c r="AB1381" s="7" t="n"/>
      <c r="AE1381">
        <f>IF($E1381="","",IF($AQ1381=1,0,IF($AP1381=1,Settings!$C$6,Settings!$C$7))*100)</f>
        <v/>
      </c>
      <c r="AI1381" s="7" t="n"/>
      <c r="AL1381" s="11" t="n"/>
      <c r="AN1381">
        <f>IF($E1381="","",IF(COUNTIF($E$2:$E1381,$E1381)=1,1,0))</f>
        <v/>
      </c>
      <c r="AO1381">
        <f>IF($AN1381=1,SUMPRODUCT(--($AR$2:$AR$3001&lt;$AR1381))+1,"")</f>
        <v/>
      </c>
      <c r="AP1381">
        <f>IF($E1381="","",IF(OR($U1381=TRUE(),$U1381="TRUE"),1,0))</f>
        <v/>
      </c>
      <c r="AQ1381">
        <f>IF($E1381="","",IF($AD1381="Yes",1,0))</f>
        <v/>
      </c>
      <c r="AR1381">
        <f>IF($AN1381=1,IFERROR(VALUE(MID($E1381,2,20)),1000000000)+ROW()/100000,"")</f>
        <v/>
      </c>
    </row>
    <row r="1382">
      <c r="G1382" s="11" t="n"/>
      <c r="Q1382" s="7">
        <f>IF($E1382="","",P1382*AB1382/100)</f>
        <v/>
      </c>
      <c r="R1382" s="7" t="n"/>
      <c r="X1382" s="7" t="n"/>
      <c r="Y1382" s="7">
        <f>IF($E1382="","",AB1382*AE1382/100)</f>
        <v/>
      </c>
      <c r="Z1382" s="7">
        <f>IF($E1382="","",AB1382-Y1382)</f>
        <v/>
      </c>
      <c r="AA1382" s="7">
        <f>IF($E1382="","",Z1382-Q1382)</f>
        <v/>
      </c>
      <c r="AB1382" s="7" t="n"/>
      <c r="AE1382">
        <f>IF($E1382="","",IF($AQ1382=1,0,IF($AP1382=1,Settings!$C$6,Settings!$C$7))*100)</f>
        <v/>
      </c>
      <c r="AI1382" s="7" t="n"/>
      <c r="AL1382" s="11" t="n"/>
      <c r="AN1382">
        <f>IF($E1382="","",IF(COUNTIF($E$2:$E1382,$E1382)=1,1,0))</f>
        <v/>
      </c>
      <c r="AO1382">
        <f>IF($AN1382=1,SUMPRODUCT(--($AR$2:$AR$3001&lt;$AR1382))+1,"")</f>
        <v/>
      </c>
      <c r="AP1382">
        <f>IF($E1382="","",IF(OR($U1382=TRUE(),$U1382="TRUE"),1,0))</f>
        <v/>
      </c>
      <c r="AQ1382">
        <f>IF($E1382="","",IF($AD1382="Yes",1,0))</f>
        <v/>
      </c>
      <c r="AR1382">
        <f>IF($AN1382=1,IFERROR(VALUE(MID($E1382,2,20)),1000000000)+ROW()/100000,"")</f>
        <v/>
      </c>
    </row>
    <row r="1383">
      <c r="G1383" s="11" t="n"/>
      <c r="Q1383" s="7">
        <f>IF($E1383="","",P1383*AB1383/100)</f>
        <v/>
      </c>
      <c r="R1383" s="7" t="n"/>
      <c r="X1383" s="7" t="n"/>
      <c r="Y1383" s="7">
        <f>IF($E1383="","",AB1383*AE1383/100)</f>
        <v/>
      </c>
      <c r="Z1383" s="7">
        <f>IF($E1383="","",AB1383-Y1383)</f>
        <v/>
      </c>
      <c r="AA1383" s="7">
        <f>IF($E1383="","",Z1383-Q1383)</f>
        <v/>
      </c>
      <c r="AB1383" s="7" t="n"/>
      <c r="AE1383">
        <f>IF($E1383="","",IF($AQ1383=1,0,IF($AP1383=1,Settings!$C$6,Settings!$C$7))*100)</f>
        <v/>
      </c>
      <c r="AI1383" s="7" t="n"/>
      <c r="AL1383" s="11" t="n"/>
      <c r="AN1383">
        <f>IF($E1383="","",IF(COUNTIF($E$2:$E1383,$E1383)=1,1,0))</f>
        <v/>
      </c>
      <c r="AO1383">
        <f>IF($AN1383=1,SUMPRODUCT(--($AR$2:$AR$3001&lt;$AR1383))+1,"")</f>
        <v/>
      </c>
      <c r="AP1383">
        <f>IF($E1383="","",IF(OR($U1383=TRUE(),$U1383="TRUE"),1,0))</f>
        <v/>
      </c>
      <c r="AQ1383">
        <f>IF($E1383="","",IF($AD1383="Yes",1,0))</f>
        <v/>
      </c>
      <c r="AR1383">
        <f>IF($AN1383=1,IFERROR(VALUE(MID($E1383,2,20)),1000000000)+ROW()/100000,"")</f>
        <v/>
      </c>
    </row>
    <row r="1384">
      <c r="G1384" s="11" t="n"/>
      <c r="Q1384" s="7">
        <f>IF($E1384="","",P1384*AB1384/100)</f>
        <v/>
      </c>
      <c r="R1384" s="7" t="n"/>
      <c r="X1384" s="7" t="n"/>
      <c r="Y1384" s="7">
        <f>IF($E1384="","",AB1384*AE1384/100)</f>
        <v/>
      </c>
      <c r="Z1384" s="7">
        <f>IF($E1384="","",AB1384-Y1384)</f>
        <v/>
      </c>
      <c r="AA1384" s="7">
        <f>IF($E1384="","",Z1384-Q1384)</f>
        <v/>
      </c>
      <c r="AB1384" s="7" t="n"/>
      <c r="AE1384">
        <f>IF($E1384="","",IF($AQ1384=1,0,IF($AP1384=1,Settings!$C$6,Settings!$C$7))*100)</f>
        <v/>
      </c>
      <c r="AI1384" s="7" t="n"/>
      <c r="AL1384" s="11" t="n"/>
      <c r="AN1384">
        <f>IF($E1384="","",IF(COUNTIF($E$2:$E1384,$E1384)=1,1,0))</f>
        <v/>
      </c>
      <c r="AO1384">
        <f>IF($AN1384=1,SUMPRODUCT(--($AR$2:$AR$3001&lt;$AR1384))+1,"")</f>
        <v/>
      </c>
      <c r="AP1384">
        <f>IF($E1384="","",IF(OR($U1384=TRUE(),$U1384="TRUE"),1,0))</f>
        <v/>
      </c>
      <c r="AQ1384">
        <f>IF($E1384="","",IF($AD1384="Yes",1,0))</f>
        <v/>
      </c>
      <c r="AR1384">
        <f>IF($AN1384=1,IFERROR(VALUE(MID($E1384,2,20)),1000000000)+ROW()/100000,"")</f>
        <v/>
      </c>
    </row>
    <row r="1385">
      <c r="G1385" s="11" t="n"/>
      <c r="Q1385" s="7">
        <f>IF($E1385="","",P1385*AB1385/100)</f>
        <v/>
      </c>
      <c r="R1385" s="7" t="n"/>
      <c r="X1385" s="7" t="n"/>
      <c r="Y1385" s="7">
        <f>IF($E1385="","",AB1385*AE1385/100)</f>
        <v/>
      </c>
      <c r="Z1385" s="7">
        <f>IF($E1385="","",AB1385-Y1385)</f>
        <v/>
      </c>
      <c r="AA1385" s="7">
        <f>IF($E1385="","",Z1385-Q1385)</f>
        <v/>
      </c>
      <c r="AB1385" s="7" t="n"/>
      <c r="AE1385">
        <f>IF($E1385="","",IF($AQ1385=1,0,IF($AP1385=1,Settings!$C$6,Settings!$C$7))*100)</f>
        <v/>
      </c>
      <c r="AI1385" s="7" t="n"/>
      <c r="AL1385" s="11" t="n"/>
      <c r="AN1385">
        <f>IF($E1385="","",IF(COUNTIF($E$2:$E1385,$E1385)=1,1,0))</f>
        <v/>
      </c>
      <c r="AO1385">
        <f>IF($AN1385=1,SUMPRODUCT(--($AR$2:$AR$3001&lt;$AR1385))+1,"")</f>
        <v/>
      </c>
      <c r="AP1385">
        <f>IF($E1385="","",IF(OR($U1385=TRUE(),$U1385="TRUE"),1,0))</f>
        <v/>
      </c>
      <c r="AQ1385">
        <f>IF($E1385="","",IF($AD1385="Yes",1,0))</f>
        <v/>
      </c>
      <c r="AR1385">
        <f>IF($AN1385=1,IFERROR(VALUE(MID($E1385,2,20)),1000000000)+ROW()/100000,"")</f>
        <v/>
      </c>
    </row>
    <row r="1386">
      <c r="G1386" s="11" t="n"/>
      <c r="Q1386" s="7">
        <f>IF($E1386="","",P1386*AB1386/100)</f>
        <v/>
      </c>
      <c r="R1386" s="7" t="n"/>
      <c r="X1386" s="7" t="n"/>
      <c r="Y1386" s="7">
        <f>IF($E1386="","",AB1386*AE1386/100)</f>
        <v/>
      </c>
      <c r="Z1386" s="7">
        <f>IF($E1386="","",AB1386-Y1386)</f>
        <v/>
      </c>
      <c r="AA1386" s="7">
        <f>IF($E1386="","",Z1386-Q1386)</f>
        <v/>
      </c>
      <c r="AB1386" s="7" t="n"/>
      <c r="AE1386">
        <f>IF($E1386="","",IF($AQ1386=1,0,IF($AP1386=1,Settings!$C$6,Settings!$C$7))*100)</f>
        <v/>
      </c>
      <c r="AI1386" s="7" t="n"/>
      <c r="AL1386" s="11" t="n"/>
      <c r="AN1386">
        <f>IF($E1386="","",IF(COUNTIF($E$2:$E1386,$E1386)=1,1,0))</f>
        <v/>
      </c>
      <c r="AO1386">
        <f>IF($AN1386=1,SUMPRODUCT(--($AR$2:$AR$3001&lt;$AR1386))+1,"")</f>
        <v/>
      </c>
      <c r="AP1386">
        <f>IF($E1386="","",IF(OR($U1386=TRUE(),$U1386="TRUE"),1,0))</f>
        <v/>
      </c>
      <c r="AQ1386">
        <f>IF($E1386="","",IF($AD1386="Yes",1,0))</f>
        <v/>
      </c>
      <c r="AR1386">
        <f>IF($AN1386=1,IFERROR(VALUE(MID($E1386,2,20)),1000000000)+ROW()/100000,"")</f>
        <v/>
      </c>
    </row>
    <row r="1387">
      <c r="G1387" s="11" t="n"/>
      <c r="Q1387" s="7">
        <f>IF($E1387="","",P1387*AB1387/100)</f>
        <v/>
      </c>
      <c r="R1387" s="7" t="n"/>
      <c r="X1387" s="7" t="n"/>
      <c r="Y1387" s="7">
        <f>IF($E1387="","",AB1387*AE1387/100)</f>
        <v/>
      </c>
      <c r="Z1387" s="7">
        <f>IF($E1387="","",AB1387-Y1387)</f>
        <v/>
      </c>
      <c r="AA1387" s="7">
        <f>IF($E1387="","",Z1387-Q1387)</f>
        <v/>
      </c>
      <c r="AB1387" s="7" t="n"/>
      <c r="AE1387">
        <f>IF($E1387="","",IF($AQ1387=1,0,IF($AP1387=1,Settings!$C$6,Settings!$C$7))*100)</f>
        <v/>
      </c>
      <c r="AI1387" s="7" t="n"/>
      <c r="AL1387" s="11" t="n"/>
      <c r="AN1387">
        <f>IF($E1387="","",IF(COUNTIF($E$2:$E1387,$E1387)=1,1,0))</f>
        <v/>
      </c>
      <c r="AO1387">
        <f>IF($AN1387=1,SUMPRODUCT(--($AR$2:$AR$3001&lt;$AR1387))+1,"")</f>
        <v/>
      </c>
      <c r="AP1387">
        <f>IF($E1387="","",IF(OR($U1387=TRUE(),$U1387="TRUE"),1,0))</f>
        <v/>
      </c>
      <c r="AQ1387">
        <f>IF($E1387="","",IF($AD1387="Yes",1,0))</f>
        <v/>
      </c>
      <c r="AR1387">
        <f>IF($AN1387=1,IFERROR(VALUE(MID($E1387,2,20)),1000000000)+ROW()/100000,"")</f>
        <v/>
      </c>
    </row>
    <row r="1388">
      <c r="G1388" s="11" t="n"/>
      <c r="Q1388" s="7">
        <f>IF($E1388="","",P1388*AB1388/100)</f>
        <v/>
      </c>
      <c r="R1388" s="7" t="n"/>
      <c r="X1388" s="7" t="n"/>
      <c r="Y1388" s="7">
        <f>IF($E1388="","",AB1388*AE1388/100)</f>
        <v/>
      </c>
      <c r="Z1388" s="7">
        <f>IF($E1388="","",AB1388-Y1388)</f>
        <v/>
      </c>
      <c r="AA1388" s="7">
        <f>IF($E1388="","",Z1388-Q1388)</f>
        <v/>
      </c>
      <c r="AB1388" s="7" t="n"/>
      <c r="AE1388">
        <f>IF($E1388="","",IF($AQ1388=1,0,IF($AP1388=1,Settings!$C$6,Settings!$C$7))*100)</f>
        <v/>
      </c>
      <c r="AI1388" s="7" t="n"/>
      <c r="AL1388" s="11" t="n"/>
      <c r="AN1388">
        <f>IF($E1388="","",IF(COUNTIF($E$2:$E1388,$E1388)=1,1,0))</f>
        <v/>
      </c>
      <c r="AO1388">
        <f>IF($AN1388=1,SUMPRODUCT(--($AR$2:$AR$3001&lt;$AR1388))+1,"")</f>
        <v/>
      </c>
      <c r="AP1388">
        <f>IF($E1388="","",IF(OR($U1388=TRUE(),$U1388="TRUE"),1,0))</f>
        <v/>
      </c>
      <c r="AQ1388">
        <f>IF($E1388="","",IF($AD1388="Yes",1,0))</f>
        <v/>
      </c>
      <c r="AR1388">
        <f>IF($AN1388=1,IFERROR(VALUE(MID($E1388,2,20)),1000000000)+ROW()/100000,"")</f>
        <v/>
      </c>
    </row>
    <row r="1389">
      <c r="G1389" s="11" t="n"/>
      <c r="Q1389" s="7">
        <f>IF($E1389="","",P1389*AB1389/100)</f>
        <v/>
      </c>
      <c r="R1389" s="7" t="n"/>
      <c r="X1389" s="7" t="n"/>
      <c r="Y1389" s="7">
        <f>IF($E1389="","",AB1389*AE1389/100)</f>
        <v/>
      </c>
      <c r="Z1389" s="7">
        <f>IF($E1389="","",AB1389-Y1389)</f>
        <v/>
      </c>
      <c r="AA1389" s="7">
        <f>IF($E1389="","",Z1389-Q1389)</f>
        <v/>
      </c>
      <c r="AB1389" s="7" t="n"/>
      <c r="AE1389">
        <f>IF($E1389="","",IF($AQ1389=1,0,IF($AP1389=1,Settings!$C$6,Settings!$C$7))*100)</f>
        <v/>
      </c>
      <c r="AI1389" s="7" t="n"/>
      <c r="AL1389" s="11" t="n"/>
      <c r="AN1389">
        <f>IF($E1389="","",IF(COUNTIF($E$2:$E1389,$E1389)=1,1,0))</f>
        <v/>
      </c>
      <c r="AO1389">
        <f>IF($AN1389=1,SUMPRODUCT(--($AR$2:$AR$3001&lt;$AR1389))+1,"")</f>
        <v/>
      </c>
      <c r="AP1389">
        <f>IF($E1389="","",IF(OR($U1389=TRUE(),$U1389="TRUE"),1,0))</f>
        <v/>
      </c>
      <c r="AQ1389">
        <f>IF($E1389="","",IF($AD1389="Yes",1,0))</f>
        <v/>
      </c>
      <c r="AR1389">
        <f>IF($AN1389=1,IFERROR(VALUE(MID($E1389,2,20)),1000000000)+ROW()/100000,"")</f>
        <v/>
      </c>
    </row>
    <row r="1390">
      <c r="G1390" s="11" t="n"/>
      <c r="Q1390" s="7">
        <f>IF($E1390="","",P1390*AB1390/100)</f>
        <v/>
      </c>
      <c r="R1390" s="7" t="n"/>
      <c r="X1390" s="7" t="n"/>
      <c r="Y1390" s="7">
        <f>IF($E1390="","",AB1390*AE1390/100)</f>
        <v/>
      </c>
      <c r="Z1390" s="7">
        <f>IF($E1390="","",AB1390-Y1390)</f>
        <v/>
      </c>
      <c r="AA1390" s="7">
        <f>IF($E1390="","",Z1390-Q1390)</f>
        <v/>
      </c>
      <c r="AB1390" s="7" t="n"/>
      <c r="AE1390">
        <f>IF($E1390="","",IF($AQ1390=1,0,IF($AP1390=1,Settings!$C$6,Settings!$C$7))*100)</f>
        <v/>
      </c>
      <c r="AI1390" s="7" t="n"/>
      <c r="AL1390" s="11" t="n"/>
      <c r="AN1390">
        <f>IF($E1390="","",IF(COUNTIF($E$2:$E1390,$E1390)=1,1,0))</f>
        <v/>
      </c>
      <c r="AO1390">
        <f>IF($AN1390=1,SUMPRODUCT(--($AR$2:$AR$3001&lt;$AR1390))+1,"")</f>
        <v/>
      </c>
      <c r="AP1390">
        <f>IF($E1390="","",IF(OR($U1390=TRUE(),$U1390="TRUE"),1,0))</f>
        <v/>
      </c>
      <c r="AQ1390">
        <f>IF($E1390="","",IF($AD1390="Yes",1,0))</f>
        <v/>
      </c>
      <c r="AR1390">
        <f>IF($AN1390=1,IFERROR(VALUE(MID($E1390,2,20)),1000000000)+ROW()/100000,"")</f>
        <v/>
      </c>
    </row>
    <row r="1391">
      <c r="G1391" s="11" t="n"/>
      <c r="Q1391" s="7">
        <f>IF($E1391="","",P1391*AB1391/100)</f>
        <v/>
      </c>
      <c r="R1391" s="7" t="n"/>
      <c r="X1391" s="7" t="n"/>
      <c r="Y1391" s="7">
        <f>IF($E1391="","",AB1391*AE1391/100)</f>
        <v/>
      </c>
      <c r="Z1391" s="7">
        <f>IF($E1391="","",AB1391-Y1391)</f>
        <v/>
      </c>
      <c r="AA1391" s="7">
        <f>IF($E1391="","",Z1391-Q1391)</f>
        <v/>
      </c>
      <c r="AB1391" s="7" t="n"/>
      <c r="AE1391">
        <f>IF($E1391="","",IF($AQ1391=1,0,IF($AP1391=1,Settings!$C$6,Settings!$C$7))*100)</f>
        <v/>
      </c>
      <c r="AI1391" s="7" t="n"/>
      <c r="AL1391" s="11" t="n"/>
      <c r="AN1391">
        <f>IF($E1391="","",IF(COUNTIF($E$2:$E1391,$E1391)=1,1,0))</f>
        <v/>
      </c>
      <c r="AO1391">
        <f>IF($AN1391=1,SUMPRODUCT(--($AR$2:$AR$3001&lt;$AR1391))+1,"")</f>
        <v/>
      </c>
      <c r="AP1391">
        <f>IF($E1391="","",IF(OR($U1391=TRUE(),$U1391="TRUE"),1,0))</f>
        <v/>
      </c>
      <c r="AQ1391">
        <f>IF($E1391="","",IF($AD1391="Yes",1,0))</f>
        <v/>
      </c>
      <c r="AR1391">
        <f>IF($AN1391=1,IFERROR(VALUE(MID($E1391,2,20)),1000000000)+ROW()/100000,"")</f>
        <v/>
      </c>
    </row>
    <row r="1392">
      <c r="G1392" s="11" t="n"/>
      <c r="Q1392" s="7">
        <f>IF($E1392="","",P1392*AB1392/100)</f>
        <v/>
      </c>
      <c r="R1392" s="7" t="n"/>
      <c r="X1392" s="7" t="n"/>
      <c r="Y1392" s="7">
        <f>IF($E1392="","",AB1392*AE1392/100)</f>
        <v/>
      </c>
      <c r="Z1392" s="7">
        <f>IF($E1392="","",AB1392-Y1392)</f>
        <v/>
      </c>
      <c r="AA1392" s="7">
        <f>IF($E1392="","",Z1392-Q1392)</f>
        <v/>
      </c>
      <c r="AB1392" s="7" t="n"/>
      <c r="AE1392">
        <f>IF($E1392="","",IF($AQ1392=1,0,IF($AP1392=1,Settings!$C$6,Settings!$C$7))*100)</f>
        <v/>
      </c>
      <c r="AI1392" s="7" t="n"/>
      <c r="AL1392" s="11" t="n"/>
      <c r="AN1392">
        <f>IF($E1392="","",IF(COUNTIF($E$2:$E1392,$E1392)=1,1,0))</f>
        <v/>
      </c>
      <c r="AO1392">
        <f>IF($AN1392=1,SUMPRODUCT(--($AR$2:$AR$3001&lt;$AR1392))+1,"")</f>
        <v/>
      </c>
      <c r="AP1392">
        <f>IF($E1392="","",IF(OR($U1392=TRUE(),$U1392="TRUE"),1,0))</f>
        <v/>
      </c>
      <c r="AQ1392">
        <f>IF($E1392="","",IF($AD1392="Yes",1,0))</f>
        <v/>
      </c>
      <c r="AR1392">
        <f>IF($AN1392=1,IFERROR(VALUE(MID($E1392,2,20)),1000000000)+ROW()/100000,"")</f>
        <v/>
      </c>
    </row>
    <row r="1393">
      <c r="G1393" s="11" t="n"/>
      <c r="Q1393" s="7">
        <f>IF($E1393="","",P1393*AB1393/100)</f>
        <v/>
      </c>
      <c r="R1393" s="7" t="n"/>
      <c r="X1393" s="7" t="n"/>
      <c r="Y1393" s="7">
        <f>IF($E1393="","",AB1393*AE1393/100)</f>
        <v/>
      </c>
      <c r="Z1393" s="7">
        <f>IF($E1393="","",AB1393-Y1393)</f>
        <v/>
      </c>
      <c r="AA1393" s="7">
        <f>IF($E1393="","",Z1393-Q1393)</f>
        <v/>
      </c>
      <c r="AB1393" s="7" t="n"/>
      <c r="AE1393">
        <f>IF($E1393="","",IF($AQ1393=1,0,IF($AP1393=1,Settings!$C$6,Settings!$C$7))*100)</f>
        <v/>
      </c>
      <c r="AI1393" s="7" t="n"/>
      <c r="AL1393" s="11" t="n"/>
      <c r="AN1393">
        <f>IF($E1393="","",IF(COUNTIF($E$2:$E1393,$E1393)=1,1,0))</f>
        <v/>
      </c>
      <c r="AO1393">
        <f>IF($AN1393=1,SUMPRODUCT(--($AR$2:$AR$3001&lt;$AR1393))+1,"")</f>
        <v/>
      </c>
      <c r="AP1393">
        <f>IF($E1393="","",IF(OR($U1393=TRUE(),$U1393="TRUE"),1,0))</f>
        <v/>
      </c>
      <c r="AQ1393">
        <f>IF($E1393="","",IF($AD1393="Yes",1,0))</f>
        <v/>
      </c>
      <c r="AR1393">
        <f>IF($AN1393=1,IFERROR(VALUE(MID($E1393,2,20)),1000000000)+ROW()/100000,"")</f>
        <v/>
      </c>
    </row>
    <row r="1394">
      <c r="G1394" s="11" t="n"/>
      <c r="Q1394" s="7">
        <f>IF($E1394="","",P1394*AB1394/100)</f>
        <v/>
      </c>
      <c r="R1394" s="7" t="n"/>
      <c r="X1394" s="7" t="n"/>
      <c r="Y1394" s="7">
        <f>IF($E1394="","",AB1394*AE1394/100)</f>
        <v/>
      </c>
      <c r="Z1394" s="7">
        <f>IF($E1394="","",AB1394-Y1394)</f>
        <v/>
      </c>
      <c r="AA1394" s="7">
        <f>IF($E1394="","",Z1394-Q1394)</f>
        <v/>
      </c>
      <c r="AB1394" s="7" t="n"/>
      <c r="AE1394">
        <f>IF($E1394="","",IF($AQ1394=1,0,IF($AP1394=1,Settings!$C$6,Settings!$C$7))*100)</f>
        <v/>
      </c>
      <c r="AI1394" s="7" t="n"/>
      <c r="AL1394" s="11" t="n"/>
      <c r="AN1394">
        <f>IF($E1394="","",IF(COUNTIF($E$2:$E1394,$E1394)=1,1,0))</f>
        <v/>
      </c>
      <c r="AO1394">
        <f>IF($AN1394=1,SUMPRODUCT(--($AR$2:$AR$3001&lt;$AR1394))+1,"")</f>
        <v/>
      </c>
      <c r="AP1394">
        <f>IF($E1394="","",IF(OR($U1394=TRUE(),$U1394="TRUE"),1,0))</f>
        <v/>
      </c>
      <c r="AQ1394">
        <f>IF($E1394="","",IF($AD1394="Yes",1,0))</f>
        <v/>
      </c>
      <c r="AR1394">
        <f>IF($AN1394=1,IFERROR(VALUE(MID($E1394,2,20)),1000000000)+ROW()/100000,"")</f>
        <v/>
      </c>
    </row>
    <row r="1395">
      <c r="G1395" s="11" t="n"/>
      <c r="Q1395" s="7">
        <f>IF($E1395="","",P1395*AB1395/100)</f>
        <v/>
      </c>
      <c r="R1395" s="7" t="n"/>
      <c r="X1395" s="7" t="n"/>
      <c r="Y1395" s="7">
        <f>IF($E1395="","",AB1395*AE1395/100)</f>
        <v/>
      </c>
      <c r="Z1395" s="7">
        <f>IF($E1395="","",AB1395-Y1395)</f>
        <v/>
      </c>
      <c r="AA1395" s="7">
        <f>IF($E1395="","",Z1395-Q1395)</f>
        <v/>
      </c>
      <c r="AB1395" s="7" t="n"/>
      <c r="AE1395">
        <f>IF($E1395="","",IF($AQ1395=1,0,IF($AP1395=1,Settings!$C$6,Settings!$C$7))*100)</f>
        <v/>
      </c>
      <c r="AI1395" s="7" t="n"/>
      <c r="AL1395" s="11" t="n"/>
      <c r="AN1395">
        <f>IF($E1395="","",IF(COUNTIF($E$2:$E1395,$E1395)=1,1,0))</f>
        <v/>
      </c>
      <c r="AO1395">
        <f>IF($AN1395=1,SUMPRODUCT(--($AR$2:$AR$3001&lt;$AR1395))+1,"")</f>
        <v/>
      </c>
      <c r="AP1395">
        <f>IF($E1395="","",IF(OR($U1395=TRUE(),$U1395="TRUE"),1,0))</f>
        <v/>
      </c>
      <c r="AQ1395">
        <f>IF($E1395="","",IF($AD1395="Yes",1,0))</f>
        <v/>
      </c>
      <c r="AR1395">
        <f>IF($AN1395=1,IFERROR(VALUE(MID($E1395,2,20)),1000000000)+ROW()/100000,"")</f>
        <v/>
      </c>
    </row>
    <row r="1396">
      <c r="G1396" s="11" t="n"/>
      <c r="Q1396" s="7">
        <f>IF($E1396="","",P1396*AB1396/100)</f>
        <v/>
      </c>
      <c r="R1396" s="7" t="n"/>
      <c r="X1396" s="7" t="n"/>
      <c r="Y1396" s="7">
        <f>IF($E1396="","",AB1396*AE1396/100)</f>
        <v/>
      </c>
      <c r="Z1396" s="7">
        <f>IF($E1396="","",AB1396-Y1396)</f>
        <v/>
      </c>
      <c r="AA1396" s="7">
        <f>IF($E1396="","",Z1396-Q1396)</f>
        <v/>
      </c>
      <c r="AB1396" s="7" t="n"/>
      <c r="AE1396">
        <f>IF($E1396="","",IF($AQ1396=1,0,IF($AP1396=1,Settings!$C$6,Settings!$C$7))*100)</f>
        <v/>
      </c>
      <c r="AI1396" s="7" t="n"/>
      <c r="AL1396" s="11" t="n"/>
      <c r="AN1396">
        <f>IF($E1396="","",IF(COUNTIF($E$2:$E1396,$E1396)=1,1,0))</f>
        <v/>
      </c>
      <c r="AO1396">
        <f>IF($AN1396=1,SUMPRODUCT(--($AR$2:$AR$3001&lt;$AR1396))+1,"")</f>
        <v/>
      </c>
      <c r="AP1396">
        <f>IF($E1396="","",IF(OR($U1396=TRUE(),$U1396="TRUE"),1,0))</f>
        <v/>
      </c>
      <c r="AQ1396">
        <f>IF($E1396="","",IF($AD1396="Yes",1,0))</f>
        <v/>
      </c>
      <c r="AR1396">
        <f>IF($AN1396=1,IFERROR(VALUE(MID($E1396,2,20)),1000000000)+ROW()/100000,"")</f>
        <v/>
      </c>
    </row>
    <row r="1397">
      <c r="G1397" s="11" t="n"/>
      <c r="Q1397" s="7">
        <f>IF($E1397="","",P1397*AB1397/100)</f>
        <v/>
      </c>
      <c r="R1397" s="7" t="n"/>
      <c r="X1397" s="7" t="n"/>
      <c r="Y1397" s="7">
        <f>IF($E1397="","",AB1397*AE1397/100)</f>
        <v/>
      </c>
      <c r="Z1397" s="7">
        <f>IF($E1397="","",AB1397-Y1397)</f>
        <v/>
      </c>
      <c r="AA1397" s="7">
        <f>IF($E1397="","",Z1397-Q1397)</f>
        <v/>
      </c>
      <c r="AB1397" s="7" t="n"/>
      <c r="AE1397">
        <f>IF($E1397="","",IF($AQ1397=1,0,IF($AP1397=1,Settings!$C$6,Settings!$C$7))*100)</f>
        <v/>
      </c>
      <c r="AI1397" s="7" t="n"/>
      <c r="AL1397" s="11" t="n"/>
      <c r="AN1397">
        <f>IF($E1397="","",IF(COUNTIF($E$2:$E1397,$E1397)=1,1,0))</f>
        <v/>
      </c>
      <c r="AO1397">
        <f>IF($AN1397=1,SUMPRODUCT(--($AR$2:$AR$3001&lt;$AR1397))+1,"")</f>
        <v/>
      </c>
      <c r="AP1397">
        <f>IF($E1397="","",IF(OR($U1397=TRUE(),$U1397="TRUE"),1,0))</f>
        <v/>
      </c>
      <c r="AQ1397">
        <f>IF($E1397="","",IF($AD1397="Yes",1,0))</f>
        <v/>
      </c>
      <c r="AR1397">
        <f>IF($AN1397=1,IFERROR(VALUE(MID($E1397,2,20)),1000000000)+ROW()/100000,"")</f>
        <v/>
      </c>
    </row>
    <row r="1398">
      <c r="G1398" s="11" t="n"/>
      <c r="Q1398" s="7">
        <f>IF($E1398="","",P1398*AB1398/100)</f>
        <v/>
      </c>
      <c r="R1398" s="7" t="n"/>
      <c r="X1398" s="7" t="n"/>
      <c r="Y1398" s="7">
        <f>IF($E1398="","",AB1398*AE1398/100)</f>
        <v/>
      </c>
      <c r="Z1398" s="7">
        <f>IF($E1398="","",AB1398-Y1398)</f>
        <v/>
      </c>
      <c r="AA1398" s="7">
        <f>IF($E1398="","",Z1398-Q1398)</f>
        <v/>
      </c>
      <c r="AB1398" s="7" t="n"/>
      <c r="AE1398">
        <f>IF($E1398="","",IF($AQ1398=1,0,IF($AP1398=1,Settings!$C$6,Settings!$C$7))*100)</f>
        <v/>
      </c>
      <c r="AI1398" s="7" t="n"/>
      <c r="AL1398" s="11" t="n"/>
      <c r="AN1398">
        <f>IF($E1398="","",IF(COUNTIF($E$2:$E1398,$E1398)=1,1,0))</f>
        <v/>
      </c>
      <c r="AO1398">
        <f>IF($AN1398=1,SUMPRODUCT(--($AR$2:$AR$3001&lt;$AR1398))+1,"")</f>
        <v/>
      </c>
      <c r="AP1398">
        <f>IF($E1398="","",IF(OR($U1398=TRUE(),$U1398="TRUE"),1,0))</f>
        <v/>
      </c>
      <c r="AQ1398">
        <f>IF($E1398="","",IF($AD1398="Yes",1,0))</f>
        <v/>
      </c>
      <c r="AR1398">
        <f>IF($AN1398=1,IFERROR(VALUE(MID($E1398,2,20)),1000000000)+ROW()/100000,"")</f>
        <v/>
      </c>
    </row>
    <row r="1399">
      <c r="G1399" s="11" t="n"/>
      <c r="Q1399" s="7">
        <f>IF($E1399="","",P1399*AB1399/100)</f>
        <v/>
      </c>
      <c r="R1399" s="7" t="n"/>
      <c r="X1399" s="7" t="n"/>
      <c r="Y1399" s="7">
        <f>IF($E1399="","",AB1399*AE1399/100)</f>
        <v/>
      </c>
      <c r="Z1399" s="7">
        <f>IF($E1399="","",AB1399-Y1399)</f>
        <v/>
      </c>
      <c r="AA1399" s="7">
        <f>IF($E1399="","",Z1399-Q1399)</f>
        <v/>
      </c>
      <c r="AB1399" s="7" t="n"/>
      <c r="AE1399">
        <f>IF($E1399="","",IF($AQ1399=1,0,IF($AP1399=1,Settings!$C$6,Settings!$C$7))*100)</f>
        <v/>
      </c>
      <c r="AI1399" s="7" t="n"/>
      <c r="AL1399" s="11" t="n"/>
      <c r="AN1399">
        <f>IF($E1399="","",IF(COUNTIF($E$2:$E1399,$E1399)=1,1,0))</f>
        <v/>
      </c>
      <c r="AO1399">
        <f>IF($AN1399=1,SUMPRODUCT(--($AR$2:$AR$3001&lt;$AR1399))+1,"")</f>
        <v/>
      </c>
      <c r="AP1399">
        <f>IF($E1399="","",IF(OR($U1399=TRUE(),$U1399="TRUE"),1,0))</f>
        <v/>
      </c>
      <c r="AQ1399">
        <f>IF($E1399="","",IF($AD1399="Yes",1,0))</f>
        <v/>
      </c>
      <c r="AR1399">
        <f>IF($AN1399=1,IFERROR(VALUE(MID($E1399,2,20)),1000000000)+ROW()/100000,"")</f>
        <v/>
      </c>
    </row>
    <row r="1400">
      <c r="G1400" s="11" t="n"/>
      <c r="Q1400" s="7">
        <f>IF($E1400="","",P1400*AB1400/100)</f>
        <v/>
      </c>
      <c r="R1400" s="7" t="n"/>
      <c r="X1400" s="7" t="n"/>
      <c r="Y1400" s="7">
        <f>IF($E1400="","",AB1400*AE1400/100)</f>
        <v/>
      </c>
      <c r="Z1400" s="7">
        <f>IF($E1400="","",AB1400-Y1400)</f>
        <v/>
      </c>
      <c r="AA1400" s="7">
        <f>IF($E1400="","",Z1400-Q1400)</f>
        <v/>
      </c>
      <c r="AB1400" s="7" t="n"/>
      <c r="AE1400">
        <f>IF($E1400="","",IF($AQ1400=1,0,IF($AP1400=1,Settings!$C$6,Settings!$C$7))*100)</f>
        <v/>
      </c>
      <c r="AI1400" s="7" t="n"/>
      <c r="AL1400" s="11" t="n"/>
      <c r="AN1400">
        <f>IF($E1400="","",IF(COUNTIF($E$2:$E1400,$E1400)=1,1,0))</f>
        <v/>
      </c>
      <c r="AO1400">
        <f>IF($AN1400=1,SUMPRODUCT(--($AR$2:$AR$3001&lt;$AR1400))+1,"")</f>
        <v/>
      </c>
      <c r="AP1400">
        <f>IF($E1400="","",IF(OR($U1400=TRUE(),$U1400="TRUE"),1,0))</f>
        <v/>
      </c>
      <c r="AQ1400">
        <f>IF($E1400="","",IF($AD1400="Yes",1,0))</f>
        <v/>
      </c>
      <c r="AR1400">
        <f>IF($AN1400=1,IFERROR(VALUE(MID($E1400,2,20)),1000000000)+ROW()/100000,"")</f>
        <v/>
      </c>
    </row>
    <row r="1401">
      <c r="G1401" s="11" t="n"/>
      <c r="Q1401" s="7">
        <f>IF($E1401="","",P1401*AB1401/100)</f>
        <v/>
      </c>
      <c r="R1401" s="7" t="n"/>
      <c r="X1401" s="7" t="n"/>
      <c r="Y1401" s="7">
        <f>IF($E1401="","",AB1401*AE1401/100)</f>
        <v/>
      </c>
      <c r="Z1401" s="7">
        <f>IF($E1401="","",AB1401-Y1401)</f>
        <v/>
      </c>
      <c r="AA1401" s="7">
        <f>IF($E1401="","",Z1401-Q1401)</f>
        <v/>
      </c>
      <c r="AB1401" s="7" t="n"/>
      <c r="AE1401">
        <f>IF($E1401="","",IF($AQ1401=1,0,IF($AP1401=1,Settings!$C$6,Settings!$C$7))*100)</f>
        <v/>
      </c>
      <c r="AI1401" s="7" t="n"/>
      <c r="AL1401" s="11" t="n"/>
      <c r="AN1401">
        <f>IF($E1401="","",IF(COUNTIF($E$2:$E1401,$E1401)=1,1,0))</f>
        <v/>
      </c>
      <c r="AO1401">
        <f>IF($AN1401=1,SUMPRODUCT(--($AR$2:$AR$3001&lt;$AR1401))+1,"")</f>
        <v/>
      </c>
      <c r="AP1401">
        <f>IF($E1401="","",IF(OR($U1401=TRUE(),$U1401="TRUE"),1,0))</f>
        <v/>
      </c>
      <c r="AQ1401">
        <f>IF($E1401="","",IF($AD1401="Yes",1,0))</f>
        <v/>
      </c>
      <c r="AR1401">
        <f>IF($AN1401=1,IFERROR(VALUE(MID($E1401,2,20)),1000000000)+ROW()/100000,"")</f>
        <v/>
      </c>
    </row>
    <row r="1402">
      <c r="G1402" s="11" t="n"/>
      <c r="Q1402" s="7">
        <f>IF($E1402="","",P1402*AB1402/100)</f>
        <v/>
      </c>
      <c r="R1402" s="7" t="n"/>
      <c r="X1402" s="7" t="n"/>
      <c r="Y1402" s="7">
        <f>IF($E1402="","",AB1402*AE1402/100)</f>
        <v/>
      </c>
      <c r="Z1402" s="7">
        <f>IF($E1402="","",AB1402-Y1402)</f>
        <v/>
      </c>
      <c r="AA1402" s="7">
        <f>IF($E1402="","",Z1402-Q1402)</f>
        <v/>
      </c>
      <c r="AB1402" s="7" t="n"/>
      <c r="AE1402">
        <f>IF($E1402="","",IF($AQ1402=1,0,IF($AP1402=1,Settings!$C$6,Settings!$C$7))*100)</f>
        <v/>
      </c>
      <c r="AI1402" s="7" t="n"/>
      <c r="AL1402" s="11" t="n"/>
      <c r="AN1402">
        <f>IF($E1402="","",IF(COUNTIF($E$2:$E1402,$E1402)=1,1,0))</f>
        <v/>
      </c>
      <c r="AO1402">
        <f>IF($AN1402=1,SUMPRODUCT(--($AR$2:$AR$3001&lt;$AR1402))+1,"")</f>
        <v/>
      </c>
      <c r="AP1402">
        <f>IF($E1402="","",IF(OR($U1402=TRUE(),$U1402="TRUE"),1,0))</f>
        <v/>
      </c>
      <c r="AQ1402">
        <f>IF($E1402="","",IF($AD1402="Yes",1,0))</f>
        <v/>
      </c>
      <c r="AR1402">
        <f>IF($AN1402=1,IFERROR(VALUE(MID($E1402,2,20)),1000000000)+ROW()/100000,"")</f>
        <v/>
      </c>
    </row>
    <row r="1403">
      <c r="G1403" s="11" t="n"/>
      <c r="Q1403" s="7">
        <f>IF($E1403="","",P1403*AB1403/100)</f>
        <v/>
      </c>
      <c r="R1403" s="7" t="n"/>
      <c r="X1403" s="7" t="n"/>
      <c r="Y1403" s="7">
        <f>IF($E1403="","",AB1403*AE1403/100)</f>
        <v/>
      </c>
      <c r="Z1403" s="7">
        <f>IF($E1403="","",AB1403-Y1403)</f>
        <v/>
      </c>
      <c r="AA1403" s="7">
        <f>IF($E1403="","",Z1403-Q1403)</f>
        <v/>
      </c>
      <c r="AB1403" s="7" t="n"/>
      <c r="AE1403">
        <f>IF($E1403="","",IF($AQ1403=1,0,IF($AP1403=1,Settings!$C$6,Settings!$C$7))*100)</f>
        <v/>
      </c>
      <c r="AI1403" s="7" t="n"/>
      <c r="AL1403" s="11" t="n"/>
      <c r="AN1403">
        <f>IF($E1403="","",IF(COUNTIF($E$2:$E1403,$E1403)=1,1,0))</f>
        <v/>
      </c>
      <c r="AO1403">
        <f>IF($AN1403=1,SUMPRODUCT(--($AR$2:$AR$3001&lt;$AR1403))+1,"")</f>
        <v/>
      </c>
      <c r="AP1403">
        <f>IF($E1403="","",IF(OR($U1403=TRUE(),$U1403="TRUE"),1,0))</f>
        <v/>
      </c>
      <c r="AQ1403">
        <f>IF($E1403="","",IF($AD1403="Yes",1,0))</f>
        <v/>
      </c>
      <c r="AR1403">
        <f>IF($AN1403=1,IFERROR(VALUE(MID($E1403,2,20)),1000000000)+ROW()/100000,"")</f>
        <v/>
      </c>
    </row>
    <row r="1404">
      <c r="G1404" s="11" t="n"/>
      <c r="Q1404" s="7">
        <f>IF($E1404="","",P1404*AB1404/100)</f>
        <v/>
      </c>
      <c r="R1404" s="7" t="n"/>
      <c r="X1404" s="7" t="n"/>
      <c r="Y1404" s="7">
        <f>IF($E1404="","",AB1404*AE1404/100)</f>
        <v/>
      </c>
      <c r="Z1404" s="7">
        <f>IF($E1404="","",AB1404-Y1404)</f>
        <v/>
      </c>
      <c r="AA1404" s="7">
        <f>IF($E1404="","",Z1404-Q1404)</f>
        <v/>
      </c>
      <c r="AB1404" s="7" t="n"/>
      <c r="AE1404">
        <f>IF($E1404="","",IF($AQ1404=1,0,IF($AP1404=1,Settings!$C$6,Settings!$C$7))*100)</f>
        <v/>
      </c>
      <c r="AI1404" s="7" t="n"/>
      <c r="AL1404" s="11" t="n"/>
      <c r="AN1404">
        <f>IF($E1404="","",IF(COUNTIF($E$2:$E1404,$E1404)=1,1,0))</f>
        <v/>
      </c>
      <c r="AO1404">
        <f>IF($AN1404=1,SUMPRODUCT(--($AR$2:$AR$3001&lt;$AR1404))+1,"")</f>
        <v/>
      </c>
      <c r="AP1404">
        <f>IF($E1404="","",IF(OR($U1404=TRUE(),$U1404="TRUE"),1,0))</f>
        <v/>
      </c>
      <c r="AQ1404">
        <f>IF($E1404="","",IF($AD1404="Yes",1,0))</f>
        <v/>
      </c>
      <c r="AR1404">
        <f>IF($AN1404=1,IFERROR(VALUE(MID($E1404,2,20)),1000000000)+ROW()/100000,"")</f>
        <v/>
      </c>
    </row>
    <row r="1405">
      <c r="G1405" s="11" t="n"/>
      <c r="Q1405" s="7">
        <f>IF($E1405="","",P1405*AB1405/100)</f>
        <v/>
      </c>
      <c r="R1405" s="7" t="n"/>
      <c r="X1405" s="7" t="n"/>
      <c r="Y1405" s="7">
        <f>IF($E1405="","",AB1405*AE1405/100)</f>
        <v/>
      </c>
      <c r="Z1405" s="7">
        <f>IF($E1405="","",AB1405-Y1405)</f>
        <v/>
      </c>
      <c r="AA1405" s="7">
        <f>IF($E1405="","",Z1405-Q1405)</f>
        <v/>
      </c>
      <c r="AB1405" s="7" t="n"/>
      <c r="AE1405">
        <f>IF($E1405="","",IF($AQ1405=1,0,IF($AP1405=1,Settings!$C$6,Settings!$C$7))*100)</f>
        <v/>
      </c>
      <c r="AI1405" s="7" t="n"/>
      <c r="AL1405" s="11" t="n"/>
      <c r="AN1405">
        <f>IF($E1405="","",IF(COUNTIF($E$2:$E1405,$E1405)=1,1,0))</f>
        <v/>
      </c>
      <c r="AO1405">
        <f>IF($AN1405=1,SUMPRODUCT(--($AR$2:$AR$3001&lt;$AR1405))+1,"")</f>
        <v/>
      </c>
      <c r="AP1405">
        <f>IF($E1405="","",IF(OR($U1405=TRUE(),$U1405="TRUE"),1,0))</f>
        <v/>
      </c>
      <c r="AQ1405">
        <f>IF($E1405="","",IF($AD1405="Yes",1,0))</f>
        <v/>
      </c>
      <c r="AR1405">
        <f>IF($AN1405=1,IFERROR(VALUE(MID($E1405,2,20)),1000000000)+ROW()/100000,"")</f>
        <v/>
      </c>
    </row>
    <row r="1406">
      <c r="G1406" s="11" t="n"/>
      <c r="Q1406" s="7">
        <f>IF($E1406="","",P1406*AB1406/100)</f>
        <v/>
      </c>
      <c r="R1406" s="7" t="n"/>
      <c r="X1406" s="7" t="n"/>
      <c r="Y1406" s="7">
        <f>IF($E1406="","",AB1406*AE1406/100)</f>
        <v/>
      </c>
      <c r="Z1406" s="7">
        <f>IF($E1406="","",AB1406-Y1406)</f>
        <v/>
      </c>
      <c r="AA1406" s="7">
        <f>IF($E1406="","",Z1406-Q1406)</f>
        <v/>
      </c>
      <c r="AB1406" s="7" t="n"/>
      <c r="AE1406">
        <f>IF($E1406="","",IF($AQ1406=1,0,IF($AP1406=1,Settings!$C$6,Settings!$C$7))*100)</f>
        <v/>
      </c>
      <c r="AI1406" s="7" t="n"/>
      <c r="AL1406" s="11" t="n"/>
      <c r="AN1406">
        <f>IF($E1406="","",IF(COUNTIF($E$2:$E1406,$E1406)=1,1,0))</f>
        <v/>
      </c>
      <c r="AO1406">
        <f>IF($AN1406=1,SUMPRODUCT(--($AR$2:$AR$3001&lt;$AR1406))+1,"")</f>
        <v/>
      </c>
      <c r="AP1406">
        <f>IF($E1406="","",IF(OR($U1406=TRUE(),$U1406="TRUE"),1,0))</f>
        <v/>
      </c>
      <c r="AQ1406">
        <f>IF($E1406="","",IF($AD1406="Yes",1,0))</f>
        <v/>
      </c>
      <c r="AR1406">
        <f>IF($AN1406=1,IFERROR(VALUE(MID($E1406,2,20)),1000000000)+ROW()/100000,"")</f>
        <v/>
      </c>
    </row>
    <row r="1407">
      <c r="G1407" s="11" t="n"/>
      <c r="Q1407" s="7">
        <f>IF($E1407="","",P1407*AB1407/100)</f>
        <v/>
      </c>
      <c r="R1407" s="7" t="n"/>
      <c r="X1407" s="7" t="n"/>
      <c r="Y1407" s="7">
        <f>IF($E1407="","",AB1407*AE1407/100)</f>
        <v/>
      </c>
      <c r="Z1407" s="7">
        <f>IF($E1407="","",AB1407-Y1407)</f>
        <v/>
      </c>
      <c r="AA1407" s="7">
        <f>IF($E1407="","",Z1407-Q1407)</f>
        <v/>
      </c>
      <c r="AB1407" s="7" t="n"/>
      <c r="AE1407">
        <f>IF($E1407="","",IF($AQ1407=1,0,IF($AP1407=1,Settings!$C$6,Settings!$C$7))*100)</f>
        <v/>
      </c>
      <c r="AI1407" s="7" t="n"/>
      <c r="AL1407" s="11" t="n"/>
      <c r="AN1407">
        <f>IF($E1407="","",IF(COUNTIF($E$2:$E1407,$E1407)=1,1,0))</f>
        <v/>
      </c>
      <c r="AO1407">
        <f>IF($AN1407=1,SUMPRODUCT(--($AR$2:$AR$3001&lt;$AR1407))+1,"")</f>
        <v/>
      </c>
      <c r="AP1407">
        <f>IF($E1407="","",IF(OR($U1407=TRUE(),$U1407="TRUE"),1,0))</f>
        <v/>
      </c>
      <c r="AQ1407">
        <f>IF($E1407="","",IF($AD1407="Yes",1,0))</f>
        <v/>
      </c>
      <c r="AR1407">
        <f>IF($AN1407=1,IFERROR(VALUE(MID($E1407,2,20)),1000000000)+ROW()/100000,"")</f>
        <v/>
      </c>
    </row>
    <row r="1408">
      <c r="G1408" s="11" t="n"/>
      <c r="Q1408" s="7">
        <f>IF($E1408="","",P1408*AB1408/100)</f>
        <v/>
      </c>
      <c r="R1408" s="7" t="n"/>
      <c r="X1408" s="7" t="n"/>
      <c r="Y1408" s="7">
        <f>IF($E1408="","",AB1408*AE1408/100)</f>
        <v/>
      </c>
      <c r="Z1408" s="7">
        <f>IF($E1408="","",AB1408-Y1408)</f>
        <v/>
      </c>
      <c r="AA1408" s="7">
        <f>IF($E1408="","",Z1408-Q1408)</f>
        <v/>
      </c>
      <c r="AB1408" s="7" t="n"/>
      <c r="AE1408">
        <f>IF($E1408="","",IF($AQ1408=1,0,IF($AP1408=1,Settings!$C$6,Settings!$C$7))*100)</f>
        <v/>
      </c>
      <c r="AI1408" s="7" t="n"/>
      <c r="AL1408" s="11" t="n"/>
      <c r="AN1408">
        <f>IF($E1408="","",IF(COUNTIF($E$2:$E1408,$E1408)=1,1,0))</f>
        <v/>
      </c>
      <c r="AO1408">
        <f>IF($AN1408=1,SUMPRODUCT(--($AR$2:$AR$3001&lt;$AR1408))+1,"")</f>
        <v/>
      </c>
      <c r="AP1408">
        <f>IF($E1408="","",IF(OR($U1408=TRUE(),$U1408="TRUE"),1,0))</f>
        <v/>
      </c>
      <c r="AQ1408">
        <f>IF($E1408="","",IF($AD1408="Yes",1,0))</f>
        <v/>
      </c>
      <c r="AR1408">
        <f>IF($AN1408=1,IFERROR(VALUE(MID($E1408,2,20)),1000000000)+ROW()/100000,"")</f>
        <v/>
      </c>
    </row>
    <row r="1409">
      <c r="G1409" s="11" t="n"/>
      <c r="Q1409" s="7">
        <f>IF($E1409="","",P1409*AB1409/100)</f>
        <v/>
      </c>
      <c r="R1409" s="7" t="n"/>
      <c r="X1409" s="7" t="n"/>
      <c r="Y1409" s="7">
        <f>IF($E1409="","",AB1409*AE1409/100)</f>
        <v/>
      </c>
      <c r="Z1409" s="7">
        <f>IF($E1409="","",AB1409-Y1409)</f>
        <v/>
      </c>
      <c r="AA1409" s="7">
        <f>IF($E1409="","",Z1409-Q1409)</f>
        <v/>
      </c>
      <c r="AB1409" s="7" t="n"/>
      <c r="AE1409">
        <f>IF($E1409="","",IF($AQ1409=1,0,IF($AP1409=1,Settings!$C$6,Settings!$C$7))*100)</f>
        <v/>
      </c>
      <c r="AI1409" s="7" t="n"/>
      <c r="AL1409" s="11" t="n"/>
      <c r="AN1409">
        <f>IF($E1409="","",IF(COUNTIF($E$2:$E1409,$E1409)=1,1,0))</f>
        <v/>
      </c>
      <c r="AO1409">
        <f>IF($AN1409=1,SUMPRODUCT(--($AR$2:$AR$3001&lt;$AR1409))+1,"")</f>
        <v/>
      </c>
      <c r="AP1409">
        <f>IF($E1409="","",IF(OR($U1409=TRUE(),$U1409="TRUE"),1,0))</f>
        <v/>
      </c>
      <c r="AQ1409">
        <f>IF($E1409="","",IF($AD1409="Yes",1,0))</f>
        <v/>
      </c>
      <c r="AR1409">
        <f>IF($AN1409=1,IFERROR(VALUE(MID($E1409,2,20)),1000000000)+ROW()/100000,"")</f>
        <v/>
      </c>
    </row>
    <row r="1410">
      <c r="G1410" s="11" t="n"/>
      <c r="Q1410" s="7">
        <f>IF($E1410="","",P1410*AB1410/100)</f>
        <v/>
      </c>
      <c r="R1410" s="7" t="n"/>
      <c r="X1410" s="7" t="n"/>
      <c r="Y1410" s="7">
        <f>IF($E1410="","",AB1410*AE1410/100)</f>
        <v/>
      </c>
      <c r="Z1410" s="7">
        <f>IF($E1410="","",AB1410-Y1410)</f>
        <v/>
      </c>
      <c r="AA1410" s="7">
        <f>IF($E1410="","",Z1410-Q1410)</f>
        <v/>
      </c>
      <c r="AB1410" s="7" t="n"/>
      <c r="AE1410">
        <f>IF($E1410="","",IF($AQ1410=1,0,IF($AP1410=1,Settings!$C$6,Settings!$C$7))*100)</f>
        <v/>
      </c>
      <c r="AI1410" s="7" t="n"/>
      <c r="AL1410" s="11" t="n"/>
      <c r="AN1410">
        <f>IF($E1410="","",IF(COUNTIF($E$2:$E1410,$E1410)=1,1,0))</f>
        <v/>
      </c>
      <c r="AO1410">
        <f>IF($AN1410=1,SUMPRODUCT(--($AR$2:$AR$3001&lt;$AR1410))+1,"")</f>
        <v/>
      </c>
      <c r="AP1410">
        <f>IF($E1410="","",IF(OR($U1410=TRUE(),$U1410="TRUE"),1,0))</f>
        <v/>
      </c>
      <c r="AQ1410">
        <f>IF($E1410="","",IF($AD1410="Yes",1,0))</f>
        <v/>
      </c>
      <c r="AR1410">
        <f>IF($AN1410=1,IFERROR(VALUE(MID($E1410,2,20)),1000000000)+ROW()/100000,"")</f>
        <v/>
      </c>
    </row>
    <row r="1411">
      <c r="G1411" s="11" t="n"/>
      <c r="Q1411" s="7">
        <f>IF($E1411="","",P1411*AB1411/100)</f>
        <v/>
      </c>
      <c r="R1411" s="7" t="n"/>
      <c r="X1411" s="7" t="n"/>
      <c r="Y1411" s="7">
        <f>IF($E1411="","",AB1411*AE1411/100)</f>
        <v/>
      </c>
      <c r="Z1411" s="7">
        <f>IF($E1411="","",AB1411-Y1411)</f>
        <v/>
      </c>
      <c r="AA1411" s="7">
        <f>IF($E1411="","",Z1411-Q1411)</f>
        <v/>
      </c>
      <c r="AB1411" s="7" t="n"/>
      <c r="AE1411">
        <f>IF($E1411="","",IF($AQ1411=1,0,IF($AP1411=1,Settings!$C$6,Settings!$C$7))*100)</f>
        <v/>
      </c>
      <c r="AI1411" s="7" t="n"/>
      <c r="AL1411" s="11" t="n"/>
      <c r="AN1411">
        <f>IF($E1411="","",IF(COUNTIF($E$2:$E1411,$E1411)=1,1,0))</f>
        <v/>
      </c>
      <c r="AO1411">
        <f>IF($AN1411=1,SUMPRODUCT(--($AR$2:$AR$3001&lt;$AR1411))+1,"")</f>
        <v/>
      </c>
      <c r="AP1411">
        <f>IF($E1411="","",IF(OR($U1411=TRUE(),$U1411="TRUE"),1,0))</f>
        <v/>
      </c>
      <c r="AQ1411">
        <f>IF($E1411="","",IF($AD1411="Yes",1,0))</f>
        <v/>
      </c>
      <c r="AR1411">
        <f>IF($AN1411=1,IFERROR(VALUE(MID($E1411,2,20)),1000000000)+ROW()/100000,"")</f>
        <v/>
      </c>
    </row>
    <row r="1412">
      <c r="G1412" s="11" t="n"/>
      <c r="Q1412" s="7">
        <f>IF($E1412="","",P1412*AB1412/100)</f>
        <v/>
      </c>
      <c r="R1412" s="7" t="n"/>
      <c r="X1412" s="7" t="n"/>
      <c r="Y1412" s="7">
        <f>IF($E1412="","",AB1412*AE1412/100)</f>
        <v/>
      </c>
      <c r="Z1412" s="7">
        <f>IF($E1412="","",AB1412-Y1412)</f>
        <v/>
      </c>
      <c r="AA1412" s="7">
        <f>IF($E1412="","",Z1412-Q1412)</f>
        <v/>
      </c>
      <c r="AB1412" s="7" t="n"/>
      <c r="AE1412">
        <f>IF($E1412="","",IF($AQ1412=1,0,IF($AP1412=1,Settings!$C$6,Settings!$C$7))*100)</f>
        <v/>
      </c>
      <c r="AI1412" s="7" t="n"/>
      <c r="AL1412" s="11" t="n"/>
      <c r="AN1412">
        <f>IF($E1412="","",IF(COUNTIF($E$2:$E1412,$E1412)=1,1,0))</f>
        <v/>
      </c>
      <c r="AO1412">
        <f>IF($AN1412=1,SUMPRODUCT(--($AR$2:$AR$3001&lt;$AR1412))+1,"")</f>
        <v/>
      </c>
      <c r="AP1412">
        <f>IF($E1412="","",IF(OR($U1412=TRUE(),$U1412="TRUE"),1,0))</f>
        <v/>
      </c>
      <c r="AQ1412">
        <f>IF($E1412="","",IF($AD1412="Yes",1,0))</f>
        <v/>
      </c>
      <c r="AR1412">
        <f>IF($AN1412=1,IFERROR(VALUE(MID($E1412,2,20)),1000000000)+ROW()/100000,"")</f>
        <v/>
      </c>
    </row>
    <row r="1413">
      <c r="G1413" s="11" t="n"/>
      <c r="Q1413" s="7">
        <f>IF($E1413="","",P1413*AB1413/100)</f>
        <v/>
      </c>
      <c r="R1413" s="7" t="n"/>
      <c r="X1413" s="7" t="n"/>
      <c r="Y1413" s="7">
        <f>IF($E1413="","",AB1413*AE1413/100)</f>
        <v/>
      </c>
      <c r="Z1413" s="7">
        <f>IF($E1413="","",AB1413-Y1413)</f>
        <v/>
      </c>
      <c r="AA1413" s="7">
        <f>IF($E1413="","",Z1413-Q1413)</f>
        <v/>
      </c>
      <c r="AB1413" s="7" t="n"/>
      <c r="AE1413">
        <f>IF($E1413="","",IF($AQ1413=1,0,IF($AP1413=1,Settings!$C$6,Settings!$C$7))*100)</f>
        <v/>
      </c>
      <c r="AI1413" s="7" t="n"/>
      <c r="AL1413" s="11" t="n"/>
      <c r="AN1413">
        <f>IF($E1413="","",IF(COUNTIF($E$2:$E1413,$E1413)=1,1,0))</f>
        <v/>
      </c>
      <c r="AO1413">
        <f>IF($AN1413=1,SUMPRODUCT(--($AR$2:$AR$3001&lt;$AR1413))+1,"")</f>
        <v/>
      </c>
      <c r="AP1413">
        <f>IF($E1413="","",IF(OR($U1413=TRUE(),$U1413="TRUE"),1,0))</f>
        <v/>
      </c>
      <c r="AQ1413">
        <f>IF($E1413="","",IF($AD1413="Yes",1,0))</f>
        <v/>
      </c>
      <c r="AR1413">
        <f>IF($AN1413=1,IFERROR(VALUE(MID($E1413,2,20)),1000000000)+ROW()/100000,"")</f>
        <v/>
      </c>
    </row>
    <row r="1414">
      <c r="G1414" s="11" t="n"/>
      <c r="Q1414" s="7">
        <f>IF($E1414="","",P1414*AB1414/100)</f>
        <v/>
      </c>
      <c r="R1414" s="7" t="n"/>
      <c r="X1414" s="7" t="n"/>
      <c r="Y1414" s="7">
        <f>IF($E1414="","",AB1414*AE1414/100)</f>
        <v/>
      </c>
      <c r="Z1414" s="7">
        <f>IF($E1414="","",AB1414-Y1414)</f>
        <v/>
      </c>
      <c r="AA1414" s="7">
        <f>IF($E1414="","",Z1414-Q1414)</f>
        <v/>
      </c>
      <c r="AB1414" s="7" t="n"/>
      <c r="AE1414">
        <f>IF($E1414="","",IF($AQ1414=1,0,IF($AP1414=1,Settings!$C$6,Settings!$C$7))*100)</f>
        <v/>
      </c>
      <c r="AI1414" s="7" t="n"/>
      <c r="AL1414" s="11" t="n"/>
      <c r="AN1414">
        <f>IF($E1414="","",IF(COUNTIF($E$2:$E1414,$E1414)=1,1,0))</f>
        <v/>
      </c>
      <c r="AO1414">
        <f>IF($AN1414=1,SUMPRODUCT(--($AR$2:$AR$3001&lt;$AR1414))+1,"")</f>
        <v/>
      </c>
      <c r="AP1414">
        <f>IF($E1414="","",IF(OR($U1414=TRUE(),$U1414="TRUE"),1,0))</f>
        <v/>
      </c>
      <c r="AQ1414">
        <f>IF($E1414="","",IF($AD1414="Yes",1,0))</f>
        <v/>
      </c>
      <c r="AR1414">
        <f>IF($AN1414=1,IFERROR(VALUE(MID($E1414,2,20)),1000000000)+ROW()/100000,"")</f>
        <v/>
      </c>
    </row>
    <row r="1415">
      <c r="G1415" s="11" t="n"/>
      <c r="Q1415" s="7">
        <f>IF($E1415="","",P1415*AB1415/100)</f>
        <v/>
      </c>
      <c r="R1415" s="7" t="n"/>
      <c r="X1415" s="7" t="n"/>
      <c r="Y1415" s="7">
        <f>IF($E1415="","",AB1415*AE1415/100)</f>
        <v/>
      </c>
      <c r="Z1415" s="7">
        <f>IF($E1415="","",AB1415-Y1415)</f>
        <v/>
      </c>
      <c r="AA1415" s="7">
        <f>IF($E1415="","",Z1415-Q1415)</f>
        <v/>
      </c>
      <c r="AB1415" s="7" t="n"/>
      <c r="AE1415">
        <f>IF($E1415="","",IF($AQ1415=1,0,IF($AP1415=1,Settings!$C$6,Settings!$C$7))*100)</f>
        <v/>
      </c>
      <c r="AI1415" s="7" t="n"/>
      <c r="AL1415" s="11" t="n"/>
      <c r="AN1415">
        <f>IF($E1415="","",IF(COUNTIF($E$2:$E1415,$E1415)=1,1,0))</f>
        <v/>
      </c>
      <c r="AO1415">
        <f>IF($AN1415=1,SUMPRODUCT(--($AR$2:$AR$3001&lt;$AR1415))+1,"")</f>
        <v/>
      </c>
      <c r="AP1415">
        <f>IF($E1415="","",IF(OR($U1415=TRUE(),$U1415="TRUE"),1,0))</f>
        <v/>
      </c>
      <c r="AQ1415">
        <f>IF($E1415="","",IF($AD1415="Yes",1,0))</f>
        <v/>
      </c>
      <c r="AR1415">
        <f>IF($AN1415=1,IFERROR(VALUE(MID($E1415,2,20)),1000000000)+ROW()/100000,"")</f>
        <v/>
      </c>
    </row>
    <row r="1416">
      <c r="G1416" s="11" t="n"/>
      <c r="Q1416" s="7">
        <f>IF($E1416="","",P1416*AB1416/100)</f>
        <v/>
      </c>
      <c r="R1416" s="7" t="n"/>
      <c r="X1416" s="7" t="n"/>
      <c r="Y1416" s="7">
        <f>IF($E1416="","",AB1416*AE1416/100)</f>
        <v/>
      </c>
      <c r="Z1416" s="7">
        <f>IF($E1416="","",AB1416-Y1416)</f>
        <v/>
      </c>
      <c r="AA1416" s="7">
        <f>IF($E1416="","",Z1416-Q1416)</f>
        <v/>
      </c>
      <c r="AB1416" s="7" t="n"/>
      <c r="AE1416">
        <f>IF($E1416="","",IF($AQ1416=1,0,IF($AP1416=1,Settings!$C$6,Settings!$C$7))*100)</f>
        <v/>
      </c>
      <c r="AI1416" s="7" t="n"/>
      <c r="AL1416" s="11" t="n"/>
      <c r="AN1416">
        <f>IF($E1416="","",IF(COUNTIF($E$2:$E1416,$E1416)=1,1,0))</f>
        <v/>
      </c>
      <c r="AO1416">
        <f>IF($AN1416=1,SUMPRODUCT(--($AR$2:$AR$3001&lt;$AR1416))+1,"")</f>
        <v/>
      </c>
      <c r="AP1416">
        <f>IF($E1416="","",IF(OR($U1416=TRUE(),$U1416="TRUE"),1,0))</f>
        <v/>
      </c>
      <c r="AQ1416">
        <f>IF($E1416="","",IF($AD1416="Yes",1,0))</f>
        <v/>
      </c>
      <c r="AR1416">
        <f>IF($AN1416=1,IFERROR(VALUE(MID($E1416,2,20)),1000000000)+ROW()/100000,"")</f>
        <v/>
      </c>
    </row>
    <row r="1417">
      <c r="G1417" s="11" t="n"/>
      <c r="Q1417" s="7">
        <f>IF($E1417="","",P1417*AB1417/100)</f>
        <v/>
      </c>
      <c r="R1417" s="7" t="n"/>
      <c r="X1417" s="7" t="n"/>
      <c r="Y1417" s="7">
        <f>IF($E1417="","",AB1417*AE1417/100)</f>
        <v/>
      </c>
      <c r="Z1417" s="7">
        <f>IF($E1417="","",AB1417-Y1417)</f>
        <v/>
      </c>
      <c r="AA1417" s="7">
        <f>IF($E1417="","",Z1417-Q1417)</f>
        <v/>
      </c>
      <c r="AB1417" s="7" t="n"/>
      <c r="AE1417">
        <f>IF($E1417="","",IF($AQ1417=1,0,IF($AP1417=1,Settings!$C$6,Settings!$C$7))*100)</f>
        <v/>
      </c>
      <c r="AI1417" s="7" t="n"/>
      <c r="AL1417" s="11" t="n"/>
      <c r="AN1417">
        <f>IF($E1417="","",IF(COUNTIF($E$2:$E1417,$E1417)=1,1,0))</f>
        <v/>
      </c>
      <c r="AO1417">
        <f>IF($AN1417=1,SUMPRODUCT(--($AR$2:$AR$3001&lt;$AR1417))+1,"")</f>
        <v/>
      </c>
      <c r="AP1417">
        <f>IF($E1417="","",IF(OR($U1417=TRUE(),$U1417="TRUE"),1,0))</f>
        <v/>
      </c>
      <c r="AQ1417">
        <f>IF($E1417="","",IF($AD1417="Yes",1,0))</f>
        <v/>
      </c>
      <c r="AR1417">
        <f>IF($AN1417=1,IFERROR(VALUE(MID($E1417,2,20)),1000000000)+ROW()/100000,"")</f>
        <v/>
      </c>
    </row>
    <row r="1418">
      <c r="G1418" s="11" t="n"/>
      <c r="Q1418" s="7">
        <f>IF($E1418="","",P1418*AB1418/100)</f>
        <v/>
      </c>
      <c r="R1418" s="7" t="n"/>
      <c r="X1418" s="7" t="n"/>
      <c r="Y1418" s="7">
        <f>IF($E1418="","",AB1418*AE1418/100)</f>
        <v/>
      </c>
      <c r="Z1418" s="7">
        <f>IF($E1418="","",AB1418-Y1418)</f>
        <v/>
      </c>
      <c r="AA1418" s="7">
        <f>IF($E1418="","",Z1418-Q1418)</f>
        <v/>
      </c>
      <c r="AB1418" s="7" t="n"/>
      <c r="AE1418">
        <f>IF($E1418="","",IF($AQ1418=1,0,IF($AP1418=1,Settings!$C$6,Settings!$C$7))*100)</f>
        <v/>
      </c>
      <c r="AI1418" s="7" t="n"/>
      <c r="AL1418" s="11" t="n"/>
      <c r="AN1418">
        <f>IF($E1418="","",IF(COUNTIF($E$2:$E1418,$E1418)=1,1,0))</f>
        <v/>
      </c>
      <c r="AO1418">
        <f>IF($AN1418=1,SUMPRODUCT(--($AR$2:$AR$3001&lt;$AR1418))+1,"")</f>
        <v/>
      </c>
      <c r="AP1418">
        <f>IF($E1418="","",IF(OR($U1418=TRUE(),$U1418="TRUE"),1,0))</f>
        <v/>
      </c>
      <c r="AQ1418">
        <f>IF($E1418="","",IF($AD1418="Yes",1,0))</f>
        <v/>
      </c>
      <c r="AR1418">
        <f>IF($AN1418=1,IFERROR(VALUE(MID($E1418,2,20)),1000000000)+ROW()/100000,"")</f>
        <v/>
      </c>
    </row>
    <row r="1419">
      <c r="G1419" s="11" t="n"/>
      <c r="Q1419" s="7">
        <f>IF($E1419="","",P1419*AB1419/100)</f>
        <v/>
      </c>
      <c r="R1419" s="7" t="n"/>
      <c r="X1419" s="7" t="n"/>
      <c r="Y1419" s="7">
        <f>IF($E1419="","",AB1419*AE1419/100)</f>
        <v/>
      </c>
      <c r="Z1419" s="7">
        <f>IF($E1419="","",AB1419-Y1419)</f>
        <v/>
      </c>
      <c r="AA1419" s="7">
        <f>IF($E1419="","",Z1419-Q1419)</f>
        <v/>
      </c>
      <c r="AB1419" s="7" t="n"/>
      <c r="AE1419">
        <f>IF($E1419="","",IF($AQ1419=1,0,IF($AP1419=1,Settings!$C$6,Settings!$C$7))*100)</f>
        <v/>
      </c>
      <c r="AI1419" s="7" t="n"/>
      <c r="AL1419" s="11" t="n"/>
      <c r="AN1419">
        <f>IF($E1419="","",IF(COUNTIF($E$2:$E1419,$E1419)=1,1,0))</f>
        <v/>
      </c>
      <c r="AO1419">
        <f>IF($AN1419=1,SUMPRODUCT(--($AR$2:$AR$3001&lt;$AR1419))+1,"")</f>
        <v/>
      </c>
      <c r="AP1419">
        <f>IF($E1419="","",IF(OR($U1419=TRUE(),$U1419="TRUE"),1,0))</f>
        <v/>
      </c>
      <c r="AQ1419">
        <f>IF($E1419="","",IF($AD1419="Yes",1,0))</f>
        <v/>
      </c>
      <c r="AR1419">
        <f>IF($AN1419=1,IFERROR(VALUE(MID($E1419,2,20)),1000000000)+ROW()/100000,"")</f>
        <v/>
      </c>
    </row>
    <row r="1420">
      <c r="G1420" s="11" t="n"/>
      <c r="Q1420" s="7">
        <f>IF($E1420="","",P1420*AB1420/100)</f>
        <v/>
      </c>
      <c r="R1420" s="7" t="n"/>
      <c r="X1420" s="7" t="n"/>
      <c r="Y1420" s="7">
        <f>IF($E1420="","",AB1420*AE1420/100)</f>
        <v/>
      </c>
      <c r="Z1420" s="7">
        <f>IF($E1420="","",AB1420-Y1420)</f>
        <v/>
      </c>
      <c r="AA1420" s="7">
        <f>IF($E1420="","",Z1420-Q1420)</f>
        <v/>
      </c>
      <c r="AB1420" s="7" t="n"/>
      <c r="AE1420">
        <f>IF($E1420="","",IF($AQ1420=1,0,IF($AP1420=1,Settings!$C$6,Settings!$C$7))*100)</f>
        <v/>
      </c>
      <c r="AI1420" s="7" t="n"/>
      <c r="AL1420" s="11" t="n"/>
      <c r="AN1420">
        <f>IF($E1420="","",IF(COUNTIF($E$2:$E1420,$E1420)=1,1,0))</f>
        <v/>
      </c>
      <c r="AO1420">
        <f>IF($AN1420=1,SUMPRODUCT(--($AR$2:$AR$3001&lt;$AR1420))+1,"")</f>
        <v/>
      </c>
      <c r="AP1420">
        <f>IF($E1420="","",IF(OR($U1420=TRUE(),$U1420="TRUE"),1,0))</f>
        <v/>
      </c>
      <c r="AQ1420">
        <f>IF($E1420="","",IF($AD1420="Yes",1,0))</f>
        <v/>
      </c>
      <c r="AR1420">
        <f>IF($AN1420=1,IFERROR(VALUE(MID($E1420,2,20)),1000000000)+ROW()/100000,"")</f>
        <v/>
      </c>
    </row>
    <row r="1421">
      <c r="G1421" s="11" t="n"/>
      <c r="Q1421" s="7">
        <f>IF($E1421="","",P1421*AB1421/100)</f>
        <v/>
      </c>
      <c r="R1421" s="7" t="n"/>
      <c r="X1421" s="7" t="n"/>
      <c r="Y1421" s="7">
        <f>IF($E1421="","",AB1421*AE1421/100)</f>
        <v/>
      </c>
      <c r="Z1421" s="7">
        <f>IF($E1421="","",AB1421-Y1421)</f>
        <v/>
      </c>
      <c r="AA1421" s="7">
        <f>IF($E1421="","",Z1421-Q1421)</f>
        <v/>
      </c>
      <c r="AB1421" s="7" t="n"/>
      <c r="AE1421">
        <f>IF($E1421="","",IF($AQ1421=1,0,IF($AP1421=1,Settings!$C$6,Settings!$C$7))*100)</f>
        <v/>
      </c>
      <c r="AI1421" s="7" t="n"/>
      <c r="AL1421" s="11" t="n"/>
      <c r="AN1421">
        <f>IF($E1421="","",IF(COUNTIF($E$2:$E1421,$E1421)=1,1,0))</f>
        <v/>
      </c>
      <c r="AO1421">
        <f>IF($AN1421=1,SUMPRODUCT(--($AR$2:$AR$3001&lt;$AR1421))+1,"")</f>
        <v/>
      </c>
      <c r="AP1421">
        <f>IF($E1421="","",IF(OR($U1421=TRUE(),$U1421="TRUE"),1,0))</f>
        <v/>
      </c>
      <c r="AQ1421">
        <f>IF($E1421="","",IF($AD1421="Yes",1,0))</f>
        <v/>
      </c>
      <c r="AR1421">
        <f>IF($AN1421=1,IFERROR(VALUE(MID($E1421,2,20)),1000000000)+ROW()/100000,"")</f>
        <v/>
      </c>
    </row>
    <row r="1422">
      <c r="G1422" s="11" t="n"/>
      <c r="Q1422" s="7">
        <f>IF($E1422="","",P1422*AB1422/100)</f>
        <v/>
      </c>
      <c r="R1422" s="7" t="n"/>
      <c r="X1422" s="7" t="n"/>
      <c r="Y1422" s="7">
        <f>IF($E1422="","",AB1422*AE1422/100)</f>
        <v/>
      </c>
      <c r="Z1422" s="7">
        <f>IF($E1422="","",AB1422-Y1422)</f>
        <v/>
      </c>
      <c r="AA1422" s="7">
        <f>IF($E1422="","",Z1422-Q1422)</f>
        <v/>
      </c>
      <c r="AB1422" s="7" t="n"/>
      <c r="AE1422">
        <f>IF($E1422="","",IF($AQ1422=1,0,IF($AP1422=1,Settings!$C$6,Settings!$C$7))*100)</f>
        <v/>
      </c>
      <c r="AI1422" s="7" t="n"/>
      <c r="AL1422" s="11" t="n"/>
      <c r="AN1422">
        <f>IF($E1422="","",IF(COUNTIF($E$2:$E1422,$E1422)=1,1,0))</f>
        <v/>
      </c>
      <c r="AO1422">
        <f>IF($AN1422=1,SUMPRODUCT(--($AR$2:$AR$3001&lt;$AR1422))+1,"")</f>
        <v/>
      </c>
      <c r="AP1422">
        <f>IF($E1422="","",IF(OR($U1422=TRUE(),$U1422="TRUE"),1,0))</f>
        <v/>
      </c>
      <c r="AQ1422">
        <f>IF($E1422="","",IF($AD1422="Yes",1,0))</f>
        <v/>
      </c>
      <c r="AR1422">
        <f>IF($AN1422=1,IFERROR(VALUE(MID($E1422,2,20)),1000000000)+ROW()/100000,"")</f>
        <v/>
      </c>
    </row>
    <row r="1423">
      <c r="G1423" s="11" t="n"/>
      <c r="Q1423" s="7">
        <f>IF($E1423="","",P1423*AB1423/100)</f>
        <v/>
      </c>
      <c r="R1423" s="7" t="n"/>
      <c r="X1423" s="7" t="n"/>
      <c r="Y1423" s="7">
        <f>IF($E1423="","",AB1423*AE1423/100)</f>
        <v/>
      </c>
      <c r="Z1423" s="7">
        <f>IF($E1423="","",AB1423-Y1423)</f>
        <v/>
      </c>
      <c r="AA1423" s="7">
        <f>IF($E1423="","",Z1423-Q1423)</f>
        <v/>
      </c>
      <c r="AB1423" s="7" t="n"/>
      <c r="AE1423">
        <f>IF($E1423="","",IF($AQ1423=1,0,IF($AP1423=1,Settings!$C$6,Settings!$C$7))*100)</f>
        <v/>
      </c>
      <c r="AI1423" s="7" t="n"/>
      <c r="AL1423" s="11" t="n"/>
      <c r="AN1423">
        <f>IF($E1423="","",IF(COUNTIF($E$2:$E1423,$E1423)=1,1,0))</f>
        <v/>
      </c>
      <c r="AO1423">
        <f>IF($AN1423=1,SUMPRODUCT(--($AR$2:$AR$3001&lt;$AR1423))+1,"")</f>
        <v/>
      </c>
      <c r="AP1423">
        <f>IF($E1423="","",IF(OR($U1423=TRUE(),$U1423="TRUE"),1,0))</f>
        <v/>
      </c>
      <c r="AQ1423">
        <f>IF($E1423="","",IF($AD1423="Yes",1,0))</f>
        <v/>
      </c>
      <c r="AR1423">
        <f>IF($AN1423=1,IFERROR(VALUE(MID($E1423,2,20)),1000000000)+ROW()/100000,"")</f>
        <v/>
      </c>
    </row>
    <row r="1424">
      <c r="G1424" s="11" t="n"/>
      <c r="Q1424" s="7">
        <f>IF($E1424="","",P1424*AB1424/100)</f>
        <v/>
      </c>
      <c r="R1424" s="7" t="n"/>
      <c r="X1424" s="7" t="n"/>
      <c r="Y1424" s="7">
        <f>IF($E1424="","",AB1424*AE1424/100)</f>
        <v/>
      </c>
      <c r="Z1424" s="7">
        <f>IF($E1424="","",AB1424-Y1424)</f>
        <v/>
      </c>
      <c r="AA1424" s="7">
        <f>IF($E1424="","",Z1424-Q1424)</f>
        <v/>
      </c>
      <c r="AB1424" s="7" t="n"/>
      <c r="AE1424">
        <f>IF($E1424="","",IF($AQ1424=1,0,IF($AP1424=1,Settings!$C$6,Settings!$C$7))*100)</f>
        <v/>
      </c>
      <c r="AI1424" s="7" t="n"/>
      <c r="AL1424" s="11" t="n"/>
      <c r="AN1424">
        <f>IF($E1424="","",IF(COUNTIF($E$2:$E1424,$E1424)=1,1,0))</f>
        <v/>
      </c>
      <c r="AO1424">
        <f>IF($AN1424=1,SUMPRODUCT(--($AR$2:$AR$3001&lt;$AR1424))+1,"")</f>
        <v/>
      </c>
      <c r="AP1424">
        <f>IF($E1424="","",IF(OR($U1424=TRUE(),$U1424="TRUE"),1,0))</f>
        <v/>
      </c>
      <c r="AQ1424">
        <f>IF($E1424="","",IF($AD1424="Yes",1,0))</f>
        <v/>
      </c>
      <c r="AR1424">
        <f>IF($AN1424=1,IFERROR(VALUE(MID($E1424,2,20)),1000000000)+ROW()/100000,"")</f>
        <v/>
      </c>
    </row>
    <row r="1425">
      <c r="G1425" s="11" t="n"/>
      <c r="Q1425" s="7">
        <f>IF($E1425="","",P1425*AB1425/100)</f>
        <v/>
      </c>
      <c r="R1425" s="7" t="n"/>
      <c r="X1425" s="7" t="n"/>
      <c r="Y1425" s="7">
        <f>IF($E1425="","",AB1425*AE1425/100)</f>
        <v/>
      </c>
      <c r="Z1425" s="7">
        <f>IF($E1425="","",AB1425-Y1425)</f>
        <v/>
      </c>
      <c r="AA1425" s="7">
        <f>IF($E1425="","",Z1425-Q1425)</f>
        <v/>
      </c>
      <c r="AB1425" s="7" t="n"/>
      <c r="AE1425">
        <f>IF($E1425="","",IF($AQ1425=1,0,IF($AP1425=1,Settings!$C$6,Settings!$C$7))*100)</f>
        <v/>
      </c>
      <c r="AI1425" s="7" t="n"/>
      <c r="AL1425" s="11" t="n"/>
      <c r="AN1425">
        <f>IF($E1425="","",IF(COUNTIF($E$2:$E1425,$E1425)=1,1,0))</f>
        <v/>
      </c>
      <c r="AO1425">
        <f>IF($AN1425=1,SUMPRODUCT(--($AR$2:$AR$3001&lt;$AR1425))+1,"")</f>
        <v/>
      </c>
      <c r="AP1425">
        <f>IF($E1425="","",IF(OR($U1425=TRUE(),$U1425="TRUE"),1,0))</f>
        <v/>
      </c>
      <c r="AQ1425">
        <f>IF($E1425="","",IF($AD1425="Yes",1,0))</f>
        <v/>
      </c>
      <c r="AR1425">
        <f>IF($AN1425=1,IFERROR(VALUE(MID($E1425,2,20)),1000000000)+ROW()/100000,"")</f>
        <v/>
      </c>
    </row>
    <row r="1426">
      <c r="G1426" s="11" t="n"/>
      <c r="Q1426" s="7">
        <f>IF($E1426="","",P1426*AB1426/100)</f>
        <v/>
      </c>
      <c r="R1426" s="7" t="n"/>
      <c r="X1426" s="7" t="n"/>
      <c r="Y1426" s="7">
        <f>IF($E1426="","",AB1426*AE1426/100)</f>
        <v/>
      </c>
      <c r="Z1426" s="7">
        <f>IF($E1426="","",AB1426-Y1426)</f>
        <v/>
      </c>
      <c r="AA1426" s="7">
        <f>IF($E1426="","",Z1426-Q1426)</f>
        <v/>
      </c>
      <c r="AB1426" s="7" t="n"/>
      <c r="AE1426">
        <f>IF($E1426="","",IF($AQ1426=1,0,IF($AP1426=1,Settings!$C$6,Settings!$C$7))*100)</f>
        <v/>
      </c>
      <c r="AI1426" s="7" t="n"/>
      <c r="AL1426" s="11" t="n"/>
      <c r="AN1426">
        <f>IF($E1426="","",IF(COUNTIF($E$2:$E1426,$E1426)=1,1,0))</f>
        <v/>
      </c>
      <c r="AO1426">
        <f>IF($AN1426=1,SUMPRODUCT(--($AR$2:$AR$3001&lt;$AR1426))+1,"")</f>
        <v/>
      </c>
      <c r="AP1426">
        <f>IF($E1426="","",IF(OR($U1426=TRUE(),$U1426="TRUE"),1,0))</f>
        <v/>
      </c>
      <c r="AQ1426">
        <f>IF($E1426="","",IF($AD1426="Yes",1,0))</f>
        <v/>
      </c>
      <c r="AR1426">
        <f>IF($AN1426=1,IFERROR(VALUE(MID($E1426,2,20)),1000000000)+ROW()/100000,"")</f>
        <v/>
      </c>
    </row>
    <row r="1427">
      <c r="G1427" s="11" t="n"/>
      <c r="Q1427" s="7">
        <f>IF($E1427="","",P1427*AB1427/100)</f>
        <v/>
      </c>
      <c r="R1427" s="7" t="n"/>
      <c r="X1427" s="7" t="n"/>
      <c r="Y1427" s="7">
        <f>IF($E1427="","",AB1427*AE1427/100)</f>
        <v/>
      </c>
      <c r="Z1427" s="7">
        <f>IF($E1427="","",AB1427-Y1427)</f>
        <v/>
      </c>
      <c r="AA1427" s="7">
        <f>IF($E1427="","",Z1427-Q1427)</f>
        <v/>
      </c>
      <c r="AB1427" s="7" t="n"/>
      <c r="AE1427">
        <f>IF($E1427="","",IF($AQ1427=1,0,IF($AP1427=1,Settings!$C$6,Settings!$C$7))*100)</f>
        <v/>
      </c>
      <c r="AI1427" s="7" t="n"/>
      <c r="AL1427" s="11" t="n"/>
      <c r="AN1427">
        <f>IF($E1427="","",IF(COUNTIF($E$2:$E1427,$E1427)=1,1,0))</f>
        <v/>
      </c>
      <c r="AO1427">
        <f>IF($AN1427=1,SUMPRODUCT(--($AR$2:$AR$3001&lt;$AR1427))+1,"")</f>
        <v/>
      </c>
      <c r="AP1427">
        <f>IF($E1427="","",IF(OR($U1427=TRUE(),$U1427="TRUE"),1,0))</f>
        <v/>
      </c>
      <c r="AQ1427">
        <f>IF($E1427="","",IF($AD1427="Yes",1,0))</f>
        <v/>
      </c>
      <c r="AR1427">
        <f>IF($AN1427=1,IFERROR(VALUE(MID($E1427,2,20)),1000000000)+ROW()/100000,"")</f>
        <v/>
      </c>
    </row>
    <row r="1428">
      <c r="G1428" s="11" t="n"/>
      <c r="Q1428" s="7">
        <f>IF($E1428="","",P1428*AB1428/100)</f>
        <v/>
      </c>
      <c r="R1428" s="7" t="n"/>
      <c r="X1428" s="7" t="n"/>
      <c r="Y1428" s="7">
        <f>IF($E1428="","",AB1428*AE1428/100)</f>
        <v/>
      </c>
      <c r="Z1428" s="7">
        <f>IF($E1428="","",AB1428-Y1428)</f>
        <v/>
      </c>
      <c r="AA1428" s="7">
        <f>IF($E1428="","",Z1428-Q1428)</f>
        <v/>
      </c>
      <c r="AB1428" s="7" t="n"/>
      <c r="AE1428">
        <f>IF($E1428="","",IF($AQ1428=1,0,IF($AP1428=1,Settings!$C$6,Settings!$C$7))*100)</f>
        <v/>
      </c>
      <c r="AI1428" s="7" t="n"/>
      <c r="AL1428" s="11" t="n"/>
      <c r="AN1428">
        <f>IF($E1428="","",IF(COUNTIF($E$2:$E1428,$E1428)=1,1,0))</f>
        <v/>
      </c>
      <c r="AO1428">
        <f>IF($AN1428=1,SUMPRODUCT(--($AR$2:$AR$3001&lt;$AR1428))+1,"")</f>
        <v/>
      </c>
      <c r="AP1428">
        <f>IF($E1428="","",IF(OR($U1428=TRUE(),$U1428="TRUE"),1,0))</f>
        <v/>
      </c>
      <c r="AQ1428">
        <f>IF($E1428="","",IF($AD1428="Yes",1,0))</f>
        <v/>
      </c>
      <c r="AR1428">
        <f>IF($AN1428=1,IFERROR(VALUE(MID($E1428,2,20)),1000000000)+ROW()/100000,"")</f>
        <v/>
      </c>
    </row>
    <row r="1429">
      <c r="G1429" s="11" t="n"/>
      <c r="Q1429" s="7">
        <f>IF($E1429="","",P1429*AB1429/100)</f>
        <v/>
      </c>
      <c r="R1429" s="7" t="n"/>
      <c r="X1429" s="7" t="n"/>
      <c r="Y1429" s="7">
        <f>IF($E1429="","",AB1429*AE1429/100)</f>
        <v/>
      </c>
      <c r="Z1429" s="7">
        <f>IF($E1429="","",AB1429-Y1429)</f>
        <v/>
      </c>
      <c r="AA1429" s="7">
        <f>IF($E1429="","",Z1429-Q1429)</f>
        <v/>
      </c>
      <c r="AB1429" s="7" t="n"/>
      <c r="AE1429">
        <f>IF($E1429="","",IF($AQ1429=1,0,IF($AP1429=1,Settings!$C$6,Settings!$C$7))*100)</f>
        <v/>
      </c>
      <c r="AI1429" s="7" t="n"/>
      <c r="AL1429" s="11" t="n"/>
      <c r="AN1429">
        <f>IF($E1429="","",IF(COUNTIF($E$2:$E1429,$E1429)=1,1,0))</f>
        <v/>
      </c>
      <c r="AO1429">
        <f>IF($AN1429=1,SUMPRODUCT(--($AR$2:$AR$3001&lt;$AR1429))+1,"")</f>
        <v/>
      </c>
      <c r="AP1429">
        <f>IF($E1429="","",IF(OR($U1429=TRUE(),$U1429="TRUE"),1,0))</f>
        <v/>
      </c>
      <c r="AQ1429">
        <f>IF($E1429="","",IF($AD1429="Yes",1,0))</f>
        <v/>
      </c>
      <c r="AR1429">
        <f>IF($AN1429=1,IFERROR(VALUE(MID($E1429,2,20)),1000000000)+ROW()/100000,"")</f>
        <v/>
      </c>
    </row>
    <row r="1430">
      <c r="G1430" s="11" t="n"/>
      <c r="Q1430" s="7">
        <f>IF($E1430="","",P1430*AB1430/100)</f>
        <v/>
      </c>
      <c r="R1430" s="7" t="n"/>
      <c r="X1430" s="7" t="n"/>
      <c r="Y1430" s="7">
        <f>IF($E1430="","",AB1430*AE1430/100)</f>
        <v/>
      </c>
      <c r="Z1430" s="7">
        <f>IF($E1430="","",AB1430-Y1430)</f>
        <v/>
      </c>
      <c r="AA1430" s="7">
        <f>IF($E1430="","",Z1430-Q1430)</f>
        <v/>
      </c>
      <c r="AB1430" s="7" t="n"/>
      <c r="AE1430">
        <f>IF($E1430="","",IF($AQ1430=1,0,IF($AP1430=1,Settings!$C$6,Settings!$C$7))*100)</f>
        <v/>
      </c>
      <c r="AI1430" s="7" t="n"/>
      <c r="AL1430" s="11" t="n"/>
      <c r="AN1430">
        <f>IF($E1430="","",IF(COUNTIF($E$2:$E1430,$E1430)=1,1,0))</f>
        <v/>
      </c>
      <c r="AO1430">
        <f>IF($AN1430=1,SUMPRODUCT(--($AR$2:$AR$3001&lt;$AR1430))+1,"")</f>
        <v/>
      </c>
      <c r="AP1430">
        <f>IF($E1430="","",IF(OR($U1430=TRUE(),$U1430="TRUE"),1,0))</f>
        <v/>
      </c>
      <c r="AQ1430">
        <f>IF($E1430="","",IF($AD1430="Yes",1,0))</f>
        <v/>
      </c>
      <c r="AR1430">
        <f>IF($AN1430=1,IFERROR(VALUE(MID($E1430,2,20)),1000000000)+ROW()/100000,"")</f>
        <v/>
      </c>
    </row>
    <row r="1431">
      <c r="G1431" s="11" t="n"/>
      <c r="Q1431" s="7">
        <f>IF($E1431="","",P1431*AB1431/100)</f>
        <v/>
      </c>
      <c r="R1431" s="7" t="n"/>
      <c r="X1431" s="7" t="n"/>
      <c r="Y1431" s="7">
        <f>IF($E1431="","",AB1431*AE1431/100)</f>
        <v/>
      </c>
      <c r="Z1431" s="7">
        <f>IF($E1431="","",AB1431-Y1431)</f>
        <v/>
      </c>
      <c r="AA1431" s="7">
        <f>IF($E1431="","",Z1431-Q1431)</f>
        <v/>
      </c>
      <c r="AB1431" s="7" t="n"/>
      <c r="AE1431">
        <f>IF($E1431="","",IF($AQ1431=1,0,IF($AP1431=1,Settings!$C$6,Settings!$C$7))*100)</f>
        <v/>
      </c>
      <c r="AI1431" s="7" t="n"/>
      <c r="AL1431" s="11" t="n"/>
      <c r="AN1431">
        <f>IF($E1431="","",IF(COUNTIF($E$2:$E1431,$E1431)=1,1,0))</f>
        <v/>
      </c>
      <c r="AO1431">
        <f>IF($AN1431=1,SUMPRODUCT(--($AR$2:$AR$3001&lt;$AR1431))+1,"")</f>
        <v/>
      </c>
      <c r="AP1431">
        <f>IF($E1431="","",IF(OR($U1431=TRUE(),$U1431="TRUE"),1,0))</f>
        <v/>
      </c>
      <c r="AQ1431">
        <f>IF($E1431="","",IF($AD1431="Yes",1,0))</f>
        <v/>
      </c>
      <c r="AR1431">
        <f>IF($AN1431=1,IFERROR(VALUE(MID($E1431,2,20)),1000000000)+ROW()/100000,"")</f>
        <v/>
      </c>
    </row>
    <row r="1432">
      <c r="G1432" s="11" t="n"/>
      <c r="Q1432" s="7">
        <f>IF($E1432="","",P1432*AB1432/100)</f>
        <v/>
      </c>
      <c r="R1432" s="7" t="n"/>
      <c r="X1432" s="7" t="n"/>
      <c r="Y1432" s="7">
        <f>IF($E1432="","",AB1432*AE1432/100)</f>
        <v/>
      </c>
      <c r="Z1432" s="7">
        <f>IF($E1432="","",AB1432-Y1432)</f>
        <v/>
      </c>
      <c r="AA1432" s="7">
        <f>IF($E1432="","",Z1432-Q1432)</f>
        <v/>
      </c>
      <c r="AB1432" s="7" t="n"/>
      <c r="AE1432">
        <f>IF($E1432="","",IF($AQ1432=1,0,IF($AP1432=1,Settings!$C$6,Settings!$C$7))*100)</f>
        <v/>
      </c>
      <c r="AI1432" s="7" t="n"/>
      <c r="AL1432" s="11" t="n"/>
      <c r="AN1432">
        <f>IF($E1432="","",IF(COUNTIF($E$2:$E1432,$E1432)=1,1,0))</f>
        <v/>
      </c>
      <c r="AO1432">
        <f>IF($AN1432=1,SUMPRODUCT(--($AR$2:$AR$3001&lt;$AR1432))+1,"")</f>
        <v/>
      </c>
      <c r="AP1432">
        <f>IF($E1432="","",IF(OR($U1432=TRUE(),$U1432="TRUE"),1,0))</f>
        <v/>
      </c>
      <c r="AQ1432">
        <f>IF($E1432="","",IF($AD1432="Yes",1,0))</f>
        <v/>
      </c>
      <c r="AR1432">
        <f>IF($AN1432=1,IFERROR(VALUE(MID($E1432,2,20)),1000000000)+ROW()/100000,"")</f>
        <v/>
      </c>
    </row>
    <row r="1433">
      <c r="G1433" s="11" t="n"/>
      <c r="Q1433" s="7">
        <f>IF($E1433="","",P1433*AB1433/100)</f>
        <v/>
      </c>
      <c r="R1433" s="7" t="n"/>
      <c r="X1433" s="7" t="n"/>
      <c r="Y1433" s="7">
        <f>IF($E1433="","",AB1433*AE1433/100)</f>
        <v/>
      </c>
      <c r="Z1433" s="7">
        <f>IF($E1433="","",AB1433-Y1433)</f>
        <v/>
      </c>
      <c r="AA1433" s="7">
        <f>IF($E1433="","",Z1433-Q1433)</f>
        <v/>
      </c>
      <c r="AB1433" s="7" t="n"/>
      <c r="AE1433">
        <f>IF($E1433="","",IF($AQ1433=1,0,IF($AP1433=1,Settings!$C$6,Settings!$C$7))*100)</f>
        <v/>
      </c>
      <c r="AI1433" s="7" t="n"/>
      <c r="AL1433" s="11" t="n"/>
      <c r="AN1433">
        <f>IF($E1433="","",IF(COUNTIF($E$2:$E1433,$E1433)=1,1,0))</f>
        <v/>
      </c>
      <c r="AO1433">
        <f>IF($AN1433=1,SUMPRODUCT(--($AR$2:$AR$3001&lt;$AR1433))+1,"")</f>
        <v/>
      </c>
      <c r="AP1433">
        <f>IF($E1433="","",IF(OR($U1433=TRUE(),$U1433="TRUE"),1,0))</f>
        <v/>
      </c>
      <c r="AQ1433">
        <f>IF($E1433="","",IF($AD1433="Yes",1,0))</f>
        <v/>
      </c>
      <c r="AR1433">
        <f>IF($AN1433=1,IFERROR(VALUE(MID($E1433,2,20)),1000000000)+ROW()/100000,"")</f>
        <v/>
      </c>
    </row>
    <row r="1434">
      <c r="G1434" s="11" t="n"/>
      <c r="Q1434" s="7">
        <f>IF($E1434="","",P1434*AB1434/100)</f>
        <v/>
      </c>
      <c r="R1434" s="7" t="n"/>
      <c r="X1434" s="7" t="n"/>
      <c r="Y1434" s="7">
        <f>IF($E1434="","",AB1434*AE1434/100)</f>
        <v/>
      </c>
      <c r="Z1434" s="7">
        <f>IF($E1434="","",AB1434-Y1434)</f>
        <v/>
      </c>
      <c r="AA1434" s="7">
        <f>IF($E1434="","",Z1434-Q1434)</f>
        <v/>
      </c>
      <c r="AB1434" s="7" t="n"/>
      <c r="AE1434">
        <f>IF($E1434="","",IF($AQ1434=1,0,IF($AP1434=1,Settings!$C$6,Settings!$C$7))*100)</f>
        <v/>
      </c>
      <c r="AI1434" s="7" t="n"/>
      <c r="AL1434" s="11" t="n"/>
      <c r="AN1434">
        <f>IF($E1434="","",IF(COUNTIF($E$2:$E1434,$E1434)=1,1,0))</f>
        <v/>
      </c>
      <c r="AO1434">
        <f>IF($AN1434=1,SUMPRODUCT(--($AR$2:$AR$3001&lt;$AR1434))+1,"")</f>
        <v/>
      </c>
      <c r="AP1434">
        <f>IF($E1434="","",IF(OR($U1434=TRUE(),$U1434="TRUE"),1,0))</f>
        <v/>
      </c>
      <c r="AQ1434">
        <f>IF($E1434="","",IF($AD1434="Yes",1,0))</f>
        <v/>
      </c>
      <c r="AR1434">
        <f>IF($AN1434=1,IFERROR(VALUE(MID($E1434,2,20)),1000000000)+ROW()/100000,"")</f>
        <v/>
      </c>
    </row>
    <row r="1435">
      <c r="G1435" s="11" t="n"/>
      <c r="Q1435" s="7">
        <f>IF($E1435="","",P1435*AB1435/100)</f>
        <v/>
      </c>
      <c r="R1435" s="7" t="n"/>
      <c r="X1435" s="7" t="n"/>
      <c r="Y1435" s="7">
        <f>IF($E1435="","",AB1435*AE1435/100)</f>
        <v/>
      </c>
      <c r="Z1435" s="7">
        <f>IF($E1435="","",AB1435-Y1435)</f>
        <v/>
      </c>
      <c r="AA1435" s="7">
        <f>IF($E1435="","",Z1435-Q1435)</f>
        <v/>
      </c>
      <c r="AB1435" s="7" t="n"/>
      <c r="AE1435">
        <f>IF($E1435="","",IF($AQ1435=1,0,IF($AP1435=1,Settings!$C$6,Settings!$C$7))*100)</f>
        <v/>
      </c>
      <c r="AI1435" s="7" t="n"/>
      <c r="AL1435" s="11" t="n"/>
      <c r="AN1435">
        <f>IF($E1435="","",IF(COUNTIF($E$2:$E1435,$E1435)=1,1,0))</f>
        <v/>
      </c>
      <c r="AO1435">
        <f>IF($AN1435=1,SUMPRODUCT(--($AR$2:$AR$3001&lt;$AR1435))+1,"")</f>
        <v/>
      </c>
      <c r="AP1435">
        <f>IF($E1435="","",IF(OR($U1435=TRUE(),$U1435="TRUE"),1,0))</f>
        <v/>
      </c>
      <c r="AQ1435">
        <f>IF($E1435="","",IF($AD1435="Yes",1,0))</f>
        <v/>
      </c>
      <c r="AR1435">
        <f>IF($AN1435=1,IFERROR(VALUE(MID($E1435,2,20)),1000000000)+ROW()/100000,"")</f>
        <v/>
      </c>
    </row>
    <row r="1436">
      <c r="G1436" s="11" t="n"/>
      <c r="Q1436" s="7">
        <f>IF($E1436="","",P1436*AB1436/100)</f>
        <v/>
      </c>
      <c r="R1436" s="7" t="n"/>
      <c r="X1436" s="7" t="n"/>
      <c r="Y1436" s="7">
        <f>IF($E1436="","",AB1436*AE1436/100)</f>
        <v/>
      </c>
      <c r="Z1436" s="7">
        <f>IF($E1436="","",AB1436-Y1436)</f>
        <v/>
      </c>
      <c r="AA1436" s="7">
        <f>IF($E1436="","",Z1436-Q1436)</f>
        <v/>
      </c>
      <c r="AB1436" s="7" t="n"/>
      <c r="AE1436">
        <f>IF($E1436="","",IF($AQ1436=1,0,IF($AP1436=1,Settings!$C$6,Settings!$C$7))*100)</f>
        <v/>
      </c>
      <c r="AI1436" s="7" t="n"/>
      <c r="AL1436" s="11" t="n"/>
      <c r="AN1436">
        <f>IF($E1436="","",IF(COUNTIF($E$2:$E1436,$E1436)=1,1,0))</f>
        <v/>
      </c>
      <c r="AO1436">
        <f>IF($AN1436=1,SUMPRODUCT(--($AR$2:$AR$3001&lt;$AR1436))+1,"")</f>
        <v/>
      </c>
      <c r="AP1436">
        <f>IF($E1436="","",IF(OR($U1436=TRUE(),$U1436="TRUE"),1,0))</f>
        <v/>
      </c>
      <c r="AQ1436">
        <f>IF($E1436="","",IF($AD1436="Yes",1,0))</f>
        <v/>
      </c>
      <c r="AR1436">
        <f>IF($AN1436=1,IFERROR(VALUE(MID($E1436,2,20)),1000000000)+ROW()/100000,"")</f>
        <v/>
      </c>
    </row>
    <row r="1437">
      <c r="G1437" s="11" t="n"/>
      <c r="Q1437" s="7">
        <f>IF($E1437="","",P1437*AB1437/100)</f>
        <v/>
      </c>
      <c r="R1437" s="7" t="n"/>
      <c r="X1437" s="7" t="n"/>
      <c r="Y1437" s="7">
        <f>IF($E1437="","",AB1437*AE1437/100)</f>
        <v/>
      </c>
      <c r="Z1437" s="7">
        <f>IF($E1437="","",AB1437-Y1437)</f>
        <v/>
      </c>
      <c r="AA1437" s="7">
        <f>IF($E1437="","",Z1437-Q1437)</f>
        <v/>
      </c>
      <c r="AB1437" s="7" t="n"/>
      <c r="AE1437">
        <f>IF($E1437="","",IF($AQ1437=1,0,IF($AP1437=1,Settings!$C$6,Settings!$C$7))*100)</f>
        <v/>
      </c>
      <c r="AI1437" s="7" t="n"/>
      <c r="AL1437" s="11" t="n"/>
      <c r="AN1437">
        <f>IF($E1437="","",IF(COUNTIF($E$2:$E1437,$E1437)=1,1,0))</f>
        <v/>
      </c>
      <c r="AO1437">
        <f>IF($AN1437=1,SUMPRODUCT(--($AR$2:$AR$3001&lt;$AR1437))+1,"")</f>
        <v/>
      </c>
      <c r="AP1437">
        <f>IF($E1437="","",IF(OR($U1437=TRUE(),$U1437="TRUE"),1,0))</f>
        <v/>
      </c>
      <c r="AQ1437">
        <f>IF($E1437="","",IF($AD1437="Yes",1,0))</f>
        <v/>
      </c>
      <c r="AR1437">
        <f>IF($AN1437=1,IFERROR(VALUE(MID($E1437,2,20)),1000000000)+ROW()/100000,"")</f>
        <v/>
      </c>
    </row>
    <row r="1438">
      <c r="G1438" s="11" t="n"/>
      <c r="Q1438" s="7">
        <f>IF($E1438="","",P1438*AB1438/100)</f>
        <v/>
      </c>
      <c r="R1438" s="7" t="n"/>
      <c r="X1438" s="7" t="n"/>
      <c r="Y1438" s="7">
        <f>IF($E1438="","",AB1438*AE1438/100)</f>
        <v/>
      </c>
      <c r="Z1438" s="7">
        <f>IF($E1438="","",AB1438-Y1438)</f>
        <v/>
      </c>
      <c r="AA1438" s="7">
        <f>IF($E1438="","",Z1438-Q1438)</f>
        <v/>
      </c>
      <c r="AB1438" s="7" t="n"/>
      <c r="AE1438">
        <f>IF($E1438="","",IF($AQ1438=1,0,IF($AP1438=1,Settings!$C$6,Settings!$C$7))*100)</f>
        <v/>
      </c>
      <c r="AI1438" s="7" t="n"/>
      <c r="AL1438" s="11" t="n"/>
      <c r="AN1438">
        <f>IF($E1438="","",IF(COUNTIF($E$2:$E1438,$E1438)=1,1,0))</f>
        <v/>
      </c>
      <c r="AO1438">
        <f>IF($AN1438=1,SUMPRODUCT(--($AR$2:$AR$3001&lt;$AR1438))+1,"")</f>
        <v/>
      </c>
      <c r="AP1438">
        <f>IF($E1438="","",IF(OR($U1438=TRUE(),$U1438="TRUE"),1,0))</f>
        <v/>
      </c>
      <c r="AQ1438">
        <f>IF($E1438="","",IF($AD1438="Yes",1,0))</f>
        <v/>
      </c>
      <c r="AR1438">
        <f>IF($AN1438=1,IFERROR(VALUE(MID($E1438,2,20)),1000000000)+ROW()/100000,"")</f>
        <v/>
      </c>
    </row>
    <row r="1439">
      <c r="G1439" s="11" t="n"/>
      <c r="Q1439" s="7">
        <f>IF($E1439="","",P1439*AB1439/100)</f>
        <v/>
      </c>
      <c r="R1439" s="7" t="n"/>
      <c r="X1439" s="7" t="n"/>
      <c r="Y1439" s="7">
        <f>IF($E1439="","",AB1439*AE1439/100)</f>
        <v/>
      </c>
      <c r="Z1439" s="7">
        <f>IF($E1439="","",AB1439-Y1439)</f>
        <v/>
      </c>
      <c r="AA1439" s="7">
        <f>IF($E1439="","",Z1439-Q1439)</f>
        <v/>
      </c>
      <c r="AB1439" s="7" t="n"/>
      <c r="AE1439">
        <f>IF($E1439="","",IF($AQ1439=1,0,IF($AP1439=1,Settings!$C$6,Settings!$C$7))*100)</f>
        <v/>
      </c>
      <c r="AI1439" s="7" t="n"/>
      <c r="AL1439" s="11" t="n"/>
      <c r="AN1439">
        <f>IF($E1439="","",IF(COUNTIF($E$2:$E1439,$E1439)=1,1,0))</f>
        <v/>
      </c>
      <c r="AO1439">
        <f>IF($AN1439=1,SUMPRODUCT(--($AR$2:$AR$3001&lt;$AR1439))+1,"")</f>
        <v/>
      </c>
      <c r="AP1439">
        <f>IF($E1439="","",IF(OR($U1439=TRUE(),$U1439="TRUE"),1,0))</f>
        <v/>
      </c>
      <c r="AQ1439">
        <f>IF($E1439="","",IF($AD1439="Yes",1,0))</f>
        <v/>
      </c>
      <c r="AR1439">
        <f>IF($AN1439=1,IFERROR(VALUE(MID($E1439,2,20)),1000000000)+ROW()/100000,"")</f>
        <v/>
      </c>
    </row>
    <row r="1440">
      <c r="G1440" s="11" t="n"/>
      <c r="Q1440" s="7">
        <f>IF($E1440="","",P1440*AB1440/100)</f>
        <v/>
      </c>
      <c r="R1440" s="7" t="n"/>
      <c r="X1440" s="7" t="n"/>
      <c r="Y1440" s="7">
        <f>IF($E1440="","",AB1440*AE1440/100)</f>
        <v/>
      </c>
      <c r="Z1440" s="7">
        <f>IF($E1440="","",AB1440-Y1440)</f>
        <v/>
      </c>
      <c r="AA1440" s="7">
        <f>IF($E1440="","",Z1440-Q1440)</f>
        <v/>
      </c>
      <c r="AB1440" s="7" t="n"/>
      <c r="AE1440">
        <f>IF($E1440="","",IF($AQ1440=1,0,IF($AP1440=1,Settings!$C$6,Settings!$C$7))*100)</f>
        <v/>
      </c>
      <c r="AI1440" s="7" t="n"/>
      <c r="AL1440" s="11" t="n"/>
      <c r="AN1440">
        <f>IF($E1440="","",IF(COUNTIF($E$2:$E1440,$E1440)=1,1,0))</f>
        <v/>
      </c>
      <c r="AO1440">
        <f>IF($AN1440=1,SUMPRODUCT(--($AR$2:$AR$3001&lt;$AR1440))+1,"")</f>
        <v/>
      </c>
      <c r="AP1440">
        <f>IF($E1440="","",IF(OR($U1440=TRUE(),$U1440="TRUE"),1,0))</f>
        <v/>
      </c>
      <c r="AQ1440">
        <f>IF($E1440="","",IF($AD1440="Yes",1,0))</f>
        <v/>
      </c>
      <c r="AR1440">
        <f>IF($AN1440=1,IFERROR(VALUE(MID($E1440,2,20)),1000000000)+ROW()/100000,"")</f>
        <v/>
      </c>
    </row>
    <row r="1441">
      <c r="G1441" s="11" t="n"/>
      <c r="Q1441" s="7">
        <f>IF($E1441="","",P1441*AB1441/100)</f>
        <v/>
      </c>
      <c r="R1441" s="7" t="n"/>
      <c r="X1441" s="7" t="n"/>
      <c r="Y1441" s="7">
        <f>IF($E1441="","",AB1441*AE1441/100)</f>
        <v/>
      </c>
      <c r="Z1441" s="7">
        <f>IF($E1441="","",AB1441-Y1441)</f>
        <v/>
      </c>
      <c r="AA1441" s="7">
        <f>IF($E1441="","",Z1441-Q1441)</f>
        <v/>
      </c>
      <c r="AB1441" s="7" t="n"/>
      <c r="AE1441">
        <f>IF($E1441="","",IF($AQ1441=1,0,IF($AP1441=1,Settings!$C$6,Settings!$C$7))*100)</f>
        <v/>
      </c>
      <c r="AI1441" s="7" t="n"/>
      <c r="AL1441" s="11" t="n"/>
      <c r="AN1441">
        <f>IF($E1441="","",IF(COUNTIF($E$2:$E1441,$E1441)=1,1,0))</f>
        <v/>
      </c>
      <c r="AO1441">
        <f>IF($AN1441=1,SUMPRODUCT(--($AR$2:$AR$3001&lt;$AR1441))+1,"")</f>
        <v/>
      </c>
      <c r="AP1441">
        <f>IF($E1441="","",IF(OR($U1441=TRUE(),$U1441="TRUE"),1,0))</f>
        <v/>
      </c>
      <c r="AQ1441">
        <f>IF($E1441="","",IF($AD1441="Yes",1,0))</f>
        <v/>
      </c>
      <c r="AR1441">
        <f>IF($AN1441=1,IFERROR(VALUE(MID($E1441,2,20)),1000000000)+ROW()/100000,"")</f>
        <v/>
      </c>
    </row>
    <row r="1442">
      <c r="G1442" s="11" t="n"/>
      <c r="Q1442" s="7">
        <f>IF($E1442="","",P1442*AB1442/100)</f>
        <v/>
      </c>
      <c r="R1442" s="7" t="n"/>
      <c r="X1442" s="7" t="n"/>
      <c r="Y1442" s="7">
        <f>IF($E1442="","",AB1442*AE1442/100)</f>
        <v/>
      </c>
      <c r="Z1442" s="7">
        <f>IF($E1442="","",AB1442-Y1442)</f>
        <v/>
      </c>
      <c r="AA1442" s="7">
        <f>IF($E1442="","",Z1442-Q1442)</f>
        <v/>
      </c>
      <c r="AB1442" s="7" t="n"/>
      <c r="AE1442">
        <f>IF($E1442="","",IF($AQ1442=1,0,IF($AP1442=1,Settings!$C$6,Settings!$C$7))*100)</f>
        <v/>
      </c>
      <c r="AI1442" s="7" t="n"/>
      <c r="AL1442" s="11" t="n"/>
      <c r="AN1442">
        <f>IF($E1442="","",IF(COUNTIF($E$2:$E1442,$E1442)=1,1,0))</f>
        <v/>
      </c>
      <c r="AO1442">
        <f>IF($AN1442=1,SUMPRODUCT(--($AR$2:$AR$3001&lt;$AR1442))+1,"")</f>
        <v/>
      </c>
      <c r="AP1442">
        <f>IF($E1442="","",IF(OR($U1442=TRUE(),$U1442="TRUE"),1,0))</f>
        <v/>
      </c>
      <c r="AQ1442">
        <f>IF($E1442="","",IF($AD1442="Yes",1,0))</f>
        <v/>
      </c>
      <c r="AR1442">
        <f>IF($AN1442=1,IFERROR(VALUE(MID($E1442,2,20)),1000000000)+ROW()/100000,"")</f>
        <v/>
      </c>
    </row>
    <row r="1443">
      <c r="G1443" s="11" t="n"/>
      <c r="Q1443" s="7">
        <f>IF($E1443="","",P1443*AB1443/100)</f>
        <v/>
      </c>
      <c r="R1443" s="7" t="n"/>
      <c r="X1443" s="7" t="n"/>
      <c r="Y1443" s="7">
        <f>IF($E1443="","",AB1443*AE1443/100)</f>
        <v/>
      </c>
      <c r="Z1443" s="7">
        <f>IF($E1443="","",AB1443-Y1443)</f>
        <v/>
      </c>
      <c r="AA1443" s="7">
        <f>IF($E1443="","",Z1443-Q1443)</f>
        <v/>
      </c>
      <c r="AB1443" s="7" t="n"/>
      <c r="AE1443">
        <f>IF($E1443="","",IF($AQ1443=1,0,IF($AP1443=1,Settings!$C$6,Settings!$C$7))*100)</f>
        <v/>
      </c>
      <c r="AI1443" s="7" t="n"/>
      <c r="AL1443" s="11" t="n"/>
      <c r="AN1443">
        <f>IF($E1443="","",IF(COUNTIF($E$2:$E1443,$E1443)=1,1,0))</f>
        <v/>
      </c>
      <c r="AO1443">
        <f>IF($AN1443=1,SUMPRODUCT(--($AR$2:$AR$3001&lt;$AR1443))+1,"")</f>
        <v/>
      </c>
      <c r="AP1443">
        <f>IF($E1443="","",IF(OR($U1443=TRUE(),$U1443="TRUE"),1,0))</f>
        <v/>
      </c>
      <c r="AQ1443">
        <f>IF($E1443="","",IF($AD1443="Yes",1,0))</f>
        <v/>
      </c>
      <c r="AR1443">
        <f>IF($AN1443=1,IFERROR(VALUE(MID($E1443,2,20)),1000000000)+ROW()/100000,"")</f>
        <v/>
      </c>
    </row>
    <row r="1444">
      <c r="G1444" s="11" t="n"/>
      <c r="Q1444" s="7">
        <f>IF($E1444="","",P1444*AB1444/100)</f>
        <v/>
      </c>
      <c r="R1444" s="7" t="n"/>
      <c r="X1444" s="7" t="n"/>
      <c r="Y1444" s="7">
        <f>IF($E1444="","",AB1444*AE1444/100)</f>
        <v/>
      </c>
      <c r="Z1444" s="7">
        <f>IF($E1444="","",AB1444-Y1444)</f>
        <v/>
      </c>
      <c r="AA1444" s="7">
        <f>IF($E1444="","",Z1444-Q1444)</f>
        <v/>
      </c>
      <c r="AB1444" s="7" t="n"/>
      <c r="AE1444">
        <f>IF($E1444="","",IF($AQ1444=1,0,IF($AP1444=1,Settings!$C$6,Settings!$C$7))*100)</f>
        <v/>
      </c>
      <c r="AI1444" s="7" t="n"/>
      <c r="AL1444" s="11" t="n"/>
      <c r="AN1444">
        <f>IF($E1444="","",IF(COUNTIF($E$2:$E1444,$E1444)=1,1,0))</f>
        <v/>
      </c>
      <c r="AO1444">
        <f>IF($AN1444=1,SUMPRODUCT(--($AR$2:$AR$3001&lt;$AR1444))+1,"")</f>
        <v/>
      </c>
      <c r="AP1444">
        <f>IF($E1444="","",IF(OR($U1444=TRUE(),$U1444="TRUE"),1,0))</f>
        <v/>
      </c>
      <c r="AQ1444">
        <f>IF($E1444="","",IF($AD1444="Yes",1,0))</f>
        <v/>
      </c>
      <c r="AR1444">
        <f>IF($AN1444=1,IFERROR(VALUE(MID($E1444,2,20)),1000000000)+ROW()/100000,"")</f>
        <v/>
      </c>
    </row>
    <row r="1445">
      <c r="G1445" s="11" t="n"/>
      <c r="Q1445" s="7">
        <f>IF($E1445="","",P1445*AB1445/100)</f>
        <v/>
      </c>
      <c r="R1445" s="7" t="n"/>
      <c r="X1445" s="7" t="n"/>
      <c r="Y1445" s="7">
        <f>IF($E1445="","",AB1445*AE1445/100)</f>
        <v/>
      </c>
      <c r="Z1445" s="7">
        <f>IF($E1445="","",AB1445-Y1445)</f>
        <v/>
      </c>
      <c r="AA1445" s="7">
        <f>IF($E1445="","",Z1445-Q1445)</f>
        <v/>
      </c>
      <c r="AB1445" s="7" t="n"/>
      <c r="AE1445">
        <f>IF($E1445="","",IF($AQ1445=1,0,IF($AP1445=1,Settings!$C$6,Settings!$C$7))*100)</f>
        <v/>
      </c>
      <c r="AI1445" s="7" t="n"/>
      <c r="AL1445" s="11" t="n"/>
      <c r="AN1445">
        <f>IF($E1445="","",IF(COUNTIF($E$2:$E1445,$E1445)=1,1,0))</f>
        <v/>
      </c>
      <c r="AO1445">
        <f>IF($AN1445=1,SUMPRODUCT(--($AR$2:$AR$3001&lt;$AR1445))+1,"")</f>
        <v/>
      </c>
      <c r="AP1445">
        <f>IF($E1445="","",IF(OR($U1445=TRUE(),$U1445="TRUE"),1,0))</f>
        <v/>
      </c>
      <c r="AQ1445">
        <f>IF($E1445="","",IF($AD1445="Yes",1,0))</f>
        <v/>
      </c>
      <c r="AR1445">
        <f>IF($AN1445=1,IFERROR(VALUE(MID($E1445,2,20)),1000000000)+ROW()/100000,"")</f>
        <v/>
      </c>
    </row>
    <row r="1446">
      <c r="G1446" s="11" t="n"/>
      <c r="Q1446" s="7">
        <f>IF($E1446="","",P1446*AB1446/100)</f>
        <v/>
      </c>
      <c r="R1446" s="7" t="n"/>
      <c r="X1446" s="7" t="n"/>
      <c r="Y1446" s="7">
        <f>IF($E1446="","",AB1446*AE1446/100)</f>
        <v/>
      </c>
      <c r="Z1446" s="7">
        <f>IF($E1446="","",AB1446-Y1446)</f>
        <v/>
      </c>
      <c r="AA1446" s="7">
        <f>IF($E1446="","",Z1446-Q1446)</f>
        <v/>
      </c>
      <c r="AB1446" s="7" t="n"/>
      <c r="AE1446">
        <f>IF($E1446="","",IF($AQ1446=1,0,IF($AP1446=1,Settings!$C$6,Settings!$C$7))*100)</f>
        <v/>
      </c>
      <c r="AI1446" s="7" t="n"/>
      <c r="AL1446" s="11" t="n"/>
      <c r="AN1446">
        <f>IF($E1446="","",IF(COUNTIF($E$2:$E1446,$E1446)=1,1,0))</f>
        <v/>
      </c>
      <c r="AO1446">
        <f>IF($AN1446=1,SUMPRODUCT(--($AR$2:$AR$3001&lt;$AR1446))+1,"")</f>
        <v/>
      </c>
      <c r="AP1446">
        <f>IF($E1446="","",IF(OR($U1446=TRUE(),$U1446="TRUE"),1,0))</f>
        <v/>
      </c>
      <c r="AQ1446">
        <f>IF($E1446="","",IF($AD1446="Yes",1,0))</f>
        <v/>
      </c>
      <c r="AR1446">
        <f>IF($AN1446=1,IFERROR(VALUE(MID($E1446,2,20)),1000000000)+ROW()/100000,"")</f>
        <v/>
      </c>
    </row>
    <row r="1447">
      <c r="G1447" s="11" t="n"/>
      <c r="Q1447" s="7">
        <f>IF($E1447="","",P1447*AB1447/100)</f>
        <v/>
      </c>
      <c r="R1447" s="7" t="n"/>
      <c r="X1447" s="7" t="n"/>
      <c r="Y1447" s="7">
        <f>IF($E1447="","",AB1447*AE1447/100)</f>
        <v/>
      </c>
      <c r="Z1447" s="7">
        <f>IF($E1447="","",AB1447-Y1447)</f>
        <v/>
      </c>
      <c r="AA1447" s="7">
        <f>IF($E1447="","",Z1447-Q1447)</f>
        <v/>
      </c>
      <c r="AB1447" s="7" t="n"/>
      <c r="AE1447">
        <f>IF($E1447="","",IF($AQ1447=1,0,IF($AP1447=1,Settings!$C$6,Settings!$C$7))*100)</f>
        <v/>
      </c>
      <c r="AI1447" s="7" t="n"/>
      <c r="AL1447" s="11" t="n"/>
      <c r="AN1447">
        <f>IF($E1447="","",IF(COUNTIF($E$2:$E1447,$E1447)=1,1,0))</f>
        <v/>
      </c>
      <c r="AO1447">
        <f>IF($AN1447=1,SUMPRODUCT(--($AR$2:$AR$3001&lt;$AR1447))+1,"")</f>
        <v/>
      </c>
      <c r="AP1447">
        <f>IF($E1447="","",IF(OR($U1447=TRUE(),$U1447="TRUE"),1,0))</f>
        <v/>
      </c>
      <c r="AQ1447">
        <f>IF($E1447="","",IF($AD1447="Yes",1,0))</f>
        <v/>
      </c>
      <c r="AR1447">
        <f>IF($AN1447=1,IFERROR(VALUE(MID($E1447,2,20)),1000000000)+ROW()/100000,"")</f>
        <v/>
      </c>
    </row>
    <row r="1448">
      <c r="G1448" s="11" t="n"/>
      <c r="Q1448" s="7">
        <f>IF($E1448="","",P1448*AB1448/100)</f>
        <v/>
      </c>
      <c r="R1448" s="7" t="n"/>
      <c r="X1448" s="7" t="n"/>
      <c r="Y1448" s="7">
        <f>IF($E1448="","",AB1448*AE1448/100)</f>
        <v/>
      </c>
      <c r="Z1448" s="7">
        <f>IF($E1448="","",AB1448-Y1448)</f>
        <v/>
      </c>
      <c r="AA1448" s="7">
        <f>IF($E1448="","",Z1448-Q1448)</f>
        <v/>
      </c>
      <c r="AB1448" s="7" t="n"/>
      <c r="AE1448">
        <f>IF($E1448="","",IF($AQ1448=1,0,IF($AP1448=1,Settings!$C$6,Settings!$C$7))*100)</f>
        <v/>
      </c>
      <c r="AI1448" s="7" t="n"/>
      <c r="AL1448" s="11" t="n"/>
      <c r="AN1448">
        <f>IF($E1448="","",IF(COUNTIF($E$2:$E1448,$E1448)=1,1,0))</f>
        <v/>
      </c>
      <c r="AO1448">
        <f>IF($AN1448=1,SUMPRODUCT(--($AR$2:$AR$3001&lt;$AR1448))+1,"")</f>
        <v/>
      </c>
      <c r="AP1448">
        <f>IF($E1448="","",IF(OR($U1448=TRUE(),$U1448="TRUE"),1,0))</f>
        <v/>
      </c>
      <c r="AQ1448">
        <f>IF($E1448="","",IF($AD1448="Yes",1,0))</f>
        <v/>
      </c>
      <c r="AR1448">
        <f>IF($AN1448=1,IFERROR(VALUE(MID($E1448,2,20)),1000000000)+ROW()/100000,"")</f>
        <v/>
      </c>
    </row>
    <row r="1449">
      <c r="G1449" s="11" t="n"/>
      <c r="Q1449" s="7">
        <f>IF($E1449="","",P1449*AB1449/100)</f>
        <v/>
      </c>
      <c r="R1449" s="7" t="n"/>
      <c r="X1449" s="7" t="n"/>
      <c r="Y1449" s="7">
        <f>IF($E1449="","",AB1449*AE1449/100)</f>
        <v/>
      </c>
      <c r="Z1449" s="7">
        <f>IF($E1449="","",AB1449-Y1449)</f>
        <v/>
      </c>
      <c r="AA1449" s="7">
        <f>IF($E1449="","",Z1449-Q1449)</f>
        <v/>
      </c>
      <c r="AB1449" s="7" t="n"/>
      <c r="AE1449">
        <f>IF($E1449="","",IF($AQ1449=1,0,IF($AP1449=1,Settings!$C$6,Settings!$C$7))*100)</f>
        <v/>
      </c>
      <c r="AI1449" s="7" t="n"/>
      <c r="AL1449" s="11" t="n"/>
      <c r="AN1449">
        <f>IF($E1449="","",IF(COUNTIF($E$2:$E1449,$E1449)=1,1,0))</f>
        <v/>
      </c>
      <c r="AO1449">
        <f>IF($AN1449=1,SUMPRODUCT(--($AR$2:$AR$3001&lt;$AR1449))+1,"")</f>
        <v/>
      </c>
      <c r="AP1449">
        <f>IF($E1449="","",IF(OR($U1449=TRUE(),$U1449="TRUE"),1,0))</f>
        <v/>
      </c>
      <c r="AQ1449">
        <f>IF($E1449="","",IF($AD1449="Yes",1,0))</f>
        <v/>
      </c>
      <c r="AR1449">
        <f>IF($AN1449=1,IFERROR(VALUE(MID($E1449,2,20)),1000000000)+ROW()/100000,"")</f>
        <v/>
      </c>
    </row>
    <row r="1450">
      <c r="G1450" s="11" t="n"/>
      <c r="Q1450" s="7">
        <f>IF($E1450="","",P1450*AB1450/100)</f>
        <v/>
      </c>
      <c r="R1450" s="7" t="n"/>
      <c r="X1450" s="7" t="n"/>
      <c r="Y1450" s="7">
        <f>IF($E1450="","",AB1450*AE1450/100)</f>
        <v/>
      </c>
      <c r="Z1450" s="7">
        <f>IF($E1450="","",AB1450-Y1450)</f>
        <v/>
      </c>
      <c r="AA1450" s="7">
        <f>IF($E1450="","",Z1450-Q1450)</f>
        <v/>
      </c>
      <c r="AB1450" s="7" t="n"/>
      <c r="AE1450">
        <f>IF($E1450="","",IF($AQ1450=1,0,IF($AP1450=1,Settings!$C$6,Settings!$C$7))*100)</f>
        <v/>
      </c>
      <c r="AI1450" s="7" t="n"/>
      <c r="AL1450" s="11" t="n"/>
      <c r="AN1450">
        <f>IF($E1450="","",IF(COUNTIF($E$2:$E1450,$E1450)=1,1,0))</f>
        <v/>
      </c>
      <c r="AO1450">
        <f>IF($AN1450=1,SUMPRODUCT(--($AR$2:$AR$3001&lt;$AR1450))+1,"")</f>
        <v/>
      </c>
      <c r="AP1450">
        <f>IF($E1450="","",IF(OR($U1450=TRUE(),$U1450="TRUE"),1,0))</f>
        <v/>
      </c>
      <c r="AQ1450">
        <f>IF($E1450="","",IF($AD1450="Yes",1,0))</f>
        <v/>
      </c>
      <c r="AR1450">
        <f>IF($AN1450=1,IFERROR(VALUE(MID($E1450,2,20)),1000000000)+ROW()/100000,"")</f>
        <v/>
      </c>
    </row>
    <row r="1451">
      <c r="G1451" s="11" t="n"/>
      <c r="Q1451" s="7">
        <f>IF($E1451="","",P1451*AB1451/100)</f>
        <v/>
      </c>
      <c r="R1451" s="7" t="n"/>
      <c r="X1451" s="7" t="n"/>
      <c r="Y1451" s="7">
        <f>IF($E1451="","",AB1451*AE1451/100)</f>
        <v/>
      </c>
      <c r="Z1451" s="7">
        <f>IF($E1451="","",AB1451-Y1451)</f>
        <v/>
      </c>
      <c r="AA1451" s="7">
        <f>IF($E1451="","",Z1451-Q1451)</f>
        <v/>
      </c>
      <c r="AB1451" s="7" t="n"/>
      <c r="AE1451">
        <f>IF($E1451="","",IF($AQ1451=1,0,IF($AP1451=1,Settings!$C$6,Settings!$C$7))*100)</f>
        <v/>
      </c>
      <c r="AI1451" s="7" t="n"/>
      <c r="AL1451" s="11" t="n"/>
      <c r="AN1451">
        <f>IF($E1451="","",IF(COUNTIF($E$2:$E1451,$E1451)=1,1,0))</f>
        <v/>
      </c>
      <c r="AO1451">
        <f>IF($AN1451=1,SUMPRODUCT(--($AR$2:$AR$3001&lt;$AR1451))+1,"")</f>
        <v/>
      </c>
      <c r="AP1451">
        <f>IF($E1451="","",IF(OR($U1451=TRUE(),$U1451="TRUE"),1,0))</f>
        <v/>
      </c>
      <c r="AQ1451">
        <f>IF($E1451="","",IF($AD1451="Yes",1,0))</f>
        <v/>
      </c>
      <c r="AR1451">
        <f>IF($AN1451=1,IFERROR(VALUE(MID($E1451,2,20)),1000000000)+ROW()/100000,"")</f>
        <v/>
      </c>
    </row>
    <row r="1452">
      <c r="G1452" s="11" t="n"/>
      <c r="Q1452" s="7">
        <f>IF($E1452="","",P1452*AB1452/100)</f>
        <v/>
      </c>
      <c r="R1452" s="7" t="n"/>
      <c r="X1452" s="7" t="n"/>
      <c r="Y1452" s="7">
        <f>IF($E1452="","",AB1452*AE1452/100)</f>
        <v/>
      </c>
      <c r="Z1452" s="7">
        <f>IF($E1452="","",AB1452-Y1452)</f>
        <v/>
      </c>
      <c r="AA1452" s="7">
        <f>IF($E1452="","",Z1452-Q1452)</f>
        <v/>
      </c>
      <c r="AB1452" s="7" t="n"/>
      <c r="AE1452">
        <f>IF($E1452="","",IF($AQ1452=1,0,IF($AP1452=1,Settings!$C$6,Settings!$C$7))*100)</f>
        <v/>
      </c>
      <c r="AI1452" s="7" t="n"/>
      <c r="AL1452" s="11" t="n"/>
      <c r="AN1452">
        <f>IF($E1452="","",IF(COUNTIF($E$2:$E1452,$E1452)=1,1,0))</f>
        <v/>
      </c>
      <c r="AO1452">
        <f>IF($AN1452=1,SUMPRODUCT(--($AR$2:$AR$3001&lt;$AR1452))+1,"")</f>
        <v/>
      </c>
      <c r="AP1452">
        <f>IF($E1452="","",IF(OR($U1452=TRUE(),$U1452="TRUE"),1,0))</f>
        <v/>
      </c>
      <c r="AQ1452">
        <f>IF($E1452="","",IF($AD1452="Yes",1,0))</f>
        <v/>
      </c>
      <c r="AR1452">
        <f>IF($AN1452=1,IFERROR(VALUE(MID($E1452,2,20)),1000000000)+ROW()/100000,"")</f>
        <v/>
      </c>
    </row>
    <row r="1453">
      <c r="G1453" s="11" t="n"/>
      <c r="Q1453" s="7">
        <f>IF($E1453="","",P1453*AB1453/100)</f>
        <v/>
      </c>
      <c r="R1453" s="7" t="n"/>
      <c r="X1453" s="7" t="n"/>
      <c r="Y1453" s="7">
        <f>IF($E1453="","",AB1453*AE1453/100)</f>
        <v/>
      </c>
      <c r="Z1453" s="7">
        <f>IF($E1453="","",AB1453-Y1453)</f>
        <v/>
      </c>
      <c r="AA1453" s="7">
        <f>IF($E1453="","",Z1453-Q1453)</f>
        <v/>
      </c>
      <c r="AB1453" s="7" t="n"/>
      <c r="AE1453">
        <f>IF($E1453="","",IF($AQ1453=1,0,IF($AP1453=1,Settings!$C$6,Settings!$C$7))*100)</f>
        <v/>
      </c>
      <c r="AI1453" s="7" t="n"/>
      <c r="AL1453" s="11" t="n"/>
      <c r="AN1453">
        <f>IF($E1453="","",IF(COUNTIF($E$2:$E1453,$E1453)=1,1,0))</f>
        <v/>
      </c>
      <c r="AO1453">
        <f>IF($AN1453=1,SUMPRODUCT(--($AR$2:$AR$3001&lt;$AR1453))+1,"")</f>
        <v/>
      </c>
      <c r="AP1453">
        <f>IF($E1453="","",IF(OR($U1453=TRUE(),$U1453="TRUE"),1,0))</f>
        <v/>
      </c>
      <c r="AQ1453">
        <f>IF($E1453="","",IF($AD1453="Yes",1,0))</f>
        <v/>
      </c>
      <c r="AR1453">
        <f>IF($AN1453=1,IFERROR(VALUE(MID($E1453,2,20)),1000000000)+ROW()/100000,"")</f>
        <v/>
      </c>
    </row>
    <row r="1454">
      <c r="G1454" s="11" t="n"/>
      <c r="Q1454" s="7">
        <f>IF($E1454="","",P1454*AB1454/100)</f>
        <v/>
      </c>
      <c r="R1454" s="7" t="n"/>
      <c r="X1454" s="7" t="n"/>
      <c r="Y1454" s="7">
        <f>IF($E1454="","",AB1454*AE1454/100)</f>
        <v/>
      </c>
      <c r="Z1454" s="7">
        <f>IF($E1454="","",AB1454-Y1454)</f>
        <v/>
      </c>
      <c r="AA1454" s="7">
        <f>IF($E1454="","",Z1454-Q1454)</f>
        <v/>
      </c>
      <c r="AB1454" s="7" t="n"/>
      <c r="AE1454">
        <f>IF($E1454="","",IF($AQ1454=1,0,IF($AP1454=1,Settings!$C$6,Settings!$C$7))*100)</f>
        <v/>
      </c>
      <c r="AI1454" s="7" t="n"/>
      <c r="AL1454" s="11" t="n"/>
      <c r="AN1454">
        <f>IF($E1454="","",IF(COUNTIF($E$2:$E1454,$E1454)=1,1,0))</f>
        <v/>
      </c>
      <c r="AO1454">
        <f>IF($AN1454=1,SUMPRODUCT(--($AR$2:$AR$3001&lt;$AR1454))+1,"")</f>
        <v/>
      </c>
      <c r="AP1454">
        <f>IF($E1454="","",IF(OR($U1454=TRUE(),$U1454="TRUE"),1,0))</f>
        <v/>
      </c>
      <c r="AQ1454">
        <f>IF($E1454="","",IF($AD1454="Yes",1,0))</f>
        <v/>
      </c>
      <c r="AR1454">
        <f>IF($AN1454=1,IFERROR(VALUE(MID($E1454,2,20)),1000000000)+ROW()/100000,"")</f>
        <v/>
      </c>
    </row>
    <row r="1455">
      <c r="G1455" s="11" t="n"/>
      <c r="Q1455" s="7">
        <f>IF($E1455="","",P1455*AB1455/100)</f>
        <v/>
      </c>
      <c r="R1455" s="7" t="n"/>
      <c r="X1455" s="7" t="n"/>
      <c r="Y1455" s="7">
        <f>IF($E1455="","",AB1455*AE1455/100)</f>
        <v/>
      </c>
      <c r="Z1455" s="7">
        <f>IF($E1455="","",AB1455-Y1455)</f>
        <v/>
      </c>
      <c r="AA1455" s="7">
        <f>IF($E1455="","",Z1455-Q1455)</f>
        <v/>
      </c>
      <c r="AB1455" s="7" t="n"/>
      <c r="AE1455">
        <f>IF($E1455="","",IF($AQ1455=1,0,IF($AP1455=1,Settings!$C$6,Settings!$C$7))*100)</f>
        <v/>
      </c>
      <c r="AI1455" s="7" t="n"/>
      <c r="AL1455" s="11" t="n"/>
      <c r="AN1455">
        <f>IF($E1455="","",IF(COUNTIF($E$2:$E1455,$E1455)=1,1,0))</f>
        <v/>
      </c>
      <c r="AO1455">
        <f>IF($AN1455=1,SUMPRODUCT(--($AR$2:$AR$3001&lt;$AR1455))+1,"")</f>
        <v/>
      </c>
      <c r="AP1455">
        <f>IF($E1455="","",IF(OR($U1455=TRUE(),$U1455="TRUE"),1,0))</f>
        <v/>
      </c>
      <c r="AQ1455">
        <f>IF($E1455="","",IF($AD1455="Yes",1,0))</f>
        <v/>
      </c>
      <c r="AR1455">
        <f>IF($AN1455=1,IFERROR(VALUE(MID($E1455,2,20)),1000000000)+ROW()/100000,"")</f>
        <v/>
      </c>
    </row>
    <row r="1456">
      <c r="G1456" s="11" t="n"/>
      <c r="Q1456" s="7">
        <f>IF($E1456="","",P1456*AB1456/100)</f>
        <v/>
      </c>
      <c r="R1456" s="7" t="n"/>
      <c r="X1456" s="7" t="n"/>
      <c r="Y1456" s="7">
        <f>IF($E1456="","",AB1456*AE1456/100)</f>
        <v/>
      </c>
      <c r="Z1456" s="7">
        <f>IF($E1456="","",AB1456-Y1456)</f>
        <v/>
      </c>
      <c r="AA1456" s="7">
        <f>IF($E1456="","",Z1456-Q1456)</f>
        <v/>
      </c>
      <c r="AB1456" s="7" t="n"/>
      <c r="AE1456">
        <f>IF($E1456="","",IF($AQ1456=1,0,IF($AP1456=1,Settings!$C$6,Settings!$C$7))*100)</f>
        <v/>
      </c>
      <c r="AI1456" s="7" t="n"/>
      <c r="AL1456" s="11" t="n"/>
      <c r="AN1456">
        <f>IF($E1456="","",IF(COUNTIF($E$2:$E1456,$E1456)=1,1,0))</f>
        <v/>
      </c>
      <c r="AO1456">
        <f>IF($AN1456=1,SUMPRODUCT(--($AR$2:$AR$3001&lt;$AR1456))+1,"")</f>
        <v/>
      </c>
      <c r="AP1456">
        <f>IF($E1456="","",IF(OR($U1456=TRUE(),$U1456="TRUE"),1,0))</f>
        <v/>
      </c>
      <c r="AQ1456">
        <f>IF($E1456="","",IF($AD1456="Yes",1,0))</f>
        <v/>
      </c>
      <c r="AR1456">
        <f>IF($AN1456=1,IFERROR(VALUE(MID($E1456,2,20)),1000000000)+ROW()/100000,"")</f>
        <v/>
      </c>
    </row>
    <row r="1457">
      <c r="G1457" s="11" t="n"/>
      <c r="Q1457" s="7">
        <f>IF($E1457="","",P1457*AB1457/100)</f>
        <v/>
      </c>
      <c r="R1457" s="7" t="n"/>
      <c r="X1457" s="7" t="n"/>
      <c r="Y1457" s="7">
        <f>IF($E1457="","",AB1457*AE1457/100)</f>
        <v/>
      </c>
      <c r="Z1457" s="7">
        <f>IF($E1457="","",AB1457-Y1457)</f>
        <v/>
      </c>
      <c r="AA1457" s="7">
        <f>IF($E1457="","",Z1457-Q1457)</f>
        <v/>
      </c>
      <c r="AB1457" s="7" t="n"/>
      <c r="AE1457">
        <f>IF($E1457="","",IF($AQ1457=1,0,IF($AP1457=1,Settings!$C$6,Settings!$C$7))*100)</f>
        <v/>
      </c>
      <c r="AI1457" s="7" t="n"/>
      <c r="AL1457" s="11" t="n"/>
      <c r="AN1457">
        <f>IF($E1457="","",IF(COUNTIF($E$2:$E1457,$E1457)=1,1,0))</f>
        <v/>
      </c>
      <c r="AO1457">
        <f>IF($AN1457=1,SUMPRODUCT(--($AR$2:$AR$3001&lt;$AR1457))+1,"")</f>
        <v/>
      </c>
      <c r="AP1457">
        <f>IF($E1457="","",IF(OR($U1457=TRUE(),$U1457="TRUE"),1,0))</f>
        <v/>
      </c>
      <c r="AQ1457">
        <f>IF($E1457="","",IF($AD1457="Yes",1,0))</f>
        <v/>
      </c>
      <c r="AR1457">
        <f>IF($AN1457=1,IFERROR(VALUE(MID($E1457,2,20)),1000000000)+ROW()/100000,"")</f>
        <v/>
      </c>
    </row>
    <row r="1458">
      <c r="G1458" s="11" t="n"/>
      <c r="Q1458" s="7">
        <f>IF($E1458="","",P1458*AB1458/100)</f>
        <v/>
      </c>
      <c r="R1458" s="7" t="n"/>
      <c r="X1458" s="7" t="n"/>
      <c r="Y1458" s="7">
        <f>IF($E1458="","",AB1458*AE1458/100)</f>
        <v/>
      </c>
      <c r="Z1458" s="7">
        <f>IF($E1458="","",AB1458-Y1458)</f>
        <v/>
      </c>
      <c r="AA1458" s="7">
        <f>IF($E1458="","",Z1458-Q1458)</f>
        <v/>
      </c>
      <c r="AB1458" s="7" t="n"/>
      <c r="AE1458">
        <f>IF($E1458="","",IF($AQ1458=1,0,IF($AP1458=1,Settings!$C$6,Settings!$C$7))*100)</f>
        <v/>
      </c>
      <c r="AI1458" s="7" t="n"/>
      <c r="AL1458" s="11" t="n"/>
      <c r="AN1458">
        <f>IF($E1458="","",IF(COUNTIF($E$2:$E1458,$E1458)=1,1,0))</f>
        <v/>
      </c>
      <c r="AO1458">
        <f>IF($AN1458=1,SUMPRODUCT(--($AR$2:$AR$3001&lt;$AR1458))+1,"")</f>
        <v/>
      </c>
      <c r="AP1458">
        <f>IF($E1458="","",IF(OR($U1458=TRUE(),$U1458="TRUE"),1,0))</f>
        <v/>
      </c>
      <c r="AQ1458">
        <f>IF($E1458="","",IF($AD1458="Yes",1,0))</f>
        <v/>
      </c>
      <c r="AR1458">
        <f>IF($AN1458=1,IFERROR(VALUE(MID($E1458,2,20)),1000000000)+ROW()/100000,"")</f>
        <v/>
      </c>
    </row>
    <row r="1459">
      <c r="G1459" s="11" t="n"/>
      <c r="Q1459" s="7">
        <f>IF($E1459="","",P1459*AB1459/100)</f>
        <v/>
      </c>
      <c r="R1459" s="7" t="n"/>
      <c r="X1459" s="7" t="n"/>
      <c r="Y1459" s="7">
        <f>IF($E1459="","",AB1459*AE1459/100)</f>
        <v/>
      </c>
      <c r="Z1459" s="7">
        <f>IF($E1459="","",AB1459-Y1459)</f>
        <v/>
      </c>
      <c r="AA1459" s="7">
        <f>IF($E1459="","",Z1459-Q1459)</f>
        <v/>
      </c>
      <c r="AB1459" s="7" t="n"/>
      <c r="AE1459">
        <f>IF($E1459="","",IF($AQ1459=1,0,IF($AP1459=1,Settings!$C$6,Settings!$C$7))*100)</f>
        <v/>
      </c>
      <c r="AI1459" s="7" t="n"/>
      <c r="AL1459" s="11" t="n"/>
      <c r="AN1459">
        <f>IF($E1459="","",IF(COUNTIF($E$2:$E1459,$E1459)=1,1,0))</f>
        <v/>
      </c>
      <c r="AO1459">
        <f>IF($AN1459=1,SUMPRODUCT(--($AR$2:$AR$3001&lt;$AR1459))+1,"")</f>
        <v/>
      </c>
      <c r="AP1459">
        <f>IF($E1459="","",IF(OR($U1459=TRUE(),$U1459="TRUE"),1,0))</f>
        <v/>
      </c>
      <c r="AQ1459">
        <f>IF($E1459="","",IF($AD1459="Yes",1,0))</f>
        <v/>
      </c>
      <c r="AR1459">
        <f>IF($AN1459=1,IFERROR(VALUE(MID($E1459,2,20)),1000000000)+ROW()/100000,"")</f>
        <v/>
      </c>
    </row>
    <row r="1460">
      <c r="G1460" s="11" t="n"/>
      <c r="Q1460" s="7">
        <f>IF($E1460="","",P1460*AB1460/100)</f>
        <v/>
      </c>
      <c r="R1460" s="7" t="n"/>
      <c r="X1460" s="7" t="n"/>
      <c r="Y1460" s="7">
        <f>IF($E1460="","",AB1460*AE1460/100)</f>
        <v/>
      </c>
      <c r="Z1460" s="7">
        <f>IF($E1460="","",AB1460-Y1460)</f>
        <v/>
      </c>
      <c r="AA1460" s="7">
        <f>IF($E1460="","",Z1460-Q1460)</f>
        <v/>
      </c>
      <c r="AB1460" s="7" t="n"/>
      <c r="AE1460">
        <f>IF($E1460="","",IF($AQ1460=1,0,IF($AP1460=1,Settings!$C$6,Settings!$C$7))*100)</f>
        <v/>
      </c>
      <c r="AI1460" s="7" t="n"/>
      <c r="AL1460" s="11" t="n"/>
      <c r="AN1460">
        <f>IF($E1460="","",IF(COUNTIF($E$2:$E1460,$E1460)=1,1,0))</f>
        <v/>
      </c>
      <c r="AO1460">
        <f>IF($AN1460=1,SUMPRODUCT(--($AR$2:$AR$3001&lt;$AR1460))+1,"")</f>
        <v/>
      </c>
      <c r="AP1460">
        <f>IF($E1460="","",IF(OR($U1460=TRUE(),$U1460="TRUE"),1,0))</f>
        <v/>
      </c>
      <c r="AQ1460">
        <f>IF($E1460="","",IF($AD1460="Yes",1,0))</f>
        <v/>
      </c>
      <c r="AR1460">
        <f>IF($AN1460=1,IFERROR(VALUE(MID($E1460,2,20)),1000000000)+ROW()/100000,"")</f>
        <v/>
      </c>
    </row>
    <row r="1461">
      <c r="G1461" s="11" t="n"/>
      <c r="Q1461" s="7">
        <f>IF($E1461="","",P1461*AB1461/100)</f>
        <v/>
      </c>
      <c r="R1461" s="7" t="n"/>
      <c r="X1461" s="7" t="n"/>
      <c r="Y1461" s="7">
        <f>IF($E1461="","",AB1461*AE1461/100)</f>
        <v/>
      </c>
      <c r="Z1461" s="7">
        <f>IF($E1461="","",AB1461-Y1461)</f>
        <v/>
      </c>
      <c r="AA1461" s="7">
        <f>IF($E1461="","",Z1461-Q1461)</f>
        <v/>
      </c>
      <c r="AB1461" s="7" t="n"/>
      <c r="AE1461">
        <f>IF($E1461="","",IF($AQ1461=1,0,IF($AP1461=1,Settings!$C$6,Settings!$C$7))*100)</f>
        <v/>
      </c>
      <c r="AI1461" s="7" t="n"/>
      <c r="AL1461" s="11" t="n"/>
      <c r="AN1461">
        <f>IF($E1461="","",IF(COUNTIF($E$2:$E1461,$E1461)=1,1,0))</f>
        <v/>
      </c>
      <c r="AO1461">
        <f>IF($AN1461=1,SUMPRODUCT(--($AR$2:$AR$3001&lt;$AR1461))+1,"")</f>
        <v/>
      </c>
      <c r="AP1461">
        <f>IF($E1461="","",IF(OR($U1461=TRUE(),$U1461="TRUE"),1,0))</f>
        <v/>
      </c>
      <c r="AQ1461">
        <f>IF($E1461="","",IF($AD1461="Yes",1,0))</f>
        <v/>
      </c>
      <c r="AR1461">
        <f>IF($AN1461=1,IFERROR(VALUE(MID($E1461,2,20)),1000000000)+ROW()/100000,"")</f>
        <v/>
      </c>
    </row>
    <row r="1462">
      <c r="G1462" s="11" t="n"/>
      <c r="Q1462" s="7">
        <f>IF($E1462="","",P1462*AB1462/100)</f>
        <v/>
      </c>
      <c r="R1462" s="7" t="n"/>
      <c r="X1462" s="7" t="n"/>
      <c r="Y1462" s="7">
        <f>IF($E1462="","",AB1462*AE1462/100)</f>
        <v/>
      </c>
      <c r="Z1462" s="7">
        <f>IF($E1462="","",AB1462-Y1462)</f>
        <v/>
      </c>
      <c r="AA1462" s="7">
        <f>IF($E1462="","",Z1462-Q1462)</f>
        <v/>
      </c>
      <c r="AB1462" s="7" t="n"/>
      <c r="AE1462">
        <f>IF($E1462="","",IF($AQ1462=1,0,IF($AP1462=1,Settings!$C$6,Settings!$C$7))*100)</f>
        <v/>
      </c>
      <c r="AI1462" s="7" t="n"/>
      <c r="AL1462" s="11" t="n"/>
      <c r="AN1462">
        <f>IF($E1462="","",IF(COUNTIF($E$2:$E1462,$E1462)=1,1,0))</f>
        <v/>
      </c>
      <c r="AO1462">
        <f>IF($AN1462=1,SUMPRODUCT(--($AR$2:$AR$3001&lt;$AR1462))+1,"")</f>
        <v/>
      </c>
      <c r="AP1462">
        <f>IF($E1462="","",IF(OR($U1462=TRUE(),$U1462="TRUE"),1,0))</f>
        <v/>
      </c>
      <c r="AQ1462">
        <f>IF($E1462="","",IF($AD1462="Yes",1,0))</f>
        <v/>
      </c>
      <c r="AR1462">
        <f>IF($AN1462=1,IFERROR(VALUE(MID($E1462,2,20)),1000000000)+ROW()/100000,"")</f>
        <v/>
      </c>
    </row>
    <row r="1463">
      <c r="G1463" s="11" t="n"/>
      <c r="Q1463" s="7">
        <f>IF($E1463="","",P1463*AB1463/100)</f>
        <v/>
      </c>
      <c r="R1463" s="7" t="n"/>
      <c r="X1463" s="7" t="n"/>
      <c r="Y1463" s="7">
        <f>IF($E1463="","",AB1463*AE1463/100)</f>
        <v/>
      </c>
      <c r="Z1463" s="7">
        <f>IF($E1463="","",AB1463-Y1463)</f>
        <v/>
      </c>
      <c r="AA1463" s="7">
        <f>IF($E1463="","",Z1463-Q1463)</f>
        <v/>
      </c>
      <c r="AB1463" s="7" t="n"/>
      <c r="AE1463">
        <f>IF($E1463="","",IF($AQ1463=1,0,IF($AP1463=1,Settings!$C$6,Settings!$C$7))*100)</f>
        <v/>
      </c>
      <c r="AI1463" s="7" t="n"/>
      <c r="AL1463" s="11" t="n"/>
      <c r="AN1463">
        <f>IF($E1463="","",IF(COUNTIF($E$2:$E1463,$E1463)=1,1,0))</f>
        <v/>
      </c>
      <c r="AO1463">
        <f>IF($AN1463=1,SUMPRODUCT(--($AR$2:$AR$3001&lt;$AR1463))+1,"")</f>
        <v/>
      </c>
      <c r="AP1463">
        <f>IF($E1463="","",IF(OR($U1463=TRUE(),$U1463="TRUE"),1,0))</f>
        <v/>
      </c>
      <c r="AQ1463">
        <f>IF($E1463="","",IF($AD1463="Yes",1,0))</f>
        <v/>
      </c>
      <c r="AR1463">
        <f>IF($AN1463=1,IFERROR(VALUE(MID($E1463,2,20)),1000000000)+ROW()/100000,"")</f>
        <v/>
      </c>
    </row>
    <row r="1464">
      <c r="G1464" s="11" t="n"/>
      <c r="Q1464" s="7">
        <f>IF($E1464="","",P1464*AB1464/100)</f>
        <v/>
      </c>
      <c r="R1464" s="7" t="n"/>
      <c r="X1464" s="7" t="n"/>
      <c r="Y1464" s="7">
        <f>IF($E1464="","",AB1464*AE1464/100)</f>
        <v/>
      </c>
      <c r="Z1464" s="7">
        <f>IF($E1464="","",AB1464-Y1464)</f>
        <v/>
      </c>
      <c r="AA1464" s="7">
        <f>IF($E1464="","",Z1464-Q1464)</f>
        <v/>
      </c>
      <c r="AB1464" s="7" t="n"/>
      <c r="AE1464">
        <f>IF($E1464="","",IF($AQ1464=1,0,IF($AP1464=1,Settings!$C$6,Settings!$C$7))*100)</f>
        <v/>
      </c>
      <c r="AI1464" s="7" t="n"/>
      <c r="AL1464" s="11" t="n"/>
      <c r="AN1464">
        <f>IF($E1464="","",IF(COUNTIF($E$2:$E1464,$E1464)=1,1,0))</f>
        <v/>
      </c>
      <c r="AO1464">
        <f>IF($AN1464=1,SUMPRODUCT(--($AR$2:$AR$3001&lt;$AR1464))+1,"")</f>
        <v/>
      </c>
      <c r="AP1464">
        <f>IF($E1464="","",IF(OR($U1464=TRUE(),$U1464="TRUE"),1,0))</f>
        <v/>
      </c>
      <c r="AQ1464">
        <f>IF($E1464="","",IF($AD1464="Yes",1,0))</f>
        <v/>
      </c>
      <c r="AR1464">
        <f>IF($AN1464=1,IFERROR(VALUE(MID($E1464,2,20)),1000000000)+ROW()/100000,"")</f>
        <v/>
      </c>
    </row>
    <row r="1465">
      <c r="G1465" s="11" t="n"/>
      <c r="Q1465" s="7">
        <f>IF($E1465="","",P1465*AB1465/100)</f>
        <v/>
      </c>
      <c r="R1465" s="7" t="n"/>
      <c r="X1465" s="7" t="n"/>
      <c r="Y1465" s="7">
        <f>IF($E1465="","",AB1465*AE1465/100)</f>
        <v/>
      </c>
      <c r="Z1465" s="7">
        <f>IF($E1465="","",AB1465-Y1465)</f>
        <v/>
      </c>
      <c r="AA1465" s="7">
        <f>IF($E1465="","",Z1465-Q1465)</f>
        <v/>
      </c>
      <c r="AB1465" s="7" t="n"/>
      <c r="AE1465">
        <f>IF($E1465="","",IF($AQ1465=1,0,IF($AP1465=1,Settings!$C$6,Settings!$C$7))*100)</f>
        <v/>
      </c>
      <c r="AI1465" s="7" t="n"/>
      <c r="AL1465" s="11" t="n"/>
      <c r="AN1465">
        <f>IF($E1465="","",IF(COUNTIF($E$2:$E1465,$E1465)=1,1,0))</f>
        <v/>
      </c>
      <c r="AO1465">
        <f>IF($AN1465=1,SUMPRODUCT(--($AR$2:$AR$3001&lt;$AR1465))+1,"")</f>
        <v/>
      </c>
      <c r="AP1465">
        <f>IF($E1465="","",IF(OR($U1465=TRUE(),$U1465="TRUE"),1,0))</f>
        <v/>
      </c>
      <c r="AQ1465">
        <f>IF($E1465="","",IF($AD1465="Yes",1,0))</f>
        <v/>
      </c>
      <c r="AR1465">
        <f>IF($AN1465=1,IFERROR(VALUE(MID($E1465,2,20)),1000000000)+ROW()/100000,"")</f>
        <v/>
      </c>
    </row>
    <row r="1466">
      <c r="G1466" s="11" t="n"/>
      <c r="Q1466" s="7">
        <f>IF($E1466="","",P1466*AB1466/100)</f>
        <v/>
      </c>
      <c r="R1466" s="7" t="n"/>
      <c r="X1466" s="7" t="n"/>
      <c r="Y1466" s="7">
        <f>IF($E1466="","",AB1466*AE1466/100)</f>
        <v/>
      </c>
      <c r="Z1466" s="7">
        <f>IF($E1466="","",AB1466-Y1466)</f>
        <v/>
      </c>
      <c r="AA1466" s="7">
        <f>IF($E1466="","",Z1466-Q1466)</f>
        <v/>
      </c>
      <c r="AB1466" s="7" t="n"/>
      <c r="AE1466">
        <f>IF($E1466="","",IF($AQ1466=1,0,IF($AP1466=1,Settings!$C$6,Settings!$C$7))*100)</f>
        <v/>
      </c>
      <c r="AI1466" s="7" t="n"/>
      <c r="AL1466" s="11" t="n"/>
      <c r="AN1466">
        <f>IF($E1466="","",IF(COUNTIF($E$2:$E1466,$E1466)=1,1,0))</f>
        <v/>
      </c>
      <c r="AO1466">
        <f>IF($AN1466=1,SUMPRODUCT(--($AR$2:$AR$3001&lt;$AR1466))+1,"")</f>
        <v/>
      </c>
      <c r="AP1466">
        <f>IF($E1466="","",IF(OR($U1466=TRUE(),$U1466="TRUE"),1,0))</f>
        <v/>
      </c>
      <c r="AQ1466">
        <f>IF($E1466="","",IF($AD1466="Yes",1,0))</f>
        <v/>
      </c>
      <c r="AR1466">
        <f>IF($AN1466=1,IFERROR(VALUE(MID($E1466,2,20)),1000000000)+ROW()/100000,"")</f>
        <v/>
      </c>
    </row>
    <row r="1467">
      <c r="G1467" s="11" t="n"/>
      <c r="Q1467" s="7">
        <f>IF($E1467="","",P1467*AB1467/100)</f>
        <v/>
      </c>
      <c r="R1467" s="7" t="n"/>
      <c r="X1467" s="7" t="n"/>
      <c r="Y1467" s="7">
        <f>IF($E1467="","",AB1467*AE1467/100)</f>
        <v/>
      </c>
      <c r="Z1467" s="7">
        <f>IF($E1467="","",AB1467-Y1467)</f>
        <v/>
      </c>
      <c r="AA1467" s="7">
        <f>IF($E1467="","",Z1467-Q1467)</f>
        <v/>
      </c>
      <c r="AB1467" s="7" t="n"/>
      <c r="AE1467">
        <f>IF($E1467="","",IF($AQ1467=1,0,IF($AP1467=1,Settings!$C$6,Settings!$C$7))*100)</f>
        <v/>
      </c>
      <c r="AI1467" s="7" t="n"/>
      <c r="AL1467" s="11" t="n"/>
      <c r="AN1467">
        <f>IF($E1467="","",IF(COUNTIF($E$2:$E1467,$E1467)=1,1,0))</f>
        <v/>
      </c>
      <c r="AO1467">
        <f>IF($AN1467=1,SUMPRODUCT(--($AR$2:$AR$3001&lt;$AR1467))+1,"")</f>
        <v/>
      </c>
      <c r="AP1467">
        <f>IF($E1467="","",IF(OR($U1467=TRUE(),$U1467="TRUE"),1,0))</f>
        <v/>
      </c>
      <c r="AQ1467">
        <f>IF($E1467="","",IF($AD1467="Yes",1,0))</f>
        <v/>
      </c>
      <c r="AR1467">
        <f>IF($AN1467=1,IFERROR(VALUE(MID($E1467,2,20)),1000000000)+ROW()/100000,"")</f>
        <v/>
      </c>
    </row>
    <row r="1468">
      <c r="G1468" s="11" t="n"/>
      <c r="Q1468" s="7">
        <f>IF($E1468="","",P1468*AB1468/100)</f>
        <v/>
      </c>
      <c r="R1468" s="7" t="n"/>
      <c r="X1468" s="7" t="n"/>
      <c r="Y1468" s="7">
        <f>IF($E1468="","",AB1468*AE1468/100)</f>
        <v/>
      </c>
      <c r="Z1468" s="7">
        <f>IF($E1468="","",AB1468-Y1468)</f>
        <v/>
      </c>
      <c r="AA1468" s="7">
        <f>IF($E1468="","",Z1468-Q1468)</f>
        <v/>
      </c>
      <c r="AB1468" s="7" t="n"/>
      <c r="AE1468">
        <f>IF($E1468="","",IF($AQ1468=1,0,IF($AP1468=1,Settings!$C$6,Settings!$C$7))*100)</f>
        <v/>
      </c>
      <c r="AI1468" s="7" t="n"/>
      <c r="AL1468" s="11" t="n"/>
      <c r="AN1468">
        <f>IF($E1468="","",IF(COUNTIF($E$2:$E1468,$E1468)=1,1,0))</f>
        <v/>
      </c>
      <c r="AO1468">
        <f>IF($AN1468=1,SUMPRODUCT(--($AR$2:$AR$3001&lt;$AR1468))+1,"")</f>
        <v/>
      </c>
      <c r="AP1468">
        <f>IF($E1468="","",IF(OR($U1468=TRUE(),$U1468="TRUE"),1,0))</f>
        <v/>
      </c>
      <c r="AQ1468">
        <f>IF($E1468="","",IF($AD1468="Yes",1,0))</f>
        <v/>
      </c>
      <c r="AR1468">
        <f>IF($AN1468=1,IFERROR(VALUE(MID($E1468,2,20)),1000000000)+ROW()/100000,"")</f>
        <v/>
      </c>
    </row>
    <row r="1469">
      <c r="G1469" s="11" t="n"/>
      <c r="Q1469" s="7">
        <f>IF($E1469="","",P1469*AB1469/100)</f>
        <v/>
      </c>
      <c r="R1469" s="7" t="n"/>
      <c r="X1469" s="7" t="n"/>
      <c r="Y1469" s="7">
        <f>IF($E1469="","",AB1469*AE1469/100)</f>
        <v/>
      </c>
      <c r="Z1469" s="7">
        <f>IF($E1469="","",AB1469-Y1469)</f>
        <v/>
      </c>
      <c r="AA1469" s="7">
        <f>IF($E1469="","",Z1469-Q1469)</f>
        <v/>
      </c>
      <c r="AB1469" s="7" t="n"/>
      <c r="AE1469">
        <f>IF($E1469="","",IF($AQ1469=1,0,IF($AP1469=1,Settings!$C$6,Settings!$C$7))*100)</f>
        <v/>
      </c>
      <c r="AI1469" s="7" t="n"/>
      <c r="AL1469" s="11" t="n"/>
      <c r="AN1469">
        <f>IF($E1469="","",IF(COUNTIF($E$2:$E1469,$E1469)=1,1,0))</f>
        <v/>
      </c>
      <c r="AO1469">
        <f>IF($AN1469=1,SUMPRODUCT(--($AR$2:$AR$3001&lt;$AR1469))+1,"")</f>
        <v/>
      </c>
      <c r="AP1469">
        <f>IF($E1469="","",IF(OR($U1469=TRUE(),$U1469="TRUE"),1,0))</f>
        <v/>
      </c>
      <c r="AQ1469">
        <f>IF($E1469="","",IF($AD1469="Yes",1,0))</f>
        <v/>
      </c>
      <c r="AR1469">
        <f>IF($AN1469=1,IFERROR(VALUE(MID($E1469,2,20)),1000000000)+ROW()/100000,"")</f>
        <v/>
      </c>
    </row>
    <row r="1470">
      <c r="G1470" s="11" t="n"/>
      <c r="Q1470" s="7">
        <f>IF($E1470="","",P1470*AB1470/100)</f>
        <v/>
      </c>
      <c r="R1470" s="7" t="n"/>
      <c r="X1470" s="7" t="n"/>
      <c r="Y1470" s="7">
        <f>IF($E1470="","",AB1470*AE1470/100)</f>
        <v/>
      </c>
      <c r="Z1470" s="7">
        <f>IF($E1470="","",AB1470-Y1470)</f>
        <v/>
      </c>
      <c r="AA1470" s="7">
        <f>IF($E1470="","",Z1470-Q1470)</f>
        <v/>
      </c>
      <c r="AB1470" s="7" t="n"/>
      <c r="AE1470">
        <f>IF($E1470="","",IF($AQ1470=1,0,IF($AP1470=1,Settings!$C$6,Settings!$C$7))*100)</f>
        <v/>
      </c>
      <c r="AI1470" s="7" t="n"/>
      <c r="AL1470" s="11" t="n"/>
      <c r="AN1470">
        <f>IF($E1470="","",IF(COUNTIF($E$2:$E1470,$E1470)=1,1,0))</f>
        <v/>
      </c>
      <c r="AO1470">
        <f>IF($AN1470=1,SUMPRODUCT(--($AR$2:$AR$3001&lt;$AR1470))+1,"")</f>
        <v/>
      </c>
      <c r="AP1470">
        <f>IF($E1470="","",IF(OR($U1470=TRUE(),$U1470="TRUE"),1,0))</f>
        <v/>
      </c>
      <c r="AQ1470">
        <f>IF($E1470="","",IF($AD1470="Yes",1,0))</f>
        <v/>
      </c>
      <c r="AR1470">
        <f>IF($AN1470=1,IFERROR(VALUE(MID($E1470,2,20)),1000000000)+ROW()/100000,"")</f>
        <v/>
      </c>
    </row>
    <row r="1471">
      <c r="G1471" s="11" t="n"/>
      <c r="Q1471" s="7">
        <f>IF($E1471="","",P1471*AB1471/100)</f>
        <v/>
      </c>
      <c r="R1471" s="7" t="n"/>
      <c r="X1471" s="7" t="n"/>
      <c r="Y1471" s="7">
        <f>IF($E1471="","",AB1471*AE1471/100)</f>
        <v/>
      </c>
      <c r="Z1471" s="7">
        <f>IF($E1471="","",AB1471-Y1471)</f>
        <v/>
      </c>
      <c r="AA1471" s="7">
        <f>IF($E1471="","",Z1471-Q1471)</f>
        <v/>
      </c>
      <c r="AB1471" s="7" t="n"/>
      <c r="AE1471">
        <f>IF($E1471="","",IF($AQ1471=1,0,IF($AP1471=1,Settings!$C$6,Settings!$C$7))*100)</f>
        <v/>
      </c>
      <c r="AI1471" s="7" t="n"/>
      <c r="AL1471" s="11" t="n"/>
      <c r="AN1471">
        <f>IF($E1471="","",IF(COUNTIF($E$2:$E1471,$E1471)=1,1,0))</f>
        <v/>
      </c>
      <c r="AO1471">
        <f>IF($AN1471=1,SUMPRODUCT(--($AR$2:$AR$3001&lt;$AR1471))+1,"")</f>
        <v/>
      </c>
      <c r="AP1471">
        <f>IF($E1471="","",IF(OR($U1471=TRUE(),$U1471="TRUE"),1,0))</f>
        <v/>
      </c>
      <c r="AQ1471">
        <f>IF($E1471="","",IF($AD1471="Yes",1,0))</f>
        <v/>
      </c>
      <c r="AR1471">
        <f>IF($AN1471=1,IFERROR(VALUE(MID($E1471,2,20)),1000000000)+ROW()/100000,"")</f>
        <v/>
      </c>
    </row>
    <row r="1472">
      <c r="G1472" s="11" t="n"/>
      <c r="Q1472" s="7">
        <f>IF($E1472="","",P1472*AB1472/100)</f>
        <v/>
      </c>
      <c r="R1472" s="7" t="n"/>
      <c r="X1472" s="7" t="n"/>
      <c r="Y1472" s="7">
        <f>IF($E1472="","",AB1472*AE1472/100)</f>
        <v/>
      </c>
      <c r="Z1472" s="7">
        <f>IF($E1472="","",AB1472-Y1472)</f>
        <v/>
      </c>
      <c r="AA1472" s="7">
        <f>IF($E1472="","",Z1472-Q1472)</f>
        <v/>
      </c>
      <c r="AB1472" s="7" t="n"/>
      <c r="AE1472">
        <f>IF($E1472="","",IF($AQ1472=1,0,IF($AP1472=1,Settings!$C$6,Settings!$C$7))*100)</f>
        <v/>
      </c>
      <c r="AI1472" s="7" t="n"/>
      <c r="AL1472" s="11" t="n"/>
      <c r="AN1472">
        <f>IF($E1472="","",IF(COUNTIF($E$2:$E1472,$E1472)=1,1,0))</f>
        <v/>
      </c>
      <c r="AO1472">
        <f>IF($AN1472=1,SUMPRODUCT(--($AR$2:$AR$3001&lt;$AR1472))+1,"")</f>
        <v/>
      </c>
      <c r="AP1472">
        <f>IF($E1472="","",IF(OR($U1472=TRUE(),$U1472="TRUE"),1,0))</f>
        <v/>
      </c>
      <c r="AQ1472">
        <f>IF($E1472="","",IF($AD1472="Yes",1,0))</f>
        <v/>
      </c>
      <c r="AR1472">
        <f>IF($AN1472=1,IFERROR(VALUE(MID($E1472,2,20)),1000000000)+ROW()/100000,"")</f>
        <v/>
      </c>
    </row>
    <row r="1473">
      <c r="G1473" s="11" t="n"/>
      <c r="Q1473" s="7">
        <f>IF($E1473="","",P1473*AB1473/100)</f>
        <v/>
      </c>
      <c r="R1473" s="7" t="n"/>
      <c r="X1473" s="7" t="n"/>
      <c r="Y1473" s="7">
        <f>IF($E1473="","",AB1473*AE1473/100)</f>
        <v/>
      </c>
      <c r="Z1473" s="7">
        <f>IF($E1473="","",AB1473-Y1473)</f>
        <v/>
      </c>
      <c r="AA1473" s="7">
        <f>IF($E1473="","",Z1473-Q1473)</f>
        <v/>
      </c>
      <c r="AB1473" s="7" t="n"/>
      <c r="AE1473">
        <f>IF($E1473="","",IF($AQ1473=1,0,IF($AP1473=1,Settings!$C$6,Settings!$C$7))*100)</f>
        <v/>
      </c>
      <c r="AI1473" s="7" t="n"/>
      <c r="AL1473" s="11" t="n"/>
      <c r="AN1473">
        <f>IF($E1473="","",IF(COUNTIF($E$2:$E1473,$E1473)=1,1,0))</f>
        <v/>
      </c>
      <c r="AO1473">
        <f>IF($AN1473=1,SUMPRODUCT(--($AR$2:$AR$3001&lt;$AR1473))+1,"")</f>
        <v/>
      </c>
      <c r="AP1473">
        <f>IF($E1473="","",IF(OR($U1473=TRUE(),$U1473="TRUE"),1,0))</f>
        <v/>
      </c>
      <c r="AQ1473">
        <f>IF($E1473="","",IF($AD1473="Yes",1,0))</f>
        <v/>
      </c>
      <c r="AR1473">
        <f>IF($AN1473=1,IFERROR(VALUE(MID($E1473,2,20)),1000000000)+ROW()/100000,"")</f>
        <v/>
      </c>
    </row>
    <row r="1474">
      <c r="G1474" s="11" t="n"/>
      <c r="Q1474" s="7">
        <f>IF($E1474="","",P1474*AB1474/100)</f>
        <v/>
      </c>
      <c r="R1474" s="7" t="n"/>
      <c r="X1474" s="7" t="n"/>
      <c r="Y1474" s="7">
        <f>IF($E1474="","",AB1474*AE1474/100)</f>
        <v/>
      </c>
      <c r="Z1474" s="7">
        <f>IF($E1474="","",AB1474-Y1474)</f>
        <v/>
      </c>
      <c r="AA1474" s="7">
        <f>IF($E1474="","",Z1474-Q1474)</f>
        <v/>
      </c>
      <c r="AB1474" s="7" t="n"/>
      <c r="AE1474">
        <f>IF($E1474="","",IF($AQ1474=1,0,IF($AP1474=1,Settings!$C$6,Settings!$C$7))*100)</f>
        <v/>
      </c>
      <c r="AI1474" s="7" t="n"/>
      <c r="AL1474" s="11" t="n"/>
      <c r="AN1474">
        <f>IF($E1474="","",IF(COUNTIF($E$2:$E1474,$E1474)=1,1,0))</f>
        <v/>
      </c>
      <c r="AO1474">
        <f>IF($AN1474=1,SUMPRODUCT(--($AR$2:$AR$3001&lt;$AR1474))+1,"")</f>
        <v/>
      </c>
      <c r="AP1474">
        <f>IF($E1474="","",IF(OR($U1474=TRUE(),$U1474="TRUE"),1,0))</f>
        <v/>
      </c>
      <c r="AQ1474">
        <f>IF($E1474="","",IF($AD1474="Yes",1,0))</f>
        <v/>
      </c>
      <c r="AR1474">
        <f>IF($AN1474=1,IFERROR(VALUE(MID($E1474,2,20)),1000000000)+ROW()/100000,"")</f>
        <v/>
      </c>
    </row>
    <row r="1475">
      <c r="G1475" s="11" t="n"/>
      <c r="Q1475" s="7">
        <f>IF($E1475="","",P1475*AB1475/100)</f>
        <v/>
      </c>
      <c r="R1475" s="7" t="n"/>
      <c r="X1475" s="7" t="n"/>
      <c r="Y1475" s="7">
        <f>IF($E1475="","",AB1475*AE1475/100)</f>
        <v/>
      </c>
      <c r="Z1475" s="7">
        <f>IF($E1475="","",AB1475-Y1475)</f>
        <v/>
      </c>
      <c r="AA1475" s="7">
        <f>IF($E1475="","",Z1475-Q1475)</f>
        <v/>
      </c>
      <c r="AB1475" s="7" t="n"/>
      <c r="AE1475">
        <f>IF($E1475="","",IF($AQ1475=1,0,IF($AP1475=1,Settings!$C$6,Settings!$C$7))*100)</f>
        <v/>
      </c>
      <c r="AI1475" s="7" t="n"/>
      <c r="AL1475" s="11" t="n"/>
      <c r="AN1475">
        <f>IF($E1475="","",IF(COUNTIF($E$2:$E1475,$E1475)=1,1,0))</f>
        <v/>
      </c>
      <c r="AO1475">
        <f>IF($AN1475=1,SUMPRODUCT(--($AR$2:$AR$3001&lt;$AR1475))+1,"")</f>
        <v/>
      </c>
      <c r="AP1475">
        <f>IF($E1475="","",IF(OR($U1475=TRUE(),$U1475="TRUE"),1,0))</f>
        <v/>
      </c>
      <c r="AQ1475">
        <f>IF($E1475="","",IF($AD1475="Yes",1,0))</f>
        <v/>
      </c>
      <c r="AR1475">
        <f>IF($AN1475=1,IFERROR(VALUE(MID($E1475,2,20)),1000000000)+ROW()/100000,"")</f>
        <v/>
      </c>
    </row>
    <row r="1476">
      <c r="G1476" s="11" t="n"/>
      <c r="Q1476" s="7">
        <f>IF($E1476="","",P1476*AB1476/100)</f>
        <v/>
      </c>
      <c r="R1476" s="7" t="n"/>
      <c r="X1476" s="7" t="n"/>
      <c r="Y1476" s="7">
        <f>IF($E1476="","",AB1476*AE1476/100)</f>
        <v/>
      </c>
      <c r="Z1476" s="7">
        <f>IF($E1476="","",AB1476-Y1476)</f>
        <v/>
      </c>
      <c r="AA1476" s="7">
        <f>IF($E1476="","",Z1476-Q1476)</f>
        <v/>
      </c>
      <c r="AB1476" s="7" t="n"/>
      <c r="AE1476">
        <f>IF($E1476="","",IF($AQ1476=1,0,IF($AP1476=1,Settings!$C$6,Settings!$C$7))*100)</f>
        <v/>
      </c>
      <c r="AI1476" s="7" t="n"/>
      <c r="AL1476" s="11" t="n"/>
      <c r="AN1476">
        <f>IF($E1476="","",IF(COUNTIF($E$2:$E1476,$E1476)=1,1,0))</f>
        <v/>
      </c>
      <c r="AO1476">
        <f>IF($AN1476=1,SUMPRODUCT(--($AR$2:$AR$3001&lt;$AR1476))+1,"")</f>
        <v/>
      </c>
      <c r="AP1476">
        <f>IF($E1476="","",IF(OR($U1476=TRUE(),$U1476="TRUE"),1,0))</f>
        <v/>
      </c>
      <c r="AQ1476">
        <f>IF($E1476="","",IF($AD1476="Yes",1,0))</f>
        <v/>
      </c>
      <c r="AR1476">
        <f>IF($AN1476=1,IFERROR(VALUE(MID($E1476,2,20)),1000000000)+ROW()/100000,"")</f>
        <v/>
      </c>
    </row>
    <row r="1477">
      <c r="G1477" s="11" t="n"/>
      <c r="Q1477" s="7">
        <f>IF($E1477="","",P1477*AB1477/100)</f>
        <v/>
      </c>
      <c r="R1477" s="7" t="n"/>
      <c r="X1477" s="7" t="n"/>
      <c r="Y1477" s="7">
        <f>IF($E1477="","",AB1477*AE1477/100)</f>
        <v/>
      </c>
      <c r="Z1477" s="7">
        <f>IF($E1477="","",AB1477-Y1477)</f>
        <v/>
      </c>
      <c r="AA1477" s="7">
        <f>IF($E1477="","",Z1477-Q1477)</f>
        <v/>
      </c>
      <c r="AB1477" s="7" t="n"/>
      <c r="AE1477">
        <f>IF($E1477="","",IF($AQ1477=1,0,IF($AP1477=1,Settings!$C$6,Settings!$C$7))*100)</f>
        <v/>
      </c>
      <c r="AI1477" s="7" t="n"/>
      <c r="AL1477" s="11" t="n"/>
      <c r="AN1477">
        <f>IF($E1477="","",IF(COUNTIF($E$2:$E1477,$E1477)=1,1,0))</f>
        <v/>
      </c>
      <c r="AO1477">
        <f>IF($AN1477=1,SUMPRODUCT(--($AR$2:$AR$3001&lt;$AR1477))+1,"")</f>
        <v/>
      </c>
      <c r="AP1477">
        <f>IF($E1477="","",IF(OR($U1477=TRUE(),$U1477="TRUE"),1,0))</f>
        <v/>
      </c>
      <c r="AQ1477">
        <f>IF($E1477="","",IF($AD1477="Yes",1,0))</f>
        <v/>
      </c>
      <c r="AR1477">
        <f>IF($AN1477=1,IFERROR(VALUE(MID($E1477,2,20)),1000000000)+ROW()/100000,"")</f>
        <v/>
      </c>
    </row>
    <row r="1478">
      <c r="G1478" s="11" t="n"/>
      <c r="Q1478" s="7">
        <f>IF($E1478="","",P1478*AB1478/100)</f>
        <v/>
      </c>
      <c r="R1478" s="7" t="n"/>
      <c r="X1478" s="7" t="n"/>
      <c r="Y1478" s="7">
        <f>IF($E1478="","",AB1478*AE1478/100)</f>
        <v/>
      </c>
      <c r="Z1478" s="7">
        <f>IF($E1478="","",AB1478-Y1478)</f>
        <v/>
      </c>
      <c r="AA1478" s="7">
        <f>IF($E1478="","",Z1478-Q1478)</f>
        <v/>
      </c>
      <c r="AB1478" s="7" t="n"/>
      <c r="AE1478">
        <f>IF($E1478="","",IF($AQ1478=1,0,IF($AP1478=1,Settings!$C$6,Settings!$C$7))*100)</f>
        <v/>
      </c>
      <c r="AI1478" s="7" t="n"/>
      <c r="AL1478" s="11" t="n"/>
      <c r="AN1478">
        <f>IF($E1478="","",IF(COUNTIF($E$2:$E1478,$E1478)=1,1,0))</f>
        <v/>
      </c>
      <c r="AO1478">
        <f>IF($AN1478=1,SUMPRODUCT(--($AR$2:$AR$3001&lt;$AR1478))+1,"")</f>
        <v/>
      </c>
      <c r="AP1478">
        <f>IF($E1478="","",IF(OR($U1478=TRUE(),$U1478="TRUE"),1,0))</f>
        <v/>
      </c>
      <c r="AQ1478">
        <f>IF($E1478="","",IF($AD1478="Yes",1,0))</f>
        <v/>
      </c>
      <c r="AR1478">
        <f>IF($AN1478=1,IFERROR(VALUE(MID($E1478,2,20)),1000000000)+ROW()/100000,"")</f>
        <v/>
      </c>
    </row>
    <row r="1479">
      <c r="G1479" s="11" t="n"/>
      <c r="Q1479" s="7">
        <f>IF($E1479="","",P1479*AB1479/100)</f>
        <v/>
      </c>
      <c r="R1479" s="7" t="n"/>
      <c r="X1479" s="7" t="n"/>
      <c r="Y1479" s="7">
        <f>IF($E1479="","",AB1479*AE1479/100)</f>
        <v/>
      </c>
      <c r="Z1479" s="7">
        <f>IF($E1479="","",AB1479-Y1479)</f>
        <v/>
      </c>
      <c r="AA1479" s="7">
        <f>IF($E1479="","",Z1479-Q1479)</f>
        <v/>
      </c>
      <c r="AB1479" s="7" t="n"/>
      <c r="AE1479">
        <f>IF($E1479="","",IF($AQ1479=1,0,IF($AP1479=1,Settings!$C$6,Settings!$C$7))*100)</f>
        <v/>
      </c>
      <c r="AI1479" s="7" t="n"/>
      <c r="AL1479" s="11" t="n"/>
      <c r="AN1479">
        <f>IF($E1479="","",IF(COUNTIF($E$2:$E1479,$E1479)=1,1,0))</f>
        <v/>
      </c>
      <c r="AO1479">
        <f>IF($AN1479=1,SUMPRODUCT(--($AR$2:$AR$3001&lt;$AR1479))+1,"")</f>
        <v/>
      </c>
      <c r="AP1479">
        <f>IF($E1479="","",IF(OR($U1479=TRUE(),$U1479="TRUE"),1,0))</f>
        <v/>
      </c>
      <c r="AQ1479">
        <f>IF($E1479="","",IF($AD1479="Yes",1,0))</f>
        <v/>
      </c>
      <c r="AR1479">
        <f>IF($AN1479=1,IFERROR(VALUE(MID($E1479,2,20)),1000000000)+ROW()/100000,"")</f>
        <v/>
      </c>
    </row>
    <row r="1480">
      <c r="G1480" s="11" t="n"/>
      <c r="Q1480" s="7">
        <f>IF($E1480="","",P1480*AB1480/100)</f>
        <v/>
      </c>
      <c r="R1480" s="7" t="n"/>
      <c r="X1480" s="7" t="n"/>
      <c r="Y1480" s="7">
        <f>IF($E1480="","",AB1480*AE1480/100)</f>
        <v/>
      </c>
      <c r="Z1480" s="7">
        <f>IF($E1480="","",AB1480-Y1480)</f>
        <v/>
      </c>
      <c r="AA1480" s="7">
        <f>IF($E1480="","",Z1480-Q1480)</f>
        <v/>
      </c>
      <c r="AB1480" s="7" t="n"/>
      <c r="AE1480">
        <f>IF($E1480="","",IF($AQ1480=1,0,IF($AP1480=1,Settings!$C$6,Settings!$C$7))*100)</f>
        <v/>
      </c>
      <c r="AI1480" s="7" t="n"/>
      <c r="AL1480" s="11" t="n"/>
      <c r="AN1480">
        <f>IF($E1480="","",IF(COUNTIF($E$2:$E1480,$E1480)=1,1,0))</f>
        <v/>
      </c>
      <c r="AO1480">
        <f>IF($AN1480=1,SUMPRODUCT(--($AR$2:$AR$3001&lt;$AR1480))+1,"")</f>
        <v/>
      </c>
      <c r="AP1480">
        <f>IF($E1480="","",IF(OR($U1480=TRUE(),$U1480="TRUE"),1,0))</f>
        <v/>
      </c>
      <c r="AQ1480">
        <f>IF($E1480="","",IF($AD1480="Yes",1,0))</f>
        <v/>
      </c>
      <c r="AR1480">
        <f>IF($AN1480=1,IFERROR(VALUE(MID($E1480,2,20)),1000000000)+ROW()/100000,"")</f>
        <v/>
      </c>
    </row>
    <row r="1481">
      <c r="G1481" s="11" t="n"/>
      <c r="Q1481" s="7">
        <f>IF($E1481="","",P1481*AB1481/100)</f>
        <v/>
      </c>
      <c r="R1481" s="7" t="n"/>
      <c r="X1481" s="7" t="n"/>
      <c r="Y1481" s="7">
        <f>IF($E1481="","",AB1481*AE1481/100)</f>
        <v/>
      </c>
      <c r="Z1481" s="7">
        <f>IF($E1481="","",AB1481-Y1481)</f>
        <v/>
      </c>
      <c r="AA1481" s="7">
        <f>IF($E1481="","",Z1481-Q1481)</f>
        <v/>
      </c>
      <c r="AB1481" s="7" t="n"/>
      <c r="AE1481">
        <f>IF($E1481="","",IF($AQ1481=1,0,IF($AP1481=1,Settings!$C$6,Settings!$C$7))*100)</f>
        <v/>
      </c>
      <c r="AI1481" s="7" t="n"/>
      <c r="AL1481" s="11" t="n"/>
      <c r="AN1481">
        <f>IF($E1481="","",IF(COUNTIF($E$2:$E1481,$E1481)=1,1,0))</f>
        <v/>
      </c>
      <c r="AO1481">
        <f>IF($AN1481=1,SUMPRODUCT(--($AR$2:$AR$3001&lt;$AR1481))+1,"")</f>
        <v/>
      </c>
      <c r="AP1481">
        <f>IF($E1481="","",IF(OR($U1481=TRUE(),$U1481="TRUE"),1,0))</f>
        <v/>
      </c>
      <c r="AQ1481">
        <f>IF($E1481="","",IF($AD1481="Yes",1,0))</f>
        <v/>
      </c>
      <c r="AR1481">
        <f>IF($AN1481=1,IFERROR(VALUE(MID($E1481,2,20)),1000000000)+ROW()/100000,"")</f>
        <v/>
      </c>
    </row>
    <row r="1482">
      <c r="G1482" s="11" t="n"/>
      <c r="Q1482" s="7">
        <f>IF($E1482="","",P1482*AB1482/100)</f>
        <v/>
      </c>
      <c r="R1482" s="7" t="n"/>
      <c r="X1482" s="7" t="n"/>
      <c r="Y1482" s="7">
        <f>IF($E1482="","",AB1482*AE1482/100)</f>
        <v/>
      </c>
      <c r="Z1482" s="7">
        <f>IF($E1482="","",AB1482-Y1482)</f>
        <v/>
      </c>
      <c r="AA1482" s="7">
        <f>IF($E1482="","",Z1482-Q1482)</f>
        <v/>
      </c>
      <c r="AB1482" s="7" t="n"/>
      <c r="AE1482">
        <f>IF($E1482="","",IF($AQ1482=1,0,IF($AP1482=1,Settings!$C$6,Settings!$C$7))*100)</f>
        <v/>
      </c>
      <c r="AI1482" s="7" t="n"/>
      <c r="AL1482" s="11" t="n"/>
      <c r="AN1482">
        <f>IF($E1482="","",IF(COUNTIF($E$2:$E1482,$E1482)=1,1,0))</f>
        <v/>
      </c>
      <c r="AO1482">
        <f>IF($AN1482=1,SUMPRODUCT(--($AR$2:$AR$3001&lt;$AR1482))+1,"")</f>
        <v/>
      </c>
      <c r="AP1482">
        <f>IF($E1482="","",IF(OR($U1482=TRUE(),$U1482="TRUE"),1,0))</f>
        <v/>
      </c>
      <c r="AQ1482">
        <f>IF($E1482="","",IF($AD1482="Yes",1,0))</f>
        <v/>
      </c>
      <c r="AR1482">
        <f>IF($AN1482=1,IFERROR(VALUE(MID($E1482,2,20)),1000000000)+ROW()/100000,"")</f>
        <v/>
      </c>
    </row>
    <row r="1483">
      <c r="G1483" s="11" t="n"/>
      <c r="Q1483" s="7">
        <f>IF($E1483="","",P1483*AB1483/100)</f>
        <v/>
      </c>
      <c r="R1483" s="7" t="n"/>
      <c r="X1483" s="7" t="n"/>
      <c r="Y1483" s="7">
        <f>IF($E1483="","",AB1483*AE1483/100)</f>
        <v/>
      </c>
      <c r="Z1483" s="7">
        <f>IF($E1483="","",AB1483-Y1483)</f>
        <v/>
      </c>
      <c r="AA1483" s="7">
        <f>IF($E1483="","",Z1483-Q1483)</f>
        <v/>
      </c>
      <c r="AB1483" s="7" t="n"/>
      <c r="AE1483">
        <f>IF($E1483="","",IF($AQ1483=1,0,IF($AP1483=1,Settings!$C$6,Settings!$C$7))*100)</f>
        <v/>
      </c>
      <c r="AI1483" s="7" t="n"/>
      <c r="AL1483" s="11" t="n"/>
      <c r="AN1483">
        <f>IF($E1483="","",IF(COUNTIF($E$2:$E1483,$E1483)=1,1,0))</f>
        <v/>
      </c>
      <c r="AO1483">
        <f>IF($AN1483=1,SUMPRODUCT(--($AR$2:$AR$3001&lt;$AR1483))+1,"")</f>
        <v/>
      </c>
      <c r="AP1483">
        <f>IF($E1483="","",IF(OR($U1483=TRUE(),$U1483="TRUE"),1,0))</f>
        <v/>
      </c>
      <c r="AQ1483">
        <f>IF($E1483="","",IF($AD1483="Yes",1,0))</f>
        <v/>
      </c>
      <c r="AR1483">
        <f>IF($AN1483=1,IFERROR(VALUE(MID($E1483,2,20)),1000000000)+ROW()/100000,"")</f>
        <v/>
      </c>
    </row>
    <row r="1484">
      <c r="G1484" s="11" t="n"/>
      <c r="Q1484" s="7">
        <f>IF($E1484="","",P1484*AB1484/100)</f>
        <v/>
      </c>
      <c r="R1484" s="7" t="n"/>
      <c r="X1484" s="7" t="n"/>
      <c r="Y1484" s="7">
        <f>IF($E1484="","",AB1484*AE1484/100)</f>
        <v/>
      </c>
      <c r="Z1484" s="7">
        <f>IF($E1484="","",AB1484-Y1484)</f>
        <v/>
      </c>
      <c r="AA1484" s="7">
        <f>IF($E1484="","",Z1484-Q1484)</f>
        <v/>
      </c>
      <c r="AB1484" s="7" t="n"/>
      <c r="AE1484">
        <f>IF($E1484="","",IF($AQ1484=1,0,IF($AP1484=1,Settings!$C$6,Settings!$C$7))*100)</f>
        <v/>
      </c>
      <c r="AI1484" s="7" t="n"/>
      <c r="AL1484" s="11" t="n"/>
      <c r="AN1484">
        <f>IF($E1484="","",IF(COUNTIF($E$2:$E1484,$E1484)=1,1,0))</f>
        <v/>
      </c>
      <c r="AO1484">
        <f>IF($AN1484=1,SUMPRODUCT(--($AR$2:$AR$3001&lt;$AR1484))+1,"")</f>
        <v/>
      </c>
      <c r="AP1484">
        <f>IF($E1484="","",IF(OR($U1484=TRUE(),$U1484="TRUE"),1,0))</f>
        <v/>
      </c>
      <c r="AQ1484">
        <f>IF($E1484="","",IF($AD1484="Yes",1,0))</f>
        <v/>
      </c>
      <c r="AR1484">
        <f>IF($AN1484=1,IFERROR(VALUE(MID($E1484,2,20)),1000000000)+ROW()/100000,"")</f>
        <v/>
      </c>
    </row>
    <row r="1485">
      <c r="G1485" s="11" t="n"/>
      <c r="Q1485" s="7">
        <f>IF($E1485="","",P1485*AB1485/100)</f>
        <v/>
      </c>
      <c r="R1485" s="7" t="n"/>
      <c r="X1485" s="7" t="n"/>
      <c r="Y1485" s="7">
        <f>IF($E1485="","",AB1485*AE1485/100)</f>
        <v/>
      </c>
      <c r="Z1485" s="7">
        <f>IF($E1485="","",AB1485-Y1485)</f>
        <v/>
      </c>
      <c r="AA1485" s="7">
        <f>IF($E1485="","",Z1485-Q1485)</f>
        <v/>
      </c>
      <c r="AB1485" s="7" t="n"/>
      <c r="AE1485">
        <f>IF($E1485="","",IF($AQ1485=1,0,IF($AP1485=1,Settings!$C$6,Settings!$C$7))*100)</f>
        <v/>
      </c>
      <c r="AI1485" s="7" t="n"/>
      <c r="AL1485" s="11" t="n"/>
      <c r="AN1485">
        <f>IF($E1485="","",IF(COUNTIF($E$2:$E1485,$E1485)=1,1,0))</f>
        <v/>
      </c>
      <c r="AO1485">
        <f>IF($AN1485=1,SUMPRODUCT(--($AR$2:$AR$3001&lt;$AR1485))+1,"")</f>
        <v/>
      </c>
      <c r="AP1485">
        <f>IF($E1485="","",IF(OR($U1485=TRUE(),$U1485="TRUE"),1,0))</f>
        <v/>
      </c>
      <c r="AQ1485">
        <f>IF($E1485="","",IF($AD1485="Yes",1,0))</f>
        <v/>
      </c>
      <c r="AR1485">
        <f>IF($AN1485=1,IFERROR(VALUE(MID($E1485,2,20)),1000000000)+ROW()/100000,"")</f>
        <v/>
      </c>
    </row>
    <row r="1486">
      <c r="G1486" s="11" t="n"/>
      <c r="Q1486" s="7">
        <f>IF($E1486="","",P1486*AB1486/100)</f>
        <v/>
      </c>
      <c r="R1486" s="7" t="n"/>
      <c r="X1486" s="7" t="n"/>
      <c r="Y1486" s="7">
        <f>IF($E1486="","",AB1486*AE1486/100)</f>
        <v/>
      </c>
      <c r="Z1486" s="7">
        <f>IF($E1486="","",AB1486-Y1486)</f>
        <v/>
      </c>
      <c r="AA1486" s="7">
        <f>IF($E1486="","",Z1486-Q1486)</f>
        <v/>
      </c>
      <c r="AB1486" s="7" t="n"/>
      <c r="AE1486">
        <f>IF($E1486="","",IF($AQ1486=1,0,IF($AP1486=1,Settings!$C$6,Settings!$C$7))*100)</f>
        <v/>
      </c>
      <c r="AI1486" s="7" t="n"/>
      <c r="AL1486" s="11" t="n"/>
      <c r="AN1486">
        <f>IF($E1486="","",IF(COUNTIF($E$2:$E1486,$E1486)=1,1,0))</f>
        <v/>
      </c>
      <c r="AO1486">
        <f>IF($AN1486=1,SUMPRODUCT(--($AR$2:$AR$3001&lt;$AR1486))+1,"")</f>
        <v/>
      </c>
      <c r="AP1486">
        <f>IF($E1486="","",IF(OR($U1486=TRUE(),$U1486="TRUE"),1,0))</f>
        <v/>
      </c>
      <c r="AQ1486">
        <f>IF($E1486="","",IF($AD1486="Yes",1,0))</f>
        <v/>
      </c>
      <c r="AR1486">
        <f>IF($AN1486=1,IFERROR(VALUE(MID($E1486,2,20)),1000000000)+ROW()/100000,"")</f>
        <v/>
      </c>
    </row>
    <row r="1487">
      <c r="G1487" s="11" t="n"/>
      <c r="Q1487" s="7">
        <f>IF($E1487="","",P1487*AB1487/100)</f>
        <v/>
      </c>
      <c r="R1487" s="7" t="n"/>
      <c r="X1487" s="7" t="n"/>
      <c r="Y1487" s="7">
        <f>IF($E1487="","",AB1487*AE1487/100)</f>
        <v/>
      </c>
      <c r="Z1487" s="7">
        <f>IF($E1487="","",AB1487-Y1487)</f>
        <v/>
      </c>
      <c r="AA1487" s="7">
        <f>IF($E1487="","",Z1487-Q1487)</f>
        <v/>
      </c>
      <c r="AB1487" s="7" t="n"/>
      <c r="AE1487">
        <f>IF($E1487="","",IF($AQ1487=1,0,IF($AP1487=1,Settings!$C$6,Settings!$C$7))*100)</f>
        <v/>
      </c>
      <c r="AI1487" s="7" t="n"/>
      <c r="AL1487" s="11" t="n"/>
      <c r="AN1487">
        <f>IF($E1487="","",IF(COUNTIF($E$2:$E1487,$E1487)=1,1,0))</f>
        <v/>
      </c>
      <c r="AO1487">
        <f>IF($AN1487=1,SUMPRODUCT(--($AR$2:$AR$3001&lt;$AR1487))+1,"")</f>
        <v/>
      </c>
      <c r="AP1487">
        <f>IF($E1487="","",IF(OR($U1487=TRUE(),$U1487="TRUE"),1,0))</f>
        <v/>
      </c>
      <c r="AQ1487">
        <f>IF($E1487="","",IF($AD1487="Yes",1,0))</f>
        <v/>
      </c>
      <c r="AR1487">
        <f>IF($AN1487=1,IFERROR(VALUE(MID($E1487,2,20)),1000000000)+ROW()/100000,"")</f>
        <v/>
      </c>
    </row>
    <row r="1488">
      <c r="G1488" s="11" t="n"/>
      <c r="Q1488" s="7">
        <f>IF($E1488="","",P1488*AB1488/100)</f>
        <v/>
      </c>
      <c r="R1488" s="7" t="n"/>
      <c r="X1488" s="7" t="n"/>
      <c r="Y1488" s="7">
        <f>IF($E1488="","",AB1488*AE1488/100)</f>
        <v/>
      </c>
      <c r="Z1488" s="7">
        <f>IF($E1488="","",AB1488-Y1488)</f>
        <v/>
      </c>
      <c r="AA1488" s="7">
        <f>IF($E1488="","",Z1488-Q1488)</f>
        <v/>
      </c>
      <c r="AB1488" s="7" t="n"/>
      <c r="AE1488">
        <f>IF($E1488="","",IF($AQ1488=1,0,IF($AP1488=1,Settings!$C$6,Settings!$C$7))*100)</f>
        <v/>
      </c>
      <c r="AI1488" s="7" t="n"/>
      <c r="AL1488" s="11" t="n"/>
      <c r="AN1488">
        <f>IF($E1488="","",IF(COUNTIF($E$2:$E1488,$E1488)=1,1,0))</f>
        <v/>
      </c>
      <c r="AO1488">
        <f>IF($AN1488=1,SUMPRODUCT(--($AR$2:$AR$3001&lt;$AR1488))+1,"")</f>
        <v/>
      </c>
      <c r="AP1488">
        <f>IF($E1488="","",IF(OR($U1488=TRUE(),$U1488="TRUE"),1,0))</f>
        <v/>
      </c>
      <c r="AQ1488">
        <f>IF($E1488="","",IF($AD1488="Yes",1,0))</f>
        <v/>
      </c>
      <c r="AR1488">
        <f>IF($AN1488=1,IFERROR(VALUE(MID($E1488,2,20)),1000000000)+ROW()/100000,"")</f>
        <v/>
      </c>
    </row>
    <row r="1489">
      <c r="G1489" s="11" t="n"/>
      <c r="Q1489" s="7">
        <f>IF($E1489="","",P1489*AB1489/100)</f>
        <v/>
      </c>
      <c r="R1489" s="7" t="n"/>
      <c r="X1489" s="7" t="n"/>
      <c r="Y1489" s="7">
        <f>IF($E1489="","",AB1489*AE1489/100)</f>
        <v/>
      </c>
      <c r="Z1489" s="7">
        <f>IF($E1489="","",AB1489-Y1489)</f>
        <v/>
      </c>
      <c r="AA1489" s="7">
        <f>IF($E1489="","",Z1489-Q1489)</f>
        <v/>
      </c>
      <c r="AB1489" s="7" t="n"/>
      <c r="AE1489">
        <f>IF($E1489="","",IF($AQ1489=1,0,IF($AP1489=1,Settings!$C$6,Settings!$C$7))*100)</f>
        <v/>
      </c>
      <c r="AI1489" s="7" t="n"/>
      <c r="AL1489" s="11" t="n"/>
      <c r="AN1489">
        <f>IF($E1489="","",IF(COUNTIF($E$2:$E1489,$E1489)=1,1,0))</f>
        <v/>
      </c>
      <c r="AO1489">
        <f>IF($AN1489=1,SUMPRODUCT(--($AR$2:$AR$3001&lt;$AR1489))+1,"")</f>
        <v/>
      </c>
      <c r="AP1489">
        <f>IF($E1489="","",IF(OR($U1489=TRUE(),$U1489="TRUE"),1,0))</f>
        <v/>
      </c>
      <c r="AQ1489">
        <f>IF($E1489="","",IF($AD1489="Yes",1,0))</f>
        <v/>
      </c>
      <c r="AR1489">
        <f>IF($AN1489=1,IFERROR(VALUE(MID($E1489,2,20)),1000000000)+ROW()/100000,"")</f>
        <v/>
      </c>
    </row>
    <row r="1490">
      <c r="G1490" s="11" t="n"/>
      <c r="Q1490" s="7">
        <f>IF($E1490="","",P1490*AB1490/100)</f>
        <v/>
      </c>
      <c r="R1490" s="7" t="n"/>
      <c r="X1490" s="7" t="n"/>
      <c r="Y1490" s="7">
        <f>IF($E1490="","",AB1490*AE1490/100)</f>
        <v/>
      </c>
      <c r="Z1490" s="7">
        <f>IF($E1490="","",AB1490-Y1490)</f>
        <v/>
      </c>
      <c r="AA1490" s="7">
        <f>IF($E1490="","",Z1490-Q1490)</f>
        <v/>
      </c>
      <c r="AB1490" s="7" t="n"/>
      <c r="AE1490">
        <f>IF($E1490="","",IF($AQ1490=1,0,IF($AP1490=1,Settings!$C$6,Settings!$C$7))*100)</f>
        <v/>
      </c>
      <c r="AI1490" s="7" t="n"/>
      <c r="AL1490" s="11" t="n"/>
      <c r="AN1490">
        <f>IF($E1490="","",IF(COUNTIF($E$2:$E1490,$E1490)=1,1,0))</f>
        <v/>
      </c>
      <c r="AO1490">
        <f>IF($AN1490=1,SUMPRODUCT(--($AR$2:$AR$3001&lt;$AR1490))+1,"")</f>
        <v/>
      </c>
      <c r="AP1490">
        <f>IF($E1490="","",IF(OR($U1490=TRUE(),$U1490="TRUE"),1,0))</f>
        <v/>
      </c>
      <c r="AQ1490">
        <f>IF($E1490="","",IF($AD1490="Yes",1,0))</f>
        <v/>
      </c>
      <c r="AR1490">
        <f>IF($AN1490=1,IFERROR(VALUE(MID($E1490,2,20)),1000000000)+ROW()/100000,"")</f>
        <v/>
      </c>
    </row>
    <row r="1491">
      <c r="G1491" s="11" t="n"/>
      <c r="Q1491" s="7">
        <f>IF($E1491="","",P1491*AB1491/100)</f>
        <v/>
      </c>
      <c r="R1491" s="7" t="n"/>
      <c r="X1491" s="7" t="n"/>
      <c r="Y1491" s="7">
        <f>IF($E1491="","",AB1491*AE1491/100)</f>
        <v/>
      </c>
      <c r="Z1491" s="7">
        <f>IF($E1491="","",AB1491-Y1491)</f>
        <v/>
      </c>
      <c r="AA1491" s="7">
        <f>IF($E1491="","",Z1491-Q1491)</f>
        <v/>
      </c>
      <c r="AB1491" s="7" t="n"/>
      <c r="AE1491">
        <f>IF($E1491="","",IF($AQ1491=1,0,IF($AP1491=1,Settings!$C$6,Settings!$C$7))*100)</f>
        <v/>
      </c>
      <c r="AI1491" s="7" t="n"/>
      <c r="AL1491" s="11" t="n"/>
      <c r="AN1491">
        <f>IF($E1491="","",IF(COUNTIF($E$2:$E1491,$E1491)=1,1,0))</f>
        <v/>
      </c>
      <c r="AO1491">
        <f>IF($AN1491=1,SUMPRODUCT(--($AR$2:$AR$3001&lt;$AR1491))+1,"")</f>
        <v/>
      </c>
      <c r="AP1491">
        <f>IF($E1491="","",IF(OR($U1491=TRUE(),$U1491="TRUE"),1,0))</f>
        <v/>
      </c>
      <c r="AQ1491">
        <f>IF($E1491="","",IF($AD1491="Yes",1,0))</f>
        <v/>
      </c>
      <c r="AR1491">
        <f>IF($AN1491=1,IFERROR(VALUE(MID($E1491,2,20)),1000000000)+ROW()/100000,"")</f>
        <v/>
      </c>
    </row>
    <row r="1492">
      <c r="G1492" s="11" t="n"/>
      <c r="Q1492" s="7">
        <f>IF($E1492="","",P1492*AB1492/100)</f>
        <v/>
      </c>
      <c r="R1492" s="7" t="n"/>
      <c r="X1492" s="7" t="n"/>
      <c r="Y1492" s="7">
        <f>IF($E1492="","",AB1492*AE1492/100)</f>
        <v/>
      </c>
      <c r="Z1492" s="7">
        <f>IF($E1492="","",AB1492-Y1492)</f>
        <v/>
      </c>
      <c r="AA1492" s="7">
        <f>IF($E1492="","",Z1492-Q1492)</f>
        <v/>
      </c>
      <c r="AB1492" s="7" t="n"/>
      <c r="AE1492">
        <f>IF($E1492="","",IF($AQ1492=1,0,IF($AP1492=1,Settings!$C$6,Settings!$C$7))*100)</f>
        <v/>
      </c>
      <c r="AI1492" s="7" t="n"/>
      <c r="AL1492" s="11" t="n"/>
      <c r="AN1492">
        <f>IF($E1492="","",IF(COUNTIF($E$2:$E1492,$E1492)=1,1,0))</f>
        <v/>
      </c>
      <c r="AO1492">
        <f>IF($AN1492=1,SUMPRODUCT(--($AR$2:$AR$3001&lt;$AR1492))+1,"")</f>
        <v/>
      </c>
      <c r="AP1492">
        <f>IF($E1492="","",IF(OR($U1492=TRUE(),$U1492="TRUE"),1,0))</f>
        <v/>
      </c>
      <c r="AQ1492">
        <f>IF($E1492="","",IF($AD1492="Yes",1,0))</f>
        <v/>
      </c>
      <c r="AR1492">
        <f>IF($AN1492=1,IFERROR(VALUE(MID($E1492,2,20)),1000000000)+ROW()/100000,"")</f>
        <v/>
      </c>
    </row>
    <row r="1493">
      <c r="G1493" s="11" t="n"/>
      <c r="Q1493" s="7">
        <f>IF($E1493="","",P1493*AB1493/100)</f>
        <v/>
      </c>
      <c r="R1493" s="7" t="n"/>
      <c r="X1493" s="7" t="n"/>
      <c r="Y1493" s="7">
        <f>IF($E1493="","",AB1493*AE1493/100)</f>
        <v/>
      </c>
      <c r="Z1493" s="7">
        <f>IF($E1493="","",AB1493-Y1493)</f>
        <v/>
      </c>
      <c r="AA1493" s="7">
        <f>IF($E1493="","",Z1493-Q1493)</f>
        <v/>
      </c>
      <c r="AB1493" s="7" t="n"/>
      <c r="AE1493">
        <f>IF($E1493="","",IF($AQ1493=1,0,IF($AP1493=1,Settings!$C$6,Settings!$C$7))*100)</f>
        <v/>
      </c>
      <c r="AI1493" s="7" t="n"/>
      <c r="AL1493" s="11" t="n"/>
      <c r="AN1493">
        <f>IF($E1493="","",IF(COUNTIF($E$2:$E1493,$E1493)=1,1,0))</f>
        <v/>
      </c>
      <c r="AO1493">
        <f>IF($AN1493=1,SUMPRODUCT(--($AR$2:$AR$3001&lt;$AR1493))+1,"")</f>
        <v/>
      </c>
      <c r="AP1493">
        <f>IF($E1493="","",IF(OR($U1493=TRUE(),$U1493="TRUE"),1,0))</f>
        <v/>
      </c>
      <c r="AQ1493">
        <f>IF($E1493="","",IF($AD1493="Yes",1,0))</f>
        <v/>
      </c>
      <c r="AR1493">
        <f>IF($AN1493=1,IFERROR(VALUE(MID($E1493,2,20)),1000000000)+ROW()/100000,"")</f>
        <v/>
      </c>
    </row>
    <row r="1494">
      <c r="G1494" s="11" t="n"/>
      <c r="Q1494" s="7">
        <f>IF($E1494="","",P1494*AB1494/100)</f>
        <v/>
      </c>
      <c r="R1494" s="7" t="n"/>
      <c r="X1494" s="7" t="n"/>
      <c r="Y1494" s="7">
        <f>IF($E1494="","",AB1494*AE1494/100)</f>
        <v/>
      </c>
      <c r="Z1494" s="7">
        <f>IF($E1494="","",AB1494-Y1494)</f>
        <v/>
      </c>
      <c r="AA1494" s="7">
        <f>IF($E1494="","",Z1494-Q1494)</f>
        <v/>
      </c>
      <c r="AB1494" s="7" t="n"/>
      <c r="AE1494">
        <f>IF($E1494="","",IF($AQ1494=1,0,IF($AP1494=1,Settings!$C$6,Settings!$C$7))*100)</f>
        <v/>
      </c>
      <c r="AI1494" s="7" t="n"/>
      <c r="AL1494" s="11" t="n"/>
      <c r="AN1494">
        <f>IF($E1494="","",IF(COUNTIF($E$2:$E1494,$E1494)=1,1,0))</f>
        <v/>
      </c>
      <c r="AO1494">
        <f>IF($AN1494=1,SUMPRODUCT(--($AR$2:$AR$3001&lt;$AR1494))+1,"")</f>
        <v/>
      </c>
      <c r="AP1494">
        <f>IF($E1494="","",IF(OR($U1494=TRUE(),$U1494="TRUE"),1,0))</f>
        <v/>
      </c>
      <c r="AQ1494">
        <f>IF($E1494="","",IF($AD1494="Yes",1,0))</f>
        <v/>
      </c>
      <c r="AR1494">
        <f>IF($AN1494=1,IFERROR(VALUE(MID($E1494,2,20)),1000000000)+ROW()/100000,"")</f>
        <v/>
      </c>
    </row>
    <row r="1495">
      <c r="G1495" s="11" t="n"/>
      <c r="Q1495" s="7">
        <f>IF($E1495="","",P1495*AB1495/100)</f>
        <v/>
      </c>
      <c r="R1495" s="7" t="n"/>
      <c r="X1495" s="7" t="n"/>
      <c r="Y1495" s="7">
        <f>IF($E1495="","",AB1495*AE1495/100)</f>
        <v/>
      </c>
      <c r="Z1495" s="7">
        <f>IF($E1495="","",AB1495-Y1495)</f>
        <v/>
      </c>
      <c r="AA1495" s="7">
        <f>IF($E1495="","",Z1495-Q1495)</f>
        <v/>
      </c>
      <c r="AB1495" s="7" t="n"/>
      <c r="AE1495">
        <f>IF($E1495="","",IF($AQ1495=1,0,IF($AP1495=1,Settings!$C$6,Settings!$C$7))*100)</f>
        <v/>
      </c>
      <c r="AI1495" s="7" t="n"/>
      <c r="AL1495" s="11" t="n"/>
      <c r="AN1495">
        <f>IF($E1495="","",IF(COUNTIF($E$2:$E1495,$E1495)=1,1,0))</f>
        <v/>
      </c>
      <c r="AO1495">
        <f>IF($AN1495=1,SUMPRODUCT(--($AR$2:$AR$3001&lt;$AR1495))+1,"")</f>
        <v/>
      </c>
      <c r="AP1495">
        <f>IF($E1495="","",IF(OR($U1495=TRUE(),$U1495="TRUE"),1,0))</f>
        <v/>
      </c>
      <c r="AQ1495">
        <f>IF($E1495="","",IF($AD1495="Yes",1,0))</f>
        <v/>
      </c>
      <c r="AR1495">
        <f>IF($AN1495=1,IFERROR(VALUE(MID($E1495,2,20)),1000000000)+ROW()/100000,"")</f>
        <v/>
      </c>
    </row>
    <row r="1496">
      <c r="G1496" s="11" t="n"/>
      <c r="Q1496" s="7">
        <f>IF($E1496="","",P1496*AB1496/100)</f>
        <v/>
      </c>
      <c r="R1496" s="7" t="n"/>
      <c r="X1496" s="7" t="n"/>
      <c r="Y1496" s="7">
        <f>IF($E1496="","",AB1496*AE1496/100)</f>
        <v/>
      </c>
      <c r="Z1496" s="7">
        <f>IF($E1496="","",AB1496-Y1496)</f>
        <v/>
      </c>
      <c r="AA1496" s="7">
        <f>IF($E1496="","",Z1496-Q1496)</f>
        <v/>
      </c>
      <c r="AB1496" s="7" t="n"/>
      <c r="AE1496">
        <f>IF($E1496="","",IF($AQ1496=1,0,IF($AP1496=1,Settings!$C$6,Settings!$C$7))*100)</f>
        <v/>
      </c>
      <c r="AI1496" s="7" t="n"/>
      <c r="AL1496" s="11" t="n"/>
      <c r="AN1496">
        <f>IF($E1496="","",IF(COUNTIF($E$2:$E1496,$E1496)=1,1,0))</f>
        <v/>
      </c>
      <c r="AO1496">
        <f>IF($AN1496=1,SUMPRODUCT(--($AR$2:$AR$3001&lt;$AR1496))+1,"")</f>
        <v/>
      </c>
      <c r="AP1496">
        <f>IF($E1496="","",IF(OR($U1496=TRUE(),$U1496="TRUE"),1,0))</f>
        <v/>
      </c>
      <c r="AQ1496">
        <f>IF($E1496="","",IF($AD1496="Yes",1,0))</f>
        <v/>
      </c>
      <c r="AR1496">
        <f>IF($AN1496=1,IFERROR(VALUE(MID($E1496,2,20)),1000000000)+ROW()/100000,"")</f>
        <v/>
      </c>
    </row>
    <row r="1497">
      <c r="G1497" s="11" t="n"/>
      <c r="Q1497" s="7">
        <f>IF($E1497="","",P1497*AB1497/100)</f>
        <v/>
      </c>
      <c r="R1497" s="7" t="n"/>
      <c r="X1497" s="7" t="n"/>
      <c r="Y1497" s="7">
        <f>IF($E1497="","",AB1497*AE1497/100)</f>
        <v/>
      </c>
      <c r="Z1497" s="7">
        <f>IF($E1497="","",AB1497-Y1497)</f>
        <v/>
      </c>
      <c r="AA1497" s="7">
        <f>IF($E1497="","",Z1497-Q1497)</f>
        <v/>
      </c>
      <c r="AB1497" s="7" t="n"/>
      <c r="AE1497">
        <f>IF($E1497="","",IF($AQ1497=1,0,IF($AP1497=1,Settings!$C$6,Settings!$C$7))*100)</f>
        <v/>
      </c>
      <c r="AI1497" s="7" t="n"/>
      <c r="AL1497" s="11" t="n"/>
      <c r="AN1497">
        <f>IF($E1497="","",IF(COUNTIF($E$2:$E1497,$E1497)=1,1,0))</f>
        <v/>
      </c>
      <c r="AO1497">
        <f>IF($AN1497=1,SUMPRODUCT(--($AR$2:$AR$3001&lt;$AR1497))+1,"")</f>
        <v/>
      </c>
      <c r="AP1497">
        <f>IF($E1497="","",IF(OR($U1497=TRUE(),$U1497="TRUE"),1,0))</f>
        <v/>
      </c>
      <c r="AQ1497">
        <f>IF($E1497="","",IF($AD1497="Yes",1,0))</f>
        <v/>
      </c>
      <c r="AR1497">
        <f>IF($AN1497=1,IFERROR(VALUE(MID($E1497,2,20)),1000000000)+ROW()/100000,"")</f>
        <v/>
      </c>
    </row>
    <row r="1498">
      <c r="G1498" s="11" t="n"/>
      <c r="Q1498" s="7">
        <f>IF($E1498="","",P1498*AB1498/100)</f>
        <v/>
      </c>
      <c r="R1498" s="7" t="n"/>
      <c r="X1498" s="7" t="n"/>
      <c r="Y1498" s="7">
        <f>IF($E1498="","",AB1498*AE1498/100)</f>
        <v/>
      </c>
      <c r="Z1498" s="7">
        <f>IF($E1498="","",AB1498-Y1498)</f>
        <v/>
      </c>
      <c r="AA1498" s="7">
        <f>IF($E1498="","",Z1498-Q1498)</f>
        <v/>
      </c>
      <c r="AB1498" s="7" t="n"/>
      <c r="AE1498">
        <f>IF($E1498="","",IF($AQ1498=1,0,IF($AP1498=1,Settings!$C$6,Settings!$C$7))*100)</f>
        <v/>
      </c>
      <c r="AI1498" s="7" t="n"/>
      <c r="AL1498" s="11" t="n"/>
      <c r="AN1498">
        <f>IF($E1498="","",IF(COUNTIF($E$2:$E1498,$E1498)=1,1,0))</f>
        <v/>
      </c>
      <c r="AO1498">
        <f>IF($AN1498=1,SUMPRODUCT(--($AR$2:$AR$3001&lt;$AR1498))+1,"")</f>
        <v/>
      </c>
      <c r="AP1498">
        <f>IF($E1498="","",IF(OR($U1498=TRUE(),$U1498="TRUE"),1,0))</f>
        <v/>
      </c>
      <c r="AQ1498">
        <f>IF($E1498="","",IF($AD1498="Yes",1,0))</f>
        <v/>
      </c>
      <c r="AR1498">
        <f>IF($AN1498=1,IFERROR(VALUE(MID($E1498,2,20)),1000000000)+ROW()/100000,"")</f>
        <v/>
      </c>
    </row>
    <row r="1499">
      <c r="G1499" s="11" t="n"/>
      <c r="Q1499" s="7">
        <f>IF($E1499="","",P1499*AB1499/100)</f>
        <v/>
      </c>
      <c r="R1499" s="7" t="n"/>
      <c r="X1499" s="7" t="n"/>
      <c r="Y1499" s="7">
        <f>IF($E1499="","",AB1499*AE1499/100)</f>
        <v/>
      </c>
      <c r="Z1499" s="7">
        <f>IF($E1499="","",AB1499-Y1499)</f>
        <v/>
      </c>
      <c r="AA1499" s="7">
        <f>IF($E1499="","",Z1499-Q1499)</f>
        <v/>
      </c>
      <c r="AB1499" s="7" t="n"/>
      <c r="AE1499">
        <f>IF($E1499="","",IF($AQ1499=1,0,IF($AP1499=1,Settings!$C$6,Settings!$C$7))*100)</f>
        <v/>
      </c>
      <c r="AI1499" s="7" t="n"/>
      <c r="AL1499" s="11" t="n"/>
      <c r="AN1499">
        <f>IF($E1499="","",IF(COUNTIF($E$2:$E1499,$E1499)=1,1,0))</f>
        <v/>
      </c>
      <c r="AO1499">
        <f>IF($AN1499=1,SUMPRODUCT(--($AR$2:$AR$3001&lt;$AR1499))+1,"")</f>
        <v/>
      </c>
      <c r="AP1499">
        <f>IF($E1499="","",IF(OR($U1499=TRUE(),$U1499="TRUE"),1,0))</f>
        <v/>
      </c>
      <c r="AQ1499">
        <f>IF($E1499="","",IF($AD1499="Yes",1,0))</f>
        <v/>
      </c>
      <c r="AR1499">
        <f>IF($AN1499=1,IFERROR(VALUE(MID($E1499,2,20)),1000000000)+ROW()/100000,"")</f>
        <v/>
      </c>
    </row>
    <row r="1500">
      <c r="G1500" s="11" t="n"/>
      <c r="Q1500" s="7">
        <f>IF($E1500="","",P1500*AB1500/100)</f>
        <v/>
      </c>
      <c r="R1500" s="7" t="n"/>
      <c r="X1500" s="7" t="n"/>
      <c r="Y1500" s="7">
        <f>IF($E1500="","",AB1500*AE1500/100)</f>
        <v/>
      </c>
      <c r="Z1500" s="7">
        <f>IF($E1500="","",AB1500-Y1500)</f>
        <v/>
      </c>
      <c r="AA1500" s="7">
        <f>IF($E1500="","",Z1500-Q1500)</f>
        <v/>
      </c>
      <c r="AB1500" s="7" t="n"/>
      <c r="AE1500">
        <f>IF($E1500="","",IF($AQ1500=1,0,IF($AP1500=1,Settings!$C$6,Settings!$C$7))*100)</f>
        <v/>
      </c>
      <c r="AI1500" s="7" t="n"/>
      <c r="AL1500" s="11" t="n"/>
      <c r="AN1500">
        <f>IF($E1500="","",IF(COUNTIF($E$2:$E1500,$E1500)=1,1,0))</f>
        <v/>
      </c>
      <c r="AO1500">
        <f>IF($AN1500=1,SUMPRODUCT(--($AR$2:$AR$3001&lt;$AR1500))+1,"")</f>
        <v/>
      </c>
      <c r="AP1500">
        <f>IF($E1500="","",IF(OR($U1500=TRUE(),$U1500="TRUE"),1,0))</f>
        <v/>
      </c>
      <c r="AQ1500">
        <f>IF($E1500="","",IF($AD1500="Yes",1,0))</f>
        <v/>
      </c>
      <c r="AR1500">
        <f>IF($AN1500=1,IFERROR(VALUE(MID($E1500,2,20)),1000000000)+ROW()/100000,"")</f>
        <v/>
      </c>
    </row>
    <row r="1501">
      <c r="G1501" s="11" t="n"/>
      <c r="Q1501" s="7">
        <f>IF($E1501="","",P1501*AB1501/100)</f>
        <v/>
      </c>
      <c r="R1501" s="7" t="n"/>
      <c r="X1501" s="7" t="n"/>
      <c r="Y1501" s="7">
        <f>IF($E1501="","",AB1501*AE1501/100)</f>
        <v/>
      </c>
      <c r="Z1501" s="7">
        <f>IF($E1501="","",AB1501-Y1501)</f>
        <v/>
      </c>
      <c r="AA1501" s="7">
        <f>IF($E1501="","",Z1501-Q1501)</f>
        <v/>
      </c>
      <c r="AB1501" s="7" t="n"/>
      <c r="AE1501">
        <f>IF($E1501="","",IF($AQ1501=1,0,IF($AP1501=1,Settings!$C$6,Settings!$C$7))*100)</f>
        <v/>
      </c>
      <c r="AI1501" s="7" t="n"/>
      <c r="AL1501" s="11" t="n"/>
      <c r="AN1501">
        <f>IF($E1501="","",IF(COUNTIF($E$2:$E1501,$E1501)=1,1,0))</f>
        <v/>
      </c>
      <c r="AO1501">
        <f>IF($AN1501=1,SUMPRODUCT(--($AR$2:$AR$3001&lt;$AR1501))+1,"")</f>
        <v/>
      </c>
      <c r="AP1501">
        <f>IF($E1501="","",IF(OR($U1501=TRUE(),$U1501="TRUE"),1,0))</f>
        <v/>
      </c>
      <c r="AQ1501">
        <f>IF($E1501="","",IF($AD1501="Yes",1,0))</f>
        <v/>
      </c>
      <c r="AR1501">
        <f>IF($AN1501=1,IFERROR(VALUE(MID($E1501,2,20)),1000000000)+ROW()/100000,"")</f>
        <v/>
      </c>
    </row>
    <row r="1502">
      <c r="G1502" s="11" t="n"/>
      <c r="Q1502" s="7">
        <f>IF($E1502="","",P1502*AB1502/100)</f>
        <v/>
      </c>
      <c r="R1502" s="7" t="n"/>
      <c r="X1502" s="7" t="n"/>
      <c r="Y1502" s="7">
        <f>IF($E1502="","",AB1502*AE1502/100)</f>
        <v/>
      </c>
      <c r="Z1502" s="7">
        <f>IF($E1502="","",AB1502-Y1502)</f>
        <v/>
      </c>
      <c r="AA1502" s="7">
        <f>IF($E1502="","",Z1502-Q1502)</f>
        <v/>
      </c>
      <c r="AB1502" s="7" t="n"/>
      <c r="AE1502">
        <f>IF($E1502="","",IF($AQ1502=1,0,IF($AP1502=1,Settings!$C$6,Settings!$C$7))*100)</f>
        <v/>
      </c>
      <c r="AI1502" s="7" t="n"/>
      <c r="AL1502" s="11" t="n"/>
      <c r="AN1502">
        <f>IF($E1502="","",IF(COUNTIF($E$2:$E1502,$E1502)=1,1,0))</f>
        <v/>
      </c>
      <c r="AO1502">
        <f>IF($AN1502=1,SUMPRODUCT(--($AR$2:$AR$3001&lt;$AR1502))+1,"")</f>
        <v/>
      </c>
      <c r="AP1502">
        <f>IF($E1502="","",IF(OR($U1502=TRUE(),$U1502="TRUE"),1,0))</f>
        <v/>
      </c>
      <c r="AQ1502">
        <f>IF($E1502="","",IF($AD1502="Yes",1,0))</f>
        <v/>
      </c>
      <c r="AR1502">
        <f>IF($AN1502=1,IFERROR(VALUE(MID($E1502,2,20)),1000000000)+ROW()/100000,"")</f>
        <v/>
      </c>
    </row>
    <row r="1503">
      <c r="G1503" s="11" t="n"/>
      <c r="Q1503" s="7">
        <f>IF($E1503="","",P1503*AB1503/100)</f>
        <v/>
      </c>
      <c r="R1503" s="7" t="n"/>
      <c r="X1503" s="7" t="n"/>
      <c r="Y1503" s="7">
        <f>IF($E1503="","",AB1503*AE1503/100)</f>
        <v/>
      </c>
      <c r="Z1503" s="7">
        <f>IF($E1503="","",AB1503-Y1503)</f>
        <v/>
      </c>
      <c r="AA1503" s="7">
        <f>IF($E1503="","",Z1503-Q1503)</f>
        <v/>
      </c>
      <c r="AB1503" s="7" t="n"/>
      <c r="AE1503">
        <f>IF($E1503="","",IF($AQ1503=1,0,IF($AP1503=1,Settings!$C$6,Settings!$C$7))*100)</f>
        <v/>
      </c>
      <c r="AI1503" s="7" t="n"/>
      <c r="AL1503" s="11" t="n"/>
      <c r="AN1503">
        <f>IF($E1503="","",IF(COUNTIF($E$2:$E1503,$E1503)=1,1,0))</f>
        <v/>
      </c>
      <c r="AO1503">
        <f>IF($AN1503=1,SUMPRODUCT(--($AR$2:$AR$3001&lt;$AR1503))+1,"")</f>
        <v/>
      </c>
      <c r="AP1503">
        <f>IF($E1503="","",IF(OR($U1503=TRUE(),$U1503="TRUE"),1,0))</f>
        <v/>
      </c>
      <c r="AQ1503">
        <f>IF($E1503="","",IF($AD1503="Yes",1,0))</f>
        <v/>
      </c>
      <c r="AR1503">
        <f>IF($AN1503=1,IFERROR(VALUE(MID($E1503,2,20)),1000000000)+ROW()/100000,"")</f>
        <v/>
      </c>
    </row>
    <row r="1504">
      <c r="G1504" s="11" t="n"/>
      <c r="Q1504" s="7">
        <f>IF($E1504="","",P1504*AB1504/100)</f>
        <v/>
      </c>
      <c r="R1504" s="7" t="n"/>
      <c r="X1504" s="7" t="n"/>
      <c r="Y1504" s="7">
        <f>IF($E1504="","",AB1504*AE1504/100)</f>
        <v/>
      </c>
      <c r="Z1504" s="7">
        <f>IF($E1504="","",AB1504-Y1504)</f>
        <v/>
      </c>
      <c r="AA1504" s="7">
        <f>IF($E1504="","",Z1504-Q1504)</f>
        <v/>
      </c>
      <c r="AB1504" s="7" t="n"/>
      <c r="AE1504">
        <f>IF($E1504="","",IF($AQ1504=1,0,IF($AP1504=1,Settings!$C$6,Settings!$C$7))*100)</f>
        <v/>
      </c>
      <c r="AI1504" s="7" t="n"/>
      <c r="AL1504" s="11" t="n"/>
      <c r="AN1504">
        <f>IF($E1504="","",IF(COUNTIF($E$2:$E1504,$E1504)=1,1,0))</f>
        <v/>
      </c>
      <c r="AO1504">
        <f>IF($AN1504=1,SUMPRODUCT(--($AR$2:$AR$3001&lt;$AR1504))+1,"")</f>
        <v/>
      </c>
      <c r="AP1504">
        <f>IF($E1504="","",IF(OR($U1504=TRUE(),$U1504="TRUE"),1,0))</f>
        <v/>
      </c>
      <c r="AQ1504">
        <f>IF($E1504="","",IF($AD1504="Yes",1,0))</f>
        <v/>
      </c>
      <c r="AR1504">
        <f>IF($AN1504=1,IFERROR(VALUE(MID($E1504,2,20)),1000000000)+ROW()/100000,"")</f>
        <v/>
      </c>
    </row>
    <row r="1505">
      <c r="G1505" s="11" t="n"/>
      <c r="Q1505" s="7">
        <f>IF($E1505="","",P1505*AB1505/100)</f>
        <v/>
      </c>
      <c r="R1505" s="7" t="n"/>
      <c r="X1505" s="7" t="n"/>
      <c r="Y1505" s="7">
        <f>IF($E1505="","",AB1505*AE1505/100)</f>
        <v/>
      </c>
      <c r="Z1505" s="7">
        <f>IF($E1505="","",AB1505-Y1505)</f>
        <v/>
      </c>
      <c r="AA1505" s="7">
        <f>IF($E1505="","",Z1505-Q1505)</f>
        <v/>
      </c>
      <c r="AB1505" s="7" t="n"/>
      <c r="AE1505">
        <f>IF($E1505="","",IF($AQ1505=1,0,IF($AP1505=1,Settings!$C$6,Settings!$C$7))*100)</f>
        <v/>
      </c>
      <c r="AI1505" s="7" t="n"/>
      <c r="AL1505" s="11" t="n"/>
      <c r="AN1505">
        <f>IF($E1505="","",IF(COUNTIF($E$2:$E1505,$E1505)=1,1,0))</f>
        <v/>
      </c>
      <c r="AO1505">
        <f>IF($AN1505=1,SUMPRODUCT(--($AR$2:$AR$3001&lt;$AR1505))+1,"")</f>
        <v/>
      </c>
      <c r="AP1505">
        <f>IF($E1505="","",IF(OR($U1505=TRUE(),$U1505="TRUE"),1,0))</f>
        <v/>
      </c>
      <c r="AQ1505">
        <f>IF($E1505="","",IF($AD1505="Yes",1,0))</f>
        <v/>
      </c>
      <c r="AR1505">
        <f>IF($AN1505=1,IFERROR(VALUE(MID($E1505,2,20)),1000000000)+ROW()/100000,"")</f>
        <v/>
      </c>
    </row>
    <row r="1506">
      <c r="G1506" s="11" t="n"/>
      <c r="Q1506" s="7">
        <f>IF($E1506="","",P1506*AB1506/100)</f>
        <v/>
      </c>
      <c r="R1506" s="7" t="n"/>
      <c r="X1506" s="7" t="n"/>
      <c r="Y1506" s="7">
        <f>IF($E1506="","",AB1506*AE1506/100)</f>
        <v/>
      </c>
      <c r="Z1506" s="7">
        <f>IF($E1506="","",AB1506-Y1506)</f>
        <v/>
      </c>
      <c r="AA1506" s="7">
        <f>IF($E1506="","",Z1506-Q1506)</f>
        <v/>
      </c>
      <c r="AB1506" s="7" t="n"/>
      <c r="AE1506">
        <f>IF($E1506="","",IF($AQ1506=1,0,IF($AP1506=1,Settings!$C$6,Settings!$C$7))*100)</f>
        <v/>
      </c>
      <c r="AI1506" s="7" t="n"/>
      <c r="AL1506" s="11" t="n"/>
      <c r="AN1506">
        <f>IF($E1506="","",IF(COUNTIF($E$2:$E1506,$E1506)=1,1,0))</f>
        <v/>
      </c>
      <c r="AO1506">
        <f>IF($AN1506=1,SUMPRODUCT(--($AR$2:$AR$3001&lt;$AR1506))+1,"")</f>
        <v/>
      </c>
      <c r="AP1506">
        <f>IF($E1506="","",IF(OR($U1506=TRUE(),$U1506="TRUE"),1,0))</f>
        <v/>
      </c>
      <c r="AQ1506">
        <f>IF($E1506="","",IF($AD1506="Yes",1,0))</f>
        <v/>
      </c>
      <c r="AR1506">
        <f>IF($AN1506=1,IFERROR(VALUE(MID($E1506,2,20)),1000000000)+ROW()/100000,"")</f>
        <v/>
      </c>
    </row>
    <row r="1507">
      <c r="G1507" s="11" t="n"/>
      <c r="Q1507" s="7">
        <f>IF($E1507="","",P1507*AB1507/100)</f>
        <v/>
      </c>
      <c r="R1507" s="7" t="n"/>
      <c r="X1507" s="7" t="n"/>
      <c r="Y1507" s="7">
        <f>IF($E1507="","",AB1507*AE1507/100)</f>
        <v/>
      </c>
      <c r="Z1507" s="7">
        <f>IF($E1507="","",AB1507-Y1507)</f>
        <v/>
      </c>
      <c r="AA1507" s="7">
        <f>IF($E1507="","",Z1507-Q1507)</f>
        <v/>
      </c>
      <c r="AB1507" s="7" t="n"/>
      <c r="AE1507">
        <f>IF($E1507="","",IF($AQ1507=1,0,IF($AP1507=1,Settings!$C$6,Settings!$C$7))*100)</f>
        <v/>
      </c>
      <c r="AI1507" s="7" t="n"/>
      <c r="AL1507" s="11" t="n"/>
      <c r="AN1507">
        <f>IF($E1507="","",IF(COUNTIF($E$2:$E1507,$E1507)=1,1,0))</f>
        <v/>
      </c>
      <c r="AO1507">
        <f>IF($AN1507=1,SUMPRODUCT(--($AR$2:$AR$3001&lt;$AR1507))+1,"")</f>
        <v/>
      </c>
      <c r="AP1507">
        <f>IF($E1507="","",IF(OR($U1507=TRUE(),$U1507="TRUE"),1,0))</f>
        <v/>
      </c>
      <c r="AQ1507">
        <f>IF($E1507="","",IF($AD1507="Yes",1,0))</f>
        <v/>
      </c>
      <c r="AR1507">
        <f>IF($AN1507=1,IFERROR(VALUE(MID($E1507,2,20)),1000000000)+ROW()/100000,"")</f>
        <v/>
      </c>
    </row>
    <row r="1508">
      <c r="G1508" s="11" t="n"/>
      <c r="Q1508" s="7">
        <f>IF($E1508="","",P1508*AB1508/100)</f>
        <v/>
      </c>
      <c r="R1508" s="7" t="n"/>
      <c r="X1508" s="7" t="n"/>
      <c r="Y1508" s="7">
        <f>IF($E1508="","",AB1508*AE1508/100)</f>
        <v/>
      </c>
      <c r="Z1508" s="7">
        <f>IF($E1508="","",AB1508-Y1508)</f>
        <v/>
      </c>
      <c r="AA1508" s="7">
        <f>IF($E1508="","",Z1508-Q1508)</f>
        <v/>
      </c>
      <c r="AB1508" s="7" t="n"/>
      <c r="AE1508">
        <f>IF($E1508="","",IF($AQ1508=1,0,IF($AP1508=1,Settings!$C$6,Settings!$C$7))*100)</f>
        <v/>
      </c>
      <c r="AI1508" s="7" t="n"/>
      <c r="AL1508" s="11" t="n"/>
      <c r="AN1508">
        <f>IF($E1508="","",IF(COUNTIF($E$2:$E1508,$E1508)=1,1,0))</f>
        <v/>
      </c>
      <c r="AO1508">
        <f>IF($AN1508=1,SUMPRODUCT(--($AR$2:$AR$3001&lt;$AR1508))+1,"")</f>
        <v/>
      </c>
      <c r="AP1508">
        <f>IF($E1508="","",IF(OR($U1508=TRUE(),$U1508="TRUE"),1,0))</f>
        <v/>
      </c>
      <c r="AQ1508">
        <f>IF($E1508="","",IF($AD1508="Yes",1,0))</f>
        <v/>
      </c>
      <c r="AR1508">
        <f>IF($AN1508=1,IFERROR(VALUE(MID($E1508,2,20)),1000000000)+ROW()/100000,"")</f>
        <v/>
      </c>
    </row>
    <row r="1509">
      <c r="G1509" s="11" t="n"/>
      <c r="Q1509" s="7">
        <f>IF($E1509="","",P1509*AB1509/100)</f>
        <v/>
      </c>
      <c r="R1509" s="7" t="n"/>
      <c r="X1509" s="7" t="n"/>
      <c r="Y1509" s="7">
        <f>IF($E1509="","",AB1509*AE1509/100)</f>
        <v/>
      </c>
      <c r="Z1509" s="7">
        <f>IF($E1509="","",AB1509-Y1509)</f>
        <v/>
      </c>
      <c r="AA1509" s="7">
        <f>IF($E1509="","",Z1509-Q1509)</f>
        <v/>
      </c>
      <c r="AB1509" s="7" t="n"/>
      <c r="AE1509">
        <f>IF($E1509="","",IF($AQ1509=1,0,IF($AP1509=1,Settings!$C$6,Settings!$C$7))*100)</f>
        <v/>
      </c>
      <c r="AI1509" s="7" t="n"/>
      <c r="AL1509" s="11" t="n"/>
      <c r="AN1509">
        <f>IF($E1509="","",IF(COUNTIF($E$2:$E1509,$E1509)=1,1,0))</f>
        <v/>
      </c>
      <c r="AO1509">
        <f>IF($AN1509=1,SUMPRODUCT(--($AR$2:$AR$3001&lt;$AR1509))+1,"")</f>
        <v/>
      </c>
      <c r="AP1509">
        <f>IF($E1509="","",IF(OR($U1509=TRUE(),$U1509="TRUE"),1,0))</f>
        <v/>
      </c>
      <c r="AQ1509">
        <f>IF($E1509="","",IF($AD1509="Yes",1,0))</f>
        <v/>
      </c>
      <c r="AR1509">
        <f>IF($AN1509=1,IFERROR(VALUE(MID($E1509,2,20)),1000000000)+ROW()/100000,"")</f>
        <v/>
      </c>
    </row>
    <row r="1510">
      <c r="G1510" s="11" t="n"/>
      <c r="Q1510" s="7">
        <f>IF($E1510="","",P1510*AB1510/100)</f>
        <v/>
      </c>
      <c r="R1510" s="7" t="n"/>
      <c r="X1510" s="7" t="n"/>
      <c r="Y1510" s="7">
        <f>IF($E1510="","",AB1510*AE1510/100)</f>
        <v/>
      </c>
      <c r="Z1510" s="7">
        <f>IF($E1510="","",AB1510-Y1510)</f>
        <v/>
      </c>
      <c r="AA1510" s="7">
        <f>IF($E1510="","",Z1510-Q1510)</f>
        <v/>
      </c>
      <c r="AB1510" s="7" t="n"/>
      <c r="AE1510">
        <f>IF($E1510="","",IF($AQ1510=1,0,IF($AP1510=1,Settings!$C$6,Settings!$C$7))*100)</f>
        <v/>
      </c>
      <c r="AI1510" s="7" t="n"/>
      <c r="AL1510" s="11" t="n"/>
      <c r="AN1510">
        <f>IF($E1510="","",IF(COUNTIF($E$2:$E1510,$E1510)=1,1,0))</f>
        <v/>
      </c>
      <c r="AO1510">
        <f>IF($AN1510=1,SUMPRODUCT(--($AR$2:$AR$3001&lt;$AR1510))+1,"")</f>
        <v/>
      </c>
      <c r="AP1510">
        <f>IF($E1510="","",IF(OR($U1510=TRUE(),$U1510="TRUE"),1,0))</f>
        <v/>
      </c>
      <c r="AQ1510">
        <f>IF($E1510="","",IF($AD1510="Yes",1,0))</f>
        <v/>
      </c>
      <c r="AR1510">
        <f>IF($AN1510=1,IFERROR(VALUE(MID($E1510,2,20)),1000000000)+ROW()/100000,"")</f>
        <v/>
      </c>
    </row>
    <row r="1511">
      <c r="G1511" s="11" t="n"/>
      <c r="Q1511" s="7">
        <f>IF($E1511="","",P1511*AB1511/100)</f>
        <v/>
      </c>
      <c r="R1511" s="7" t="n"/>
      <c r="X1511" s="7" t="n"/>
      <c r="Y1511" s="7">
        <f>IF($E1511="","",AB1511*AE1511/100)</f>
        <v/>
      </c>
      <c r="Z1511" s="7">
        <f>IF($E1511="","",AB1511-Y1511)</f>
        <v/>
      </c>
      <c r="AA1511" s="7">
        <f>IF($E1511="","",Z1511-Q1511)</f>
        <v/>
      </c>
      <c r="AB1511" s="7" t="n"/>
      <c r="AE1511">
        <f>IF($E1511="","",IF($AQ1511=1,0,IF($AP1511=1,Settings!$C$6,Settings!$C$7))*100)</f>
        <v/>
      </c>
      <c r="AI1511" s="7" t="n"/>
      <c r="AL1511" s="11" t="n"/>
      <c r="AN1511">
        <f>IF($E1511="","",IF(COUNTIF($E$2:$E1511,$E1511)=1,1,0))</f>
        <v/>
      </c>
      <c r="AO1511">
        <f>IF($AN1511=1,SUMPRODUCT(--($AR$2:$AR$3001&lt;$AR1511))+1,"")</f>
        <v/>
      </c>
      <c r="AP1511">
        <f>IF($E1511="","",IF(OR($U1511=TRUE(),$U1511="TRUE"),1,0))</f>
        <v/>
      </c>
      <c r="AQ1511">
        <f>IF($E1511="","",IF($AD1511="Yes",1,0))</f>
        <v/>
      </c>
      <c r="AR1511">
        <f>IF($AN1511=1,IFERROR(VALUE(MID($E1511,2,20)),1000000000)+ROW()/100000,"")</f>
        <v/>
      </c>
    </row>
    <row r="1512">
      <c r="G1512" s="11" t="n"/>
      <c r="Q1512" s="7">
        <f>IF($E1512="","",P1512*AB1512/100)</f>
        <v/>
      </c>
      <c r="R1512" s="7" t="n"/>
      <c r="X1512" s="7" t="n"/>
      <c r="Y1512" s="7">
        <f>IF($E1512="","",AB1512*AE1512/100)</f>
        <v/>
      </c>
      <c r="Z1512" s="7">
        <f>IF($E1512="","",AB1512-Y1512)</f>
        <v/>
      </c>
      <c r="AA1512" s="7">
        <f>IF($E1512="","",Z1512-Q1512)</f>
        <v/>
      </c>
      <c r="AB1512" s="7" t="n"/>
      <c r="AE1512">
        <f>IF($E1512="","",IF($AQ1512=1,0,IF($AP1512=1,Settings!$C$6,Settings!$C$7))*100)</f>
        <v/>
      </c>
      <c r="AI1512" s="7" t="n"/>
      <c r="AL1512" s="11" t="n"/>
      <c r="AN1512">
        <f>IF($E1512="","",IF(COUNTIF($E$2:$E1512,$E1512)=1,1,0))</f>
        <v/>
      </c>
      <c r="AO1512">
        <f>IF($AN1512=1,SUMPRODUCT(--($AR$2:$AR$3001&lt;$AR1512))+1,"")</f>
        <v/>
      </c>
      <c r="AP1512">
        <f>IF($E1512="","",IF(OR($U1512=TRUE(),$U1512="TRUE"),1,0))</f>
        <v/>
      </c>
      <c r="AQ1512">
        <f>IF($E1512="","",IF($AD1512="Yes",1,0))</f>
        <v/>
      </c>
      <c r="AR1512">
        <f>IF($AN1512=1,IFERROR(VALUE(MID($E1512,2,20)),1000000000)+ROW()/100000,"")</f>
        <v/>
      </c>
    </row>
    <row r="1513">
      <c r="G1513" s="11" t="n"/>
      <c r="Q1513" s="7">
        <f>IF($E1513="","",P1513*AB1513/100)</f>
        <v/>
      </c>
      <c r="R1513" s="7" t="n"/>
      <c r="X1513" s="7" t="n"/>
      <c r="Y1513" s="7">
        <f>IF($E1513="","",AB1513*AE1513/100)</f>
        <v/>
      </c>
      <c r="Z1513" s="7">
        <f>IF($E1513="","",AB1513-Y1513)</f>
        <v/>
      </c>
      <c r="AA1513" s="7">
        <f>IF($E1513="","",Z1513-Q1513)</f>
        <v/>
      </c>
      <c r="AB1513" s="7" t="n"/>
      <c r="AE1513">
        <f>IF($E1513="","",IF($AQ1513=1,0,IF($AP1513=1,Settings!$C$6,Settings!$C$7))*100)</f>
        <v/>
      </c>
      <c r="AI1513" s="7" t="n"/>
      <c r="AL1513" s="11" t="n"/>
      <c r="AN1513">
        <f>IF($E1513="","",IF(COUNTIF($E$2:$E1513,$E1513)=1,1,0))</f>
        <v/>
      </c>
      <c r="AO1513">
        <f>IF($AN1513=1,SUMPRODUCT(--($AR$2:$AR$3001&lt;$AR1513))+1,"")</f>
        <v/>
      </c>
      <c r="AP1513">
        <f>IF($E1513="","",IF(OR($U1513=TRUE(),$U1513="TRUE"),1,0))</f>
        <v/>
      </c>
      <c r="AQ1513">
        <f>IF($E1513="","",IF($AD1513="Yes",1,0))</f>
        <v/>
      </c>
      <c r="AR1513">
        <f>IF($AN1513=1,IFERROR(VALUE(MID($E1513,2,20)),1000000000)+ROW()/100000,"")</f>
        <v/>
      </c>
    </row>
    <row r="1514">
      <c r="G1514" s="11" t="n"/>
      <c r="Q1514" s="7">
        <f>IF($E1514="","",P1514*AB1514/100)</f>
        <v/>
      </c>
      <c r="R1514" s="7" t="n"/>
      <c r="X1514" s="7" t="n"/>
      <c r="Y1514" s="7">
        <f>IF($E1514="","",AB1514*AE1514/100)</f>
        <v/>
      </c>
      <c r="Z1514" s="7">
        <f>IF($E1514="","",AB1514-Y1514)</f>
        <v/>
      </c>
      <c r="AA1514" s="7">
        <f>IF($E1514="","",Z1514-Q1514)</f>
        <v/>
      </c>
      <c r="AB1514" s="7" t="n"/>
      <c r="AE1514">
        <f>IF($E1514="","",IF($AQ1514=1,0,IF($AP1514=1,Settings!$C$6,Settings!$C$7))*100)</f>
        <v/>
      </c>
      <c r="AI1514" s="7" t="n"/>
      <c r="AL1514" s="11" t="n"/>
      <c r="AN1514">
        <f>IF($E1514="","",IF(COUNTIF($E$2:$E1514,$E1514)=1,1,0))</f>
        <v/>
      </c>
      <c r="AO1514">
        <f>IF($AN1514=1,SUMPRODUCT(--($AR$2:$AR$3001&lt;$AR1514))+1,"")</f>
        <v/>
      </c>
      <c r="AP1514">
        <f>IF($E1514="","",IF(OR($U1514=TRUE(),$U1514="TRUE"),1,0))</f>
        <v/>
      </c>
      <c r="AQ1514">
        <f>IF($E1514="","",IF($AD1514="Yes",1,0))</f>
        <v/>
      </c>
      <c r="AR1514">
        <f>IF($AN1514=1,IFERROR(VALUE(MID($E1514,2,20)),1000000000)+ROW()/100000,"")</f>
        <v/>
      </c>
    </row>
    <row r="1515">
      <c r="G1515" s="11" t="n"/>
      <c r="Q1515" s="7">
        <f>IF($E1515="","",P1515*AB1515/100)</f>
        <v/>
      </c>
      <c r="R1515" s="7" t="n"/>
      <c r="X1515" s="7" t="n"/>
      <c r="Y1515" s="7">
        <f>IF($E1515="","",AB1515*AE1515/100)</f>
        <v/>
      </c>
      <c r="Z1515" s="7">
        <f>IF($E1515="","",AB1515-Y1515)</f>
        <v/>
      </c>
      <c r="AA1515" s="7">
        <f>IF($E1515="","",Z1515-Q1515)</f>
        <v/>
      </c>
      <c r="AB1515" s="7" t="n"/>
      <c r="AE1515">
        <f>IF($E1515="","",IF($AQ1515=1,0,IF($AP1515=1,Settings!$C$6,Settings!$C$7))*100)</f>
        <v/>
      </c>
      <c r="AI1515" s="7" t="n"/>
      <c r="AL1515" s="11" t="n"/>
      <c r="AN1515">
        <f>IF($E1515="","",IF(COUNTIF($E$2:$E1515,$E1515)=1,1,0))</f>
        <v/>
      </c>
      <c r="AO1515">
        <f>IF($AN1515=1,SUMPRODUCT(--($AR$2:$AR$3001&lt;$AR1515))+1,"")</f>
        <v/>
      </c>
      <c r="AP1515">
        <f>IF($E1515="","",IF(OR($U1515=TRUE(),$U1515="TRUE"),1,0))</f>
        <v/>
      </c>
      <c r="AQ1515">
        <f>IF($E1515="","",IF($AD1515="Yes",1,0))</f>
        <v/>
      </c>
      <c r="AR1515">
        <f>IF($AN1515=1,IFERROR(VALUE(MID($E1515,2,20)),1000000000)+ROW()/100000,"")</f>
        <v/>
      </c>
    </row>
    <row r="1516">
      <c r="G1516" s="11" t="n"/>
      <c r="Q1516" s="7">
        <f>IF($E1516="","",P1516*AB1516/100)</f>
        <v/>
      </c>
      <c r="R1516" s="7" t="n"/>
      <c r="X1516" s="7" t="n"/>
      <c r="Y1516" s="7">
        <f>IF($E1516="","",AB1516*AE1516/100)</f>
        <v/>
      </c>
      <c r="Z1516" s="7">
        <f>IF($E1516="","",AB1516-Y1516)</f>
        <v/>
      </c>
      <c r="AA1516" s="7">
        <f>IF($E1516="","",Z1516-Q1516)</f>
        <v/>
      </c>
      <c r="AB1516" s="7" t="n"/>
      <c r="AE1516">
        <f>IF($E1516="","",IF($AQ1516=1,0,IF($AP1516=1,Settings!$C$6,Settings!$C$7))*100)</f>
        <v/>
      </c>
      <c r="AI1516" s="7" t="n"/>
      <c r="AL1516" s="11" t="n"/>
      <c r="AN1516">
        <f>IF($E1516="","",IF(COUNTIF($E$2:$E1516,$E1516)=1,1,0))</f>
        <v/>
      </c>
      <c r="AO1516">
        <f>IF($AN1516=1,SUMPRODUCT(--($AR$2:$AR$3001&lt;$AR1516))+1,"")</f>
        <v/>
      </c>
      <c r="AP1516">
        <f>IF($E1516="","",IF(OR($U1516=TRUE(),$U1516="TRUE"),1,0))</f>
        <v/>
      </c>
      <c r="AQ1516">
        <f>IF($E1516="","",IF($AD1516="Yes",1,0))</f>
        <v/>
      </c>
      <c r="AR1516">
        <f>IF($AN1516=1,IFERROR(VALUE(MID($E1516,2,20)),1000000000)+ROW()/100000,"")</f>
        <v/>
      </c>
    </row>
    <row r="1517">
      <c r="G1517" s="11" t="n"/>
      <c r="Q1517" s="7">
        <f>IF($E1517="","",P1517*AB1517/100)</f>
        <v/>
      </c>
      <c r="R1517" s="7" t="n"/>
      <c r="X1517" s="7" t="n"/>
      <c r="Y1517" s="7">
        <f>IF($E1517="","",AB1517*AE1517/100)</f>
        <v/>
      </c>
      <c r="Z1517" s="7">
        <f>IF($E1517="","",AB1517-Y1517)</f>
        <v/>
      </c>
      <c r="AA1517" s="7">
        <f>IF($E1517="","",Z1517-Q1517)</f>
        <v/>
      </c>
      <c r="AB1517" s="7" t="n"/>
      <c r="AE1517">
        <f>IF($E1517="","",IF($AQ1517=1,0,IF($AP1517=1,Settings!$C$6,Settings!$C$7))*100)</f>
        <v/>
      </c>
      <c r="AI1517" s="7" t="n"/>
      <c r="AL1517" s="11" t="n"/>
      <c r="AN1517">
        <f>IF($E1517="","",IF(COUNTIF($E$2:$E1517,$E1517)=1,1,0))</f>
        <v/>
      </c>
      <c r="AO1517">
        <f>IF($AN1517=1,SUMPRODUCT(--($AR$2:$AR$3001&lt;$AR1517))+1,"")</f>
        <v/>
      </c>
      <c r="AP1517">
        <f>IF($E1517="","",IF(OR($U1517=TRUE(),$U1517="TRUE"),1,0))</f>
        <v/>
      </c>
      <c r="AQ1517">
        <f>IF($E1517="","",IF($AD1517="Yes",1,0))</f>
        <v/>
      </c>
      <c r="AR1517">
        <f>IF($AN1517=1,IFERROR(VALUE(MID($E1517,2,20)),1000000000)+ROW()/100000,"")</f>
        <v/>
      </c>
    </row>
    <row r="1518">
      <c r="G1518" s="11" t="n"/>
      <c r="Q1518" s="7">
        <f>IF($E1518="","",P1518*AB1518/100)</f>
        <v/>
      </c>
      <c r="R1518" s="7" t="n"/>
      <c r="X1518" s="7" t="n"/>
      <c r="Y1518" s="7">
        <f>IF($E1518="","",AB1518*AE1518/100)</f>
        <v/>
      </c>
      <c r="Z1518" s="7">
        <f>IF($E1518="","",AB1518-Y1518)</f>
        <v/>
      </c>
      <c r="AA1518" s="7">
        <f>IF($E1518="","",Z1518-Q1518)</f>
        <v/>
      </c>
      <c r="AB1518" s="7" t="n"/>
      <c r="AE1518">
        <f>IF($E1518="","",IF($AQ1518=1,0,IF($AP1518=1,Settings!$C$6,Settings!$C$7))*100)</f>
        <v/>
      </c>
      <c r="AI1518" s="7" t="n"/>
      <c r="AL1518" s="11" t="n"/>
      <c r="AN1518">
        <f>IF($E1518="","",IF(COUNTIF($E$2:$E1518,$E1518)=1,1,0))</f>
        <v/>
      </c>
      <c r="AO1518">
        <f>IF($AN1518=1,SUMPRODUCT(--($AR$2:$AR$3001&lt;$AR1518))+1,"")</f>
        <v/>
      </c>
      <c r="AP1518">
        <f>IF($E1518="","",IF(OR($U1518=TRUE(),$U1518="TRUE"),1,0))</f>
        <v/>
      </c>
      <c r="AQ1518">
        <f>IF($E1518="","",IF($AD1518="Yes",1,0))</f>
        <v/>
      </c>
      <c r="AR1518">
        <f>IF($AN1518=1,IFERROR(VALUE(MID($E1518,2,20)),1000000000)+ROW()/100000,"")</f>
        <v/>
      </c>
    </row>
    <row r="1519">
      <c r="G1519" s="11" t="n"/>
      <c r="Q1519" s="7">
        <f>IF($E1519="","",P1519*AB1519/100)</f>
        <v/>
      </c>
      <c r="R1519" s="7" t="n"/>
      <c r="X1519" s="7" t="n"/>
      <c r="Y1519" s="7">
        <f>IF($E1519="","",AB1519*AE1519/100)</f>
        <v/>
      </c>
      <c r="Z1519" s="7">
        <f>IF($E1519="","",AB1519-Y1519)</f>
        <v/>
      </c>
      <c r="AA1519" s="7">
        <f>IF($E1519="","",Z1519-Q1519)</f>
        <v/>
      </c>
      <c r="AB1519" s="7" t="n"/>
      <c r="AE1519">
        <f>IF($E1519="","",IF($AQ1519=1,0,IF($AP1519=1,Settings!$C$6,Settings!$C$7))*100)</f>
        <v/>
      </c>
      <c r="AI1519" s="7" t="n"/>
      <c r="AL1519" s="11" t="n"/>
      <c r="AN1519">
        <f>IF($E1519="","",IF(COUNTIF($E$2:$E1519,$E1519)=1,1,0))</f>
        <v/>
      </c>
      <c r="AO1519">
        <f>IF($AN1519=1,SUMPRODUCT(--($AR$2:$AR$3001&lt;$AR1519))+1,"")</f>
        <v/>
      </c>
      <c r="AP1519">
        <f>IF($E1519="","",IF(OR($U1519=TRUE(),$U1519="TRUE"),1,0))</f>
        <v/>
      </c>
      <c r="AQ1519">
        <f>IF($E1519="","",IF($AD1519="Yes",1,0))</f>
        <v/>
      </c>
      <c r="AR1519">
        <f>IF($AN1519=1,IFERROR(VALUE(MID($E1519,2,20)),1000000000)+ROW()/100000,"")</f>
        <v/>
      </c>
    </row>
    <row r="1520">
      <c r="G1520" s="11" t="n"/>
      <c r="Q1520" s="7">
        <f>IF($E1520="","",P1520*AB1520/100)</f>
        <v/>
      </c>
      <c r="R1520" s="7" t="n"/>
      <c r="X1520" s="7" t="n"/>
      <c r="Y1520" s="7">
        <f>IF($E1520="","",AB1520*AE1520/100)</f>
        <v/>
      </c>
      <c r="Z1520" s="7">
        <f>IF($E1520="","",AB1520-Y1520)</f>
        <v/>
      </c>
      <c r="AA1520" s="7">
        <f>IF($E1520="","",Z1520-Q1520)</f>
        <v/>
      </c>
      <c r="AB1520" s="7" t="n"/>
      <c r="AE1520">
        <f>IF($E1520="","",IF($AQ1520=1,0,IF($AP1520=1,Settings!$C$6,Settings!$C$7))*100)</f>
        <v/>
      </c>
      <c r="AI1520" s="7" t="n"/>
      <c r="AL1520" s="11" t="n"/>
      <c r="AN1520">
        <f>IF($E1520="","",IF(COUNTIF($E$2:$E1520,$E1520)=1,1,0))</f>
        <v/>
      </c>
      <c r="AO1520">
        <f>IF($AN1520=1,SUMPRODUCT(--($AR$2:$AR$3001&lt;$AR1520))+1,"")</f>
        <v/>
      </c>
      <c r="AP1520">
        <f>IF($E1520="","",IF(OR($U1520=TRUE(),$U1520="TRUE"),1,0))</f>
        <v/>
      </c>
      <c r="AQ1520">
        <f>IF($E1520="","",IF($AD1520="Yes",1,0))</f>
        <v/>
      </c>
      <c r="AR1520">
        <f>IF($AN1520=1,IFERROR(VALUE(MID($E1520,2,20)),1000000000)+ROW()/100000,"")</f>
        <v/>
      </c>
    </row>
    <row r="1521">
      <c r="G1521" s="11" t="n"/>
      <c r="Q1521" s="7">
        <f>IF($E1521="","",P1521*AB1521/100)</f>
        <v/>
      </c>
      <c r="R1521" s="7" t="n"/>
      <c r="X1521" s="7" t="n"/>
      <c r="Y1521" s="7">
        <f>IF($E1521="","",AB1521*AE1521/100)</f>
        <v/>
      </c>
      <c r="Z1521" s="7">
        <f>IF($E1521="","",AB1521-Y1521)</f>
        <v/>
      </c>
      <c r="AA1521" s="7">
        <f>IF($E1521="","",Z1521-Q1521)</f>
        <v/>
      </c>
      <c r="AB1521" s="7" t="n"/>
      <c r="AE1521">
        <f>IF($E1521="","",IF($AQ1521=1,0,IF($AP1521=1,Settings!$C$6,Settings!$C$7))*100)</f>
        <v/>
      </c>
      <c r="AI1521" s="7" t="n"/>
      <c r="AL1521" s="11" t="n"/>
      <c r="AN1521">
        <f>IF($E1521="","",IF(COUNTIF($E$2:$E1521,$E1521)=1,1,0))</f>
        <v/>
      </c>
      <c r="AO1521">
        <f>IF($AN1521=1,SUMPRODUCT(--($AR$2:$AR$3001&lt;$AR1521))+1,"")</f>
        <v/>
      </c>
      <c r="AP1521">
        <f>IF($E1521="","",IF(OR($U1521=TRUE(),$U1521="TRUE"),1,0))</f>
        <v/>
      </c>
      <c r="AQ1521">
        <f>IF($E1521="","",IF($AD1521="Yes",1,0))</f>
        <v/>
      </c>
      <c r="AR1521">
        <f>IF($AN1521=1,IFERROR(VALUE(MID($E1521,2,20)),1000000000)+ROW()/100000,"")</f>
        <v/>
      </c>
    </row>
    <row r="1522">
      <c r="G1522" s="11" t="n"/>
      <c r="Q1522" s="7">
        <f>IF($E1522="","",P1522*AB1522/100)</f>
        <v/>
      </c>
      <c r="R1522" s="7" t="n"/>
      <c r="X1522" s="7" t="n"/>
      <c r="Y1522" s="7">
        <f>IF($E1522="","",AB1522*AE1522/100)</f>
        <v/>
      </c>
      <c r="Z1522" s="7">
        <f>IF($E1522="","",AB1522-Y1522)</f>
        <v/>
      </c>
      <c r="AA1522" s="7">
        <f>IF($E1522="","",Z1522-Q1522)</f>
        <v/>
      </c>
      <c r="AB1522" s="7" t="n"/>
      <c r="AE1522">
        <f>IF($E1522="","",IF($AQ1522=1,0,IF($AP1522=1,Settings!$C$6,Settings!$C$7))*100)</f>
        <v/>
      </c>
      <c r="AI1522" s="7" t="n"/>
      <c r="AL1522" s="11" t="n"/>
      <c r="AN1522">
        <f>IF($E1522="","",IF(COUNTIF($E$2:$E1522,$E1522)=1,1,0))</f>
        <v/>
      </c>
      <c r="AO1522">
        <f>IF($AN1522=1,SUMPRODUCT(--($AR$2:$AR$3001&lt;$AR1522))+1,"")</f>
        <v/>
      </c>
      <c r="AP1522">
        <f>IF($E1522="","",IF(OR($U1522=TRUE(),$U1522="TRUE"),1,0))</f>
        <v/>
      </c>
      <c r="AQ1522">
        <f>IF($E1522="","",IF($AD1522="Yes",1,0))</f>
        <v/>
      </c>
      <c r="AR1522">
        <f>IF($AN1522=1,IFERROR(VALUE(MID($E1522,2,20)),1000000000)+ROW()/100000,"")</f>
        <v/>
      </c>
    </row>
    <row r="1523">
      <c r="G1523" s="11" t="n"/>
      <c r="Q1523" s="7">
        <f>IF($E1523="","",P1523*AB1523/100)</f>
        <v/>
      </c>
      <c r="R1523" s="7" t="n"/>
      <c r="X1523" s="7" t="n"/>
      <c r="Y1523" s="7">
        <f>IF($E1523="","",AB1523*AE1523/100)</f>
        <v/>
      </c>
      <c r="Z1523" s="7">
        <f>IF($E1523="","",AB1523-Y1523)</f>
        <v/>
      </c>
      <c r="AA1523" s="7">
        <f>IF($E1523="","",Z1523-Q1523)</f>
        <v/>
      </c>
      <c r="AB1523" s="7" t="n"/>
      <c r="AE1523">
        <f>IF($E1523="","",IF($AQ1523=1,0,IF($AP1523=1,Settings!$C$6,Settings!$C$7))*100)</f>
        <v/>
      </c>
      <c r="AI1523" s="7" t="n"/>
      <c r="AL1523" s="11" t="n"/>
      <c r="AN1523">
        <f>IF($E1523="","",IF(COUNTIF($E$2:$E1523,$E1523)=1,1,0))</f>
        <v/>
      </c>
      <c r="AO1523">
        <f>IF($AN1523=1,SUMPRODUCT(--($AR$2:$AR$3001&lt;$AR1523))+1,"")</f>
        <v/>
      </c>
      <c r="AP1523">
        <f>IF($E1523="","",IF(OR($U1523=TRUE(),$U1523="TRUE"),1,0))</f>
        <v/>
      </c>
      <c r="AQ1523">
        <f>IF($E1523="","",IF($AD1523="Yes",1,0))</f>
        <v/>
      </c>
      <c r="AR1523">
        <f>IF($AN1523=1,IFERROR(VALUE(MID($E1523,2,20)),1000000000)+ROW()/100000,"")</f>
        <v/>
      </c>
    </row>
    <row r="1524">
      <c r="G1524" s="11" t="n"/>
      <c r="Q1524" s="7">
        <f>IF($E1524="","",P1524*AB1524/100)</f>
        <v/>
      </c>
      <c r="R1524" s="7" t="n"/>
      <c r="X1524" s="7" t="n"/>
      <c r="Y1524" s="7">
        <f>IF($E1524="","",AB1524*AE1524/100)</f>
        <v/>
      </c>
      <c r="Z1524" s="7">
        <f>IF($E1524="","",AB1524-Y1524)</f>
        <v/>
      </c>
      <c r="AA1524" s="7">
        <f>IF($E1524="","",Z1524-Q1524)</f>
        <v/>
      </c>
      <c r="AB1524" s="7" t="n"/>
      <c r="AE1524">
        <f>IF($E1524="","",IF($AQ1524=1,0,IF($AP1524=1,Settings!$C$6,Settings!$C$7))*100)</f>
        <v/>
      </c>
      <c r="AI1524" s="7" t="n"/>
      <c r="AL1524" s="11" t="n"/>
      <c r="AN1524">
        <f>IF($E1524="","",IF(COUNTIF($E$2:$E1524,$E1524)=1,1,0))</f>
        <v/>
      </c>
      <c r="AO1524">
        <f>IF($AN1524=1,SUMPRODUCT(--($AR$2:$AR$3001&lt;$AR1524))+1,"")</f>
        <v/>
      </c>
      <c r="AP1524">
        <f>IF($E1524="","",IF(OR($U1524=TRUE(),$U1524="TRUE"),1,0))</f>
        <v/>
      </c>
      <c r="AQ1524">
        <f>IF($E1524="","",IF($AD1524="Yes",1,0))</f>
        <v/>
      </c>
      <c r="AR1524">
        <f>IF($AN1524=1,IFERROR(VALUE(MID($E1524,2,20)),1000000000)+ROW()/100000,"")</f>
        <v/>
      </c>
    </row>
    <row r="1525">
      <c r="G1525" s="11" t="n"/>
      <c r="Q1525" s="7">
        <f>IF($E1525="","",P1525*AB1525/100)</f>
        <v/>
      </c>
      <c r="R1525" s="7" t="n"/>
      <c r="X1525" s="7" t="n"/>
      <c r="Y1525" s="7">
        <f>IF($E1525="","",AB1525*AE1525/100)</f>
        <v/>
      </c>
      <c r="Z1525" s="7">
        <f>IF($E1525="","",AB1525-Y1525)</f>
        <v/>
      </c>
      <c r="AA1525" s="7">
        <f>IF($E1525="","",Z1525-Q1525)</f>
        <v/>
      </c>
      <c r="AB1525" s="7" t="n"/>
      <c r="AE1525">
        <f>IF($E1525="","",IF($AQ1525=1,0,IF($AP1525=1,Settings!$C$6,Settings!$C$7))*100)</f>
        <v/>
      </c>
      <c r="AI1525" s="7" t="n"/>
      <c r="AL1525" s="11" t="n"/>
      <c r="AN1525">
        <f>IF($E1525="","",IF(COUNTIF($E$2:$E1525,$E1525)=1,1,0))</f>
        <v/>
      </c>
      <c r="AO1525">
        <f>IF($AN1525=1,SUMPRODUCT(--($AR$2:$AR$3001&lt;$AR1525))+1,"")</f>
        <v/>
      </c>
      <c r="AP1525">
        <f>IF($E1525="","",IF(OR($U1525=TRUE(),$U1525="TRUE"),1,0))</f>
        <v/>
      </c>
      <c r="AQ1525">
        <f>IF($E1525="","",IF($AD1525="Yes",1,0))</f>
        <v/>
      </c>
      <c r="AR1525">
        <f>IF($AN1525=1,IFERROR(VALUE(MID($E1525,2,20)),1000000000)+ROW()/100000,"")</f>
        <v/>
      </c>
    </row>
    <row r="1526">
      <c r="G1526" s="11" t="n"/>
      <c r="Q1526" s="7">
        <f>IF($E1526="","",P1526*AB1526/100)</f>
        <v/>
      </c>
      <c r="R1526" s="7" t="n"/>
      <c r="X1526" s="7" t="n"/>
      <c r="Y1526" s="7">
        <f>IF($E1526="","",AB1526*AE1526/100)</f>
        <v/>
      </c>
      <c r="Z1526" s="7">
        <f>IF($E1526="","",AB1526-Y1526)</f>
        <v/>
      </c>
      <c r="AA1526" s="7">
        <f>IF($E1526="","",Z1526-Q1526)</f>
        <v/>
      </c>
      <c r="AB1526" s="7" t="n"/>
      <c r="AE1526">
        <f>IF($E1526="","",IF($AQ1526=1,0,IF($AP1526=1,Settings!$C$6,Settings!$C$7))*100)</f>
        <v/>
      </c>
      <c r="AI1526" s="7" t="n"/>
      <c r="AL1526" s="11" t="n"/>
      <c r="AN1526">
        <f>IF($E1526="","",IF(COUNTIF($E$2:$E1526,$E1526)=1,1,0))</f>
        <v/>
      </c>
      <c r="AO1526">
        <f>IF($AN1526=1,SUMPRODUCT(--($AR$2:$AR$3001&lt;$AR1526))+1,"")</f>
        <v/>
      </c>
      <c r="AP1526">
        <f>IF($E1526="","",IF(OR($U1526=TRUE(),$U1526="TRUE"),1,0))</f>
        <v/>
      </c>
      <c r="AQ1526">
        <f>IF($E1526="","",IF($AD1526="Yes",1,0))</f>
        <v/>
      </c>
      <c r="AR1526">
        <f>IF($AN1526=1,IFERROR(VALUE(MID($E1526,2,20)),1000000000)+ROW()/100000,"")</f>
        <v/>
      </c>
    </row>
    <row r="1527">
      <c r="G1527" s="11" t="n"/>
      <c r="Q1527" s="7">
        <f>IF($E1527="","",P1527*AB1527/100)</f>
        <v/>
      </c>
      <c r="R1527" s="7" t="n"/>
      <c r="X1527" s="7" t="n"/>
      <c r="Y1527" s="7">
        <f>IF($E1527="","",AB1527*AE1527/100)</f>
        <v/>
      </c>
      <c r="Z1527" s="7">
        <f>IF($E1527="","",AB1527-Y1527)</f>
        <v/>
      </c>
      <c r="AA1527" s="7">
        <f>IF($E1527="","",Z1527-Q1527)</f>
        <v/>
      </c>
      <c r="AB1527" s="7" t="n"/>
      <c r="AE1527">
        <f>IF($E1527="","",IF($AQ1527=1,0,IF($AP1527=1,Settings!$C$6,Settings!$C$7))*100)</f>
        <v/>
      </c>
      <c r="AI1527" s="7" t="n"/>
      <c r="AL1527" s="11" t="n"/>
      <c r="AN1527">
        <f>IF($E1527="","",IF(COUNTIF($E$2:$E1527,$E1527)=1,1,0))</f>
        <v/>
      </c>
      <c r="AO1527">
        <f>IF($AN1527=1,SUMPRODUCT(--($AR$2:$AR$3001&lt;$AR1527))+1,"")</f>
        <v/>
      </c>
      <c r="AP1527">
        <f>IF($E1527="","",IF(OR($U1527=TRUE(),$U1527="TRUE"),1,0))</f>
        <v/>
      </c>
      <c r="AQ1527">
        <f>IF($E1527="","",IF($AD1527="Yes",1,0))</f>
        <v/>
      </c>
      <c r="AR1527">
        <f>IF($AN1527=1,IFERROR(VALUE(MID($E1527,2,20)),1000000000)+ROW()/100000,"")</f>
        <v/>
      </c>
    </row>
    <row r="1528">
      <c r="G1528" s="11" t="n"/>
      <c r="Q1528" s="7">
        <f>IF($E1528="","",P1528*AB1528/100)</f>
        <v/>
      </c>
      <c r="R1528" s="7" t="n"/>
      <c r="X1528" s="7" t="n"/>
      <c r="Y1528" s="7">
        <f>IF($E1528="","",AB1528*AE1528/100)</f>
        <v/>
      </c>
      <c r="Z1528" s="7">
        <f>IF($E1528="","",AB1528-Y1528)</f>
        <v/>
      </c>
      <c r="AA1528" s="7">
        <f>IF($E1528="","",Z1528-Q1528)</f>
        <v/>
      </c>
      <c r="AB1528" s="7" t="n"/>
      <c r="AE1528">
        <f>IF($E1528="","",IF($AQ1528=1,0,IF($AP1528=1,Settings!$C$6,Settings!$C$7))*100)</f>
        <v/>
      </c>
      <c r="AI1528" s="7" t="n"/>
      <c r="AL1528" s="11" t="n"/>
      <c r="AN1528">
        <f>IF($E1528="","",IF(COUNTIF($E$2:$E1528,$E1528)=1,1,0))</f>
        <v/>
      </c>
      <c r="AO1528">
        <f>IF($AN1528=1,SUMPRODUCT(--($AR$2:$AR$3001&lt;$AR1528))+1,"")</f>
        <v/>
      </c>
      <c r="AP1528">
        <f>IF($E1528="","",IF(OR($U1528=TRUE(),$U1528="TRUE"),1,0))</f>
        <v/>
      </c>
      <c r="AQ1528">
        <f>IF($E1528="","",IF($AD1528="Yes",1,0))</f>
        <v/>
      </c>
      <c r="AR1528">
        <f>IF($AN1528=1,IFERROR(VALUE(MID($E1528,2,20)),1000000000)+ROW()/100000,"")</f>
        <v/>
      </c>
    </row>
    <row r="1529">
      <c r="G1529" s="11" t="n"/>
      <c r="Q1529" s="7">
        <f>IF($E1529="","",P1529*AB1529/100)</f>
        <v/>
      </c>
      <c r="R1529" s="7" t="n"/>
      <c r="X1529" s="7" t="n"/>
      <c r="Y1529" s="7">
        <f>IF($E1529="","",AB1529*AE1529/100)</f>
        <v/>
      </c>
      <c r="Z1529" s="7">
        <f>IF($E1529="","",AB1529-Y1529)</f>
        <v/>
      </c>
      <c r="AA1529" s="7">
        <f>IF($E1529="","",Z1529-Q1529)</f>
        <v/>
      </c>
      <c r="AB1529" s="7" t="n"/>
      <c r="AE1529">
        <f>IF($E1529="","",IF($AQ1529=1,0,IF($AP1529=1,Settings!$C$6,Settings!$C$7))*100)</f>
        <v/>
      </c>
      <c r="AI1529" s="7" t="n"/>
      <c r="AL1529" s="11" t="n"/>
      <c r="AN1529">
        <f>IF($E1529="","",IF(COUNTIF($E$2:$E1529,$E1529)=1,1,0))</f>
        <v/>
      </c>
      <c r="AO1529">
        <f>IF($AN1529=1,SUMPRODUCT(--($AR$2:$AR$3001&lt;$AR1529))+1,"")</f>
        <v/>
      </c>
      <c r="AP1529">
        <f>IF($E1529="","",IF(OR($U1529=TRUE(),$U1529="TRUE"),1,0))</f>
        <v/>
      </c>
      <c r="AQ1529">
        <f>IF($E1529="","",IF($AD1529="Yes",1,0))</f>
        <v/>
      </c>
      <c r="AR1529">
        <f>IF($AN1529=1,IFERROR(VALUE(MID($E1529,2,20)),1000000000)+ROW()/100000,"")</f>
        <v/>
      </c>
    </row>
    <row r="1530">
      <c r="G1530" s="11" t="n"/>
      <c r="Q1530" s="7">
        <f>IF($E1530="","",P1530*AB1530/100)</f>
        <v/>
      </c>
      <c r="R1530" s="7" t="n"/>
      <c r="X1530" s="7" t="n"/>
      <c r="Y1530" s="7">
        <f>IF($E1530="","",AB1530*AE1530/100)</f>
        <v/>
      </c>
      <c r="Z1530" s="7">
        <f>IF($E1530="","",AB1530-Y1530)</f>
        <v/>
      </c>
      <c r="AA1530" s="7">
        <f>IF($E1530="","",Z1530-Q1530)</f>
        <v/>
      </c>
      <c r="AB1530" s="7" t="n"/>
      <c r="AE1530">
        <f>IF($E1530="","",IF($AQ1530=1,0,IF($AP1530=1,Settings!$C$6,Settings!$C$7))*100)</f>
        <v/>
      </c>
      <c r="AI1530" s="7" t="n"/>
      <c r="AL1530" s="11" t="n"/>
      <c r="AN1530">
        <f>IF($E1530="","",IF(COUNTIF($E$2:$E1530,$E1530)=1,1,0))</f>
        <v/>
      </c>
      <c r="AO1530">
        <f>IF($AN1530=1,SUMPRODUCT(--($AR$2:$AR$3001&lt;$AR1530))+1,"")</f>
        <v/>
      </c>
      <c r="AP1530">
        <f>IF($E1530="","",IF(OR($U1530=TRUE(),$U1530="TRUE"),1,0))</f>
        <v/>
      </c>
      <c r="AQ1530">
        <f>IF($E1530="","",IF($AD1530="Yes",1,0))</f>
        <v/>
      </c>
      <c r="AR1530">
        <f>IF($AN1530=1,IFERROR(VALUE(MID($E1530,2,20)),1000000000)+ROW()/100000,"")</f>
        <v/>
      </c>
    </row>
    <row r="1531">
      <c r="G1531" s="11" t="n"/>
      <c r="Q1531" s="7">
        <f>IF($E1531="","",P1531*AB1531/100)</f>
        <v/>
      </c>
      <c r="R1531" s="7" t="n"/>
      <c r="X1531" s="7" t="n"/>
      <c r="Y1531" s="7">
        <f>IF($E1531="","",AB1531*AE1531/100)</f>
        <v/>
      </c>
      <c r="Z1531" s="7">
        <f>IF($E1531="","",AB1531-Y1531)</f>
        <v/>
      </c>
      <c r="AA1531" s="7">
        <f>IF($E1531="","",Z1531-Q1531)</f>
        <v/>
      </c>
      <c r="AB1531" s="7" t="n"/>
      <c r="AE1531">
        <f>IF($E1531="","",IF($AQ1531=1,0,IF($AP1531=1,Settings!$C$6,Settings!$C$7))*100)</f>
        <v/>
      </c>
      <c r="AI1531" s="7" t="n"/>
      <c r="AL1531" s="11" t="n"/>
      <c r="AN1531">
        <f>IF($E1531="","",IF(COUNTIF($E$2:$E1531,$E1531)=1,1,0))</f>
        <v/>
      </c>
      <c r="AO1531">
        <f>IF($AN1531=1,SUMPRODUCT(--($AR$2:$AR$3001&lt;$AR1531))+1,"")</f>
        <v/>
      </c>
      <c r="AP1531">
        <f>IF($E1531="","",IF(OR($U1531=TRUE(),$U1531="TRUE"),1,0))</f>
        <v/>
      </c>
      <c r="AQ1531">
        <f>IF($E1531="","",IF($AD1531="Yes",1,0))</f>
        <v/>
      </c>
      <c r="AR1531">
        <f>IF($AN1531=1,IFERROR(VALUE(MID($E1531,2,20)),1000000000)+ROW()/100000,"")</f>
        <v/>
      </c>
    </row>
    <row r="1532">
      <c r="G1532" s="11" t="n"/>
      <c r="Q1532" s="7">
        <f>IF($E1532="","",P1532*AB1532/100)</f>
        <v/>
      </c>
      <c r="R1532" s="7" t="n"/>
      <c r="X1532" s="7" t="n"/>
      <c r="Y1532" s="7">
        <f>IF($E1532="","",AB1532*AE1532/100)</f>
        <v/>
      </c>
      <c r="Z1532" s="7">
        <f>IF($E1532="","",AB1532-Y1532)</f>
        <v/>
      </c>
      <c r="AA1532" s="7">
        <f>IF($E1532="","",Z1532-Q1532)</f>
        <v/>
      </c>
      <c r="AB1532" s="7" t="n"/>
      <c r="AE1532">
        <f>IF($E1532="","",IF($AQ1532=1,0,IF($AP1532=1,Settings!$C$6,Settings!$C$7))*100)</f>
        <v/>
      </c>
      <c r="AI1532" s="7" t="n"/>
      <c r="AL1532" s="11" t="n"/>
      <c r="AN1532">
        <f>IF($E1532="","",IF(COUNTIF($E$2:$E1532,$E1532)=1,1,0))</f>
        <v/>
      </c>
      <c r="AO1532">
        <f>IF($AN1532=1,SUMPRODUCT(--($AR$2:$AR$3001&lt;$AR1532))+1,"")</f>
        <v/>
      </c>
      <c r="AP1532">
        <f>IF($E1532="","",IF(OR($U1532=TRUE(),$U1532="TRUE"),1,0))</f>
        <v/>
      </c>
      <c r="AQ1532">
        <f>IF($E1532="","",IF($AD1532="Yes",1,0))</f>
        <v/>
      </c>
      <c r="AR1532">
        <f>IF($AN1532=1,IFERROR(VALUE(MID($E1532,2,20)),1000000000)+ROW()/100000,"")</f>
        <v/>
      </c>
    </row>
    <row r="1533">
      <c r="G1533" s="11" t="n"/>
      <c r="Q1533" s="7">
        <f>IF($E1533="","",P1533*AB1533/100)</f>
        <v/>
      </c>
      <c r="R1533" s="7" t="n"/>
      <c r="X1533" s="7" t="n"/>
      <c r="Y1533" s="7">
        <f>IF($E1533="","",AB1533*AE1533/100)</f>
        <v/>
      </c>
      <c r="Z1533" s="7">
        <f>IF($E1533="","",AB1533-Y1533)</f>
        <v/>
      </c>
      <c r="AA1533" s="7">
        <f>IF($E1533="","",Z1533-Q1533)</f>
        <v/>
      </c>
      <c r="AB1533" s="7" t="n"/>
      <c r="AE1533">
        <f>IF($E1533="","",IF($AQ1533=1,0,IF($AP1533=1,Settings!$C$6,Settings!$C$7))*100)</f>
        <v/>
      </c>
      <c r="AI1533" s="7" t="n"/>
      <c r="AL1533" s="11" t="n"/>
      <c r="AN1533">
        <f>IF($E1533="","",IF(COUNTIF($E$2:$E1533,$E1533)=1,1,0))</f>
        <v/>
      </c>
      <c r="AO1533">
        <f>IF($AN1533=1,SUMPRODUCT(--($AR$2:$AR$3001&lt;$AR1533))+1,"")</f>
        <v/>
      </c>
      <c r="AP1533">
        <f>IF($E1533="","",IF(OR($U1533=TRUE(),$U1533="TRUE"),1,0))</f>
        <v/>
      </c>
      <c r="AQ1533">
        <f>IF($E1533="","",IF($AD1533="Yes",1,0))</f>
        <v/>
      </c>
      <c r="AR1533">
        <f>IF($AN1533=1,IFERROR(VALUE(MID($E1533,2,20)),1000000000)+ROW()/100000,"")</f>
        <v/>
      </c>
    </row>
    <row r="1534">
      <c r="G1534" s="11" t="n"/>
      <c r="Q1534" s="7">
        <f>IF($E1534="","",P1534*AB1534/100)</f>
        <v/>
      </c>
      <c r="R1534" s="7" t="n"/>
      <c r="X1534" s="7" t="n"/>
      <c r="Y1534" s="7">
        <f>IF($E1534="","",AB1534*AE1534/100)</f>
        <v/>
      </c>
      <c r="Z1534" s="7">
        <f>IF($E1534="","",AB1534-Y1534)</f>
        <v/>
      </c>
      <c r="AA1534" s="7">
        <f>IF($E1534="","",Z1534-Q1534)</f>
        <v/>
      </c>
      <c r="AB1534" s="7" t="n"/>
      <c r="AE1534">
        <f>IF($E1534="","",IF($AQ1534=1,0,IF($AP1534=1,Settings!$C$6,Settings!$C$7))*100)</f>
        <v/>
      </c>
      <c r="AI1534" s="7" t="n"/>
      <c r="AL1534" s="11" t="n"/>
      <c r="AN1534">
        <f>IF($E1534="","",IF(COUNTIF($E$2:$E1534,$E1534)=1,1,0))</f>
        <v/>
      </c>
      <c r="AO1534">
        <f>IF($AN1534=1,SUMPRODUCT(--($AR$2:$AR$3001&lt;$AR1534))+1,"")</f>
        <v/>
      </c>
      <c r="AP1534">
        <f>IF($E1534="","",IF(OR($U1534=TRUE(),$U1534="TRUE"),1,0))</f>
        <v/>
      </c>
      <c r="AQ1534">
        <f>IF($E1534="","",IF($AD1534="Yes",1,0))</f>
        <v/>
      </c>
      <c r="AR1534">
        <f>IF($AN1534=1,IFERROR(VALUE(MID($E1534,2,20)),1000000000)+ROW()/100000,"")</f>
        <v/>
      </c>
    </row>
    <row r="1535">
      <c r="G1535" s="11" t="n"/>
      <c r="Q1535" s="7">
        <f>IF($E1535="","",P1535*AB1535/100)</f>
        <v/>
      </c>
      <c r="R1535" s="7" t="n"/>
      <c r="X1535" s="7" t="n"/>
      <c r="Y1535" s="7">
        <f>IF($E1535="","",AB1535*AE1535/100)</f>
        <v/>
      </c>
      <c r="Z1535" s="7">
        <f>IF($E1535="","",AB1535-Y1535)</f>
        <v/>
      </c>
      <c r="AA1535" s="7">
        <f>IF($E1535="","",Z1535-Q1535)</f>
        <v/>
      </c>
      <c r="AB1535" s="7" t="n"/>
      <c r="AE1535">
        <f>IF($E1535="","",IF($AQ1535=1,0,IF($AP1535=1,Settings!$C$6,Settings!$C$7))*100)</f>
        <v/>
      </c>
      <c r="AI1535" s="7" t="n"/>
      <c r="AL1535" s="11" t="n"/>
      <c r="AN1535">
        <f>IF($E1535="","",IF(COUNTIF($E$2:$E1535,$E1535)=1,1,0))</f>
        <v/>
      </c>
      <c r="AO1535">
        <f>IF($AN1535=1,SUMPRODUCT(--($AR$2:$AR$3001&lt;$AR1535))+1,"")</f>
        <v/>
      </c>
      <c r="AP1535">
        <f>IF($E1535="","",IF(OR($U1535=TRUE(),$U1535="TRUE"),1,0))</f>
        <v/>
      </c>
      <c r="AQ1535">
        <f>IF($E1535="","",IF($AD1535="Yes",1,0))</f>
        <v/>
      </c>
      <c r="AR1535">
        <f>IF($AN1535=1,IFERROR(VALUE(MID($E1535,2,20)),1000000000)+ROW()/100000,"")</f>
        <v/>
      </c>
    </row>
    <row r="1536">
      <c r="G1536" s="11" t="n"/>
      <c r="Q1536" s="7">
        <f>IF($E1536="","",P1536*AB1536/100)</f>
        <v/>
      </c>
      <c r="R1536" s="7" t="n"/>
      <c r="X1536" s="7" t="n"/>
      <c r="Y1536" s="7">
        <f>IF($E1536="","",AB1536*AE1536/100)</f>
        <v/>
      </c>
      <c r="Z1536" s="7">
        <f>IF($E1536="","",AB1536-Y1536)</f>
        <v/>
      </c>
      <c r="AA1536" s="7">
        <f>IF($E1536="","",Z1536-Q1536)</f>
        <v/>
      </c>
      <c r="AB1536" s="7" t="n"/>
      <c r="AE1536">
        <f>IF($E1536="","",IF($AQ1536=1,0,IF($AP1536=1,Settings!$C$6,Settings!$C$7))*100)</f>
        <v/>
      </c>
      <c r="AI1536" s="7" t="n"/>
      <c r="AL1536" s="11" t="n"/>
      <c r="AN1536">
        <f>IF($E1536="","",IF(COUNTIF($E$2:$E1536,$E1536)=1,1,0))</f>
        <v/>
      </c>
      <c r="AO1536">
        <f>IF($AN1536=1,SUMPRODUCT(--($AR$2:$AR$3001&lt;$AR1536))+1,"")</f>
        <v/>
      </c>
      <c r="AP1536">
        <f>IF($E1536="","",IF(OR($U1536=TRUE(),$U1536="TRUE"),1,0))</f>
        <v/>
      </c>
      <c r="AQ1536">
        <f>IF($E1536="","",IF($AD1536="Yes",1,0))</f>
        <v/>
      </c>
      <c r="AR1536">
        <f>IF($AN1536=1,IFERROR(VALUE(MID($E1536,2,20)),1000000000)+ROW()/100000,"")</f>
        <v/>
      </c>
    </row>
    <row r="1537">
      <c r="G1537" s="11" t="n"/>
      <c r="Q1537" s="7">
        <f>IF($E1537="","",P1537*AB1537/100)</f>
        <v/>
      </c>
      <c r="R1537" s="7" t="n"/>
      <c r="X1537" s="7" t="n"/>
      <c r="Y1537" s="7">
        <f>IF($E1537="","",AB1537*AE1537/100)</f>
        <v/>
      </c>
      <c r="Z1537" s="7">
        <f>IF($E1537="","",AB1537-Y1537)</f>
        <v/>
      </c>
      <c r="AA1537" s="7">
        <f>IF($E1537="","",Z1537-Q1537)</f>
        <v/>
      </c>
      <c r="AB1537" s="7" t="n"/>
      <c r="AE1537">
        <f>IF($E1537="","",IF($AQ1537=1,0,IF($AP1537=1,Settings!$C$6,Settings!$C$7))*100)</f>
        <v/>
      </c>
      <c r="AI1537" s="7" t="n"/>
      <c r="AL1537" s="11" t="n"/>
      <c r="AN1537">
        <f>IF($E1537="","",IF(COUNTIF($E$2:$E1537,$E1537)=1,1,0))</f>
        <v/>
      </c>
      <c r="AO1537">
        <f>IF($AN1537=1,SUMPRODUCT(--($AR$2:$AR$3001&lt;$AR1537))+1,"")</f>
        <v/>
      </c>
      <c r="AP1537">
        <f>IF($E1537="","",IF(OR($U1537=TRUE(),$U1537="TRUE"),1,0))</f>
        <v/>
      </c>
      <c r="AQ1537">
        <f>IF($E1537="","",IF($AD1537="Yes",1,0))</f>
        <v/>
      </c>
      <c r="AR1537">
        <f>IF($AN1537=1,IFERROR(VALUE(MID($E1537,2,20)),1000000000)+ROW()/100000,"")</f>
        <v/>
      </c>
    </row>
    <row r="1538">
      <c r="G1538" s="11" t="n"/>
      <c r="Q1538" s="7">
        <f>IF($E1538="","",P1538*AB1538/100)</f>
        <v/>
      </c>
      <c r="R1538" s="7" t="n"/>
      <c r="X1538" s="7" t="n"/>
      <c r="Y1538" s="7">
        <f>IF($E1538="","",AB1538*AE1538/100)</f>
        <v/>
      </c>
      <c r="Z1538" s="7">
        <f>IF($E1538="","",AB1538-Y1538)</f>
        <v/>
      </c>
      <c r="AA1538" s="7">
        <f>IF($E1538="","",Z1538-Q1538)</f>
        <v/>
      </c>
      <c r="AB1538" s="7" t="n"/>
      <c r="AE1538">
        <f>IF($E1538="","",IF($AQ1538=1,0,IF($AP1538=1,Settings!$C$6,Settings!$C$7))*100)</f>
        <v/>
      </c>
      <c r="AI1538" s="7" t="n"/>
      <c r="AL1538" s="11" t="n"/>
      <c r="AN1538">
        <f>IF($E1538="","",IF(COUNTIF($E$2:$E1538,$E1538)=1,1,0))</f>
        <v/>
      </c>
      <c r="AO1538">
        <f>IF($AN1538=1,SUMPRODUCT(--($AR$2:$AR$3001&lt;$AR1538))+1,"")</f>
        <v/>
      </c>
      <c r="AP1538">
        <f>IF($E1538="","",IF(OR($U1538=TRUE(),$U1538="TRUE"),1,0))</f>
        <v/>
      </c>
      <c r="AQ1538">
        <f>IF($E1538="","",IF($AD1538="Yes",1,0))</f>
        <v/>
      </c>
      <c r="AR1538">
        <f>IF($AN1538=1,IFERROR(VALUE(MID($E1538,2,20)),1000000000)+ROW()/100000,"")</f>
        <v/>
      </c>
    </row>
    <row r="1539">
      <c r="G1539" s="11" t="n"/>
      <c r="Q1539" s="7">
        <f>IF($E1539="","",P1539*AB1539/100)</f>
        <v/>
      </c>
      <c r="R1539" s="7" t="n"/>
      <c r="X1539" s="7" t="n"/>
      <c r="Y1539" s="7">
        <f>IF($E1539="","",AB1539*AE1539/100)</f>
        <v/>
      </c>
      <c r="Z1539" s="7">
        <f>IF($E1539="","",AB1539-Y1539)</f>
        <v/>
      </c>
      <c r="AA1539" s="7">
        <f>IF($E1539="","",Z1539-Q1539)</f>
        <v/>
      </c>
      <c r="AB1539" s="7" t="n"/>
      <c r="AE1539">
        <f>IF($E1539="","",IF($AQ1539=1,0,IF($AP1539=1,Settings!$C$6,Settings!$C$7))*100)</f>
        <v/>
      </c>
      <c r="AI1539" s="7" t="n"/>
      <c r="AL1539" s="11" t="n"/>
      <c r="AN1539">
        <f>IF($E1539="","",IF(COUNTIF($E$2:$E1539,$E1539)=1,1,0))</f>
        <v/>
      </c>
      <c r="AO1539">
        <f>IF($AN1539=1,SUMPRODUCT(--($AR$2:$AR$3001&lt;$AR1539))+1,"")</f>
        <v/>
      </c>
      <c r="AP1539">
        <f>IF($E1539="","",IF(OR($U1539=TRUE(),$U1539="TRUE"),1,0))</f>
        <v/>
      </c>
      <c r="AQ1539">
        <f>IF($E1539="","",IF($AD1539="Yes",1,0))</f>
        <v/>
      </c>
      <c r="AR1539">
        <f>IF($AN1539=1,IFERROR(VALUE(MID($E1539,2,20)),1000000000)+ROW()/100000,"")</f>
        <v/>
      </c>
    </row>
    <row r="1540">
      <c r="G1540" s="11" t="n"/>
      <c r="Q1540" s="7">
        <f>IF($E1540="","",P1540*AB1540/100)</f>
        <v/>
      </c>
      <c r="R1540" s="7" t="n"/>
      <c r="X1540" s="7" t="n"/>
      <c r="Y1540" s="7">
        <f>IF($E1540="","",AB1540*AE1540/100)</f>
        <v/>
      </c>
      <c r="Z1540" s="7">
        <f>IF($E1540="","",AB1540-Y1540)</f>
        <v/>
      </c>
      <c r="AA1540" s="7">
        <f>IF($E1540="","",Z1540-Q1540)</f>
        <v/>
      </c>
      <c r="AB1540" s="7" t="n"/>
      <c r="AE1540">
        <f>IF($E1540="","",IF($AQ1540=1,0,IF($AP1540=1,Settings!$C$6,Settings!$C$7))*100)</f>
        <v/>
      </c>
      <c r="AI1540" s="7" t="n"/>
      <c r="AL1540" s="11" t="n"/>
      <c r="AN1540">
        <f>IF($E1540="","",IF(COUNTIF($E$2:$E1540,$E1540)=1,1,0))</f>
        <v/>
      </c>
      <c r="AO1540">
        <f>IF($AN1540=1,SUMPRODUCT(--($AR$2:$AR$3001&lt;$AR1540))+1,"")</f>
        <v/>
      </c>
      <c r="AP1540">
        <f>IF($E1540="","",IF(OR($U1540=TRUE(),$U1540="TRUE"),1,0))</f>
        <v/>
      </c>
      <c r="AQ1540">
        <f>IF($E1540="","",IF($AD1540="Yes",1,0))</f>
        <v/>
      </c>
      <c r="AR1540">
        <f>IF($AN1540=1,IFERROR(VALUE(MID($E1540,2,20)),1000000000)+ROW()/100000,"")</f>
        <v/>
      </c>
    </row>
    <row r="1541">
      <c r="G1541" s="11" t="n"/>
      <c r="Q1541" s="7">
        <f>IF($E1541="","",P1541*AB1541/100)</f>
        <v/>
      </c>
      <c r="R1541" s="7" t="n"/>
      <c r="X1541" s="7" t="n"/>
      <c r="Y1541" s="7">
        <f>IF($E1541="","",AB1541*AE1541/100)</f>
        <v/>
      </c>
      <c r="Z1541" s="7">
        <f>IF($E1541="","",AB1541-Y1541)</f>
        <v/>
      </c>
      <c r="AA1541" s="7">
        <f>IF($E1541="","",Z1541-Q1541)</f>
        <v/>
      </c>
      <c r="AB1541" s="7" t="n"/>
      <c r="AE1541">
        <f>IF($E1541="","",IF($AQ1541=1,0,IF($AP1541=1,Settings!$C$6,Settings!$C$7))*100)</f>
        <v/>
      </c>
      <c r="AI1541" s="7" t="n"/>
      <c r="AL1541" s="11" t="n"/>
      <c r="AN1541">
        <f>IF($E1541="","",IF(COUNTIF($E$2:$E1541,$E1541)=1,1,0))</f>
        <v/>
      </c>
      <c r="AO1541">
        <f>IF($AN1541=1,SUMPRODUCT(--($AR$2:$AR$3001&lt;$AR1541))+1,"")</f>
        <v/>
      </c>
      <c r="AP1541">
        <f>IF($E1541="","",IF(OR($U1541=TRUE(),$U1541="TRUE"),1,0))</f>
        <v/>
      </c>
      <c r="AQ1541">
        <f>IF($E1541="","",IF($AD1541="Yes",1,0))</f>
        <v/>
      </c>
      <c r="AR1541">
        <f>IF($AN1541=1,IFERROR(VALUE(MID($E1541,2,20)),1000000000)+ROW()/100000,"")</f>
        <v/>
      </c>
    </row>
    <row r="1542">
      <c r="G1542" s="11" t="n"/>
      <c r="Q1542" s="7">
        <f>IF($E1542="","",P1542*AB1542/100)</f>
        <v/>
      </c>
      <c r="R1542" s="7" t="n"/>
      <c r="X1542" s="7" t="n"/>
      <c r="Y1542" s="7">
        <f>IF($E1542="","",AB1542*AE1542/100)</f>
        <v/>
      </c>
      <c r="Z1542" s="7">
        <f>IF($E1542="","",AB1542-Y1542)</f>
        <v/>
      </c>
      <c r="AA1542" s="7">
        <f>IF($E1542="","",Z1542-Q1542)</f>
        <v/>
      </c>
      <c r="AB1542" s="7" t="n"/>
      <c r="AE1542">
        <f>IF($E1542="","",IF($AQ1542=1,0,IF($AP1542=1,Settings!$C$6,Settings!$C$7))*100)</f>
        <v/>
      </c>
      <c r="AI1542" s="7" t="n"/>
      <c r="AL1542" s="11" t="n"/>
      <c r="AN1542">
        <f>IF($E1542="","",IF(COUNTIF($E$2:$E1542,$E1542)=1,1,0))</f>
        <v/>
      </c>
      <c r="AO1542">
        <f>IF($AN1542=1,SUMPRODUCT(--($AR$2:$AR$3001&lt;$AR1542))+1,"")</f>
        <v/>
      </c>
      <c r="AP1542">
        <f>IF($E1542="","",IF(OR($U1542=TRUE(),$U1542="TRUE"),1,0))</f>
        <v/>
      </c>
      <c r="AQ1542">
        <f>IF($E1542="","",IF($AD1542="Yes",1,0))</f>
        <v/>
      </c>
      <c r="AR1542">
        <f>IF($AN1542=1,IFERROR(VALUE(MID($E1542,2,20)),1000000000)+ROW()/100000,"")</f>
        <v/>
      </c>
    </row>
    <row r="1543">
      <c r="G1543" s="11" t="n"/>
      <c r="Q1543" s="7">
        <f>IF($E1543="","",P1543*AB1543/100)</f>
        <v/>
      </c>
      <c r="R1543" s="7" t="n"/>
      <c r="X1543" s="7" t="n"/>
      <c r="Y1543" s="7">
        <f>IF($E1543="","",AB1543*AE1543/100)</f>
        <v/>
      </c>
      <c r="Z1543" s="7">
        <f>IF($E1543="","",AB1543-Y1543)</f>
        <v/>
      </c>
      <c r="AA1543" s="7">
        <f>IF($E1543="","",Z1543-Q1543)</f>
        <v/>
      </c>
      <c r="AB1543" s="7" t="n"/>
      <c r="AE1543">
        <f>IF($E1543="","",IF($AQ1543=1,0,IF($AP1543=1,Settings!$C$6,Settings!$C$7))*100)</f>
        <v/>
      </c>
      <c r="AI1543" s="7" t="n"/>
      <c r="AL1543" s="11" t="n"/>
      <c r="AN1543">
        <f>IF($E1543="","",IF(COUNTIF($E$2:$E1543,$E1543)=1,1,0))</f>
        <v/>
      </c>
      <c r="AO1543">
        <f>IF($AN1543=1,SUMPRODUCT(--($AR$2:$AR$3001&lt;$AR1543))+1,"")</f>
        <v/>
      </c>
      <c r="AP1543">
        <f>IF($E1543="","",IF(OR($U1543=TRUE(),$U1543="TRUE"),1,0))</f>
        <v/>
      </c>
      <c r="AQ1543">
        <f>IF($E1543="","",IF($AD1543="Yes",1,0))</f>
        <v/>
      </c>
      <c r="AR1543">
        <f>IF($AN1543=1,IFERROR(VALUE(MID($E1543,2,20)),1000000000)+ROW()/100000,"")</f>
        <v/>
      </c>
    </row>
    <row r="1544">
      <c r="G1544" s="11" t="n"/>
      <c r="Q1544" s="7">
        <f>IF($E1544="","",P1544*AB1544/100)</f>
        <v/>
      </c>
      <c r="R1544" s="7" t="n"/>
      <c r="X1544" s="7" t="n"/>
      <c r="Y1544" s="7">
        <f>IF($E1544="","",AB1544*AE1544/100)</f>
        <v/>
      </c>
      <c r="Z1544" s="7">
        <f>IF($E1544="","",AB1544-Y1544)</f>
        <v/>
      </c>
      <c r="AA1544" s="7">
        <f>IF($E1544="","",Z1544-Q1544)</f>
        <v/>
      </c>
      <c r="AB1544" s="7" t="n"/>
      <c r="AE1544">
        <f>IF($E1544="","",IF($AQ1544=1,0,IF($AP1544=1,Settings!$C$6,Settings!$C$7))*100)</f>
        <v/>
      </c>
      <c r="AI1544" s="7" t="n"/>
      <c r="AL1544" s="11" t="n"/>
      <c r="AN1544">
        <f>IF($E1544="","",IF(COUNTIF($E$2:$E1544,$E1544)=1,1,0))</f>
        <v/>
      </c>
      <c r="AO1544">
        <f>IF($AN1544=1,SUMPRODUCT(--($AR$2:$AR$3001&lt;$AR1544))+1,"")</f>
        <v/>
      </c>
      <c r="AP1544">
        <f>IF($E1544="","",IF(OR($U1544=TRUE(),$U1544="TRUE"),1,0))</f>
        <v/>
      </c>
      <c r="AQ1544">
        <f>IF($E1544="","",IF($AD1544="Yes",1,0))</f>
        <v/>
      </c>
      <c r="AR1544">
        <f>IF($AN1544=1,IFERROR(VALUE(MID($E1544,2,20)),1000000000)+ROW()/100000,"")</f>
        <v/>
      </c>
    </row>
    <row r="1545">
      <c r="G1545" s="11" t="n"/>
      <c r="Q1545" s="7">
        <f>IF($E1545="","",P1545*AB1545/100)</f>
        <v/>
      </c>
      <c r="R1545" s="7" t="n"/>
      <c r="X1545" s="7" t="n"/>
      <c r="Y1545" s="7">
        <f>IF($E1545="","",AB1545*AE1545/100)</f>
        <v/>
      </c>
      <c r="Z1545" s="7">
        <f>IF($E1545="","",AB1545-Y1545)</f>
        <v/>
      </c>
      <c r="AA1545" s="7">
        <f>IF($E1545="","",Z1545-Q1545)</f>
        <v/>
      </c>
      <c r="AB1545" s="7" t="n"/>
      <c r="AE1545">
        <f>IF($E1545="","",IF($AQ1545=1,0,IF($AP1545=1,Settings!$C$6,Settings!$C$7))*100)</f>
        <v/>
      </c>
      <c r="AI1545" s="7" t="n"/>
      <c r="AL1545" s="11" t="n"/>
      <c r="AN1545">
        <f>IF($E1545="","",IF(COUNTIF($E$2:$E1545,$E1545)=1,1,0))</f>
        <v/>
      </c>
      <c r="AO1545">
        <f>IF($AN1545=1,SUMPRODUCT(--($AR$2:$AR$3001&lt;$AR1545))+1,"")</f>
        <v/>
      </c>
      <c r="AP1545">
        <f>IF($E1545="","",IF(OR($U1545=TRUE(),$U1545="TRUE"),1,0))</f>
        <v/>
      </c>
      <c r="AQ1545">
        <f>IF($E1545="","",IF($AD1545="Yes",1,0))</f>
        <v/>
      </c>
      <c r="AR1545">
        <f>IF($AN1545=1,IFERROR(VALUE(MID($E1545,2,20)),1000000000)+ROW()/100000,"")</f>
        <v/>
      </c>
    </row>
    <row r="1546">
      <c r="G1546" s="11" t="n"/>
      <c r="Q1546" s="7">
        <f>IF($E1546="","",P1546*AB1546/100)</f>
        <v/>
      </c>
      <c r="R1546" s="7" t="n"/>
      <c r="X1546" s="7" t="n"/>
      <c r="Y1546" s="7">
        <f>IF($E1546="","",AB1546*AE1546/100)</f>
        <v/>
      </c>
      <c r="Z1546" s="7">
        <f>IF($E1546="","",AB1546-Y1546)</f>
        <v/>
      </c>
      <c r="AA1546" s="7">
        <f>IF($E1546="","",Z1546-Q1546)</f>
        <v/>
      </c>
      <c r="AB1546" s="7" t="n"/>
      <c r="AE1546">
        <f>IF($E1546="","",IF($AQ1546=1,0,IF($AP1546=1,Settings!$C$6,Settings!$C$7))*100)</f>
        <v/>
      </c>
      <c r="AI1546" s="7" t="n"/>
      <c r="AL1546" s="11" t="n"/>
      <c r="AN1546">
        <f>IF($E1546="","",IF(COUNTIF($E$2:$E1546,$E1546)=1,1,0))</f>
        <v/>
      </c>
      <c r="AO1546">
        <f>IF($AN1546=1,SUMPRODUCT(--($AR$2:$AR$3001&lt;$AR1546))+1,"")</f>
        <v/>
      </c>
      <c r="AP1546">
        <f>IF($E1546="","",IF(OR($U1546=TRUE(),$U1546="TRUE"),1,0))</f>
        <v/>
      </c>
      <c r="AQ1546">
        <f>IF($E1546="","",IF($AD1546="Yes",1,0))</f>
        <v/>
      </c>
      <c r="AR1546">
        <f>IF($AN1546=1,IFERROR(VALUE(MID($E1546,2,20)),1000000000)+ROW()/100000,"")</f>
        <v/>
      </c>
    </row>
    <row r="1547">
      <c r="G1547" s="11" t="n"/>
      <c r="Q1547" s="7">
        <f>IF($E1547="","",P1547*AB1547/100)</f>
        <v/>
      </c>
      <c r="R1547" s="7" t="n"/>
      <c r="X1547" s="7" t="n"/>
      <c r="Y1547" s="7">
        <f>IF($E1547="","",AB1547*AE1547/100)</f>
        <v/>
      </c>
      <c r="Z1547" s="7">
        <f>IF($E1547="","",AB1547-Y1547)</f>
        <v/>
      </c>
      <c r="AA1547" s="7">
        <f>IF($E1547="","",Z1547-Q1547)</f>
        <v/>
      </c>
      <c r="AB1547" s="7" t="n"/>
      <c r="AE1547">
        <f>IF($E1547="","",IF($AQ1547=1,0,IF($AP1547=1,Settings!$C$6,Settings!$C$7))*100)</f>
        <v/>
      </c>
      <c r="AI1547" s="7" t="n"/>
      <c r="AL1547" s="11" t="n"/>
      <c r="AN1547">
        <f>IF($E1547="","",IF(COUNTIF($E$2:$E1547,$E1547)=1,1,0))</f>
        <v/>
      </c>
      <c r="AO1547">
        <f>IF($AN1547=1,SUMPRODUCT(--($AR$2:$AR$3001&lt;$AR1547))+1,"")</f>
        <v/>
      </c>
      <c r="AP1547">
        <f>IF($E1547="","",IF(OR($U1547=TRUE(),$U1547="TRUE"),1,0))</f>
        <v/>
      </c>
      <c r="AQ1547">
        <f>IF($E1547="","",IF($AD1547="Yes",1,0))</f>
        <v/>
      </c>
      <c r="AR1547">
        <f>IF($AN1547=1,IFERROR(VALUE(MID($E1547,2,20)),1000000000)+ROW()/100000,"")</f>
        <v/>
      </c>
    </row>
    <row r="1548">
      <c r="G1548" s="11" t="n"/>
      <c r="Q1548" s="7">
        <f>IF($E1548="","",P1548*AB1548/100)</f>
        <v/>
      </c>
      <c r="R1548" s="7" t="n"/>
      <c r="X1548" s="7" t="n"/>
      <c r="Y1548" s="7">
        <f>IF($E1548="","",AB1548*AE1548/100)</f>
        <v/>
      </c>
      <c r="Z1548" s="7">
        <f>IF($E1548="","",AB1548-Y1548)</f>
        <v/>
      </c>
      <c r="AA1548" s="7">
        <f>IF($E1548="","",Z1548-Q1548)</f>
        <v/>
      </c>
      <c r="AB1548" s="7" t="n"/>
      <c r="AE1548">
        <f>IF($E1548="","",IF($AQ1548=1,0,IF($AP1548=1,Settings!$C$6,Settings!$C$7))*100)</f>
        <v/>
      </c>
      <c r="AI1548" s="7" t="n"/>
      <c r="AL1548" s="11" t="n"/>
      <c r="AN1548">
        <f>IF($E1548="","",IF(COUNTIF($E$2:$E1548,$E1548)=1,1,0))</f>
        <v/>
      </c>
      <c r="AO1548">
        <f>IF($AN1548=1,SUMPRODUCT(--($AR$2:$AR$3001&lt;$AR1548))+1,"")</f>
        <v/>
      </c>
      <c r="AP1548">
        <f>IF($E1548="","",IF(OR($U1548=TRUE(),$U1548="TRUE"),1,0))</f>
        <v/>
      </c>
      <c r="AQ1548">
        <f>IF($E1548="","",IF($AD1548="Yes",1,0))</f>
        <v/>
      </c>
      <c r="AR1548">
        <f>IF($AN1548=1,IFERROR(VALUE(MID($E1548,2,20)),1000000000)+ROW()/100000,"")</f>
        <v/>
      </c>
    </row>
    <row r="1549">
      <c r="G1549" s="11" t="n"/>
      <c r="Q1549" s="7">
        <f>IF($E1549="","",P1549*AB1549/100)</f>
        <v/>
      </c>
      <c r="R1549" s="7" t="n"/>
      <c r="X1549" s="7" t="n"/>
      <c r="Y1549" s="7">
        <f>IF($E1549="","",AB1549*AE1549/100)</f>
        <v/>
      </c>
      <c r="Z1549" s="7">
        <f>IF($E1549="","",AB1549-Y1549)</f>
        <v/>
      </c>
      <c r="AA1549" s="7">
        <f>IF($E1549="","",Z1549-Q1549)</f>
        <v/>
      </c>
      <c r="AB1549" s="7" t="n"/>
      <c r="AE1549">
        <f>IF($E1549="","",IF($AQ1549=1,0,IF($AP1549=1,Settings!$C$6,Settings!$C$7))*100)</f>
        <v/>
      </c>
      <c r="AI1549" s="7" t="n"/>
      <c r="AL1549" s="11" t="n"/>
      <c r="AN1549">
        <f>IF($E1549="","",IF(COUNTIF($E$2:$E1549,$E1549)=1,1,0))</f>
        <v/>
      </c>
      <c r="AO1549">
        <f>IF($AN1549=1,SUMPRODUCT(--($AR$2:$AR$3001&lt;$AR1549))+1,"")</f>
        <v/>
      </c>
      <c r="AP1549">
        <f>IF($E1549="","",IF(OR($U1549=TRUE(),$U1549="TRUE"),1,0))</f>
        <v/>
      </c>
      <c r="AQ1549">
        <f>IF($E1549="","",IF($AD1549="Yes",1,0))</f>
        <v/>
      </c>
      <c r="AR1549">
        <f>IF($AN1549=1,IFERROR(VALUE(MID($E1549,2,20)),1000000000)+ROW()/100000,"")</f>
        <v/>
      </c>
    </row>
    <row r="1550">
      <c r="G1550" s="11" t="n"/>
      <c r="Q1550" s="7">
        <f>IF($E1550="","",P1550*AB1550/100)</f>
        <v/>
      </c>
      <c r="R1550" s="7" t="n"/>
      <c r="X1550" s="7" t="n"/>
      <c r="Y1550" s="7">
        <f>IF($E1550="","",AB1550*AE1550/100)</f>
        <v/>
      </c>
      <c r="Z1550" s="7">
        <f>IF($E1550="","",AB1550-Y1550)</f>
        <v/>
      </c>
      <c r="AA1550" s="7">
        <f>IF($E1550="","",Z1550-Q1550)</f>
        <v/>
      </c>
      <c r="AB1550" s="7" t="n"/>
      <c r="AE1550">
        <f>IF($E1550="","",IF($AQ1550=1,0,IF($AP1550=1,Settings!$C$6,Settings!$C$7))*100)</f>
        <v/>
      </c>
      <c r="AI1550" s="7" t="n"/>
      <c r="AL1550" s="11" t="n"/>
      <c r="AN1550">
        <f>IF($E1550="","",IF(COUNTIF($E$2:$E1550,$E1550)=1,1,0))</f>
        <v/>
      </c>
      <c r="AO1550">
        <f>IF($AN1550=1,SUMPRODUCT(--($AR$2:$AR$3001&lt;$AR1550))+1,"")</f>
        <v/>
      </c>
      <c r="AP1550">
        <f>IF($E1550="","",IF(OR($U1550=TRUE(),$U1550="TRUE"),1,0))</f>
        <v/>
      </c>
      <c r="AQ1550">
        <f>IF($E1550="","",IF($AD1550="Yes",1,0))</f>
        <v/>
      </c>
      <c r="AR1550">
        <f>IF($AN1550=1,IFERROR(VALUE(MID($E1550,2,20)),1000000000)+ROW()/100000,"")</f>
        <v/>
      </c>
    </row>
    <row r="1551">
      <c r="G1551" s="11" t="n"/>
      <c r="Q1551" s="7">
        <f>IF($E1551="","",P1551*AB1551/100)</f>
        <v/>
      </c>
      <c r="R1551" s="7" t="n"/>
      <c r="X1551" s="7" t="n"/>
      <c r="Y1551" s="7">
        <f>IF($E1551="","",AB1551*AE1551/100)</f>
        <v/>
      </c>
      <c r="Z1551" s="7">
        <f>IF($E1551="","",AB1551-Y1551)</f>
        <v/>
      </c>
      <c r="AA1551" s="7">
        <f>IF($E1551="","",Z1551-Q1551)</f>
        <v/>
      </c>
      <c r="AB1551" s="7" t="n"/>
      <c r="AE1551">
        <f>IF($E1551="","",IF($AQ1551=1,0,IF($AP1551=1,Settings!$C$6,Settings!$C$7))*100)</f>
        <v/>
      </c>
      <c r="AI1551" s="7" t="n"/>
      <c r="AL1551" s="11" t="n"/>
      <c r="AN1551">
        <f>IF($E1551="","",IF(COUNTIF($E$2:$E1551,$E1551)=1,1,0))</f>
        <v/>
      </c>
      <c r="AO1551">
        <f>IF($AN1551=1,SUMPRODUCT(--($AR$2:$AR$3001&lt;$AR1551))+1,"")</f>
        <v/>
      </c>
      <c r="AP1551">
        <f>IF($E1551="","",IF(OR($U1551=TRUE(),$U1551="TRUE"),1,0))</f>
        <v/>
      </c>
      <c r="AQ1551">
        <f>IF($E1551="","",IF($AD1551="Yes",1,0))</f>
        <v/>
      </c>
      <c r="AR1551">
        <f>IF($AN1551=1,IFERROR(VALUE(MID($E1551,2,20)),1000000000)+ROW()/100000,"")</f>
        <v/>
      </c>
    </row>
    <row r="1552">
      <c r="G1552" s="11" t="n"/>
      <c r="Q1552" s="7">
        <f>IF($E1552="","",P1552*AB1552/100)</f>
        <v/>
      </c>
      <c r="R1552" s="7" t="n"/>
      <c r="X1552" s="7" t="n"/>
      <c r="Y1552" s="7">
        <f>IF($E1552="","",AB1552*AE1552/100)</f>
        <v/>
      </c>
      <c r="Z1552" s="7">
        <f>IF($E1552="","",AB1552-Y1552)</f>
        <v/>
      </c>
      <c r="AA1552" s="7">
        <f>IF($E1552="","",Z1552-Q1552)</f>
        <v/>
      </c>
      <c r="AB1552" s="7" t="n"/>
      <c r="AE1552">
        <f>IF($E1552="","",IF($AQ1552=1,0,IF($AP1552=1,Settings!$C$6,Settings!$C$7))*100)</f>
        <v/>
      </c>
      <c r="AI1552" s="7" t="n"/>
      <c r="AL1552" s="11" t="n"/>
      <c r="AN1552">
        <f>IF($E1552="","",IF(COUNTIF($E$2:$E1552,$E1552)=1,1,0))</f>
        <v/>
      </c>
      <c r="AO1552">
        <f>IF($AN1552=1,SUMPRODUCT(--($AR$2:$AR$3001&lt;$AR1552))+1,"")</f>
        <v/>
      </c>
      <c r="AP1552">
        <f>IF($E1552="","",IF(OR($U1552=TRUE(),$U1552="TRUE"),1,0))</f>
        <v/>
      </c>
      <c r="AQ1552">
        <f>IF($E1552="","",IF($AD1552="Yes",1,0))</f>
        <v/>
      </c>
      <c r="AR1552">
        <f>IF($AN1552=1,IFERROR(VALUE(MID($E1552,2,20)),1000000000)+ROW()/100000,"")</f>
        <v/>
      </c>
    </row>
    <row r="1553">
      <c r="G1553" s="11" t="n"/>
      <c r="Q1553" s="7">
        <f>IF($E1553="","",P1553*AB1553/100)</f>
        <v/>
      </c>
      <c r="R1553" s="7" t="n"/>
      <c r="X1553" s="7" t="n"/>
      <c r="Y1553" s="7">
        <f>IF($E1553="","",AB1553*AE1553/100)</f>
        <v/>
      </c>
      <c r="Z1553" s="7">
        <f>IF($E1553="","",AB1553-Y1553)</f>
        <v/>
      </c>
      <c r="AA1553" s="7">
        <f>IF($E1553="","",Z1553-Q1553)</f>
        <v/>
      </c>
      <c r="AB1553" s="7" t="n"/>
      <c r="AE1553">
        <f>IF($E1553="","",IF($AQ1553=1,0,IF($AP1553=1,Settings!$C$6,Settings!$C$7))*100)</f>
        <v/>
      </c>
      <c r="AI1553" s="7" t="n"/>
      <c r="AL1553" s="11" t="n"/>
      <c r="AN1553">
        <f>IF($E1553="","",IF(COUNTIF($E$2:$E1553,$E1553)=1,1,0))</f>
        <v/>
      </c>
      <c r="AO1553">
        <f>IF($AN1553=1,SUMPRODUCT(--($AR$2:$AR$3001&lt;$AR1553))+1,"")</f>
        <v/>
      </c>
      <c r="AP1553">
        <f>IF($E1553="","",IF(OR($U1553=TRUE(),$U1553="TRUE"),1,0))</f>
        <v/>
      </c>
      <c r="AQ1553">
        <f>IF($E1553="","",IF($AD1553="Yes",1,0))</f>
        <v/>
      </c>
      <c r="AR1553">
        <f>IF($AN1553=1,IFERROR(VALUE(MID($E1553,2,20)),1000000000)+ROW()/100000,"")</f>
        <v/>
      </c>
    </row>
    <row r="1554">
      <c r="G1554" s="11" t="n"/>
      <c r="Q1554" s="7">
        <f>IF($E1554="","",P1554*AB1554/100)</f>
        <v/>
      </c>
      <c r="R1554" s="7" t="n"/>
      <c r="X1554" s="7" t="n"/>
      <c r="Y1554" s="7">
        <f>IF($E1554="","",AB1554*AE1554/100)</f>
        <v/>
      </c>
      <c r="Z1554" s="7">
        <f>IF($E1554="","",AB1554-Y1554)</f>
        <v/>
      </c>
      <c r="AA1554" s="7">
        <f>IF($E1554="","",Z1554-Q1554)</f>
        <v/>
      </c>
      <c r="AB1554" s="7" t="n"/>
      <c r="AE1554">
        <f>IF($E1554="","",IF($AQ1554=1,0,IF($AP1554=1,Settings!$C$6,Settings!$C$7))*100)</f>
        <v/>
      </c>
      <c r="AI1554" s="7" t="n"/>
      <c r="AL1554" s="11" t="n"/>
      <c r="AN1554">
        <f>IF($E1554="","",IF(COUNTIF($E$2:$E1554,$E1554)=1,1,0))</f>
        <v/>
      </c>
      <c r="AO1554">
        <f>IF($AN1554=1,SUMPRODUCT(--($AR$2:$AR$3001&lt;$AR1554))+1,"")</f>
        <v/>
      </c>
      <c r="AP1554">
        <f>IF($E1554="","",IF(OR($U1554=TRUE(),$U1554="TRUE"),1,0))</f>
        <v/>
      </c>
      <c r="AQ1554">
        <f>IF($E1554="","",IF($AD1554="Yes",1,0))</f>
        <v/>
      </c>
      <c r="AR1554">
        <f>IF($AN1554=1,IFERROR(VALUE(MID($E1554,2,20)),1000000000)+ROW()/100000,"")</f>
        <v/>
      </c>
    </row>
    <row r="1555">
      <c r="G1555" s="11" t="n"/>
      <c r="Q1555" s="7">
        <f>IF($E1555="","",P1555*AB1555/100)</f>
        <v/>
      </c>
      <c r="R1555" s="7" t="n"/>
      <c r="X1555" s="7" t="n"/>
      <c r="Y1555" s="7">
        <f>IF($E1555="","",AB1555*AE1555/100)</f>
        <v/>
      </c>
      <c r="Z1555" s="7">
        <f>IF($E1555="","",AB1555-Y1555)</f>
        <v/>
      </c>
      <c r="AA1555" s="7">
        <f>IF($E1555="","",Z1555-Q1555)</f>
        <v/>
      </c>
      <c r="AB1555" s="7" t="n"/>
      <c r="AE1555">
        <f>IF($E1555="","",IF($AQ1555=1,0,IF($AP1555=1,Settings!$C$6,Settings!$C$7))*100)</f>
        <v/>
      </c>
      <c r="AI1555" s="7" t="n"/>
      <c r="AL1555" s="11" t="n"/>
      <c r="AN1555">
        <f>IF($E1555="","",IF(COUNTIF($E$2:$E1555,$E1555)=1,1,0))</f>
        <v/>
      </c>
      <c r="AO1555">
        <f>IF($AN1555=1,SUMPRODUCT(--($AR$2:$AR$3001&lt;$AR1555))+1,"")</f>
        <v/>
      </c>
      <c r="AP1555">
        <f>IF($E1555="","",IF(OR($U1555=TRUE(),$U1555="TRUE"),1,0))</f>
        <v/>
      </c>
      <c r="AQ1555">
        <f>IF($E1555="","",IF($AD1555="Yes",1,0))</f>
        <v/>
      </c>
      <c r="AR1555">
        <f>IF($AN1555=1,IFERROR(VALUE(MID($E1555,2,20)),1000000000)+ROW()/100000,"")</f>
        <v/>
      </c>
    </row>
    <row r="1556">
      <c r="G1556" s="11" t="n"/>
      <c r="Q1556" s="7">
        <f>IF($E1556="","",P1556*AB1556/100)</f>
        <v/>
      </c>
      <c r="R1556" s="7" t="n"/>
      <c r="X1556" s="7" t="n"/>
      <c r="Y1556" s="7">
        <f>IF($E1556="","",AB1556*AE1556/100)</f>
        <v/>
      </c>
      <c r="Z1556" s="7">
        <f>IF($E1556="","",AB1556-Y1556)</f>
        <v/>
      </c>
      <c r="AA1556" s="7">
        <f>IF($E1556="","",Z1556-Q1556)</f>
        <v/>
      </c>
      <c r="AB1556" s="7" t="n"/>
      <c r="AE1556">
        <f>IF($E1556="","",IF($AQ1556=1,0,IF($AP1556=1,Settings!$C$6,Settings!$C$7))*100)</f>
        <v/>
      </c>
      <c r="AI1556" s="7" t="n"/>
      <c r="AL1556" s="11" t="n"/>
      <c r="AN1556">
        <f>IF($E1556="","",IF(COUNTIF($E$2:$E1556,$E1556)=1,1,0))</f>
        <v/>
      </c>
      <c r="AO1556">
        <f>IF($AN1556=1,SUMPRODUCT(--($AR$2:$AR$3001&lt;$AR1556))+1,"")</f>
        <v/>
      </c>
      <c r="AP1556">
        <f>IF($E1556="","",IF(OR($U1556=TRUE(),$U1556="TRUE"),1,0))</f>
        <v/>
      </c>
      <c r="AQ1556">
        <f>IF($E1556="","",IF($AD1556="Yes",1,0))</f>
        <v/>
      </c>
      <c r="AR1556">
        <f>IF($AN1556=1,IFERROR(VALUE(MID($E1556,2,20)),1000000000)+ROW()/100000,"")</f>
        <v/>
      </c>
    </row>
    <row r="1557">
      <c r="G1557" s="11" t="n"/>
      <c r="Q1557" s="7">
        <f>IF($E1557="","",P1557*AB1557/100)</f>
        <v/>
      </c>
      <c r="R1557" s="7" t="n"/>
      <c r="X1557" s="7" t="n"/>
      <c r="Y1557" s="7">
        <f>IF($E1557="","",AB1557*AE1557/100)</f>
        <v/>
      </c>
      <c r="Z1557" s="7">
        <f>IF($E1557="","",AB1557-Y1557)</f>
        <v/>
      </c>
      <c r="AA1557" s="7">
        <f>IF($E1557="","",Z1557-Q1557)</f>
        <v/>
      </c>
      <c r="AB1557" s="7" t="n"/>
      <c r="AE1557">
        <f>IF($E1557="","",IF($AQ1557=1,0,IF($AP1557=1,Settings!$C$6,Settings!$C$7))*100)</f>
        <v/>
      </c>
      <c r="AI1557" s="7" t="n"/>
      <c r="AL1557" s="11" t="n"/>
      <c r="AN1557">
        <f>IF($E1557="","",IF(COUNTIF($E$2:$E1557,$E1557)=1,1,0))</f>
        <v/>
      </c>
      <c r="AO1557">
        <f>IF($AN1557=1,SUMPRODUCT(--($AR$2:$AR$3001&lt;$AR1557))+1,"")</f>
        <v/>
      </c>
      <c r="AP1557">
        <f>IF($E1557="","",IF(OR($U1557=TRUE(),$U1557="TRUE"),1,0))</f>
        <v/>
      </c>
      <c r="AQ1557">
        <f>IF($E1557="","",IF($AD1557="Yes",1,0))</f>
        <v/>
      </c>
      <c r="AR1557">
        <f>IF($AN1557=1,IFERROR(VALUE(MID($E1557,2,20)),1000000000)+ROW()/100000,"")</f>
        <v/>
      </c>
    </row>
    <row r="1558">
      <c r="G1558" s="11" t="n"/>
      <c r="Q1558" s="7">
        <f>IF($E1558="","",P1558*AB1558/100)</f>
        <v/>
      </c>
      <c r="R1558" s="7" t="n"/>
      <c r="X1558" s="7" t="n"/>
      <c r="Y1558" s="7">
        <f>IF($E1558="","",AB1558*AE1558/100)</f>
        <v/>
      </c>
      <c r="Z1558" s="7">
        <f>IF($E1558="","",AB1558-Y1558)</f>
        <v/>
      </c>
      <c r="AA1558" s="7">
        <f>IF($E1558="","",Z1558-Q1558)</f>
        <v/>
      </c>
      <c r="AB1558" s="7" t="n"/>
      <c r="AE1558">
        <f>IF($E1558="","",IF($AQ1558=1,0,IF($AP1558=1,Settings!$C$6,Settings!$C$7))*100)</f>
        <v/>
      </c>
      <c r="AI1558" s="7" t="n"/>
      <c r="AL1558" s="11" t="n"/>
      <c r="AN1558">
        <f>IF($E1558="","",IF(COUNTIF($E$2:$E1558,$E1558)=1,1,0))</f>
        <v/>
      </c>
      <c r="AO1558">
        <f>IF($AN1558=1,SUMPRODUCT(--($AR$2:$AR$3001&lt;$AR1558))+1,"")</f>
        <v/>
      </c>
      <c r="AP1558">
        <f>IF($E1558="","",IF(OR($U1558=TRUE(),$U1558="TRUE"),1,0))</f>
        <v/>
      </c>
      <c r="AQ1558">
        <f>IF($E1558="","",IF($AD1558="Yes",1,0))</f>
        <v/>
      </c>
      <c r="AR1558">
        <f>IF($AN1558=1,IFERROR(VALUE(MID($E1558,2,20)),1000000000)+ROW()/100000,"")</f>
        <v/>
      </c>
    </row>
    <row r="1559">
      <c r="G1559" s="11" t="n"/>
      <c r="Q1559" s="7">
        <f>IF($E1559="","",P1559*AB1559/100)</f>
        <v/>
      </c>
      <c r="R1559" s="7" t="n"/>
      <c r="X1559" s="7" t="n"/>
      <c r="Y1559" s="7">
        <f>IF($E1559="","",AB1559*AE1559/100)</f>
        <v/>
      </c>
      <c r="Z1559" s="7">
        <f>IF($E1559="","",AB1559-Y1559)</f>
        <v/>
      </c>
      <c r="AA1559" s="7">
        <f>IF($E1559="","",Z1559-Q1559)</f>
        <v/>
      </c>
      <c r="AB1559" s="7" t="n"/>
      <c r="AE1559">
        <f>IF($E1559="","",IF($AQ1559=1,0,IF($AP1559=1,Settings!$C$6,Settings!$C$7))*100)</f>
        <v/>
      </c>
      <c r="AI1559" s="7" t="n"/>
      <c r="AL1559" s="11" t="n"/>
      <c r="AN1559">
        <f>IF($E1559="","",IF(COUNTIF($E$2:$E1559,$E1559)=1,1,0))</f>
        <v/>
      </c>
      <c r="AO1559">
        <f>IF($AN1559=1,SUMPRODUCT(--($AR$2:$AR$3001&lt;$AR1559))+1,"")</f>
        <v/>
      </c>
      <c r="AP1559">
        <f>IF($E1559="","",IF(OR($U1559=TRUE(),$U1559="TRUE"),1,0))</f>
        <v/>
      </c>
      <c r="AQ1559">
        <f>IF($E1559="","",IF($AD1559="Yes",1,0))</f>
        <v/>
      </c>
      <c r="AR1559">
        <f>IF($AN1559=1,IFERROR(VALUE(MID($E1559,2,20)),1000000000)+ROW()/100000,"")</f>
        <v/>
      </c>
    </row>
    <row r="1560">
      <c r="G1560" s="11" t="n"/>
      <c r="Q1560" s="7">
        <f>IF($E1560="","",P1560*AB1560/100)</f>
        <v/>
      </c>
      <c r="R1560" s="7" t="n"/>
      <c r="X1560" s="7" t="n"/>
      <c r="Y1560" s="7">
        <f>IF($E1560="","",AB1560*AE1560/100)</f>
        <v/>
      </c>
      <c r="Z1560" s="7">
        <f>IF($E1560="","",AB1560-Y1560)</f>
        <v/>
      </c>
      <c r="AA1560" s="7">
        <f>IF($E1560="","",Z1560-Q1560)</f>
        <v/>
      </c>
      <c r="AB1560" s="7" t="n"/>
      <c r="AE1560">
        <f>IF($E1560="","",IF($AQ1560=1,0,IF($AP1560=1,Settings!$C$6,Settings!$C$7))*100)</f>
        <v/>
      </c>
      <c r="AI1560" s="7" t="n"/>
      <c r="AL1560" s="11" t="n"/>
      <c r="AN1560">
        <f>IF($E1560="","",IF(COUNTIF($E$2:$E1560,$E1560)=1,1,0))</f>
        <v/>
      </c>
      <c r="AO1560">
        <f>IF($AN1560=1,SUMPRODUCT(--($AR$2:$AR$3001&lt;$AR1560))+1,"")</f>
        <v/>
      </c>
      <c r="AP1560">
        <f>IF($E1560="","",IF(OR($U1560=TRUE(),$U1560="TRUE"),1,0))</f>
        <v/>
      </c>
      <c r="AQ1560">
        <f>IF($E1560="","",IF($AD1560="Yes",1,0))</f>
        <v/>
      </c>
      <c r="AR1560">
        <f>IF($AN1560=1,IFERROR(VALUE(MID($E1560,2,20)),1000000000)+ROW()/100000,"")</f>
        <v/>
      </c>
    </row>
    <row r="1561">
      <c r="G1561" s="11" t="n"/>
      <c r="Q1561" s="7">
        <f>IF($E1561="","",P1561*AB1561/100)</f>
        <v/>
      </c>
      <c r="R1561" s="7" t="n"/>
      <c r="X1561" s="7" t="n"/>
      <c r="Y1561" s="7">
        <f>IF($E1561="","",AB1561*AE1561/100)</f>
        <v/>
      </c>
      <c r="Z1561" s="7">
        <f>IF($E1561="","",AB1561-Y1561)</f>
        <v/>
      </c>
      <c r="AA1561" s="7">
        <f>IF($E1561="","",Z1561-Q1561)</f>
        <v/>
      </c>
      <c r="AB1561" s="7" t="n"/>
      <c r="AE1561">
        <f>IF($E1561="","",IF($AQ1561=1,0,IF($AP1561=1,Settings!$C$6,Settings!$C$7))*100)</f>
        <v/>
      </c>
      <c r="AI1561" s="7" t="n"/>
      <c r="AL1561" s="11" t="n"/>
      <c r="AN1561">
        <f>IF($E1561="","",IF(COUNTIF($E$2:$E1561,$E1561)=1,1,0))</f>
        <v/>
      </c>
      <c r="AO1561">
        <f>IF($AN1561=1,SUMPRODUCT(--($AR$2:$AR$3001&lt;$AR1561))+1,"")</f>
        <v/>
      </c>
      <c r="AP1561">
        <f>IF($E1561="","",IF(OR($U1561=TRUE(),$U1561="TRUE"),1,0))</f>
        <v/>
      </c>
      <c r="AQ1561">
        <f>IF($E1561="","",IF($AD1561="Yes",1,0))</f>
        <v/>
      </c>
      <c r="AR1561">
        <f>IF($AN1561=1,IFERROR(VALUE(MID($E1561,2,20)),1000000000)+ROW()/100000,"")</f>
        <v/>
      </c>
    </row>
    <row r="1562">
      <c r="G1562" s="11" t="n"/>
      <c r="Q1562" s="7">
        <f>IF($E1562="","",P1562*AB1562/100)</f>
        <v/>
      </c>
      <c r="R1562" s="7" t="n"/>
      <c r="X1562" s="7" t="n"/>
      <c r="Y1562" s="7">
        <f>IF($E1562="","",AB1562*AE1562/100)</f>
        <v/>
      </c>
      <c r="Z1562" s="7">
        <f>IF($E1562="","",AB1562-Y1562)</f>
        <v/>
      </c>
      <c r="AA1562" s="7">
        <f>IF($E1562="","",Z1562-Q1562)</f>
        <v/>
      </c>
      <c r="AB1562" s="7" t="n"/>
      <c r="AE1562">
        <f>IF($E1562="","",IF($AQ1562=1,0,IF($AP1562=1,Settings!$C$6,Settings!$C$7))*100)</f>
        <v/>
      </c>
      <c r="AI1562" s="7" t="n"/>
      <c r="AL1562" s="11" t="n"/>
      <c r="AN1562">
        <f>IF($E1562="","",IF(COUNTIF($E$2:$E1562,$E1562)=1,1,0))</f>
        <v/>
      </c>
      <c r="AO1562">
        <f>IF($AN1562=1,SUMPRODUCT(--($AR$2:$AR$3001&lt;$AR1562))+1,"")</f>
        <v/>
      </c>
      <c r="AP1562">
        <f>IF($E1562="","",IF(OR($U1562=TRUE(),$U1562="TRUE"),1,0))</f>
        <v/>
      </c>
      <c r="AQ1562">
        <f>IF($E1562="","",IF($AD1562="Yes",1,0))</f>
        <v/>
      </c>
      <c r="AR1562">
        <f>IF($AN1562=1,IFERROR(VALUE(MID($E1562,2,20)),1000000000)+ROW()/100000,"")</f>
        <v/>
      </c>
    </row>
    <row r="1563">
      <c r="G1563" s="11" t="n"/>
      <c r="Q1563" s="7">
        <f>IF($E1563="","",P1563*AB1563/100)</f>
        <v/>
      </c>
      <c r="R1563" s="7" t="n"/>
      <c r="X1563" s="7" t="n"/>
      <c r="Y1563" s="7">
        <f>IF($E1563="","",AB1563*AE1563/100)</f>
        <v/>
      </c>
      <c r="Z1563" s="7">
        <f>IF($E1563="","",AB1563-Y1563)</f>
        <v/>
      </c>
      <c r="AA1563" s="7">
        <f>IF($E1563="","",Z1563-Q1563)</f>
        <v/>
      </c>
      <c r="AB1563" s="7" t="n"/>
      <c r="AE1563">
        <f>IF($E1563="","",IF($AQ1563=1,0,IF($AP1563=1,Settings!$C$6,Settings!$C$7))*100)</f>
        <v/>
      </c>
      <c r="AI1563" s="7" t="n"/>
      <c r="AL1563" s="11" t="n"/>
      <c r="AN1563">
        <f>IF($E1563="","",IF(COUNTIF($E$2:$E1563,$E1563)=1,1,0))</f>
        <v/>
      </c>
      <c r="AO1563">
        <f>IF($AN1563=1,SUMPRODUCT(--($AR$2:$AR$3001&lt;$AR1563))+1,"")</f>
        <v/>
      </c>
      <c r="AP1563">
        <f>IF($E1563="","",IF(OR($U1563=TRUE(),$U1563="TRUE"),1,0))</f>
        <v/>
      </c>
      <c r="AQ1563">
        <f>IF($E1563="","",IF($AD1563="Yes",1,0))</f>
        <v/>
      </c>
      <c r="AR1563">
        <f>IF($AN1563=1,IFERROR(VALUE(MID($E1563,2,20)),1000000000)+ROW()/100000,"")</f>
        <v/>
      </c>
    </row>
    <row r="1564">
      <c r="G1564" s="11" t="n"/>
      <c r="Q1564" s="7">
        <f>IF($E1564="","",P1564*AB1564/100)</f>
        <v/>
      </c>
      <c r="R1564" s="7" t="n"/>
      <c r="X1564" s="7" t="n"/>
      <c r="Y1564" s="7">
        <f>IF($E1564="","",AB1564*AE1564/100)</f>
        <v/>
      </c>
      <c r="Z1564" s="7">
        <f>IF($E1564="","",AB1564-Y1564)</f>
        <v/>
      </c>
      <c r="AA1564" s="7">
        <f>IF($E1564="","",Z1564-Q1564)</f>
        <v/>
      </c>
      <c r="AB1564" s="7" t="n"/>
      <c r="AE1564">
        <f>IF($E1564="","",IF($AQ1564=1,0,IF($AP1564=1,Settings!$C$6,Settings!$C$7))*100)</f>
        <v/>
      </c>
      <c r="AI1564" s="7" t="n"/>
      <c r="AL1564" s="11" t="n"/>
      <c r="AN1564">
        <f>IF($E1564="","",IF(COUNTIF($E$2:$E1564,$E1564)=1,1,0))</f>
        <v/>
      </c>
      <c r="AO1564">
        <f>IF($AN1564=1,SUMPRODUCT(--($AR$2:$AR$3001&lt;$AR1564))+1,"")</f>
        <v/>
      </c>
      <c r="AP1564">
        <f>IF($E1564="","",IF(OR($U1564=TRUE(),$U1564="TRUE"),1,0))</f>
        <v/>
      </c>
      <c r="AQ1564">
        <f>IF($E1564="","",IF($AD1564="Yes",1,0))</f>
        <v/>
      </c>
      <c r="AR1564">
        <f>IF($AN1564=1,IFERROR(VALUE(MID($E1564,2,20)),1000000000)+ROW()/100000,"")</f>
        <v/>
      </c>
    </row>
    <row r="1565">
      <c r="G1565" s="11" t="n"/>
      <c r="Q1565" s="7">
        <f>IF($E1565="","",P1565*AB1565/100)</f>
        <v/>
      </c>
      <c r="R1565" s="7" t="n"/>
      <c r="X1565" s="7" t="n"/>
      <c r="Y1565" s="7">
        <f>IF($E1565="","",AB1565*AE1565/100)</f>
        <v/>
      </c>
      <c r="Z1565" s="7">
        <f>IF($E1565="","",AB1565-Y1565)</f>
        <v/>
      </c>
      <c r="AA1565" s="7">
        <f>IF($E1565="","",Z1565-Q1565)</f>
        <v/>
      </c>
      <c r="AB1565" s="7" t="n"/>
      <c r="AE1565">
        <f>IF($E1565="","",IF($AQ1565=1,0,IF($AP1565=1,Settings!$C$6,Settings!$C$7))*100)</f>
        <v/>
      </c>
      <c r="AI1565" s="7" t="n"/>
      <c r="AL1565" s="11" t="n"/>
      <c r="AN1565">
        <f>IF($E1565="","",IF(COUNTIF($E$2:$E1565,$E1565)=1,1,0))</f>
        <v/>
      </c>
      <c r="AO1565">
        <f>IF($AN1565=1,SUMPRODUCT(--($AR$2:$AR$3001&lt;$AR1565))+1,"")</f>
        <v/>
      </c>
      <c r="AP1565">
        <f>IF($E1565="","",IF(OR($U1565=TRUE(),$U1565="TRUE"),1,0))</f>
        <v/>
      </c>
      <c r="AQ1565">
        <f>IF($E1565="","",IF($AD1565="Yes",1,0))</f>
        <v/>
      </c>
      <c r="AR1565">
        <f>IF($AN1565=1,IFERROR(VALUE(MID($E1565,2,20)),1000000000)+ROW()/100000,"")</f>
        <v/>
      </c>
    </row>
    <row r="1566">
      <c r="G1566" s="11" t="n"/>
      <c r="Q1566" s="7">
        <f>IF($E1566="","",P1566*AB1566/100)</f>
        <v/>
      </c>
      <c r="R1566" s="7" t="n"/>
      <c r="X1566" s="7" t="n"/>
      <c r="Y1566" s="7">
        <f>IF($E1566="","",AB1566*AE1566/100)</f>
        <v/>
      </c>
      <c r="Z1566" s="7">
        <f>IF($E1566="","",AB1566-Y1566)</f>
        <v/>
      </c>
      <c r="AA1566" s="7">
        <f>IF($E1566="","",Z1566-Q1566)</f>
        <v/>
      </c>
      <c r="AB1566" s="7" t="n"/>
      <c r="AE1566">
        <f>IF($E1566="","",IF($AQ1566=1,0,IF($AP1566=1,Settings!$C$6,Settings!$C$7))*100)</f>
        <v/>
      </c>
      <c r="AI1566" s="7" t="n"/>
      <c r="AL1566" s="11" t="n"/>
      <c r="AN1566">
        <f>IF($E1566="","",IF(COUNTIF($E$2:$E1566,$E1566)=1,1,0))</f>
        <v/>
      </c>
      <c r="AO1566">
        <f>IF($AN1566=1,SUMPRODUCT(--($AR$2:$AR$3001&lt;$AR1566))+1,"")</f>
        <v/>
      </c>
      <c r="AP1566">
        <f>IF($E1566="","",IF(OR($U1566=TRUE(),$U1566="TRUE"),1,0))</f>
        <v/>
      </c>
      <c r="AQ1566">
        <f>IF($E1566="","",IF($AD1566="Yes",1,0))</f>
        <v/>
      </c>
      <c r="AR1566">
        <f>IF($AN1566=1,IFERROR(VALUE(MID($E1566,2,20)),1000000000)+ROW()/100000,"")</f>
        <v/>
      </c>
    </row>
    <row r="1567">
      <c r="G1567" s="11" t="n"/>
      <c r="Q1567" s="7">
        <f>IF($E1567="","",P1567*AB1567/100)</f>
        <v/>
      </c>
      <c r="R1567" s="7" t="n"/>
      <c r="X1567" s="7" t="n"/>
      <c r="Y1567" s="7">
        <f>IF($E1567="","",AB1567*AE1567/100)</f>
        <v/>
      </c>
      <c r="Z1567" s="7">
        <f>IF($E1567="","",AB1567-Y1567)</f>
        <v/>
      </c>
      <c r="AA1567" s="7">
        <f>IF($E1567="","",Z1567-Q1567)</f>
        <v/>
      </c>
      <c r="AB1567" s="7" t="n"/>
      <c r="AE1567">
        <f>IF($E1567="","",IF($AQ1567=1,0,IF($AP1567=1,Settings!$C$6,Settings!$C$7))*100)</f>
        <v/>
      </c>
      <c r="AI1567" s="7" t="n"/>
      <c r="AL1567" s="11" t="n"/>
      <c r="AN1567">
        <f>IF($E1567="","",IF(COUNTIF($E$2:$E1567,$E1567)=1,1,0))</f>
        <v/>
      </c>
      <c r="AO1567">
        <f>IF($AN1567=1,SUMPRODUCT(--($AR$2:$AR$3001&lt;$AR1567))+1,"")</f>
        <v/>
      </c>
      <c r="AP1567">
        <f>IF($E1567="","",IF(OR($U1567=TRUE(),$U1567="TRUE"),1,0))</f>
        <v/>
      </c>
      <c r="AQ1567">
        <f>IF($E1567="","",IF($AD1567="Yes",1,0))</f>
        <v/>
      </c>
      <c r="AR1567">
        <f>IF($AN1567=1,IFERROR(VALUE(MID($E1567,2,20)),1000000000)+ROW()/100000,"")</f>
        <v/>
      </c>
    </row>
    <row r="1568">
      <c r="G1568" s="11" t="n"/>
      <c r="Q1568" s="7">
        <f>IF($E1568="","",P1568*AB1568/100)</f>
        <v/>
      </c>
      <c r="R1568" s="7" t="n"/>
      <c r="X1568" s="7" t="n"/>
      <c r="Y1568" s="7">
        <f>IF($E1568="","",AB1568*AE1568/100)</f>
        <v/>
      </c>
      <c r="Z1568" s="7">
        <f>IF($E1568="","",AB1568-Y1568)</f>
        <v/>
      </c>
      <c r="AA1568" s="7">
        <f>IF($E1568="","",Z1568-Q1568)</f>
        <v/>
      </c>
      <c r="AB1568" s="7" t="n"/>
      <c r="AE1568">
        <f>IF($E1568="","",IF($AQ1568=1,0,IF($AP1568=1,Settings!$C$6,Settings!$C$7))*100)</f>
        <v/>
      </c>
      <c r="AI1568" s="7" t="n"/>
      <c r="AL1568" s="11" t="n"/>
      <c r="AN1568">
        <f>IF($E1568="","",IF(COUNTIF($E$2:$E1568,$E1568)=1,1,0))</f>
        <v/>
      </c>
      <c r="AO1568">
        <f>IF($AN1568=1,SUMPRODUCT(--($AR$2:$AR$3001&lt;$AR1568))+1,"")</f>
        <v/>
      </c>
      <c r="AP1568">
        <f>IF($E1568="","",IF(OR($U1568=TRUE(),$U1568="TRUE"),1,0))</f>
        <v/>
      </c>
      <c r="AQ1568">
        <f>IF($E1568="","",IF($AD1568="Yes",1,0))</f>
        <v/>
      </c>
      <c r="AR1568">
        <f>IF($AN1568=1,IFERROR(VALUE(MID($E1568,2,20)),1000000000)+ROW()/100000,"")</f>
        <v/>
      </c>
    </row>
    <row r="1569">
      <c r="G1569" s="11" t="n"/>
      <c r="Q1569" s="7">
        <f>IF($E1569="","",P1569*AB1569/100)</f>
        <v/>
      </c>
      <c r="R1569" s="7" t="n"/>
      <c r="X1569" s="7" t="n"/>
      <c r="Y1569" s="7">
        <f>IF($E1569="","",AB1569*AE1569/100)</f>
        <v/>
      </c>
      <c r="Z1569" s="7">
        <f>IF($E1569="","",AB1569-Y1569)</f>
        <v/>
      </c>
      <c r="AA1569" s="7">
        <f>IF($E1569="","",Z1569-Q1569)</f>
        <v/>
      </c>
      <c r="AB1569" s="7" t="n"/>
      <c r="AE1569">
        <f>IF($E1569="","",IF($AQ1569=1,0,IF($AP1569=1,Settings!$C$6,Settings!$C$7))*100)</f>
        <v/>
      </c>
      <c r="AI1569" s="7" t="n"/>
      <c r="AL1569" s="11" t="n"/>
      <c r="AN1569">
        <f>IF($E1569="","",IF(COUNTIF($E$2:$E1569,$E1569)=1,1,0))</f>
        <v/>
      </c>
      <c r="AO1569">
        <f>IF($AN1569=1,SUMPRODUCT(--($AR$2:$AR$3001&lt;$AR1569))+1,"")</f>
        <v/>
      </c>
      <c r="AP1569">
        <f>IF($E1569="","",IF(OR($U1569=TRUE(),$U1569="TRUE"),1,0))</f>
        <v/>
      </c>
      <c r="AQ1569">
        <f>IF($E1569="","",IF($AD1569="Yes",1,0))</f>
        <v/>
      </c>
      <c r="AR1569">
        <f>IF($AN1569=1,IFERROR(VALUE(MID($E1569,2,20)),1000000000)+ROW()/100000,"")</f>
        <v/>
      </c>
    </row>
    <row r="1570">
      <c r="G1570" s="11" t="n"/>
      <c r="Q1570" s="7">
        <f>IF($E1570="","",P1570*AB1570/100)</f>
        <v/>
      </c>
      <c r="R1570" s="7" t="n"/>
      <c r="X1570" s="7" t="n"/>
      <c r="Y1570" s="7">
        <f>IF($E1570="","",AB1570*AE1570/100)</f>
        <v/>
      </c>
      <c r="Z1570" s="7">
        <f>IF($E1570="","",AB1570-Y1570)</f>
        <v/>
      </c>
      <c r="AA1570" s="7">
        <f>IF($E1570="","",Z1570-Q1570)</f>
        <v/>
      </c>
      <c r="AB1570" s="7" t="n"/>
      <c r="AE1570">
        <f>IF($E1570="","",IF($AQ1570=1,0,IF($AP1570=1,Settings!$C$6,Settings!$C$7))*100)</f>
        <v/>
      </c>
      <c r="AI1570" s="7" t="n"/>
      <c r="AL1570" s="11" t="n"/>
      <c r="AN1570">
        <f>IF($E1570="","",IF(COUNTIF($E$2:$E1570,$E1570)=1,1,0))</f>
        <v/>
      </c>
      <c r="AO1570">
        <f>IF($AN1570=1,SUMPRODUCT(--($AR$2:$AR$3001&lt;$AR1570))+1,"")</f>
        <v/>
      </c>
      <c r="AP1570">
        <f>IF($E1570="","",IF(OR($U1570=TRUE(),$U1570="TRUE"),1,0))</f>
        <v/>
      </c>
      <c r="AQ1570">
        <f>IF($E1570="","",IF($AD1570="Yes",1,0))</f>
        <v/>
      </c>
      <c r="AR1570">
        <f>IF($AN1570=1,IFERROR(VALUE(MID($E1570,2,20)),1000000000)+ROW()/100000,"")</f>
        <v/>
      </c>
    </row>
    <row r="1571">
      <c r="G1571" s="11" t="n"/>
      <c r="Q1571" s="7">
        <f>IF($E1571="","",P1571*AB1571/100)</f>
        <v/>
      </c>
      <c r="R1571" s="7" t="n"/>
      <c r="X1571" s="7" t="n"/>
      <c r="Y1571" s="7">
        <f>IF($E1571="","",AB1571*AE1571/100)</f>
        <v/>
      </c>
      <c r="Z1571" s="7">
        <f>IF($E1571="","",AB1571-Y1571)</f>
        <v/>
      </c>
      <c r="AA1571" s="7">
        <f>IF($E1571="","",Z1571-Q1571)</f>
        <v/>
      </c>
      <c r="AB1571" s="7" t="n"/>
      <c r="AE1571">
        <f>IF($E1571="","",IF($AQ1571=1,0,IF($AP1571=1,Settings!$C$6,Settings!$C$7))*100)</f>
        <v/>
      </c>
      <c r="AI1571" s="7" t="n"/>
      <c r="AL1571" s="11" t="n"/>
      <c r="AN1571">
        <f>IF($E1571="","",IF(COUNTIF($E$2:$E1571,$E1571)=1,1,0))</f>
        <v/>
      </c>
      <c r="AO1571">
        <f>IF($AN1571=1,SUMPRODUCT(--($AR$2:$AR$3001&lt;$AR1571))+1,"")</f>
        <v/>
      </c>
      <c r="AP1571">
        <f>IF($E1571="","",IF(OR($U1571=TRUE(),$U1571="TRUE"),1,0))</f>
        <v/>
      </c>
      <c r="AQ1571">
        <f>IF($E1571="","",IF($AD1571="Yes",1,0))</f>
        <v/>
      </c>
      <c r="AR1571">
        <f>IF($AN1571=1,IFERROR(VALUE(MID($E1571,2,20)),1000000000)+ROW()/100000,"")</f>
        <v/>
      </c>
    </row>
    <row r="1572">
      <c r="G1572" s="11" t="n"/>
      <c r="Q1572" s="7">
        <f>IF($E1572="","",P1572*AB1572/100)</f>
        <v/>
      </c>
      <c r="R1572" s="7" t="n"/>
      <c r="X1572" s="7" t="n"/>
      <c r="Y1572" s="7">
        <f>IF($E1572="","",AB1572*AE1572/100)</f>
        <v/>
      </c>
      <c r="Z1572" s="7">
        <f>IF($E1572="","",AB1572-Y1572)</f>
        <v/>
      </c>
      <c r="AA1572" s="7">
        <f>IF($E1572="","",Z1572-Q1572)</f>
        <v/>
      </c>
      <c r="AB1572" s="7" t="n"/>
      <c r="AE1572">
        <f>IF($E1572="","",IF($AQ1572=1,0,IF($AP1572=1,Settings!$C$6,Settings!$C$7))*100)</f>
        <v/>
      </c>
      <c r="AI1572" s="7" t="n"/>
      <c r="AL1572" s="11" t="n"/>
      <c r="AN1572">
        <f>IF($E1572="","",IF(COUNTIF($E$2:$E1572,$E1572)=1,1,0))</f>
        <v/>
      </c>
      <c r="AO1572">
        <f>IF($AN1572=1,SUMPRODUCT(--($AR$2:$AR$3001&lt;$AR1572))+1,"")</f>
        <v/>
      </c>
      <c r="AP1572">
        <f>IF($E1572="","",IF(OR($U1572=TRUE(),$U1572="TRUE"),1,0))</f>
        <v/>
      </c>
      <c r="AQ1572">
        <f>IF($E1572="","",IF($AD1572="Yes",1,0))</f>
        <v/>
      </c>
      <c r="AR1572">
        <f>IF($AN1572=1,IFERROR(VALUE(MID($E1572,2,20)),1000000000)+ROW()/100000,"")</f>
        <v/>
      </c>
    </row>
    <row r="1573">
      <c r="G1573" s="11" t="n"/>
      <c r="Q1573" s="7">
        <f>IF($E1573="","",P1573*AB1573/100)</f>
        <v/>
      </c>
      <c r="R1573" s="7" t="n"/>
      <c r="X1573" s="7" t="n"/>
      <c r="Y1573" s="7">
        <f>IF($E1573="","",AB1573*AE1573/100)</f>
        <v/>
      </c>
      <c r="Z1573" s="7">
        <f>IF($E1573="","",AB1573-Y1573)</f>
        <v/>
      </c>
      <c r="AA1573" s="7">
        <f>IF($E1573="","",Z1573-Q1573)</f>
        <v/>
      </c>
      <c r="AB1573" s="7" t="n"/>
      <c r="AE1573">
        <f>IF($E1573="","",IF($AQ1573=1,0,IF($AP1573=1,Settings!$C$6,Settings!$C$7))*100)</f>
        <v/>
      </c>
      <c r="AI1573" s="7" t="n"/>
      <c r="AL1573" s="11" t="n"/>
      <c r="AN1573">
        <f>IF($E1573="","",IF(COUNTIF($E$2:$E1573,$E1573)=1,1,0))</f>
        <v/>
      </c>
      <c r="AO1573">
        <f>IF($AN1573=1,SUMPRODUCT(--($AR$2:$AR$3001&lt;$AR1573))+1,"")</f>
        <v/>
      </c>
      <c r="AP1573">
        <f>IF($E1573="","",IF(OR($U1573=TRUE(),$U1573="TRUE"),1,0))</f>
        <v/>
      </c>
      <c r="AQ1573">
        <f>IF($E1573="","",IF($AD1573="Yes",1,0))</f>
        <v/>
      </c>
      <c r="AR1573">
        <f>IF($AN1573=1,IFERROR(VALUE(MID($E1573,2,20)),1000000000)+ROW()/100000,"")</f>
        <v/>
      </c>
    </row>
    <row r="1574">
      <c r="G1574" s="11" t="n"/>
      <c r="Q1574" s="7">
        <f>IF($E1574="","",P1574*AB1574/100)</f>
        <v/>
      </c>
      <c r="R1574" s="7" t="n"/>
      <c r="X1574" s="7" t="n"/>
      <c r="Y1574" s="7">
        <f>IF($E1574="","",AB1574*AE1574/100)</f>
        <v/>
      </c>
      <c r="Z1574" s="7">
        <f>IF($E1574="","",AB1574-Y1574)</f>
        <v/>
      </c>
      <c r="AA1574" s="7">
        <f>IF($E1574="","",Z1574-Q1574)</f>
        <v/>
      </c>
      <c r="AB1574" s="7" t="n"/>
      <c r="AE1574">
        <f>IF($E1574="","",IF($AQ1574=1,0,IF($AP1574=1,Settings!$C$6,Settings!$C$7))*100)</f>
        <v/>
      </c>
      <c r="AI1574" s="7" t="n"/>
      <c r="AL1574" s="11" t="n"/>
      <c r="AN1574">
        <f>IF($E1574="","",IF(COUNTIF($E$2:$E1574,$E1574)=1,1,0))</f>
        <v/>
      </c>
      <c r="AO1574">
        <f>IF($AN1574=1,SUMPRODUCT(--($AR$2:$AR$3001&lt;$AR1574))+1,"")</f>
        <v/>
      </c>
      <c r="AP1574">
        <f>IF($E1574="","",IF(OR($U1574=TRUE(),$U1574="TRUE"),1,0))</f>
        <v/>
      </c>
      <c r="AQ1574">
        <f>IF($E1574="","",IF($AD1574="Yes",1,0))</f>
        <v/>
      </c>
      <c r="AR1574">
        <f>IF($AN1574=1,IFERROR(VALUE(MID($E1574,2,20)),1000000000)+ROW()/100000,"")</f>
        <v/>
      </c>
    </row>
    <row r="1575">
      <c r="G1575" s="11" t="n"/>
      <c r="Q1575" s="7">
        <f>IF($E1575="","",P1575*AB1575/100)</f>
        <v/>
      </c>
      <c r="R1575" s="7" t="n"/>
      <c r="X1575" s="7" t="n"/>
      <c r="Y1575" s="7">
        <f>IF($E1575="","",AB1575*AE1575/100)</f>
        <v/>
      </c>
      <c r="Z1575" s="7">
        <f>IF($E1575="","",AB1575-Y1575)</f>
        <v/>
      </c>
      <c r="AA1575" s="7">
        <f>IF($E1575="","",Z1575-Q1575)</f>
        <v/>
      </c>
      <c r="AB1575" s="7" t="n"/>
      <c r="AE1575">
        <f>IF($E1575="","",IF($AQ1575=1,0,IF($AP1575=1,Settings!$C$6,Settings!$C$7))*100)</f>
        <v/>
      </c>
      <c r="AI1575" s="7" t="n"/>
      <c r="AL1575" s="11" t="n"/>
      <c r="AN1575">
        <f>IF($E1575="","",IF(COUNTIF($E$2:$E1575,$E1575)=1,1,0))</f>
        <v/>
      </c>
      <c r="AO1575">
        <f>IF($AN1575=1,SUMPRODUCT(--($AR$2:$AR$3001&lt;$AR1575))+1,"")</f>
        <v/>
      </c>
      <c r="AP1575">
        <f>IF($E1575="","",IF(OR($U1575=TRUE(),$U1575="TRUE"),1,0))</f>
        <v/>
      </c>
      <c r="AQ1575">
        <f>IF($E1575="","",IF($AD1575="Yes",1,0))</f>
        <v/>
      </c>
      <c r="AR1575">
        <f>IF($AN1575=1,IFERROR(VALUE(MID($E1575,2,20)),1000000000)+ROW()/100000,"")</f>
        <v/>
      </c>
    </row>
    <row r="1576">
      <c r="G1576" s="11" t="n"/>
      <c r="Q1576" s="7">
        <f>IF($E1576="","",P1576*AB1576/100)</f>
        <v/>
      </c>
      <c r="R1576" s="7" t="n"/>
      <c r="X1576" s="7" t="n"/>
      <c r="Y1576" s="7">
        <f>IF($E1576="","",AB1576*AE1576/100)</f>
        <v/>
      </c>
      <c r="Z1576" s="7">
        <f>IF($E1576="","",AB1576-Y1576)</f>
        <v/>
      </c>
      <c r="AA1576" s="7">
        <f>IF($E1576="","",Z1576-Q1576)</f>
        <v/>
      </c>
      <c r="AB1576" s="7" t="n"/>
      <c r="AE1576">
        <f>IF($E1576="","",IF($AQ1576=1,0,IF($AP1576=1,Settings!$C$6,Settings!$C$7))*100)</f>
        <v/>
      </c>
      <c r="AI1576" s="7" t="n"/>
      <c r="AL1576" s="11" t="n"/>
      <c r="AN1576">
        <f>IF($E1576="","",IF(COUNTIF($E$2:$E1576,$E1576)=1,1,0))</f>
        <v/>
      </c>
      <c r="AO1576">
        <f>IF($AN1576=1,SUMPRODUCT(--($AR$2:$AR$3001&lt;$AR1576))+1,"")</f>
        <v/>
      </c>
      <c r="AP1576">
        <f>IF($E1576="","",IF(OR($U1576=TRUE(),$U1576="TRUE"),1,0))</f>
        <v/>
      </c>
      <c r="AQ1576">
        <f>IF($E1576="","",IF($AD1576="Yes",1,0))</f>
        <v/>
      </c>
      <c r="AR1576">
        <f>IF($AN1576=1,IFERROR(VALUE(MID($E1576,2,20)),1000000000)+ROW()/100000,"")</f>
        <v/>
      </c>
    </row>
    <row r="1577">
      <c r="G1577" s="11" t="n"/>
      <c r="Q1577" s="7">
        <f>IF($E1577="","",P1577*AB1577/100)</f>
        <v/>
      </c>
      <c r="R1577" s="7" t="n"/>
      <c r="X1577" s="7" t="n"/>
      <c r="Y1577" s="7">
        <f>IF($E1577="","",AB1577*AE1577/100)</f>
        <v/>
      </c>
      <c r="Z1577" s="7">
        <f>IF($E1577="","",AB1577-Y1577)</f>
        <v/>
      </c>
      <c r="AA1577" s="7">
        <f>IF($E1577="","",Z1577-Q1577)</f>
        <v/>
      </c>
      <c r="AB1577" s="7" t="n"/>
      <c r="AE1577">
        <f>IF($E1577="","",IF($AQ1577=1,0,IF($AP1577=1,Settings!$C$6,Settings!$C$7))*100)</f>
        <v/>
      </c>
      <c r="AI1577" s="7" t="n"/>
      <c r="AL1577" s="11" t="n"/>
      <c r="AN1577">
        <f>IF($E1577="","",IF(COUNTIF($E$2:$E1577,$E1577)=1,1,0))</f>
        <v/>
      </c>
      <c r="AO1577">
        <f>IF($AN1577=1,SUMPRODUCT(--($AR$2:$AR$3001&lt;$AR1577))+1,"")</f>
        <v/>
      </c>
      <c r="AP1577">
        <f>IF($E1577="","",IF(OR($U1577=TRUE(),$U1577="TRUE"),1,0))</f>
        <v/>
      </c>
      <c r="AQ1577">
        <f>IF($E1577="","",IF($AD1577="Yes",1,0))</f>
        <v/>
      </c>
      <c r="AR1577">
        <f>IF($AN1577=1,IFERROR(VALUE(MID($E1577,2,20)),1000000000)+ROW()/100000,"")</f>
        <v/>
      </c>
    </row>
    <row r="1578">
      <c r="G1578" s="11" t="n"/>
      <c r="Q1578" s="7">
        <f>IF($E1578="","",P1578*AB1578/100)</f>
        <v/>
      </c>
      <c r="R1578" s="7" t="n"/>
      <c r="X1578" s="7" t="n"/>
      <c r="Y1578" s="7">
        <f>IF($E1578="","",AB1578*AE1578/100)</f>
        <v/>
      </c>
      <c r="Z1578" s="7">
        <f>IF($E1578="","",AB1578-Y1578)</f>
        <v/>
      </c>
      <c r="AA1578" s="7">
        <f>IF($E1578="","",Z1578-Q1578)</f>
        <v/>
      </c>
      <c r="AB1578" s="7" t="n"/>
      <c r="AE1578">
        <f>IF($E1578="","",IF($AQ1578=1,0,IF($AP1578=1,Settings!$C$6,Settings!$C$7))*100)</f>
        <v/>
      </c>
      <c r="AI1578" s="7" t="n"/>
      <c r="AL1578" s="11" t="n"/>
      <c r="AN1578">
        <f>IF($E1578="","",IF(COUNTIF($E$2:$E1578,$E1578)=1,1,0))</f>
        <v/>
      </c>
      <c r="AO1578">
        <f>IF($AN1578=1,SUMPRODUCT(--($AR$2:$AR$3001&lt;$AR1578))+1,"")</f>
        <v/>
      </c>
      <c r="AP1578">
        <f>IF($E1578="","",IF(OR($U1578=TRUE(),$U1578="TRUE"),1,0))</f>
        <v/>
      </c>
      <c r="AQ1578">
        <f>IF($E1578="","",IF($AD1578="Yes",1,0))</f>
        <v/>
      </c>
      <c r="AR1578">
        <f>IF($AN1578=1,IFERROR(VALUE(MID($E1578,2,20)),1000000000)+ROW()/100000,"")</f>
        <v/>
      </c>
    </row>
    <row r="1579">
      <c r="G1579" s="11" t="n"/>
      <c r="Q1579" s="7">
        <f>IF($E1579="","",P1579*AB1579/100)</f>
        <v/>
      </c>
      <c r="R1579" s="7" t="n"/>
      <c r="X1579" s="7" t="n"/>
      <c r="Y1579" s="7">
        <f>IF($E1579="","",AB1579*AE1579/100)</f>
        <v/>
      </c>
      <c r="Z1579" s="7">
        <f>IF($E1579="","",AB1579-Y1579)</f>
        <v/>
      </c>
      <c r="AA1579" s="7">
        <f>IF($E1579="","",Z1579-Q1579)</f>
        <v/>
      </c>
      <c r="AB1579" s="7" t="n"/>
      <c r="AE1579">
        <f>IF($E1579="","",IF($AQ1579=1,0,IF($AP1579=1,Settings!$C$6,Settings!$C$7))*100)</f>
        <v/>
      </c>
      <c r="AI1579" s="7" t="n"/>
      <c r="AL1579" s="11" t="n"/>
      <c r="AN1579">
        <f>IF($E1579="","",IF(COUNTIF($E$2:$E1579,$E1579)=1,1,0))</f>
        <v/>
      </c>
      <c r="AO1579">
        <f>IF($AN1579=1,SUMPRODUCT(--($AR$2:$AR$3001&lt;$AR1579))+1,"")</f>
        <v/>
      </c>
      <c r="AP1579">
        <f>IF($E1579="","",IF(OR($U1579=TRUE(),$U1579="TRUE"),1,0))</f>
        <v/>
      </c>
      <c r="AQ1579">
        <f>IF($E1579="","",IF($AD1579="Yes",1,0))</f>
        <v/>
      </c>
      <c r="AR1579">
        <f>IF($AN1579=1,IFERROR(VALUE(MID($E1579,2,20)),1000000000)+ROW()/100000,"")</f>
        <v/>
      </c>
    </row>
    <row r="1580">
      <c r="G1580" s="11" t="n"/>
      <c r="Q1580" s="7">
        <f>IF($E1580="","",P1580*AB1580/100)</f>
        <v/>
      </c>
      <c r="R1580" s="7" t="n"/>
      <c r="X1580" s="7" t="n"/>
      <c r="Y1580" s="7">
        <f>IF($E1580="","",AB1580*AE1580/100)</f>
        <v/>
      </c>
      <c r="Z1580" s="7">
        <f>IF($E1580="","",AB1580-Y1580)</f>
        <v/>
      </c>
      <c r="AA1580" s="7">
        <f>IF($E1580="","",Z1580-Q1580)</f>
        <v/>
      </c>
      <c r="AB1580" s="7" t="n"/>
      <c r="AE1580">
        <f>IF($E1580="","",IF($AQ1580=1,0,IF($AP1580=1,Settings!$C$6,Settings!$C$7))*100)</f>
        <v/>
      </c>
      <c r="AI1580" s="7" t="n"/>
      <c r="AL1580" s="11" t="n"/>
      <c r="AN1580">
        <f>IF($E1580="","",IF(COUNTIF($E$2:$E1580,$E1580)=1,1,0))</f>
        <v/>
      </c>
      <c r="AO1580">
        <f>IF($AN1580=1,SUMPRODUCT(--($AR$2:$AR$3001&lt;$AR1580))+1,"")</f>
        <v/>
      </c>
      <c r="AP1580">
        <f>IF($E1580="","",IF(OR($U1580=TRUE(),$U1580="TRUE"),1,0))</f>
        <v/>
      </c>
      <c r="AQ1580">
        <f>IF($E1580="","",IF($AD1580="Yes",1,0))</f>
        <v/>
      </c>
      <c r="AR1580">
        <f>IF($AN1580=1,IFERROR(VALUE(MID($E1580,2,20)),1000000000)+ROW()/100000,"")</f>
        <v/>
      </c>
    </row>
    <row r="1581">
      <c r="G1581" s="11" t="n"/>
      <c r="Q1581" s="7">
        <f>IF($E1581="","",P1581*AB1581/100)</f>
        <v/>
      </c>
      <c r="R1581" s="7" t="n"/>
      <c r="X1581" s="7" t="n"/>
      <c r="Y1581" s="7">
        <f>IF($E1581="","",AB1581*AE1581/100)</f>
        <v/>
      </c>
      <c r="Z1581" s="7">
        <f>IF($E1581="","",AB1581-Y1581)</f>
        <v/>
      </c>
      <c r="AA1581" s="7">
        <f>IF($E1581="","",Z1581-Q1581)</f>
        <v/>
      </c>
      <c r="AB1581" s="7" t="n"/>
      <c r="AE1581">
        <f>IF($E1581="","",IF($AQ1581=1,0,IF($AP1581=1,Settings!$C$6,Settings!$C$7))*100)</f>
        <v/>
      </c>
      <c r="AI1581" s="7" t="n"/>
      <c r="AL1581" s="11" t="n"/>
      <c r="AN1581">
        <f>IF($E1581="","",IF(COUNTIF($E$2:$E1581,$E1581)=1,1,0))</f>
        <v/>
      </c>
      <c r="AO1581">
        <f>IF($AN1581=1,SUMPRODUCT(--($AR$2:$AR$3001&lt;$AR1581))+1,"")</f>
        <v/>
      </c>
      <c r="AP1581">
        <f>IF($E1581="","",IF(OR($U1581=TRUE(),$U1581="TRUE"),1,0))</f>
        <v/>
      </c>
      <c r="AQ1581">
        <f>IF($E1581="","",IF($AD1581="Yes",1,0))</f>
        <v/>
      </c>
      <c r="AR1581">
        <f>IF($AN1581=1,IFERROR(VALUE(MID($E1581,2,20)),1000000000)+ROW()/100000,"")</f>
        <v/>
      </c>
    </row>
    <row r="1582">
      <c r="G1582" s="11" t="n"/>
      <c r="Q1582" s="7">
        <f>IF($E1582="","",P1582*AB1582/100)</f>
        <v/>
      </c>
      <c r="R1582" s="7" t="n"/>
      <c r="X1582" s="7" t="n"/>
      <c r="Y1582" s="7">
        <f>IF($E1582="","",AB1582*AE1582/100)</f>
        <v/>
      </c>
      <c r="Z1582" s="7">
        <f>IF($E1582="","",AB1582-Y1582)</f>
        <v/>
      </c>
      <c r="AA1582" s="7">
        <f>IF($E1582="","",Z1582-Q1582)</f>
        <v/>
      </c>
      <c r="AB1582" s="7" t="n"/>
      <c r="AE1582">
        <f>IF($E1582="","",IF($AQ1582=1,0,IF($AP1582=1,Settings!$C$6,Settings!$C$7))*100)</f>
        <v/>
      </c>
      <c r="AI1582" s="7" t="n"/>
      <c r="AL1582" s="11" t="n"/>
      <c r="AN1582">
        <f>IF($E1582="","",IF(COUNTIF($E$2:$E1582,$E1582)=1,1,0))</f>
        <v/>
      </c>
      <c r="AO1582">
        <f>IF($AN1582=1,SUMPRODUCT(--($AR$2:$AR$3001&lt;$AR1582))+1,"")</f>
        <v/>
      </c>
      <c r="AP1582">
        <f>IF($E1582="","",IF(OR($U1582=TRUE(),$U1582="TRUE"),1,0))</f>
        <v/>
      </c>
      <c r="AQ1582">
        <f>IF($E1582="","",IF($AD1582="Yes",1,0))</f>
        <v/>
      </c>
      <c r="AR1582">
        <f>IF($AN1582=1,IFERROR(VALUE(MID($E1582,2,20)),1000000000)+ROW()/100000,"")</f>
        <v/>
      </c>
    </row>
    <row r="1583">
      <c r="G1583" s="11" t="n"/>
      <c r="Q1583" s="7">
        <f>IF($E1583="","",P1583*AB1583/100)</f>
        <v/>
      </c>
      <c r="R1583" s="7" t="n"/>
      <c r="X1583" s="7" t="n"/>
      <c r="Y1583" s="7">
        <f>IF($E1583="","",AB1583*AE1583/100)</f>
        <v/>
      </c>
      <c r="Z1583" s="7">
        <f>IF($E1583="","",AB1583-Y1583)</f>
        <v/>
      </c>
      <c r="AA1583" s="7">
        <f>IF($E1583="","",Z1583-Q1583)</f>
        <v/>
      </c>
      <c r="AB1583" s="7" t="n"/>
      <c r="AE1583">
        <f>IF($E1583="","",IF($AQ1583=1,0,IF($AP1583=1,Settings!$C$6,Settings!$C$7))*100)</f>
        <v/>
      </c>
      <c r="AI1583" s="7" t="n"/>
      <c r="AL1583" s="11" t="n"/>
      <c r="AN1583">
        <f>IF($E1583="","",IF(COUNTIF($E$2:$E1583,$E1583)=1,1,0))</f>
        <v/>
      </c>
      <c r="AO1583">
        <f>IF($AN1583=1,SUMPRODUCT(--($AR$2:$AR$3001&lt;$AR1583))+1,"")</f>
        <v/>
      </c>
      <c r="AP1583">
        <f>IF($E1583="","",IF(OR($U1583=TRUE(),$U1583="TRUE"),1,0))</f>
        <v/>
      </c>
      <c r="AQ1583">
        <f>IF($E1583="","",IF($AD1583="Yes",1,0))</f>
        <v/>
      </c>
      <c r="AR1583">
        <f>IF($AN1583=1,IFERROR(VALUE(MID($E1583,2,20)),1000000000)+ROW()/100000,"")</f>
        <v/>
      </c>
    </row>
    <row r="1584">
      <c r="G1584" s="11" t="n"/>
      <c r="Q1584" s="7">
        <f>IF($E1584="","",P1584*AB1584/100)</f>
        <v/>
      </c>
      <c r="R1584" s="7" t="n"/>
      <c r="X1584" s="7" t="n"/>
      <c r="Y1584" s="7">
        <f>IF($E1584="","",AB1584*AE1584/100)</f>
        <v/>
      </c>
      <c r="Z1584" s="7">
        <f>IF($E1584="","",AB1584-Y1584)</f>
        <v/>
      </c>
      <c r="AA1584" s="7">
        <f>IF($E1584="","",Z1584-Q1584)</f>
        <v/>
      </c>
      <c r="AB1584" s="7" t="n"/>
      <c r="AE1584">
        <f>IF($E1584="","",IF($AQ1584=1,0,IF($AP1584=1,Settings!$C$6,Settings!$C$7))*100)</f>
        <v/>
      </c>
      <c r="AI1584" s="7" t="n"/>
      <c r="AL1584" s="11" t="n"/>
      <c r="AN1584">
        <f>IF($E1584="","",IF(COUNTIF($E$2:$E1584,$E1584)=1,1,0))</f>
        <v/>
      </c>
      <c r="AO1584">
        <f>IF($AN1584=1,SUMPRODUCT(--($AR$2:$AR$3001&lt;$AR1584))+1,"")</f>
        <v/>
      </c>
      <c r="AP1584">
        <f>IF($E1584="","",IF(OR($U1584=TRUE(),$U1584="TRUE"),1,0))</f>
        <v/>
      </c>
      <c r="AQ1584">
        <f>IF($E1584="","",IF($AD1584="Yes",1,0))</f>
        <v/>
      </c>
      <c r="AR1584">
        <f>IF($AN1584=1,IFERROR(VALUE(MID($E1584,2,20)),1000000000)+ROW()/100000,"")</f>
        <v/>
      </c>
    </row>
    <row r="1585">
      <c r="G1585" s="11" t="n"/>
      <c r="Q1585" s="7">
        <f>IF($E1585="","",P1585*AB1585/100)</f>
        <v/>
      </c>
      <c r="R1585" s="7" t="n"/>
      <c r="X1585" s="7" t="n"/>
      <c r="Y1585" s="7">
        <f>IF($E1585="","",AB1585*AE1585/100)</f>
        <v/>
      </c>
      <c r="Z1585" s="7">
        <f>IF($E1585="","",AB1585-Y1585)</f>
        <v/>
      </c>
      <c r="AA1585" s="7">
        <f>IF($E1585="","",Z1585-Q1585)</f>
        <v/>
      </c>
      <c r="AB1585" s="7" t="n"/>
      <c r="AE1585">
        <f>IF($E1585="","",IF($AQ1585=1,0,IF($AP1585=1,Settings!$C$6,Settings!$C$7))*100)</f>
        <v/>
      </c>
      <c r="AI1585" s="7" t="n"/>
      <c r="AL1585" s="11" t="n"/>
      <c r="AN1585">
        <f>IF($E1585="","",IF(COUNTIF($E$2:$E1585,$E1585)=1,1,0))</f>
        <v/>
      </c>
      <c r="AO1585">
        <f>IF($AN1585=1,SUMPRODUCT(--($AR$2:$AR$3001&lt;$AR1585))+1,"")</f>
        <v/>
      </c>
      <c r="AP1585">
        <f>IF($E1585="","",IF(OR($U1585=TRUE(),$U1585="TRUE"),1,0))</f>
        <v/>
      </c>
      <c r="AQ1585">
        <f>IF($E1585="","",IF($AD1585="Yes",1,0))</f>
        <v/>
      </c>
      <c r="AR1585">
        <f>IF($AN1585=1,IFERROR(VALUE(MID($E1585,2,20)),1000000000)+ROW()/100000,"")</f>
        <v/>
      </c>
    </row>
    <row r="1586">
      <c r="G1586" s="11" t="n"/>
      <c r="Q1586" s="7">
        <f>IF($E1586="","",P1586*AB1586/100)</f>
        <v/>
      </c>
      <c r="R1586" s="7" t="n"/>
      <c r="X1586" s="7" t="n"/>
      <c r="Y1586" s="7">
        <f>IF($E1586="","",AB1586*AE1586/100)</f>
        <v/>
      </c>
      <c r="Z1586" s="7">
        <f>IF($E1586="","",AB1586-Y1586)</f>
        <v/>
      </c>
      <c r="AA1586" s="7">
        <f>IF($E1586="","",Z1586-Q1586)</f>
        <v/>
      </c>
      <c r="AB1586" s="7" t="n"/>
      <c r="AE1586">
        <f>IF($E1586="","",IF($AQ1586=1,0,IF($AP1586=1,Settings!$C$6,Settings!$C$7))*100)</f>
        <v/>
      </c>
      <c r="AI1586" s="7" t="n"/>
      <c r="AL1586" s="11" t="n"/>
      <c r="AN1586">
        <f>IF($E1586="","",IF(COUNTIF($E$2:$E1586,$E1586)=1,1,0))</f>
        <v/>
      </c>
      <c r="AO1586">
        <f>IF($AN1586=1,SUMPRODUCT(--($AR$2:$AR$3001&lt;$AR1586))+1,"")</f>
        <v/>
      </c>
      <c r="AP1586">
        <f>IF($E1586="","",IF(OR($U1586=TRUE(),$U1586="TRUE"),1,0))</f>
        <v/>
      </c>
      <c r="AQ1586">
        <f>IF($E1586="","",IF($AD1586="Yes",1,0))</f>
        <v/>
      </c>
      <c r="AR1586">
        <f>IF($AN1586=1,IFERROR(VALUE(MID($E1586,2,20)),1000000000)+ROW()/100000,"")</f>
        <v/>
      </c>
    </row>
    <row r="1587">
      <c r="G1587" s="11" t="n"/>
      <c r="Q1587" s="7">
        <f>IF($E1587="","",P1587*AB1587/100)</f>
        <v/>
      </c>
      <c r="R1587" s="7" t="n"/>
      <c r="X1587" s="7" t="n"/>
      <c r="Y1587" s="7">
        <f>IF($E1587="","",AB1587*AE1587/100)</f>
        <v/>
      </c>
      <c r="Z1587" s="7">
        <f>IF($E1587="","",AB1587-Y1587)</f>
        <v/>
      </c>
      <c r="AA1587" s="7">
        <f>IF($E1587="","",Z1587-Q1587)</f>
        <v/>
      </c>
      <c r="AB1587" s="7" t="n"/>
      <c r="AE1587">
        <f>IF($E1587="","",IF($AQ1587=1,0,IF($AP1587=1,Settings!$C$6,Settings!$C$7))*100)</f>
        <v/>
      </c>
      <c r="AI1587" s="7" t="n"/>
      <c r="AL1587" s="11" t="n"/>
      <c r="AN1587">
        <f>IF($E1587="","",IF(COUNTIF($E$2:$E1587,$E1587)=1,1,0))</f>
        <v/>
      </c>
      <c r="AO1587">
        <f>IF($AN1587=1,SUMPRODUCT(--($AR$2:$AR$3001&lt;$AR1587))+1,"")</f>
        <v/>
      </c>
      <c r="AP1587">
        <f>IF($E1587="","",IF(OR($U1587=TRUE(),$U1587="TRUE"),1,0))</f>
        <v/>
      </c>
      <c r="AQ1587">
        <f>IF($E1587="","",IF($AD1587="Yes",1,0))</f>
        <v/>
      </c>
      <c r="AR1587">
        <f>IF($AN1587=1,IFERROR(VALUE(MID($E1587,2,20)),1000000000)+ROW()/100000,"")</f>
        <v/>
      </c>
    </row>
    <row r="1588">
      <c r="G1588" s="11" t="n"/>
      <c r="Q1588" s="7">
        <f>IF($E1588="","",P1588*AB1588/100)</f>
        <v/>
      </c>
      <c r="R1588" s="7" t="n"/>
      <c r="X1588" s="7" t="n"/>
      <c r="Y1588" s="7">
        <f>IF($E1588="","",AB1588*AE1588/100)</f>
        <v/>
      </c>
      <c r="Z1588" s="7">
        <f>IF($E1588="","",AB1588-Y1588)</f>
        <v/>
      </c>
      <c r="AA1588" s="7">
        <f>IF($E1588="","",Z1588-Q1588)</f>
        <v/>
      </c>
      <c r="AB1588" s="7" t="n"/>
      <c r="AE1588">
        <f>IF($E1588="","",IF($AQ1588=1,0,IF($AP1588=1,Settings!$C$6,Settings!$C$7))*100)</f>
        <v/>
      </c>
      <c r="AI1588" s="7" t="n"/>
      <c r="AL1588" s="11" t="n"/>
      <c r="AN1588">
        <f>IF($E1588="","",IF(COUNTIF($E$2:$E1588,$E1588)=1,1,0))</f>
        <v/>
      </c>
      <c r="AO1588">
        <f>IF($AN1588=1,SUMPRODUCT(--($AR$2:$AR$3001&lt;$AR1588))+1,"")</f>
        <v/>
      </c>
      <c r="AP1588">
        <f>IF($E1588="","",IF(OR($U1588=TRUE(),$U1588="TRUE"),1,0))</f>
        <v/>
      </c>
      <c r="AQ1588">
        <f>IF($E1588="","",IF($AD1588="Yes",1,0))</f>
        <v/>
      </c>
      <c r="AR1588">
        <f>IF($AN1588=1,IFERROR(VALUE(MID($E1588,2,20)),1000000000)+ROW()/100000,"")</f>
        <v/>
      </c>
    </row>
    <row r="1589">
      <c r="G1589" s="11" t="n"/>
      <c r="Q1589" s="7">
        <f>IF($E1589="","",P1589*AB1589/100)</f>
        <v/>
      </c>
      <c r="R1589" s="7" t="n"/>
      <c r="X1589" s="7" t="n"/>
      <c r="Y1589" s="7">
        <f>IF($E1589="","",AB1589*AE1589/100)</f>
        <v/>
      </c>
      <c r="Z1589" s="7">
        <f>IF($E1589="","",AB1589-Y1589)</f>
        <v/>
      </c>
      <c r="AA1589" s="7">
        <f>IF($E1589="","",Z1589-Q1589)</f>
        <v/>
      </c>
      <c r="AB1589" s="7" t="n"/>
      <c r="AE1589">
        <f>IF($E1589="","",IF($AQ1589=1,0,IF($AP1589=1,Settings!$C$6,Settings!$C$7))*100)</f>
        <v/>
      </c>
      <c r="AI1589" s="7" t="n"/>
      <c r="AL1589" s="11" t="n"/>
      <c r="AN1589">
        <f>IF($E1589="","",IF(COUNTIF($E$2:$E1589,$E1589)=1,1,0))</f>
        <v/>
      </c>
      <c r="AO1589">
        <f>IF($AN1589=1,SUMPRODUCT(--($AR$2:$AR$3001&lt;$AR1589))+1,"")</f>
        <v/>
      </c>
      <c r="AP1589">
        <f>IF($E1589="","",IF(OR($U1589=TRUE(),$U1589="TRUE"),1,0))</f>
        <v/>
      </c>
      <c r="AQ1589">
        <f>IF($E1589="","",IF($AD1589="Yes",1,0))</f>
        <v/>
      </c>
      <c r="AR1589">
        <f>IF($AN1589=1,IFERROR(VALUE(MID($E1589,2,20)),1000000000)+ROW()/100000,"")</f>
        <v/>
      </c>
    </row>
    <row r="1590">
      <c r="G1590" s="11" t="n"/>
      <c r="Q1590" s="7">
        <f>IF($E1590="","",P1590*AB1590/100)</f>
        <v/>
      </c>
      <c r="R1590" s="7" t="n"/>
      <c r="X1590" s="7" t="n"/>
      <c r="Y1590" s="7">
        <f>IF($E1590="","",AB1590*AE1590/100)</f>
        <v/>
      </c>
      <c r="Z1590" s="7">
        <f>IF($E1590="","",AB1590-Y1590)</f>
        <v/>
      </c>
      <c r="AA1590" s="7">
        <f>IF($E1590="","",Z1590-Q1590)</f>
        <v/>
      </c>
      <c r="AB1590" s="7" t="n"/>
      <c r="AE1590">
        <f>IF($E1590="","",IF($AQ1590=1,0,IF($AP1590=1,Settings!$C$6,Settings!$C$7))*100)</f>
        <v/>
      </c>
      <c r="AI1590" s="7" t="n"/>
      <c r="AL1590" s="11" t="n"/>
      <c r="AN1590">
        <f>IF($E1590="","",IF(COUNTIF($E$2:$E1590,$E1590)=1,1,0))</f>
        <v/>
      </c>
      <c r="AO1590">
        <f>IF($AN1590=1,SUMPRODUCT(--($AR$2:$AR$3001&lt;$AR1590))+1,"")</f>
        <v/>
      </c>
      <c r="AP1590">
        <f>IF($E1590="","",IF(OR($U1590=TRUE(),$U1590="TRUE"),1,0))</f>
        <v/>
      </c>
      <c r="AQ1590">
        <f>IF($E1590="","",IF($AD1590="Yes",1,0))</f>
        <v/>
      </c>
      <c r="AR1590">
        <f>IF($AN1590=1,IFERROR(VALUE(MID($E1590,2,20)),1000000000)+ROW()/100000,"")</f>
        <v/>
      </c>
    </row>
    <row r="1591">
      <c r="G1591" s="11" t="n"/>
      <c r="Q1591" s="7">
        <f>IF($E1591="","",P1591*AB1591/100)</f>
        <v/>
      </c>
      <c r="R1591" s="7" t="n"/>
      <c r="X1591" s="7" t="n"/>
      <c r="Y1591" s="7">
        <f>IF($E1591="","",AB1591*AE1591/100)</f>
        <v/>
      </c>
      <c r="Z1591" s="7">
        <f>IF($E1591="","",AB1591-Y1591)</f>
        <v/>
      </c>
      <c r="AA1591" s="7">
        <f>IF($E1591="","",Z1591-Q1591)</f>
        <v/>
      </c>
      <c r="AB1591" s="7" t="n"/>
      <c r="AE1591">
        <f>IF($E1591="","",IF($AQ1591=1,0,IF($AP1591=1,Settings!$C$6,Settings!$C$7))*100)</f>
        <v/>
      </c>
      <c r="AI1591" s="7" t="n"/>
      <c r="AL1591" s="11" t="n"/>
      <c r="AN1591">
        <f>IF($E1591="","",IF(COUNTIF($E$2:$E1591,$E1591)=1,1,0))</f>
        <v/>
      </c>
      <c r="AO1591">
        <f>IF($AN1591=1,SUMPRODUCT(--($AR$2:$AR$3001&lt;$AR1591))+1,"")</f>
        <v/>
      </c>
      <c r="AP1591">
        <f>IF($E1591="","",IF(OR($U1591=TRUE(),$U1591="TRUE"),1,0))</f>
        <v/>
      </c>
      <c r="AQ1591">
        <f>IF($E1591="","",IF($AD1591="Yes",1,0))</f>
        <v/>
      </c>
      <c r="AR1591">
        <f>IF($AN1591=1,IFERROR(VALUE(MID($E1591,2,20)),1000000000)+ROW()/100000,"")</f>
        <v/>
      </c>
    </row>
    <row r="1592">
      <c r="G1592" s="11" t="n"/>
      <c r="Q1592" s="7">
        <f>IF($E1592="","",P1592*AB1592/100)</f>
        <v/>
      </c>
      <c r="R1592" s="7" t="n"/>
      <c r="X1592" s="7" t="n"/>
      <c r="Y1592" s="7">
        <f>IF($E1592="","",AB1592*AE1592/100)</f>
        <v/>
      </c>
      <c r="Z1592" s="7">
        <f>IF($E1592="","",AB1592-Y1592)</f>
        <v/>
      </c>
      <c r="AA1592" s="7">
        <f>IF($E1592="","",Z1592-Q1592)</f>
        <v/>
      </c>
      <c r="AB1592" s="7" t="n"/>
      <c r="AE1592">
        <f>IF($E1592="","",IF($AQ1592=1,0,IF($AP1592=1,Settings!$C$6,Settings!$C$7))*100)</f>
        <v/>
      </c>
      <c r="AI1592" s="7" t="n"/>
      <c r="AL1592" s="11" t="n"/>
      <c r="AN1592">
        <f>IF($E1592="","",IF(COUNTIF($E$2:$E1592,$E1592)=1,1,0))</f>
        <v/>
      </c>
      <c r="AO1592">
        <f>IF($AN1592=1,SUMPRODUCT(--($AR$2:$AR$3001&lt;$AR1592))+1,"")</f>
        <v/>
      </c>
      <c r="AP1592">
        <f>IF($E1592="","",IF(OR($U1592=TRUE(),$U1592="TRUE"),1,0))</f>
        <v/>
      </c>
      <c r="AQ1592">
        <f>IF($E1592="","",IF($AD1592="Yes",1,0))</f>
        <v/>
      </c>
      <c r="AR1592">
        <f>IF($AN1592=1,IFERROR(VALUE(MID($E1592,2,20)),1000000000)+ROW()/100000,"")</f>
        <v/>
      </c>
    </row>
    <row r="1593">
      <c r="G1593" s="11" t="n"/>
      <c r="Q1593" s="7">
        <f>IF($E1593="","",P1593*AB1593/100)</f>
        <v/>
      </c>
      <c r="R1593" s="7" t="n"/>
      <c r="X1593" s="7" t="n"/>
      <c r="Y1593" s="7">
        <f>IF($E1593="","",AB1593*AE1593/100)</f>
        <v/>
      </c>
      <c r="Z1593" s="7">
        <f>IF($E1593="","",AB1593-Y1593)</f>
        <v/>
      </c>
      <c r="AA1593" s="7">
        <f>IF($E1593="","",Z1593-Q1593)</f>
        <v/>
      </c>
      <c r="AB1593" s="7" t="n"/>
      <c r="AE1593">
        <f>IF($E1593="","",IF($AQ1593=1,0,IF($AP1593=1,Settings!$C$6,Settings!$C$7))*100)</f>
        <v/>
      </c>
      <c r="AI1593" s="7" t="n"/>
      <c r="AL1593" s="11" t="n"/>
      <c r="AN1593">
        <f>IF($E1593="","",IF(COUNTIF($E$2:$E1593,$E1593)=1,1,0))</f>
        <v/>
      </c>
      <c r="AO1593">
        <f>IF($AN1593=1,SUMPRODUCT(--($AR$2:$AR$3001&lt;$AR1593))+1,"")</f>
        <v/>
      </c>
      <c r="AP1593">
        <f>IF($E1593="","",IF(OR($U1593=TRUE(),$U1593="TRUE"),1,0))</f>
        <v/>
      </c>
      <c r="AQ1593">
        <f>IF($E1593="","",IF($AD1593="Yes",1,0))</f>
        <v/>
      </c>
      <c r="AR1593">
        <f>IF($AN1593=1,IFERROR(VALUE(MID($E1593,2,20)),1000000000)+ROW()/100000,"")</f>
        <v/>
      </c>
    </row>
    <row r="1594">
      <c r="G1594" s="11" t="n"/>
      <c r="Q1594" s="7">
        <f>IF($E1594="","",P1594*AB1594/100)</f>
        <v/>
      </c>
      <c r="R1594" s="7" t="n"/>
      <c r="X1594" s="7" t="n"/>
      <c r="Y1594" s="7">
        <f>IF($E1594="","",AB1594*AE1594/100)</f>
        <v/>
      </c>
      <c r="Z1594" s="7">
        <f>IF($E1594="","",AB1594-Y1594)</f>
        <v/>
      </c>
      <c r="AA1594" s="7">
        <f>IF($E1594="","",Z1594-Q1594)</f>
        <v/>
      </c>
      <c r="AB1594" s="7" t="n"/>
      <c r="AE1594">
        <f>IF($E1594="","",IF($AQ1594=1,0,IF($AP1594=1,Settings!$C$6,Settings!$C$7))*100)</f>
        <v/>
      </c>
      <c r="AI1594" s="7" t="n"/>
      <c r="AL1594" s="11" t="n"/>
      <c r="AN1594">
        <f>IF($E1594="","",IF(COUNTIF($E$2:$E1594,$E1594)=1,1,0))</f>
        <v/>
      </c>
      <c r="AO1594">
        <f>IF($AN1594=1,SUMPRODUCT(--($AR$2:$AR$3001&lt;$AR1594))+1,"")</f>
        <v/>
      </c>
      <c r="AP1594">
        <f>IF($E1594="","",IF(OR($U1594=TRUE(),$U1594="TRUE"),1,0))</f>
        <v/>
      </c>
      <c r="AQ1594">
        <f>IF($E1594="","",IF($AD1594="Yes",1,0))</f>
        <v/>
      </c>
      <c r="AR1594">
        <f>IF($AN1594=1,IFERROR(VALUE(MID($E1594,2,20)),1000000000)+ROW()/100000,"")</f>
        <v/>
      </c>
    </row>
    <row r="1595">
      <c r="G1595" s="11" t="n"/>
      <c r="Q1595" s="7">
        <f>IF($E1595="","",P1595*AB1595/100)</f>
        <v/>
      </c>
      <c r="R1595" s="7" t="n"/>
      <c r="X1595" s="7" t="n"/>
      <c r="Y1595" s="7">
        <f>IF($E1595="","",AB1595*AE1595/100)</f>
        <v/>
      </c>
      <c r="Z1595" s="7">
        <f>IF($E1595="","",AB1595-Y1595)</f>
        <v/>
      </c>
      <c r="AA1595" s="7">
        <f>IF($E1595="","",Z1595-Q1595)</f>
        <v/>
      </c>
      <c r="AB1595" s="7" t="n"/>
      <c r="AE1595">
        <f>IF($E1595="","",IF($AQ1595=1,0,IF($AP1595=1,Settings!$C$6,Settings!$C$7))*100)</f>
        <v/>
      </c>
      <c r="AI1595" s="7" t="n"/>
      <c r="AL1595" s="11" t="n"/>
      <c r="AN1595">
        <f>IF($E1595="","",IF(COUNTIF($E$2:$E1595,$E1595)=1,1,0))</f>
        <v/>
      </c>
      <c r="AO1595">
        <f>IF($AN1595=1,SUMPRODUCT(--($AR$2:$AR$3001&lt;$AR1595))+1,"")</f>
        <v/>
      </c>
      <c r="AP1595">
        <f>IF($E1595="","",IF(OR($U1595=TRUE(),$U1595="TRUE"),1,0))</f>
        <v/>
      </c>
      <c r="AQ1595">
        <f>IF($E1595="","",IF($AD1595="Yes",1,0))</f>
        <v/>
      </c>
      <c r="AR1595">
        <f>IF($AN1595=1,IFERROR(VALUE(MID($E1595,2,20)),1000000000)+ROW()/100000,"")</f>
        <v/>
      </c>
    </row>
    <row r="1596">
      <c r="G1596" s="11" t="n"/>
      <c r="Q1596" s="7">
        <f>IF($E1596="","",P1596*AB1596/100)</f>
        <v/>
      </c>
      <c r="R1596" s="7" t="n"/>
      <c r="X1596" s="7" t="n"/>
      <c r="Y1596" s="7">
        <f>IF($E1596="","",AB1596*AE1596/100)</f>
        <v/>
      </c>
      <c r="Z1596" s="7">
        <f>IF($E1596="","",AB1596-Y1596)</f>
        <v/>
      </c>
      <c r="AA1596" s="7">
        <f>IF($E1596="","",Z1596-Q1596)</f>
        <v/>
      </c>
      <c r="AB1596" s="7" t="n"/>
      <c r="AE1596">
        <f>IF($E1596="","",IF($AQ1596=1,0,IF($AP1596=1,Settings!$C$6,Settings!$C$7))*100)</f>
        <v/>
      </c>
      <c r="AI1596" s="7" t="n"/>
      <c r="AL1596" s="11" t="n"/>
      <c r="AN1596">
        <f>IF($E1596="","",IF(COUNTIF($E$2:$E1596,$E1596)=1,1,0))</f>
        <v/>
      </c>
      <c r="AO1596">
        <f>IF($AN1596=1,SUMPRODUCT(--($AR$2:$AR$3001&lt;$AR1596))+1,"")</f>
        <v/>
      </c>
      <c r="AP1596">
        <f>IF($E1596="","",IF(OR($U1596=TRUE(),$U1596="TRUE"),1,0))</f>
        <v/>
      </c>
      <c r="AQ1596">
        <f>IF($E1596="","",IF($AD1596="Yes",1,0))</f>
        <v/>
      </c>
      <c r="AR1596">
        <f>IF($AN1596=1,IFERROR(VALUE(MID($E1596,2,20)),1000000000)+ROW()/100000,"")</f>
        <v/>
      </c>
    </row>
    <row r="1597">
      <c r="G1597" s="11" t="n"/>
      <c r="Q1597" s="7">
        <f>IF($E1597="","",P1597*AB1597/100)</f>
        <v/>
      </c>
      <c r="R1597" s="7" t="n"/>
      <c r="X1597" s="7" t="n"/>
      <c r="Y1597" s="7">
        <f>IF($E1597="","",AB1597*AE1597/100)</f>
        <v/>
      </c>
      <c r="Z1597" s="7">
        <f>IF($E1597="","",AB1597-Y1597)</f>
        <v/>
      </c>
      <c r="AA1597" s="7">
        <f>IF($E1597="","",Z1597-Q1597)</f>
        <v/>
      </c>
      <c r="AB1597" s="7" t="n"/>
      <c r="AE1597">
        <f>IF($E1597="","",IF($AQ1597=1,0,IF($AP1597=1,Settings!$C$6,Settings!$C$7))*100)</f>
        <v/>
      </c>
      <c r="AI1597" s="7" t="n"/>
      <c r="AL1597" s="11" t="n"/>
      <c r="AN1597">
        <f>IF($E1597="","",IF(COUNTIF($E$2:$E1597,$E1597)=1,1,0))</f>
        <v/>
      </c>
      <c r="AO1597">
        <f>IF($AN1597=1,SUMPRODUCT(--($AR$2:$AR$3001&lt;$AR1597))+1,"")</f>
        <v/>
      </c>
      <c r="AP1597">
        <f>IF($E1597="","",IF(OR($U1597=TRUE(),$U1597="TRUE"),1,0))</f>
        <v/>
      </c>
      <c r="AQ1597">
        <f>IF($E1597="","",IF($AD1597="Yes",1,0))</f>
        <v/>
      </c>
      <c r="AR1597">
        <f>IF($AN1597=1,IFERROR(VALUE(MID($E1597,2,20)),1000000000)+ROW()/100000,"")</f>
        <v/>
      </c>
    </row>
    <row r="1598">
      <c r="G1598" s="11" t="n"/>
      <c r="Q1598" s="7">
        <f>IF($E1598="","",P1598*AB1598/100)</f>
        <v/>
      </c>
      <c r="R1598" s="7" t="n"/>
      <c r="X1598" s="7" t="n"/>
      <c r="Y1598" s="7">
        <f>IF($E1598="","",AB1598*AE1598/100)</f>
        <v/>
      </c>
      <c r="Z1598" s="7">
        <f>IF($E1598="","",AB1598-Y1598)</f>
        <v/>
      </c>
      <c r="AA1598" s="7">
        <f>IF($E1598="","",Z1598-Q1598)</f>
        <v/>
      </c>
      <c r="AB1598" s="7" t="n"/>
      <c r="AE1598">
        <f>IF($E1598="","",IF($AQ1598=1,0,IF($AP1598=1,Settings!$C$6,Settings!$C$7))*100)</f>
        <v/>
      </c>
      <c r="AI1598" s="7" t="n"/>
      <c r="AL1598" s="11" t="n"/>
      <c r="AN1598">
        <f>IF($E1598="","",IF(COUNTIF($E$2:$E1598,$E1598)=1,1,0))</f>
        <v/>
      </c>
      <c r="AO1598">
        <f>IF($AN1598=1,SUMPRODUCT(--($AR$2:$AR$3001&lt;$AR1598))+1,"")</f>
        <v/>
      </c>
      <c r="AP1598">
        <f>IF($E1598="","",IF(OR($U1598=TRUE(),$U1598="TRUE"),1,0))</f>
        <v/>
      </c>
      <c r="AQ1598">
        <f>IF($E1598="","",IF($AD1598="Yes",1,0))</f>
        <v/>
      </c>
      <c r="AR1598">
        <f>IF($AN1598=1,IFERROR(VALUE(MID($E1598,2,20)),1000000000)+ROW()/100000,"")</f>
        <v/>
      </c>
    </row>
    <row r="1599">
      <c r="G1599" s="11" t="n"/>
      <c r="Q1599" s="7">
        <f>IF($E1599="","",P1599*AB1599/100)</f>
        <v/>
      </c>
      <c r="R1599" s="7" t="n"/>
      <c r="X1599" s="7" t="n"/>
      <c r="Y1599" s="7">
        <f>IF($E1599="","",AB1599*AE1599/100)</f>
        <v/>
      </c>
      <c r="Z1599" s="7">
        <f>IF($E1599="","",AB1599-Y1599)</f>
        <v/>
      </c>
      <c r="AA1599" s="7">
        <f>IF($E1599="","",Z1599-Q1599)</f>
        <v/>
      </c>
      <c r="AB1599" s="7" t="n"/>
      <c r="AE1599">
        <f>IF($E1599="","",IF($AQ1599=1,0,IF($AP1599=1,Settings!$C$6,Settings!$C$7))*100)</f>
        <v/>
      </c>
      <c r="AI1599" s="7" t="n"/>
      <c r="AL1599" s="11" t="n"/>
      <c r="AN1599">
        <f>IF($E1599="","",IF(COUNTIF($E$2:$E1599,$E1599)=1,1,0))</f>
        <v/>
      </c>
      <c r="AO1599">
        <f>IF($AN1599=1,SUMPRODUCT(--($AR$2:$AR$3001&lt;$AR1599))+1,"")</f>
        <v/>
      </c>
      <c r="AP1599">
        <f>IF($E1599="","",IF(OR($U1599=TRUE(),$U1599="TRUE"),1,0))</f>
        <v/>
      </c>
      <c r="AQ1599">
        <f>IF($E1599="","",IF($AD1599="Yes",1,0))</f>
        <v/>
      </c>
      <c r="AR1599">
        <f>IF($AN1599=1,IFERROR(VALUE(MID($E1599,2,20)),1000000000)+ROW()/100000,"")</f>
        <v/>
      </c>
    </row>
    <row r="1600">
      <c r="G1600" s="11" t="n"/>
      <c r="Q1600" s="7">
        <f>IF($E1600="","",P1600*AB1600/100)</f>
        <v/>
      </c>
      <c r="R1600" s="7" t="n"/>
      <c r="X1600" s="7" t="n"/>
      <c r="Y1600" s="7">
        <f>IF($E1600="","",AB1600*AE1600/100)</f>
        <v/>
      </c>
      <c r="Z1600" s="7">
        <f>IF($E1600="","",AB1600-Y1600)</f>
        <v/>
      </c>
      <c r="AA1600" s="7">
        <f>IF($E1600="","",Z1600-Q1600)</f>
        <v/>
      </c>
      <c r="AB1600" s="7" t="n"/>
      <c r="AE1600">
        <f>IF($E1600="","",IF($AQ1600=1,0,IF($AP1600=1,Settings!$C$6,Settings!$C$7))*100)</f>
        <v/>
      </c>
      <c r="AI1600" s="7" t="n"/>
      <c r="AL1600" s="11" t="n"/>
      <c r="AN1600">
        <f>IF($E1600="","",IF(COUNTIF($E$2:$E1600,$E1600)=1,1,0))</f>
        <v/>
      </c>
      <c r="AO1600">
        <f>IF($AN1600=1,SUMPRODUCT(--($AR$2:$AR$3001&lt;$AR1600))+1,"")</f>
        <v/>
      </c>
      <c r="AP1600">
        <f>IF($E1600="","",IF(OR($U1600=TRUE(),$U1600="TRUE"),1,0))</f>
        <v/>
      </c>
      <c r="AQ1600">
        <f>IF($E1600="","",IF($AD1600="Yes",1,0))</f>
        <v/>
      </c>
      <c r="AR1600">
        <f>IF($AN1600=1,IFERROR(VALUE(MID($E1600,2,20)),1000000000)+ROW()/100000,"")</f>
        <v/>
      </c>
    </row>
    <row r="1601">
      <c r="G1601" s="11" t="n"/>
      <c r="Q1601" s="7">
        <f>IF($E1601="","",P1601*AB1601/100)</f>
        <v/>
      </c>
      <c r="R1601" s="7" t="n"/>
      <c r="X1601" s="7" t="n"/>
      <c r="Y1601" s="7">
        <f>IF($E1601="","",AB1601*AE1601/100)</f>
        <v/>
      </c>
      <c r="Z1601" s="7">
        <f>IF($E1601="","",AB1601-Y1601)</f>
        <v/>
      </c>
      <c r="AA1601" s="7">
        <f>IF($E1601="","",Z1601-Q1601)</f>
        <v/>
      </c>
      <c r="AB1601" s="7" t="n"/>
      <c r="AE1601">
        <f>IF($E1601="","",IF($AQ1601=1,0,IF($AP1601=1,Settings!$C$6,Settings!$C$7))*100)</f>
        <v/>
      </c>
      <c r="AI1601" s="7" t="n"/>
      <c r="AL1601" s="11" t="n"/>
      <c r="AN1601">
        <f>IF($E1601="","",IF(COUNTIF($E$2:$E1601,$E1601)=1,1,0))</f>
        <v/>
      </c>
      <c r="AO1601">
        <f>IF($AN1601=1,SUMPRODUCT(--($AR$2:$AR$3001&lt;$AR1601))+1,"")</f>
        <v/>
      </c>
      <c r="AP1601">
        <f>IF($E1601="","",IF(OR($U1601=TRUE(),$U1601="TRUE"),1,0))</f>
        <v/>
      </c>
      <c r="AQ1601">
        <f>IF($E1601="","",IF($AD1601="Yes",1,0))</f>
        <v/>
      </c>
      <c r="AR1601">
        <f>IF($AN1601=1,IFERROR(VALUE(MID($E1601,2,20)),1000000000)+ROW()/100000,"")</f>
        <v/>
      </c>
    </row>
    <row r="1602">
      <c r="G1602" s="11" t="n"/>
      <c r="Q1602" s="7">
        <f>IF($E1602="","",P1602*AB1602/100)</f>
        <v/>
      </c>
      <c r="R1602" s="7" t="n"/>
      <c r="X1602" s="7" t="n"/>
      <c r="Y1602" s="7">
        <f>IF($E1602="","",AB1602*AE1602/100)</f>
        <v/>
      </c>
      <c r="Z1602" s="7">
        <f>IF($E1602="","",AB1602-Y1602)</f>
        <v/>
      </c>
      <c r="AA1602" s="7">
        <f>IF($E1602="","",Z1602-Q1602)</f>
        <v/>
      </c>
      <c r="AB1602" s="7" t="n"/>
      <c r="AE1602">
        <f>IF($E1602="","",IF($AQ1602=1,0,IF($AP1602=1,Settings!$C$6,Settings!$C$7))*100)</f>
        <v/>
      </c>
      <c r="AI1602" s="7" t="n"/>
      <c r="AL1602" s="11" t="n"/>
      <c r="AN1602">
        <f>IF($E1602="","",IF(COUNTIF($E$2:$E1602,$E1602)=1,1,0))</f>
        <v/>
      </c>
      <c r="AO1602">
        <f>IF($AN1602=1,SUMPRODUCT(--($AR$2:$AR$3001&lt;$AR1602))+1,"")</f>
        <v/>
      </c>
      <c r="AP1602">
        <f>IF($E1602="","",IF(OR($U1602=TRUE(),$U1602="TRUE"),1,0))</f>
        <v/>
      </c>
      <c r="AQ1602">
        <f>IF($E1602="","",IF($AD1602="Yes",1,0))</f>
        <v/>
      </c>
      <c r="AR1602">
        <f>IF($AN1602=1,IFERROR(VALUE(MID($E1602,2,20)),1000000000)+ROW()/100000,"")</f>
        <v/>
      </c>
    </row>
    <row r="1603">
      <c r="G1603" s="11" t="n"/>
      <c r="Q1603" s="7">
        <f>IF($E1603="","",P1603*AB1603/100)</f>
        <v/>
      </c>
      <c r="R1603" s="7" t="n"/>
      <c r="X1603" s="7" t="n"/>
      <c r="Y1603" s="7">
        <f>IF($E1603="","",AB1603*AE1603/100)</f>
        <v/>
      </c>
      <c r="Z1603" s="7">
        <f>IF($E1603="","",AB1603-Y1603)</f>
        <v/>
      </c>
      <c r="AA1603" s="7">
        <f>IF($E1603="","",Z1603-Q1603)</f>
        <v/>
      </c>
      <c r="AB1603" s="7" t="n"/>
      <c r="AE1603">
        <f>IF($E1603="","",IF($AQ1603=1,0,IF($AP1603=1,Settings!$C$6,Settings!$C$7))*100)</f>
        <v/>
      </c>
      <c r="AI1603" s="7" t="n"/>
      <c r="AL1603" s="11" t="n"/>
      <c r="AN1603">
        <f>IF($E1603="","",IF(COUNTIF($E$2:$E1603,$E1603)=1,1,0))</f>
        <v/>
      </c>
      <c r="AO1603">
        <f>IF($AN1603=1,SUMPRODUCT(--($AR$2:$AR$3001&lt;$AR1603))+1,"")</f>
        <v/>
      </c>
      <c r="AP1603">
        <f>IF($E1603="","",IF(OR($U1603=TRUE(),$U1603="TRUE"),1,0))</f>
        <v/>
      </c>
      <c r="AQ1603">
        <f>IF($E1603="","",IF($AD1603="Yes",1,0))</f>
        <v/>
      </c>
      <c r="AR1603">
        <f>IF($AN1603=1,IFERROR(VALUE(MID($E1603,2,20)),1000000000)+ROW()/100000,"")</f>
        <v/>
      </c>
    </row>
    <row r="1604">
      <c r="G1604" s="11" t="n"/>
      <c r="Q1604" s="7">
        <f>IF($E1604="","",P1604*AB1604/100)</f>
        <v/>
      </c>
      <c r="R1604" s="7" t="n"/>
      <c r="X1604" s="7" t="n"/>
      <c r="Y1604" s="7">
        <f>IF($E1604="","",AB1604*AE1604/100)</f>
        <v/>
      </c>
      <c r="Z1604" s="7">
        <f>IF($E1604="","",AB1604-Y1604)</f>
        <v/>
      </c>
      <c r="AA1604" s="7">
        <f>IF($E1604="","",Z1604-Q1604)</f>
        <v/>
      </c>
      <c r="AB1604" s="7" t="n"/>
      <c r="AE1604">
        <f>IF($E1604="","",IF($AQ1604=1,0,IF($AP1604=1,Settings!$C$6,Settings!$C$7))*100)</f>
        <v/>
      </c>
      <c r="AI1604" s="7" t="n"/>
      <c r="AL1604" s="11" t="n"/>
      <c r="AN1604">
        <f>IF($E1604="","",IF(COUNTIF($E$2:$E1604,$E1604)=1,1,0))</f>
        <v/>
      </c>
      <c r="AO1604">
        <f>IF($AN1604=1,SUMPRODUCT(--($AR$2:$AR$3001&lt;$AR1604))+1,"")</f>
        <v/>
      </c>
      <c r="AP1604">
        <f>IF($E1604="","",IF(OR($U1604=TRUE(),$U1604="TRUE"),1,0))</f>
        <v/>
      </c>
      <c r="AQ1604">
        <f>IF($E1604="","",IF($AD1604="Yes",1,0))</f>
        <v/>
      </c>
      <c r="AR1604">
        <f>IF($AN1604=1,IFERROR(VALUE(MID($E1604,2,20)),1000000000)+ROW()/100000,"")</f>
        <v/>
      </c>
    </row>
    <row r="1605">
      <c r="G1605" s="11" t="n"/>
      <c r="Q1605" s="7">
        <f>IF($E1605="","",P1605*AB1605/100)</f>
        <v/>
      </c>
      <c r="R1605" s="7" t="n"/>
      <c r="X1605" s="7" t="n"/>
      <c r="Y1605" s="7">
        <f>IF($E1605="","",AB1605*AE1605/100)</f>
        <v/>
      </c>
      <c r="Z1605" s="7">
        <f>IF($E1605="","",AB1605-Y1605)</f>
        <v/>
      </c>
      <c r="AA1605" s="7">
        <f>IF($E1605="","",Z1605-Q1605)</f>
        <v/>
      </c>
      <c r="AB1605" s="7" t="n"/>
      <c r="AE1605">
        <f>IF($E1605="","",IF($AQ1605=1,0,IF($AP1605=1,Settings!$C$6,Settings!$C$7))*100)</f>
        <v/>
      </c>
      <c r="AI1605" s="7" t="n"/>
      <c r="AL1605" s="11" t="n"/>
      <c r="AN1605">
        <f>IF($E1605="","",IF(COUNTIF($E$2:$E1605,$E1605)=1,1,0))</f>
        <v/>
      </c>
      <c r="AO1605">
        <f>IF($AN1605=1,SUMPRODUCT(--($AR$2:$AR$3001&lt;$AR1605))+1,"")</f>
        <v/>
      </c>
      <c r="AP1605">
        <f>IF($E1605="","",IF(OR($U1605=TRUE(),$U1605="TRUE"),1,0))</f>
        <v/>
      </c>
      <c r="AQ1605">
        <f>IF($E1605="","",IF($AD1605="Yes",1,0))</f>
        <v/>
      </c>
      <c r="AR1605">
        <f>IF($AN1605=1,IFERROR(VALUE(MID($E1605,2,20)),1000000000)+ROW()/100000,"")</f>
        <v/>
      </c>
    </row>
    <row r="1606">
      <c r="G1606" s="11" t="n"/>
      <c r="Q1606" s="7">
        <f>IF($E1606="","",P1606*AB1606/100)</f>
        <v/>
      </c>
      <c r="R1606" s="7" t="n"/>
      <c r="X1606" s="7" t="n"/>
      <c r="Y1606" s="7">
        <f>IF($E1606="","",AB1606*AE1606/100)</f>
        <v/>
      </c>
      <c r="Z1606" s="7">
        <f>IF($E1606="","",AB1606-Y1606)</f>
        <v/>
      </c>
      <c r="AA1606" s="7">
        <f>IF($E1606="","",Z1606-Q1606)</f>
        <v/>
      </c>
      <c r="AB1606" s="7" t="n"/>
      <c r="AE1606">
        <f>IF($E1606="","",IF($AQ1606=1,0,IF($AP1606=1,Settings!$C$6,Settings!$C$7))*100)</f>
        <v/>
      </c>
      <c r="AI1606" s="7" t="n"/>
      <c r="AL1606" s="11" t="n"/>
      <c r="AN1606">
        <f>IF($E1606="","",IF(COUNTIF($E$2:$E1606,$E1606)=1,1,0))</f>
        <v/>
      </c>
      <c r="AO1606">
        <f>IF($AN1606=1,SUMPRODUCT(--($AR$2:$AR$3001&lt;$AR1606))+1,"")</f>
        <v/>
      </c>
      <c r="AP1606">
        <f>IF($E1606="","",IF(OR($U1606=TRUE(),$U1606="TRUE"),1,0))</f>
        <v/>
      </c>
      <c r="AQ1606">
        <f>IF($E1606="","",IF($AD1606="Yes",1,0))</f>
        <v/>
      </c>
      <c r="AR1606">
        <f>IF($AN1606=1,IFERROR(VALUE(MID($E1606,2,20)),1000000000)+ROW()/100000,"")</f>
        <v/>
      </c>
    </row>
    <row r="1607">
      <c r="G1607" s="11" t="n"/>
      <c r="Q1607" s="7">
        <f>IF($E1607="","",P1607*AB1607/100)</f>
        <v/>
      </c>
      <c r="R1607" s="7" t="n"/>
      <c r="X1607" s="7" t="n"/>
      <c r="Y1607" s="7">
        <f>IF($E1607="","",AB1607*AE1607/100)</f>
        <v/>
      </c>
      <c r="Z1607" s="7">
        <f>IF($E1607="","",AB1607-Y1607)</f>
        <v/>
      </c>
      <c r="AA1607" s="7">
        <f>IF($E1607="","",Z1607-Q1607)</f>
        <v/>
      </c>
      <c r="AB1607" s="7" t="n"/>
      <c r="AE1607">
        <f>IF($E1607="","",IF($AQ1607=1,0,IF($AP1607=1,Settings!$C$6,Settings!$C$7))*100)</f>
        <v/>
      </c>
      <c r="AI1607" s="7" t="n"/>
      <c r="AL1607" s="11" t="n"/>
      <c r="AN1607">
        <f>IF($E1607="","",IF(COUNTIF($E$2:$E1607,$E1607)=1,1,0))</f>
        <v/>
      </c>
      <c r="AO1607">
        <f>IF($AN1607=1,SUMPRODUCT(--($AR$2:$AR$3001&lt;$AR1607))+1,"")</f>
        <v/>
      </c>
      <c r="AP1607">
        <f>IF($E1607="","",IF(OR($U1607=TRUE(),$U1607="TRUE"),1,0))</f>
        <v/>
      </c>
      <c r="AQ1607">
        <f>IF($E1607="","",IF($AD1607="Yes",1,0))</f>
        <v/>
      </c>
      <c r="AR1607">
        <f>IF($AN1607=1,IFERROR(VALUE(MID($E1607,2,20)),1000000000)+ROW()/100000,"")</f>
        <v/>
      </c>
    </row>
    <row r="1608">
      <c r="G1608" s="11" t="n"/>
      <c r="Q1608" s="7">
        <f>IF($E1608="","",P1608*AB1608/100)</f>
        <v/>
      </c>
      <c r="R1608" s="7" t="n"/>
      <c r="X1608" s="7" t="n"/>
      <c r="Y1608" s="7">
        <f>IF($E1608="","",AB1608*AE1608/100)</f>
        <v/>
      </c>
      <c r="Z1608" s="7">
        <f>IF($E1608="","",AB1608-Y1608)</f>
        <v/>
      </c>
      <c r="AA1608" s="7">
        <f>IF($E1608="","",Z1608-Q1608)</f>
        <v/>
      </c>
      <c r="AB1608" s="7" t="n"/>
      <c r="AE1608">
        <f>IF($E1608="","",IF($AQ1608=1,0,IF($AP1608=1,Settings!$C$6,Settings!$C$7))*100)</f>
        <v/>
      </c>
      <c r="AI1608" s="7" t="n"/>
      <c r="AL1608" s="11" t="n"/>
      <c r="AN1608">
        <f>IF($E1608="","",IF(COUNTIF($E$2:$E1608,$E1608)=1,1,0))</f>
        <v/>
      </c>
      <c r="AO1608">
        <f>IF($AN1608=1,SUMPRODUCT(--($AR$2:$AR$3001&lt;$AR1608))+1,"")</f>
        <v/>
      </c>
      <c r="AP1608">
        <f>IF($E1608="","",IF(OR($U1608=TRUE(),$U1608="TRUE"),1,0))</f>
        <v/>
      </c>
      <c r="AQ1608">
        <f>IF($E1608="","",IF($AD1608="Yes",1,0))</f>
        <v/>
      </c>
      <c r="AR1608">
        <f>IF($AN1608=1,IFERROR(VALUE(MID($E1608,2,20)),1000000000)+ROW()/100000,"")</f>
        <v/>
      </c>
    </row>
    <row r="1609">
      <c r="G1609" s="11" t="n"/>
      <c r="Q1609" s="7">
        <f>IF($E1609="","",P1609*AB1609/100)</f>
        <v/>
      </c>
      <c r="R1609" s="7" t="n"/>
      <c r="X1609" s="7" t="n"/>
      <c r="Y1609" s="7">
        <f>IF($E1609="","",AB1609*AE1609/100)</f>
        <v/>
      </c>
      <c r="Z1609" s="7">
        <f>IF($E1609="","",AB1609-Y1609)</f>
        <v/>
      </c>
      <c r="AA1609" s="7">
        <f>IF($E1609="","",Z1609-Q1609)</f>
        <v/>
      </c>
      <c r="AB1609" s="7" t="n"/>
      <c r="AE1609">
        <f>IF($E1609="","",IF($AQ1609=1,0,IF($AP1609=1,Settings!$C$6,Settings!$C$7))*100)</f>
        <v/>
      </c>
      <c r="AI1609" s="7" t="n"/>
      <c r="AL1609" s="11" t="n"/>
      <c r="AN1609">
        <f>IF($E1609="","",IF(COUNTIF($E$2:$E1609,$E1609)=1,1,0))</f>
        <v/>
      </c>
      <c r="AO1609">
        <f>IF($AN1609=1,SUMPRODUCT(--($AR$2:$AR$3001&lt;$AR1609))+1,"")</f>
        <v/>
      </c>
      <c r="AP1609">
        <f>IF($E1609="","",IF(OR($U1609=TRUE(),$U1609="TRUE"),1,0))</f>
        <v/>
      </c>
      <c r="AQ1609">
        <f>IF($E1609="","",IF($AD1609="Yes",1,0))</f>
        <v/>
      </c>
      <c r="AR1609">
        <f>IF($AN1609=1,IFERROR(VALUE(MID($E1609,2,20)),1000000000)+ROW()/100000,"")</f>
        <v/>
      </c>
    </row>
    <row r="1610">
      <c r="G1610" s="11" t="n"/>
      <c r="Q1610" s="7">
        <f>IF($E1610="","",P1610*AB1610/100)</f>
        <v/>
      </c>
      <c r="R1610" s="7" t="n"/>
      <c r="X1610" s="7" t="n"/>
      <c r="Y1610" s="7">
        <f>IF($E1610="","",AB1610*AE1610/100)</f>
        <v/>
      </c>
      <c r="Z1610" s="7">
        <f>IF($E1610="","",AB1610-Y1610)</f>
        <v/>
      </c>
      <c r="AA1610" s="7">
        <f>IF($E1610="","",Z1610-Q1610)</f>
        <v/>
      </c>
      <c r="AB1610" s="7" t="n"/>
      <c r="AE1610">
        <f>IF($E1610="","",IF($AQ1610=1,0,IF($AP1610=1,Settings!$C$6,Settings!$C$7))*100)</f>
        <v/>
      </c>
      <c r="AI1610" s="7" t="n"/>
      <c r="AL1610" s="11" t="n"/>
      <c r="AN1610">
        <f>IF($E1610="","",IF(COUNTIF($E$2:$E1610,$E1610)=1,1,0))</f>
        <v/>
      </c>
      <c r="AO1610">
        <f>IF($AN1610=1,SUMPRODUCT(--($AR$2:$AR$3001&lt;$AR1610))+1,"")</f>
        <v/>
      </c>
      <c r="AP1610">
        <f>IF($E1610="","",IF(OR($U1610=TRUE(),$U1610="TRUE"),1,0))</f>
        <v/>
      </c>
      <c r="AQ1610">
        <f>IF($E1610="","",IF($AD1610="Yes",1,0))</f>
        <v/>
      </c>
      <c r="AR1610">
        <f>IF($AN1610=1,IFERROR(VALUE(MID($E1610,2,20)),1000000000)+ROW()/100000,"")</f>
        <v/>
      </c>
    </row>
    <row r="1611">
      <c r="G1611" s="11" t="n"/>
      <c r="Q1611" s="7">
        <f>IF($E1611="","",P1611*AB1611/100)</f>
        <v/>
      </c>
      <c r="R1611" s="7" t="n"/>
      <c r="X1611" s="7" t="n"/>
      <c r="Y1611" s="7">
        <f>IF($E1611="","",AB1611*AE1611/100)</f>
        <v/>
      </c>
      <c r="Z1611" s="7">
        <f>IF($E1611="","",AB1611-Y1611)</f>
        <v/>
      </c>
      <c r="AA1611" s="7">
        <f>IF($E1611="","",Z1611-Q1611)</f>
        <v/>
      </c>
      <c r="AB1611" s="7" t="n"/>
      <c r="AE1611">
        <f>IF($E1611="","",IF($AQ1611=1,0,IF($AP1611=1,Settings!$C$6,Settings!$C$7))*100)</f>
        <v/>
      </c>
      <c r="AI1611" s="7" t="n"/>
      <c r="AL1611" s="11" t="n"/>
      <c r="AN1611">
        <f>IF($E1611="","",IF(COUNTIF($E$2:$E1611,$E1611)=1,1,0))</f>
        <v/>
      </c>
      <c r="AO1611">
        <f>IF($AN1611=1,SUMPRODUCT(--($AR$2:$AR$3001&lt;$AR1611))+1,"")</f>
        <v/>
      </c>
      <c r="AP1611">
        <f>IF($E1611="","",IF(OR($U1611=TRUE(),$U1611="TRUE"),1,0))</f>
        <v/>
      </c>
      <c r="AQ1611">
        <f>IF($E1611="","",IF($AD1611="Yes",1,0))</f>
        <v/>
      </c>
      <c r="AR1611">
        <f>IF($AN1611=1,IFERROR(VALUE(MID($E1611,2,20)),1000000000)+ROW()/100000,"")</f>
        <v/>
      </c>
    </row>
    <row r="1612">
      <c r="G1612" s="11" t="n"/>
      <c r="Q1612" s="7">
        <f>IF($E1612="","",P1612*AB1612/100)</f>
        <v/>
      </c>
      <c r="R1612" s="7" t="n"/>
      <c r="X1612" s="7" t="n"/>
      <c r="Y1612" s="7">
        <f>IF($E1612="","",AB1612*AE1612/100)</f>
        <v/>
      </c>
      <c r="Z1612" s="7">
        <f>IF($E1612="","",AB1612-Y1612)</f>
        <v/>
      </c>
      <c r="AA1612" s="7">
        <f>IF($E1612="","",Z1612-Q1612)</f>
        <v/>
      </c>
      <c r="AB1612" s="7" t="n"/>
      <c r="AE1612">
        <f>IF($E1612="","",IF($AQ1612=1,0,IF($AP1612=1,Settings!$C$6,Settings!$C$7))*100)</f>
        <v/>
      </c>
      <c r="AI1612" s="7" t="n"/>
      <c r="AL1612" s="11" t="n"/>
      <c r="AN1612">
        <f>IF($E1612="","",IF(COUNTIF($E$2:$E1612,$E1612)=1,1,0))</f>
        <v/>
      </c>
      <c r="AO1612">
        <f>IF($AN1612=1,SUMPRODUCT(--($AR$2:$AR$3001&lt;$AR1612))+1,"")</f>
        <v/>
      </c>
      <c r="AP1612">
        <f>IF($E1612="","",IF(OR($U1612=TRUE(),$U1612="TRUE"),1,0))</f>
        <v/>
      </c>
      <c r="AQ1612">
        <f>IF($E1612="","",IF($AD1612="Yes",1,0))</f>
        <v/>
      </c>
      <c r="AR1612">
        <f>IF($AN1612=1,IFERROR(VALUE(MID($E1612,2,20)),1000000000)+ROW()/100000,"")</f>
        <v/>
      </c>
    </row>
    <row r="1613">
      <c r="G1613" s="11" t="n"/>
      <c r="Q1613" s="7">
        <f>IF($E1613="","",P1613*AB1613/100)</f>
        <v/>
      </c>
      <c r="R1613" s="7" t="n"/>
      <c r="X1613" s="7" t="n"/>
      <c r="Y1613" s="7">
        <f>IF($E1613="","",AB1613*AE1613/100)</f>
        <v/>
      </c>
      <c r="Z1613" s="7">
        <f>IF($E1613="","",AB1613-Y1613)</f>
        <v/>
      </c>
      <c r="AA1613" s="7">
        <f>IF($E1613="","",Z1613-Q1613)</f>
        <v/>
      </c>
      <c r="AB1613" s="7" t="n"/>
      <c r="AE1613">
        <f>IF($E1613="","",IF($AQ1613=1,0,IF($AP1613=1,Settings!$C$6,Settings!$C$7))*100)</f>
        <v/>
      </c>
      <c r="AI1613" s="7" t="n"/>
      <c r="AL1613" s="11" t="n"/>
      <c r="AN1613">
        <f>IF($E1613="","",IF(COUNTIF($E$2:$E1613,$E1613)=1,1,0))</f>
        <v/>
      </c>
      <c r="AO1613">
        <f>IF($AN1613=1,SUMPRODUCT(--($AR$2:$AR$3001&lt;$AR1613))+1,"")</f>
        <v/>
      </c>
      <c r="AP1613">
        <f>IF($E1613="","",IF(OR($U1613=TRUE(),$U1613="TRUE"),1,0))</f>
        <v/>
      </c>
      <c r="AQ1613">
        <f>IF($E1613="","",IF($AD1613="Yes",1,0))</f>
        <v/>
      </c>
      <c r="AR1613">
        <f>IF($AN1613=1,IFERROR(VALUE(MID($E1613,2,20)),1000000000)+ROW()/100000,"")</f>
        <v/>
      </c>
    </row>
    <row r="1614">
      <c r="G1614" s="11" t="n"/>
      <c r="Q1614" s="7">
        <f>IF($E1614="","",P1614*AB1614/100)</f>
        <v/>
      </c>
      <c r="R1614" s="7" t="n"/>
      <c r="X1614" s="7" t="n"/>
      <c r="Y1614" s="7">
        <f>IF($E1614="","",AB1614*AE1614/100)</f>
        <v/>
      </c>
      <c r="Z1614" s="7">
        <f>IF($E1614="","",AB1614-Y1614)</f>
        <v/>
      </c>
      <c r="AA1614" s="7">
        <f>IF($E1614="","",Z1614-Q1614)</f>
        <v/>
      </c>
      <c r="AB1614" s="7" t="n"/>
      <c r="AE1614">
        <f>IF($E1614="","",IF($AQ1614=1,0,IF($AP1614=1,Settings!$C$6,Settings!$C$7))*100)</f>
        <v/>
      </c>
      <c r="AI1614" s="7" t="n"/>
      <c r="AL1614" s="11" t="n"/>
      <c r="AN1614">
        <f>IF($E1614="","",IF(COUNTIF($E$2:$E1614,$E1614)=1,1,0))</f>
        <v/>
      </c>
      <c r="AO1614">
        <f>IF($AN1614=1,SUMPRODUCT(--($AR$2:$AR$3001&lt;$AR1614))+1,"")</f>
        <v/>
      </c>
      <c r="AP1614">
        <f>IF($E1614="","",IF(OR($U1614=TRUE(),$U1614="TRUE"),1,0))</f>
        <v/>
      </c>
      <c r="AQ1614">
        <f>IF($E1614="","",IF($AD1614="Yes",1,0))</f>
        <v/>
      </c>
      <c r="AR1614">
        <f>IF($AN1614=1,IFERROR(VALUE(MID($E1614,2,20)),1000000000)+ROW()/100000,"")</f>
        <v/>
      </c>
    </row>
    <row r="1615">
      <c r="G1615" s="11" t="n"/>
      <c r="Q1615" s="7">
        <f>IF($E1615="","",P1615*AB1615/100)</f>
        <v/>
      </c>
      <c r="R1615" s="7" t="n"/>
      <c r="X1615" s="7" t="n"/>
      <c r="Y1615" s="7">
        <f>IF($E1615="","",AB1615*AE1615/100)</f>
        <v/>
      </c>
      <c r="Z1615" s="7">
        <f>IF($E1615="","",AB1615-Y1615)</f>
        <v/>
      </c>
      <c r="AA1615" s="7">
        <f>IF($E1615="","",Z1615-Q1615)</f>
        <v/>
      </c>
      <c r="AB1615" s="7" t="n"/>
      <c r="AE1615">
        <f>IF($E1615="","",IF($AQ1615=1,0,IF($AP1615=1,Settings!$C$6,Settings!$C$7))*100)</f>
        <v/>
      </c>
      <c r="AI1615" s="7" t="n"/>
      <c r="AL1615" s="11" t="n"/>
      <c r="AN1615">
        <f>IF($E1615="","",IF(COUNTIF($E$2:$E1615,$E1615)=1,1,0))</f>
        <v/>
      </c>
      <c r="AO1615">
        <f>IF($AN1615=1,SUMPRODUCT(--($AR$2:$AR$3001&lt;$AR1615))+1,"")</f>
        <v/>
      </c>
      <c r="AP1615">
        <f>IF($E1615="","",IF(OR($U1615=TRUE(),$U1615="TRUE"),1,0))</f>
        <v/>
      </c>
      <c r="AQ1615">
        <f>IF($E1615="","",IF($AD1615="Yes",1,0))</f>
        <v/>
      </c>
      <c r="AR1615">
        <f>IF($AN1615=1,IFERROR(VALUE(MID($E1615,2,20)),1000000000)+ROW()/100000,"")</f>
        <v/>
      </c>
    </row>
    <row r="1616">
      <c r="G1616" s="11" t="n"/>
      <c r="Q1616" s="7">
        <f>IF($E1616="","",P1616*AB1616/100)</f>
        <v/>
      </c>
      <c r="R1616" s="7" t="n"/>
      <c r="X1616" s="7" t="n"/>
      <c r="Y1616" s="7">
        <f>IF($E1616="","",AB1616*AE1616/100)</f>
        <v/>
      </c>
      <c r="Z1616" s="7">
        <f>IF($E1616="","",AB1616-Y1616)</f>
        <v/>
      </c>
      <c r="AA1616" s="7">
        <f>IF($E1616="","",Z1616-Q1616)</f>
        <v/>
      </c>
      <c r="AB1616" s="7" t="n"/>
      <c r="AE1616">
        <f>IF($E1616="","",IF($AQ1616=1,0,IF($AP1616=1,Settings!$C$6,Settings!$C$7))*100)</f>
        <v/>
      </c>
      <c r="AI1616" s="7" t="n"/>
      <c r="AL1616" s="11" t="n"/>
      <c r="AN1616">
        <f>IF($E1616="","",IF(COUNTIF($E$2:$E1616,$E1616)=1,1,0))</f>
        <v/>
      </c>
      <c r="AO1616">
        <f>IF($AN1616=1,SUMPRODUCT(--($AR$2:$AR$3001&lt;$AR1616))+1,"")</f>
        <v/>
      </c>
      <c r="AP1616">
        <f>IF($E1616="","",IF(OR($U1616=TRUE(),$U1616="TRUE"),1,0))</f>
        <v/>
      </c>
      <c r="AQ1616">
        <f>IF($E1616="","",IF($AD1616="Yes",1,0))</f>
        <v/>
      </c>
      <c r="AR1616">
        <f>IF($AN1616=1,IFERROR(VALUE(MID($E1616,2,20)),1000000000)+ROW()/100000,"")</f>
        <v/>
      </c>
    </row>
    <row r="1617">
      <c r="G1617" s="11" t="n"/>
      <c r="Q1617" s="7">
        <f>IF($E1617="","",P1617*AB1617/100)</f>
        <v/>
      </c>
      <c r="R1617" s="7" t="n"/>
      <c r="X1617" s="7" t="n"/>
      <c r="Y1617" s="7">
        <f>IF($E1617="","",AB1617*AE1617/100)</f>
        <v/>
      </c>
      <c r="Z1617" s="7">
        <f>IF($E1617="","",AB1617-Y1617)</f>
        <v/>
      </c>
      <c r="AA1617" s="7">
        <f>IF($E1617="","",Z1617-Q1617)</f>
        <v/>
      </c>
      <c r="AB1617" s="7" t="n"/>
      <c r="AE1617">
        <f>IF($E1617="","",IF($AQ1617=1,0,IF($AP1617=1,Settings!$C$6,Settings!$C$7))*100)</f>
        <v/>
      </c>
      <c r="AI1617" s="7" t="n"/>
      <c r="AL1617" s="11" t="n"/>
      <c r="AN1617">
        <f>IF($E1617="","",IF(COUNTIF($E$2:$E1617,$E1617)=1,1,0))</f>
        <v/>
      </c>
      <c r="AO1617">
        <f>IF($AN1617=1,SUMPRODUCT(--($AR$2:$AR$3001&lt;$AR1617))+1,"")</f>
        <v/>
      </c>
      <c r="AP1617">
        <f>IF($E1617="","",IF(OR($U1617=TRUE(),$U1617="TRUE"),1,0))</f>
        <v/>
      </c>
      <c r="AQ1617">
        <f>IF($E1617="","",IF($AD1617="Yes",1,0))</f>
        <v/>
      </c>
      <c r="AR1617">
        <f>IF($AN1617=1,IFERROR(VALUE(MID($E1617,2,20)),1000000000)+ROW()/100000,"")</f>
        <v/>
      </c>
    </row>
    <row r="1618">
      <c r="G1618" s="11" t="n"/>
      <c r="Q1618" s="7">
        <f>IF($E1618="","",P1618*AB1618/100)</f>
        <v/>
      </c>
      <c r="R1618" s="7" t="n"/>
      <c r="X1618" s="7" t="n"/>
      <c r="Y1618" s="7">
        <f>IF($E1618="","",AB1618*AE1618/100)</f>
        <v/>
      </c>
      <c r="Z1618" s="7">
        <f>IF($E1618="","",AB1618-Y1618)</f>
        <v/>
      </c>
      <c r="AA1618" s="7">
        <f>IF($E1618="","",Z1618-Q1618)</f>
        <v/>
      </c>
      <c r="AB1618" s="7" t="n"/>
      <c r="AE1618">
        <f>IF($E1618="","",IF($AQ1618=1,0,IF($AP1618=1,Settings!$C$6,Settings!$C$7))*100)</f>
        <v/>
      </c>
      <c r="AI1618" s="7" t="n"/>
      <c r="AL1618" s="11" t="n"/>
      <c r="AN1618">
        <f>IF($E1618="","",IF(COUNTIF($E$2:$E1618,$E1618)=1,1,0))</f>
        <v/>
      </c>
      <c r="AO1618">
        <f>IF($AN1618=1,SUMPRODUCT(--($AR$2:$AR$3001&lt;$AR1618))+1,"")</f>
        <v/>
      </c>
      <c r="AP1618">
        <f>IF($E1618="","",IF(OR($U1618=TRUE(),$U1618="TRUE"),1,0))</f>
        <v/>
      </c>
      <c r="AQ1618">
        <f>IF($E1618="","",IF($AD1618="Yes",1,0))</f>
        <v/>
      </c>
      <c r="AR1618">
        <f>IF($AN1618=1,IFERROR(VALUE(MID($E1618,2,20)),1000000000)+ROW()/100000,"")</f>
        <v/>
      </c>
    </row>
    <row r="1619">
      <c r="G1619" s="11" t="n"/>
      <c r="Q1619" s="7">
        <f>IF($E1619="","",P1619*AB1619/100)</f>
        <v/>
      </c>
      <c r="R1619" s="7" t="n"/>
      <c r="X1619" s="7" t="n"/>
      <c r="Y1619" s="7">
        <f>IF($E1619="","",AB1619*AE1619/100)</f>
        <v/>
      </c>
      <c r="Z1619" s="7">
        <f>IF($E1619="","",AB1619-Y1619)</f>
        <v/>
      </c>
      <c r="AA1619" s="7">
        <f>IF($E1619="","",Z1619-Q1619)</f>
        <v/>
      </c>
      <c r="AB1619" s="7" t="n"/>
      <c r="AE1619">
        <f>IF($E1619="","",IF($AQ1619=1,0,IF($AP1619=1,Settings!$C$6,Settings!$C$7))*100)</f>
        <v/>
      </c>
      <c r="AI1619" s="7" t="n"/>
      <c r="AL1619" s="11" t="n"/>
      <c r="AN1619">
        <f>IF($E1619="","",IF(COUNTIF($E$2:$E1619,$E1619)=1,1,0))</f>
        <v/>
      </c>
      <c r="AO1619">
        <f>IF($AN1619=1,SUMPRODUCT(--($AR$2:$AR$3001&lt;$AR1619))+1,"")</f>
        <v/>
      </c>
      <c r="AP1619">
        <f>IF($E1619="","",IF(OR($U1619=TRUE(),$U1619="TRUE"),1,0))</f>
        <v/>
      </c>
      <c r="AQ1619">
        <f>IF($E1619="","",IF($AD1619="Yes",1,0))</f>
        <v/>
      </c>
      <c r="AR1619">
        <f>IF($AN1619=1,IFERROR(VALUE(MID($E1619,2,20)),1000000000)+ROW()/100000,"")</f>
        <v/>
      </c>
    </row>
    <row r="1620">
      <c r="G1620" s="11" t="n"/>
      <c r="Q1620" s="7">
        <f>IF($E1620="","",P1620*AB1620/100)</f>
        <v/>
      </c>
      <c r="R1620" s="7" t="n"/>
      <c r="X1620" s="7" t="n"/>
      <c r="Y1620" s="7">
        <f>IF($E1620="","",AB1620*AE1620/100)</f>
        <v/>
      </c>
      <c r="Z1620" s="7">
        <f>IF($E1620="","",AB1620-Y1620)</f>
        <v/>
      </c>
      <c r="AA1620" s="7">
        <f>IF($E1620="","",Z1620-Q1620)</f>
        <v/>
      </c>
      <c r="AB1620" s="7" t="n"/>
      <c r="AE1620">
        <f>IF($E1620="","",IF($AQ1620=1,0,IF($AP1620=1,Settings!$C$6,Settings!$C$7))*100)</f>
        <v/>
      </c>
      <c r="AI1620" s="7" t="n"/>
      <c r="AL1620" s="11" t="n"/>
      <c r="AN1620">
        <f>IF($E1620="","",IF(COUNTIF($E$2:$E1620,$E1620)=1,1,0))</f>
        <v/>
      </c>
      <c r="AO1620">
        <f>IF($AN1620=1,SUMPRODUCT(--($AR$2:$AR$3001&lt;$AR1620))+1,"")</f>
        <v/>
      </c>
      <c r="AP1620">
        <f>IF($E1620="","",IF(OR($U1620=TRUE(),$U1620="TRUE"),1,0))</f>
        <v/>
      </c>
      <c r="AQ1620">
        <f>IF($E1620="","",IF($AD1620="Yes",1,0))</f>
        <v/>
      </c>
      <c r="AR1620">
        <f>IF($AN1620=1,IFERROR(VALUE(MID($E1620,2,20)),1000000000)+ROW()/100000,"")</f>
        <v/>
      </c>
    </row>
    <row r="1621">
      <c r="G1621" s="11" t="n"/>
      <c r="Q1621" s="7">
        <f>IF($E1621="","",P1621*AB1621/100)</f>
        <v/>
      </c>
      <c r="R1621" s="7" t="n"/>
      <c r="X1621" s="7" t="n"/>
      <c r="Y1621" s="7">
        <f>IF($E1621="","",AB1621*AE1621/100)</f>
        <v/>
      </c>
      <c r="Z1621" s="7">
        <f>IF($E1621="","",AB1621-Y1621)</f>
        <v/>
      </c>
      <c r="AA1621" s="7">
        <f>IF($E1621="","",Z1621-Q1621)</f>
        <v/>
      </c>
      <c r="AB1621" s="7" t="n"/>
      <c r="AE1621">
        <f>IF($E1621="","",IF($AQ1621=1,0,IF($AP1621=1,Settings!$C$6,Settings!$C$7))*100)</f>
        <v/>
      </c>
      <c r="AI1621" s="7" t="n"/>
      <c r="AL1621" s="11" t="n"/>
      <c r="AN1621">
        <f>IF($E1621="","",IF(COUNTIF($E$2:$E1621,$E1621)=1,1,0))</f>
        <v/>
      </c>
      <c r="AO1621">
        <f>IF($AN1621=1,SUMPRODUCT(--($AR$2:$AR$3001&lt;$AR1621))+1,"")</f>
        <v/>
      </c>
      <c r="AP1621">
        <f>IF($E1621="","",IF(OR($U1621=TRUE(),$U1621="TRUE"),1,0))</f>
        <v/>
      </c>
      <c r="AQ1621">
        <f>IF($E1621="","",IF($AD1621="Yes",1,0))</f>
        <v/>
      </c>
      <c r="AR1621">
        <f>IF($AN1621=1,IFERROR(VALUE(MID($E1621,2,20)),1000000000)+ROW()/100000,"")</f>
        <v/>
      </c>
    </row>
    <row r="1622">
      <c r="G1622" s="11" t="n"/>
      <c r="Q1622" s="7">
        <f>IF($E1622="","",P1622*AB1622/100)</f>
        <v/>
      </c>
      <c r="R1622" s="7" t="n"/>
      <c r="X1622" s="7" t="n"/>
      <c r="Y1622" s="7">
        <f>IF($E1622="","",AB1622*AE1622/100)</f>
        <v/>
      </c>
      <c r="Z1622" s="7">
        <f>IF($E1622="","",AB1622-Y1622)</f>
        <v/>
      </c>
      <c r="AA1622" s="7">
        <f>IF($E1622="","",Z1622-Q1622)</f>
        <v/>
      </c>
      <c r="AB1622" s="7" t="n"/>
      <c r="AE1622">
        <f>IF($E1622="","",IF($AQ1622=1,0,IF($AP1622=1,Settings!$C$6,Settings!$C$7))*100)</f>
        <v/>
      </c>
      <c r="AI1622" s="7" t="n"/>
      <c r="AL1622" s="11" t="n"/>
      <c r="AN1622">
        <f>IF($E1622="","",IF(COUNTIF($E$2:$E1622,$E1622)=1,1,0))</f>
        <v/>
      </c>
      <c r="AO1622">
        <f>IF($AN1622=1,SUMPRODUCT(--($AR$2:$AR$3001&lt;$AR1622))+1,"")</f>
        <v/>
      </c>
      <c r="AP1622">
        <f>IF($E1622="","",IF(OR($U1622=TRUE(),$U1622="TRUE"),1,0))</f>
        <v/>
      </c>
      <c r="AQ1622">
        <f>IF($E1622="","",IF($AD1622="Yes",1,0))</f>
        <v/>
      </c>
      <c r="AR1622">
        <f>IF($AN1622=1,IFERROR(VALUE(MID($E1622,2,20)),1000000000)+ROW()/100000,"")</f>
        <v/>
      </c>
    </row>
    <row r="1623">
      <c r="G1623" s="11" t="n"/>
      <c r="Q1623" s="7">
        <f>IF($E1623="","",P1623*AB1623/100)</f>
        <v/>
      </c>
      <c r="R1623" s="7" t="n"/>
      <c r="X1623" s="7" t="n"/>
      <c r="Y1623" s="7">
        <f>IF($E1623="","",AB1623*AE1623/100)</f>
        <v/>
      </c>
      <c r="Z1623" s="7">
        <f>IF($E1623="","",AB1623-Y1623)</f>
        <v/>
      </c>
      <c r="AA1623" s="7">
        <f>IF($E1623="","",Z1623-Q1623)</f>
        <v/>
      </c>
      <c r="AB1623" s="7" t="n"/>
      <c r="AE1623">
        <f>IF($E1623="","",IF($AQ1623=1,0,IF($AP1623=1,Settings!$C$6,Settings!$C$7))*100)</f>
        <v/>
      </c>
      <c r="AI1623" s="7" t="n"/>
      <c r="AL1623" s="11" t="n"/>
      <c r="AN1623">
        <f>IF($E1623="","",IF(COUNTIF($E$2:$E1623,$E1623)=1,1,0))</f>
        <v/>
      </c>
      <c r="AO1623">
        <f>IF($AN1623=1,SUMPRODUCT(--($AR$2:$AR$3001&lt;$AR1623))+1,"")</f>
        <v/>
      </c>
      <c r="AP1623">
        <f>IF($E1623="","",IF(OR($U1623=TRUE(),$U1623="TRUE"),1,0))</f>
        <v/>
      </c>
      <c r="AQ1623">
        <f>IF($E1623="","",IF($AD1623="Yes",1,0))</f>
        <v/>
      </c>
      <c r="AR1623">
        <f>IF($AN1623=1,IFERROR(VALUE(MID($E1623,2,20)),1000000000)+ROW()/100000,"")</f>
        <v/>
      </c>
    </row>
    <row r="1624">
      <c r="G1624" s="11" t="n"/>
      <c r="Q1624" s="7">
        <f>IF($E1624="","",P1624*AB1624/100)</f>
        <v/>
      </c>
      <c r="R1624" s="7" t="n"/>
      <c r="X1624" s="7" t="n"/>
      <c r="Y1624" s="7">
        <f>IF($E1624="","",AB1624*AE1624/100)</f>
        <v/>
      </c>
      <c r="Z1624" s="7">
        <f>IF($E1624="","",AB1624-Y1624)</f>
        <v/>
      </c>
      <c r="AA1624" s="7">
        <f>IF($E1624="","",Z1624-Q1624)</f>
        <v/>
      </c>
      <c r="AB1624" s="7" t="n"/>
      <c r="AE1624">
        <f>IF($E1624="","",IF($AQ1624=1,0,IF($AP1624=1,Settings!$C$6,Settings!$C$7))*100)</f>
        <v/>
      </c>
      <c r="AI1624" s="7" t="n"/>
      <c r="AL1624" s="11" t="n"/>
      <c r="AN1624">
        <f>IF($E1624="","",IF(COUNTIF($E$2:$E1624,$E1624)=1,1,0))</f>
        <v/>
      </c>
      <c r="AO1624">
        <f>IF($AN1624=1,SUMPRODUCT(--($AR$2:$AR$3001&lt;$AR1624))+1,"")</f>
        <v/>
      </c>
      <c r="AP1624">
        <f>IF($E1624="","",IF(OR($U1624=TRUE(),$U1624="TRUE"),1,0))</f>
        <v/>
      </c>
      <c r="AQ1624">
        <f>IF($E1624="","",IF($AD1624="Yes",1,0))</f>
        <v/>
      </c>
      <c r="AR1624">
        <f>IF($AN1624=1,IFERROR(VALUE(MID($E1624,2,20)),1000000000)+ROW()/100000,"")</f>
        <v/>
      </c>
    </row>
    <row r="1625">
      <c r="G1625" s="11" t="n"/>
      <c r="Q1625" s="7">
        <f>IF($E1625="","",P1625*AB1625/100)</f>
        <v/>
      </c>
      <c r="R1625" s="7" t="n"/>
      <c r="X1625" s="7" t="n"/>
      <c r="Y1625" s="7">
        <f>IF($E1625="","",AB1625*AE1625/100)</f>
        <v/>
      </c>
      <c r="Z1625" s="7">
        <f>IF($E1625="","",AB1625-Y1625)</f>
        <v/>
      </c>
      <c r="AA1625" s="7">
        <f>IF($E1625="","",Z1625-Q1625)</f>
        <v/>
      </c>
      <c r="AB1625" s="7" t="n"/>
      <c r="AE1625">
        <f>IF($E1625="","",IF($AQ1625=1,0,IF($AP1625=1,Settings!$C$6,Settings!$C$7))*100)</f>
        <v/>
      </c>
      <c r="AI1625" s="7" t="n"/>
      <c r="AL1625" s="11" t="n"/>
      <c r="AN1625">
        <f>IF($E1625="","",IF(COUNTIF($E$2:$E1625,$E1625)=1,1,0))</f>
        <v/>
      </c>
      <c r="AO1625">
        <f>IF($AN1625=1,SUMPRODUCT(--($AR$2:$AR$3001&lt;$AR1625))+1,"")</f>
        <v/>
      </c>
      <c r="AP1625">
        <f>IF($E1625="","",IF(OR($U1625=TRUE(),$U1625="TRUE"),1,0))</f>
        <v/>
      </c>
      <c r="AQ1625">
        <f>IF($E1625="","",IF($AD1625="Yes",1,0))</f>
        <v/>
      </c>
      <c r="AR1625">
        <f>IF($AN1625=1,IFERROR(VALUE(MID($E1625,2,20)),1000000000)+ROW()/100000,"")</f>
        <v/>
      </c>
    </row>
    <row r="1626">
      <c r="G1626" s="11" t="n"/>
      <c r="Q1626" s="7">
        <f>IF($E1626="","",P1626*AB1626/100)</f>
        <v/>
      </c>
      <c r="R1626" s="7" t="n"/>
      <c r="X1626" s="7" t="n"/>
      <c r="Y1626" s="7">
        <f>IF($E1626="","",AB1626*AE1626/100)</f>
        <v/>
      </c>
      <c r="Z1626" s="7">
        <f>IF($E1626="","",AB1626-Y1626)</f>
        <v/>
      </c>
      <c r="AA1626" s="7">
        <f>IF($E1626="","",Z1626-Q1626)</f>
        <v/>
      </c>
      <c r="AB1626" s="7" t="n"/>
      <c r="AE1626">
        <f>IF($E1626="","",IF($AQ1626=1,0,IF($AP1626=1,Settings!$C$6,Settings!$C$7))*100)</f>
        <v/>
      </c>
      <c r="AI1626" s="7" t="n"/>
      <c r="AL1626" s="11" t="n"/>
      <c r="AN1626">
        <f>IF($E1626="","",IF(COUNTIF($E$2:$E1626,$E1626)=1,1,0))</f>
        <v/>
      </c>
      <c r="AO1626">
        <f>IF($AN1626=1,SUMPRODUCT(--($AR$2:$AR$3001&lt;$AR1626))+1,"")</f>
        <v/>
      </c>
      <c r="AP1626">
        <f>IF($E1626="","",IF(OR($U1626=TRUE(),$U1626="TRUE"),1,0))</f>
        <v/>
      </c>
      <c r="AQ1626">
        <f>IF($E1626="","",IF($AD1626="Yes",1,0))</f>
        <v/>
      </c>
      <c r="AR1626">
        <f>IF($AN1626=1,IFERROR(VALUE(MID($E1626,2,20)),1000000000)+ROW()/100000,"")</f>
        <v/>
      </c>
    </row>
    <row r="1627">
      <c r="G1627" s="11" t="n"/>
      <c r="Q1627" s="7">
        <f>IF($E1627="","",P1627*AB1627/100)</f>
        <v/>
      </c>
      <c r="R1627" s="7" t="n"/>
      <c r="X1627" s="7" t="n"/>
      <c r="Y1627" s="7">
        <f>IF($E1627="","",AB1627*AE1627/100)</f>
        <v/>
      </c>
      <c r="Z1627" s="7">
        <f>IF($E1627="","",AB1627-Y1627)</f>
        <v/>
      </c>
      <c r="AA1627" s="7">
        <f>IF($E1627="","",Z1627-Q1627)</f>
        <v/>
      </c>
      <c r="AB1627" s="7" t="n"/>
      <c r="AE1627">
        <f>IF($E1627="","",IF($AQ1627=1,0,IF($AP1627=1,Settings!$C$6,Settings!$C$7))*100)</f>
        <v/>
      </c>
      <c r="AI1627" s="7" t="n"/>
      <c r="AL1627" s="11" t="n"/>
      <c r="AN1627">
        <f>IF($E1627="","",IF(COUNTIF($E$2:$E1627,$E1627)=1,1,0))</f>
        <v/>
      </c>
      <c r="AO1627">
        <f>IF($AN1627=1,SUMPRODUCT(--($AR$2:$AR$3001&lt;$AR1627))+1,"")</f>
        <v/>
      </c>
      <c r="AP1627">
        <f>IF($E1627="","",IF(OR($U1627=TRUE(),$U1627="TRUE"),1,0))</f>
        <v/>
      </c>
      <c r="AQ1627">
        <f>IF($E1627="","",IF($AD1627="Yes",1,0))</f>
        <v/>
      </c>
      <c r="AR1627">
        <f>IF($AN1627=1,IFERROR(VALUE(MID($E1627,2,20)),1000000000)+ROW()/100000,"")</f>
        <v/>
      </c>
    </row>
    <row r="1628">
      <c r="G1628" s="11" t="n"/>
      <c r="Q1628" s="7">
        <f>IF($E1628="","",P1628*AB1628/100)</f>
        <v/>
      </c>
      <c r="R1628" s="7" t="n"/>
      <c r="X1628" s="7" t="n"/>
      <c r="Y1628" s="7">
        <f>IF($E1628="","",AB1628*AE1628/100)</f>
        <v/>
      </c>
      <c r="Z1628" s="7">
        <f>IF($E1628="","",AB1628-Y1628)</f>
        <v/>
      </c>
      <c r="AA1628" s="7">
        <f>IF($E1628="","",Z1628-Q1628)</f>
        <v/>
      </c>
      <c r="AB1628" s="7" t="n"/>
      <c r="AE1628">
        <f>IF($E1628="","",IF($AQ1628=1,0,IF($AP1628=1,Settings!$C$6,Settings!$C$7))*100)</f>
        <v/>
      </c>
      <c r="AI1628" s="7" t="n"/>
      <c r="AL1628" s="11" t="n"/>
      <c r="AN1628">
        <f>IF($E1628="","",IF(COUNTIF($E$2:$E1628,$E1628)=1,1,0))</f>
        <v/>
      </c>
      <c r="AO1628">
        <f>IF($AN1628=1,SUMPRODUCT(--($AR$2:$AR$3001&lt;$AR1628))+1,"")</f>
        <v/>
      </c>
      <c r="AP1628">
        <f>IF($E1628="","",IF(OR($U1628=TRUE(),$U1628="TRUE"),1,0))</f>
        <v/>
      </c>
      <c r="AQ1628">
        <f>IF($E1628="","",IF($AD1628="Yes",1,0))</f>
        <v/>
      </c>
      <c r="AR1628">
        <f>IF($AN1628=1,IFERROR(VALUE(MID($E1628,2,20)),1000000000)+ROW()/100000,"")</f>
        <v/>
      </c>
    </row>
    <row r="1629">
      <c r="G1629" s="11" t="n"/>
      <c r="Q1629" s="7">
        <f>IF($E1629="","",P1629*AB1629/100)</f>
        <v/>
      </c>
      <c r="R1629" s="7" t="n"/>
      <c r="X1629" s="7" t="n"/>
      <c r="Y1629" s="7">
        <f>IF($E1629="","",AB1629*AE1629/100)</f>
        <v/>
      </c>
      <c r="Z1629" s="7">
        <f>IF($E1629="","",AB1629-Y1629)</f>
        <v/>
      </c>
      <c r="AA1629" s="7">
        <f>IF($E1629="","",Z1629-Q1629)</f>
        <v/>
      </c>
      <c r="AB1629" s="7" t="n"/>
      <c r="AE1629">
        <f>IF($E1629="","",IF($AQ1629=1,0,IF($AP1629=1,Settings!$C$6,Settings!$C$7))*100)</f>
        <v/>
      </c>
      <c r="AI1629" s="7" t="n"/>
      <c r="AL1629" s="11" t="n"/>
      <c r="AN1629">
        <f>IF($E1629="","",IF(COUNTIF($E$2:$E1629,$E1629)=1,1,0))</f>
        <v/>
      </c>
      <c r="AO1629">
        <f>IF($AN1629=1,SUMPRODUCT(--($AR$2:$AR$3001&lt;$AR1629))+1,"")</f>
        <v/>
      </c>
      <c r="AP1629">
        <f>IF($E1629="","",IF(OR($U1629=TRUE(),$U1629="TRUE"),1,0))</f>
        <v/>
      </c>
      <c r="AQ1629">
        <f>IF($E1629="","",IF($AD1629="Yes",1,0))</f>
        <v/>
      </c>
      <c r="AR1629">
        <f>IF($AN1629=1,IFERROR(VALUE(MID($E1629,2,20)),1000000000)+ROW()/100000,"")</f>
        <v/>
      </c>
    </row>
    <row r="1630">
      <c r="G1630" s="11" t="n"/>
      <c r="Q1630" s="7">
        <f>IF($E1630="","",P1630*AB1630/100)</f>
        <v/>
      </c>
      <c r="R1630" s="7" t="n"/>
      <c r="X1630" s="7" t="n"/>
      <c r="Y1630" s="7">
        <f>IF($E1630="","",AB1630*AE1630/100)</f>
        <v/>
      </c>
      <c r="Z1630" s="7">
        <f>IF($E1630="","",AB1630-Y1630)</f>
        <v/>
      </c>
      <c r="AA1630" s="7">
        <f>IF($E1630="","",Z1630-Q1630)</f>
        <v/>
      </c>
      <c r="AB1630" s="7" t="n"/>
      <c r="AE1630">
        <f>IF($E1630="","",IF($AQ1630=1,0,IF($AP1630=1,Settings!$C$6,Settings!$C$7))*100)</f>
        <v/>
      </c>
      <c r="AI1630" s="7" t="n"/>
      <c r="AL1630" s="11" t="n"/>
      <c r="AN1630">
        <f>IF($E1630="","",IF(COUNTIF($E$2:$E1630,$E1630)=1,1,0))</f>
        <v/>
      </c>
      <c r="AO1630">
        <f>IF($AN1630=1,SUMPRODUCT(--($AR$2:$AR$3001&lt;$AR1630))+1,"")</f>
        <v/>
      </c>
      <c r="AP1630">
        <f>IF($E1630="","",IF(OR($U1630=TRUE(),$U1630="TRUE"),1,0))</f>
        <v/>
      </c>
      <c r="AQ1630">
        <f>IF($E1630="","",IF($AD1630="Yes",1,0))</f>
        <v/>
      </c>
      <c r="AR1630">
        <f>IF($AN1630=1,IFERROR(VALUE(MID($E1630,2,20)),1000000000)+ROW()/100000,"")</f>
        <v/>
      </c>
    </row>
    <row r="1631">
      <c r="G1631" s="11" t="n"/>
      <c r="Q1631" s="7">
        <f>IF($E1631="","",P1631*AB1631/100)</f>
        <v/>
      </c>
      <c r="R1631" s="7" t="n"/>
      <c r="X1631" s="7" t="n"/>
      <c r="Y1631" s="7">
        <f>IF($E1631="","",AB1631*AE1631/100)</f>
        <v/>
      </c>
      <c r="Z1631" s="7">
        <f>IF($E1631="","",AB1631-Y1631)</f>
        <v/>
      </c>
      <c r="AA1631" s="7">
        <f>IF($E1631="","",Z1631-Q1631)</f>
        <v/>
      </c>
      <c r="AB1631" s="7" t="n"/>
      <c r="AE1631">
        <f>IF($E1631="","",IF($AQ1631=1,0,IF($AP1631=1,Settings!$C$6,Settings!$C$7))*100)</f>
        <v/>
      </c>
      <c r="AI1631" s="7" t="n"/>
      <c r="AL1631" s="11" t="n"/>
      <c r="AN1631">
        <f>IF($E1631="","",IF(COUNTIF($E$2:$E1631,$E1631)=1,1,0))</f>
        <v/>
      </c>
      <c r="AO1631">
        <f>IF($AN1631=1,SUMPRODUCT(--($AR$2:$AR$3001&lt;$AR1631))+1,"")</f>
        <v/>
      </c>
      <c r="AP1631">
        <f>IF($E1631="","",IF(OR($U1631=TRUE(),$U1631="TRUE"),1,0))</f>
        <v/>
      </c>
      <c r="AQ1631">
        <f>IF($E1631="","",IF($AD1631="Yes",1,0))</f>
        <v/>
      </c>
      <c r="AR1631">
        <f>IF($AN1631=1,IFERROR(VALUE(MID($E1631,2,20)),1000000000)+ROW()/100000,"")</f>
        <v/>
      </c>
    </row>
    <row r="1632">
      <c r="G1632" s="11" t="n"/>
      <c r="Q1632" s="7">
        <f>IF($E1632="","",P1632*AB1632/100)</f>
        <v/>
      </c>
      <c r="R1632" s="7" t="n"/>
      <c r="X1632" s="7" t="n"/>
      <c r="Y1632" s="7">
        <f>IF($E1632="","",AB1632*AE1632/100)</f>
        <v/>
      </c>
      <c r="Z1632" s="7">
        <f>IF($E1632="","",AB1632-Y1632)</f>
        <v/>
      </c>
      <c r="AA1632" s="7">
        <f>IF($E1632="","",Z1632-Q1632)</f>
        <v/>
      </c>
      <c r="AB1632" s="7" t="n"/>
      <c r="AE1632">
        <f>IF($E1632="","",IF($AQ1632=1,0,IF($AP1632=1,Settings!$C$6,Settings!$C$7))*100)</f>
        <v/>
      </c>
      <c r="AI1632" s="7" t="n"/>
      <c r="AL1632" s="11" t="n"/>
      <c r="AN1632">
        <f>IF($E1632="","",IF(COUNTIF($E$2:$E1632,$E1632)=1,1,0))</f>
        <v/>
      </c>
      <c r="AO1632">
        <f>IF($AN1632=1,SUMPRODUCT(--($AR$2:$AR$3001&lt;$AR1632))+1,"")</f>
        <v/>
      </c>
      <c r="AP1632">
        <f>IF($E1632="","",IF(OR($U1632=TRUE(),$U1632="TRUE"),1,0))</f>
        <v/>
      </c>
      <c r="AQ1632">
        <f>IF($E1632="","",IF($AD1632="Yes",1,0))</f>
        <v/>
      </c>
      <c r="AR1632">
        <f>IF($AN1632=1,IFERROR(VALUE(MID($E1632,2,20)),1000000000)+ROW()/100000,"")</f>
        <v/>
      </c>
    </row>
    <row r="1633">
      <c r="G1633" s="11" t="n"/>
      <c r="Q1633" s="7">
        <f>IF($E1633="","",P1633*AB1633/100)</f>
        <v/>
      </c>
      <c r="R1633" s="7" t="n"/>
      <c r="X1633" s="7" t="n"/>
      <c r="Y1633" s="7">
        <f>IF($E1633="","",AB1633*AE1633/100)</f>
        <v/>
      </c>
      <c r="Z1633" s="7">
        <f>IF($E1633="","",AB1633-Y1633)</f>
        <v/>
      </c>
      <c r="AA1633" s="7">
        <f>IF($E1633="","",Z1633-Q1633)</f>
        <v/>
      </c>
      <c r="AB1633" s="7" t="n"/>
      <c r="AE1633">
        <f>IF($E1633="","",IF($AQ1633=1,0,IF($AP1633=1,Settings!$C$6,Settings!$C$7))*100)</f>
        <v/>
      </c>
      <c r="AI1633" s="7" t="n"/>
      <c r="AL1633" s="11" t="n"/>
      <c r="AN1633">
        <f>IF($E1633="","",IF(COUNTIF($E$2:$E1633,$E1633)=1,1,0))</f>
        <v/>
      </c>
      <c r="AO1633">
        <f>IF($AN1633=1,SUMPRODUCT(--($AR$2:$AR$3001&lt;$AR1633))+1,"")</f>
        <v/>
      </c>
      <c r="AP1633">
        <f>IF($E1633="","",IF(OR($U1633=TRUE(),$U1633="TRUE"),1,0))</f>
        <v/>
      </c>
      <c r="AQ1633">
        <f>IF($E1633="","",IF($AD1633="Yes",1,0))</f>
        <v/>
      </c>
      <c r="AR1633">
        <f>IF($AN1633=1,IFERROR(VALUE(MID($E1633,2,20)),1000000000)+ROW()/100000,"")</f>
        <v/>
      </c>
    </row>
    <row r="1634">
      <c r="G1634" s="11" t="n"/>
      <c r="Q1634" s="7">
        <f>IF($E1634="","",P1634*AB1634/100)</f>
        <v/>
      </c>
      <c r="R1634" s="7" t="n"/>
      <c r="X1634" s="7" t="n"/>
      <c r="Y1634" s="7">
        <f>IF($E1634="","",AB1634*AE1634/100)</f>
        <v/>
      </c>
      <c r="Z1634" s="7">
        <f>IF($E1634="","",AB1634-Y1634)</f>
        <v/>
      </c>
      <c r="AA1634" s="7">
        <f>IF($E1634="","",Z1634-Q1634)</f>
        <v/>
      </c>
      <c r="AB1634" s="7" t="n"/>
      <c r="AE1634">
        <f>IF($E1634="","",IF($AQ1634=1,0,IF($AP1634=1,Settings!$C$6,Settings!$C$7))*100)</f>
        <v/>
      </c>
      <c r="AI1634" s="7" t="n"/>
      <c r="AL1634" s="11" t="n"/>
      <c r="AN1634">
        <f>IF($E1634="","",IF(COUNTIF($E$2:$E1634,$E1634)=1,1,0))</f>
        <v/>
      </c>
      <c r="AO1634">
        <f>IF($AN1634=1,SUMPRODUCT(--($AR$2:$AR$3001&lt;$AR1634))+1,"")</f>
        <v/>
      </c>
      <c r="AP1634">
        <f>IF($E1634="","",IF(OR($U1634=TRUE(),$U1634="TRUE"),1,0))</f>
        <v/>
      </c>
      <c r="AQ1634">
        <f>IF($E1634="","",IF($AD1634="Yes",1,0))</f>
        <v/>
      </c>
      <c r="AR1634">
        <f>IF($AN1634=1,IFERROR(VALUE(MID($E1634,2,20)),1000000000)+ROW()/100000,"")</f>
        <v/>
      </c>
    </row>
    <row r="1635">
      <c r="G1635" s="11" t="n"/>
      <c r="Q1635" s="7">
        <f>IF($E1635="","",P1635*AB1635/100)</f>
        <v/>
      </c>
      <c r="R1635" s="7" t="n"/>
      <c r="X1635" s="7" t="n"/>
      <c r="Y1635" s="7">
        <f>IF($E1635="","",AB1635*AE1635/100)</f>
        <v/>
      </c>
      <c r="Z1635" s="7">
        <f>IF($E1635="","",AB1635-Y1635)</f>
        <v/>
      </c>
      <c r="AA1635" s="7">
        <f>IF($E1635="","",Z1635-Q1635)</f>
        <v/>
      </c>
      <c r="AB1635" s="7" t="n"/>
      <c r="AE1635">
        <f>IF($E1635="","",IF($AQ1635=1,0,IF($AP1635=1,Settings!$C$6,Settings!$C$7))*100)</f>
        <v/>
      </c>
      <c r="AI1635" s="7" t="n"/>
      <c r="AL1635" s="11" t="n"/>
      <c r="AN1635">
        <f>IF($E1635="","",IF(COUNTIF($E$2:$E1635,$E1635)=1,1,0))</f>
        <v/>
      </c>
      <c r="AO1635">
        <f>IF($AN1635=1,SUMPRODUCT(--($AR$2:$AR$3001&lt;$AR1635))+1,"")</f>
        <v/>
      </c>
      <c r="AP1635">
        <f>IF($E1635="","",IF(OR($U1635=TRUE(),$U1635="TRUE"),1,0))</f>
        <v/>
      </c>
      <c r="AQ1635">
        <f>IF($E1635="","",IF($AD1635="Yes",1,0))</f>
        <v/>
      </c>
      <c r="AR1635">
        <f>IF($AN1635=1,IFERROR(VALUE(MID($E1635,2,20)),1000000000)+ROW()/100000,"")</f>
        <v/>
      </c>
    </row>
    <row r="1636">
      <c r="G1636" s="11" t="n"/>
      <c r="Q1636" s="7">
        <f>IF($E1636="","",P1636*AB1636/100)</f>
        <v/>
      </c>
      <c r="R1636" s="7" t="n"/>
      <c r="X1636" s="7" t="n"/>
      <c r="Y1636" s="7">
        <f>IF($E1636="","",AB1636*AE1636/100)</f>
        <v/>
      </c>
      <c r="Z1636" s="7">
        <f>IF($E1636="","",AB1636-Y1636)</f>
        <v/>
      </c>
      <c r="AA1636" s="7">
        <f>IF($E1636="","",Z1636-Q1636)</f>
        <v/>
      </c>
      <c r="AB1636" s="7" t="n"/>
      <c r="AE1636">
        <f>IF($E1636="","",IF($AQ1636=1,0,IF($AP1636=1,Settings!$C$6,Settings!$C$7))*100)</f>
        <v/>
      </c>
      <c r="AI1636" s="7" t="n"/>
      <c r="AL1636" s="11" t="n"/>
      <c r="AN1636">
        <f>IF($E1636="","",IF(COUNTIF($E$2:$E1636,$E1636)=1,1,0))</f>
        <v/>
      </c>
      <c r="AO1636">
        <f>IF($AN1636=1,SUMPRODUCT(--($AR$2:$AR$3001&lt;$AR1636))+1,"")</f>
        <v/>
      </c>
      <c r="AP1636">
        <f>IF($E1636="","",IF(OR($U1636=TRUE(),$U1636="TRUE"),1,0))</f>
        <v/>
      </c>
      <c r="AQ1636">
        <f>IF($E1636="","",IF($AD1636="Yes",1,0))</f>
        <v/>
      </c>
      <c r="AR1636">
        <f>IF($AN1636=1,IFERROR(VALUE(MID($E1636,2,20)),1000000000)+ROW()/100000,"")</f>
        <v/>
      </c>
    </row>
    <row r="1637">
      <c r="G1637" s="11" t="n"/>
      <c r="Q1637" s="7">
        <f>IF($E1637="","",P1637*AB1637/100)</f>
        <v/>
      </c>
      <c r="R1637" s="7" t="n"/>
      <c r="X1637" s="7" t="n"/>
      <c r="Y1637" s="7">
        <f>IF($E1637="","",AB1637*AE1637/100)</f>
        <v/>
      </c>
      <c r="Z1637" s="7">
        <f>IF($E1637="","",AB1637-Y1637)</f>
        <v/>
      </c>
      <c r="AA1637" s="7">
        <f>IF($E1637="","",Z1637-Q1637)</f>
        <v/>
      </c>
      <c r="AB1637" s="7" t="n"/>
      <c r="AE1637">
        <f>IF($E1637="","",IF($AQ1637=1,0,IF($AP1637=1,Settings!$C$6,Settings!$C$7))*100)</f>
        <v/>
      </c>
      <c r="AI1637" s="7" t="n"/>
      <c r="AL1637" s="11" t="n"/>
      <c r="AN1637">
        <f>IF($E1637="","",IF(COUNTIF($E$2:$E1637,$E1637)=1,1,0))</f>
        <v/>
      </c>
      <c r="AO1637">
        <f>IF($AN1637=1,SUMPRODUCT(--($AR$2:$AR$3001&lt;$AR1637))+1,"")</f>
        <v/>
      </c>
      <c r="AP1637">
        <f>IF($E1637="","",IF(OR($U1637=TRUE(),$U1637="TRUE"),1,0))</f>
        <v/>
      </c>
      <c r="AQ1637">
        <f>IF($E1637="","",IF($AD1637="Yes",1,0))</f>
        <v/>
      </c>
      <c r="AR1637">
        <f>IF($AN1637=1,IFERROR(VALUE(MID($E1637,2,20)),1000000000)+ROW()/100000,"")</f>
        <v/>
      </c>
    </row>
    <row r="1638">
      <c r="G1638" s="11" t="n"/>
      <c r="Q1638" s="7">
        <f>IF($E1638="","",P1638*AB1638/100)</f>
        <v/>
      </c>
      <c r="R1638" s="7" t="n"/>
      <c r="X1638" s="7" t="n"/>
      <c r="Y1638" s="7">
        <f>IF($E1638="","",AB1638*AE1638/100)</f>
        <v/>
      </c>
      <c r="Z1638" s="7">
        <f>IF($E1638="","",AB1638-Y1638)</f>
        <v/>
      </c>
      <c r="AA1638" s="7">
        <f>IF($E1638="","",Z1638-Q1638)</f>
        <v/>
      </c>
      <c r="AB1638" s="7" t="n"/>
      <c r="AE1638">
        <f>IF($E1638="","",IF($AQ1638=1,0,IF($AP1638=1,Settings!$C$6,Settings!$C$7))*100)</f>
        <v/>
      </c>
      <c r="AI1638" s="7" t="n"/>
      <c r="AL1638" s="11" t="n"/>
      <c r="AN1638">
        <f>IF($E1638="","",IF(COUNTIF($E$2:$E1638,$E1638)=1,1,0))</f>
        <v/>
      </c>
      <c r="AO1638">
        <f>IF($AN1638=1,SUMPRODUCT(--($AR$2:$AR$3001&lt;$AR1638))+1,"")</f>
        <v/>
      </c>
      <c r="AP1638">
        <f>IF($E1638="","",IF(OR($U1638=TRUE(),$U1638="TRUE"),1,0))</f>
        <v/>
      </c>
      <c r="AQ1638">
        <f>IF($E1638="","",IF($AD1638="Yes",1,0))</f>
        <v/>
      </c>
      <c r="AR1638">
        <f>IF($AN1638=1,IFERROR(VALUE(MID($E1638,2,20)),1000000000)+ROW()/100000,"")</f>
        <v/>
      </c>
    </row>
    <row r="1639">
      <c r="G1639" s="11" t="n"/>
      <c r="Q1639" s="7">
        <f>IF($E1639="","",P1639*AB1639/100)</f>
        <v/>
      </c>
      <c r="R1639" s="7" t="n"/>
      <c r="X1639" s="7" t="n"/>
      <c r="Y1639" s="7">
        <f>IF($E1639="","",AB1639*AE1639/100)</f>
        <v/>
      </c>
      <c r="Z1639" s="7">
        <f>IF($E1639="","",AB1639-Y1639)</f>
        <v/>
      </c>
      <c r="AA1639" s="7">
        <f>IF($E1639="","",Z1639-Q1639)</f>
        <v/>
      </c>
      <c r="AB1639" s="7" t="n"/>
      <c r="AE1639">
        <f>IF($E1639="","",IF($AQ1639=1,0,IF($AP1639=1,Settings!$C$6,Settings!$C$7))*100)</f>
        <v/>
      </c>
      <c r="AI1639" s="7" t="n"/>
      <c r="AL1639" s="11" t="n"/>
      <c r="AN1639">
        <f>IF($E1639="","",IF(COUNTIF($E$2:$E1639,$E1639)=1,1,0))</f>
        <v/>
      </c>
      <c r="AO1639">
        <f>IF($AN1639=1,SUMPRODUCT(--($AR$2:$AR$3001&lt;$AR1639))+1,"")</f>
        <v/>
      </c>
      <c r="AP1639">
        <f>IF($E1639="","",IF(OR($U1639=TRUE(),$U1639="TRUE"),1,0))</f>
        <v/>
      </c>
      <c r="AQ1639">
        <f>IF($E1639="","",IF($AD1639="Yes",1,0))</f>
        <v/>
      </c>
      <c r="AR1639">
        <f>IF($AN1639=1,IFERROR(VALUE(MID($E1639,2,20)),1000000000)+ROW()/100000,"")</f>
        <v/>
      </c>
    </row>
    <row r="1640">
      <c r="G1640" s="11" t="n"/>
      <c r="Q1640" s="7">
        <f>IF($E1640="","",P1640*AB1640/100)</f>
        <v/>
      </c>
      <c r="R1640" s="7" t="n"/>
      <c r="X1640" s="7" t="n"/>
      <c r="Y1640" s="7">
        <f>IF($E1640="","",AB1640*AE1640/100)</f>
        <v/>
      </c>
      <c r="Z1640" s="7">
        <f>IF($E1640="","",AB1640-Y1640)</f>
        <v/>
      </c>
      <c r="AA1640" s="7">
        <f>IF($E1640="","",Z1640-Q1640)</f>
        <v/>
      </c>
      <c r="AB1640" s="7" t="n"/>
      <c r="AE1640">
        <f>IF($E1640="","",IF($AQ1640=1,0,IF($AP1640=1,Settings!$C$6,Settings!$C$7))*100)</f>
        <v/>
      </c>
      <c r="AI1640" s="7" t="n"/>
      <c r="AL1640" s="11" t="n"/>
      <c r="AN1640">
        <f>IF($E1640="","",IF(COUNTIF($E$2:$E1640,$E1640)=1,1,0))</f>
        <v/>
      </c>
      <c r="AO1640">
        <f>IF($AN1640=1,SUMPRODUCT(--($AR$2:$AR$3001&lt;$AR1640))+1,"")</f>
        <v/>
      </c>
      <c r="AP1640">
        <f>IF($E1640="","",IF(OR($U1640=TRUE(),$U1640="TRUE"),1,0))</f>
        <v/>
      </c>
      <c r="AQ1640">
        <f>IF($E1640="","",IF($AD1640="Yes",1,0))</f>
        <v/>
      </c>
      <c r="AR1640">
        <f>IF($AN1640=1,IFERROR(VALUE(MID($E1640,2,20)),1000000000)+ROW()/100000,"")</f>
        <v/>
      </c>
    </row>
    <row r="1641">
      <c r="G1641" s="11" t="n"/>
      <c r="Q1641" s="7">
        <f>IF($E1641="","",P1641*AB1641/100)</f>
        <v/>
      </c>
      <c r="R1641" s="7" t="n"/>
      <c r="X1641" s="7" t="n"/>
      <c r="Y1641" s="7">
        <f>IF($E1641="","",AB1641*AE1641/100)</f>
        <v/>
      </c>
      <c r="Z1641" s="7">
        <f>IF($E1641="","",AB1641-Y1641)</f>
        <v/>
      </c>
      <c r="AA1641" s="7">
        <f>IF($E1641="","",Z1641-Q1641)</f>
        <v/>
      </c>
      <c r="AB1641" s="7" t="n"/>
      <c r="AE1641">
        <f>IF($E1641="","",IF($AQ1641=1,0,IF($AP1641=1,Settings!$C$6,Settings!$C$7))*100)</f>
        <v/>
      </c>
      <c r="AI1641" s="7" t="n"/>
      <c r="AL1641" s="11" t="n"/>
      <c r="AN1641">
        <f>IF($E1641="","",IF(COUNTIF($E$2:$E1641,$E1641)=1,1,0))</f>
        <v/>
      </c>
      <c r="AO1641">
        <f>IF($AN1641=1,SUMPRODUCT(--($AR$2:$AR$3001&lt;$AR1641))+1,"")</f>
        <v/>
      </c>
      <c r="AP1641">
        <f>IF($E1641="","",IF(OR($U1641=TRUE(),$U1641="TRUE"),1,0))</f>
        <v/>
      </c>
      <c r="AQ1641">
        <f>IF($E1641="","",IF($AD1641="Yes",1,0))</f>
        <v/>
      </c>
      <c r="AR1641">
        <f>IF($AN1641=1,IFERROR(VALUE(MID($E1641,2,20)),1000000000)+ROW()/100000,"")</f>
        <v/>
      </c>
    </row>
    <row r="1642">
      <c r="G1642" s="11" t="n"/>
      <c r="Q1642" s="7">
        <f>IF($E1642="","",P1642*AB1642/100)</f>
        <v/>
      </c>
      <c r="R1642" s="7" t="n"/>
      <c r="X1642" s="7" t="n"/>
      <c r="Y1642" s="7">
        <f>IF($E1642="","",AB1642*AE1642/100)</f>
        <v/>
      </c>
      <c r="Z1642" s="7">
        <f>IF($E1642="","",AB1642-Y1642)</f>
        <v/>
      </c>
      <c r="AA1642" s="7">
        <f>IF($E1642="","",Z1642-Q1642)</f>
        <v/>
      </c>
      <c r="AB1642" s="7" t="n"/>
      <c r="AE1642">
        <f>IF($E1642="","",IF($AQ1642=1,0,IF($AP1642=1,Settings!$C$6,Settings!$C$7))*100)</f>
        <v/>
      </c>
      <c r="AI1642" s="7" t="n"/>
      <c r="AL1642" s="11" t="n"/>
      <c r="AN1642">
        <f>IF($E1642="","",IF(COUNTIF($E$2:$E1642,$E1642)=1,1,0))</f>
        <v/>
      </c>
      <c r="AO1642">
        <f>IF($AN1642=1,SUMPRODUCT(--($AR$2:$AR$3001&lt;$AR1642))+1,"")</f>
        <v/>
      </c>
      <c r="AP1642">
        <f>IF($E1642="","",IF(OR($U1642=TRUE(),$U1642="TRUE"),1,0))</f>
        <v/>
      </c>
      <c r="AQ1642">
        <f>IF($E1642="","",IF($AD1642="Yes",1,0))</f>
        <v/>
      </c>
      <c r="AR1642">
        <f>IF($AN1642=1,IFERROR(VALUE(MID($E1642,2,20)),1000000000)+ROW()/100000,"")</f>
        <v/>
      </c>
    </row>
    <row r="1643">
      <c r="G1643" s="11" t="n"/>
      <c r="Q1643" s="7">
        <f>IF($E1643="","",P1643*AB1643/100)</f>
        <v/>
      </c>
      <c r="R1643" s="7" t="n"/>
      <c r="X1643" s="7" t="n"/>
      <c r="Y1643" s="7">
        <f>IF($E1643="","",AB1643*AE1643/100)</f>
        <v/>
      </c>
      <c r="Z1643" s="7">
        <f>IF($E1643="","",AB1643-Y1643)</f>
        <v/>
      </c>
      <c r="AA1643" s="7">
        <f>IF($E1643="","",Z1643-Q1643)</f>
        <v/>
      </c>
      <c r="AB1643" s="7" t="n"/>
      <c r="AE1643">
        <f>IF($E1643="","",IF($AQ1643=1,0,IF($AP1643=1,Settings!$C$6,Settings!$C$7))*100)</f>
        <v/>
      </c>
      <c r="AI1643" s="7" t="n"/>
      <c r="AL1643" s="11" t="n"/>
      <c r="AN1643">
        <f>IF($E1643="","",IF(COUNTIF($E$2:$E1643,$E1643)=1,1,0))</f>
        <v/>
      </c>
      <c r="AO1643">
        <f>IF($AN1643=1,SUMPRODUCT(--($AR$2:$AR$3001&lt;$AR1643))+1,"")</f>
        <v/>
      </c>
      <c r="AP1643">
        <f>IF($E1643="","",IF(OR($U1643=TRUE(),$U1643="TRUE"),1,0))</f>
        <v/>
      </c>
      <c r="AQ1643">
        <f>IF($E1643="","",IF($AD1643="Yes",1,0))</f>
        <v/>
      </c>
      <c r="AR1643">
        <f>IF($AN1643=1,IFERROR(VALUE(MID($E1643,2,20)),1000000000)+ROW()/100000,"")</f>
        <v/>
      </c>
    </row>
    <row r="1644">
      <c r="G1644" s="11" t="n"/>
      <c r="Q1644" s="7">
        <f>IF($E1644="","",P1644*AB1644/100)</f>
        <v/>
      </c>
      <c r="R1644" s="7" t="n"/>
      <c r="X1644" s="7" t="n"/>
      <c r="Y1644" s="7">
        <f>IF($E1644="","",AB1644*AE1644/100)</f>
        <v/>
      </c>
      <c r="Z1644" s="7">
        <f>IF($E1644="","",AB1644-Y1644)</f>
        <v/>
      </c>
      <c r="AA1644" s="7">
        <f>IF($E1644="","",Z1644-Q1644)</f>
        <v/>
      </c>
      <c r="AB1644" s="7" t="n"/>
      <c r="AE1644">
        <f>IF($E1644="","",IF($AQ1644=1,0,IF($AP1644=1,Settings!$C$6,Settings!$C$7))*100)</f>
        <v/>
      </c>
      <c r="AI1644" s="7" t="n"/>
      <c r="AL1644" s="11" t="n"/>
      <c r="AN1644">
        <f>IF($E1644="","",IF(COUNTIF($E$2:$E1644,$E1644)=1,1,0))</f>
        <v/>
      </c>
      <c r="AO1644">
        <f>IF($AN1644=1,SUMPRODUCT(--($AR$2:$AR$3001&lt;$AR1644))+1,"")</f>
        <v/>
      </c>
      <c r="AP1644">
        <f>IF($E1644="","",IF(OR($U1644=TRUE(),$U1644="TRUE"),1,0))</f>
        <v/>
      </c>
      <c r="AQ1644">
        <f>IF($E1644="","",IF($AD1644="Yes",1,0))</f>
        <v/>
      </c>
      <c r="AR1644">
        <f>IF($AN1644=1,IFERROR(VALUE(MID($E1644,2,20)),1000000000)+ROW()/100000,"")</f>
        <v/>
      </c>
    </row>
    <row r="1645">
      <c r="G1645" s="11" t="n"/>
      <c r="Q1645" s="7">
        <f>IF($E1645="","",P1645*AB1645/100)</f>
        <v/>
      </c>
      <c r="R1645" s="7" t="n"/>
      <c r="X1645" s="7" t="n"/>
      <c r="Y1645" s="7">
        <f>IF($E1645="","",AB1645*AE1645/100)</f>
        <v/>
      </c>
      <c r="Z1645" s="7">
        <f>IF($E1645="","",AB1645-Y1645)</f>
        <v/>
      </c>
      <c r="AA1645" s="7">
        <f>IF($E1645="","",Z1645-Q1645)</f>
        <v/>
      </c>
      <c r="AB1645" s="7" t="n"/>
      <c r="AE1645">
        <f>IF($E1645="","",IF($AQ1645=1,0,IF($AP1645=1,Settings!$C$6,Settings!$C$7))*100)</f>
        <v/>
      </c>
      <c r="AI1645" s="7" t="n"/>
      <c r="AL1645" s="11" t="n"/>
      <c r="AN1645">
        <f>IF($E1645="","",IF(COUNTIF($E$2:$E1645,$E1645)=1,1,0))</f>
        <v/>
      </c>
      <c r="AO1645">
        <f>IF($AN1645=1,SUMPRODUCT(--($AR$2:$AR$3001&lt;$AR1645))+1,"")</f>
        <v/>
      </c>
      <c r="AP1645">
        <f>IF($E1645="","",IF(OR($U1645=TRUE(),$U1645="TRUE"),1,0))</f>
        <v/>
      </c>
      <c r="AQ1645">
        <f>IF($E1645="","",IF($AD1645="Yes",1,0))</f>
        <v/>
      </c>
      <c r="AR1645">
        <f>IF($AN1645=1,IFERROR(VALUE(MID($E1645,2,20)),1000000000)+ROW()/100000,"")</f>
        <v/>
      </c>
    </row>
    <row r="1646">
      <c r="G1646" s="11" t="n"/>
      <c r="Q1646" s="7">
        <f>IF($E1646="","",P1646*AB1646/100)</f>
        <v/>
      </c>
      <c r="R1646" s="7" t="n"/>
      <c r="X1646" s="7" t="n"/>
      <c r="Y1646" s="7">
        <f>IF($E1646="","",AB1646*AE1646/100)</f>
        <v/>
      </c>
      <c r="Z1646" s="7">
        <f>IF($E1646="","",AB1646-Y1646)</f>
        <v/>
      </c>
      <c r="AA1646" s="7">
        <f>IF($E1646="","",Z1646-Q1646)</f>
        <v/>
      </c>
      <c r="AB1646" s="7" t="n"/>
      <c r="AE1646">
        <f>IF($E1646="","",IF($AQ1646=1,0,IF($AP1646=1,Settings!$C$6,Settings!$C$7))*100)</f>
        <v/>
      </c>
      <c r="AI1646" s="7" t="n"/>
      <c r="AL1646" s="11" t="n"/>
      <c r="AN1646">
        <f>IF($E1646="","",IF(COUNTIF($E$2:$E1646,$E1646)=1,1,0))</f>
        <v/>
      </c>
      <c r="AO1646">
        <f>IF($AN1646=1,SUMPRODUCT(--($AR$2:$AR$3001&lt;$AR1646))+1,"")</f>
        <v/>
      </c>
      <c r="AP1646">
        <f>IF($E1646="","",IF(OR($U1646=TRUE(),$U1646="TRUE"),1,0))</f>
        <v/>
      </c>
      <c r="AQ1646">
        <f>IF($E1646="","",IF($AD1646="Yes",1,0))</f>
        <v/>
      </c>
      <c r="AR1646">
        <f>IF($AN1646=1,IFERROR(VALUE(MID($E1646,2,20)),1000000000)+ROW()/100000,"")</f>
        <v/>
      </c>
    </row>
    <row r="1647">
      <c r="G1647" s="11" t="n"/>
      <c r="Q1647" s="7">
        <f>IF($E1647="","",P1647*AB1647/100)</f>
        <v/>
      </c>
      <c r="R1647" s="7" t="n"/>
      <c r="X1647" s="7" t="n"/>
      <c r="Y1647" s="7">
        <f>IF($E1647="","",AB1647*AE1647/100)</f>
        <v/>
      </c>
      <c r="Z1647" s="7">
        <f>IF($E1647="","",AB1647-Y1647)</f>
        <v/>
      </c>
      <c r="AA1647" s="7">
        <f>IF($E1647="","",Z1647-Q1647)</f>
        <v/>
      </c>
      <c r="AB1647" s="7" t="n"/>
      <c r="AE1647">
        <f>IF($E1647="","",IF($AQ1647=1,0,IF($AP1647=1,Settings!$C$6,Settings!$C$7))*100)</f>
        <v/>
      </c>
      <c r="AI1647" s="7" t="n"/>
      <c r="AL1647" s="11" t="n"/>
      <c r="AN1647">
        <f>IF($E1647="","",IF(COUNTIF($E$2:$E1647,$E1647)=1,1,0))</f>
        <v/>
      </c>
      <c r="AO1647">
        <f>IF($AN1647=1,SUMPRODUCT(--($AR$2:$AR$3001&lt;$AR1647))+1,"")</f>
        <v/>
      </c>
      <c r="AP1647">
        <f>IF($E1647="","",IF(OR($U1647=TRUE(),$U1647="TRUE"),1,0))</f>
        <v/>
      </c>
      <c r="AQ1647">
        <f>IF($E1647="","",IF($AD1647="Yes",1,0))</f>
        <v/>
      </c>
      <c r="AR1647">
        <f>IF($AN1647=1,IFERROR(VALUE(MID($E1647,2,20)),1000000000)+ROW()/100000,"")</f>
        <v/>
      </c>
    </row>
    <row r="1648">
      <c r="G1648" s="11" t="n"/>
      <c r="Q1648" s="7">
        <f>IF($E1648="","",P1648*AB1648/100)</f>
        <v/>
      </c>
      <c r="R1648" s="7" t="n"/>
      <c r="X1648" s="7" t="n"/>
      <c r="Y1648" s="7">
        <f>IF($E1648="","",AB1648*AE1648/100)</f>
        <v/>
      </c>
      <c r="Z1648" s="7">
        <f>IF($E1648="","",AB1648-Y1648)</f>
        <v/>
      </c>
      <c r="AA1648" s="7">
        <f>IF($E1648="","",Z1648-Q1648)</f>
        <v/>
      </c>
      <c r="AB1648" s="7" t="n"/>
      <c r="AE1648">
        <f>IF($E1648="","",IF($AQ1648=1,0,IF($AP1648=1,Settings!$C$6,Settings!$C$7))*100)</f>
        <v/>
      </c>
      <c r="AI1648" s="7" t="n"/>
      <c r="AL1648" s="11" t="n"/>
      <c r="AN1648">
        <f>IF($E1648="","",IF(COUNTIF($E$2:$E1648,$E1648)=1,1,0))</f>
        <v/>
      </c>
      <c r="AO1648">
        <f>IF($AN1648=1,SUMPRODUCT(--($AR$2:$AR$3001&lt;$AR1648))+1,"")</f>
        <v/>
      </c>
      <c r="AP1648">
        <f>IF($E1648="","",IF(OR($U1648=TRUE(),$U1648="TRUE"),1,0))</f>
        <v/>
      </c>
      <c r="AQ1648">
        <f>IF($E1648="","",IF($AD1648="Yes",1,0))</f>
        <v/>
      </c>
      <c r="AR1648">
        <f>IF($AN1648=1,IFERROR(VALUE(MID($E1648,2,20)),1000000000)+ROW()/100000,"")</f>
        <v/>
      </c>
    </row>
    <row r="1649">
      <c r="G1649" s="11" t="n"/>
      <c r="Q1649" s="7">
        <f>IF($E1649="","",P1649*AB1649/100)</f>
        <v/>
      </c>
      <c r="R1649" s="7" t="n"/>
      <c r="X1649" s="7" t="n"/>
      <c r="Y1649" s="7">
        <f>IF($E1649="","",AB1649*AE1649/100)</f>
        <v/>
      </c>
      <c r="Z1649" s="7">
        <f>IF($E1649="","",AB1649-Y1649)</f>
        <v/>
      </c>
      <c r="AA1649" s="7">
        <f>IF($E1649="","",Z1649-Q1649)</f>
        <v/>
      </c>
      <c r="AB1649" s="7" t="n"/>
      <c r="AE1649">
        <f>IF($E1649="","",IF($AQ1649=1,0,IF($AP1649=1,Settings!$C$6,Settings!$C$7))*100)</f>
        <v/>
      </c>
      <c r="AI1649" s="7" t="n"/>
      <c r="AL1649" s="11" t="n"/>
      <c r="AN1649">
        <f>IF($E1649="","",IF(COUNTIF($E$2:$E1649,$E1649)=1,1,0))</f>
        <v/>
      </c>
      <c r="AO1649">
        <f>IF($AN1649=1,SUMPRODUCT(--($AR$2:$AR$3001&lt;$AR1649))+1,"")</f>
        <v/>
      </c>
      <c r="AP1649">
        <f>IF($E1649="","",IF(OR($U1649=TRUE(),$U1649="TRUE"),1,0))</f>
        <v/>
      </c>
      <c r="AQ1649">
        <f>IF($E1649="","",IF($AD1649="Yes",1,0))</f>
        <v/>
      </c>
      <c r="AR1649">
        <f>IF($AN1649=1,IFERROR(VALUE(MID($E1649,2,20)),1000000000)+ROW()/100000,"")</f>
        <v/>
      </c>
    </row>
    <row r="1650">
      <c r="G1650" s="11" t="n"/>
      <c r="Q1650" s="7">
        <f>IF($E1650="","",P1650*AB1650/100)</f>
        <v/>
      </c>
      <c r="R1650" s="7" t="n"/>
      <c r="X1650" s="7" t="n"/>
      <c r="Y1650" s="7">
        <f>IF($E1650="","",AB1650*AE1650/100)</f>
        <v/>
      </c>
      <c r="Z1650" s="7">
        <f>IF($E1650="","",AB1650-Y1650)</f>
        <v/>
      </c>
      <c r="AA1650" s="7">
        <f>IF($E1650="","",Z1650-Q1650)</f>
        <v/>
      </c>
      <c r="AB1650" s="7" t="n"/>
      <c r="AE1650">
        <f>IF($E1650="","",IF($AQ1650=1,0,IF($AP1650=1,Settings!$C$6,Settings!$C$7))*100)</f>
        <v/>
      </c>
      <c r="AI1650" s="7" t="n"/>
      <c r="AL1650" s="11" t="n"/>
      <c r="AN1650">
        <f>IF($E1650="","",IF(COUNTIF($E$2:$E1650,$E1650)=1,1,0))</f>
        <v/>
      </c>
      <c r="AO1650">
        <f>IF($AN1650=1,SUMPRODUCT(--($AR$2:$AR$3001&lt;$AR1650))+1,"")</f>
        <v/>
      </c>
      <c r="AP1650">
        <f>IF($E1650="","",IF(OR($U1650=TRUE(),$U1650="TRUE"),1,0))</f>
        <v/>
      </c>
      <c r="AQ1650">
        <f>IF($E1650="","",IF($AD1650="Yes",1,0))</f>
        <v/>
      </c>
      <c r="AR1650">
        <f>IF($AN1650=1,IFERROR(VALUE(MID($E1650,2,20)),1000000000)+ROW()/100000,"")</f>
        <v/>
      </c>
    </row>
    <row r="1651">
      <c r="G1651" s="11" t="n"/>
      <c r="Q1651" s="7">
        <f>IF($E1651="","",P1651*AB1651/100)</f>
        <v/>
      </c>
      <c r="R1651" s="7" t="n"/>
      <c r="X1651" s="7" t="n"/>
      <c r="Y1651" s="7">
        <f>IF($E1651="","",AB1651*AE1651/100)</f>
        <v/>
      </c>
      <c r="Z1651" s="7">
        <f>IF($E1651="","",AB1651-Y1651)</f>
        <v/>
      </c>
      <c r="AA1651" s="7">
        <f>IF($E1651="","",Z1651-Q1651)</f>
        <v/>
      </c>
      <c r="AB1651" s="7" t="n"/>
      <c r="AE1651">
        <f>IF($E1651="","",IF($AQ1651=1,0,IF($AP1651=1,Settings!$C$6,Settings!$C$7))*100)</f>
        <v/>
      </c>
      <c r="AI1651" s="7" t="n"/>
      <c r="AL1651" s="11" t="n"/>
      <c r="AN1651">
        <f>IF($E1651="","",IF(COUNTIF($E$2:$E1651,$E1651)=1,1,0))</f>
        <v/>
      </c>
      <c r="AO1651">
        <f>IF($AN1651=1,SUMPRODUCT(--($AR$2:$AR$3001&lt;$AR1651))+1,"")</f>
        <v/>
      </c>
      <c r="AP1651">
        <f>IF($E1651="","",IF(OR($U1651=TRUE(),$U1651="TRUE"),1,0))</f>
        <v/>
      </c>
      <c r="AQ1651">
        <f>IF($E1651="","",IF($AD1651="Yes",1,0))</f>
        <v/>
      </c>
      <c r="AR1651">
        <f>IF($AN1651=1,IFERROR(VALUE(MID($E1651,2,20)),1000000000)+ROW()/100000,"")</f>
        <v/>
      </c>
    </row>
    <row r="1652">
      <c r="G1652" s="11" t="n"/>
      <c r="Q1652" s="7">
        <f>IF($E1652="","",P1652*AB1652/100)</f>
        <v/>
      </c>
      <c r="R1652" s="7" t="n"/>
      <c r="X1652" s="7" t="n"/>
      <c r="Y1652" s="7">
        <f>IF($E1652="","",AB1652*AE1652/100)</f>
        <v/>
      </c>
      <c r="Z1652" s="7">
        <f>IF($E1652="","",AB1652-Y1652)</f>
        <v/>
      </c>
      <c r="AA1652" s="7">
        <f>IF($E1652="","",Z1652-Q1652)</f>
        <v/>
      </c>
      <c r="AB1652" s="7" t="n"/>
      <c r="AE1652">
        <f>IF($E1652="","",IF($AQ1652=1,0,IF($AP1652=1,Settings!$C$6,Settings!$C$7))*100)</f>
        <v/>
      </c>
      <c r="AI1652" s="7" t="n"/>
      <c r="AL1652" s="11" t="n"/>
      <c r="AN1652">
        <f>IF($E1652="","",IF(COUNTIF($E$2:$E1652,$E1652)=1,1,0))</f>
        <v/>
      </c>
      <c r="AO1652">
        <f>IF($AN1652=1,SUMPRODUCT(--($AR$2:$AR$3001&lt;$AR1652))+1,"")</f>
        <v/>
      </c>
      <c r="AP1652">
        <f>IF($E1652="","",IF(OR($U1652=TRUE(),$U1652="TRUE"),1,0))</f>
        <v/>
      </c>
      <c r="AQ1652">
        <f>IF($E1652="","",IF($AD1652="Yes",1,0))</f>
        <v/>
      </c>
      <c r="AR1652">
        <f>IF($AN1652=1,IFERROR(VALUE(MID($E1652,2,20)),1000000000)+ROW()/100000,"")</f>
        <v/>
      </c>
    </row>
    <row r="1653">
      <c r="G1653" s="11" t="n"/>
      <c r="Q1653" s="7">
        <f>IF($E1653="","",P1653*AB1653/100)</f>
        <v/>
      </c>
      <c r="R1653" s="7" t="n"/>
      <c r="X1653" s="7" t="n"/>
      <c r="Y1653" s="7">
        <f>IF($E1653="","",AB1653*AE1653/100)</f>
        <v/>
      </c>
      <c r="Z1653" s="7">
        <f>IF($E1653="","",AB1653-Y1653)</f>
        <v/>
      </c>
      <c r="AA1653" s="7">
        <f>IF($E1653="","",Z1653-Q1653)</f>
        <v/>
      </c>
      <c r="AB1653" s="7" t="n"/>
      <c r="AE1653">
        <f>IF($E1653="","",IF($AQ1653=1,0,IF($AP1653=1,Settings!$C$6,Settings!$C$7))*100)</f>
        <v/>
      </c>
      <c r="AI1653" s="7" t="n"/>
      <c r="AL1653" s="11" t="n"/>
      <c r="AN1653">
        <f>IF($E1653="","",IF(COUNTIF($E$2:$E1653,$E1653)=1,1,0))</f>
        <v/>
      </c>
      <c r="AO1653">
        <f>IF($AN1653=1,SUMPRODUCT(--($AR$2:$AR$3001&lt;$AR1653))+1,"")</f>
        <v/>
      </c>
      <c r="AP1653">
        <f>IF($E1653="","",IF(OR($U1653=TRUE(),$U1653="TRUE"),1,0))</f>
        <v/>
      </c>
      <c r="AQ1653">
        <f>IF($E1653="","",IF($AD1653="Yes",1,0))</f>
        <v/>
      </c>
      <c r="AR1653">
        <f>IF($AN1653=1,IFERROR(VALUE(MID($E1653,2,20)),1000000000)+ROW()/100000,"")</f>
        <v/>
      </c>
    </row>
    <row r="1654">
      <c r="G1654" s="11" t="n"/>
      <c r="Q1654" s="7">
        <f>IF($E1654="","",P1654*AB1654/100)</f>
        <v/>
      </c>
      <c r="R1654" s="7" t="n"/>
      <c r="X1654" s="7" t="n"/>
      <c r="Y1654" s="7">
        <f>IF($E1654="","",AB1654*AE1654/100)</f>
        <v/>
      </c>
      <c r="Z1654" s="7">
        <f>IF($E1654="","",AB1654-Y1654)</f>
        <v/>
      </c>
      <c r="AA1654" s="7">
        <f>IF($E1654="","",Z1654-Q1654)</f>
        <v/>
      </c>
      <c r="AB1654" s="7" t="n"/>
      <c r="AE1654">
        <f>IF($E1654="","",IF($AQ1654=1,0,IF($AP1654=1,Settings!$C$6,Settings!$C$7))*100)</f>
        <v/>
      </c>
      <c r="AI1654" s="7" t="n"/>
      <c r="AL1654" s="11" t="n"/>
      <c r="AN1654">
        <f>IF($E1654="","",IF(COUNTIF($E$2:$E1654,$E1654)=1,1,0))</f>
        <v/>
      </c>
      <c r="AO1654">
        <f>IF($AN1654=1,SUMPRODUCT(--($AR$2:$AR$3001&lt;$AR1654))+1,"")</f>
        <v/>
      </c>
      <c r="AP1654">
        <f>IF($E1654="","",IF(OR($U1654=TRUE(),$U1654="TRUE"),1,0))</f>
        <v/>
      </c>
      <c r="AQ1654">
        <f>IF($E1654="","",IF($AD1654="Yes",1,0))</f>
        <v/>
      </c>
      <c r="AR1654">
        <f>IF($AN1654=1,IFERROR(VALUE(MID($E1654,2,20)),1000000000)+ROW()/100000,"")</f>
        <v/>
      </c>
    </row>
    <row r="1655">
      <c r="G1655" s="11" t="n"/>
      <c r="Q1655" s="7">
        <f>IF($E1655="","",P1655*AB1655/100)</f>
        <v/>
      </c>
      <c r="R1655" s="7" t="n"/>
      <c r="X1655" s="7" t="n"/>
      <c r="Y1655" s="7">
        <f>IF($E1655="","",AB1655*AE1655/100)</f>
        <v/>
      </c>
      <c r="Z1655" s="7">
        <f>IF($E1655="","",AB1655-Y1655)</f>
        <v/>
      </c>
      <c r="AA1655" s="7">
        <f>IF($E1655="","",Z1655-Q1655)</f>
        <v/>
      </c>
      <c r="AB1655" s="7" t="n"/>
      <c r="AE1655">
        <f>IF($E1655="","",IF($AQ1655=1,0,IF($AP1655=1,Settings!$C$6,Settings!$C$7))*100)</f>
        <v/>
      </c>
      <c r="AI1655" s="7" t="n"/>
      <c r="AL1655" s="11" t="n"/>
      <c r="AN1655">
        <f>IF($E1655="","",IF(COUNTIF($E$2:$E1655,$E1655)=1,1,0))</f>
        <v/>
      </c>
      <c r="AO1655">
        <f>IF($AN1655=1,SUMPRODUCT(--($AR$2:$AR$3001&lt;$AR1655))+1,"")</f>
        <v/>
      </c>
      <c r="AP1655">
        <f>IF($E1655="","",IF(OR($U1655=TRUE(),$U1655="TRUE"),1,0))</f>
        <v/>
      </c>
      <c r="AQ1655">
        <f>IF($E1655="","",IF($AD1655="Yes",1,0))</f>
        <v/>
      </c>
      <c r="AR1655">
        <f>IF($AN1655=1,IFERROR(VALUE(MID($E1655,2,20)),1000000000)+ROW()/100000,"")</f>
        <v/>
      </c>
    </row>
    <row r="1656">
      <c r="G1656" s="11" t="n"/>
      <c r="Q1656" s="7">
        <f>IF($E1656="","",P1656*AB1656/100)</f>
        <v/>
      </c>
      <c r="R1656" s="7" t="n"/>
      <c r="X1656" s="7" t="n"/>
      <c r="Y1656" s="7">
        <f>IF($E1656="","",AB1656*AE1656/100)</f>
        <v/>
      </c>
      <c r="Z1656" s="7">
        <f>IF($E1656="","",AB1656-Y1656)</f>
        <v/>
      </c>
      <c r="AA1656" s="7">
        <f>IF($E1656="","",Z1656-Q1656)</f>
        <v/>
      </c>
      <c r="AB1656" s="7" t="n"/>
      <c r="AE1656">
        <f>IF($E1656="","",IF($AQ1656=1,0,IF($AP1656=1,Settings!$C$6,Settings!$C$7))*100)</f>
        <v/>
      </c>
      <c r="AI1656" s="7" t="n"/>
      <c r="AL1656" s="11" t="n"/>
      <c r="AN1656">
        <f>IF($E1656="","",IF(COUNTIF($E$2:$E1656,$E1656)=1,1,0))</f>
        <v/>
      </c>
      <c r="AO1656">
        <f>IF($AN1656=1,SUMPRODUCT(--($AR$2:$AR$3001&lt;$AR1656))+1,"")</f>
        <v/>
      </c>
      <c r="AP1656">
        <f>IF($E1656="","",IF(OR($U1656=TRUE(),$U1656="TRUE"),1,0))</f>
        <v/>
      </c>
      <c r="AQ1656">
        <f>IF($E1656="","",IF($AD1656="Yes",1,0))</f>
        <v/>
      </c>
      <c r="AR1656">
        <f>IF($AN1656=1,IFERROR(VALUE(MID($E1656,2,20)),1000000000)+ROW()/100000,"")</f>
        <v/>
      </c>
    </row>
    <row r="1657">
      <c r="G1657" s="11" t="n"/>
      <c r="Q1657" s="7">
        <f>IF($E1657="","",P1657*AB1657/100)</f>
        <v/>
      </c>
      <c r="R1657" s="7" t="n"/>
      <c r="X1657" s="7" t="n"/>
      <c r="Y1657" s="7">
        <f>IF($E1657="","",AB1657*AE1657/100)</f>
        <v/>
      </c>
      <c r="Z1657" s="7">
        <f>IF($E1657="","",AB1657-Y1657)</f>
        <v/>
      </c>
      <c r="AA1657" s="7">
        <f>IF($E1657="","",Z1657-Q1657)</f>
        <v/>
      </c>
      <c r="AB1657" s="7" t="n"/>
      <c r="AE1657">
        <f>IF($E1657="","",IF($AQ1657=1,0,IF($AP1657=1,Settings!$C$6,Settings!$C$7))*100)</f>
        <v/>
      </c>
      <c r="AI1657" s="7" t="n"/>
      <c r="AL1657" s="11" t="n"/>
      <c r="AN1657">
        <f>IF($E1657="","",IF(COUNTIF($E$2:$E1657,$E1657)=1,1,0))</f>
        <v/>
      </c>
      <c r="AO1657">
        <f>IF($AN1657=1,SUMPRODUCT(--($AR$2:$AR$3001&lt;$AR1657))+1,"")</f>
        <v/>
      </c>
      <c r="AP1657">
        <f>IF($E1657="","",IF(OR($U1657=TRUE(),$U1657="TRUE"),1,0))</f>
        <v/>
      </c>
      <c r="AQ1657">
        <f>IF($E1657="","",IF($AD1657="Yes",1,0))</f>
        <v/>
      </c>
      <c r="AR1657">
        <f>IF($AN1657=1,IFERROR(VALUE(MID($E1657,2,20)),1000000000)+ROW()/100000,"")</f>
        <v/>
      </c>
    </row>
    <row r="1658">
      <c r="G1658" s="11" t="n"/>
      <c r="Q1658" s="7">
        <f>IF($E1658="","",P1658*AB1658/100)</f>
        <v/>
      </c>
      <c r="R1658" s="7" t="n"/>
      <c r="X1658" s="7" t="n"/>
      <c r="Y1658" s="7">
        <f>IF($E1658="","",AB1658*AE1658/100)</f>
        <v/>
      </c>
      <c r="Z1658" s="7">
        <f>IF($E1658="","",AB1658-Y1658)</f>
        <v/>
      </c>
      <c r="AA1658" s="7">
        <f>IF($E1658="","",Z1658-Q1658)</f>
        <v/>
      </c>
      <c r="AB1658" s="7" t="n"/>
      <c r="AE1658">
        <f>IF($E1658="","",IF($AQ1658=1,0,IF($AP1658=1,Settings!$C$6,Settings!$C$7))*100)</f>
        <v/>
      </c>
      <c r="AI1658" s="7" t="n"/>
      <c r="AL1658" s="11" t="n"/>
      <c r="AN1658">
        <f>IF($E1658="","",IF(COUNTIF($E$2:$E1658,$E1658)=1,1,0))</f>
        <v/>
      </c>
      <c r="AO1658">
        <f>IF($AN1658=1,SUMPRODUCT(--($AR$2:$AR$3001&lt;$AR1658))+1,"")</f>
        <v/>
      </c>
      <c r="AP1658">
        <f>IF($E1658="","",IF(OR($U1658=TRUE(),$U1658="TRUE"),1,0))</f>
        <v/>
      </c>
      <c r="AQ1658">
        <f>IF($E1658="","",IF($AD1658="Yes",1,0))</f>
        <v/>
      </c>
      <c r="AR1658">
        <f>IF($AN1658=1,IFERROR(VALUE(MID($E1658,2,20)),1000000000)+ROW()/100000,"")</f>
        <v/>
      </c>
    </row>
    <row r="1659">
      <c r="G1659" s="11" t="n"/>
      <c r="Q1659" s="7">
        <f>IF($E1659="","",P1659*AB1659/100)</f>
        <v/>
      </c>
      <c r="R1659" s="7" t="n"/>
      <c r="X1659" s="7" t="n"/>
      <c r="Y1659" s="7">
        <f>IF($E1659="","",AB1659*AE1659/100)</f>
        <v/>
      </c>
      <c r="Z1659" s="7">
        <f>IF($E1659="","",AB1659-Y1659)</f>
        <v/>
      </c>
      <c r="AA1659" s="7">
        <f>IF($E1659="","",Z1659-Q1659)</f>
        <v/>
      </c>
      <c r="AB1659" s="7" t="n"/>
      <c r="AE1659">
        <f>IF($E1659="","",IF($AQ1659=1,0,IF($AP1659=1,Settings!$C$6,Settings!$C$7))*100)</f>
        <v/>
      </c>
      <c r="AI1659" s="7" t="n"/>
      <c r="AL1659" s="11" t="n"/>
      <c r="AN1659">
        <f>IF($E1659="","",IF(COUNTIF($E$2:$E1659,$E1659)=1,1,0))</f>
        <v/>
      </c>
      <c r="AO1659">
        <f>IF($AN1659=1,SUMPRODUCT(--($AR$2:$AR$3001&lt;$AR1659))+1,"")</f>
        <v/>
      </c>
      <c r="AP1659">
        <f>IF($E1659="","",IF(OR($U1659=TRUE(),$U1659="TRUE"),1,0))</f>
        <v/>
      </c>
      <c r="AQ1659">
        <f>IF($E1659="","",IF($AD1659="Yes",1,0))</f>
        <v/>
      </c>
      <c r="AR1659">
        <f>IF($AN1659=1,IFERROR(VALUE(MID($E1659,2,20)),1000000000)+ROW()/100000,"")</f>
        <v/>
      </c>
    </row>
    <row r="1660">
      <c r="G1660" s="11" t="n"/>
      <c r="Q1660" s="7">
        <f>IF($E1660="","",P1660*AB1660/100)</f>
        <v/>
      </c>
      <c r="R1660" s="7" t="n"/>
      <c r="X1660" s="7" t="n"/>
      <c r="Y1660" s="7">
        <f>IF($E1660="","",AB1660*AE1660/100)</f>
        <v/>
      </c>
      <c r="Z1660" s="7">
        <f>IF($E1660="","",AB1660-Y1660)</f>
        <v/>
      </c>
      <c r="AA1660" s="7">
        <f>IF($E1660="","",Z1660-Q1660)</f>
        <v/>
      </c>
      <c r="AB1660" s="7" t="n"/>
      <c r="AE1660">
        <f>IF($E1660="","",IF($AQ1660=1,0,IF($AP1660=1,Settings!$C$6,Settings!$C$7))*100)</f>
        <v/>
      </c>
      <c r="AI1660" s="7" t="n"/>
      <c r="AL1660" s="11" t="n"/>
      <c r="AN1660">
        <f>IF($E1660="","",IF(COUNTIF($E$2:$E1660,$E1660)=1,1,0))</f>
        <v/>
      </c>
      <c r="AO1660">
        <f>IF($AN1660=1,SUMPRODUCT(--($AR$2:$AR$3001&lt;$AR1660))+1,"")</f>
        <v/>
      </c>
      <c r="AP1660">
        <f>IF($E1660="","",IF(OR($U1660=TRUE(),$U1660="TRUE"),1,0))</f>
        <v/>
      </c>
      <c r="AQ1660">
        <f>IF($E1660="","",IF($AD1660="Yes",1,0))</f>
        <v/>
      </c>
      <c r="AR1660">
        <f>IF($AN1660=1,IFERROR(VALUE(MID($E1660,2,20)),1000000000)+ROW()/100000,"")</f>
        <v/>
      </c>
    </row>
    <row r="1661">
      <c r="G1661" s="11" t="n"/>
      <c r="Q1661" s="7">
        <f>IF($E1661="","",P1661*AB1661/100)</f>
        <v/>
      </c>
      <c r="R1661" s="7" t="n"/>
      <c r="X1661" s="7" t="n"/>
      <c r="Y1661" s="7">
        <f>IF($E1661="","",AB1661*AE1661/100)</f>
        <v/>
      </c>
      <c r="Z1661" s="7">
        <f>IF($E1661="","",AB1661-Y1661)</f>
        <v/>
      </c>
      <c r="AA1661" s="7">
        <f>IF($E1661="","",Z1661-Q1661)</f>
        <v/>
      </c>
      <c r="AB1661" s="7" t="n"/>
      <c r="AE1661">
        <f>IF($E1661="","",IF($AQ1661=1,0,IF($AP1661=1,Settings!$C$6,Settings!$C$7))*100)</f>
        <v/>
      </c>
      <c r="AI1661" s="7" t="n"/>
      <c r="AL1661" s="11" t="n"/>
      <c r="AN1661">
        <f>IF($E1661="","",IF(COUNTIF($E$2:$E1661,$E1661)=1,1,0))</f>
        <v/>
      </c>
      <c r="AO1661">
        <f>IF($AN1661=1,SUMPRODUCT(--($AR$2:$AR$3001&lt;$AR1661))+1,"")</f>
        <v/>
      </c>
      <c r="AP1661">
        <f>IF($E1661="","",IF(OR($U1661=TRUE(),$U1661="TRUE"),1,0))</f>
        <v/>
      </c>
      <c r="AQ1661">
        <f>IF($E1661="","",IF($AD1661="Yes",1,0))</f>
        <v/>
      </c>
      <c r="AR1661">
        <f>IF($AN1661=1,IFERROR(VALUE(MID($E1661,2,20)),1000000000)+ROW()/100000,"")</f>
        <v/>
      </c>
    </row>
    <row r="1662">
      <c r="G1662" s="11" t="n"/>
      <c r="Q1662" s="7">
        <f>IF($E1662="","",P1662*AB1662/100)</f>
        <v/>
      </c>
      <c r="R1662" s="7" t="n"/>
      <c r="X1662" s="7" t="n"/>
      <c r="Y1662" s="7">
        <f>IF($E1662="","",AB1662*AE1662/100)</f>
        <v/>
      </c>
      <c r="Z1662" s="7">
        <f>IF($E1662="","",AB1662-Y1662)</f>
        <v/>
      </c>
      <c r="AA1662" s="7">
        <f>IF($E1662="","",Z1662-Q1662)</f>
        <v/>
      </c>
      <c r="AB1662" s="7" t="n"/>
      <c r="AE1662">
        <f>IF($E1662="","",IF($AQ1662=1,0,IF($AP1662=1,Settings!$C$6,Settings!$C$7))*100)</f>
        <v/>
      </c>
      <c r="AI1662" s="7" t="n"/>
      <c r="AL1662" s="11" t="n"/>
      <c r="AN1662">
        <f>IF($E1662="","",IF(COUNTIF($E$2:$E1662,$E1662)=1,1,0))</f>
        <v/>
      </c>
      <c r="AO1662">
        <f>IF($AN1662=1,SUMPRODUCT(--($AR$2:$AR$3001&lt;$AR1662))+1,"")</f>
        <v/>
      </c>
      <c r="AP1662">
        <f>IF($E1662="","",IF(OR($U1662=TRUE(),$U1662="TRUE"),1,0))</f>
        <v/>
      </c>
      <c r="AQ1662">
        <f>IF($E1662="","",IF($AD1662="Yes",1,0))</f>
        <v/>
      </c>
      <c r="AR1662">
        <f>IF($AN1662=1,IFERROR(VALUE(MID($E1662,2,20)),1000000000)+ROW()/100000,"")</f>
        <v/>
      </c>
    </row>
    <row r="1663">
      <c r="G1663" s="11" t="n"/>
      <c r="Q1663" s="7">
        <f>IF($E1663="","",P1663*AB1663/100)</f>
        <v/>
      </c>
      <c r="R1663" s="7" t="n"/>
      <c r="X1663" s="7" t="n"/>
      <c r="Y1663" s="7">
        <f>IF($E1663="","",AB1663*AE1663/100)</f>
        <v/>
      </c>
      <c r="Z1663" s="7">
        <f>IF($E1663="","",AB1663-Y1663)</f>
        <v/>
      </c>
      <c r="AA1663" s="7">
        <f>IF($E1663="","",Z1663-Q1663)</f>
        <v/>
      </c>
      <c r="AB1663" s="7" t="n"/>
      <c r="AE1663">
        <f>IF($E1663="","",IF($AQ1663=1,0,IF($AP1663=1,Settings!$C$6,Settings!$C$7))*100)</f>
        <v/>
      </c>
      <c r="AI1663" s="7" t="n"/>
      <c r="AL1663" s="11" t="n"/>
      <c r="AN1663">
        <f>IF($E1663="","",IF(COUNTIF($E$2:$E1663,$E1663)=1,1,0))</f>
        <v/>
      </c>
      <c r="AO1663">
        <f>IF($AN1663=1,SUMPRODUCT(--($AR$2:$AR$3001&lt;$AR1663))+1,"")</f>
        <v/>
      </c>
      <c r="AP1663">
        <f>IF($E1663="","",IF(OR($U1663=TRUE(),$U1663="TRUE"),1,0))</f>
        <v/>
      </c>
      <c r="AQ1663">
        <f>IF($E1663="","",IF($AD1663="Yes",1,0))</f>
        <v/>
      </c>
      <c r="AR1663">
        <f>IF($AN1663=1,IFERROR(VALUE(MID($E1663,2,20)),1000000000)+ROW()/100000,"")</f>
        <v/>
      </c>
    </row>
    <row r="1664">
      <c r="G1664" s="11" t="n"/>
      <c r="Q1664" s="7">
        <f>IF($E1664="","",P1664*AB1664/100)</f>
        <v/>
      </c>
      <c r="R1664" s="7" t="n"/>
      <c r="X1664" s="7" t="n"/>
      <c r="Y1664" s="7">
        <f>IF($E1664="","",AB1664*AE1664/100)</f>
        <v/>
      </c>
      <c r="Z1664" s="7">
        <f>IF($E1664="","",AB1664-Y1664)</f>
        <v/>
      </c>
      <c r="AA1664" s="7">
        <f>IF($E1664="","",Z1664-Q1664)</f>
        <v/>
      </c>
      <c r="AB1664" s="7" t="n"/>
      <c r="AE1664">
        <f>IF($E1664="","",IF($AQ1664=1,0,IF($AP1664=1,Settings!$C$6,Settings!$C$7))*100)</f>
        <v/>
      </c>
      <c r="AI1664" s="7" t="n"/>
      <c r="AL1664" s="11" t="n"/>
      <c r="AN1664">
        <f>IF($E1664="","",IF(COUNTIF($E$2:$E1664,$E1664)=1,1,0))</f>
        <v/>
      </c>
      <c r="AO1664">
        <f>IF($AN1664=1,SUMPRODUCT(--($AR$2:$AR$3001&lt;$AR1664))+1,"")</f>
        <v/>
      </c>
      <c r="AP1664">
        <f>IF($E1664="","",IF(OR($U1664=TRUE(),$U1664="TRUE"),1,0))</f>
        <v/>
      </c>
      <c r="AQ1664">
        <f>IF($E1664="","",IF($AD1664="Yes",1,0))</f>
        <v/>
      </c>
      <c r="AR1664">
        <f>IF($AN1664=1,IFERROR(VALUE(MID($E1664,2,20)),1000000000)+ROW()/100000,"")</f>
        <v/>
      </c>
    </row>
    <row r="1665">
      <c r="G1665" s="11" t="n"/>
      <c r="Q1665" s="7">
        <f>IF($E1665="","",P1665*AB1665/100)</f>
        <v/>
      </c>
      <c r="R1665" s="7" t="n"/>
      <c r="X1665" s="7" t="n"/>
      <c r="Y1665" s="7">
        <f>IF($E1665="","",AB1665*AE1665/100)</f>
        <v/>
      </c>
      <c r="Z1665" s="7">
        <f>IF($E1665="","",AB1665-Y1665)</f>
        <v/>
      </c>
      <c r="AA1665" s="7">
        <f>IF($E1665="","",Z1665-Q1665)</f>
        <v/>
      </c>
      <c r="AB1665" s="7" t="n"/>
      <c r="AE1665">
        <f>IF($E1665="","",IF($AQ1665=1,0,IF($AP1665=1,Settings!$C$6,Settings!$C$7))*100)</f>
        <v/>
      </c>
      <c r="AI1665" s="7" t="n"/>
      <c r="AL1665" s="11" t="n"/>
      <c r="AN1665">
        <f>IF($E1665="","",IF(COUNTIF($E$2:$E1665,$E1665)=1,1,0))</f>
        <v/>
      </c>
      <c r="AO1665">
        <f>IF($AN1665=1,SUMPRODUCT(--($AR$2:$AR$3001&lt;$AR1665))+1,"")</f>
        <v/>
      </c>
      <c r="AP1665">
        <f>IF($E1665="","",IF(OR($U1665=TRUE(),$U1665="TRUE"),1,0))</f>
        <v/>
      </c>
      <c r="AQ1665">
        <f>IF($E1665="","",IF($AD1665="Yes",1,0))</f>
        <v/>
      </c>
      <c r="AR1665">
        <f>IF($AN1665=1,IFERROR(VALUE(MID($E1665,2,20)),1000000000)+ROW()/100000,"")</f>
        <v/>
      </c>
    </row>
    <row r="1666">
      <c r="G1666" s="11" t="n"/>
      <c r="Q1666" s="7">
        <f>IF($E1666="","",P1666*AB1666/100)</f>
        <v/>
      </c>
      <c r="R1666" s="7" t="n"/>
      <c r="X1666" s="7" t="n"/>
      <c r="Y1666" s="7">
        <f>IF($E1666="","",AB1666*AE1666/100)</f>
        <v/>
      </c>
      <c r="Z1666" s="7">
        <f>IF($E1666="","",AB1666-Y1666)</f>
        <v/>
      </c>
      <c r="AA1666" s="7">
        <f>IF($E1666="","",Z1666-Q1666)</f>
        <v/>
      </c>
      <c r="AB1666" s="7" t="n"/>
      <c r="AE1666">
        <f>IF($E1666="","",IF($AQ1666=1,0,IF($AP1666=1,Settings!$C$6,Settings!$C$7))*100)</f>
        <v/>
      </c>
      <c r="AI1666" s="7" t="n"/>
      <c r="AL1666" s="11" t="n"/>
      <c r="AN1666">
        <f>IF($E1666="","",IF(COUNTIF($E$2:$E1666,$E1666)=1,1,0))</f>
        <v/>
      </c>
      <c r="AO1666">
        <f>IF($AN1666=1,SUMPRODUCT(--($AR$2:$AR$3001&lt;$AR1666))+1,"")</f>
        <v/>
      </c>
      <c r="AP1666">
        <f>IF($E1666="","",IF(OR($U1666=TRUE(),$U1666="TRUE"),1,0))</f>
        <v/>
      </c>
      <c r="AQ1666">
        <f>IF($E1666="","",IF($AD1666="Yes",1,0))</f>
        <v/>
      </c>
      <c r="AR1666">
        <f>IF($AN1666=1,IFERROR(VALUE(MID($E1666,2,20)),1000000000)+ROW()/100000,"")</f>
        <v/>
      </c>
    </row>
    <row r="1667">
      <c r="G1667" s="11" t="n"/>
      <c r="Q1667" s="7">
        <f>IF($E1667="","",P1667*AB1667/100)</f>
        <v/>
      </c>
      <c r="R1667" s="7" t="n"/>
      <c r="X1667" s="7" t="n"/>
      <c r="Y1667" s="7">
        <f>IF($E1667="","",AB1667*AE1667/100)</f>
        <v/>
      </c>
      <c r="Z1667" s="7">
        <f>IF($E1667="","",AB1667-Y1667)</f>
        <v/>
      </c>
      <c r="AA1667" s="7">
        <f>IF($E1667="","",Z1667-Q1667)</f>
        <v/>
      </c>
      <c r="AB1667" s="7" t="n"/>
      <c r="AE1667">
        <f>IF($E1667="","",IF($AQ1667=1,0,IF($AP1667=1,Settings!$C$6,Settings!$C$7))*100)</f>
        <v/>
      </c>
      <c r="AI1667" s="7" t="n"/>
      <c r="AL1667" s="11" t="n"/>
      <c r="AN1667">
        <f>IF($E1667="","",IF(COUNTIF($E$2:$E1667,$E1667)=1,1,0))</f>
        <v/>
      </c>
      <c r="AO1667">
        <f>IF($AN1667=1,SUMPRODUCT(--($AR$2:$AR$3001&lt;$AR1667))+1,"")</f>
        <v/>
      </c>
      <c r="AP1667">
        <f>IF($E1667="","",IF(OR($U1667=TRUE(),$U1667="TRUE"),1,0))</f>
        <v/>
      </c>
      <c r="AQ1667">
        <f>IF($E1667="","",IF($AD1667="Yes",1,0))</f>
        <v/>
      </c>
      <c r="AR1667">
        <f>IF($AN1667=1,IFERROR(VALUE(MID($E1667,2,20)),1000000000)+ROW()/100000,"")</f>
        <v/>
      </c>
    </row>
    <row r="1668">
      <c r="G1668" s="11" t="n"/>
      <c r="Q1668" s="7">
        <f>IF($E1668="","",P1668*AB1668/100)</f>
        <v/>
      </c>
      <c r="R1668" s="7" t="n"/>
      <c r="X1668" s="7" t="n"/>
      <c r="Y1668" s="7">
        <f>IF($E1668="","",AB1668*AE1668/100)</f>
        <v/>
      </c>
      <c r="Z1668" s="7">
        <f>IF($E1668="","",AB1668-Y1668)</f>
        <v/>
      </c>
      <c r="AA1668" s="7">
        <f>IF($E1668="","",Z1668-Q1668)</f>
        <v/>
      </c>
      <c r="AB1668" s="7" t="n"/>
      <c r="AE1668">
        <f>IF($E1668="","",IF($AQ1668=1,0,IF($AP1668=1,Settings!$C$6,Settings!$C$7))*100)</f>
        <v/>
      </c>
      <c r="AI1668" s="7" t="n"/>
      <c r="AL1668" s="11" t="n"/>
      <c r="AN1668">
        <f>IF($E1668="","",IF(COUNTIF($E$2:$E1668,$E1668)=1,1,0))</f>
        <v/>
      </c>
      <c r="AO1668">
        <f>IF($AN1668=1,SUMPRODUCT(--($AR$2:$AR$3001&lt;$AR1668))+1,"")</f>
        <v/>
      </c>
      <c r="AP1668">
        <f>IF($E1668="","",IF(OR($U1668=TRUE(),$U1668="TRUE"),1,0))</f>
        <v/>
      </c>
      <c r="AQ1668">
        <f>IF($E1668="","",IF($AD1668="Yes",1,0))</f>
        <v/>
      </c>
      <c r="AR1668">
        <f>IF($AN1668=1,IFERROR(VALUE(MID($E1668,2,20)),1000000000)+ROW()/100000,"")</f>
        <v/>
      </c>
    </row>
    <row r="1669">
      <c r="G1669" s="11" t="n"/>
      <c r="Q1669" s="7">
        <f>IF($E1669="","",P1669*AB1669/100)</f>
        <v/>
      </c>
      <c r="R1669" s="7" t="n"/>
      <c r="X1669" s="7" t="n"/>
      <c r="Y1669" s="7">
        <f>IF($E1669="","",AB1669*AE1669/100)</f>
        <v/>
      </c>
      <c r="Z1669" s="7">
        <f>IF($E1669="","",AB1669-Y1669)</f>
        <v/>
      </c>
      <c r="AA1669" s="7">
        <f>IF($E1669="","",Z1669-Q1669)</f>
        <v/>
      </c>
      <c r="AB1669" s="7" t="n"/>
      <c r="AE1669">
        <f>IF($E1669="","",IF($AQ1669=1,0,IF($AP1669=1,Settings!$C$6,Settings!$C$7))*100)</f>
        <v/>
      </c>
      <c r="AI1669" s="7" t="n"/>
      <c r="AL1669" s="11" t="n"/>
      <c r="AN1669">
        <f>IF($E1669="","",IF(COUNTIF($E$2:$E1669,$E1669)=1,1,0))</f>
        <v/>
      </c>
      <c r="AO1669">
        <f>IF($AN1669=1,SUMPRODUCT(--($AR$2:$AR$3001&lt;$AR1669))+1,"")</f>
        <v/>
      </c>
      <c r="AP1669">
        <f>IF($E1669="","",IF(OR($U1669=TRUE(),$U1669="TRUE"),1,0))</f>
        <v/>
      </c>
      <c r="AQ1669">
        <f>IF($E1669="","",IF($AD1669="Yes",1,0))</f>
        <v/>
      </c>
      <c r="AR1669">
        <f>IF($AN1669=1,IFERROR(VALUE(MID($E1669,2,20)),1000000000)+ROW()/100000,"")</f>
        <v/>
      </c>
    </row>
    <row r="1670">
      <c r="G1670" s="11" t="n"/>
      <c r="Q1670" s="7">
        <f>IF($E1670="","",P1670*AB1670/100)</f>
        <v/>
      </c>
      <c r="R1670" s="7" t="n"/>
      <c r="X1670" s="7" t="n"/>
      <c r="Y1670" s="7">
        <f>IF($E1670="","",AB1670*AE1670/100)</f>
        <v/>
      </c>
      <c r="Z1670" s="7">
        <f>IF($E1670="","",AB1670-Y1670)</f>
        <v/>
      </c>
      <c r="AA1670" s="7">
        <f>IF($E1670="","",Z1670-Q1670)</f>
        <v/>
      </c>
      <c r="AB1670" s="7" t="n"/>
      <c r="AE1670">
        <f>IF($E1670="","",IF($AQ1670=1,0,IF($AP1670=1,Settings!$C$6,Settings!$C$7))*100)</f>
        <v/>
      </c>
      <c r="AI1670" s="7" t="n"/>
      <c r="AL1670" s="11" t="n"/>
      <c r="AN1670">
        <f>IF($E1670="","",IF(COUNTIF($E$2:$E1670,$E1670)=1,1,0))</f>
        <v/>
      </c>
      <c r="AO1670">
        <f>IF($AN1670=1,SUMPRODUCT(--($AR$2:$AR$3001&lt;$AR1670))+1,"")</f>
        <v/>
      </c>
      <c r="AP1670">
        <f>IF($E1670="","",IF(OR($U1670=TRUE(),$U1670="TRUE"),1,0))</f>
        <v/>
      </c>
      <c r="AQ1670">
        <f>IF($E1670="","",IF($AD1670="Yes",1,0))</f>
        <v/>
      </c>
      <c r="AR1670">
        <f>IF($AN1670=1,IFERROR(VALUE(MID($E1670,2,20)),1000000000)+ROW()/100000,"")</f>
        <v/>
      </c>
    </row>
    <row r="1671">
      <c r="G1671" s="11" t="n"/>
      <c r="Q1671" s="7">
        <f>IF($E1671="","",P1671*AB1671/100)</f>
        <v/>
      </c>
      <c r="R1671" s="7" t="n"/>
      <c r="X1671" s="7" t="n"/>
      <c r="Y1671" s="7">
        <f>IF($E1671="","",AB1671*AE1671/100)</f>
        <v/>
      </c>
      <c r="Z1671" s="7">
        <f>IF($E1671="","",AB1671-Y1671)</f>
        <v/>
      </c>
      <c r="AA1671" s="7">
        <f>IF($E1671="","",Z1671-Q1671)</f>
        <v/>
      </c>
      <c r="AB1671" s="7" t="n"/>
      <c r="AE1671">
        <f>IF($E1671="","",IF($AQ1671=1,0,IF($AP1671=1,Settings!$C$6,Settings!$C$7))*100)</f>
        <v/>
      </c>
      <c r="AI1671" s="7" t="n"/>
      <c r="AL1671" s="11" t="n"/>
      <c r="AN1671">
        <f>IF($E1671="","",IF(COUNTIF($E$2:$E1671,$E1671)=1,1,0))</f>
        <v/>
      </c>
      <c r="AO1671">
        <f>IF($AN1671=1,SUMPRODUCT(--($AR$2:$AR$3001&lt;$AR1671))+1,"")</f>
        <v/>
      </c>
      <c r="AP1671">
        <f>IF($E1671="","",IF(OR($U1671=TRUE(),$U1671="TRUE"),1,0))</f>
        <v/>
      </c>
      <c r="AQ1671">
        <f>IF($E1671="","",IF($AD1671="Yes",1,0))</f>
        <v/>
      </c>
      <c r="AR1671">
        <f>IF($AN1671=1,IFERROR(VALUE(MID($E1671,2,20)),1000000000)+ROW()/100000,"")</f>
        <v/>
      </c>
    </row>
    <row r="1672">
      <c r="G1672" s="11" t="n"/>
      <c r="Q1672" s="7">
        <f>IF($E1672="","",P1672*AB1672/100)</f>
        <v/>
      </c>
      <c r="R1672" s="7" t="n"/>
      <c r="X1672" s="7" t="n"/>
      <c r="Y1672" s="7">
        <f>IF($E1672="","",AB1672*AE1672/100)</f>
        <v/>
      </c>
      <c r="Z1672" s="7">
        <f>IF($E1672="","",AB1672-Y1672)</f>
        <v/>
      </c>
      <c r="AA1672" s="7">
        <f>IF($E1672="","",Z1672-Q1672)</f>
        <v/>
      </c>
      <c r="AB1672" s="7" t="n"/>
      <c r="AE1672">
        <f>IF($E1672="","",IF($AQ1672=1,0,IF($AP1672=1,Settings!$C$6,Settings!$C$7))*100)</f>
        <v/>
      </c>
      <c r="AI1672" s="7" t="n"/>
      <c r="AL1672" s="11" t="n"/>
      <c r="AN1672">
        <f>IF($E1672="","",IF(COUNTIF($E$2:$E1672,$E1672)=1,1,0))</f>
        <v/>
      </c>
      <c r="AO1672">
        <f>IF($AN1672=1,SUMPRODUCT(--($AR$2:$AR$3001&lt;$AR1672))+1,"")</f>
        <v/>
      </c>
      <c r="AP1672">
        <f>IF($E1672="","",IF(OR($U1672=TRUE(),$U1672="TRUE"),1,0))</f>
        <v/>
      </c>
      <c r="AQ1672">
        <f>IF($E1672="","",IF($AD1672="Yes",1,0))</f>
        <v/>
      </c>
      <c r="AR1672">
        <f>IF($AN1672=1,IFERROR(VALUE(MID($E1672,2,20)),1000000000)+ROW()/100000,"")</f>
        <v/>
      </c>
    </row>
    <row r="1673">
      <c r="G1673" s="11" t="n"/>
      <c r="Q1673" s="7">
        <f>IF($E1673="","",P1673*AB1673/100)</f>
        <v/>
      </c>
      <c r="R1673" s="7" t="n"/>
      <c r="X1673" s="7" t="n"/>
      <c r="Y1673" s="7">
        <f>IF($E1673="","",AB1673*AE1673/100)</f>
        <v/>
      </c>
      <c r="Z1673" s="7">
        <f>IF($E1673="","",AB1673-Y1673)</f>
        <v/>
      </c>
      <c r="AA1673" s="7">
        <f>IF($E1673="","",Z1673-Q1673)</f>
        <v/>
      </c>
      <c r="AB1673" s="7" t="n"/>
      <c r="AE1673">
        <f>IF($E1673="","",IF($AQ1673=1,0,IF($AP1673=1,Settings!$C$6,Settings!$C$7))*100)</f>
        <v/>
      </c>
      <c r="AI1673" s="7" t="n"/>
      <c r="AL1673" s="11" t="n"/>
      <c r="AN1673">
        <f>IF($E1673="","",IF(COUNTIF($E$2:$E1673,$E1673)=1,1,0))</f>
        <v/>
      </c>
      <c r="AO1673">
        <f>IF($AN1673=1,SUMPRODUCT(--($AR$2:$AR$3001&lt;$AR1673))+1,"")</f>
        <v/>
      </c>
      <c r="AP1673">
        <f>IF($E1673="","",IF(OR($U1673=TRUE(),$U1673="TRUE"),1,0))</f>
        <v/>
      </c>
      <c r="AQ1673">
        <f>IF($E1673="","",IF($AD1673="Yes",1,0))</f>
        <v/>
      </c>
      <c r="AR1673">
        <f>IF($AN1673=1,IFERROR(VALUE(MID($E1673,2,20)),1000000000)+ROW()/100000,"")</f>
        <v/>
      </c>
    </row>
    <row r="1674">
      <c r="G1674" s="11" t="n"/>
      <c r="Q1674" s="7">
        <f>IF($E1674="","",P1674*AB1674/100)</f>
        <v/>
      </c>
      <c r="R1674" s="7" t="n"/>
      <c r="X1674" s="7" t="n"/>
      <c r="Y1674" s="7">
        <f>IF($E1674="","",AB1674*AE1674/100)</f>
        <v/>
      </c>
      <c r="Z1674" s="7">
        <f>IF($E1674="","",AB1674-Y1674)</f>
        <v/>
      </c>
      <c r="AA1674" s="7">
        <f>IF($E1674="","",Z1674-Q1674)</f>
        <v/>
      </c>
      <c r="AB1674" s="7" t="n"/>
      <c r="AE1674">
        <f>IF($E1674="","",IF($AQ1674=1,0,IF($AP1674=1,Settings!$C$6,Settings!$C$7))*100)</f>
        <v/>
      </c>
      <c r="AI1674" s="7" t="n"/>
      <c r="AL1674" s="11" t="n"/>
      <c r="AN1674">
        <f>IF($E1674="","",IF(COUNTIF($E$2:$E1674,$E1674)=1,1,0))</f>
        <v/>
      </c>
      <c r="AO1674">
        <f>IF($AN1674=1,SUMPRODUCT(--($AR$2:$AR$3001&lt;$AR1674))+1,"")</f>
        <v/>
      </c>
      <c r="AP1674">
        <f>IF($E1674="","",IF(OR($U1674=TRUE(),$U1674="TRUE"),1,0))</f>
        <v/>
      </c>
      <c r="AQ1674">
        <f>IF($E1674="","",IF($AD1674="Yes",1,0))</f>
        <v/>
      </c>
      <c r="AR1674">
        <f>IF($AN1674=1,IFERROR(VALUE(MID($E1674,2,20)),1000000000)+ROW()/100000,"")</f>
        <v/>
      </c>
    </row>
    <row r="1675">
      <c r="G1675" s="11" t="n"/>
      <c r="Q1675" s="7">
        <f>IF($E1675="","",P1675*AB1675/100)</f>
        <v/>
      </c>
      <c r="R1675" s="7" t="n"/>
      <c r="X1675" s="7" t="n"/>
      <c r="Y1675" s="7">
        <f>IF($E1675="","",AB1675*AE1675/100)</f>
        <v/>
      </c>
      <c r="Z1675" s="7">
        <f>IF($E1675="","",AB1675-Y1675)</f>
        <v/>
      </c>
      <c r="AA1675" s="7">
        <f>IF($E1675="","",Z1675-Q1675)</f>
        <v/>
      </c>
      <c r="AB1675" s="7" t="n"/>
      <c r="AE1675">
        <f>IF($E1675="","",IF($AQ1675=1,0,IF($AP1675=1,Settings!$C$6,Settings!$C$7))*100)</f>
        <v/>
      </c>
      <c r="AI1675" s="7" t="n"/>
      <c r="AL1675" s="11" t="n"/>
      <c r="AN1675">
        <f>IF($E1675="","",IF(COUNTIF($E$2:$E1675,$E1675)=1,1,0))</f>
        <v/>
      </c>
      <c r="AO1675">
        <f>IF($AN1675=1,SUMPRODUCT(--($AR$2:$AR$3001&lt;$AR1675))+1,"")</f>
        <v/>
      </c>
      <c r="AP1675">
        <f>IF($E1675="","",IF(OR($U1675=TRUE(),$U1675="TRUE"),1,0))</f>
        <v/>
      </c>
      <c r="AQ1675">
        <f>IF($E1675="","",IF($AD1675="Yes",1,0))</f>
        <v/>
      </c>
      <c r="AR1675">
        <f>IF($AN1675=1,IFERROR(VALUE(MID($E1675,2,20)),1000000000)+ROW()/100000,"")</f>
        <v/>
      </c>
    </row>
    <row r="1676">
      <c r="G1676" s="11" t="n"/>
      <c r="Q1676" s="7">
        <f>IF($E1676="","",P1676*AB1676/100)</f>
        <v/>
      </c>
      <c r="R1676" s="7" t="n"/>
      <c r="X1676" s="7" t="n"/>
      <c r="Y1676" s="7">
        <f>IF($E1676="","",AB1676*AE1676/100)</f>
        <v/>
      </c>
      <c r="Z1676" s="7">
        <f>IF($E1676="","",AB1676-Y1676)</f>
        <v/>
      </c>
      <c r="AA1676" s="7">
        <f>IF($E1676="","",Z1676-Q1676)</f>
        <v/>
      </c>
      <c r="AB1676" s="7" t="n"/>
      <c r="AE1676">
        <f>IF($E1676="","",IF($AQ1676=1,0,IF($AP1676=1,Settings!$C$6,Settings!$C$7))*100)</f>
        <v/>
      </c>
      <c r="AI1676" s="7" t="n"/>
      <c r="AL1676" s="11" t="n"/>
      <c r="AN1676">
        <f>IF($E1676="","",IF(COUNTIF($E$2:$E1676,$E1676)=1,1,0))</f>
        <v/>
      </c>
      <c r="AO1676">
        <f>IF($AN1676=1,SUMPRODUCT(--($AR$2:$AR$3001&lt;$AR1676))+1,"")</f>
        <v/>
      </c>
      <c r="AP1676">
        <f>IF($E1676="","",IF(OR($U1676=TRUE(),$U1676="TRUE"),1,0))</f>
        <v/>
      </c>
      <c r="AQ1676">
        <f>IF($E1676="","",IF($AD1676="Yes",1,0))</f>
        <v/>
      </c>
      <c r="AR1676">
        <f>IF($AN1676=1,IFERROR(VALUE(MID($E1676,2,20)),1000000000)+ROW()/100000,"")</f>
        <v/>
      </c>
    </row>
    <row r="1677">
      <c r="G1677" s="11" t="n"/>
      <c r="Q1677" s="7">
        <f>IF($E1677="","",P1677*AB1677/100)</f>
        <v/>
      </c>
      <c r="R1677" s="7" t="n"/>
      <c r="X1677" s="7" t="n"/>
      <c r="Y1677" s="7">
        <f>IF($E1677="","",AB1677*AE1677/100)</f>
        <v/>
      </c>
      <c r="Z1677" s="7">
        <f>IF($E1677="","",AB1677-Y1677)</f>
        <v/>
      </c>
      <c r="AA1677" s="7">
        <f>IF($E1677="","",Z1677-Q1677)</f>
        <v/>
      </c>
      <c r="AB1677" s="7" t="n"/>
      <c r="AE1677">
        <f>IF($E1677="","",IF($AQ1677=1,0,IF($AP1677=1,Settings!$C$6,Settings!$C$7))*100)</f>
        <v/>
      </c>
      <c r="AI1677" s="7" t="n"/>
      <c r="AL1677" s="11" t="n"/>
      <c r="AN1677">
        <f>IF($E1677="","",IF(COUNTIF($E$2:$E1677,$E1677)=1,1,0))</f>
        <v/>
      </c>
      <c r="AO1677">
        <f>IF($AN1677=1,SUMPRODUCT(--($AR$2:$AR$3001&lt;$AR1677))+1,"")</f>
        <v/>
      </c>
      <c r="AP1677">
        <f>IF($E1677="","",IF(OR($U1677=TRUE(),$U1677="TRUE"),1,0))</f>
        <v/>
      </c>
      <c r="AQ1677">
        <f>IF($E1677="","",IF($AD1677="Yes",1,0))</f>
        <v/>
      </c>
      <c r="AR1677">
        <f>IF($AN1677=1,IFERROR(VALUE(MID($E1677,2,20)),1000000000)+ROW()/100000,"")</f>
        <v/>
      </c>
    </row>
    <row r="1678">
      <c r="G1678" s="11" t="n"/>
      <c r="Q1678" s="7">
        <f>IF($E1678="","",P1678*AB1678/100)</f>
        <v/>
      </c>
      <c r="R1678" s="7" t="n"/>
      <c r="X1678" s="7" t="n"/>
      <c r="Y1678" s="7">
        <f>IF($E1678="","",AB1678*AE1678/100)</f>
        <v/>
      </c>
      <c r="Z1678" s="7">
        <f>IF($E1678="","",AB1678-Y1678)</f>
        <v/>
      </c>
      <c r="AA1678" s="7">
        <f>IF($E1678="","",Z1678-Q1678)</f>
        <v/>
      </c>
      <c r="AB1678" s="7" t="n"/>
      <c r="AE1678">
        <f>IF($E1678="","",IF($AQ1678=1,0,IF($AP1678=1,Settings!$C$6,Settings!$C$7))*100)</f>
        <v/>
      </c>
      <c r="AI1678" s="7" t="n"/>
      <c r="AL1678" s="11" t="n"/>
      <c r="AN1678">
        <f>IF($E1678="","",IF(COUNTIF($E$2:$E1678,$E1678)=1,1,0))</f>
        <v/>
      </c>
      <c r="AO1678">
        <f>IF($AN1678=1,SUMPRODUCT(--($AR$2:$AR$3001&lt;$AR1678))+1,"")</f>
        <v/>
      </c>
      <c r="AP1678">
        <f>IF($E1678="","",IF(OR($U1678=TRUE(),$U1678="TRUE"),1,0))</f>
        <v/>
      </c>
      <c r="AQ1678">
        <f>IF($E1678="","",IF($AD1678="Yes",1,0))</f>
        <v/>
      </c>
      <c r="AR1678">
        <f>IF($AN1678=1,IFERROR(VALUE(MID($E1678,2,20)),1000000000)+ROW()/100000,"")</f>
        <v/>
      </c>
    </row>
    <row r="1679">
      <c r="G1679" s="11" t="n"/>
      <c r="Q1679" s="7">
        <f>IF($E1679="","",P1679*AB1679/100)</f>
        <v/>
      </c>
      <c r="R1679" s="7" t="n"/>
      <c r="X1679" s="7" t="n"/>
      <c r="Y1679" s="7">
        <f>IF($E1679="","",AB1679*AE1679/100)</f>
        <v/>
      </c>
      <c r="Z1679" s="7">
        <f>IF($E1679="","",AB1679-Y1679)</f>
        <v/>
      </c>
      <c r="AA1679" s="7">
        <f>IF($E1679="","",Z1679-Q1679)</f>
        <v/>
      </c>
      <c r="AB1679" s="7" t="n"/>
      <c r="AE1679">
        <f>IF($E1679="","",IF($AQ1679=1,0,IF($AP1679=1,Settings!$C$6,Settings!$C$7))*100)</f>
        <v/>
      </c>
      <c r="AI1679" s="7" t="n"/>
      <c r="AL1679" s="11" t="n"/>
      <c r="AN1679">
        <f>IF($E1679="","",IF(COUNTIF($E$2:$E1679,$E1679)=1,1,0))</f>
        <v/>
      </c>
      <c r="AO1679">
        <f>IF($AN1679=1,SUMPRODUCT(--($AR$2:$AR$3001&lt;$AR1679))+1,"")</f>
        <v/>
      </c>
      <c r="AP1679">
        <f>IF($E1679="","",IF(OR($U1679=TRUE(),$U1679="TRUE"),1,0))</f>
        <v/>
      </c>
      <c r="AQ1679">
        <f>IF($E1679="","",IF($AD1679="Yes",1,0))</f>
        <v/>
      </c>
      <c r="AR1679">
        <f>IF($AN1679=1,IFERROR(VALUE(MID($E1679,2,20)),1000000000)+ROW()/100000,"")</f>
        <v/>
      </c>
    </row>
    <row r="1680">
      <c r="G1680" s="11" t="n"/>
      <c r="Q1680" s="7">
        <f>IF($E1680="","",P1680*AB1680/100)</f>
        <v/>
      </c>
      <c r="R1680" s="7" t="n"/>
      <c r="X1680" s="7" t="n"/>
      <c r="Y1680" s="7">
        <f>IF($E1680="","",AB1680*AE1680/100)</f>
        <v/>
      </c>
      <c r="Z1680" s="7">
        <f>IF($E1680="","",AB1680-Y1680)</f>
        <v/>
      </c>
      <c r="AA1680" s="7">
        <f>IF($E1680="","",Z1680-Q1680)</f>
        <v/>
      </c>
      <c r="AB1680" s="7" t="n"/>
      <c r="AE1680">
        <f>IF($E1680="","",IF($AQ1680=1,0,IF($AP1680=1,Settings!$C$6,Settings!$C$7))*100)</f>
        <v/>
      </c>
      <c r="AI1680" s="7" t="n"/>
      <c r="AL1680" s="11" t="n"/>
      <c r="AN1680">
        <f>IF($E1680="","",IF(COUNTIF($E$2:$E1680,$E1680)=1,1,0))</f>
        <v/>
      </c>
      <c r="AO1680">
        <f>IF($AN1680=1,SUMPRODUCT(--($AR$2:$AR$3001&lt;$AR1680))+1,"")</f>
        <v/>
      </c>
      <c r="AP1680">
        <f>IF($E1680="","",IF(OR($U1680=TRUE(),$U1680="TRUE"),1,0))</f>
        <v/>
      </c>
      <c r="AQ1680">
        <f>IF($E1680="","",IF($AD1680="Yes",1,0))</f>
        <v/>
      </c>
      <c r="AR1680">
        <f>IF($AN1680=1,IFERROR(VALUE(MID($E1680,2,20)),1000000000)+ROW()/100000,"")</f>
        <v/>
      </c>
    </row>
    <row r="1681">
      <c r="G1681" s="11" t="n"/>
      <c r="Q1681" s="7">
        <f>IF($E1681="","",P1681*AB1681/100)</f>
        <v/>
      </c>
      <c r="R1681" s="7" t="n"/>
      <c r="X1681" s="7" t="n"/>
      <c r="Y1681" s="7">
        <f>IF($E1681="","",AB1681*AE1681/100)</f>
        <v/>
      </c>
      <c r="Z1681" s="7">
        <f>IF($E1681="","",AB1681-Y1681)</f>
        <v/>
      </c>
      <c r="AA1681" s="7">
        <f>IF($E1681="","",Z1681-Q1681)</f>
        <v/>
      </c>
      <c r="AB1681" s="7" t="n"/>
      <c r="AE1681">
        <f>IF($E1681="","",IF($AQ1681=1,0,IF($AP1681=1,Settings!$C$6,Settings!$C$7))*100)</f>
        <v/>
      </c>
      <c r="AI1681" s="7" t="n"/>
      <c r="AL1681" s="11" t="n"/>
      <c r="AN1681">
        <f>IF($E1681="","",IF(COUNTIF($E$2:$E1681,$E1681)=1,1,0))</f>
        <v/>
      </c>
      <c r="AO1681">
        <f>IF($AN1681=1,SUMPRODUCT(--($AR$2:$AR$3001&lt;$AR1681))+1,"")</f>
        <v/>
      </c>
      <c r="AP1681">
        <f>IF($E1681="","",IF(OR($U1681=TRUE(),$U1681="TRUE"),1,0))</f>
        <v/>
      </c>
      <c r="AQ1681">
        <f>IF($E1681="","",IF($AD1681="Yes",1,0))</f>
        <v/>
      </c>
      <c r="AR1681">
        <f>IF($AN1681=1,IFERROR(VALUE(MID($E1681,2,20)),1000000000)+ROW()/100000,"")</f>
        <v/>
      </c>
    </row>
    <row r="1682">
      <c r="G1682" s="11" t="n"/>
      <c r="Q1682" s="7">
        <f>IF($E1682="","",P1682*AB1682/100)</f>
        <v/>
      </c>
      <c r="R1682" s="7" t="n"/>
      <c r="X1682" s="7" t="n"/>
      <c r="Y1682" s="7">
        <f>IF($E1682="","",AB1682*AE1682/100)</f>
        <v/>
      </c>
      <c r="Z1682" s="7">
        <f>IF($E1682="","",AB1682-Y1682)</f>
        <v/>
      </c>
      <c r="AA1682" s="7">
        <f>IF($E1682="","",Z1682-Q1682)</f>
        <v/>
      </c>
      <c r="AB1682" s="7" t="n"/>
      <c r="AE1682">
        <f>IF($E1682="","",IF($AQ1682=1,0,IF($AP1682=1,Settings!$C$6,Settings!$C$7))*100)</f>
        <v/>
      </c>
      <c r="AI1682" s="7" t="n"/>
      <c r="AL1682" s="11" t="n"/>
      <c r="AN1682">
        <f>IF($E1682="","",IF(COUNTIF($E$2:$E1682,$E1682)=1,1,0))</f>
        <v/>
      </c>
      <c r="AO1682">
        <f>IF($AN1682=1,SUMPRODUCT(--($AR$2:$AR$3001&lt;$AR1682))+1,"")</f>
        <v/>
      </c>
      <c r="AP1682">
        <f>IF($E1682="","",IF(OR($U1682=TRUE(),$U1682="TRUE"),1,0))</f>
        <v/>
      </c>
      <c r="AQ1682">
        <f>IF($E1682="","",IF($AD1682="Yes",1,0))</f>
        <v/>
      </c>
      <c r="AR1682">
        <f>IF($AN1682=1,IFERROR(VALUE(MID($E1682,2,20)),1000000000)+ROW()/100000,"")</f>
        <v/>
      </c>
    </row>
    <row r="1683">
      <c r="G1683" s="11" t="n"/>
      <c r="Q1683" s="7">
        <f>IF($E1683="","",P1683*AB1683/100)</f>
        <v/>
      </c>
      <c r="R1683" s="7" t="n"/>
      <c r="X1683" s="7" t="n"/>
      <c r="Y1683" s="7">
        <f>IF($E1683="","",AB1683*AE1683/100)</f>
        <v/>
      </c>
      <c r="Z1683" s="7">
        <f>IF($E1683="","",AB1683-Y1683)</f>
        <v/>
      </c>
      <c r="AA1683" s="7">
        <f>IF($E1683="","",Z1683-Q1683)</f>
        <v/>
      </c>
      <c r="AB1683" s="7" t="n"/>
      <c r="AE1683">
        <f>IF($E1683="","",IF($AQ1683=1,0,IF($AP1683=1,Settings!$C$6,Settings!$C$7))*100)</f>
        <v/>
      </c>
      <c r="AI1683" s="7" t="n"/>
      <c r="AL1683" s="11" t="n"/>
      <c r="AN1683">
        <f>IF($E1683="","",IF(COUNTIF($E$2:$E1683,$E1683)=1,1,0))</f>
        <v/>
      </c>
      <c r="AO1683">
        <f>IF($AN1683=1,SUMPRODUCT(--($AR$2:$AR$3001&lt;$AR1683))+1,"")</f>
        <v/>
      </c>
      <c r="AP1683">
        <f>IF($E1683="","",IF(OR($U1683=TRUE(),$U1683="TRUE"),1,0))</f>
        <v/>
      </c>
      <c r="AQ1683">
        <f>IF($E1683="","",IF($AD1683="Yes",1,0))</f>
        <v/>
      </c>
      <c r="AR1683">
        <f>IF($AN1683=1,IFERROR(VALUE(MID($E1683,2,20)),1000000000)+ROW()/100000,"")</f>
        <v/>
      </c>
    </row>
    <row r="1684">
      <c r="G1684" s="11" t="n"/>
      <c r="Q1684" s="7">
        <f>IF($E1684="","",P1684*AB1684/100)</f>
        <v/>
      </c>
      <c r="R1684" s="7" t="n"/>
      <c r="X1684" s="7" t="n"/>
      <c r="Y1684" s="7">
        <f>IF($E1684="","",AB1684*AE1684/100)</f>
        <v/>
      </c>
      <c r="Z1684" s="7">
        <f>IF($E1684="","",AB1684-Y1684)</f>
        <v/>
      </c>
      <c r="AA1684" s="7">
        <f>IF($E1684="","",Z1684-Q1684)</f>
        <v/>
      </c>
      <c r="AB1684" s="7" t="n"/>
      <c r="AE1684">
        <f>IF($E1684="","",IF($AQ1684=1,0,IF($AP1684=1,Settings!$C$6,Settings!$C$7))*100)</f>
        <v/>
      </c>
      <c r="AI1684" s="7" t="n"/>
      <c r="AL1684" s="11" t="n"/>
      <c r="AN1684">
        <f>IF($E1684="","",IF(COUNTIF($E$2:$E1684,$E1684)=1,1,0))</f>
        <v/>
      </c>
      <c r="AO1684">
        <f>IF($AN1684=1,SUMPRODUCT(--($AR$2:$AR$3001&lt;$AR1684))+1,"")</f>
        <v/>
      </c>
      <c r="AP1684">
        <f>IF($E1684="","",IF(OR($U1684=TRUE(),$U1684="TRUE"),1,0))</f>
        <v/>
      </c>
      <c r="AQ1684">
        <f>IF($E1684="","",IF($AD1684="Yes",1,0))</f>
        <v/>
      </c>
      <c r="AR1684">
        <f>IF($AN1684=1,IFERROR(VALUE(MID($E1684,2,20)),1000000000)+ROW()/100000,"")</f>
        <v/>
      </c>
    </row>
    <row r="1685">
      <c r="G1685" s="11" t="n"/>
      <c r="Q1685" s="7">
        <f>IF($E1685="","",P1685*AB1685/100)</f>
        <v/>
      </c>
      <c r="R1685" s="7" t="n"/>
      <c r="X1685" s="7" t="n"/>
      <c r="Y1685" s="7">
        <f>IF($E1685="","",AB1685*AE1685/100)</f>
        <v/>
      </c>
      <c r="Z1685" s="7">
        <f>IF($E1685="","",AB1685-Y1685)</f>
        <v/>
      </c>
      <c r="AA1685" s="7">
        <f>IF($E1685="","",Z1685-Q1685)</f>
        <v/>
      </c>
      <c r="AB1685" s="7" t="n"/>
      <c r="AE1685">
        <f>IF($E1685="","",IF($AQ1685=1,0,IF($AP1685=1,Settings!$C$6,Settings!$C$7))*100)</f>
        <v/>
      </c>
      <c r="AI1685" s="7" t="n"/>
      <c r="AL1685" s="11" t="n"/>
      <c r="AN1685">
        <f>IF($E1685="","",IF(COUNTIF($E$2:$E1685,$E1685)=1,1,0))</f>
        <v/>
      </c>
      <c r="AO1685">
        <f>IF($AN1685=1,SUMPRODUCT(--($AR$2:$AR$3001&lt;$AR1685))+1,"")</f>
        <v/>
      </c>
      <c r="AP1685">
        <f>IF($E1685="","",IF(OR($U1685=TRUE(),$U1685="TRUE"),1,0))</f>
        <v/>
      </c>
      <c r="AQ1685">
        <f>IF($E1685="","",IF($AD1685="Yes",1,0))</f>
        <v/>
      </c>
      <c r="AR1685">
        <f>IF($AN1685=1,IFERROR(VALUE(MID($E1685,2,20)),1000000000)+ROW()/100000,"")</f>
        <v/>
      </c>
    </row>
    <row r="1686">
      <c r="G1686" s="11" t="n"/>
      <c r="Q1686" s="7">
        <f>IF($E1686="","",P1686*AB1686/100)</f>
        <v/>
      </c>
      <c r="R1686" s="7" t="n"/>
      <c r="X1686" s="7" t="n"/>
      <c r="Y1686" s="7">
        <f>IF($E1686="","",AB1686*AE1686/100)</f>
        <v/>
      </c>
      <c r="Z1686" s="7">
        <f>IF($E1686="","",AB1686-Y1686)</f>
        <v/>
      </c>
      <c r="AA1686" s="7">
        <f>IF($E1686="","",Z1686-Q1686)</f>
        <v/>
      </c>
      <c r="AB1686" s="7" t="n"/>
      <c r="AE1686">
        <f>IF($E1686="","",IF($AQ1686=1,0,IF($AP1686=1,Settings!$C$6,Settings!$C$7))*100)</f>
        <v/>
      </c>
      <c r="AI1686" s="7" t="n"/>
      <c r="AL1686" s="11" t="n"/>
      <c r="AN1686">
        <f>IF($E1686="","",IF(COUNTIF($E$2:$E1686,$E1686)=1,1,0))</f>
        <v/>
      </c>
      <c r="AO1686">
        <f>IF($AN1686=1,SUMPRODUCT(--($AR$2:$AR$3001&lt;$AR1686))+1,"")</f>
        <v/>
      </c>
      <c r="AP1686">
        <f>IF($E1686="","",IF(OR($U1686=TRUE(),$U1686="TRUE"),1,0))</f>
        <v/>
      </c>
      <c r="AQ1686">
        <f>IF($E1686="","",IF($AD1686="Yes",1,0))</f>
        <v/>
      </c>
      <c r="AR1686">
        <f>IF($AN1686=1,IFERROR(VALUE(MID($E1686,2,20)),1000000000)+ROW()/100000,"")</f>
        <v/>
      </c>
    </row>
    <row r="1687">
      <c r="G1687" s="11" t="n"/>
      <c r="Q1687" s="7">
        <f>IF($E1687="","",P1687*AB1687/100)</f>
        <v/>
      </c>
      <c r="R1687" s="7" t="n"/>
      <c r="X1687" s="7" t="n"/>
      <c r="Y1687" s="7">
        <f>IF($E1687="","",AB1687*AE1687/100)</f>
        <v/>
      </c>
      <c r="Z1687" s="7">
        <f>IF($E1687="","",AB1687-Y1687)</f>
        <v/>
      </c>
      <c r="AA1687" s="7">
        <f>IF($E1687="","",Z1687-Q1687)</f>
        <v/>
      </c>
      <c r="AB1687" s="7" t="n"/>
      <c r="AE1687">
        <f>IF($E1687="","",IF($AQ1687=1,0,IF($AP1687=1,Settings!$C$6,Settings!$C$7))*100)</f>
        <v/>
      </c>
      <c r="AI1687" s="7" t="n"/>
      <c r="AL1687" s="11" t="n"/>
      <c r="AN1687">
        <f>IF($E1687="","",IF(COUNTIF($E$2:$E1687,$E1687)=1,1,0))</f>
        <v/>
      </c>
      <c r="AO1687">
        <f>IF($AN1687=1,SUMPRODUCT(--($AR$2:$AR$3001&lt;$AR1687))+1,"")</f>
        <v/>
      </c>
      <c r="AP1687">
        <f>IF($E1687="","",IF(OR($U1687=TRUE(),$U1687="TRUE"),1,0))</f>
        <v/>
      </c>
      <c r="AQ1687">
        <f>IF($E1687="","",IF($AD1687="Yes",1,0))</f>
        <v/>
      </c>
      <c r="AR1687">
        <f>IF($AN1687=1,IFERROR(VALUE(MID($E1687,2,20)),1000000000)+ROW()/100000,"")</f>
        <v/>
      </c>
    </row>
    <row r="1688">
      <c r="G1688" s="11" t="n"/>
      <c r="Q1688" s="7">
        <f>IF($E1688="","",P1688*AB1688/100)</f>
        <v/>
      </c>
      <c r="R1688" s="7" t="n"/>
      <c r="X1688" s="7" t="n"/>
      <c r="Y1688" s="7">
        <f>IF($E1688="","",AB1688*AE1688/100)</f>
        <v/>
      </c>
      <c r="Z1688" s="7">
        <f>IF($E1688="","",AB1688-Y1688)</f>
        <v/>
      </c>
      <c r="AA1688" s="7">
        <f>IF($E1688="","",Z1688-Q1688)</f>
        <v/>
      </c>
      <c r="AB1688" s="7" t="n"/>
      <c r="AE1688">
        <f>IF($E1688="","",IF($AQ1688=1,0,IF($AP1688=1,Settings!$C$6,Settings!$C$7))*100)</f>
        <v/>
      </c>
      <c r="AI1688" s="7" t="n"/>
      <c r="AL1688" s="11" t="n"/>
      <c r="AN1688">
        <f>IF($E1688="","",IF(COUNTIF($E$2:$E1688,$E1688)=1,1,0))</f>
        <v/>
      </c>
      <c r="AO1688">
        <f>IF($AN1688=1,SUMPRODUCT(--($AR$2:$AR$3001&lt;$AR1688))+1,"")</f>
        <v/>
      </c>
      <c r="AP1688">
        <f>IF($E1688="","",IF(OR($U1688=TRUE(),$U1688="TRUE"),1,0))</f>
        <v/>
      </c>
      <c r="AQ1688">
        <f>IF($E1688="","",IF($AD1688="Yes",1,0))</f>
        <v/>
      </c>
      <c r="AR1688">
        <f>IF($AN1688=1,IFERROR(VALUE(MID($E1688,2,20)),1000000000)+ROW()/100000,"")</f>
        <v/>
      </c>
    </row>
    <row r="1689">
      <c r="G1689" s="11" t="n"/>
      <c r="Q1689" s="7">
        <f>IF($E1689="","",P1689*AB1689/100)</f>
        <v/>
      </c>
      <c r="R1689" s="7" t="n"/>
      <c r="X1689" s="7" t="n"/>
      <c r="Y1689" s="7">
        <f>IF($E1689="","",AB1689*AE1689/100)</f>
        <v/>
      </c>
      <c r="Z1689" s="7">
        <f>IF($E1689="","",AB1689-Y1689)</f>
        <v/>
      </c>
      <c r="AA1689" s="7">
        <f>IF($E1689="","",Z1689-Q1689)</f>
        <v/>
      </c>
      <c r="AB1689" s="7" t="n"/>
      <c r="AE1689">
        <f>IF($E1689="","",IF($AQ1689=1,0,IF($AP1689=1,Settings!$C$6,Settings!$C$7))*100)</f>
        <v/>
      </c>
      <c r="AI1689" s="7" t="n"/>
      <c r="AL1689" s="11" t="n"/>
      <c r="AN1689">
        <f>IF($E1689="","",IF(COUNTIF($E$2:$E1689,$E1689)=1,1,0))</f>
        <v/>
      </c>
      <c r="AO1689">
        <f>IF($AN1689=1,SUMPRODUCT(--($AR$2:$AR$3001&lt;$AR1689))+1,"")</f>
        <v/>
      </c>
      <c r="AP1689">
        <f>IF($E1689="","",IF(OR($U1689=TRUE(),$U1689="TRUE"),1,0))</f>
        <v/>
      </c>
      <c r="AQ1689">
        <f>IF($E1689="","",IF($AD1689="Yes",1,0))</f>
        <v/>
      </c>
      <c r="AR1689">
        <f>IF($AN1689=1,IFERROR(VALUE(MID($E1689,2,20)),1000000000)+ROW()/100000,"")</f>
        <v/>
      </c>
    </row>
    <row r="1690">
      <c r="G1690" s="11" t="n"/>
      <c r="Q1690" s="7">
        <f>IF($E1690="","",P1690*AB1690/100)</f>
        <v/>
      </c>
      <c r="R1690" s="7" t="n"/>
      <c r="X1690" s="7" t="n"/>
      <c r="Y1690" s="7">
        <f>IF($E1690="","",AB1690*AE1690/100)</f>
        <v/>
      </c>
      <c r="Z1690" s="7">
        <f>IF($E1690="","",AB1690-Y1690)</f>
        <v/>
      </c>
      <c r="AA1690" s="7">
        <f>IF($E1690="","",Z1690-Q1690)</f>
        <v/>
      </c>
      <c r="AB1690" s="7" t="n"/>
      <c r="AE1690">
        <f>IF($E1690="","",IF($AQ1690=1,0,IF($AP1690=1,Settings!$C$6,Settings!$C$7))*100)</f>
        <v/>
      </c>
      <c r="AI1690" s="7" t="n"/>
      <c r="AL1690" s="11" t="n"/>
      <c r="AN1690">
        <f>IF($E1690="","",IF(COUNTIF($E$2:$E1690,$E1690)=1,1,0))</f>
        <v/>
      </c>
      <c r="AO1690">
        <f>IF($AN1690=1,SUMPRODUCT(--($AR$2:$AR$3001&lt;$AR1690))+1,"")</f>
        <v/>
      </c>
      <c r="AP1690">
        <f>IF($E1690="","",IF(OR($U1690=TRUE(),$U1690="TRUE"),1,0))</f>
        <v/>
      </c>
      <c r="AQ1690">
        <f>IF($E1690="","",IF($AD1690="Yes",1,0))</f>
        <v/>
      </c>
      <c r="AR1690">
        <f>IF($AN1690=1,IFERROR(VALUE(MID($E1690,2,20)),1000000000)+ROW()/100000,"")</f>
        <v/>
      </c>
    </row>
    <row r="1691">
      <c r="G1691" s="11" t="n"/>
      <c r="Q1691" s="7">
        <f>IF($E1691="","",P1691*AB1691/100)</f>
        <v/>
      </c>
      <c r="R1691" s="7" t="n"/>
      <c r="X1691" s="7" t="n"/>
      <c r="Y1691" s="7">
        <f>IF($E1691="","",AB1691*AE1691/100)</f>
        <v/>
      </c>
      <c r="Z1691" s="7">
        <f>IF($E1691="","",AB1691-Y1691)</f>
        <v/>
      </c>
      <c r="AA1691" s="7">
        <f>IF($E1691="","",Z1691-Q1691)</f>
        <v/>
      </c>
      <c r="AB1691" s="7" t="n"/>
      <c r="AE1691">
        <f>IF($E1691="","",IF($AQ1691=1,0,IF($AP1691=1,Settings!$C$6,Settings!$C$7))*100)</f>
        <v/>
      </c>
      <c r="AI1691" s="7" t="n"/>
      <c r="AL1691" s="11" t="n"/>
      <c r="AN1691">
        <f>IF($E1691="","",IF(COUNTIF($E$2:$E1691,$E1691)=1,1,0))</f>
        <v/>
      </c>
      <c r="AO1691">
        <f>IF($AN1691=1,SUMPRODUCT(--($AR$2:$AR$3001&lt;$AR1691))+1,"")</f>
        <v/>
      </c>
      <c r="AP1691">
        <f>IF($E1691="","",IF(OR($U1691=TRUE(),$U1691="TRUE"),1,0))</f>
        <v/>
      </c>
      <c r="AQ1691">
        <f>IF($E1691="","",IF($AD1691="Yes",1,0))</f>
        <v/>
      </c>
      <c r="AR1691">
        <f>IF($AN1691=1,IFERROR(VALUE(MID($E1691,2,20)),1000000000)+ROW()/100000,"")</f>
        <v/>
      </c>
    </row>
    <row r="1692">
      <c r="G1692" s="11" t="n"/>
      <c r="Q1692" s="7">
        <f>IF($E1692="","",P1692*AB1692/100)</f>
        <v/>
      </c>
      <c r="R1692" s="7" t="n"/>
      <c r="X1692" s="7" t="n"/>
      <c r="Y1692" s="7">
        <f>IF($E1692="","",AB1692*AE1692/100)</f>
        <v/>
      </c>
      <c r="Z1692" s="7">
        <f>IF($E1692="","",AB1692-Y1692)</f>
        <v/>
      </c>
      <c r="AA1692" s="7">
        <f>IF($E1692="","",Z1692-Q1692)</f>
        <v/>
      </c>
      <c r="AB1692" s="7" t="n"/>
      <c r="AE1692">
        <f>IF($E1692="","",IF($AQ1692=1,0,IF($AP1692=1,Settings!$C$6,Settings!$C$7))*100)</f>
        <v/>
      </c>
      <c r="AI1692" s="7" t="n"/>
      <c r="AL1692" s="11" t="n"/>
      <c r="AN1692">
        <f>IF($E1692="","",IF(COUNTIF($E$2:$E1692,$E1692)=1,1,0))</f>
        <v/>
      </c>
      <c r="AO1692">
        <f>IF($AN1692=1,SUMPRODUCT(--($AR$2:$AR$3001&lt;$AR1692))+1,"")</f>
        <v/>
      </c>
      <c r="AP1692">
        <f>IF($E1692="","",IF(OR($U1692=TRUE(),$U1692="TRUE"),1,0))</f>
        <v/>
      </c>
      <c r="AQ1692">
        <f>IF($E1692="","",IF($AD1692="Yes",1,0))</f>
        <v/>
      </c>
      <c r="AR1692">
        <f>IF($AN1692=1,IFERROR(VALUE(MID($E1692,2,20)),1000000000)+ROW()/100000,"")</f>
        <v/>
      </c>
    </row>
    <row r="1693">
      <c r="G1693" s="11" t="n"/>
      <c r="Q1693" s="7">
        <f>IF($E1693="","",P1693*AB1693/100)</f>
        <v/>
      </c>
      <c r="R1693" s="7" t="n"/>
      <c r="X1693" s="7" t="n"/>
      <c r="Y1693" s="7">
        <f>IF($E1693="","",AB1693*AE1693/100)</f>
        <v/>
      </c>
      <c r="Z1693" s="7">
        <f>IF($E1693="","",AB1693-Y1693)</f>
        <v/>
      </c>
      <c r="AA1693" s="7">
        <f>IF($E1693="","",Z1693-Q1693)</f>
        <v/>
      </c>
      <c r="AB1693" s="7" t="n"/>
      <c r="AE1693">
        <f>IF($E1693="","",IF($AQ1693=1,0,IF($AP1693=1,Settings!$C$6,Settings!$C$7))*100)</f>
        <v/>
      </c>
      <c r="AI1693" s="7" t="n"/>
      <c r="AL1693" s="11" t="n"/>
      <c r="AN1693">
        <f>IF($E1693="","",IF(COUNTIF($E$2:$E1693,$E1693)=1,1,0))</f>
        <v/>
      </c>
      <c r="AO1693">
        <f>IF($AN1693=1,SUMPRODUCT(--($AR$2:$AR$3001&lt;$AR1693))+1,"")</f>
        <v/>
      </c>
      <c r="AP1693">
        <f>IF($E1693="","",IF(OR($U1693=TRUE(),$U1693="TRUE"),1,0))</f>
        <v/>
      </c>
      <c r="AQ1693">
        <f>IF($E1693="","",IF($AD1693="Yes",1,0))</f>
        <v/>
      </c>
      <c r="AR1693">
        <f>IF($AN1693=1,IFERROR(VALUE(MID($E1693,2,20)),1000000000)+ROW()/100000,"")</f>
        <v/>
      </c>
    </row>
    <row r="1694">
      <c r="G1694" s="11" t="n"/>
      <c r="Q1694" s="7">
        <f>IF($E1694="","",P1694*AB1694/100)</f>
        <v/>
      </c>
      <c r="R1694" s="7" t="n"/>
      <c r="X1694" s="7" t="n"/>
      <c r="Y1694" s="7">
        <f>IF($E1694="","",AB1694*AE1694/100)</f>
        <v/>
      </c>
      <c r="Z1694" s="7">
        <f>IF($E1694="","",AB1694-Y1694)</f>
        <v/>
      </c>
      <c r="AA1694" s="7">
        <f>IF($E1694="","",Z1694-Q1694)</f>
        <v/>
      </c>
      <c r="AB1694" s="7" t="n"/>
      <c r="AE1694">
        <f>IF($E1694="","",IF($AQ1694=1,0,IF($AP1694=1,Settings!$C$6,Settings!$C$7))*100)</f>
        <v/>
      </c>
      <c r="AI1694" s="7" t="n"/>
      <c r="AL1694" s="11" t="n"/>
      <c r="AN1694">
        <f>IF($E1694="","",IF(COUNTIF($E$2:$E1694,$E1694)=1,1,0))</f>
        <v/>
      </c>
      <c r="AO1694">
        <f>IF($AN1694=1,SUMPRODUCT(--($AR$2:$AR$3001&lt;$AR1694))+1,"")</f>
        <v/>
      </c>
      <c r="AP1694">
        <f>IF($E1694="","",IF(OR($U1694=TRUE(),$U1694="TRUE"),1,0))</f>
        <v/>
      </c>
      <c r="AQ1694">
        <f>IF($E1694="","",IF($AD1694="Yes",1,0))</f>
        <v/>
      </c>
      <c r="AR1694">
        <f>IF($AN1694=1,IFERROR(VALUE(MID($E1694,2,20)),1000000000)+ROW()/100000,"")</f>
        <v/>
      </c>
    </row>
    <row r="1695">
      <c r="G1695" s="11" t="n"/>
      <c r="Q1695" s="7">
        <f>IF($E1695="","",P1695*AB1695/100)</f>
        <v/>
      </c>
      <c r="R1695" s="7" t="n"/>
      <c r="X1695" s="7" t="n"/>
      <c r="Y1695" s="7">
        <f>IF($E1695="","",AB1695*AE1695/100)</f>
        <v/>
      </c>
      <c r="Z1695" s="7">
        <f>IF($E1695="","",AB1695-Y1695)</f>
        <v/>
      </c>
      <c r="AA1695" s="7">
        <f>IF($E1695="","",Z1695-Q1695)</f>
        <v/>
      </c>
      <c r="AB1695" s="7" t="n"/>
      <c r="AE1695">
        <f>IF($E1695="","",IF($AQ1695=1,0,IF($AP1695=1,Settings!$C$6,Settings!$C$7))*100)</f>
        <v/>
      </c>
      <c r="AI1695" s="7" t="n"/>
      <c r="AL1695" s="11" t="n"/>
      <c r="AN1695">
        <f>IF($E1695="","",IF(COUNTIF($E$2:$E1695,$E1695)=1,1,0))</f>
        <v/>
      </c>
      <c r="AO1695">
        <f>IF($AN1695=1,SUMPRODUCT(--($AR$2:$AR$3001&lt;$AR1695))+1,"")</f>
        <v/>
      </c>
      <c r="AP1695">
        <f>IF($E1695="","",IF(OR($U1695=TRUE(),$U1695="TRUE"),1,0))</f>
        <v/>
      </c>
      <c r="AQ1695">
        <f>IF($E1695="","",IF($AD1695="Yes",1,0))</f>
        <v/>
      </c>
      <c r="AR1695">
        <f>IF($AN1695=1,IFERROR(VALUE(MID($E1695,2,20)),1000000000)+ROW()/100000,"")</f>
        <v/>
      </c>
    </row>
    <row r="1696">
      <c r="G1696" s="11" t="n"/>
      <c r="Q1696" s="7">
        <f>IF($E1696="","",P1696*AB1696/100)</f>
        <v/>
      </c>
      <c r="R1696" s="7" t="n"/>
      <c r="X1696" s="7" t="n"/>
      <c r="Y1696" s="7">
        <f>IF($E1696="","",AB1696*AE1696/100)</f>
        <v/>
      </c>
      <c r="Z1696" s="7">
        <f>IF($E1696="","",AB1696-Y1696)</f>
        <v/>
      </c>
      <c r="AA1696" s="7">
        <f>IF($E1696="","",Z1696-Q1696)</f>
        <v/>
      </c>
      <c r="AB1696" s="7" t="n"/>
      <c r="AE1696">
        <f>IF($E1696="","",IF($AQ1696=1,0,IF($AP1696=1,Settings!$C$6,Settings!$C$7))*100)</f>
        <v/>
      </c>
      <c r="AI1696" s="7" t="n"/>
      <c r="AL1696" s="11" t="n"/>
      <c r="AN1696">
        <f>IF($E1696="","",IF(COUNTIF($E$2:$E1696,$E1696)=1,1,0))</f>
        <v/>
      </c>
      <c r="AO1696">
        <f>IF($AN1696=1,SUMPRODUCT(--($AR$2:$AR$3001&lt;$AR1696))+1,"")</f>
        <v/>
      </c>
      <c r="AP1696">
        <f>IF($E1696="","",IF(OR($U1696=TRUE(),$U1696="TRUE"),1,0))</f>
        <v/>
      </c>
      <c r="AQ1696">
        <f>IF($E1696="","",IF($AD1696="Yes",1,0))</f>
        <v/>
      </c>
      <c r="AR1696">
        <f>IF($AN1696=1,IFERROR(VALUE(MID($E1696,2,20)),1000000000)+ROW()/100000,"")</f>
        <v/>
      </c>
    </row>
    <row r="1697">
      <c r="G1697" s="11" t="n"/>
      <c r="Q1697" s="7">
        <f>IF($E1697="","",P1697*AB1697/100)</f>
        <v/>
      </c>
      <c r="R1697" s="7" t="n"/>
      <c r="X1697" s="7" t="n"/>
      <c r="Y1697" s="7">
        <f>IF($E1697="","",AB1697*AE1697/100)</f>
        <v/>
      </c>
      <c r="Z1697" s="7">
        <f>IF($E1697="","",AB1697-Y1697)</f>
        <v/>
      </c>
      <c r="AA1697" s="7">
        <f>IF($E1697="","",Z1697-Q1697)</f>
        <v/>
      </c>
      <c r="AB1697" s="7" t="n"/>
      <c r="AE1697">
        <f>IF($E1697="","",IF($AQ1697=1,0,IF($AP1697=1,Settings!$C$6,Settings!$C$7))*100)</f>
        <v/>
      </c>
      <c r="AI1697" s="7" t="n"/>
      <c r="AL1697" s="11" t="n"/>
      <c r="AN1697">
        <f>IF($E1697="","",IF(COUNTIF($E$2:$E1697,$E1697)=1,1,0))</f>
        <v/>
      </c>
      <c r="AO1697">
        <f>IF($AN1697=1,SUMPRODUCT(--($AR$2:$AR$3001&lt;$AR1697))+1,"")</f>
        <v/>
      </c>
      <c r="AP1697">
        <f>IF($E1697="","",IF(OR($U1697=TRUE(),$U1697="TRUE"),1,0))</f>
        <v/>
      </c>
      <c r="AQ1697">
        <f>IF($E1697="","",IF($AD1697="Yes",1,0))</f>
        <v/>
      </c>
      <c r="AR1697">
        <f>IF($AN1697=1,IFERROR(VALUE(MID($E1697,2,20)),1000000000)+ROW()/100000,"")</f>
        <v/>
      </c>
    </row>
    <row r="1698">
      <c r="G1698" s="11" t="n"/>
      <c r="Q1698" s="7">
        <f>IF($E1698="","",P1698*AB1698/100)</f>
        <v/>
      </c>
      <c r="R1698" s="7" t="n"/>
      <c r="X1698" s="7" t="n"/>
      <c r="Y1698" s="7">
        <f>IF($E1698="","",AB1698*AE1698/100)</f>
        <v/>
      </c>
      <c r="Z1698" s="7">
        <f>IF($E1698="","",AB1698-Y1698)</f>
        <v/>
      </c>
      <c r="AA1698" s="7">
        <f>IF($E1698="","",Z1698-Q1698)</f>
        <v/>
      </c>
      <c r="AB1698" s="7" t="n"/>
      <c r="AE1698">
        <f>IF($E1698="","",IF($AQ1698=1,0,IF($AP1698=1,Settings!$C$6,Settings!$C$7))*100)</f>
        <v/>
      </c>
      <c r="AI1698" s="7" t="n"/>
      <c r="AL1698" s="11" t="n"/>
      <c r="AN1698">
        <f>IF($E1698="","",IF(COUNTIF($E$2:$E1698,$E1698)=1,1,0))</f>
        <v/>
      </c>
      <c r="AO1698">
        <f>IF($AN1698=1,SUMPRODUCT(--($AR$2:$AR$3001&lt;$AR1698))+1,"")</f>
        <v/>
      </c>
      <c r="AP1698">
        <f>IF($E1698="","",IF(OR($U1698=TRUE(),$U1698="TRUE"),1,0))</f>
        <v/>
      </c>
      <c r="AQ1698">
        <f>IF($E1698="","",IF($AD1698="Yes",1,0))</f>
        <v/>
      </c>
      <c r="AR1698">
        <f>IF($AN1698=1,IFERROR(VALUE(MID($E1698,2,20)),1000000000)+ROW()/100000,"")</f>
        <v/>
      </c>
    </row>
    <row r="1699">
      <c r="G1699" s="11" t="n"/>
      <c r="Q1699" s="7">
        <f>IF($E1699="","",P1699*AB1699/100)</f>
        <v/>
      </c>
      <c r="R1699" s="7" t="n"/>
      <c r="X1699" s="7" t="n"/>
      <c r="Y1699" s="7">
        <f>IF($E1699="","",AB1699*AE1699/100)</f>
        <v/>
      </c>
      <c r="Z1699" s="7">
        <f>IF($E1699="","",AB1699-Y1699)</f>
        <v/>
      </c>
      <c r="AA1699" s="7">
        <f>IF($E1699="","",Z1699-Q1699)</f>
        <v/>
      </c>
      <c r="AB1699" s="7" t="n"/>
      <c r="AE1699">
        <f>IF($E1699="","",IF($AQ1699=1,0,IF($AP1699=1,Settings!$C$6,Settings!$C$7))*100)</f>
        <v/>
      </c>
      <c r="AI1699" s="7" t="n"/>
      <c r="AL1699" s="11" t="n"/>
      <c r="AN1699">
        <f>IF($E1699="","",IF(COUNTIF($E$2:$E1699,$E1699)=1,1,0))</f>
        <v/>
      </c>
      <c r="AO1699">
        <f>IF($AN1699=1,SUMPRODUCT(--($AR$2:$AR$3001&lt;$AR1699))+1,"")</f>
        <v/>
      </c>
      <c r="AP1699">
        <f>IF($E1699="","",IF(OR($U1699=TRUE(),$U1699="TRUE"),1,0))</f>
        <v/>
      </c>
      <c r="AQ1699">
        <f>IF($E1699="","",IF($AD1699="Yes",1,0))</f>
        <v/>
      </c>
      <c r="AR1699">
        <f>IF($AN1699=1,IFERROR(VALUE(MID($E1699,2,20)),1000000000)+ROW()/100000,"")</f>
        <v/>
      </c>
    </row>
    <row r="1700">
      <c r="G1700" s="11" t="n"/>
      <c r="Q1700" s="7">
        <f>IF($E1700="","",P1700*AB1700/100)</f>
        <v/>
      </c>
      <c r="R1700" s="7" t="n"/>
      <c r="X1700" s="7" t="n"/>
      <c r="Y1700" s="7">
        <f>IF($E1700="","",AB1700*AE1700/100)</f>
        <v/>
      </c>
      <c r="Z1700" s="7">
        <f>IF($E1700="","",AB1700-Y1700)</f>
        <v/>
      </c>
      <c r="AA1700" s="7">
        <f>IF($E1700="","",Z1700-Q1700)</f>
        <v/>
      </c>
      <c r="AB1700" s="7" t="n"/>
      <c r="AE1700">
        <f>IF($E1700="","",IF($AQ1700=1,0,IF($AP1700=1,Settings!$C$6,Settings!$C$7))*100)</f>
        <v/>
      </c>
      <c r="AI1700" s="7" t="n"/>
      <c r="AL1700" s="11" t="n"/>
      <c r="AN1700">
        <f>IF($E1700="","",IF(COUNTIF($E$2:$E1700,$E1700)=1,1,0))</f>
        <v/>
      </c>
      <c r="AO1700">
        <f>IF($AN1700=1,SUMPRODUCT(--($AR$2:$AR$3001&lt;$AR1700))+1,"")</f>
        <v/>
      </c>
      <c r="AP1700">
        <f>IF($E1700="","",IF(OR($U1700=TRUE(),$U1700="TRUE"),1,0))</f>
        <v/>
      </c>
      <c r="AQ1700">
        <f>IF($E1700="","",IF($AD1700="Yes",1,0))</f>
        <v/>
      </c>
      <c r="AR1700">
        <f>IF($AN1700=1,IFERROR(VALUE(MID($E1700,2,20)),1000000000)+ROW()/100000,"")</f>
        <v/>
      </c>
    </row>
    <row r="1701">
      <c r="G1701" s="11" t="n"/>
      <c r="Q1701" s="7">
        <f>IF($E1701="","",P1701*AB1701/100)</f>
        <v/>
      </c>
      <c r="R1701" s="7" t="n"/>
      <c r="X1701" s="7" t="n"/>
      <c r="Y1701" s="7">
        <f>IF($E1701="","",AB1701*AE1701/100)</f>
        <v/>
      </c>
      <c r="Z1701" s="7">
        <f>IF($E1701="","",AB1701-Y1701)</f>
        <v/>
      </c>
      <c r="AA1701" s="7">
        <f>IF($E1701="","",Z1701-Q1701)</f>
        <v/>
      </c>
      <c r="AB1701" s="7" t="n"/>
      <c r="AE1701">
        <f>IF($E1701="","",IF($AQ1701=1,0,IF($AP1701=1,Settings!$C$6,Settings!$C$7))*100)</f>
        <v/>
      </c>
      <c r="AI1701" s="7" t="n"/>
      <c r="AL1701" s="11" t="n"/>
      <c r="AN1701">
        <f>IF($E1701="","",IF(COUNTIF($E$2:$E1701,$E1701)=1,1,0))</f>
        <v/>
      </c>
      <c r="AO1701">
        <f>IF($AN1701=1,SUMPRODUCT(--($AR$2:$AR$3001&lt;$AR1701))+1,"")</f>
        <v/>
      </c>
      <c r="AP1701">
        <f>IF($E1701="","",IF(OR($U1701=TRUE(),$U1701="TRUE"),1,0))</f>
        <v/>
      </c>
      <c r="AQ1701">
        <f>IF($E1701="","",IF($AD1701="Yes",1,0))</f>
        <v/>
      </c>
      <c r="AR1701">
        <f>IF($AN1701=1,IFERROR(VALUE(MID($E1701,2,20)),1000000000)+ROW()/100000,"")</f>
        <v/>
      </c>
    </row>
    <row r="1702">
      <c r="G1702" s="11" t="n"/>
      <c r="Q1702" s="7">
        <f>IF($E1702="","",P1702*AB1702/100)</f>
        <v/>
      </c>
      <c r="R1702" s="7" t="n"/>
      <c r="X1702" s="7" t="n"/>
      <c r="Y1702" s="7">
        <f>IF($E1702="","",AB1702*AE1702/100)</f>
        <v/>
      </c>
      <c r="Z1702" s="7">
        <f>IF($E1702="","",AB1702-Y1702)</f>
        <v/>
      </c>
      <c r="AA1702" s="7">
        <f>IF($E1702="","",Z1702-Q1702)</f>
        <v/>
      </c>
      <c r="AB1702" s="7" t="n"/>
      <c r="AE1702">
        <f>IF($E1702="","",IF($AQ1702=1,0,IF($AP1702=1,Settings!$C$6,Settings!$C$7))*100)</f>
        <v/>
      </c>
      <c r="AI1702" s="7" t="n"/>
      <c r="AL1702" s="11" t="n"/>
      <c r="AN1702">
        <f>IF($E1702="","",IF(COUNTIF($E$2:$E1702,$E1702)=1,1,0))</f>
        <v/>
      </c>
      <c r="AO1702">
        <f>IF($AN1702=1,SUMPRODUCT(--($AR$2:$AR$3001&lt;$AR1702))+1,"")</f>
        <v/>
      </c>
      <c r="AP1702">
        <f>IF($E1702="","",IF(OR($U1702=TRUE(),$U1702="TRUE"),1,0))</f>
        <v/>
      </c>
      <c r="AQ1702">
        <f>IF($E1702="","",IF($AD1702="Yes",1,0))</f>
        <v/>
      </c>
      <c r="AR1702">
        <f>IF($AN1702=1,IFERROR(VALUE(MID($E1702,2,20)),1000000000)+ROW()/100000,"")</f>
        <v/>
      </c>
    </row>
    <row r="1703">
      <c r="G1703" s="11" t="n"/>
      <c r="Q1703" s="7">
        <f>IF($E1703="","",P1703*AB1703/100)</f>
        <v/>
      </c>
      <c r="R1703" s="7" t="n"/>
      <c r="X1703" s="7" t="n"/>
      <c r="Y1703" s="7">
        <f>IF($E1703="","",AB1703*AE1703/100)</f>
        <v/>
      </c>
      <c r="Z1703" s="7">
        <f>IF($E1703="","",AB1703-Y1703)</f>
        <v/>
      </c>
      <c r="AA1703" s="7">
        <f>IF($E1703="","",Z1703-Q1703)</f>
        <v/>
      </c>
      <c r="AB1703" s="7" t="n"/>
      <c r="AE1703">
        <f>IF($E1703="","",IF($AQ1703=1,0,IF($AP1703=1,Settings!$C$6,Settings!$C$7))*100)</f>
        <v/>
      </c>
      <c r="AI1703" s="7" t="n"/>
      <c r="AL1703" s="11" t="n"/>
      <c r="AN1703">
        <f>IF($E1703="","",IF(COUNTIF($E$2:$E1703,$E1703)=1,1,0))</f>
        <v/>
      </c>
      <c r="AO1703">
        <f>IF($AN1703=1,SUMPRODUCT(--($AR$2:$AR$3001&lt;$AR1703))+1,"")</f>
        <v/>
      </c>
      <c r="AP1703">
        <f>IF($E1703="","",IF(OR($U1703=TRUE(),$U1703="TRUE"),1,0))</f>
        <v/>
      </c>
      <c r="AQ1703">
        <f>IF($E1703="","",IF($AD1703="Yes",1,0))</f>
        <v/>
      </c>
      <c r="AR1703">
        <f>IF($AN1703=1,IFERROR(VALUE(MID($E1703,2,20)),1000000000)+ROW()/100000,"")</f>
        <v/>
      </c>
    </row>
    <row r="1704">
      <c r="G1704" s="11" t="n"/>
      <c r="Q1704" s="7">
        <f>IF($E1704="","",P1704*AB1704/100)</f>
        <v/>
      </c>
      <c r="R1704" s="7" t="n"/>
      <c r="X1704" s="7" t="n"/>
      <c r="Y1704" s="7">
        <f>IF($E1704="","",AB1704*AE1704/100)</f>
        <v/>
      </c>
      <c r="Z1704" s="7">
        <f>IF($E1704="","",AB1704-Y1704)</f>
        <v/>
      </c>
      <c r="AA1704" s="7">
        <f>IF($E1704="","",Z1704-Q1704)</f>
        <v/>
      </c>
      <c r="AB1704" s="7" t="n"/>
      <c r="AE1704">
        <f>IF($E1704="","",IF($AQ1704=1,0,IF($AP1704=1,Settings!$C$6,Settings!$C$7))*100)</f>
        <v/>
      </c>
      <c r="AI1704" s="7" t="n"/>
      <c r="AL1704" s="11" t="n"/>
      <c r="AN1704">
        <f>IF($E1704="","",IF(COUNTIF($E$2:$E1704,$E1704)=1,1,0))</f>
        <v/>
      </c>
      <c r="AO1704">
        <f>IF($AN1704=1,SUMPRODUCT(--($AR$2:$AR$3001&lt;$AR1704))+1,"")</f>
        <v/>
      </c>
      <c r="AP1704">
        <f>IF($E1704="","",IF(OR($U1704=TRUE(),$U1704="TRUE"),1,0))</f>
        <v/>
      </c>
      <c r="AQ1704">
        <f>IF($E1704="","",IF($AD1704="Yes",1,0))</f>
        <v/>
      </c>
      <c r="AR1704">
        <f>IF($AN1704=1,IFERROR(VALUE(MID($E1704,2,20)),1000000000)+ROW()/100000,"")</f>
        <v/>
      </c>
    </row>
    <row r="1705">
      <c r="G1705" s="11" t="n"/>
      <c r="Q1705" s="7">
        <f>IF($E1705="","",P1705*AB1705/100)</f>
        <v/>
      </c>
      <c r="R1705" s="7" t="n"/>
      <c r="X1705" s="7" t="n"/>
      <c r="Y1705" s="7">
        <f>IF($E1705="","",AB1705*AE1705/100)</f>
        <v/>
      </c>
      <c r="Z1705" s="7">
        <f>IF($E1705="","",AB1705-Y1705)</f>
        <v/>
      </c>
      <c r="AA1705" s="7">
        <f>IF($E1705="","",Z1705-Q1705)</f>
        <v/>
      </c>
      <c r="AB1705" s="7" t="n"/>
      <c r="AE1705">
        <f>IF($E1705="","",IF($AQ1705=1,0,IF($AP1705=1,Settings!$C$6,Settings!$C$7))*100)</f>
        <v/>
      </c>
      <c r="AI1705" s="7" t="n"/>
      <c r="AL1705" s="11" t="n"/>
      <c r="AN1705">
        <f>IF($E1705="","",IF(COUNTIF($E$2:$E1705,$E1705)=1,1,0))</f>
        <v/>
      </c>
      <c r="AO1705">
        <f>IF($AN1705=1,SUMPRODUCT(--($AR$2:$AR$3001&lt;$AR1705))+1,"")</f>
        <v/>
      </c>
      <c r="AP1705">
        <f>IF($E1705="","",IF(OR($U1705=TRUE(),$U1705="TRUE"),1,0))</f>
        <v/>
      </c>
      <c r="AQ1705">
        <f>IF($E1705="","",IF($AD1705="Yes",1,0))</f>
        <v/>
      </c>
      <c r="AR1705">
        <f>IF($AN1705=1,IFERROR(VALUE(MID($E1705,2,20)),1000000000)+ROW()/100000,"")</f>
        <v/>
      </c>
    </row>
    <row r="1706">
      <c r="G1706" s="11" t="n"/>
      <c r="Q1706" s="7">
        <f>IF($E1706="","",P1706*AB1706/100)</f>
        <v/>
      </c>
      <c r="R1706" s="7" t="n"/>
      <c r="X1706" s="7" t="n"/>
      <c r="Y1706" s="7">
        <f>IF($E1706="","",AB1706*AE1706/100)</f>
        <v/>
      </c>
      <c r="Z1706" s="7">
        <f>IF($E1706="","",AB1706-Y1706)</f>
        <v/>
      </c>
      <c r="AA1706" s="7">
        <f>IF($E1706="","",Z1706-Q1706)</f>
        <v/>
      </c>
      <c r="AB1706" s="7" t="n"/>
      <c r="AE1706">
        <f>IF($E1706="","",IF($AQ1706=1,0,IF($AP1706=1,Settings!$C$6,Settings!$C$7))*100)</f>
        <v/>
      </c>
      <c r="AI1706" s="7" t="n"/>
      <c r="AL1706" s="11" t="n"/>
      <c r="AN1706">
        <f>IF($E1706="","",IF(COUNTIF($E$2:$E1706,$E1706)=1,1,0))</f>
        <v/>
      </c>
      <c r="AO1706">
        <f>IF($AN1706=1,SUMPRODUCT(--($AR$2:$AR$3001&lt;$AR1706))+1,"")</f>
        <v/>
      </c>
      <c r="AP1706">
        <f>IF($E1706="","",IF(OR($U1706=TRUE(),$U1706="TRUE"),1,0))</f>
        <v/>
      </c>
      <c r="AQ1706">
        <f>IF($E1706="","",IF($AD1706="Yes",1,0))</f>
        <v/>
      </c>
      <c r="AR1706">
        <f>IF($AN1706=1,IFERROR(VALUE(MID($E1706,2,20)),1000000000)+ROW()/100000,"")</f>
        <v/>
      </c>
    </row>
    <row r="1707">
      <c r="G1707" s="11" t="n"/>
      <c r="Q1707" s="7">
        <f>IF($E1707="","",P1707*AB1707/100)</f>
        <v/>
      </c>
      <c r="R1707" s="7" t="n"/>
      <c r="X1707" s="7" t="n"/>
      <c r="Y1707" s="7">
        <f>IF($E1707="","",AB1707*AE1707/100)</f>
        <v/>
      </c>
      <c r="Z1707" s="7">
        <f>IF($E1707="","",AB1707-Y1707)</f>
        <v/>
      </c>
      <c r="AA1707" s="7">
        <f>IF($E1707="","",Z1707-Q1707)</f>
        <v/>
      </c>
      <c r="AB1707" s="7" t="n"/>
      <c r="AE1707">
        <f>IF($E1707="","",IF($AQ1707=1,0,IF($AP1707=1,Settings!$C$6,Settings!$C$7))*100)</f>
        <v/>
      </c>
      <c r="AI1707" s="7" t="n"/>
      <c r="AL1707" s="11" t="n"/>
      <c r="AN1707">
        <f>IF($E1707="","",IF(COUNTIF($E$2:$E1707,$E1707)=1,1,0))</f>
        <v/>
      </c>
      <c r="AO1707">
        <f>IF($AN1707=1,SUMPRODUCT(--($AR$2:$AR$3001&lt;$AR1707))+1,"")</f>
        <v/>
      </c>
      <c r="AP1707">
        <f>IF($E1707="","",IF(OR($U1707=TRUE(),$U1707="TRUE"),1,0))</f>
        <v/>
      </c>
      <c r="AQ1707">
        <f>IF($E1707="","",IF($AD1707="Yes",1,0))</f>
        <v/>
      </c>
      <c r="AR1707">
        <f>IF($AN1707=1,IFERROR(VALUE(MID($E1707,2,20)),1000000000)+ROW()/100000,"")</f>
        <v/>
      </c>
    </row>
    <row r="1708">
      <c r="G1708" s="11" t="n"/>
      <c r="Q1708" s="7">
        <f>IF($E1708="","",P1708*AB1708/100)</f>
        <v/>
      </c>
      <c r="R1708" s="7" t="n"/>
      <c r="X1708" s="7" t="n"/>
      <c r="Y1708" s="7">
        <f>IF($E1708="","",AB1708*AE1708/100)</f>
        <v/>
      </c>
      <c r="Z1708" s="7">
        <f>IF($E1708="","",AB1708-Y1708)</f>
        <v/>
      </c>
      <c r="AA1708" s="7">
        <f>IF($E1708="","",Z1708-Q1708)</f>
        <v/>
      </c>
      <c r="AB1708" s="7" t="n"/>
      <c r="AE1708">
        <f>IF($E1708="","",IF($AQ1708=1,0,IF($AP1708=1,Settings!$C$6,Settings!$C$7))*100)</f>
        <v/>
      </c>
      <c r="AI1708" s="7" t="n"/>
      <c r="AL1708" s="11" t="n"/>
      <c r="AN1708">
        <f>IF($E1708="","",IF(COUNTIF($E$2:$E1708,$E1708)=1,1,0))</f>
        <v/>
      </c>
      <c r="AO1708">
        <f>IF($AN1708=1,SUMPRODUCT(--($AR$2:$AR$3001&lt;$AR1708))+1,"")</f>
        <v/>
      </c>
      <c r="AP1708">
        <f>IF($E1708="","",IF(OR($U1708=TRUE(),$U1708="TRUE"),1,0))</f>
        <v/>
      </c>
      <c r="AQ1708">
        <f>IF($E1708="","",IF($AD1708="Yes",1,0))</f>
        <v/>
      </c>
      <c r="AR1708">
        <f>IF($AN1708=1,IFERROR(VALUE(MID($E1708,2,20)),1000000000)+ROW()/100000,"")</f>
        <v/>
      </c>
    </row>
    <row r="1709">
      <c r="G1709" s="11" t="n"/>
      <c r="Q1709" s="7">
        <f>IF($E1709="","",P1709*AB1709/100)</f>
        <v/>
      </c>
      <c r="R1709" s="7" t="n"/>
      <c r="X1709" s="7" t="n"/>
      <c r="Y1709" s="7">
        <f>IF($E1709="","",AB1709*AE1709/100)</f>
        <v/>
      </c>
      <c r="Z1709" s="7">
        <f>IF($E1709="","",AB1709-Y1709)</f>
        <v/>
      </c>
      <c r="AA1709" s="7">
        <f>IF($E1709="","",Z1709-Q1709)</f>
        <v/>
      </c>
      <c r="AB1709" s="7" t="n"/>
      <c r="AE1709">
        <f>IF($E1709="","",IF($AQ1709=1,0,IF($AP1709=1,Settings!$C$6,Settings!$C$7))*100)</f>
        <v/>
      </c>
      <c r="AI1709" s="7" t="n"/>
      <c r="AL1709" s="11" t="n"/>
      <c r="AN1709">
        <f>IF($E1709="","",IF(COUNTIF($E$2:$E1709,$E1709)=1,1,0))</f>
        <v/>
      </c>
      <c r="AO1709">
        <f>IF($AN1709=1,SUMPRODUCT(--($AR$2:$AR$3001&lt;$AR1709))+1,"")</f>
        <v/>
      </c>
      <c r="AP1709">
        <f>IF($E1709="","",IF(OR($U1709=TRUE(),$U1709="TRUE"),1,0))</f>
        <v/>
      </c>
      <c r="AQ1709">
        <f>IF($E1709="","",IF($AD1709="Yes",1,0))</f>
        <v/>
      </c>
      <c r="AR1709">
        <f>IF($AN1709=1,IFERROR(VALUE(MID($E1709,2,20)),1000000000)+ROW()/100000,"")</f>
        <v/>
      </c>
    </row>
    <row r="1710">
      <c r="G1710" s="11" t="n"/>
      <c r="Q1710" s="7">
        <f>IF($E1710="","",P1710*AB1710/100)</f>
        <v/>
      </c>
      <c r="R1710" s="7" t="n"/>
      <c r="X1710" s="7" t="n"/>
      <c r="Y1710" s="7">
        <f>IF($E1710="","",AB1710*AE1710/100)</f>
        <v/>
      </c>
      <c r="Z1710" s="7">
        <f>IF($E1710="","",AB1710-Y1710)</f>
        <v/>
      </c>
      <c r="AA1710" s="7">
        <f>IF($E1710="","",Z1710-Q1710)</f>
        <v/>
      </c>
      <c r="AB1710" s="7" t="n"/>
      <c r="AE1710">
        <f>IF($E1710="","",IF($AQ1710=1,0,IF($AP1710=1,Settings!$C$6,Settings!$C$7))*100)</f>
        <v/>
      </c>
      <c r="AI1710" s="7" t="n"/>
      <c r="AL1710" s="11" t="n"/>
      <c r="AN1710">
        <f>IF($E1710="","",IF(COUNTIF($E$2:$E1710,$E1710)=1,1,0))</f>
        <v/>
      </c>
      <c r="AO1710">
        <f>IF($AN1710=1,SUMPRODUCT(--($AR$2:$AR$3001&lt;$AR1710))+1,"")</f>
        <v/>
      </c>
      <c r="AP1710">
        <f>IF($E1710="","",IF(OR($U1710=TRUE(),$U1710="TRUE"),1,0))</f>
        <v/>
      </c>
      <c r="AQ1710">
        <f>IF($E1710="","",IF($AD1710="Yes",1,0))</f>
        <v/>
      </c>
      <c r="AR1710">
        <f>IF($AN1710=1,IFERROR(VALUE(MID($E1710,2,20)),1000000000)+ROW()/100000,"")</f>
        <v/>
      </c>
    </row>
    <row r="1711">
      <c r="G1711" s="11" t="n"/>
      <c r="Q1711" s="7">
        <f>IF($E1711="","",P1711*AB1711/100)</f>
        <v/>
      </c>
      <c r="R1711" s="7" t="n"/>
      <c r="X1711" s="7" t="n"/>
      <c r="Y1711" s="7">
        <f>IF($E1711="","",AB1711*AE1711/100)</f>
        <v/>
      </c>
      <c r="Z1711" s="7">
        <f>IF($E1711="","",AB1711-Y1711)</f>
        <v/>
      </c>
      <c r="AA1711" s="7">
        <f>IF($E1711="","",Z1711-Q1711)</f>
        <v/>
      </c>
      <c r="AB1711" s="7" t="n"/>
      <c r="AE1711">
        <f>IF($E1711="","",IF($AQ1711=1,0,IF($AP1711=1,Settings!$C$6,Settings!$C$7))*100)</f>
        <v/>
      </c>
      <c r="AI1711" s="7" t="n"/>
      <c r="AL1711" s="11" t="n"/>
      <c r="AN1711">
        <f>IF($E1711="","",IF(COUNTIF($E$2:$E1711,$E1711)=1,1,0))</f>
        <v/>
      </c>
      <c r="AO1711">
        <f>IF($AN1711=1,SUMPRODUCT(--($AR$2:$AR$3001&lt;$AR1711))+1,"")</f>
        <v/>
      </c>
      <c r="AP1711">
        <f>IF($E1711="","",IF(OR($U1711=TRUE(),$U1711="TRUE"),1,0))</f>
        <v/>
      </c>
      <c r="AQ1711">
        <f>IF($E1711="","",IF($AD1711="Yes",1,0))</f>
        <v/>
      </c>
      <c r="AR1711">
        <f>IF($AN1711=1,IFERROR(VALUE(MID($E1711,2,20)),1000000000)+ROW()/100000,"")</f>
        <v/>
      </c>
    </row>
    <row r="1712">
      <c r="G1712" s="11" t="n"/>
      <c r="Q1712" s="7">
        <f>IF($E1712="","",P1712*AB1712/100)</f>
        <v/>
      </c>
      <c r="R1712" s="7" t="n"/>
      <c r="X1712" s="7" t="n"/>
      <c r="Y1712" s="7">
        <f>IF($E1712="","",AB1712*AE1712/100)</f>
        <v/>
      </c>
      <c r="Z1712" s="7">
        <f>IF($E1712="","",AB1712-Y1712)</f>
        <v/>
      </c>
      <c r="AA1712" s="7">
        <f>IF($E1712="","",Z1712-Q1712)</f>
        <v/>
      </c>
      <c r="AB1712" s="7" t="n"/>
      <c r="AE1712">
        <f>IF($E1712="","",IF($AQ1712=1,0,IF($AP1712=1,Settings!$C$6,Settings!$C$7))*100)</f>
        <v/>
      </c>
      <c r="AI1712" s="7" t="n"/>
      <c r="AL1712" s="11" t="n"/>
      <c r="AN1712">
        <f>IF($E1712="","",IF(COUNTIF($E$2:$E1712,$E1712)=1,1,0))</f>
        <v/>
      </c>
      <c r="AO1712">
        <f>IF($AN1712=1,SUMPRODUCT(--($AR$2:$AR$3001&lt;$AR1712))+1,"")</f>
        <v/>
      </c>
      <c r="AP1712">
        <f>IF($E1712="","",IF(OR($U1712=TRUE(),$U1712="TRUE"),1,0))</f>
        <v/>
      </c>
      <c r="AQ1712">
        <f>IF($E1712="","",IF($AD1712="Yes",1,0))</f>
        <v/>
      </c>
      <c r="AR1712">
        <f>IF($AN1712=1,IFERROR(VALUE(MID($E1712,2,20)),1000000000)+ROW()/100000,"")</f>
        <v/>
      </c>
    </row>
    <row r="1713">
      <c r="G1713" s="11" t="n"/>
      <c r="Q1713" s="7">
        <f>IF($E1713="","",P1713*AB1713/100)</f>
        <v/>
      </c>
      <c r="R1713" s="7" t="n"/>
      <c r="X1713" s="7" t="n"/>
      <c r="Y1713" s="7">
        <f>IF($E1713="","",AB1713*AE1713/100)</f>
        <v/>
      </c>
      <c r="Z1713" s="7">
        <f>IF($E1713="","",AB1713-Y1713)</f>
        <v/>
      </c>
      <c r="AA1713" s="7">
        <f>IF($E1713="","",Z1713-Q1713)</f>
        <v/>
      </c>
      <c r="AB1713" s="7" t="n"/>
      <c r="AE1713">
        <f>IF($E1713="","",IF($AQ1713=1,0,IF($AP1713=1,Settings!$C$6,Settings!$C$7))*100)</f>
        <v/>
      </c>
      <c r="AI1713" s="7" t="n"/>
      <c r="AL1713" s="11" t="n"/>
      <c r="AN1713">
        <f>IF($E1713="","",IF(COUNTIF($E$2:$E1713,$E1713)=1,1,0))</f>
        <v/>
      </c>
      <c r="AO1713">
        <f>IF($AN1713=1,SUMPRODUCT(--($AR$2:$AR$3001&lt;$AR1713))+1,"")</f>
        <v/>
      </c>
      <c r="AP1713">
        <f>IF($E1713="","",IF(OR($U1713=TRUE(),$U1713="TRUE"),1,0))</f>
        <v/>
      </c>
      <c r="AQ1713">
        <f>IF($E1713="","",IF($AD1713="Yes",1,0))</f>
        <v/>
      </c>
      <c r="AR1713">
        <f>IF($AN1713=1,IFERROR(VALUE(MID($E1713,2,20)),1000000000)+ROW()/100000,"")</f>
        <v/>
      </c>
    </row>
    <row r="1714">
      <c r="G1714" s="11" t="n"/>
      <c r="Q1714" s="7">
        <f>IF($E1714="","",P1714*AB1714/100)</f>
        <v/>
      </c>
      <c r="R1714" s="7" t="n"/>
      <c r="X1714" s="7" t="n"/>
      <c r="Y1714" s="7">
        <f>IF($E1714="","",AB1714*AE1714/100)</f>
        <v/>
      </c>
      <c r="Z1714" s="7">
        <f>IF($E1714="","",AB1714-Y1714)</f>
        <v/>
      </c>
      <c r="AA1714" s="7">
        <f>IF($E1714="","",Z1714-Q1714)</f>
        <v/>
      </c>
      <c r="AB1714" s="7" t="n"/>
      <c r="AE1714">
        <f>IF($E1714="","",IF($AQ1714=1,0,IF($AP1714=1,Settings!$C$6,Settings!$C$7))*100)</f>
        <v/>
      </c>
      <c r="AI1714" s="7" t="n"/>
      <c r="AL1714" s="11" t="n"/>
      <c r="AN1714">
        <f>IF($E1714="","",IF(COUNTIF($E$2:$E1714,$E1714)=1,1,0))</f>
        <v/>
      </c>
      <c r="AO1714">
        <f>IF($AN1714=1,SUMPRODUCT(--($AR$2:$AR$3001&lt;$AR1714))+1,"")</f>
        <v/>
      </c>
      <c r="AP1714">
        <f>IF($E1714="","",IF(OR($U1714=TRUE(),$U1714="TRUE"),1,0))</f>
        <v/>
      </c>
      <c r="AQ1714">
        <f>IF($E1714="","",IF($AD1714="Yes",1,0))</f>
        <v/>
      </c>
      <c r="AR1714">
        <f>IF($AN1714=1,IFERROR(VALUE(MID($E1714,2,20)),1000000000)+ROW()/100000,"")</f>
        <v/>
      </c>
    </row>
    <row r="1715">
      <c r="G1715" s="11" t="n"/>
      <c r="Q1715" s="7">
        <f>IF($E1715="","",P1715*AB1715/100)</f>
        <v/>
      </c>
      <c r="R1715" s="7" t="n"/>
      <c r="X1715" s="7" t="n"/>
      <c r="Y1715" s="7">
        <f>IF($E1715="","",AB1715*AE1715/100)</f>
        <v/>
      </c>
      <c r="Z1715" s="7">
        <f>IF($E1715="","",AB1715-Y1715)</f>
        <v/>
      </c>
      <c r="AA1715" s="7">
        <f>IF($E1715="","",Z1715-Q1715)</f>
        <v/>
      </c>
      <c r="AB1715" s="7" t="n"/>
      <c r="AE1715">
        <f>IF($E1715="","",IF($AQ1715=1,0,IF($AP1715=1,Settings!$C$6,Settings!$C$7))*100)</f>
        <v/>
      </c>
      <c r="AI1715" s="7" t="n"/>
      <c r="AL1715" s="11" t="n"/>
      <c r="AN1715">
        <f>IF($E1715="","",IF(COUNTIF($E$2:$E1715,$E1715)=1,1,0))</f>
        <v/>
      </c>
      <c r="AO1715">
        <f>IF($AN1715=1,SUMPRODUCT(--($AR$2:$AR$3001&lt;$AR1715))+1,"")</f>
        <v/>
      </c>
      <c r="AP1715">
        <f>IF($E1715="","",IF(OR($U1715=TRUE(),$U1715="TRUE"),1,0))</f>
        <v/>
      </c>
      <c r="AQ1715">
        <f>IF($E1715="","",IF($AD1715="Yes",1,0))</f>
        <v/>
      </c>
      <c r="AR1715">
        <f>IF($AN1715=1,IFERROR(VALUE(MID($E1715,2,20)),1000000000)+ROW()/100000,"")</f>
        <v/>
      </c>
    </row>
    <row r="1716">
      <c r="G1716" s="11" t="n"/>
      <c r="Q1716" s="7">
        <f>IF($E1716="","",P1716*AB1716/100)</f>
        <v/>
      </c>
      <c r="R1716" s="7" t="n"/>
      <c r="X1716" s="7" t="n"/>
      <c r="Y1716" s="7">
        <f>IF($E1716="","",AB1716*AE1716/100)</f>
        <v/>
      </c>
      <c r="Z1716" s="7">
        <f>IF($E1716="","",AB1716-Y1716)</f>
        <v/>
      </c>
      <c r="AA1716" s="7">
        <f>IF($E1716="","",Z1716-Q1716)</f>
        <v/>
      </c>
      <c r="AB1716" s="7" t="n"/>
      <c r="AE1716">
        <f>IF($E1716="","",IF($AQ1716=1,0,IF($AP1716=1,Settings!$C$6,Settings!$C$7))*100)</f>
        <v/>
      </c>
      <c r="AI1716" s="7" t="n"/>
      <c r="AL1716" s="11" t="n"/>
      <c r="AN1716">
        <f>IF($E1716="","",IF(COUNTIF($E$2:$E1716,$E1716)=1,1,0))</f>
        <v/>
      </c>
      <c r="AO1716">
        <f>IF($AN1716=1,SUMPRODUCT(--($AR$2:$AR$3001&lt;$AR1716))+1,"")</f>
        <v/>
      </c>
      <c r="AP1716">
        <f>IF($E1716="","",IF(OR($U1716=TRUE(),$U1716="TRUE"),1,0))</f>
        <v/>
      </c>
      <c r="AQ1716">
        <f>IF($E1716="","",IF($AD1716="Yes",1,0))</f>
        <v/>
      </c>
      <c r="AR1716">
        <f>IF($AN1716=1,IFERROR(VALUE(MID($E1716,2,20)),1000000000)+ROW()/100000,"")</f>
        <v/>
      </c>
    </row>
    <row r="1717">
      <c r="G1717" s="11" t="n"/>
      <c r="Q1717" s="7">
        <f>IF($E1717="","",P1717*AB1717/100)</f>
        <v/>
      </c>
      <c r="R1717" s="7" t="n"/>
      <c r="X1717" s="7" t="n"/>
      <c r="Y1717" s="7">
        <f>IF($E1717="","",AB1717*AE1717/100)</f>
        <v/>
      </c>
      <c r="Z1717" s="7">
        <f>IF($E1717="","",AB1717-Y1717)</f>
        <v/>
      </c>
      <c r="AA1717" s="7">
        <f>IF($E1717="","",Z1717-Q1717)</f>
        <v/>
      </c>
      <c r="AB1717" s="7" t="n"/>
      <c r="AE1717">
        <f>IF($E1717="","",IF($AQ1717=1,0,IF($AP1717=1,Settings!$C$6,Settings!$C$7))*100)</f>
        <v/>
      </c>
      <c r="AI1717" s="7" t="n"/>
      <c r="AL1717" s="11" t="n"/>
      <c r="AN1717">
        <f>IF($E1717="","",IF(COUNTIF($E$2:$E1717,$E1717)=1,1,0))</f>
        <v/>
      </c>
      <c r="AO1717">
        <f>IF($AN1717=1,SUMPRODUCT(--($AR$2:$AR$3001&lt;$AR1717))+1,"")</f>
        <v/>
      </c>
      <c r="AP1717">
        <f>IF($E1717="","",IF(OR($U1717=TRUE(),$U1717="TRUE"),1,0))</f>
        <v/>
      </c>
      <c r="AQ1717">
        <f>IF($E1717="","",IF($AD1717="Yes",1,0))</f>
        <v/>
      </c>
      <c r="AR1717">
        <f>IF($AN1717=1,IFERROR(VALUE(MID($E1717,2,20)),1000000000)+ROW()/100000,"")</f>
        <v/>
      </c>
    </row>
    <row r="1718">
      <c r="G1718" s="11" t="n"/>
      <c r="Q1718" s="7">
        <f>IF($E1718="","",P1718*AB1718/100)</f>
        <v/>
      </c>
      <c r="R1718" s="7" t="n"/>
      <c r="X1718" s="7" t="n"/>
      <c r="Y1718" s="7">
        <f>IF($E1718="","",AB1718*AE1718/100)</f>
        <v/>
      </c>
      <c r="Z1718" s="7">
        <f>IF($E1718="","",AB1718-Y1718)</f>
        <v/>
      </c>
      <c r="AA1718" s="7">
        <f>IF($E1718="","",Z1718-Q1718)</f>
        <v/>
      </c>
      <c r="AB1718" s="7" t="n"/>
      <c r="AE1718">
        <f>IF($E1718="","",IF($AQ1718=1,0,IF($AP1718=1,Settings!$C$6,Settings!$C$7))*100)</f>
        <v/>
      </c>
      <c r="AI1718" s="7" t="n"/>
      <c r="AL1718" s="11" t="n"/>
      <c r="AN1718">
        <f>IF($E1718="","",IF(COUNTIF($E$2:$E1718,$E1718)=1,1,0))</f>
        <v/>
      </c>
      <c r="AO1718">
        <f>IF($AN1718=1,SUMPRODUCT(--($AR$2:$AR$3001&lt;$AR1718))+1,"")</f>
        <v/>
      </c>
      <c r="AP1718">
        <f>IF($E1718="","",IF(OR($U1718=TRUE(),$U1718="TRUE"),1,0))</f>
        <v/>
      </c>
      <c r="AQ1718">
        <f>IF($E1718="","",IF($AD1718="Yes",1,0))</f>
        <v/>
      </c>
      <c r="AR1718">
        <f>IF($AN1718=1,IFERROR(VALUE(MID($E1718,2,20)),1000000000)+ROW()/100000,"")</f>
        <v/>
      </c>
    </row>
    <row r="1719">
      <c r="G1719" s="11" t="n"/>
      <c r="Q1719" s="7">
        <f>IF($E1719="","",P1719*AB1719/100)</f>
        <v/>
      </c>
      <c r="R1719" s="7" t="n"/>
      <c r="X1719" s="7" t="n"/>
      <c r="Y1719" s="7">
        <f>IF($E1719="","",AB1719*AE1719/100)</f>
        <v/>
      </c>
      <c r="Z1719" s="7">
        <f>IF($E1719="","",AB1719-Y1719)</f>
        <v/>
      </c>
      <c r="AA1719" s="7">
        <f>IF($E1719="","",Z1719-Q1719)</f>
        <v/>
      </c>
      <c r="AB1719" s="7" t="n"/>
      <c r="AE1719">
        <f>IF($E1719="","",IF($AQ1719=1,0,IF($AP1719=1,Settings!$C$6,Settings!$C$7))*100)</f>
        <v/>
      </c>
      <c r="AI1719" s="7" t="n"/>
      <c r="AL1719" s="11" t="n"/>
      <c r="AN1719">
        <f>IF($E1719="","",IF(COUNTIF($E$2:$E1719,$E1719)=1,1,0))</f>
        <v/>
      </c>
      <c r="AO1719">
        <f>IF($AN1719=1,SUMPRODUCT(--($AR$2:$AR$3001&lt;$AR1719))+1,"")</f>
        <v/>
      </c>
      <c r="AP1719">
        <f>IF($E1719="","",IF(OR($U1719=TRUE(),$U1719="TRUE"),1,0))</f>
        <v/>
      </c>
      <c r="AQ1719">
        <f>IF($E1719="","",IF($AD1719="Yes",1,0))</f>
        <v/>
      </c>
      <c r="AR1719">
        <f>IF($AN1719=1,IFERROR(VALUE(MID($E1719,2,20)),1000000000)+ROW()/100000,"")</f>
        <v/>
      </c>
    </row>
    <row r="1720">
      <c r="G1720" s="11" t="n"/>
      <c r="Q1720" s="7">
        <f>IF($E1720="","",P1720*AB1720/100)</f>
        <v/>
      </c>
      <c r="R1720" s="7" t="n"/>
      <c r="X1720" s="7" t="n"/>
      <c r="Y1720" s="7">
        <f>IF($E1720="","",AB1720*AE1720/100)</f>
        <v/>
      </c>
      <c r="Z1720" s="7">
        <f>IF($E1720="","",AB1720-Y1720)</f>
        <v/>
      </c>
      <c r="AA1720" s="7">
        <f>IF($E1720="","",Z1720-Q1720)</f>
        <v/>
      </c>
      <c r="AB1720" s="7" t="n"/>
      <c r="AE1720">
        <f>IF($E1720="","",IF($AQ1720=1,0,IF($AP1720=1,Settings!$C$6,Settings!$C$7))*100)</f>
        <v/>
      </c>
      <c r="AI1720" s="7" t="n"/>
      <c r="AL1720" s="11" t="n"/>
      <c r="AN1720">
        <f>IF($E1720="","",IF(COUNTIF($E$2:$E1720,$E1720)=1,1,0))</f>
        <v/>
      </c>
      <c r="AO1720">
        <f>IF($AN1720=1,SUMPRODUCT(--($AR$2:$AR$3001&lt;$AR1720))+1,"")</f>
        <v/>
      </c>
      <c r="AP1720">
        <f>IF($E1720="","",IF(OR($U1720=TRUE(),$U1720="TRUE"),1,0))</f>
        <v/>
      </c>
      <c r="AQ1720">
        <f>IF($E1720="","",IF($AD1720="Yes",1,0))</f>
        <v/>
      </c>
      <c r="AR1720">
        <f>IF($AN1720=1,IFERROR(VALUE(MID($E1720,2,20)),1000000000)+ROW()/100000,"")</f>
        <v/>
      </c>
    </row>
    <row r="1721">
      <c r="G1721" s="11" t="n"/>
      <c r="Q1721" s="7">
        <f>IF($E1721="","",P1721*AB1721/100)</f>
        <v/>
      </c>
      <c r="R1721" s="7" t="n"/>
      <c r="X1721" s="7" t="n"/>
      <c r="Y1721" s="7">
        <f>IF($E1721="","",AB1721*AE1721/100)</f>
        <v/>
      </c>
      <c r="Z1721" s="7">
        <f>IF($E1721="","",AB1721-Y1721)</f>
        <v/>
      </c>
      <c r="AA1721" s="7">
        <f>IF($E1721="","",Z1721-Q1721)</f>
        <v/>
      </c>
      <c r="AB1721" s="7" t="n"/>
      <c r="AE1721">
        <f>IF($E1721="","",IF($AQ1721=1,0,IF($AP1721=1,Settings!$C$6,Settings!$C$7))*100)</f>
        <v/>
      </c>
      <c r="AI1721" s="7" t="n"/>
      <c r="AL1721" s="11" t="n"/>
      <c r="AN1721">
        <f>IF($E1721="","",IF(COUNTIF($E$2:$E1721,$E1721)=1,1,0))</f>
        <v/>
      </c>
      <c r="AO1721">
        <f>IF($AN1721=1,SUMPRODUCT(--($AR$2:$AR$3001&lt;$AR1721))+1,"")</f>
        <v/>
      </c>
      <c r="AP1721">
        <f>IF($E1721="","",IF(OR($U1721=TRUE(),$U1721="TRUE"),1,0))</f>
        <v/>
      </c>
      <c r="AQ1721">
        <f>IF($E1721="","",IF($AD1721="Yes",1,0))</f>
        <v/>
      </c>
      <c r="AR1721">
        <f>IF($AN1721=1,IFERROR(VALUE(MID($E1721,2,20)),1000000000)+ROW()/100000,"")</f>
        <v/>
      </c>
    </row>
    <row r="1722">
      <c r="G1722" s="11" t="n"/>
      <c r="Q1722" s="7">
        <f>IF($E1722="","",P1722*AB1722/100)</f>
        <v/>
      </c>
      <c r="R1722" s="7" t="n"/>
      <c r="X1722" s="7" t="n"/>
      <c r="Y1722" s="7">
        <f>IF($E1722="","",AB1722*AE1722/100)</f>
        <v/>
      </c>
      <c r="Z1722" s="7">
        <f>IF($E1722="","",AB1722-Y1722)</f>
        <v/>
      </c>
      <c r="AA1722" s="7">
        <f>IF($E1722="","",Z1722-Q1722)</f>
        <v/>
      </c>
      <c r="AB1722" s="7" t="n"/>
      <c r="AE1722">
        <f>IF($E1722="","",IF($AQ1722=1,0,IF($AP1722=1,Settings!$C$6,Settings!$C$7))*100)</f>
        <v/>
      </c>
      <c r="AI1722" s="7" t="n"/>
      <c r="AL1722" s="11" t="n"/>
      <c r="AN1722">
        <f>IF($E1722="","",IF(COUNTIF($E$2:$E1722,$E1722)=1,1,0))</f>
        <v/>
      </c>
      <c r="AO1722">
        <f>IF($AN1722=1,SUMPRODUCT(--($AR$2:$AR$3001&lt;$AR1722))+1,"")</f>
        <v/>
      </c>
      <c r="AP1722">
        <f>IF($E1722="","",IF(OR($U1722=TRUE(),$U1722="TRUE"),1,0))</f>
        <v/>
      </c>
      <c r="AQ1722">
        <f>IF($E1722="","",IF($AD1722="Yes",1,0))</f>
        <v/>
      </c>
      <c r="AR1722">
        <f>IF($AN1722=1,IFERROR(VALUE(MID($E1722,2,20)),1000000000)+ROW()/100000,"")</f>
        <v/>
      </c>
    </row>
    <row r="1723">
      <c r="G1723" s="11" t="n"/>
      <c r="Q1723" s="7">
        <f>IF($E1723="","",P1723*AB1723/100)</f>
        <v/>
      </c>
      <c r="R1723" s="7" t="n"/>
      <c r="X1723" s="7" t="n"/>
      <c r="Y1723" s="7">
        <f>IF($E1723="","",AB1723*AE1723/100)</f>
        <v/>
      </c>
      <c r="Z1723" s="7">
        <f>IF($E1723="","",AB1723-Y1723)</f>
        <v/>
      </c>
      <c r="AA1723" s="7">
        <f>IF($E1723="","",Z1723-Q1723)</f>
        <v/>
      </c>
      <c r="AB1723" s="7" t="n"/>
      <c r="AE1723">
        <f>IF($E1723="","",IF($AQ1723=1,0,IF($AP1723=1,Settings!$C$6,Settings!$C$7))*100)</f>
        <v/>
      </c>
      <c r="AI1723" s="7" t="n"/>
      <c r="AL1723" s="11" t="n"/>
      <c r="AN1723">
        <f>IF($E1723="","",IF(COUNTIF($E$2:$E1723,$E1723)=1,1,0))</f>
        <v/>
      </c>
      <c r="AO1723">
        <f>IF($AN1723=1,SUMPRODUCT(--($AR$2:$AR$3001&lt;$AR1723))+1,"")</f>
        <v/>
      </c>
      <c r="AP1723">
        <f>IF($E1723="","",IF(OR($U1723=TRUE(),$U1723="TRUE"),1,0))</f>
        <v/>
      </c>
      <c r="AQ1723">
        <f>IF($E1723="","",IF($AD1723="Yes",1,0))</f>
        <v/>
      </c>
      <c r="AR1723">
        <f>IF($AN1723=1,IFERROR(VALUE(MID($E1723,2,20)),1000000000)+ROW()/100000,"")</f>
        <v/>
      </c>
    </row>
    <row r="1724">
      <c r="G1724" s="11" t="n"/>
      <c r="Q1724" s="7">
        <f>IF($E1724="","",P1724*AB1724/100)</f>
        <v/>
      </c>
      <c r="R1724" s="7" t="n"/>
      <c r="X1724" s="7" t="n"/>
      <c r="Y1724" s="7">
        <f>IF($E1724="","",AB1724*AE1724/100)</f>
        <v/>
      </c>
      <c r="Z1724" s="7">
        <f>IF($E1724="","",AB1724-Y1724)</f>
        <v/>
      </c>
      <c r="AA1724" s="7">
        <f>IF($E1724="","",Z1724-Q1724)</f>
        <v/>
      </c>
      <c r="AB1724" s="7" t="n"/>
      <c r="AE1724">
        <f>IF($E1724="","",IF($AQ1724=1,0,IF($AP1724=1,Settings!$C$6,Settings!$C$7))*100)</f>
        <v/>
      </c>
      <c r="AI1724" s="7" t="n"/>
      <c r="AL1724" s="11" t="n"/>
      <c r="AN1724">
        <f>IF($E1724="","",IF(COUNTIF($E$2:$E1724,$E1724)=1,1,0))</f>
        <v/>
      </c>
      <c r="AO1724">
        <f>IF($AN1724=1,SUMPRODUCT(--($AR$2:$AR$3001&lt;$AR1724))+1,"")</f>
        <v/>
      </c>
      <c r="AP1724">
        <f>IF($E1724="","",IF(OR($U1724=TRUE(),$U1724="TRUE"),1,0))</f>
        <v/>
      </c>
      <c r="AQ1724">
        <f>IF($E1724="","",IF($AD1724="Yes",1,0))</f>
        <v/>
      </c>
      <c r="AR1724">
        <f>IF($AN1724=1,IFERROR(VALUE(MID($E1724,2,20)),1000000000)+ROW()/100000,"")</f>
        <v/>
      </c>
    </row>
    <row r="1725">
      <c r="G1725" s="11" t="n"/>
      <c r="Q1725" s="7">
        <f>IF($E1725="","",P1725*AB1725/100)</f>
        <v/>
      </c>
      <c r="R1725" s="7" t="n"/>
      <c r="X1725" s="7" t="n"/>
      <c r="Y1725" s="7">
        <f>IF($E1725="","",AB1725*AE1725/100)</f>
        <v/>
      </c>
      <c r="Z1725" s="7">
        <f>IF($E1725="","",AB1725-Y1725)</f>
        <v/>
      </c>
      <c r="AA1725" s="7">
        <f>IF($E1725="","",Z1725-Q1725)</f>
        <v/>
      </c>
      <c r="AB1725" s="7" t="n"/>
      <c r="AE1725">
        <f>IF($E1725="","",IF($AQ1725=1,0,IF($AP1725=1,Settings!$C$6,Settings!$C$7))*100)</f>
        <v/>
      </c>
      <c r="AI1725" s="7" t="n"/>
      <c r="AL1725" s="11" t="n"/>
      <c r="AN1725">
        <f>IF($E1725="","",IF(COUNTIF($E$2:$E1725,$E1725)=1,1,0))</f>
        <v/>
      </c>
      <c r="AO1725">
        <f>IF($AN1725=1,SUMPRODUCT(--($AR$2:$AR$3001&lt;$AR1725))+1,"")</f>
        <v/>
      </c>
      <c r="AP1725">
        <f>IF($E1725="","",IF(OR($U1725=TRUE(),$U1725="TRUE"),1,0))</f>
        <v/>
      </c>
      <c r="AQ1725">
        <f>IF($E1725="","",IF($AD1725="Yes",1,0))</f>
        <v/>
      </c>
      <c r="AR1725">
        <f>IF($AN1725=1,IFERROR(VALUE(MID($E1725,2,20)),1000000000)+ROW()/100000,"")</f>
        <v/>
      </c>
    </row>
    <row r="1726">
      <c r="G1726" s="11" t="n"/>
      <c r="Q1726" s="7">
        <f>IF($E1726="","",P1726*AB1726/100)</f>
        <v/>
      </c>
      <c r="R1726" s="7" t="n"/>
      <c r="X1726" s="7" t="n"/>
      <c r="Y1726" s="7">
        <f>IF($E1726="","",AB1726*AE1726/100)</f>
        <v/>
      </c>
      <c r="Z1726" s="7">
        <f>IF($E1726="","",AB1726-Y1726)</f>
        <v/>
      </c>
      <c r="AA1726" s="7">
        <f>IF($E1726="","",Z1726-Q1726)</f>
        <v/>
      </c>
      <c r="AB1726" s="7" t="n"/>
      <c r="AE1726">
        <f>IF($E1726="","",IF($AQ1726=1,0,IF($AP1726=1,Settings!$C$6,Settings!$C$7))*100)</f>
        <v/>
      </c>
      <c r="AI1726" s="7" t="n"/>
      <c r="AL1726" s="11" t="n"/>
      <c r="AN1726">
        <f>IF($E1726="","",IF(COUNTIF($E$2:$E1726,$E1726)=1,1,0))</f>
        <v/>
      </c>
      <c r="AO1726">
        <f>IF($AN1726=1,SUMPRODUCT(--($AR$2:$AR$3001&lt;$AR1726))+1,"")</f>
        <v/>
      </c>
      <c r="AP1726">
        <f>IF($E1726="","",IF(OR($U1726=TRUE(),$U1726="TRUE"),1,0))</f>
        <v/>
      </c>
      <c r="AQ1726">
        <f>IF($E1726="","",IF($AD1726="Yes",1,0))</f>
        <v/>
      </c>
      <c r="AR1726">
        <f>IF($AN1726=1,IFERROR(VALUE(MID($E1726,2,20)),1000000000)+ROW()/100000,"")</f>
        <v/>
      </c>
    </row>
    <row r="1727">
      <c r="G1727" s="11" t="n"/>
      <c r="Q1727" s="7">
        <f>IF($E1727="","",P1727*AB1727/100)</f>
        <v/>
      </c>
      <c r="R1727" s="7" t="n"/>
      <c r="X1727" s="7" t="n"/>
      <c r="Y1727" s="7">
        <f>IF($E1727="","",AB1727*AE1727/100)</f>
        <v/>
      </c>
      <c r="Z1727" s="7">
        <f>IF($E1727="","",AB1727-Y1727)</f>
        <v/>
      </c>
      <c r="AA1727" s="7">
        <f>IF($E1727="","",Z1727-Q1727)</f>
        <v/>
      </c>
      <c r="AB1727" s="7" t="n"/>
      <c r="AE1727">
        <f>IF($E1727="","",IF($AQ1727=1,0,IF($AP1727=1,Settings!$C$6,Settings!$C$7))*100)</f>
        <v/>
      </c>
      <c r="AI1727" s="7" t="n"/>
      <c r="AL1727" s="11" t="n"/>
      <c r="AN1727">
        <f>IF($E1727="","",IF(COUNTIF($E$2:$E1727,$E1727)=1,1,0))</f>
        <v/>
      </c>
      <c r="AO1727">
        <f>IF($AN1727=1,SUMPRODUCT(--($AR$2:$AR$3001&lt;$AR1727))+1,"")</f>
        <v/>
      </c>
      <c r="AP1727">
        <f>IF($E1727="","",IF(OR($U1727=TRUE(),$U1727="TRUE"),1,0))</f>
        <v/>
      </c>
      <c r="AQ1727">
        <f>IF($E1727="","",IF($AD1727="Yes",1,0))</f>
        <v/>
      </c>
      <c r="AR1727">
        <f>IF($AN1727=1,IFERROR(VALUE(MID($E1727,2,20)),1000000000)+ROW()/100000,"")</f>
        <v/>
      </c>
    </row>
    <row r="1728">
      <c r="G1728" s="11" t="n"/>
      <c r="Q1728" s="7">
        <f>IF($E1728="","",P1728*AB1728/100)</f>
        <v/>
      </c>
      <c r="R1728" s="7" t="n"/>
      <c r="X1728" s="7" t="n"/>
      <c r="Y1728" s="7">
        <f>IF($E1728="","",AB1728*AE1728/100)</f>
        <v/>
      </c>
      <c r="Z1728" s="7">
        <f>IF($E1728="","",AB1728-Y1728)</f>
        <v/>
      </c>
      <c r="AA1728" s="7">
        <f>IF($E1728="","",Z1728-Q1728)</f>
        <v/>
      </c>
      <c r="AB1728" s="7" t="n"/>
      <c r="AE1728">
        <f>IF($E1728="","",IF($AQ1728=1,0,IF($AP1728=1,Settings!$C$6,Settings!$C$7))*100)</f>
        <v/>
      </c>
      <c r="AI1728" s="7" t="n"/>
      <c r="AL1728" s="11" t="n"/>
      <c r="AN1728">
        <f>IF($E1728="","",IF(COUNTIF($E$2:$E1728,$E1728)=1,1,0))</f>
        <v/>
      </c>
      <c r="AO1728">
        <f>IF($AN1728=1,SUMPRODUCT(--($AR$2:$AR$3001&lt;$AR1728))+1,"")</f>
        <v/>
      </c>
      <c r="AP1728">
        <f>IF($E1728="","",IF(OR($U1728=TRUE(),$U1728="TRUE"),1,0))</f>
        <v/>
      </c>
      <c r="AQ1728">
        <f>IF($E1728="","",IF($AD1728="Yes",1,0))</f>
        <v/>
      </c>
      <c r="AR1728">
        <f>IF($AN1728=1,IFERROR(VALUE(MID($E1728,2,20)),1000000000)+ROW()/100000,"")</f>
        <v/>
      </c>
    </row>
    <row r="1729">
      <c r="G1729" s="11" t="n"/>
      <c r="Q1729" s="7">
        <f>IF($E1729="","",P1729*AB1729/100)</f>
        <v/>
      </c>
      <c r="R1729" s="7" t="n"/>
      <c r="X1729" s="7" t="n"/>
      <c r="Y1729" s="7">
        <f>IF($E1729="","",AB1729*AE1729/100)</f>
        <v/>
      </c>
      <c r="Z1729" s="7">
        <f>IF($E1729="","",AB1729-Y1729)</f>
        <v/>
      </c>
      <c r="AA1729" s="7">
        <f>IF($E1729="","",Z1729-Q1729)</f>
        <v/>
      </c>
      <c r="AB1729" s="7" t="n"/>
      <c r="AE1729">
        <f>IF($E1729="","",IF($AQ1729=1,0,IF($AP1729=1,Settings!$C$6,Settings!$C$7))*100)</f>
        <v/>
      </c>
      <c r="AI1729" s="7" t="n"/>
      <c r="AL1729" s="11" t="n"/>
      <c r="AN1729">
        <f>IF($E1729="","",IF(COUNTIF($E$2:$E1729,$E1729)=1,1,0))</f>
        <v/>
      </c>
      <c r="AO1729">
        <f>IF($AN1729=1,SUMPRODUCT(--($AR$2:$AR$3001&lt;$AR1729))+1,"")</f>
        <v/>
      </c>
      <c r="AP1729">
        <f>IF($E1729="","",IF(OR($U1729=TRUE(),$U1729="TRUE"),1,0))</f>
        <v/>
      </c>
      <c r="AQ1729">
        <f>IF($E1729="","",IF($AD1729="Yes",1,0))</f>
        <v/>
      </c>
      <c r="AR1729">
        <f>IF($AN1729=1,IFERROR(VALUE(MID($E1729,2,20)),1000000000)+ROW()/100000,"")</f>
        <v/>
      </c>
    </row>
    <row r="1730">
      <c r="G1730" s="11" t="n"/>
      <c r="Q1730" s="7">
        <f>IF($E1730="","",P1730*AB1730/100)</f>
        <v/>
      </c>
      <c r="R1730" s="7" t="n"/>
      <c r="X1730" s="7" t="n"/>
      <c r="Y1730" s="7">
        <f>IF($E1730="","",AB1730*AE1730/100)</f>
        <v/>
      </c>
      <c r="Z1730" s="7">
        <f>IF($E1730="","",AB1730-Y1730)</f>
        <v/>
      </c>
      <c r="AA1730" s="7">
        <f>IF($E1730="","",Z1730-Q1730)</f>
        <v/>
      </c>
      <c r="AB1730" s="7" t="n"/>
      <c r="AE1730">
        <f>IF($E1730="","",IF($AQ1730=1,0,IF($AP1730=1,Settings!$C$6,Settings!$C$7))*100)</f>
        <v/>
      </c>
      <c r="AI1730" s="7" t="n"/>
      <c r="AL1730" s="11" t="n"/>
      <c r="AN1730">
        <f>IF($E1730="","",IF(COUNTIF($E$2:$E1730,$E1730)=1,1,0))</f>
        <v/>
      </c>
      <c r="AO1730">
        <f>IF($AN1730=1,SUMPRODUCT(--($AR$2:$AR$3001&lt;$AR1730))+1,"")</f>
        <v/>
      </c>
      <c r="AP1730">
        <f>IF($E1730="","",IF(OR($U1730=TRUE(),$U1730="TRUE"),1,0))</f>
        <v/>
      </c>
      <c r="AQ1730">
        <f>IF($E1730="","",IF($AD1730="Yes",1,0))</f>
        <v/>
      </c>
      <c r="AR1730">
        <f>IF($AN1730=1,IFERROR(VALUE(MID($E1730,2,20)),1000000000)+ROW()/100000,"")</f>
        <v/>
      </c>
    </row>
    <row r="1731">
      <c r="G1731" s="11" t="n"/>
      <c r="Q1731" s="7">
        <f>IF($E1731="","",P1731*AB1731/100)</f>
        <v/>
      </c>
      <c r="R1731" s="7" t="n"/>
      <c r="X1731" s="7" t="n"/>
      <c r="Y1731" s="7">
        <f>IF($E1731="","",AB1731*AE1731/100)</f>
        <v/>
      </c>
      <c r="Z1731" s="7">
        <f>IF($E1731="","",AB1731-Y1731)</f>
        <v/>
      </c>
      <c r="AA1731" s="7">
        <f>IF($E1731="","",Z1731-Q1731)</f>
        <v/>
      </c>
      <c r="AB1731" s="7" t="n"/>
      <c r="AE1731">
        <f>IF($E1731="","",IF($AQ1731=1,0,IF($AP1731=1,Settings!$C$6,Settings!$C$7))*100)</f>
        <v/>
      </c>
      <c r="AI1731" s="7" t="n"/>
      <c r="AL1731" s="11" t="n"/>
      <c r="AN1731">
        <f>IF($E1731="","",IF(COUNTIF($E$2:$E1731,$E1731)=1,1,0))</f>
        <v/>
      </c>
      <c r="AO1731">
        <f>IF($AN1731=1,SUMPRODUCT(--($AR$2:$AR$3001&lt;$AR1731))+1,"")</f>
        <v/>
      </c>
      <c r="AP1731">
        <f>IF($E1731="","",IF(OR($U1731=TRUE(),$U1731="TRUE"),1,0))</f>
        <v/>
      </c>
      <c r="AQ1731">
        <f>IF($E1731="","",IF($AD1731="Yes",1,0))</f>
        <v/>
      </c>
      <c r="AR1731">
        <f>IF($AN1731=1,IFERROR(VALUE(MID($E1731,2,20)),1000000000)+ROW()/100000,"")</f>
        <v/>
      </c>
    </row>
    <row r="1732">
      <c r="G1732" s="11" t="n"/>
      <c r="Q1732" s="7">
        <f>IF($E1732="","",P1732*AB1732/100)</f>
        <v/>
      </c>
      <c r="R1732" s="7" t="n"/>
      <c r="X1732" s="7" t="n"/>
      <c r="Y1732" s="7">
        <f>IF($E1732="","",AB1732*AE1732/100)</f>
        <v/>
      </c>
      <c r="Z1732" s="7">
        <f>IF($E1732="","",AB1732-Y1732)</f>
        <v/>
      </c>
      <c r="AA1732" s="7">
        <f>IF($E1732="","",Z1732-Q1732)</f>
        <v/>
      </c>
      <c r="AB1732" s="7" t="n"/>
      <c r="AE1732">
        <f>IF($E1732="","",IF($AQ1732=1,0,IF($AP1732=1,Settings!$C$6,Settings!$C$7))*100)</f>
        <v/>
      </c>
      <c r="AI1732" s="7" t="n"/>
      <c r="AL1732" s="11" t="n"/>
      <c r="AN1732">
        <f>IF($E1732="","",IF(COUNTIF($E$2:$E1732,$E1732)=1,1,0))</f>
        <v/>
      </c>
      <c r="AO1732">
        <f>IF($AN1732=1,SUMPRODUCT(--($AR$2:$AR$3001&lt;$AR1732))+1,"")</f>
        <v/>
      </c>
      <c r="AP1732">
        <f>IF($E1732="","",IF(OR($U1732=TRUE(),$U1732="TRUE"),1,0))</f>
        <v/>
      </c>
      <c r="AQ1732">
        <f>IF($E1732="","",IF($AD1732="Yes",1,0))</f>
        <v/>
      </c>
      <c r="AR1732">
        <f>IF($AN1732=1,IFERROR(VALUE(MID($E1732,2,20)),1000000000)+ROW()/100000,"")</f>
        <v/>
      </c>
    </row>
    <row r="1733">
      <c r="G1733" s="11" t="n"/>
      <c r="Q1733" s="7">
        <f>IF($E1733="","",P1733*AB1733/100)</f>
        <v/>
      </c>
      <c r="R1733" s="7" t="n"/>
      <c r="X1733" s="7" t="n"/>
      <c r="Y1733" s="7">
        <f>IF($E1733="","",AB1733*AE1733/100)</f>
        <v/>
      </c>
      <c r="Z1733" s="7">
        <f>IF($E1733="","",AB1733-Y1733)</f>
        <v/>
      </c>
      <c r="AA1733" s="7">
        <f>IF($E1733="","",Z1733-Q1733)</f>
        <v/>
      </c>
      <c r="AB1733" s="7" t="n"/>
      <c r="AE1733">
        <f>IF($E1733="","",IF($AQ1733=1,0,IF($AP1733=1,Settings!$C$6,Settings!$C$7))*100)</f>
        <v/>
      </c>
      <c r="AI1733" s="7" t="n"/>
      <c r="AL1733" s="11" t="n"/>
      <c r="AN1733">
        <f>IF($E1733="","",IF(COUNTIF($E$2:$E1733,$E1733)=1,1,0))</f>
        <v/>
      </c>
      <c r="AO1733">
        <f>IF($AN1733=1,SUMPRODUCT(--($AR$2:$AR$3001&lt;$AR1733))+1,"")</f>
        <v/>
      </c>
      <c r="AP1733">
        <f>IF($E1733="","",IF(OR($U1733=TRUE(),$U1733="TRUE"),1,0))</f>
        <v/>
      </c>
      <c r="AQ1733">
        <f>IF($E1733="","",IF($AD1733="Yes",1,0))</f>
        <v/>
      </c>
      <c r="AR1733">
        <f>IF($AN1733=1,IFERROR(VALUE(MID($E1733,2,20)),1000000000)+ROW()/100000,"")</f>
        <v/>
      </c>
    </row>
    <row r="1734">
      <c r="G1734" s="11" t="n"/>
      <c r="Q1734" s="7">
        <f>IF($E1734="","",P1734*AB1734/100)</f>
        <v/>
      </c>
      <c r="R1734" s="7" t="n"/>
      <c r="X1734" s="7" t="n"/>
      <c r="Y1734" s="7">
        <f>IF($E1734="","",AB1734*AE1734/100)</f>
        <v/>
      </c>
      <c r="Z1734" s="7">
        <f>IF($E1734="","",AB1734-Y1734)</f>
        <v/>
      </c>
      <c r="AA1734" s="7">
        <f>IF($E1734="","",Z1734-Q1734)</f>
        <v/>
      </c>
      <c r="AB1734" s="7" t="n"/>
      <c r="AE1734">
        <f>IF($E1734="","",IF($AQ1734=1,0,IF($AP1734=1,Settings!$C$6,Settings!$C$7))*100)</f>
        <v/>
      </c>
      <c r="AI1734" s="7" t="n"/>
      <c r="AL1734" s="11" t="n"/>
      <c r="AN1734">
        <f>IF($E1734="","",IF(COUNTIF($E$2:$E1734,$E1734)=1,1,0))</f>
        <v/>
      </c>
      <c r="AO1734">
        <f>IF($AN1734=1,SUMPRODUCT(--($AR$2:$AR$3001&lt;$AR1734))+1,"")</f>
        <v/>
      </c>
      <c r="AP1734">
        <f>IF($E1734="","",IF(OR($U1734=TRUE(),$U1734="TRUE"),1,0))</f>
        <v/>
      </c>
      <c r="AQ1734">
        <f>IF($E1734="","",IF($AD1734="Yes",1,0))</f>
        <v/>
      </c>
      <c r="AR1734">
        <f>IF($AN1734=1,IFERROR(VALUE(MID($E1734,2,20)),1000000000)+ROW()/100000,"")</f>
        <v/>
      </c>
    </row>
    <row r="1735">
      <c r="G1735" s="11" t="n"/>
      <c r="Q1735" s="7">
        <f>IF($E1735="","",P1735*AB1735/100)</f>
        <v/>
      </c>
      <c r="R1735" s="7" t="n"/>
      <c r="X1735" s="7" t="n"/>
      <c r="Y1735" s="7">
        <f>IF($E1735="","",AB1735*AE1735/100)</f>
        <v/>
      </c>
      <c r="Z1735" s="7">
        <f>IF($E1735="","",AB1735-Y1735)</f>
        <v/>
      </c>
      <c r="AA1735" s="7">
        <f>IF($E1735="","",Z1735-Q1735)</f>
        <v/>
      </c>
      <c r="AB1735" s="7" t="n"/>
      <c r="AE1735">
        <f>IF($E1735="","",IF($AQ1735=1,0,IF($AP1735=1,Settings!$C$6,Settings!$C$7))*100)</f>
        <v/>
      </c>
      <c r="AI1735" s="7" t="n"/>
      <c r="AL1735" s="11" t="n"/>
      <c r="AN1735">
        <f>IF($E1735="","",IF(COUNTIF($E$2:$E1735,$E1735)=1,1,0))</f>
        <v/>
      </c>
      <c r="AO1735">
        <f>IF($AN1735=1,SUMPRODUCT(--($AR$2:$AR$3001&lt;$AR1735))+1,"")</f>
        <v/>
      </c>
      <c r="AP1735">
        <f>IF($E1735="","",IF(OR($U1735=TRUE(),$U1735="TRUE"),1,0))</f>
        <v/>
      </c>
      <c r="AQ1735">
        <f>IF($E1735="","",IF($AD1735="Yes",1,0))</f>
        <v/>
      </c>
      <c r="AR1735">
        <f>IF($AN1735=1,IFERROR(VALUE(MID($E1735,2,20)),1000000000)+ROW()/100000,"")</f>
        <v/>
      </c>
    </row>
    <row r="1736">
      <c r="G1736" s="11" t="n"/>
      <c r="Q1736" s="7">
        <f>IF($E1736="","",P1736*AB1736/100)</f>
        <v/>
      </c>
      <c r="R1736" s="7" t="n"/>
      <c r="X1736" s="7" t="n"/>
      <c r="Y1736" s="7">
        <f>IF($E1736="","",AB1736*AE1736/100)</f>
        <v/>
      </c>
      <c r="Z1736" s="7">
        <f>IF($E1736="","",AB1736-Y1736)</f>
        <v/>
      </c>
      <c r="AA1736" s="7">
        <f>IF($E1736="","",Z1736-Q1736)</f>
        <v/>
      </c>
      <c r="AB1736" s="7" t="n"/>
      <c r="AE1736">
        <f>IF($E1736="","",IF($AQ1736=1,0,IF($AP1736=1,Settings!$C$6,Settings!$C$7))*100)</f>
        <v/>
      </c>
      <c r="AI1736" s="7" t="n"/>
      <c r="AL1736" s="11" t="n"/>
      <c r="AN1736">
        <f>IF($E1736="","",IF(COUNTIF($E$2:$E1736,$E1736)=1,1,0))</f>
        <v/>
      </c>
      <c r="AO1736">
        <f>IF($AN1736=1,SUMPRODUCT(--($AR$2:$AR$3001&lt;$AR1736))+1,"")</f>
        <v/>
      </c>
      <c r="AP1736">
        <f>IF($E1736="","",IF(OR($U1736=TRUE(),$U1736="TRUE"),1,0))</f>
        <v/>
      </c>
      <c r="AQ1736">
        <f>IF($E1736="","",IF($AD1736="Yes",1,0))</f>
        <v/>
      </c>
      <c r="AR1736">
        <f>IF($AN1736=1,IFERROR(VALUE(MID($E1736,2,20)),1000000000)+ROW()/100000,"")</f>
        <v/>
      </c>
    </row>
    <row r="1737">
      <c r="G1737" s="11" t="n"/>
      <c r="Q1737" s="7">
        <f>IF($E1737="","",P1737*AB1737/100)</f>
        <v/>
      </c>
      <c r="R1737" s="7" t="n"/>
      <c r="X1737" s="7" t="n"/>
      <c r="Y1737" s="7">
        <f>IF($E1737="","",AB1737*AE1737/100)</f>
        <v/>
      </c>
      <c r="Z1737" s="7">
        <f>IF($E1737="","",AB1737-Y1737)</f>
        <v/>
      </c>
      <c r="AA1737" s="7">
        <f>IF($E1737="","",Z1737-Q1737)</f>
        <v/>
      </c>
      <c r="AB1737" s="7" t="n"/>
      <c r="AE1737">
        <f>IF($E1737="","",IF($AQ1737=1,0,IF($AP1737=1,Settings!$C$6,Settings!$C$7))*100)</f>
        <v/>
      </c>
      <c r="AI1737" s="7" t="n"/>
      <c r="AL1737" s="11" t="n"/>
      <c r="AN1737">
        <f>IF($E1737="","",IF(COUNTIF($E$2:$E1737,$E1737)=1,1,0))</f>
        <v/>
      </c>
      <c r="AO1737">
        <f>IF($AN1737=1,SUMPRODUCT(--($AR$2:$AR$3001&lt;$AR1737))+1,"")</f>
        <v/>
      </c>
      <c r="AP1737">
        <f>IF($E1737="","",IF(OR($U1737=TRUE(),$U1737="TRUE"),1,0))</f>
        <v/>
      </c>
      <c r="AQ1737">
        <f>IF($E1737="","",IF($AD1737="Yes",1,0))</f>
        <v/>
      </c>
      <c r="AR1737">
        <f>IF($AN1737=1,IFERROR(VALUE(MID($E1737,2,20)),1000000000)+ROW()/100000,"")</f>
        <v/>
      </c>
    </row>
    <row r="1738">
      <c r="G1738" s="11" t="n"/>
      <c r="Q1738" s="7">
        <f>IF($E1738="","",P1738*AB1738/100)</f>
        <v/>
      </c>
      <c r="R1738" s="7" t="n"/>
      <c r="X1738" s="7" t="n"/>
      <c r="Y1738" s="7">
        <f>IF($E1738="","",AB1738*AE1738/100)</f>
        <v/>
      </c>
      <c r="Z1738" s="7">
        <f>IF($E1738="","",AB1738-Y1738)</f>
        <v/>
      </c>
      <c r="AA1738" s="7">
        <f>IF($E1738="","",Z1738-Q1738)</f>
        <v/>
      </c>
      <c r="AB1738" s="7" t="n"/>
      <c r="AE1738">
        <f>IF($E1738="","",IF($AQ1738=1,0,IF($AP1738=1,Settings!$C$6,Settings!$C$7))*100)</f>
        <v/>
      </c>
      <c r="AI1738" s="7" t="n"/>
      <c r="AL1738" s="11" t="n"/>
      <c r="AN1738">
        <f>IF($E1738="","",IF(COUNTIF($E$2:$E1738,$E1738)=1,1,0))</f>
        <v/>
      </c>
      <c r="AO1738">
        <f>IF($AN1738=1,SUMPRODUCT(--($AR$2:$AR$3001&lt;$AR1738))+1,"")</f>
        <v/>
      </c>
      <c r="AP1738">
        <f>IF($E1738="","",IF(OR($U1738=TRUE(),$U1738="TRUE"),1,0))</f>
        <v/>
      </c>
      <c r="AQ1738">
        <f>IF($E1738="","",IF($AD1738="Yes",1,0))</f>
        <v/>
      </c>
      <c r="AR1738">
        <f>IF($AN1738=1,IFERROR(VALUE(MID($E1738,2,20)),1000000000)+ROW()/100000,"")</f>
        <v/>
      </c>
    </row>
    <row r="1739">
      <c r="G1739" s="11" t="n"/>
      <c r="Q1739" s="7">
        <f>IF($E1739="","",P1739*AB1739/100)</f>
        <v/>
      </c>
      <c r="R1739" s="7" t="n"/>
      <c r="X1739" s="7" t="n"/>
      <c r="Y1739" s="7">
        <f>IF($E1739="","",AB1739*AE1739/100)</f>
        <v/>
      </c>
      <c r="Z1739" s="7">
        <f>IF($E1739="","",AB1739-Y1739)</f>
        <v/>
      </c>
      <c r="AA1739" s="7">
        <f>IF($E1739="","",Z1739-Q1739)</f>
        <v/>
      </c>
      <c r="AB1739" s="7" t="n"/>
      <c r="AE1739">
        <f>IF($E1739="","",IF($AQ1739=1,0,IF($AP1739=1,Settings!$C$6,Settings!$C$7))*100)</f>
        <v/>
      </c>
      <c r="AI1739" s="7" t="n"/>
      <c r="AL1739" s="11" t="n"/>
      <c r="AN1739">
        <f>IF($E1739="","",IF(COUNTIF($E$2:$E1739,$E1739)=1,1,0))</f>
        <v/>
      </c>
      <c r="AO1739">
        <f>IF($AN1739=1,SUMPRODUCT(--($AR$2:$AR$3001&lt;$AR1739))+1,"")</f>
        <v/>
      </c>
      <c r="AP1739">
        <f>IF($E1739="","",IF(OR($U1739=TRUE(),$U1739="TRUE"),1,0))</f>
        <v/>
      </c>
      <c r="AQ1739">
        <f>IF($E1739="","",IF($AD1739="Yes",1,0))</f>
        <v/>
      </c>
      <c r="AR1739">
        <f>IF($AN1739=1,IFERROR(VALUE(MID($E1739,2,20)),1000000000)+ROW()/100000,"")</f>
        <v/>
      </c>
    </row>
    <row r="1740">
      <c r="G1740" s="11" t="n"/>
      <c r="Q1740" s="7">
        <f>IF($E1740="","",P1740*AB1740/100)</f>
        <v/>
      </c>
      <c r="R1740" s="7" t="n"/>
      <c r="X1740" s="7" t="n"/>
      <c r="Y1740" s="7">
        <f>IF($E1740="","",AB1740*AE1740/100)</f>
        <v/>
      </c>
      <c r="Z1740" s="7">
        <f>IF($E1740="","",AB1740-Y1740)</f>
        <v/>
      </c>
      <c r="AA1740" s="7">
        <f>IF($E1740="","",Z1740-Q1740)</f>
        <v/>
      </c>
      <c r="AB1740" s="7" t="n"/>
      <c r="AE1740">
        <f>IF($E1740="","",IF($AQ1740=1,0,IF($AP1740=1,Settings!$C$6,Settings!$C$7))*100)</f>
        <v/>
      </c>
      <c r="AI1740" s="7" t="n"/>
      <c r="AL1740" s="11" t="n"/>
      <c r="AN1740">
        <f>IF($E1740="","",IF(COUNTIF($E$2:$E1740,$E1740)=1,1,0))</f>
        <v/>
      </c>
      <c r="AO1740">
        <f>IF($AN1740=1,SUMPRODUCT(--($AR$2:$AR$3001&lt;$AR1740))+1,"")</f>
        <v/>
      </c>
      <c r="AP1740">
        <f>IF($E1740="","",IF(OR($U1740=TRUE(),$U1740="TRUE"),1,0))</f>
        <v/>
      </c>
      <c r="AQ1740">
        <f>IF($E1740="","",IF($AD1740="Yes",1,0))</f>
        <v/>
      </c>
      <c r="AR1740">
        <f>IF($AN1740=1,IFERROR(VALUE(MID($E1740,2,20)),1000000000)+ROW()/100000,"")</f>
        <v/>
      </c>
    </row>
    <row r="1741">
      <c r="G1741" s="11" t="n"/>
      <c r="Q1741" s="7">
        <f>IF($E1741="","",P1741*AB1741/100)</f>
        <v/>
      </c>
      <c r="R1741" s="7" t="n"/>
      <c r="X1741" s="7" t="n"/>
      <c r="Y1741" s="7">
        <f>IF($E1741="","",AB1741*AE1741/100)</f>
        <v/>
      </c>
      <c r="Z1741" s="7">
        <f>IF($E1741="","",AB1741-Y1741)</f>
        <v/>
      </c>
      <c r="AA1741" s="7">
        <f>IF($E1741="","",Z1741-Q1741)</f>
        <v/>
      </c>
      <c r="AB1741" s="7" t="n"/>
      <c r="AE1741">
        <f>IF($E1741="","",IF($AQ1741=1,0,IF($AP1741=1,Settings!$C$6,Settings!$C$7))*100)</f>
        <v/>
      </c>
      <c r="AI1741" s="7" t="n"/>
      <c r="AL1741" s="11" t="n"/>
      <c r="AN1741">
        <f>IF($E1741="","",IF(COUNTIF($E$2:$E1741,$E1741)=1,1,0))</f>
        <v/>
      </c>
      <c r="AO1741">
        <f>IF($AN1741=1,SUMPRODUCT(--($AR$2:$AR$3001&lt;$AR1741))+1,"")</f>
        <v/>
      </c>
      <c r="AP1741">
        <f>IF($E1741="","",IF(OR($U1741=TRUE(),$U1741="TRUE"),1,0))</f>
        <v/>
      </c>
      <c r="AQ1741">
        <f>IF($E1741="","",IF($AD1741="Yes",1,0))</f>
        <v/>
      </c>
      <c r="AR1741">
        <f>IF($AN1741=1,IFERROR(VALUE(MID($E1741,2,20)),1000000000)+ROW()/100000,"")</f>
        <v/>
      </c>
    </row>
    <row r="1742">
      <c r="G1742" s="11" t="n"/>
      <c r="Q1742" s="7">
        <f>IF($E1742="","",P1742*AB1742/100)</f>
        <v/>
      </c>
      <c r="R1742" s="7" t="n"/>
      <c r="X1742" s="7" t="n"/>
      <c r="Y1742" s="7">
        <f>IF($E1742="","",AB1742*AE1742/100)</f>
        <v/>
      </c>
      <c r="Z1742" s="7">
        <f>IF($E1742="","",AB1742-Y1742)</f>
        <v/>
      </c>
      <c r="AA1742" s="7">
        <f>IF($E1742="","",Z1742-Q1742)</f>
        <v/>
      </c>
      <c r="AB1742" s="7" t="n"/>
      <c r="AE1742">
        <f>IF($E1742="","",IF($AQ1742=1,0,IF($AP1742=1,Settings!$C$6,Settings!$C$7))*100)</f>
        <v/>
      </c>
      <c r="AI1742" s="7" t="n"/>
      <c r="AL1742" s="11" t="n"/>
      <c r="AN1742">
        <f>IF($E1742="","",IF(COUNTIF($E$2:$E1742,$E1742)=1,1,0))</f>
        <v/>
      </c>
      <c r="AO1742">
        <f>IF($AN1742=1,SUMPRODUCT(--($AR$2:$AR$3001&lt;$AR1742))+1,"")</f>
        <v/>
      </c>
      <c r="AP1742">
        <f>IF($E1742="","",IF(OR($U1742=TRUE(),$U1742="TRUE"),1,0))</f>
        <v/>
      </c>
      <c r="AQ1742">
        <f>IF($E1742="","",IF($AD1742="Yes",1,0))</f>
        <v/>
      </c>
      <c r="AR1742">
        <f>IF($AN1742=1,IFERROR(VALUE(MID($E1742,2,20)),1000000000)+ROW()/100000,"")</f>
        <v/>
      </c>
    </row>
    <row r="1743">
      <c r="G1743" s="11" t="n"/>
      <c r="Q1743" s="7">
        <f>IF($E1743="","",P1743*AB1743/100)</f>
        <v/>
      </c>
      <c r="R1743" s="7" t="n"/>
      <c r="X1743" s="7" t="n"/>
      <c r="Y1743" s="7">
        <f>IF($E1743="","",AB1743*AE1743/100)</f>
        <v/>
      </c>
      <c r="Z1743" s="7">
        <f>IF($E1743="","",AB1743-Y1743)</f>
        <v/>
      </c>
      <c r="AA1743" s="7">
        <f>IF($E1743="","",Z1743-Q1743)</f>
        <v/>
      </c>
      <c r="AB1743" s="7" t="n"/>
      <c r="AE1743">
        <f>IF($E1743="","",IF($AQ1743=1,0,IF($AP1743=1,Settings!$C$6,Settings!$C$7))*100)</f>
        <v/>
      </c>
      <c r="AI1743" s="7" t="n"/>
      <c r="AL1743" s="11" t="n"/>
      <c r="AN1743">
        <f>IF($E1743="","",IF(COUNTIF($E$2:$E1743,$E1743)=1,1,0))</f>
        <v/>
      </c>
      <c r="AO1743">
        <f>IF($AN1743=1,SUMPRODUCT(--($AR$2:$AR$3001&lt;$AR1743))+1,"")</f>
        <v/>
      </c>
      <c r="AP1743">
        <f>IF($E1743="","",IF(OR($U1743=TRUE(),$U1743="TRUE"),1,0))</f>
        <v/>
      </c>
      <c r="AQ1743">
        <f>IF($E1743="","",IF($AD1743="Yes",1,0))</f>
        <v/>
      </c>
      <c r="AR1743">
        <f>IF($AN1743=1,IFERROR(VALUE(MID($E1743,2,20)),1000000000)+ROW()/100000,"")</f>
        <v/>
      </c>
    </row>
    <row r="1744">
      <c r="G1744" s="11" t="n"/>
      <c r="Q1744" s="7">
        <f>IF($E1744="","",P1744*AB1744/100)</f>
        <v/>
      </c>
      <c r="R1744" s="7" t="n"/>
      <c r="X1744" s="7" t="n"/>
      <c r="Y1744" s="7">
        <f>IF($E1744="","",AB1744*AE1744/100)</f>
        <v/>
      </c>
      <c r="Z1744" s="7">
        <f>IF($E1744="","",AB1744-Y1744)</f>
        <v/>
      </c>
      <c r="AA1744" s="7">
        <f>IF($E1744="","",Z1744-Q1744)</f>
        <v/>
      </c>
      <c r="AB1744" s="7" t="n"/>
      <c r="AE1744">
        <f>IF($E1744="","",IF($AQ1744=1,0,IF($AP1744=1,Settings!$C$6,Settings!$C$7))*100)</f>
        <v/>
      </c>
      <c r="AI1744" s="7" t="n"/>
      <c r="AL1744" s="11" t="n"/>
      <c r="AN1744">
        <f>IF($E1744="","",IF(COUNTIF($E$2:$E1744,$E1744)=1,1,0))</f>
        <v/>
      </c>
      <c r="AO1744">
        <f>IF($AN1744=1,SUMPRODUCT(--($AR$2:$AR$3001&lt;$AR1744))+1,"")</f>
        <v/>
      </c>
      <c r="AP1744">
        <f>IF($E1744="","",IF(OR($U1744=TRUE(),$U1744="TRUE"),1,0))</f>
        <v/>
      </c>
      <c r="AQ1744">
        <f>IF($E1744="","",IF($AD1744="Yes",1,0))</f>
        <v/>
      </c>
      <c r="AR1744">
        <f>IF($AN1744=1,IFERROR(VALUE(MID($E1744,2,20)),1000000000)+ROW()/100000,"")</f>
        <v/>
      </c>
    </row>
    <row r="1745">
      <c r="G1745" s="11" t="n"/>
      <c r="Q1745" s="7">
        <f>IF($E1745="","",P1745*AB1745/100)</f>
        <v/>
      </c>
      <c r="R1745" s="7" t="n"/>
      <c r="X1745" s="7" t="n"/>
      <c r="Y1745" s="7">
        <f>IF($E1745="","",AB1745*AE1745/100)</f>
        <v/>
      </c>
      <c r="Z1745" s="7">
        <f>IF($E1745="","",AB1745-Y1745)</f>
        <v/>
      </c>
      <c r="AA1745" s="7">
        <f>IF($E1745="","",Z1745-Q1745)</f>
        <v/>
      </c>
      <c r="AB1745" s="7" t="n"/>
      <c r="AE1745">
        <f>IF($E1745="","",IF($AQ1745=1,0,IF($AP1745=1,Settings!$C$6,Settings!$C$7))*100)</f>
        <v/>
      </c>
      <c r="AI1745" s="7" t="n"/>
      <c r="AL1745" s="11" t="n"/>
      <c r="AN1745">
        <f>IF($E1745="","",IF(COUNTIF($E$2:$E1745,$E1745)=1,1,0))</f>
        <v/>
      </c>
      <c r="AO1745">
        <f>IF($AN1745=1,SUMPRODUCT(--($AR$2:$AR$3001&lt;$AR1745))+1,"")</f>
        <v/>
      </c>
      <c r="AP1745">
        <f>IF($E1745="","",IF(OR($U1745=TRUE(),$U1745="TRUE"),1,0))</f>
        <v/>
      </c>
      <c r="AQ1745">
        <f>IF($E1745="","",IF($AD1745="Yes",1,0))</f>
        <v/>
      </c>
      <c r="AR1745">
        <f>IF($AN1745=1,IFERROR(VALUE(MID($E1745,2,20)),1000000000)+ROW()/100000,"")</f>
        <v/>
      </c>
    </row>
    <row r="1746">
      <c r="G1746" s="11" t="n"/>
      <c r="Q1746" s="7">
        <f>IF($E1746="","",P1746*AB1746/100)</f>
        <v/>
      </c>
      <c r="R1746" s="7" t="n"/>
      <c r="X1746" s="7" t="n"/>
      <c r="Y1746" s="7">
        <f>IF($E1746="","",AB1746*AE1746/100)</f>
        <v/>
      </c>
      <c r="Z1746" s="7">
        <f>IF($E1746="","",AB1746-Y1746)</f>
        <v/>
      </c>
      <c r="AA1746" s="7">
        <f>IF($E1746="","",Z1746-Q1746)</f>
        <v/>
      </c>
      <c r="AB1746" s="7" t="n"/>
      <c r="AE1746">
        <f>IF($E1746="","",IF($AQ1746=1,0,IF($AP1746=1,Settings!$C$6,Settings!$C$7))*100)</f>
        <v/>
      </c>
      <c r="AI1746" s="7" t="n"/>
      <c r="AL1746" s="11" t="n"/>
      <c r="AN1746">
        <f>IF($E1746="","",IF(COUNTIF($E$2:$E1746,$E1746)=1,1,0))</f>
        <v/>
      </c>
      <c r="AO1746">
        <f>IF($AN1746=1,SUMPRODUCT(--($AR$2:$AR$3001&lt;$AR1746))+1,"")</f>
        <v/>
      </c>
      <c r="AP1746">
        <f>IF($E1746="","",IF(OR($U1746=TRUE(),$U1746="TRUE"),1,0))</f>
        <v/>
      </c>
      <c r="AQ1746">
        <f>IF($E1746="","",IF($AD1746="Yes",1,0))</f>
        <v/>
      </c>
      <c r="AR1746">
        <f>IF($AN1746=1,IFERROR(VALUE(MID($E1746,2,20)),1000000000)+ROW()/100000,"")</f>
        <v/>
      </c>
    </row>
    <row r="1747">
      <c r="G1747" s="11" t="n"/>
      <c r="Q1747" s="7">
        <f>IF($E1747="","",P1747*AB1747/100)</f>
        <v/>
      </c>
      <c r="R1747" s="7" t="n"/>
      <c r="X1747" s="7" t="n"/>
      <c r="Y1747" s="7">
        <f>IF($E1747="","",AB1747*AE1747/100)</f>
        <v/>
      </c>
      <c r="Z1747" s="7">
        <f>IF($E1747="","",AB1747-Y1747)</f>
        <v/>
      </c>
      <c r="AA1747" s="7">
        <f>IF($E1747="","",Z1747-Q1747)</f>
        <v/>
      </c>
      <c r="AB1747" s="7" t="n"/>
      <c r="AE1747">
        <f>IF($E1747="","",IF($AQ1747=1,0,IF($AP1747=1,Settings!$C$6,Settings!$C$7))*100)</f>
        <v/>
      </c>
      <c r="AI1747" s="7" t="n"/>
      <c r="AL1747" s="11" t="n"/>
      <c r="AN1747">
        <f>IF($E1747="","",IF(COUNTIF($E$2:$E1747,$E1747)=1,1,0))</f>
        <v/>
      </c>
      <c r="AO1747">
        <f>IF($AN1747=1,SUMPRODUCT(--($AR$2:$AR$3001&lt;$AR1747))+1,"")</f>
        <v/>
      </c>
      <c r="AP1747">
        <f>IF($E1747="","",IF(OR($U1747=TRUE(),$U1747="TRUE"),1,0))</f>
        <v/>
      </c>
      <c r="AQ1747">
        <f>IF($E1747="","",IF($AD1747="Yes",1,0))</f>
        <v/>
      </c>
      <c r="AR1747">
        <f>IF($AN1747=1,IFERROR(VALUE(MID($E1747,2,20)),1000000000)+ROW()/100000,"")</f>
        <v/>
      </c>
    </row>
    <row r="1748">
      <c r="G1748" s="11" t="n"/>
      <c r="Q1748" s="7">
        <f>IF($E1748="","",P1748*AB1748/100)</f>
        <v/>
      </c>
      <c r="R1748" s="7" t="n"/>
      <c r="X1748" s="7" t="n"/>
      <c r="Y1748" s="7">
        <f>IF($E1748="","",AB1748*AE1748/100)</f>
        <v/>
      </c>
      <c r="Z1748" s="7">
        <f>IF($E1748="","",AB1748-Y1748)</f>
        <v/>
      </c>
      <c r="AA1748" s="7">
        <f>IF($E1748="","",Z1748-Q1748)</f>
        <v/>
      </c>
      <c r="AB1748" s="7" t="n"/>
      <c r="AE1748">
        <f>IF($E1748="","",IF($AQ1748=1,0,IF($AP1748=1,Settings!$C$6,Settings!$C$7))*100)</f>
        <v/>
      </c>
      <c r="AI1748" s="7" t="n"/>
      <c r="AL1748" s="11" t="n"/>
      <c r="AN1748">
        <f>IF($E1748="","",IF(COUNTIF($E$2:$E1748,$E1748)=1,1,0))</f>
        <v/>
      </c>
      <c r="AO1748">
        <f>IF($AN1748=1,SUMPRODUCT(--($AR$2:$AR$3001&lt;$AR1748))+1,"")</f>
        <v/>
      </c>
      <c r="AP1748">
        <f>IF($E1748="","",IF(OR($U1748=TRUE(),$U1748="TRUE"),1,0))</f>
        <v/>
      </c>
      <c r="AQ1748">
        <f>IF($E1748="","",IF($AD1748="Yes",1,0))</f>
        <v/>
      </c>
      <c r="AR1748">
        <f>IF($AN1748=1,IFERROR(VALUE(MID($E1748,2,20)),1000000000)+ROW()/100000,"")</f>
        <v/>
      </c>
    </row>
    <row r="1749">
      <c r="G1749" s="11" t="n"/>
      <c r="Q1749" s="7">
        <f>IF($E1749="","",P1749*AB1749/100)</f>
        <v/>
      </c>
      <c r="R1749" s="7" t="n"/>
      <c r="X1749" s="7" t="n"/>
      <c r="Y1749" s="7">
        <f>IF($E1749="","",AB1749*AE1749/100)</f>
        <v/>
      </c>
      <c r="Z1749" s="7">
        <f>IF($E1749="","",AB1749-Y1749)</f>
        <v/>
      </c>
      <c r="AA1749" s="7">
        <f>IF($E1749="","",Z1749-Q1749)</f>
        <v/>
      </c>
      <c r="AB1749" s="7" t="n"/>
      <c r="AE1749">
        <f>IF($E1749="","",IF($AQ1749=1,0,IF($AP1749=1,Settings!$C$6,Settings!$C$7))*100)</f>
        <v/>
      </c>
      <c r="AI1749" s="7" t="n"/>
      <c r="AL1749" s="11" t="n"/>
      <c r="AN1749">
        <f>IF($E1749="","",IF(COUNTIF($E$2:$E1749,$E1749)=1,1,0))</f>
        <v/>
      </c>
      <c r="AO1749">
        <f>IF($AN1749=1,SUMPRODUCT(--($AR$2:$AR$3001&lt;$AR1749))+1,"")</f>
        <v/>
      </c>
      <c r="AP1749">
        <f>IF($E1749="","",IF(OR($U1749=TRUE(),$U1749="TRUE"),1,0))</f>
        <v/>
      </c>
      <c r="AQ1749">
        <f>IF($E1749="","",IF($AD1749="Yes",1,0))</f>
        <v/>
      </c>
      <c r="AR1749">
        <f>IF($AN1749=1,IFERROR(VALUE(MID($E1749,2,20)),1000000000)+ROW()/100000,"")</f>
        <v/>
      </c>
    </row>
    <row r="1750">
      <c r="G1750" s="11" t="n"/>
      <c r="Q1750" s="7">
        <f>IF($E1750="","",P1750*AB1750/100)</f>
        <v/>
      </c>
      <c r="R1750" s="7" t="n"/>
      <c r="X1750" s="7" t="n"/>
      <c r="Y1750" s="7">
        <f>IF($E1750="","",AB1750*AE1750/100)</f>
        <v/>
      </c>
      <c r="Z1750" s="7">
        <f>IF($E1750="","",AB1750-Y1750)</f>
        <v/>
      </c>
      <c r="AA1750" s="7">
        <f>IF($E1750="","",Z1750-Q1750)</f>
        <v/>
      </c>
      <c r="AB1750" s="7" t="n"/>
      <c r="AE1750">
        <f>IF($E1750="","",IF($AQ1750=1,0,IF($AP1750=1,Settings!$C$6,Settings!$C$7))*100)</f>
        <v/>
      </c>
      <c r="AI1750" s="7" t="n"/>
      <c r="AL1750" s="11" t="n"/>
      <c r="AN1750">
        <f>IF($E1750="","",IF(COUNTIF($E$2:$E1750,$E1750)=1,1,0))</f>
        <v/>
      </c>
      <c r="AO1750">
        <f>IF($AN1750=1,SUMPRODUCT(--($AR$2:$AR$3001&lt;$AR1750))+1,"")</f>
        <v/>
      </c>
      <c r="AP1750">
        <f>IF($E1750="","",IF(OR($U1750=TRUE(),$U1750="TRUE"),1,0))</f>
        <v/>
      </c>
      <c r="AQ1750">
        <f>IF($E1750="","",IF($AD1750="Yes",1,0))</f>
        <v/>
      </c>
      <c r="AR1750">
        <f>IF($AN1750=1,IFERROR(VALUE(MID($E1750,2,20)),1000000000)+ROW()/100000,"")</f>
        <v/>
      </c>
    </row>
    <row r="1751">
      <c r="G1751" s="11" t="n"/>
      <c r="Q1751" s="7">
        <f>IF($E1751="","",P1751*AB1751/100)</f>
        <v/>
      </c>
      <c r="R1751" s="7" t="n"/>
      <c r="X1751" s="7" t="n"/>
      <c r="Y1751" s="7">
        <f>IF($E1751="","",AB1751*AE1751/100)</f>
        <v/>
      </c>
      <c r="Z1751" s="7">
        <f>IF($E1751="","",AB1751-Y1751)</f>
        <v/>
      </c>
      <c r="AA1751" s="7">
        <f>IF($E1751="","",Z1751-Q1751)</f>
        <v/>
      </c>
      <c r="AB1751" s="7" t="n"/>
      <c r="AE1751">
        <f>IF($E1751="","",IF($AQ1751=1,0,IF($AP1751=1,Settings!$C$6,Settings!$C$7))*100)</f>
        <v/>
      </c>
      <c r="AI1751" s="7" t="n"/>
      <c r="AL1751" s="11" t="n"/>
      <c r="AN1751">
        <f>IF($E1751="","",IF(COUNTIF($E$2:$E1751,$E1751)=1,1,0))</f>
        <v/>
      </c>
      <c r="AO1751">
        <f>IF($AN1751=1,SUMPRODUCT(--($AR$2:$AR$3001&lt;$AR1751))+1,"")</f>
        <v/>
      </c>
      <c r="AP1751">
        <f>IF($E1751="","",IF(OR($U1751=TRUE(),$U1751="TRUE"),1,0))</f>
        <v/>
      </c>
      <c r="AQ1751">
        <f>IF($E1751="","",IF($AD1751="Yes",1,0))</f>
        <v/>
      </c>
      <c r="AR1751">
        <f>IF($AN1751=1,IFERROR(VALUE(MID($E1751,2,20)),1000000000)+ROW()/100000,"")</f>
        <v/>
      </c>
    </row>
    <row r="1752">
      <c r="G1752" s="11" t="n"/>
      <c r="Q1752" s="7">
        <f>IF($E1752="","",P1752*AB1752/100)</f>
        <v/>
      </c>
      <c r="R1752" s="7" t="n"/>
      <c r="X1752" s="7" t="n"/>
      <c r="Y1752" s="7">
        <f>IF($E1752="","",AB1752*AE1752/100)</f>
        <v/>
      </c>
      <c r="Z1752" s="7">
        <f>IF($E1752="","",AB1752-Y1752)</f>
        <v/>
      </c>
      <c r="AA1752" s="7">
        <f>IF($E1752="","",Z1752-Q1752)</f>
        <v/>
      </c>
      <c r="AB1752" s="7" t="n"/>
      <c r="AE1752">
        <f>IF($E1752="","",IF($AQ1752=1,0,IF($AP1752=1,Settings!$C$6,Settings!$C$7))*100)</f>
        <v/>
      </c>
      <c r="AI1752" s="7" t="n"/>
      <c r="AL1752" s="11" t="n"/>
      <c r="AN1752">
        <f>IF($E1752="","",IF(COUNTIF($E$2:$E1752,$E1752)=1,1,0))</f>
        <v/>
      </c>
      <c r="AO1752">
        <f>IF($AN1752=1,SUMPRODUCT(--($AR$2:$AR$3001&lt;$AR1752))+1,"")</f>
        <v/>
      </c>
      <c r="AP1752">
        <f>IF($E1752="","",IF(OR($U1752=TRUE(),$U1752="TRUE"),1,0))</f>
        <v/>
      </c>
      <c r="AQ1752">
        <f>IF($E1752="","",IF($AD1752="Yes",1,0))</f>
        <v/>
      </c>
      <c r="AR1752">
        <f>IF($AN1752=1,IFERROR(VALUE(MID($E1752,2,20)),1000000000)+ROW()/100000,"")</f>
        <v/>
      </c>
    </row>
    <row r="1753">
      <c r="G1753" s="11" t="n"/>
      <c r="Q1753" s="7">
        <f>IF($E1753="","",P1753*AB1753/100)</f>
        <v/>
      </c>
      <c r="R1753" s="7" t="n"/>
      <c r="X1753" s="7" t="n"/>
      <c r="Y1753" s="7">
        <f>IF($E1753="","",AB1753*AE1753/100)</f>
        <v/>
      </c>
      <c r="Z1753" s="7">
        <f>IF($E1753="","",AB1753-Y1753)</f>
        <v/>
      </c>
      <c r="AA1753" s="7">
        <f>IF($E1753="","",Z1753-Q1753)</f>
        <v/>
      </c>
      <c r="AB1753" s="7" t="n"/>
      <c r="AE1753">
        <f>IF($E1753="","",IF($AQ1753=1,0,IF($AP1753=1,Settings!$C$6,Settings!$C$7))*100)</f>
        <v/>
      </c>
      <c r="AI1753" s="7" t="n"/>
      <c r="AL1753" s="11" t="n"/>
      <c r="AN1753">
        <f>IF($E1753="","",IF(COUNTIF($E$2:$E1753,$E1753)=1,1,0))</f>
        <v/>
      </c>
      <c r="AO1753">
        <f>IF($AN1753=1,SUMPRODUCT(--($AR$2:$AR$3001&lt;$AR1753))+1,"")</f>
        <v/>
      </c>
      <c r="AP1753">
        <f>IF($E1753="","",IF(OR($U1753=TRUE(),$U1753="TRUE"),1,0))</f>
        <v/>
      </c>
      <c r="AQ1753">
        <f>IF($E1753="","",IF($AD1753="Yes",1,0))</f>
        <v/>
      </c>
      <c r="AR1753">
        <f>IF($AN1753=1,IFERROR(VALUE(MID($E1753,2,20)),1000000000)+ROW()/100000,"")</f>
        <v/>
      </c>
    </row>
    <row r="1754">
      <c r="G1754" s="11" t="n"/>
      <c r="Q1754" s="7">
        <f>IF($E1754="","",P1754*AB1754/100)</f>
        <v/>
      </c>
      <c r="R1754" s="7" t="n"/>
      <c r="X1754" s="7" t="n"/>
      <c r="Y1754" s="7">
        <f>IF($E1754="","",AB1754*AE1754/100)</f>
        <v/>
      </c>
      <c r="Z1754" s="7">
        <f>IF($E1754="","",AB1754-Y1754)</f>
        <v/>
      </c>
      <c r="AA1754" s="7">
        <f>IF($E1754="","",Z1754-Q1754)</f>
        <v/>
      </c>
      <c r="AB1754" s="7" t="n"/>
      <c r="AE1754">
        <f>IF($E1754="","",IF($AQ1754=1,0,IF($AP1754=1,Settings!$C$6,Settings!$C$7))*100)</f>
        <v/>
      </c>
      <c r="AI1754" s="7" t="n"/>
      <c r="AL1754" s="11" t="n"/>
      <c r="AN1754">
        <f>IF($E1754="","",IF(COUNTIF($E$2:$E1754,$E1754)=1,1,0))</f>
        <v/>
      </c>
      <c r="AO1754">
        <f>IF($AN1754=1,SUMPRODUCT(--($AR$2:$AR$3001&lt;$AR1754))+1,"")</f>
        <v/>
      </c>
      <c r="AP1754">
        <f>IF($E1754="","",IF(OR($U1754=TRUE(),$U1754="TRUE"),1,0))</f>
        <v/>
      </c>
      <c r="AQ1754">
        <f>IF($E1754="","",IF($AD1754="Yes",1,0))</f>
        <v/>
      </c>
      <c r="AR1754">
        <f>IF($AN1754=1,IFERROR(VALUE(MID($E1754,2,20)),1000000000)+ROW()/100000,"")</f>
        <v/>
      </c>
    </row>
    <row r="1755">
      <c r="G1755" s="11" t="n"/>
      <c r="Q1755" s="7">
        <f>IF($E1755="","",P1755*AB1755/100)</f>
        <v/>
      </c>
      <c r="R1755" s="7" t="n"/>
      <c r="X1755" s="7" t="n"/>
      <c r="Y1755" s="7">
        <f>IF($E1755="","",AB1755*AE1755/100)</f>
        <v/>
      </c>
      <c r="Z1755" s="7">
        <f>IF($E1755="","",AB1755-Y1755)</f>
        <v/>
      </c>
      <c r="AA1755" s="7">
        <f>IF($E1755="","",Z1755-Q1755)</f>
        <v/>
      </c>
      <c r="AB1755" s="7" t="n"/>
      <c r="AE1755">
        <f>IF($E1755="","",IF($AQ1755=1,0,IF($AP1755=1,Settings!$C$6,Settings!$C$7))*100)</f>
        <v/>
      </c>
      <c r="AI1755" s="7" t="n"/>
      <c r="AL1755" s="11" t="n"/>
      <c r="AN1755">
        <f>IF($E1755="","",IF(COUNTIF($E$2:$E1755,$E1755)=1,1,0))</f>
        <v/>
      </c>
      <c r="AO1755">
        <f>IF($AN1755=1,SUMPRODUCT(--($AR$2:$AR$3001&lt;$AR1755))+1,"")</f>
        <v/>
      </c>
      <c r="AP1755">
        <f>IF($E1755="","",IF(OR($U1755=TRUE(),$U1755="TRUE"),1,0))</f>
        <v/>
      </c>
      <c r="AQ1755">
        <f>IF($E1755="","",IF($AD1755="Yes",1,0))</f>
        <v/>
      </c>
      <c r="AR1755">
        <f>IF($AN1755=1,IFERROR(VALUE(MID($E1755,2,20)),1000000000)+ROW()/100000,"")</f>
        <v/>
      </c>
    </row>
    <row r="1756">
      <c r="G1756" s="11" t="n"/>
      <c r="Q1756" s="7">
        <f>IF($E1756="","",P1756*AB1756/100)</f>
        <v/>
      </c>
      <c r="R1756" s="7" t="n"/>
      <c r="X1756" s="7" t="n"/>
      <c r="Y1756" s="7">
        <f>IF($E1756="","",AB1756*AE1756/100)</f>
        <v/>
      </c>
      <c r="Z1756" s="7">
        <f>IF($E1756="","",AB1756-Y1756)</f>
        <v/>
      </c>
      <c r="AA1756" s="7">
        <f>IF($E1756="","",Z1756-Q1756)</f>
        <v/>
      </c>
      <c r="AB1756" s="7" t="n"/>
      <c r="AE1756">
        <f>IF($E1756="","",IF($AQ1756=1,0,IF($AP1756=1,Settings!$C$6,Settings!$C$7))*100)</f>
        <v/>
      </c>
      <c r="AI1756" s="7" t="n"/>
      <c r="AL1756" s="11" t="n"/>
      <c r="AN1756">
        <f>IF($E1756="","",IF(COUNTIF($E$2:$E1756,$E1756)=1,1,0))</f>
        <v/>
      </c>
      <c r="AO1756">
        <f>IF($AN1756=1,SUMPRODUCT(--($AR$2:$AR$3001&lt;$AR1756))+1,"")</f>
        <v/>
      </c>
      <c r="AP1756">
        <f>IF($E1756="","",IF(OR($U1756=TRUE(),$U1756="TRUE"),1,0))</f>
        <v/>
      </c>
      <c r="AQ1756">
        <f>IF($E1756="","",IF($AD1756="Yes",1,0))</f>
        <v/>
      </c>
      <c r="AR1756">
        <f>IF($AN1756=1,IFERROR(VALUE(MID($E1756,2,20)),1000000000)+ROW()/100000,"")</f>
        <v/>
      </c>
    </row>
    <row r="1757">
      <c r="G1757" s="11" t="n"/>
      <c r="Q1757" s="7">
        <f>IF($E1757="","",P1757*AB1757/100)</f>
        <v/>
      </c>
      <c r="R1757" s="7" t="n"/>
      <c r="X1757" s="7" t="n"/>
      <c r="Y1757" s="7">
        <f>IF($E1757="","",AB1757*AE1757/100)</f>
        <v/>
      </c>
      <c r="Z1757" s="7">
        <f>IF($E1757="","",AB1757-Y1757)</f>
        <v/>
      </c>
      <c r="AA1757" s="7">
        <f>IF($E1757="","",Z1757-Q1757)</f>
        <v/>
      </c>
      <c r="AB1757" s="7" t="n"/>
      <c r="AE1757">
        <f>IF($E1757="","",IF($AQ1757=1,0,IF($AP1757=1,Settings!$C$6,Settings!$C$7))*100)</f>
        <v/>
      </c>
      <c r="AI1757" s="7" t="n"/>
      <c r="AL1757" s="11" t="n"/>
      <c r="AN1757">
        <f>IF($E1757="","",IF(COUNTIF($E$2:$E1757,$E1757)=1,1,0))</f>
        <v/>
      </c>
      <c r="AO1757">
        <f>IF($AN1757=1,SUMPRODUCT(--($AR$2:$AR$3001&lt;$AR1757))+1,"")</f>
        <v/>
      </c>
      <c r="AP1757">
        <f>IF($E1757="","",IF(OR($U1757=TRUE(),$U1757="TRUE"),1,0))</f>
        <v/>
      </c>
      <c r="AQ1757">
        <f>IF($E1757="","",IF($AD1757="Yes",1,0))</f>
        <v/>
      </c>
      <c r="AR1757">
        <f>IF($AN1757=1,IFERROR(VALUE(MID($E1757,2,20)),1000000000)+ROW()/100000,"")</f>
        <v/>
      </c>
    </row>
    <row r="1758">
      <c r="G1758" s="11" t="n"/>
      <c r="Q1758" s="7">
        <f>IF($E1758="","",P1758*AB1758/100)</f>
        <v/>
      </c>
      <c r="R1758" s="7" t="n"/>
      <c r="X1758" s="7" t="n"/>
      <c r="Y1758" s="7">
        <f>IF($E1758="","",AB1758*AE1758/100)</f>
        <v/>
      </c>
      <c r="Z1758" s="7">
        <f>IF($E1758="","",AB1758-Y1758)</f>
        <v/>
      </c>
      <c r="AA1758" s="7">
        <f>IF($E1758="","",Z1758-Q1758)</f>
        <v/>
      </c>
      <c r="AB1758" s="7" t="n"/>
      <c r="AE1758">
        <f>IF($E1758="","",IF($AQ1758=1,0,IF($AP1758=1,Settings!$C$6,Settings!$C$7))*100)</f>
        <v/>
      </c>
      <c r="AI1758" s="7" t="n"/>
      <c r="AL1758" s="11" t="n"/>
      <c r="AN1758">
        <f>IF($E1758="","",IF(COUNTIF($E$2:$E1758,$E1758)=1,1,0))</f>
        <v/>
      </c>
      <c r="AO1758">
        <f>IF($AN1758=1,SUMPRODUCT(--($AR$2:$AR$3001&lt;$AR1758))+1,"")</f>
        <v/>
      </c>
      <c r="AP1758">
        <f>IF($E1758="","",IF(OR($U1758=TRUE(),$U1758="TRUE"),1,0))</f>
        <v/>
      </c>
      <c r="AQ1758">
        <f>IF($E1758="","",IF($AD1758="Yes",1,0))</f>
        <v/>
      </c>
      <c r="AR1758">
        <f>IF($AN1758=1,IFERROR(VALUE(MID($E1758,2,20)),1000000000)+ROW()/100000,"")</f>
        <v/>
      </c>
    </row>
    <row r="1759">
      <c r="G1759" s="11" t="n"/>
      <c r="Q1759" s="7">
        <f>IF($E1759="","",P1759*AB1759/100)</f>
        <v/>
      </c>
      <c r="R1759" s="7" t="n"/>
      <c r="X1759" s="7" t="n"/>
      <c r="Y1759" s="7">
        <f>IF($E1759="","",AB1759*AE1759/100)</f>
        <v/>
      </c>
      <c r="Z1759" s="7">
        <f>IF($E1759="","",AB1759-Y1759)</f>
        <v/>
      </c>
      <c r="AA1759" s="7">
        <f>IF($E1759="","",Z1759-Q1759)</f>
        <v/>
      </c>
      <c r="AB1759" s="7" t="n"/>
      <c r="AE1759">
        <f>IF($E1759="","",IF($AQ1759=1,0,IF($AP1759=1,Settings!$C$6,Settings!$C$7))*100)</f>
        <v/>
      </c>
      <c r="AI1759" s="7" t="n"/>
      <c r="AL1759" s="11" t="n"/>
      <c r="AN1759">
        <f>IF($E1759="","",IF(COUNTIF($E$2:$E1759,$E1759)=1,1,0))</f>
        <v/>
      </c>
      <c r="AO1759">
        <f>IF($AN1759=1,SUMPRODUCT(--($AR$2:$AR$3001&lt;$AR1759))+1,"")</f>
        <v/>
      </c>
      <c r="AP1759">
        <f>IF($E1759="","",IF(OR($U1759=TRUE(),$U1759="TRUE"),1,0))</f>
        <v/>
      </c>
      <c r="AQ1759">
        <f>IF($E1759="","",IF($AD1759="Yes",1,0))</f>
        <v/>
      </c>
      <c r="AR1759">
        <f>IF($AN1759=1,IFERROR(VALUE(MID($E1759,2,20)),1000000000)+ROW()/100000,"")</f>
        <v/>
      </c>
    </row>
    <row r="1760">
      <c r="G1760" s="11" t="n"/>
      <c r="Q1760" s="7">
        <f>IF($E1760="","",P1760*AB1760/100)</f>
        <v/>
      </c>
      <c r="R1760" s="7" t="n"/>
      <c r="X1760" s="7" t="n"/>
      <c r="Y1760" s="7">
        <f>IF($E1760="","",AB1760*AE1760/100)</f>
        <v/>
      </c>
      <c r="Z1760" s="7">
        <f>IF($E1760="","",AB1760-Y1760)</f>
        <v/>
      </c>
      <c r="AA1760" s="7">
        <f>IF($E1760="","",Z1760-Q1760)</f>
        <v/>
      </c>
      <c r="AB1760" s="7" t="n"/>
      <c r="AE1760">
        <f>IF($E1760="","",IF($AQ1760=1,0,IF($AP1760=1,Settings!$C$6,Settings!$C$7))*100)</f>
        <v/>
      </c>
      <c r="AI1760" s="7" t="n"/>
      <c r="AL1760" s="11" t="n"/>
      <c r="AN1760">
        <f>IF($E1760="","",IF(COUNTIF($E$2:$E1760,$E1760)=1,1,0))</f>
        <v/>
      </c>
      <c r="AO1760">
        <f>IF($AN1760=1,SUMPRODUCT(--($AR$2:$AR$3001&lt;$AR1760))+1,"")</f>
        <v/>
      </c>
      <c r="AP1760">
        <f>IF($E1760="","",IF(OR($U1760=TRUE(),$U1760="TRUE"),1,0))</f>
        <v/>
      </c>
      <c r="AQ1760">
        <f>IF($E1760="","",IF($AD1760="Yes",1,0))</f>
        <v/>
      </c>
      <c r="AR1760">
        <f>IF($AN1760=1,IFERROR(VALUE(MID($E1760,2,20)),1000000000)+ROW()/100000,"")</f>
        <v/>
      </c>
    </row>
    <row r="1761">
      <c r="G1761" s="11" t="n"/>
      <c r="Q1761" s="7">
        <f>IF($E1761="","",P1761*AB1761/100)</f>
        <v/>
      </c>
      <c r="R1761" s="7" t="n"/>
      <c r="X1761" s="7" t="n"/>
      <c r="Y1761" s="7">
        <f>IF($E1761="","",AB1761*AE1761/100)</f>
        <v/>
      </c>
      <c r="Z1761" s="7">
        <f>IF($E1761="","",AB1761-Y1761)</f>
        <v/>
      </c>
      <c r="AA1761" s="7">
        <f>IF($E1761="","",Z1761-Q1761)</f>
        <v/>
      </c>
      <c r="AB1761" s="7" t="n"/>
      <c r="AE1761">
        <f>IF($E1761="","",IF($AQ1761=1,0,IF($AP1761=1,Settings!$C$6,Settings!$C$7))*100)</f>
        <v/>
      </c>
      <c r="AI1761" s="7" t="n"/>
      <c r="AL1761" s="11" t="n"/>
      <c r="AN1761">
        <f>IF($E1761="","",IF(COUNTIF($E$2:$E1761,$E1761)=1,1,0))</f>
        <v/>
      </c>
      <c r="AO1761">
        <f>IF($AN1761=1,SUMPRODUCT(--($AR$2:$AR$3001&lt;$AR1761))+1,"")</f>
        <v/>
      </c>
      <c r="AP1761">
        <f>IF($E1761="","",IF(OR($U1761=TRUE(),$U1761="TRUE"),1,0))</f>
        <v/>
      </c>
      <c r="AQ1761">
        <f>IF($E1761="","",IF($AD1761="Yes",1,0))</f>
        <v/>
      </c>
      <c r="AR1761">
        <f>IF($AN1761=1,IFERROR(VALUE(MID($E1761,2,20)),1000000000)+ROW()/100000,"")</f>
        <v/>
      </c>
    </row>
    <row r="1762">
      <c r="G1762" s="11" t="n"/>
      <c r="Q1762" s="7">
        <f>IF($E1762="","",P1762*AB1762/100)</f>
        <v/>
      </c>
      <c r="R1762" s="7" t="n"/>
      <c r="X1762" s="7" t="n"/>
      <c r="Y1762" s="7">
        <f>IF($E1762="","",AB1762*AE1762/100)</f>
        <v/>
      </c>
      <c r="Z1762" s="7">
        <f>IF($E1762="","",AB1762-Y1762)</f>
        <v/>
      </c>
      <c r="AA1762" s="7">
        <f>IF($E1762="","",Z1762-Q1762)</f>
        <v/>
      </c>
      <c r="AB1762" s="7" t="n"/>
      <c r="AE1762">
        <f>IF($E1762="","",IF($AQ1762=1,0,IF($AP1762=1,Settings!$C$6,Settings!$C$7))*100)</f>
        <v/>
      </c>
      <c r="AI1762" s="7" t="n"/>
      <c r="AL1762" s="11" t="n"/>
      <c r="AN1762">
        <f>IF($E1762="","",IF(COUNTIF($E$2:$E1762,$E1762)=1,1,0))</f>
        <v/>
      </c>
      <c r="AO1762">
        <f>IF($AN1762=1,SUMPRODUCT(--($AR$2:$AR$3001&lt;$AR1762))+1,"")</f>
        <v/>
      </c>
      <c r="AP1762">
        <f>IF($E1762="","",IF(OR($U1762=TRUE(),$U1762="TRUE"),1,0))</f>
        <v/>
      </c>
      <c r="AQ1762">
        <f>IF($E1762="","",IF($AD1762="Yes",1,0))</f>
        <v/>
      </c>
      <c r="AR1762">
        <f>IF($AN1762=1,IFERROR(VALUE(MID($E1762,2,20)),1000000000)+ROW()/100000,"")</f>
        <v/>
      </c>
    </row>
    <row r="1763">
      <c r="G1763" s="11" t="n"/>
      <c r="Q1763" s="7">
        <f>IF($E1763="","",P1763*AB1763/100)</f>
        <v/>
      </c>
      <c r="R1763" s="7" t="n"/>
      <c r="X1763" s="7" t="n"/>
      <c r="Y1763" s="7">
        <f>IF($E1763="","",AB1763*AE1763/100)</f>
        <v/>
      </c>
      <c r="Z1763" s="7">
        <f>IF($E1763="","",AB1763-Y1763)</f>
        <v/>
      </c>
      <c r="AA1763" s="7">
        <f>IF($E1763="","",Z1763-Q1763)</f>
        <v/>
      </c>
      <c r="AB1763" s="7" t="n"/>
      <c r="AE1763">
        <f>IF($E1763="","",IF($AQ1763=1,0,IF($AP1763=1,Settings!$C$6,Settings!$C$7))*100)</f>
        <v/>
      </c>
      <c r="AI1763" s="7" t="n"/>
      <c r="AL1763" s="11" t="n"/>
      <c r="AN1763">
        <f>IF($E1763="","",IF(COUNTIF($E$2:$E1763,$E1763)=1,1,0))</f>
        <v/>
      </c>
      <c r="AO1763">
        <f>IF($AN1763=1,SUMPRODUCT(--($AR$2:$AR$3001&lt;$AR1763))+1,"")</f>
        <v/>
      </c>
      <c r="AP1763">
        <f>IF($E1763="","",IF(OR($U1763=TRUE(),$U1763="TRUE"),1,0))</f>
        <v/>
      </c>
      <c r="AQ1763">
        <f>IF($E1763="","",IF($AD1763="Yes",1,0))</f>
        <v/>
      </c>
      <c r="AR1763">
        <f>IF($AN1763=1,IFERROR(VALUE(MID($E1763,2,20)),1000000000)+ROW()/100000,"")</f>
        <v/>
      </c>
    </row>
    <row r="1764">
      <c r="G1764" s="11" t="n"/>
      <c r="Q1764" s="7">
        <f>IF($E1764="","",P1764*AB1764/100)</f>
        <v/>
      </c>
      <c r="R1764" s="7" t="n"/>
      <c r="X1764" s="7" t="n"/>
      <c r="Y1764" s="7">
        <f>IF($E1764="","",AB1764*AE1764/100)</f>
        <v/>
      </c>
      <c r="Z1764" s="7">
        <f>IF($E1764="","",AB1764-Y1764)</f>
        <v/>
      </c>
      <c r="AA1764" s="7">
        <f>IF($E1764="","",Z1764-Q1764)</f>
        <v/>
      </c>
      <c r="AB1764" s="7" t="n"/>
      <c r="AE1764">
        <f>IF($E1764="","",IF($AQ1764=1,0,IF($AP1764=1,Settings!$C$6,Settings!$C$7))*100)</f>
        <v/>
      </c>
      <c r="AI1764" s="7" t="n"/>
      <c r="AL1764" s="11" t="n"/>
      <c r="AN1764">
        <f>IF($E1764="","",IF(COUNTIF($E$2:$E1764,$E1764)=1,1,0))</f>
        <v/>
      </c>
      <c r="AO1764">
        <f>IF($AN1764=1,SUMPRODUCT(--($AR$2:$AR$3001&lt;$AR1764))+1,"")</f>
        <v/>
      </c>
      <c r="AP1764">
        <f>IF($E1764="","",IF(OR($U1764=TRUE(),$U1764="TRUE"),1,0))</f>
        <v/>
      </c>
      <c r="AQ1764">
        <f>IF($E1764="","",IF($AD1764="Yes",1,0))</f>
        <v/>
      </c>
      <c r="AR1764">
        <f>IF($AN1764=1,IFERROR(VALUE(MID($E1764,2,20)),1000000000)+ROW()/100000,"")</f>
        <v/>
      </c>
    </row>
    <row r="1765">
      <c r="G1765" s="11" t="n"/>
      <c r="Q1765" s="7">
        <f>IF($E1765="","",P1765*AB1765/100)</f>
        <v/>
      </c>
      <c r="R1765" s="7" t="n"/>
      <c r="X1765" s="7" t="n"/>
      <c r="Y1765" s="7">
        <f>IF($E1765="","",AB1765*AE1765/100)</f>
        <v/>
      </c>
      <c r="Z1765" s="7">
        <f>IF($E1765="","",AB1765-Y1765)</f>
        <v/>
      </c>
      <c r="AA1765" s="7">
        <f>IF($E1765="","",Z1765-Q1765)</f>
        <v/>
      </c>
      <c r="AB1765" s="7" t="n"/>
      <c r="AE1765">
        <f>IF($E1765="","",IF($AQ1765=1,0,IF($AP1765=1,Settings!$C$6,Settings!$C$7))*100)</f>
        <v/>
      </c>
      <c r="AI1765" s="7" t="n"/>
      <c r="AL1765" s="11" t="n"/>
      <c r="AN1765">
        <f>IF($E1765="","",IF(COUNTIF($E$2:$E1765,$E1765)=1,1,0))</f>
        <v/>
      </c>
      <c r="AO1765">
        <f>IF($AN1765=1,SUMPRODUCT(--($AR$2:$AR$3001&lt;$AR1765))+1,"")</f>
        <v/>
      </c>
      <c r="AP1765">
        <f>IF($E1765="","",IF(OR($U1765=TRUE(),$U1765="TRUE"),1,0))</f>
        <v/>
      </c>
      <c r="AQ1765">
        <f>IF($E1765="","",IF($AD1765="Yes",1,0))</f>
        <v/>
      </c>
      <c r="AR1765">
        <f>IF($AN1765=1,IFERROR(VALUE(MID($E1765,2,20)),1000000000)+ROW()/100000,"")</f>
        <v/>
      </c>
    </row>
    <row r="1766">
      <c r="G1766" s="11" t="n"/>
      <c r="Q1766" s="7">
        <f>IF($E1766="","",P1766*AB1766/100)</f>
        <v/>
      </c>
      <c r="R1766" s="7" t="n"/>
      <c r="X1766" s="7" t="n"/>
      <c r="Y1766" s="7">
        <f>IF($E1766="","",AB1766*AE1766/100)</f>
        <v/>
      </c>
      <c r="Z1766" s="7">
        <f>IF($E1766="","",AB1766-Y1766)</f>
        <v/>
      </c>
      <c r="AA1766" s="7">
        <f>IF($E1766="","",Z1766-Q1766)</f>
        <v/>
      </c>
      <c r="AB1766" s="7" t="n"/>
      <c r="AE1766">
        <f>IF($E1766="","",IF($AQ1766=1,0,IF($AP1766=1,Settings!$C$6,Settings!$C$7))*100)</f>
        <v/>
      </c>
      <c r="AI1766" s="7" t="n"/>
      <c r="AL1766" s="11" t="n"/>
      <c r="AN1766">
        <f>IF($E1766="","",IF(COUNTIF($E$2:$E1766,$E1766)=1,1,0))</f>
        <v/>
      </c>
      <c r="AO1766">
        <f>IF($AN1766=1,SUMPRODUCT(--($AR$2:$AR$3001&lt;$AR1766))+1,"")</f>
        <v/>
      </c>
      <c r="AP1766">
        <f>IF($E1766="","",IF(OR($U1766=TRUE(),$U1766="TRUE"),1,0))</f>
        <v/>
      </c>
      <c r="AQ1766">
        <f>IF($E1766="","",IF($AD1766="Yes",1,0))</f>
        <v/>
      </c>
      <c r="AR1766">
        <f>IF($AN1766=1,IFERROR(VALUE(MID($E1766,2,20)),1000000000)+ROW()/100000,"")</f>
        <v/>
      </c>
    </row>
    <row r="1767">
      <c r="G1767" s="11" t="n"/>
      <c r="Q1767" s="7">
        <f>IF($E1767="","",P1767*AB1767/100)</f>
        <v/>
      </c>
      <c r="R1767" s="7" t="n"/>
      <c r="X1767" s="7" t="n"/>
      <c r="Y1767" s="7">
        <f>IF($E1767="","",AB1767*AE1767/100)</f>
        <v/>
      </c>
      <c r="Z1767" s="7">
        <f>IF($E1767="","",AB1767-Y1767)</f>
        <v/>
      </c>
      <c r="AA1767" s="7">
        <f>IF($E1767="","",Z1767-Q1767)</f>
        <v/>
      </c>
      <c r="AB1767" s="7" t="n"/>
      <c r="AE1767">
        <f>IF($E1767="","",IF($AQ1767=1,0,IF($AP1767=1,Settings!$C$6,Settings!$C$7))*100)</f>
        <v/>
      </c>
      <c r="AI1767" s="7" t="n"/>
      <c r="AL1767" s="11" t="n"/>
      <c r="AN1767">
        <f>IF($E1767="","",IF(COUNTIF($E$2:$E1767,$E1767)=1,1,0))</f>
        <v/>
      </c>
      <c r="AO1767">
        <f>IF($AN1767=1,SUMPRODUCT(--($AR$2:$AR$3001&lt;$AR1767))+1,"")</f>
        <v/>
      </c>
      <c r="AP1767">
        <f>IF($E1767="","",IF(OR($U1767=TRUE(),$U1767="TRUE"),1,0))</f>
        <v/>
      </c>
      <c r="AQ1767">
        <f>IF($E1767="","",IF($AD1767="Yes",1,0))</f>
        <v/>
      </c>
      <c r="AR1767">
        <f>IF($AN1767=1,IFERROR(VALUE(MID($E1767,2,20)),1000000000)+ROW()/100000,"")</f>
        <v/>
      </c>
    </row>
    <row r="1768">
      <c r="G1768" s="11" t="n"/>
      <c r="Q1768" s="7">
        <f>IF($E1768="","",P1768*AB1768/100)</f>
        <v/>
      </c>
      <c r="R1768" s="7" t="n"/>
      <c r="X1768" s="7" t="n"/>
      <c r="Y1768" s="7">
        <f>IF($E1768="","",AB1768*AE1768/100)</f>
        <v/>
      </c>
      <c r="Z1768" s="7">
        <f>IF($E1768="","",AB1768-Y1768)</f>
        <v/>
      </c>
      <c r="AA1768" s="7">
        <f>IF($E1768="","",Z1768-Q1768)</f>
        <v/>
      </c>
      <c r="AB1768" s="7" t="n"/>
      <c r="AE1768">
        <f>IF($E1768="","",IF($AQ1768=1,0,IF($AP1768=1,Settings!$C$6,Settings!$C$7))*100)</f>
        <v/>
      </c>
      <c r="AI1768" s="7" t="n"/>
      <c r="AL1768" s="11" t="n"/>
      <c r="AN1768">
        <f>IF($E1768="","",IF(COUNTIF($E$2:$E1768,$E1768)=1,1,0))</f>
        <v/>
      </c>
      <c r="AO1768">
        <f>IF($AN1768=1,SUMPRODUCT(--($AR$2:$AR$3001&lt;$AR1768))+1,"")</f>
        <v/>
      </c>
      <c r="AP1768">
        <f>IF($E1768="","",IF(OR($U1768=TRUE(),$U1768="TRUE"),1,0))</f>
        <v/>
      </c>
      <c r="AQ1768">
        <f>IF($E1768="","",IF($AD1768="Yes",1,0))</f>
        <v/>
      </c>
      <c r="AR1768">
        <f>IF($AN1768=1,IFERROR(VALUE(MID($E1768,2,20)),1000000000)+ROW()/100000,"")</f>
        <v/>
      </c>
    </row>
    <row r="1769">
      <c r="G1769" s="11" t="n"/>
      <c r="Q1769" s="7">
        <f>IF($E1769="","",P1769*AB1769/100)</f>
        <v/>
      </c>
      <c r="R1769" s="7" t="n"/>
      <c r="X1769" s="7" t="n"/>
      <c r="Y1769" s="7">
        <f>IF($E1769="","",AB1769*AE1769/100)</f>
        <v/>
      </c>
      <c r="Z1769" s="7">
        <f>IF($E1769="","",AB1769-Y1769)</f>
        <v/>
      </c>
      <c r="AA1769" s="7">
        <f>IF($E1769="","",Z1769-Q1769)</f>
        <v/>
      </c>
      <c r="AB1769" s="7" t="n"/>
      <c r="AE1769">
        <f>IF($E1769="","",IF($AQ1769=1,0,IF($AP1769=1,Settings!$C$6,Settings!$C$7))*100)</f>
        <v/>
      </c>
      <c r="AI1769" s="7" t="n"/>
      <c r="AL1769" s="11" t="n"/>
      <c r="AN1769">
        <f>IF($E1769="","",IF(COUNTIF($E$2:$E1769,$E1769)=1,1,0))</f>
        <v/>
      </c>
      <c r="AO1769">
        <f>IF($AN1769=1,SUMPRODUCT(--($AR$2:$AR$3001&lt;$AR1769))+1,"")</f>
        <v/>
      </c>
      <c r="AP1769">
        <f>IF($E1769="","",IF(OR($U1769=TRUE(),$U1769="TRUE"),1,0))</f>
        <v/>
      </c>
      <c r="AQ1769">
        <f>IF($E1769="","",IF($AD1769="Yes",1,0))</f>
        <v/>
      </c>
      <c r="AR1769">
        <f>IF($AN1769=1,IFERROR(VALUE(MID($E1769,2,20)),1000000000)+ROW()/100000,"")</f>
        <v/>
      </c>
    </row>
    <row r="1770">
      <c r="G1770" s="11" t="n"/>
      <c r="Q1770" s="7">
        <f>IF($E1770="","",P1770*AB1770/100)</f>
        <v/>
      </c>
      <c r="R1770" s="7" t="n"/>
      <c r="X1770" s="7" t="n"/>
      <c r="Y1770" s="7">
        <f>IF($E1770="","",AB1770*AE1770/100)</f>
        <v/>
      </c>
      <c r="Z1770" s="7">
        <f>IF($E1770="","",AB1770-Y1770)</f>
        <v/>
      </c>
      <c r="AA1770" s="7">
        <f>IF($E1770="","",Z1770-Q1770)</f>
        <v/>
      </c>
      <c r="AB1770" s="7" t="n"/>
      <c r="AE1770">
        <f>IF($E1770="","",IF($AQ1770=1,0,IF($AP1770=1,Settings!$C$6,Settings!$C$7))*100)</f>
        <v/>
      </c>
      <c r="AI1770" s="7" t="n"/>
      <c r="AL1770" s="11" t="n"/>
      <c r="AN1770">
        <f>IF($E1770="","",IF(COUNTIF($E$2:$E1770,$E1770)=1,1,0))</f>
        <v/>
      </c>
      <c r="AO1770">
        <f>IF($AN1770=1,SUMPRODUCT(--($AR$2:$AR$3001&lt;$AR1770))+1,"")</f>
        <v/>
      </c>
      <c r="AP1770">
        <f>IF($E1770="","",IF(OR($U1770=TRUE(),$U1770="TRUE"),1,0))</f>
        <v/>
      </c>
      <c r="AQ1770">
        <f>IF($E1770="","",IF($AD1770="Yes",1,0))</f>
        <v/>
      </c>
      <c r="AR1770">
        <f>IF($AN1770=1,IFERROR(VALUE(MID($E1770,2,20)),1000000000)+ROW()/100000,"")</f>
        <v/>
      </c>
    </row>
    <row r="1771">
      <c r="G1771" s="11" t="n"/>
      <c r="Q1771" s="7">
        <f>IF($E1771="","",P1771*AB1771/100)</f>
        <v/>
      </c>
      <c r="R1771" s="7" t="n"/>
      <c r="X1771" s="7" t="n"/>
      <c r="Y1771" s="7">
        <f>IF($E1771="","",AB1771*AE1771/100)</f>
        <v/>
      </c>
      <c r="Z1771" s="7">
        <f>IF($E1771="","",AB1771-Y1771)</f>
        <v/>
      </c>
      <c r="AA1771" s="7">
        <f>IF($E1771="","",Z1771-Q1771)</f>
        <v/>
      </c>
      <c r="AB1771" s="7" t="n"/>
      <c r="AE1771">
        <f>IF($E1771="","",IF($AQ1771=1,0,IF($AP1771=1,Settings!$C$6,Settings!$C$7))*100)</f>
        <v/>
      </c>
      <c r="AI1771" s="7" t="n"/>
      <c r="AL1771" s="11" t="n"/>
      <c r="AN1771">
        <f>IF($E1771="","",IF(COUNTIF($E$2:$E1771,$E1771)=1,1,0))</f>
        <v/>
      </c>
      <c r="AO1771">
        <f>IF($AN1771=1,SUMPRODUCT(--($AR$2:$AR$3001&lt;$AR1771))+1,"")</f>
        <v/>
      </c>
      <c r="AP1771">
        <f>IF($E1771="","",IF(OR($U1771=TRUE(),$U1771="TRUE"),1,0))</f>
        <v/>
      </c>
      <c r="AQ1771">
        <f>IF($E1771="","",IF($AD1771="Yes",1,0))</f>
        <v/>
      </c>
      <c r="AR1771">
        <f>IF($AN1771=1,IFERROR(VALUE(MID($E1771,2,20)),1000000000)+ROW()/100000,"")</f>
        <v/>
      </c>
    </row>
    <row r="1772">
      <c r="G1772" s="11" t="n"/>
      <c r="Q1772" s="7">
        <f>IF($E1772="","",P1772*AB1772/100)</f>
        <v/>
      </c>
      <c r="R1772" s="7" t="n"/>
      <c r="X1772" s="7" t="n"/>
      <c r="Y1772" s="7">
        <f>IF($E1772="","",AB1772*AE1772/100)</f>
        <v/>
      </c>
      <c r="Z1772" s="7">
        <f>IF($E1772="","",AB1772-Y1772)</f>
        <v/>
      </c>
      <c r="AA1772" s="7">
        <f>IF($E1772="","",Z1772-Q1772)</f>
        <v/>
      </c>
      <c r="AB1772" s="7" t="n"/>
      <c r="AE1772">
        <f>IF($E1772="","",IF($AQ1772=1,0,IF($AP1772=1,Settings!$C$6,Settings!$C$7))*100)</f>
        <v/>
      </c>
      <c r="AI1772" s="7" t="n"/>
      <c r="AL1772" s="11" t="n"/>
      <c r="AN1772">
        <f>IF($E1772="","",IF(COUNTIF($E$2:$E1772,$E1772)=1,1,0))</f>
        <v/>
      </c>
      <c r="AO1772">
        <f>IF($AN1772=1,SUMPRODUCT(--($AR$2:$AR$3001&lt;$AR1772))+1,"")</f>
        <v/>
      </c>
      <c r="AP1772">
        <f>IF($E1772="","",IF(OR($U1772=TRUE(),$U1772="TRUE"),1,0))</f>
        <v/>
      </c>
      <c r="AQ1772">
        <f>IF($E1772="","",IF($AD1772="Yes",1,0))</f>
        <v/>
      </c>
      <c r="AR1772">
        <f>IF($AN1772=1,IFERROR(VALUE(MID($E1772,2,20)),1000000000)+ROW()/100000,"")</f>
        <v/>
      </c>
    </row>
    <row r="1773">
      <c r="G1773" s="11" t="n"/>
      <c r="Q1773" s="7">
        <f>IF($E1773="","",P1773*AB1773/100)</f>
        <v/>
      </c>
      <c r="R1773" s="7" t="n"/>
      <c r="X1773" s="7" t="n"/>
      <c r="Y1773" s="7">
        <f>IF($E1773="","",AB1773*AE1773/100)</f>
        <v/>
      </c>
      <c r="Z1773" s="7">
        <f>IF($E1773="","",AB1773-Y1773)</f>
        <v/>
      </c>
      <c r="AA1773" s="7">
        <f>IF($E1773="","",Z1773-Q1773)</f>
        <v/>
      </c>
      <c r="AB1773" s="7" t="n"/>
      <c r="AE1773">
        <f>IF($E1773="","",IF($AQ1773=1,0,IF($AP1773=1,Settings!$C$6,Settings!$C$7))*100)</f>
        <v/>
      </c>
      <c r="AI1773" s="7" t="n"/>
      <c r="AL1773" s="11" t="n"/>
      <c r="AN1773">
        <f>IF($E1773="","",IF(COUNTIF($E$2:$E1773,$E1773)=1,1,0))</f>
        <v/>
      </c>
      <c r="AO1773">
        <f>IF($AN1773=1,SUMPRODUCT(--($AR$2:$AR$3001&lt;$AR1773))+1,"")</f>
        <v/>
      </c>
      <c r="AP1773">
        <f>IF($E1773="","",IF(OR($U1773=TRUE(),$U1773="TRUE"),1,0))</f>
        <v/>
      </c>
      <c r="AQ1773">
        <f>IF($E1773="","",IF($AD1773="Yes",1,0))</f>
        <v/>
      </c>
      <c r="AR1773">
        <f>IF($AN1773=1,IFERROR(VALUE(MID($E1773,2,20)),1000000000)+ROW()/100000,"")</f>
        <v/>
      </c>
    </row>
    <row r="1774">
      <c r="G1774" s="11" t="n"/>
      <c r="Q1774" s="7">
        <f>IF($E1774="","",P1774*AB1774/100)</f>
        <v/>
      </c>
      <c r="R1774" s="7" t="n"/>
      <c r="X1774" s="7" t="n"/>
      <c r="Y1774" s="7">
        <f>IF($E1774="","",AB1774*AE1774/100)</f>
        <v/>
      </c>
      <c r="Z1774" s="7">
        <f>IF($E1774="","",AB1774-Y1774)</f>
        <v/>
      </c>
      <c r="AA1774" s="7">
        <f>IF($E1774="","",Z1774-Q1774)</f>
        <v/>
      </c>
      <c r="AB1774" s="7" t="n"/>
      <c r="AE1774">
        <f>IF($E1774="","",IF($AQ1774=1,0,IF($AP1774=1,Settings!$C$6,Settings!$C$7))*100)</f>
        <v/>
      </c>
      <c r="AI1774" s="7" t="n"/>
      <c r="AL1774" s="11" t="n"/>
      <c r="AN1774">
        <f>IF($E1774="","",IF(COUNTIF($E$2:$E1774,$E1774)=1,1,0))</f>
        <v/>
      </c>
      <c r="AO1774">
        <f>IF($AN1774=1,SUMPRODUCT(--($AR$2:$AR$3001&lt;$AR1774))+1,"")</f>
        <v/>
      </c>
      <c r="AP1774">
        <f>IF($E1774="","",IF(OR($U1774=TRUE(),$U1774="TRUE"),1,0))</f>
        <v/>
      </c>
      <c r="AQ1774">
        <f>IF($E1774="","",IF($AD1774="Yes",1,0))</f>
        <v/>
      </c>
      <c r="AR1774">
        <f>IF($AN1774=1,IFERROR(VALUE(MID($E1774,2,20)),1000000000)+ROW()/100000,"")</f>
        <v/>
      </c>
    </row>
    <row r="1775">
      <c r="G1775" s="11" t="n"/>
      <c r="Q1775" s="7">
        <f>IF($E1775="","",P1775*AB1775/100)</f>
        <v/>
      </c>
      <c r="R1775" s="7" t="n"/>
      <c r="X1775" s="7" t="n"/>
      <c r="Y1775" s="7">
        <f>IF($E1775="","",AB1775*AE1775/100)</f>
        <v/>
      </c>
      <c r="Z1775" s="7">
        <f>IF($E1775="","",AB1775-Y1775)</f>
        <v/>
      </c>
      <c r="AA1775" s="7">
        <f>IF($E1775="","",Z1775-Q1775)</f>
        <v/>
      </c>
      <c r="AB1775" s="7" t="n"/>
      <c r="AE1775">
        <f>IF($E1775="","",IF($AQ1775=1,0,IF($AP1775=1,Settings!$C$6,Settings!$C$7))*100)</f>
        <v/>
      </c>
      <c r="AI1775" s="7" t="n"/>
      <c r="AL1775" s="11" t="n"/>
      <c r="AN1775">
        <f>IF($E1775="","",IF(COUNTIF($E$2:$E1775,$E1775)=1,1,0))</f>
        <v/>
      </c>
      <c r="AO1775">
        <f>IF($AN1775=1,SUMPRODUCT(--($AR$2:$AR$3001&lt;$AR1775))+1,"")</f>
        <v/>
      </c>
      <c r="AP1775">
        <f>IF($E1775="","",IF(OR($U1775=TRUE(),$U1775="TRUE"),1,0))</f>
        <v/>
      </c>
      <c r="AQ1775">
        <f>IF($E1775="","",IF($AD1775="Yes",1,0))</f>
        <v/>
      </c>
      <c r="AR1775">
        <f>IF($AN1775=1,IFERROR(VALUE(MID($E1775,2,20)),1000000000)+ROW()/100000,"")</f>
        <v/>
      </c>
    </row>
    <row r="1776">
      <c r="G1776" s="11" t="n"/>
      <c r="Q1776" s="7">
        <f>IF($E1776="","",P1776*AB1776/100)</f>
        <v/>
      </c>
      <c r="R1776" s="7" t="n"/>
      <c r="X1776" s="7" t="n"/>
      <c r="Y1776" s="7">
        <f>IF($E1776="","",AB1776*AE1776/100)</f>
        <v/>
      </c>
      <c r="Z1776" s="7">
        <f>IF($E1776="","",AB1776-Y1776)</f>
        <v/>
      </c>
      <c r="AA1776" s="7">
        <f>IF($E1776="","",Z1776-Q1776)</f>
        <v/>
      </c>
      <c r="AB1776" s="7" t="n"/>
      <c r="AE1776">
        <f>IF($E1776="","",IF($AQ1776=1,0,IF($AP1776=1,Settings!$C$6,Settings!$C$7))*100)</f>
        <v/>
      </c>
      <c r="AI1776" s="7" t="n"/>
      <c r="AL1776" s="11" t="n"/>
      <c r="AN1776">
        <f>IF($E1776="","",IF(COUNTIF($E$2:$E1776,$E1776)=1,1,0))</f>
        <v/>
      </c>
      <c r="AO1776">
        <f>IF($AN1776=1,SUMPRODUCT(--($AR$2:$AR$3001&lt;$AR1776))+1,"")</f>
        <v/>
      </c>
      <c r="AP1776">
        <f>IF($E1776="","",IF(OR($U1776=TRUE(),$U1776="TRUE"),1,0))</f>
        <v/>
      </c>
      <c r="AQ1776">
        <f>IF($E1776="","",IF($AD1776="Yes",1,0))</f>
        <v/>
      </c>
      <c r="AR1776">
        <f>IF($AN1776=1,IFERROR(VALUE(MID($E1776,2,20)),1000000000)+ROW()/100000,"")</f>
        <v/>
      </c>
    </row>
    <row r="1777">
      <c r="G1777" s="11" t="n"/>
      <c r="Q1777" s="7">
        <f>IF($E1777="","",P1777*AB1777/100)</f>
        <v/>
      </c>
      <c r="R1777" s="7" t="n"/>
      <c r="X1777" s="7" t="n"/>
      <c r="Y1777" s="7">
        <f>IF($E1777="","",AB1777*AE1777/100)</f>
        <v/>
      </c>
      <c r="Z1777" s="7">
        <f>IF($E1777="","",AB1777-Y1777)</f>
        <v/>
      </c>
      <c r="AA1777" s="7">
        <f>IF($E1777="","",Z1777-Q1777)</f>
        <v/>
      </c>
      <c r="AB1777" s="7" t="n"/>
      <c r="AE1777">
        <f>IF($E1777="","",IF($AQ1777=1,0,IF($AP1777=1,Settings!$C$6,Settings!$C$7))*100)</f>
        <v/>
      </c>
      <c r="AI1777" s="7" t="n"/>
      <c r="AL1777" s="11" t="n"/>
      <c r="AN1777">
        <f>IF($E1777="","",IF(COUNTIF($E$2:$E1777,$E1777)=1,1,0))</f>
        <v/>
      </c>
      <c r="AO1777">
        <f>IF($AN1777=1,SUMPRODUCT(--($AR$2:$AR$3001&lt;$AR1777))+1,"")</f>
        <v/>
      </c>
      <c r="AP1777">
        <f>IF($E1777="","",IF(OR($U1777=TRUE(),$U1777="TRUE"),1,0))</f>
        <v/>
      </c>
      <c r="AQ1777">
        <f>IF($E1777="","",IF($AD1777="Yes",1,0))</f>
        <v/>
      </c>
      <c r="AR1777">
        <f>IF($AN1777=1,IFERROR(VALUE(MID($E1777,2,20)),1000000000)+ROW()/100000,"")</f>
        <v/>
      </c>
    </row>
    <row r="1778">
      <c r="G1778" s="11" t="n"/>
      <c r="Q1778" s="7">
        <f>IF($E1778="","",P1778*AB1778/100)</f>
        <v/>
      </c>
      <c r="R1778" s="7" t="n"/>
      <c r="X1778" s="7" t="n"/>
      <c r="Y1778" s="7">
        <f>IF($E1778="","",AB1778*AE1778/100)</f>
        <v/>
      </c>
      <c r="Z1778" s="7">
        <f>IF($E1778="","",AB1778-Y1778)</f>
        <v/>
      </c>
      <c r="AA1778" s="7">
        <f>IF($E1778="","",Z1778-Q1778)</f>
        <v/>
      </c>
      <c r="AB1778" s="7" t="n"/>
      <c r="AE1778">
        <f>IF($E1778="","",IF($AQ1778=1,0,IF($AP1778=1,Settings!$C$6,Settings!$C$7))*100)</f>
        <v/>
      </c>
      <c r="AI1778" s="7" t="n"/>
      <c r="AL1778" s="11" t="n"/>
      <c r="AN1778">
        <f>IF($E1778="","",IF(COUNTIF($E$2:$E1778,$E1778)=1,1,0))</f>
        <v/>
      </c>
      <c r="AO1778">
        <f>IF($AN1778=1,SUMPRODUCT(--($AR$2:$AR$3001&lt;$AR1778))+1,"")</f>
        <v/>
      </c>
      <c r="AP1778">
        <f>IF($E1778="","",IF(OR($U1778=TRUE(),$U1778="TRUE"),1,0))</f>
        <v/>
      </c>
      <c r="AQ1778">
        <f>IF($E1778="","",IF($AD1778="Yes",1,0))</f>
        <v/>
      </c>
      <c r="AR1778">
        <f>IF($AN1778=1,IFERROR(VALUE(MID($E1778,2,20)),1000000000)+ROW()/100000,"")</f>
        <v/>
      </c>
    </row>
    <row r="1779">
      <c r="G1779" s="11" t="n"/>
      <c r="Q1779" s="7">
        <f>IF($E1779="","",P1779*AB1779/100)</f>
        <v/>
      </c>
      <c r="R1779" s="7" t="n"/>
      <c r="X1779" s="7" t="n"/>
      <c r="Y1779" s="7">
        <f>IF($E1779="","",AB1779*AE1779/100)</f>
        <v/>
      </c>
      <c r="Z1779" s="7">
        <f>IF($E1779="","",AB1779-Y1779)</f>
        <v/>
      </c>
      <c r="AA1779" s="7">
        <f>IF($E1779="","",Z1779-Q1779)</f>
        <v/>
      </c>
      <c r="AB1779" s="7" t="n"/>
      <c r="AE1779">
        <f>IF($E1779="","",IF($AQ1779=1,0,IF($AP1779=1,Settings!$C$6,Settings!$C$7))*100)</f>
        <v/>
      </c>
      <c r="AI1779" s="7" t="n"/>
      <c r="AL1779" s="11" t="n"/>
      <c r="AN1779">
        <f>IF($E1779="","",IF(COUNTIF($E$2:$E1779,$E1779)=1,1,0))</f>
        <v/>
      </c>
      <c r="AO1779">
        <f>IF($AN1779=1,SUMPRODUCT(--($AR$2:$AR$3001&lt;$AR1779))+1,"")</f>
        <v/>
      </c>
      <c r="AP1779">
        <f>IF($E1779="","",IF(OR($U1779=TRUE(),$U1779="TRUE"),1,0))</f>
        <v/>
      </c>
      <c r="AQ1779">
        <f>IF($E1779="","",IF($AD1779="Yes",1,0))</f>
        <v/>
      </c>
      <c r="AR1779">
        <f>IF($AN1779=1,IFERROR(VALUE(MID($E1779,2,20)),1000000000)+ROW()/100000,"")</f>
        <v/>
      </c>
    </row>
    <row r="1780">
      <c r="G1780" s="11" t="n"/>
      <c r="Q1780" s="7">
        <f>IF($E1780="","",P1780*AB1780/100)</f>
        <v/>
      </c>
      <c r="R1780" s="7" t="n"/>
      <c r="X1780" s="7" t="n"/>
      <c r="Y1780" s="7">
        <f>IF($E1780="","",AB1780*AE1780/100)</f>
        <v/>
      </c>
      <c r="Z1780" s="7">
        <f>IF($E1780="","",AB1780-Y1780)</f>
        <v/>
      </c>
      <c r="AA1780" s="7">
        <f>IF($E1780="","",Z1780-Q1780)</f>
        <v/>
      </c>
      <c r="AB1780" s="7" t="n"/>
      <c r="AE1780">
        <f>IF($E1780="","",IF($AQ1780=1,0,IF($AP1780=1,Settings!$C$6,Settings!$C$7))*100)</f>
        <v/>
      </c>
      <c r="AI1780" s="7" t="n"/>
      <c r="AL1780" s="11" t="n"/>
      <c r="AN1780">
        <f>IF($E1780="","",IF(COUNTIF($E$2:$E1780,$E1780)=1,1,0))</f>
        <v/>
      </c>
      <c r="AO1780">
        <f>IF($AN1780=1,SUMPRODUCT(--($AR$2:$AR$3001&lt;$AR1780))+1,"")</f>
        <v/>
      </c>
      <c r="AP1780">
        <f>IF($E1780="","",IF(OR($U1780=TRUE(),$U1780="TRUE"),1,0))</f>
        <v/>
      </c>
      <c r="AQ1780">
        <f>IF($E1780="","",IF($AD1780="Yes",1,0))</f>
        <v/>
      </c>
      <c r="AR1780">
        <f>IF($AN1780=1,IFERROR(VALUE(MID($E1780,2,20)),1000000000)+ROW()/100000,"")</f>
        <v/>
      </c>
    </row>
    <row r="1781">
      <c r="G1781" s="11" t="n"/>
      <c r="Q1781" s="7">
        <f>IF($E1781="","",P1781*AB1781/100)</f>
        <v/>
      </c>
      <c r="R1781" s="7" t="n"/>
      <c r="X1781" s="7" t="n"/>
      <c r="Y1781" s="7">
        <f>IF($E1781="","",AB1781*AE1781/100)</f>
        <v/>
      </c>
      <c r="Z1781" s="7">
        <f>IF($E1781="","",AB1781-Y1781)</f>
        <v/>
      </c>
      <c r="AA1781" s="7">
        <f>IF($E1781="","",Z1781-Q1781)</f>
        <v/>
      </c>
      <c r="AB1781" s="7" t="n"/>
      <c r="AE1781">
        <f>IF($E1781="","",IF($AQ1781=1,0,IF($AP1781=1,Settings!$C$6,Settings!$C$7))*100)</f>
        <v/>
      </c>
      <c r="AI1781" s="7" t="n"/>
      <c r="AL1781" s="11" t="n"/>
      <c r="AN1781">
        <f>IF($E1781="","",IF(COUNTIF($E$2:$E1781,$E1781)=1,1,0))</f>
        <v/>
      </c>
      <c r="AO1781">
        <f>IF($AN1781=1,SUMPRODUCT(--($AR$2:$AR$3001&lt;$AR1781))+1,"")</f>
        <v/>
      </c>
      <c r="AP1781">
        <f>IF($E1781="","",IF(OR($U1781=TRUE(),$U1781="TRUE"),1,0))</f>
        <v/>
      </c>
      <c r="AQ1781">
        <f>IF($E1781="","",IF($AD1781="Yes",1,0))</f>
        <v/>
      </c>
      <c r="AR1781">
        <f>IF($AN1781=1,IFERROR(VALUE(MID($E1781,2,20)),1000000000)+ROW()/100000,"")</f>
        <v/>
      </c>
    </row>
    <row r="1782">
      <c r="G1782" s="11" t="n"/>
      <c r="Q1782" s="7">
        <f>IF($E1782="","",P1782*AB1782/100)</f>
        <v/>
      </c>
      <c r="R1782" s="7" t="n"/>
      <c r="X1782" s="7" t="n"/>
      <c r="Y1782" s="7">
        <f>IF($E1782="","",AB1782*AE1782/100)</f>
        <v/>
      </c>
      <c r="Z1782" s="7">
        <f>IF($E1782="","",AB1782-Y1782)</f>
        <v/>
      </c>
      <c r="AA1782" s="7">
        <f>IF($E1782="","",Z1782-Q1782)</f>
        <v/>
      </c>
      <c r="AB1782" s="7" t="n"/>
      <c r="AE1782">
        <f>IF($E1782="","",IF($AQ1782=1,0,IF($AP1782=1,Settings!$C$6,Settings!$C$7))*100)</f>
        <v/>
      </c>
      <c r="AI1782" s="7" t="n"/>
      <c r="AL1782" s="11" t="n"/>
      <c r="AN1782">
        <f>IF($E1782="","",IF(COUNTIF($E$2:$E1782,$E1782)=1,1,0))</f>
        <v/>
      </c>
      <c r="AO1782">
        <f>IF($AN1782=1,SUMPRODUCT(--($AR$2:$AR$3001&lt;$AR1782))+1,"")</f>
        <v/>
      </c>
      <c r="AP1782">
        <f>IF($E1782="","",IF(OR($U1782=TRUE(),$U1782="TRUE"),1,0))</f>
        <v/>
      </c>
      <c r="AQ1782">
        <f>IF($E1782="","",IF($AD1782="Yes",1,0))</f>
        <v/>
      </c>
      <c r="AR1782">
        <f>IF($AN1782=1,IFERROR(VALUE(MID($E1782,2,20)),1000000000)+ROW()/100000,"")</f>
        <v/>
      </c>
    </row>
    <row r="1783">
      <c r="G1783" s="11" t="n"/>
      <c r="Q1783" s="7">
        <f>IF($E1783="","",P1783*AB1783/100)</f>
        <v/>
      </c>
      <c r="R1783" s="7" t="n"/>
      <c r="X1783" s="7" t="n"/>
      <c r="Y1783" s="7">
        <f>IF($E1783="","",AB1783*AE1783/100)</f>
        <v/>
      </c>
      <c r="Z1783" s="7">
        <f>IF($E1783="","",AB1783-Y1783)</f>
        <v/>
      </c>
      <c r="AA1783" s="7">
        <f>IF($E1783="","",Z1783-Q1783)</f>
        <v/>
      </c>
      <c r="AB1783" s="7" t="n"/>
      <c r="AE1783">
        <f>IF($E1783="","",IF($AQ1783=1,0,IF($AP1783=1,Settings!$C$6,Settings!$C$7))*100)</f>
        <v/>
      </c>
      <c r="AI1783" s="7" t="n"/>
      <c r="AL1783" s="11" t="n"/>
      <c r="AN1783">
        <f>IF($E1783="","",IF(COUNTIF($E$2:$E1783,$E1783)=1,1,0))</f>
        <v/>
      </c>
      <c r="AO1783">
        <f>IF($AN1783=1,SUMPRODUCT(--($AR$2:$AR$3001&lt;$AR1783))+1,"")</f>
        <v/>
      </c>
      <c r="AP1783">
        <f>IF($E1783="","",IF(OR($U1783=TRUE(),$U1783="TRUE"),1,0))</f>
        <v/>
      </c>
      <c r="AQ1783">
        <f>IF($E1783="","",IF($AD1783="Yes",1,0))</f>
        <v/>
      </c>
      <c r="AR1783">
        <f>IF($AN1783=1,IFERROR(VALUE(MID($E1783,2,20)),1000000000)+ROW()/100000,"")</f>
        <v/>
      </c>
    </row>
    <row r="1784">
      <c r="G1784" s="11" t="n"/>
      <c r="Q1784" s="7">
        <f>IF($E1784="","",P1784*AB1784/100)</f>
        <v/>
      </c>
      <c r="R1784" s="7" t="n"/>
      <c r="X1784" s="7" t="n"/>
      <c r="Y1784" s="7">
        <f>IF($E1784="","",AB1784*AE1784/100)</f>
        <v/>
      </c>
      <c r="Z1784" s="7">
        <f>IF($E1784="","",AB1784-Y1784)</f>
        <v/>
      </c>
      <c r="AA1784" s="7">
        <f>IF($E1784="","",Z1784-Q1784)</f>
        <v/>
      </c>
      <c r="AB1784" s="7" t="n"/>
      <c r="AE1784">
        <f>IF($E1784="","",IF($AQ1784=1,0,IF($AP1784=1,Settings!$C$6,Settings!$C$7))*100)</f>
        <v/>
      </c>
      <c r="AI1784" s="7" t="n"/>
      <c r="AL1784" s="11" t="n"/>
      <c r="AN1784">
        <f>IF($E1784="","",IF(COUNTIF($E$2:$E1784,$E1784)=1,1,0))</f>
        <v/>
      </c>
      <c r="AO1784">
        <f>IF($AN1784=1,SUMPRODUCT(--($AR$2:$AR$3001&lt;$AR1784))+1,"")</f>
        <v/>
      </c>
      <c r="AP1784">
        <f>IF($E1784="","",IF(OR($U1784=TRUE(),$U1784="TRUE"),1,0))</f>
        <v/>
      </c>
      <c r="AQ1784">
        <f>IF($E1784="","",IF($AD1784="Yes",1,0))</f>
        <v/>
      </c>
      <c r="AR1784">
        <f>IF($AN1784=1,IFERROR(VALUE(MID($E1784,2,20)),1000000000)+ROW()/100000,"")</f>
        <v/>
      </c>
    </row>
    <row r="1785">
      <c r="G1785" s="11" t="n"/>
      <c r="Q1785" s="7">
        <f>IF($E1785="","",P1785*AB1785/100)</f>
        <v/>
      </c>
      <c r="R1785" s="7" t="n"/>
      <c r="X1785" s="7" t="n"/>
      <c r="Y1785" s="7">
        <f>IF($E1785="","",AB1785*AE1785/100)</f>
        <v/>
      </c>
      <c r="Z1785" s="7">
        <f>IF($E1785="","",AB1785-Y1785)</f>
        <v/>
      </c>
      <c r="AA1785" s="7">
        <f>IF($E1785="","",Z1785-Q1785)</f>
        <v/>
      </c>
      <c r="AB1785" s="7" t="n"/>
      <c r="AE1785">
        <f>IF($E1785="","",IF($AQ1785=1,0,IF($AP1785=1,Settings!$C$6,Settings!$C$7))*100)</f>
        <v/>
      </c>
      <c r="AI1785" s="7" t="n"/>
      <c r="AL1785" s="11" t="n"/>
      <c r="AN1785">
        <f>IF($E1785="","",IF(COUNTIF($E$2:$E1785,$E1785)=1,1,0))</f>
        <v/>
      </c>
      <c r="AO1785">
        <f>IF($AN1785=1,SUMPRODUCT(--($AR$2:$AR$3001&lt;$AR1785))+1,"")</f>
        <v/>
      </c>
      <c r="AP1785">
        <f>IF($E1785="","",IF(OR($U1785=TRUE(),$U1785="TRUE"),1,0))</f>
        <v/>
      </c>
      <c r="AQ1785">
        <f>IF($E1785="","",IF($AD1785="Yes",1,0))</f>
        <v/>
      </c>
      <c r="AR1785">
        <f>IF($AN1785=1,IFERROR(VALUE(MID($E1785,2,20)),1000000000)+ROW()/100000,"")</f>
        <v/>
      </c>
    </row>
    <row r="1786">
      <c r="G1786" s="11" t="n"/>
      <c r="Q1786" s="7">
        <f>IF($E1786="","",P1786*AB1786/100)</f>
        <v/>
      </c>
      <c r="R1786" s="7" t="n"/>
      <c r="X1786" s="7" t="n"/>
      <c r="Y1786" s="7">
        <f>IF($E1786="","",AB1786*AE1786/100)</f>
        <v/>
      </c>
      <c r="Z1786" s="7">
        <f>IF($E1786="","",AB1786-Y1786)</f>
        <v/>
      </c>
      <c r="AA1786" s="7">
        <f>IF($E1786="","",Z1786-Q1786)</f>
        <v/>
      </c>
      <c r="AB1786" s="7" t="n"/>
      <c r="AE1786">
        <f>IF($E1786="","",IF($AQ1786=1,0,IF($AP1786=1,Settings!$C$6,Settings!$C$7))*100)</f>
        <v/>
      </c>
      <c r="AI1786" s="7" t="n"/>
      <c r="AL1786" s="11" t="n"/>
      <c r="AN1786">
        <f>IF($E1786="","",IF(COUNTIF($E$2:$E1786,$E1786)=1,1,0))</f>
        <v/>
      </c>
      <c r="AO1786">
        <f>IF($AN1786=1,SUMPRODUCT(--($AR$2:$AR$3001&lt;$AR1786))+1,"")</f>
        <v/>
      </c>
      <c r="AP1786">
        <f>IF($E1786="","",IF(OR($U1786=TRUE(),$U1786="TRUE"),1,0))</f>
        <v/>
      </c>
      <c r="AQ1786">
        <f>IF($E1786="","",IF($AD1786="Yes",1,0))</f>
        <v/>
      </c>
      <c r="AR1786">
        <f>IF($AN1786=1,IFERROR(VALUE(MID($E1786,2,20)),1000000000)+ROW()/100000,"")</f>
        <v/>
      </c>
    </row>
    <row r="1787">
      <c r="G1787" s="11" t="n"/>
      <c r="Q1787" s="7">
        <f>IF($E1787="","",P1787*AB1787/100)</f>
        <v/>
      </c>
      <c r="R1787" s="7" t="n"/>
      <c r="X1787" s="7" t="n"/>
      <c r="Y1787" s="7">
        <f>IF($E1787="","",AB1787*AE1787/100)</f>
        <v/>
      </c>
      <c r="Z1787" s="7">
        <f>IF($E1787="","",AB1787-Y1787)</f>
        <v/>
      </c>
      <c r="AA1787" s="7">
        <f>IF($E1787="","",Z1787-Q1787)</f>
        <v/>
      </c>
      <c r="AB1787" s="7" t="n"/>
      <c r="AE1787">
        <f>IF($E1787="","",IF($AQ1787=1,0,IF($AP1787=1,Settings!$C$6,Settings!$C$7))*100)</f>
        <v/>
      </c>
      <c r="AI1787" s="7" t="n"/>
      <c r="AL1787" s="11" t="n"/>
      <c r="AN1787">
        <f>IF($E1787="","",IF(COUNTIF($E$2:$E1787,$E1787)=1,1,0))</f>
        <v/>
      </c>
      <c r="AO1787">
        <f>IF($AN1787=1,SUMPRODUCT(--($AR$2:$AR$3001&lt;$AR1787))+1,"")</f>
        <v/>
      </c>
      <c r="AP1787">
        <f>IF($E1787="","",IF(OR($U1787=TRUE(),$U1787="TRUE"),1,0))</f>
        <v/>
      </c>
      <c r="AQ1787">
        <f>IF($E1787="","",IF($AD1787="Yes",1,0))</f>
        <v/>
      </c>
      <c r="AR1787">
        <f>IF($AN1787=1,IFERROR(VALUE(MID($E1787,2,20)),1000000000)+ROW()/100000,"")</f>
        <v/>
      </c>
    </row>
    <row r="1788">
      <c r="G1788" s="11" t="n"/>
      <c r="Q1788" s="7">
        <f>IF($E1788="","",P1788*AB1788/100)</f>
        <v/>
      </c>
      <c r="R1788" s="7" t="n"/>
      <c r="X1788" s="7" t="n"/>
      <c r="Y1788" s="7">
        <f>IF($E1788="","",AB1788*AE1788/100)</f>
        <v/>
      </c>
      <c r="Z1788" s="7">
        <f>IF($E1788="","",AB1788-Y1788)</f>
        <v/>
      </c>
      <c r="AA1788" s="7">
        <f>IF($E1788="","",Z1788-Q1788)</f>
        <v/>
      </c>
      <c r="AB1788" s="7" t="n"/>
      <c r="AE1788">
        <f>IF($E1788="","",IF($AQ1788=1,0,IF($AP1788=1,Settings!$C$6,Settings!$C$7))*100)</f>
        <v/>
      </c>
      <c r="AI1788" s="7" t="n"/>
      <c r="AL1788" s="11" t="n"/>
      <c r="AN1788">
        <f>IF($E1788="","",IF(COUNTIF($E$2:$E1788,$E1788)=1,1,0))</f>
        <v/>
      </c>
      <c r="AO1788">
        <f>IF($AN1788=1,SUMPRODUCT(--($AR$2:$AR$3001&lt;$AR1788))+1,"")</f>
        <v/>
      </c>
      <c r="AP1788">
        <f>IF($E1788="","",IF(OR($U1788=TRUE(),$U1788="TRUE"),1,0))</f>
        <v/>
      </c>
      <c r="AQ1788">
        <f>IF($E1788="","",IF($AD1788="Yes",1,0))</f>
        <v/>
      </c>
      <c r="AR1788">
        <f>IF($AN1788=1,IFERROR(VALUE(MID($E1788,2,20)),1000000000)+ROW()/100000,"")</f>
        <v/>
      </c>
    </row>
    <row r="1789">
      <c r="G1789" s="11" t="n"/>
      <c r="Q1789" s="7">
        <f>IF($E1789="","",P1789*AB1789/100)</f>
        <v/>
      </c>
      <c r="R1789" s="7" t="n"/>
      <c r="X1789" s="7" t="n"/>
      <c r="Y1789" s="7">
        <f>IF($E1789="","",AB1789*AE1789/100)</f>
        <v/>
      </c>
      <c r="Z1789" s="7">
        <f>IF($E1789="","",AB1789-Y1789)</f>
        <v/>
      </c>
      <c r="AA1789" s="7">
        <f>IF($E1789="","",Z1789-Q1789)</f>
        <v/>
      </c>
      <c r="AB1789" s="7" t="n"/>
      <c r="AE1789">
        <f>IF($E1789="","",IF($AQ1789=1,0,IF($AP1789=1,Settings!$C$6,Settings!$C$7))*100)</f>
        <v/>
      </c>
      <c r="AI1789" s="7" t="n"/>
      <c r="AL1789" s="11" t="n"/>
      <c r="AN1789">
        <f>IF($E1789="","",IF(COUNTIF($E$2:$E1789,$E1789)=1,1,0))</f>
        <v/>
      </c>
      <c r="AO1789">
        <f>IF($AN1789=1,SUMPRODUCT(--($AR$2:$AR$3001&lt;$AR1789))+1,"")</f>
        <v/>
      </c>
      <c r="AP1789">
        <f>IF($E1789="","",IF(OR($U1789=TRUE(),$U1789="TRUE"),1,0))</f>
        <v/>
      </c>
      <c r="AQ1789">
        <f>IF($E1789="","",IF($AD1789="Yes",1,0))</f>
        <v/>
      </c>
      <c r="AR1789">
        <f>IF($AN1789=1,IFERROR(VALUE(MID($E1789,2,20)),1000000000)+ROW()/100000,"")</f>
        <v/>
      </c>
    </row>
    <row r="1790">
      <c r="G1790" s="11" t="n"/>
      <c r="Q1790" s="7">
        <f>IF($E1790="","",P1790*AB1790/100)</f>
        <v/>
      </c>
      <c r="R1790" s="7" t="n"/>
      <c r="X1790" s="7" t="n"/>
      <c r="Y1790" s="7">
        <f>IF($E1790="","",AB1790*AE1790/100)</f>
        <v/>
      </c>
      <c r="Z1790" s="7">
        <f>IF($E1790="","",AB1790-Y1790)</f>
        <v/>
      </c>
      <c r="AA1790" s="7">
        <f>IF($E1790="","",Z1790-Q1790)</f>
        <v/>
      </c>
      <c r="AB1790" s="7" t="n"/>
      <c r="AE1790">
        <f>IF($E1790="","",IF($AQ1790=1,0,IF($AP1790=1,Settings!$C$6,Settings!$C$7))*100)</f>
        <v/>
      </c>
      <c r="AI1790" s="7" t="n"/>
      <c r="AL1790" s="11" t="n"/>
      <c r="AN1790">
        <f>IF($E1790="","",IF(COUNTIF($E$2:$E1790,$E1790)=1,1,0))</f>
        <v/>
      </c>
      <c r="AO1790">
        <f>IF($AN1790=1,SUMPRODUCT(--($AR$2:$AR$3001&lt;$AR1790))+1,"")</f>
        <v/>
      </c>
      <c r="AP1790">
        <f>IF($E1790="","",IF(OR($U1790=TRUE(),$U1790="TRUE"),1,0))</f>
        <v/>
      </c>
      <c r="AQ1790">
        <f>IF($E1790="","",IF($AD1790="Yes",1,0))</f>
        <v/>
      </c>
      <c r="AR1790">
        <f>IF($AN1790=1,IFERROR(VALUE(MID($E1790,2,20)),1000000000)+ROW()/100000,"")</f>
        <v/>
      </c>
    </row>
    <row r="1791">
      <c r="G1791" s="11" t="n"/>
      <c r="Q1791" s="7">
        <f>IF($E1791="","",P1791*AB1791/100)</f>
        <v/>
      </c>
      <c r="R1791" s="7" t="n"/>
      <c r="X1791" s="7" t="n"/>
      <c r="Y1791" s="7">
        <f>IF($E1791="","",AB1791*AE1791/100)</f>
        <v/>
      </c>
      <c r="Z1791" s="7">
        <f>IF($E1791="","",AB1791-Y1791)</f>
        <v/>
      </c>
      <c r="AA1791" s="7">
        <f>IF($E1791="","",Z1791-Q1791)</f>
        <v/>
      </c>
      <c r="AB1791" s="7" t="n"/>
      <c r="AE1791">
        <f>IF($E1791="","",IF($AQ1791=1,0,IF($AP1791=1,Settings!$C$6,Settings!$C$7))*100)</f>
        <v/>
      </c>
      <c r="AI1791" s="7" t="n"/>
      <c r="AL1791" s="11" t="n"/>
      <c r="AN1791">
        <f>IF($E1791="","",IF(COUNTIF($E$2:$E1791,$E1791)=1,1,0))</f>
        <v/>
      </c>
      <c r="AO1791">
        <f>IF($AN1791=1,SUMPRODUCT(--($AR$2:$AR$3001&lt;$AR1791))+1,"")</f>
        <v/>
      </c>
      <c r="AP1791">
        <f>IF($E1791="","",IF(OR($U1791=TRUE(),$U1791="TRUE"),1,0))</f>
        <v/>
      </c>
      <c r="AQ1791">
        <f>IF($E1791="","",IF($AD1791="Yes",1,0))</f>
        <v/>
      </c>
      <c r="AR1791">
        <f>IF($AN1791=1,IFERROR(VALUE(MID($E1791,2,20)),1000000000)+ROW()/100000,"")</f>
        <v/>
      </c>
    </row>
    <row r="1792">
      <c r="G1792" s="11" t="n"/>
      <c r="Q1792" s="7">
        <f>IF($E1792="","",P1792*AB1792/100)</f>
        <v/>
      </c>
      <c r="R1792" s="7" t="n"/>
      <c r="X1792" s="7" t="n"/>
      <c r="Y1792" s="7">
        <f>IF($E1792="","",AB1792*AE1792/100)</f>
        <v/>
      </c>
      <c r="Z1792" s="7">
        <f>IF($E1792="","",AB1792-Y1792)</f>
        <v/>
      </c>
      <c r="AA1792" s="7">
        <f>IF($E1792="","",Z1792-Q1792)</f>
        <v/>
      </c>
      <c r="AB1792" s="7" t="n"/>
      <c r="AE1792">
        <f>IF($E1792="","",IF($AQ1792=1,0,IF($AP1792=1,Settings!$C$6,Settings!$C$7))*100)</f>
        <v/>
      </c>
      <c r="AI1792" s="7" t="n"/>
      <c r="AL1792" s="11" t="n"/>
      <c r="AN1792">
        <f>IF($E1792="","",IF(COUNTIF($E$2:$E1792,$E1792)=1,1,0))</f>
        <v/>
      </c>
      <c r="AO1792">
        <f>IF($AN1792=1,SUMPRODUCT(--($AR$2:$AR$3001&lt;$AR1792))+1,"")</f>
        <v/>
      </c>
      <c r="AP1792">
        <f>IF($E1792="","",IF(OR($U1792=TRUE(),$U1792="TRUE"),1,0))</f>
        <v/>
      </c>
      <c r="AQ1792">
        <f>IF($E1792="","",IF($AD1792="Yes",1,0))</f>
        <v/>
      </c>
      <c r="AR1792">
        <f>IF($AN1792=1,IFERROR(VALUE(MID($E1792,2,20)),1000000000)+ROW()/100000,"")</f>
        <v/>
      </c>
    </row>
    <row r="1793">
      <c r="G1793" s="11" t="n"/>
      <c r="Q1793" s="7">
        <f>IF($E1793="","",P1793*AB1793/100)</f>
        <v/>
      </c>
      <c r="R1793" s="7" t="n"/>
      <c r="X1793" s="7" t="n"/>
      <c r="Y1793" s="7">
        <f>IF($E1793="","",AB1793*AE1793/100)</f>
        <v/>
      </c>
      <c r="Z1793" s="7">
        <f>IF($E1793="","",AB1793-Y1793)</f>
        <v/>
      </c>
      <c r="AA1793" s="7">
        <f>IF($E1793="","",Z1793-Q1793)</f>
        <v/>
      </c>
      <c r="AB1793" s="7" t="n"/>
      <c r="AE1793">
        <f>IF($E1793="","",IF($AQ1793=1,0,IF($AP1793=1,Settings!$C$6,Settings!$C$7))*100)</f>
        <v/>
      </c>
      <c r="AI1793" s="7" t="n"/>
      <c r="AL1793" s="11" t="n"/>
      <c r="AN1793">
        <f>IF($E1793="","",IF(COUNTIF($E$2:$E1793,$E1793)=1,1,0))</f>
        <v/>
      </c>
      <c r="AO1793">
        <f>IF($AN1793=1,SUMPRODUCT(--($AR$2:$AR$3001&lt;$AR1793))+1,"")</f>
        <v/>
      </c>
      <c r="AP1793">
        <f>IF($E1793="","",IF(OR($U1793=TRUE(),$U1793="TRUE"),1,0))</f>
        <v/>
      </c>
      <c r="AQ1793">
        <f>IF($E1793="","",IF($AD1793="Yes",1,0))</f>
        <v/>
      </c>
      <c r="AR1793">
        <f>IF($AN1793=1,IFERROR(VALUE(MID($E1793,2,20)),1000000000)+ROW()/100000,"")</f>
        <v/>
      </c>
    </row>
    <row r="1794">
      <c r="G1794" s="11" t="n"/>
      <c r="Q1794" s="7">
        <f>IF($E1794="","",P1794*AB1794/100)</f>
        <v/>
      </c>
      <c r="R1794" s="7" t="n"/>
      <c r="X1794" s="7" t="n"/>
      <c r="Y1794" s="7">
        <f>IF($E1794="","",AB1794*AE1794/100)</f>
        <v/>
      </c>
      <c r="Z1794" s="7">
        <f>IF($E1794="","",AB1794-Y1794)</f>
        <v/>
      </c>
      <c r="AA1794" s="7">
        <f>IF($E1794="","",Z1794-Q1794)</f>
        <v/>
      </c>
      <c r="AB1794" s="7" t="n"/>
      <c r="AE1794">
        <f>IF($E1794="","",IF($AQ1794=1,0,IF($AP1794=1,Settings!$C$6,Settings!$C$7))*100)</f>
        <v/>
      </c>
      <c r="AI1794" s="7" t="n"/>
      <c r="AL1794" s="11" t="n"/>
      <c r="AN1794">
        <f>IF($E1794="","",IF(COUNTIF($E$2:$E1794,$E1794)=1,1,0))</f>
        <v/>
      </c>
      <c r="AO1794">
        <f>IF($AN1794=1,SUMPRODUCT(--($AR$2:$AR$3001&lt;$AR1794))+1,"")</f>
        <v/>
      </c>
      <c r="AP1794">
        <f>IF($E1794="","",IF(OR($U1794=TRUE(),$U1794="TRUE"),1,0))</f>
        <v/>
      </c>
      <c r="AQ1794">
        <f>IF($E1794="","",IF($AD1794="Yes",1,0))</f>
        <v/>
      </c>
      <c r="AR1794">
        <f>IF($AN1794=1,IFERROR(VALUE(MID($E1794,2,20)),1000000000)+ROW()/100000,"")</f>
        <v/>
      </c>
    </row>
    <row r="1795">
      <c r="G1795" s="11" t="n"/>
      <c r="Q1795" s="7">
        <f>IF($E1795="","",P1795*AB1795/100)</f>
        <v/>
      </c>
      <c r="R1795" s="7" t="n"/>
      <c r="X1795" s="7" t="n"/>
      <c r="Y1795" s="7">
        <f>IF($E1795="","",AB1795*AE1795/100)</f>
        <v/>
      </c>
      <c r="Z1795" s="7">
        <f>IF($E1795="","",AB1795-Y1795)</f>
        <v/>
      </c>
      <c r="AA1795" s="7">
        <f>IF($E1795="","",Z1795-Q1795)</f>
        <v/>
      </c>
      <c r="AB1795" s="7" t="n"/>
      <c r="AE1795">
        <f>IF($E1795="","",IF($AQ1795=1,0,IF($AP1795=1,Settings!$C$6,Settings!$C$7))*100)</f>
        <v/>
      </c>
      <c r="AI1795" s="7" t="n"/>
      <c r="AL1795" s="11" t="n"/>
      <c r="AN1795">
        <f>IF($E1795="","",IF(COUNTIF($E$2:$E1795,$E1795)=1,1,0))</f>
        <v/>
      </c>
      <c r="AO1795">
        <f>IF($AN1795=1,SUMPRODUCT(--($AR$2:$AR$3001&lt;$AR1795))+1,"")</f>
        <v/>
      </c>
      <c r="AP1795">
        <f>IF($E1795="","",IF(OR($U1795=TRUE(),$U1795="TRUE"),1,0))</f>
        <v/>
      </c>
      <c r="AQ1795">
        <f>IF($E1795="","",IF($AD1795="Yes",1,0))</f>
        <v/>
      </c>
      <c r="AR1795">
        <f>IF($AN1795=1,IFERROR(VALUE(MID($E1795,2,20)),1000000000)+ROW()/100000,"")</f>
        <v/>
      </c>
    </row>
    <row r="1796">
      <c r="G1796" s="11" t="n"/>
      <c r="Q1796" s="7">
        <f>IF($E1796="","",P1796*AB1796/100)</f>
        <v/>
      </c>
      <c r="R1796" s="7" t="n"/>
      <c r="X1796" s="7" t="n"/>
      <c r="Y1796" s="7">
        <f>IF($E1796="","",AB1796*AE1796/100)</f>
        <v/>
      </c>
      <c r="Z1796" s="7">
        <f>IF($E1796="","",AB1796-Y1796)</f>
        <v/>
      </c>
      <c r="AA1796" s="7">
        <f>IF($E1796="","",Z1796-Q1796)</f>
        <v/>
      </c>
      <c r="AB1796" s="7" t="n"/>
      <c r="AE1796">
        <f>IF($E1796="","",IF($AQ1796=1,0,IF($AP1796=1,Settings!$C$6,Settings!$C$7))*100)</f>
        <v/>
      </c>
      <c r="AI1796" s="7" t="n"/>
      <c r="AL1796" s="11" t="n"/>
      <c r="AN1796">
        <f>IF($E1796="","",IF(COUNTIF($E$2:$E1796,$E1796)=1,1,0))</f>
        <v/>
      </c>
      <c r="AO1796">
        <f>IF($AN1796=1,SUMPRODUCT(--($AR$2:$AR$3001&lt;$AR1796))+1,"")</f>
        <v/>
      </c>
      <c r="AP1796">
        <f>IF($E1796="","",IF(OR($U1796=TRUE(),$U1796="TRUE"),1,0))</f>
        <v/>
      </c>
      <c r="AQ1796">
        <f>IF($E1796="","",IF($AD1796="Yes",1,0))</f>
        <v/>
      </c>
      <c r="AR1796">
        <f>IF($AN1796=1,IFERROR(VALUE(MID($E1796,2,20)),1000000000)+ROW()/100000,"")</f>
        <v/>
      </c>
    </row>
    <row r="1797">
      <c r="G1797" s="11" t="n"/>
      <c r="Q1797" s="7">
        <f>IF($E1797="","",P1797*AB1797/100)</f>
        <v/>
      </c>
      <c r="R1797" s="7" t="n"/>
      <c r="X1797" s="7" t="n"/>
      <c r="Y1797" s="7">
        <f>IF($E1797="","",AB1797*AE1797/100)</f>
        <v/>
      </c>
      <c r="Z1797" s="7">
        <f>IF($E1797="","",AB1797-Y1797)</f>
        <v/>
      </c>
      <c r="AA1797" s="7">
        <f>IF($E1797="","",Z1797-Q1797)</f>
        <v/>
      </c>
      <c r="AB1797" s="7" t="n"/>
      <c r="AE1797">
        <f>IF($E1797="","",IF($AQ1797=1,0,IF($AP1797=1,Settings!$C$6,Settings!$C$7))*100)</f>
        <v/>
      </c>
      <c r="AI1797" s="7" t="n"/>
      <c r="AL1797" s="11" t="n"/>
      <c r="AN1797">
        <f>IF($E1797="","",IF(COUNTIF($E$2:$E1797,$E1797)=1,1,0))</f>
        <v/>
      </c>
      <c r="AO1797">
        <f>IF($AN1797=1,SUMPRODUCT(--($AR$2:$AR$3001&lt;$AR1797))+1,"")</f>
        <v/>
      </c>
      <c r="AP1797">
        <f>IF($E1797="","",IF(OR($U1797=TRUE(),$U1797="TRUE"),1,0))</f>
        <v/>
      </c>
      <c r="AQ1797">
        <f>IF($E1797="","",IF($AD1797="Yes",1,0))</f>
        <v/>
      </c>
      <c r="AR1797">
        <f>IF($AN1797=1,IFERROR(VALUE(MID($E1797,2,20)),1000000000)+ROW()/100000,"")</f>
        <v/>
      </c>
    </row>
    <row r="1798">
      <c r="G1798" s="11" t="n"/>
      <c r="Q1798" s="7">
        <f>IF($E1798="","",P1798*AB1798/100)</f>
        <v/>
      </c>
      <c r="R1798" s="7" t="n"/>
      <c r="X1798" s="7" t="n"/>
      <c r="Y1798" s="7">
        <f>IF($E1798="","",AB1798*AE1798/100)</f>
        <v/>
      </c>
      <c r="Z1798" s="7">
        <f>IF($E1798="","",AB1798-Y1798)</f>
        <v/>
      </c>
      <c r="AA1798" s="7">
        <f>IF($E1798="","",Z1798-Q1798)</f>
        <v/>
      </c>
      <c r="AB1798" s="7" t="n"/>
      <c r="AE1798">
        <f>IF($E1798="","",IF($AQ1798=1,0,IF($AP1798=1,Settings!$C$6,Settings!$C$7))*100)</f>
        <v/>
      </c>
      <c r="AI1798" s="7" t="n"/>
      <c r="AL1798" s="11" t="n"/>
      <c r="AN1798">
        <f>IF($E1798="","",IF(COUNTIF($E$2:$E1798,$E1798)=1,1,0))</f>
        <v/>
      </c>
      <c r="AO1798">
        <f>IF($AN1798=1,SUMPRODUCT(--($AR$2:$AR$3001&lt;$AR1798))+1,"")</f>
        <v/>
      </c>
      <c r="AP1798">
        <f>IF($E1798="","",IF(OR($U1798=TRUE(),$U1798="TRUE"),1,0))</f>
        <v/>
      </c>
      <c r="AQ1798">
        <f>IF($E1798="","",IF($AD1798="Yes",1,0))</f>
        <v/>
      </c>
      <c r="AR1798">
        <f>IF($AN1798=1,IFERROR(VALUE(MID($E1798,2,20)),1000000000)+ROW()/100000,"")</f>
        <v/>
      </c>
    </row>
    <row r="1799">
      <c r="G1799" s="11" t="n"/>
      <c r="Q1799" s="7">
        <f>IF($E1799="","",P1799*AB1799/100)</f>
        <v/>
      </c>
      <c r="R1799" s="7" t="n"/>
      <c r="X1799" s="7" t="n"/>
      <c r="Y1799" s="7">
        <f>IF($E1799="","",AB1799*AE1799/100)</f>
        <v/>
      </c>
      <c r="Z1799" s="7">
        <f>IF($E1799="","",AB1799-Y1799)</f>
        <v/>
      </c>
      <c r="AA1799" s="7">
        <f>IF($E1799="","",Z1799-Q1799)</f>
        <v/>
      </c>
      <c r="AB1799" s="7" t="n"/>
      <c r="AE1799">
        <f>IF($E1799="","",IF($AQ1799=1,0,IF($AP1799=1,Settings!$C$6,Settings!$C$7))*100)</f>
        <v/>
      </c>
      <c r="AI1799" s="7" t="n"/>
      <c r="AL1799" s="11" t="n"/>
      <c r="AN1799">
        <f>IF($E1799="","",IF(COUNTIF($E$2:$E1799,$E1799)=1,1,0))</f>
        <v/>
      </c>
      <c r="AO1799">
        <f>IF($AN1799=1,SUMPRODUCT(--($AR$2:$AR$3001&lt;$AR1799))+1,"")</f>
        <v/>
      </c>
      <c r="AP1799">
        <f>IF($E1799="","",IF(OR($U1799=TRUE(),$U1799="TRUE"),1,0))</f>
        <v/>
      </c>
      <c r="AQ1799">
        <f>IF($E1799="","",IF($AD1799="Yes",1,0))</f>
        <v/>
      </c>
      <c r="AR1799">
        <f>IF($AN1799=1,IFERROR(VALUE(MID($E1799,2,20)),1000000000)+ROW()/100000,"")</f>
        <v/>
      </c>
    </row>
    <row r="1800">
      <c r="G1800" s="11" t="n"/>
      <c r="Q1800" s="7">
        <f>IF($E1800="","",P1800*AB1800/100)</f>
        <v/>
      </c>
      <c r="R1800" s="7" t="n"/>
      <c r="X1800" s="7" t="n"/>
      <c r="Y1800" s="7">
        <f>IF($E1800="","",AB1800*AE1800/100)</f>
        <v/>
      </c>
      <c r="Z1800" s="7">
        <f>IF($E1800="","",AB1800-Y1800)</f>
        <v/>
      </c>
      <c r="AA1800" s="7">
        <f>IF($E1800="","",Z1800-Q1800)</f>
        <v/>
      </c>
      <c r="AB1800" s="7" t="n"/>
      <c r="AE1800">
        <f>IF($E1800="","",IF($AQ1800=1,0,IF($AP1800=1,Settings!$C$6,Settings!$C$7))*100)</f>
        <v/>
      </c>
      <c r="AI1800" s="7" t="n"/>
      <c r="AL1800" s="11" t="n"/>
      <c r="AN1800">
        <f>IF($E1800="","",IF(COUNTIF($E$2:$E1800,$E1800)=1,1,0))</f>
        <v/>
      </c>
      <c r="AO1800">
        <f>IF($AN1800=1,SUMPRODUCT(--($AR$2:$AR$3001&lt;$AR1800))+1,"")</f>
        <v/>
      </c>
      <c r="AP1800">
        <f>IF($E1800="","",IF(OR($U1800=TRUE(),$U1800="TRUE"),1,0))</f>
        <v/>
      </c>
      <c r="AQ1800">
        <f>IF($E1800="","",IF($AD1800="Yes",1,0))</f>
        <v/>
      </c>
      <c r="AR1800">
        <f>IF($AN1800=1,IFERROR(VALUE(MID($E1800,2,20)),1000000000)+ROW()/100000,"")</f>
        <v/>
      </c>
    </row>
    <row r="1801">
      <c r="G1801" s="11" t="n"/>
      <c r="Q1801" s="7">
        <f>IF($E1801="","",P1801*AB1801/100)</f>
        <v/>
      </c>
      <c r="R1801" s="7" t="n"/>
      <c r="X1801" s="7" t="n"/>
      <c r="Y1801" s="7">
        <f>IF($E1801="","",AB1801*AE1801/100)</f>
        <v/>
      </c>
      <c r="Z1801" s="7">
        <f>IF($E1801="","",AB1801-Y1801)</f>
        <v/>
      </c>
      <c r="AA1801" s="7">
        <f>IF($E1801="","",Z1801-Q1801)</f>
        <v/>
      </c>
      <c r="AB1801" s="7" t="n"/>
      <c r="AE1801">
        <f>IF($E1801="","",IF($AQ1801=1,0,IF($AP1801=1,Settings!$C$6,Settings!$C$7))*100)</f>
        <v/>
      </c>
      <c r="AI1801" s="7" t="n"/>
      <c r="AL1801" s="11" t="n"/>
      <c r="AN1801">
        <f>IF($E1801="","",IF(COUNTIF($E$2:$E1801,$E1801)=1,1,0))</f>
        <v/>
      </c>
      <c r="AO1801">
        <f>IF($AN1801=1,SUMPRODUCT(--($AR$2:$AR$3001&lt;$AR1801))+1,"")</f>
        <v/>
      </c>
      <c r="AP1801">
        <f>IF($E1801="","",IF(OR($U1801=TRUE(),$U1801="TRUE"),1,0))</f>
        <v/>
      </c>
      <c r="AQ1801">
        <f>IF($E1801="","",IF($AD1801="Yes",1,0))</f>
        <v/>
      </c>
      <c r="AR1801">
        <f>IF($AN1801=1,IFERROR(VALUE(MID($E1801,2,20)),1000000000)+ROW()/100000,"")</f>
        <v/>
      </c>
    </row>
    <row r="1802">
      <c r="G1802" s="11" t="n"/>
      <c r="Q1802" s="7">
        <f>IF($E1802="","",P1802*AB1802/100)</f>
        <v/>
      </c>
      <c r="R1802" s="7" t="n"/>
      <c r="X1802" s="7" t="n"/>
      <c r="Y1802" s="7">
        <f>IF($E1802="","",AB1802*AE1802/100)</f>
        <v/>
      </c>
      <c r="Z1802" s="7">
        <f>IF($E1802="","",AB1802-Y1802)</f>
        <v/>
      </c>
      <c r="AA1802" s="7">
        <f>IF($E1802="","",Z1802-Q1802)</f>
        <v/>
      </c>
      <c r="AB1802" s="7" t="n"/>
      <c r="AE1802">
        <f>IF($E1802="","",IF($AQ1802=1,0,IF($AP1802=1,Settings!$C$6,Settings!$C$7))*100)</f>
        <v/>
      </c>
      <c r="AI1802" s="7" t="n"/>
      <c r="AL1802" s="11" t="n"/>
      <c r="AN1802">
        <f>IF($E1802="","",IF(COUNTIF($E$2:$E1802,$E1802)=1,1,0))</f>
        <v/>
      </c>
      <c r="AO1802">
        <f>IF($AN1802=1,SUMPRODUCT(--($AR$2:$AR$3001&lt;$AR1802))+1,"")</f>
        <v/>
      </c>
      <c r="AP1802">
        <f>IF($E1802="","",IF(OR($U1802=TRUE(),$U1802="TRUE"),1,0))</f>
        <v/>
      </c>
      <c r="AQ1802">
        <f>IF($E1802="","",IF($AD1802="Yes",1,0))</f>
        <v/>
      </c>
      <c r="AR1802">
        <f>IF($AN1802=1,IFERROR(VALUE(MID($E1802,2,20)),1000000000)+ROW()/100000,"")</f>
        <v/>
      </c>
    </row>
    <row r="1803">
      <c r="G1803" s="11" t="n"/>
      <c r="Q1803" s="7">
        <f>IF($E1803="","",P1803*AB1803/100)</f>
        <v/>
      </c>
      <c r="R1803" s="7" t="n"/>
      <c r="X1803" s="7" t="n"/>
      <c r="Y1803" s="7">
        <f>IF($E1803="","",AB1803*AE1803/100)</f>
        <v/>
      </c>
      <c r="Z1803" s="7">
        <f>IF($E1803="","",AB1803-Y1803)</f>
        <v/>
      </c>
      <c r="AA1803" s="7">
        <f>IF($E1803="","",Z1803-Q1803)</f>
        <v/>
      </c>
      <c r="AB1803" s="7" t="n"/>
      <c r="AE1803">
        <f>IF($E1803="","",IF($AQ1803=1,0,IF($AP1803=1,Settings!$C$6,Settings!$C$7))*100)</f>
        <v/>
      </c>
      <c r="AI1803" s="7" t="n"/>
      <c r="AL1803" s="11" t="n"/>
      <c r="AN1803">
        <f>IF($E1803="","",IF(COUNTIF($E$2:$E1803,$E1803)=1,1,0))</f>
        <v/>
      </c>
      <c r="AO1803">
        <f>IF($AN1803=1,SUMPRODUCT(--($AR$2:$AR$3001&lt;$AR1803))+1,"")</f>
        <v/>
      </c>
      <c r="AP1803">
        <f>IF($E1803="","",IF(OR($U1803=TRUE(),$U1803="TRUE"),1,0))</f>
        <v/>
      </c>
      <c r="AQ1803">
        <f>IF($E1803="","",IF($AD1803="Yes",1,0))</f>
        <v/>
      </c>
      <c r="AR1803">
        <f>IF($AN1803=1,IFERROR(VALUE(MID($E1803,2,20)),1000000000)+ROW()/100000,"")</f>
        <v/>
      </c>
    </row>
    <row r="1804">
      <c r="G1804" s="11" t="n"/>
      <c r="Q1804" s="7">
        <f>IF($E1804="","",P1804*AB1804/100)</f>
        <v/>
      </c>
      <c r="R1804" s="7" t="n"/>
      <c r="X1804" s="7" t="n"/>
      <c r="Y1804" s="7">
        <f>IF($E1804="","",AB1804*AE1804/100)</f>
        <v/>
      </c>
      <c r="Z1804" s="7">
        <f>IF($E1804="","",AB1804-Y1804)</f>
        <v/>
      </c>
      <c r="AA1804" s="7">
        <f>IF($E1804="","",Z1804-Q1804)</f>
        <v/>
      </c>
      <c r="AB1804" s="7" t="n"/>
      <c r="AE1804">
        <f>IF($E1804="","",IF($AQ1804=1,0,IF($AP1804=1,Settings!$C$6,Settings!$C$7))*100)</f>
        <v/>
      </c>
      <c r="AI1804" s="7" t="n"/>
      <c r="AL1804" s="11" t="n"/>
      <c r="AN1804">
        <f>IF($E1804="","",IF(COUNTIF($E$2:$E1804,$E1804)=1,1,0))</f>
        <v/>
      </c>
      <c r="AO1804">
        <f>IF($AN1804=1,SUMPRODUCT(--($AR$2:$AR$3001&lt;$AR1804))+1,"")</f>
        <v/>
      </c>
      <c r="AP1804">
        <f>IF($E1804="","",IF(OR($U1804=TRUE(),$U1804="TRUE"),1,0))</f>
        <v/>
      </c>
      <c r="AQ1804">
        <f>IF($E1804="","",IF($AD1804="Yes",1,0))</f>
        <v/>
      </c>
      <c r="AR1804">
        <f>IF($AN1804=1,IFERROR(VALUE(MID($E1804,2,20)),1000000000)+ROW()/100000,"")</f>
        <v/>
      </c>
    </row>
    <row r="1805">
      <c r="G1805" s="11" t="n"/>
      <c r="Q1805" s="7">
        <f>IF($E1805="","",P1805*AB1805/100)</f>
        <v/>
      </c>
      <c r="R1805" s="7" t="n"/>
      <c r="X1805" s="7" t="n"/>
      <c r="Y1805" s="7">
        <f>IF($E1805="","",AB1805*AE1805/100)</f>
        <v/>
      </c>
      <c r="Z1805" s="7">
        <f>IF($E1805="","",AB1805-Y1805)</f>
        <v/>
      </c>
      <c r="AA1805" s="7">
        <f>IF($E1805="","",Z1805-Q1805)</f>
        <v/>
      </c>
      <c r="AB1805" s="7" t="n"/>
      <c r="AE1805">
        <f>IF($E1805="","",IF($AQ1805=1,0,IF($AP1805=1,Settings!$C$6,Settings!$C$7))*100)</f>
        <v/>
      </c>
      <c r="AI1805" s="7" t="n"/>
      <c r="AL1805" s="11" t="n"/>
      <c r="AN1805">
        <f>IF($E1805="","",IF(COUNTIF($E$2:$E1805,$E1805)=1,1,0))</f>
        <v/>
      </c>
      <c r="AO1805">
        <f>IF($AN1805=1,SUMPRODUCT(--($AR$2:$AR$3001&lt;$AR1805))+1,"")</f>
        <v/>
      </c>
      <c r="AP1805">
        <f>IF($E1805="","",IF(OR($U1805=TRUE(),$U1805="TRUE"),1,0))</f>
        <v/>
      </c>
      <c r="AQ1805">
        <f>IF($E1805="","",IF($AD1805="Yes",1,0))</f>
        <v/>
      </c>
      <c r="AR1805">
        <f>IF($AN1805=1,IFERROR(VALUE(MID($E1805,2,20)),1000000000)+ROW()/100000,"")</f>
        <v/>
      </c>
    </row>
    <row r="1806">
      <c r="G1806" s="11" t="n"/>
      <c r="Q1806" s="7">
        <f>IF($E1806="","",P1806*AB1806/100)</f>
        <v/>
      </c>
      <c r="R1806" s="7" t="n"/>
      <c r="X1806" s="7" t="n"/>
      <c r="Y1806" s="7">
        <f>IF($E1806="","",AB1806*AE1806/100)</f>
        <v/>
      </c>
      <c r="Z1806" s="7">
        <f>IF($E1806="","",AB1806-Y1806)</f>
        <v/>
      </c>
      <c r="AA1806" s="7">
        <f>IF($E1806="","",Z1806-Q1806)</f>
        <v/>
      </c>
      <c r="AB1806" s="7" t="n"/>
      <c r="AE1806">
        <f>IF($E1806="","",IF($AQ1806=1,0,IF($AP1806=1,Settings!$C$6,Settings!$C$7))*100)</f>
        <v/>
      </c>
      <c r="AI1806" s="7" t="n"/>
      <c r="AL1806" s="11" t="n"/>
      <c r="AN1806">
        <f>IF($E1806="","",IF(COUNTIF($E$2:$E1806,$E1806)=1,1,0))</f>
        <v/>
      </c>
      <c r="AO1806">
        <f>IF($AN1806=1,SUMPRODUCT(--($AR$2:$AR$3001&lt;$AR1806))+1,"")</f>
        <v/>
      </c>
      <c r="AP1806">
        <f>IF($E1806="","",IF(OR($U1806=TRUE(),$U1806="TRUE"),1,0))</f>
        <v/>
      </c>
      <c r="AQ1806">
        <f>IF($E1806="","",IF($AD1806="Yes",1,0))</f>
        <v/>
      </c>
      <c r="AR1806">
        <f>IF($AN1806=1,IFERROR(VALUE(MID($E1806,2,20)),1000000000)+ROW()/100000,"")</f>
        <v/>
      </c>
    </row>
    <row r="1807">
      <c r="G1807" s="11" t="n"/>
      <c r="Q1807" s="7">
        <f>IF($E1807="","",P1807*AB1807/100)</f>
        <v/>
      </c>
      <c r="R1807" s="7" t="n"/>
      <c r="X1807" s="7" t="n"/>
      <c r="Y1807" s="7">
        <f>IF($E1807="","",AB1807*AE1807/100)</f>
        <v/>
      </c>
      <c r="Z1807" s="7">
        <f>IF($E1807="","",AB1807-Y1807)</f>
        <v/>
      </c>
      <c r="AA1807" s="7">
        <f>IF($E1807="","",Z1807-Q1807)</f>
        <v/>
      </c>
      <c r="AB1807" s="7" t="n"/>
      <c r="AE1807">
        <f>IF($E1807="","",IF($AQ1807=1,0,IF($AP1807=1,Settings!$C$6,Settings!$C$7))*100)</f>
        <v/>
      </c>
      <c r="AI1807" s="7" t="n"/>
      <c r="AL1807" s="11" t="n"/>
      <c r="AN1807">
        <f>IF($E1807="","",IF(COUNTIF($E$2:$E1807,$E1807)=1,1,0))</f>
        <v/>
      </c>
      <c r="AO1807">
        <f>IF($AN1807=1,SUMPRODUCT(--($AR$2:$AR$3001&lt;$AR1807))+1,"")</f>
        <v/>
      </c>
      <c r="AP1807">
        <f>IF($E1807="","",IF(OR($U1807=TRUE(),$U1807="TRUE"),1,0))</f>
        <v/>
      </c>
      <c r="AQ1807">
        <f>IF($E1807="","",IF($AD1807="Yes",1,0))</f>
        <v/>
      </c>
      <c r="AR1807">
        <f>IF($AN1807=1,IFERROR(VALUE(MID($E1807,2,20)),1000000000)+ROW()/100000,"")</f>
        <v/>
      </c>
    </row>
    <row r="1808">
      <c r="G1808" s="11" t="n"/>
      <c r="Q1808" s="7">
        <f>IF($E1808="","",P1808*AB1808/100)</f>
        <v/>
      </c>
      <c r="R1808" s="7" t="n"/>
      <c r="X1808" s="7" t="n"/>
      <c r="Y1808" s="7">
        <f>IF($E1808="","",AB1808*AE1808/100)</f>
        <v/>
      </c>
      <c r="Z1808" s="7">
        <f>IF($E1808="","",AB1808-Y1808)</f>
        <v/>
      </c>
      <c r="AA1808" s="7">
        <f>IF($E1808="","",Z1808-Q1808)</f>
        <v/>
      </c>
      <c r="AB1808" s="7" t="n"/>
      <c r="AE1808">
        <f>IF($E1808="","",IF($AQ1808=1,0,IF($AP1808=1,Settings!$C$6,Settings!$C$7))*100)</f>
        <v/>
      </c>
      <c r="AI1808" s="7" t="n"/>
      <c r="AL1808" s="11" t="n"/>
      <c r="AN1808">
        <f>IF($E1808="","",IF(COUNTIF($E$2:$E1808,$E1808)=1,1,0))</f>
        <v/>
      </c>
      <c r="AO1808">
        <f>IF($AN1808=1,SUMPRODUCT(--($AR$2:$AR$3001&lt;$AR1808))+1,"")</f>
        <v/>
      </c>
      <c r="AP1808">
        <f>IF($E1808="","",IF(OR($U1808=TRUE(),$U1808="TRUE"),1,0))</f>
        <v/>
      </c>
      <c r="AQ1808">
        <f>IF($E1808="","",IF($AD1808="Yes",1,0))</f>
        <v/>
      </c>
      <c r="AR1808">
        <f>IF($AN1808=1,IFERROR(VALUE(MID($E1808,2,20)),1000000000)+ROW()/100000,"")</f>
        <v/>
      </c>
    </row>
    <row r="1809">
      <c r="G1809" s="11" t="n"/>
      <c r="Q1809" s="7">
        <f>IF($E1809="","",P1809*AB1809/100)</f>
        <v/>
      </c>
      <c r="R1809" s="7" t="n"/>
      <c r="X1809" s="7" t="n"/>
      <c r="Y1809" s="7">
        <f>IF($E1809="","",AB1809*AE1809/100)</f>
        <v/>
      </c>
      <c r="Z1809" s="7">
        <f>IF($E1809="","",AB1809-Y1809)</f>
        <v/>
      </c>
      <c r="AA1809" s="7">
        <f>IF($E1809="","",Z1809-Q1809)</f>
        <v/>
      </c>
      <c r="AB1809" s="7" t="n"/>
      <c r="AE1809">
        <f>IF($E1809="","",IF($AQ1809=1,0,IF($AP1809=1,Settings!$C$6,Settings!$C$7))*100)</f>
        <v/>
      </c>
      <c r="AI1809" s="7" t="n"/>
      <c r="AL1809" s="11" t="n"/>
      <c r="AN1809">
        <f>IF($E1809="","",IF(COUNTIF($E$2:$E1809,$E1809)=1,1,0))</f>
        <v/>
      </c>
      <c r="AO1809">
        <f>IF($AN1809=1,SUMPRODUCT(--($AR$2:$AR$3001&lt;$AR1809))+1,"")</f>
        <v/>
      </c>
      <c r="AP1809">
        <f>IF($E1809="","",IF(OR($U1809=TRUE(),$U1809="TRUE"),1,0))</f>
        <v/>
      </c>
      <c r="AQ1809">
        <f>IF($E1809="","",IF($AD1809="Yes",1,0))</f>
        <v/>
      </c>
      <c r="AR1809">
        <f>IF($AN1809=1,IFERROR(VALUE(MID($E1809,2,20)),1000000000)+ROW()/100000,"")</f>
        <v/>
      </c>
    </row>
    <row r="1810">
      <c r="G1810" s="11" t="n"/>
      <c r="Q1810" s="7">
        <f>IF($E1810="","",P1810*AB1810/100)</f>
        <v/>
      </c>
      <c r="R1810" s="7" t="n"/>
      <c r="X1810" s="7" t="n"/>
      <c r="Y1810" s="7">
        <f>IF($E1810="","",AB1810*AE1810/100)</f>
        <v/>
      </c>
      <c r="Z1810" s="7">
        <f>IF($E1810="","",AB1810-Y1810)</f>
        <v/>
      </c>
      <c r="AA1810" s="7">
        <f>IF($E1810="","",Z1810-Q1810)</f>
        <v/>
      </c>
      <c r="AB1810" s="7" t="n"/>
      <c r="AE1810">
        <f>IF($E1810="","",IF($AQ1810=1,0,IF($AP1810=1,Settings!$C$6,Settings!$C$7))*100)</f>
        <v/>
      </c>
      <c r="AI1810" s="7" t="n"/>
      <c r="AL1810" s="11" t="n"/>
      <c r="AN1810">
        <f>IF($E1810="","",IF(COUNTIF($E$2:$E1810,$E1810)=1,1,0))</f>
        <v/>
      </c>
      <c r="AO1810">
        <f>IF($AN1810=1,SUMPRODUCT(--($AR$2:$AR$3001&lt;$AR1810))+1,"")</f>
        <v/>
      </c>
      <c r="AP1810">
        <f>IF($E1810="","",IF(OR($U1810=TRUE(),$U1810="TRUE"),1,0))</f>
        <v/>
      </c>
      <c r="AQ1810">
        <f>IF($E1810="","",IF($AD1810="Yes",1,0))</f>
        <v/>
      </c>
      <c r="AR1810">
        <f>IF($AN1810=1,IFERROR(VALUE(MID($E1810,2,20)),1000000000)+ROW()/100000,"")</f>
        <v/>
      </c>
    </row>
    <row r="1811">
      <c r="G1811" s="11" t="n"/>
      <c r="Q1811" s="7">
        <f>IF($E1811="","",P1811*AB1811/100)</f>
        <v/>
      </c>
      <c r="R1811" s="7" t="n"/>
      <c r="X1811" s="7" t="n"/>
      <c r="Y1811" s="7">
        <f>IF($E1811="","",AB1811*AE1811/100)</f>
        <v/>
      </c>
      <c r="Z1811" s="7">
        <f>IF($E1811="","",AB1811-Y1811)</f>
        <v/>
      </c>
      <c r="AA1811" s="7">
        <f>IF($E1811="","",Z1811-Q1811)</f>
        <v/>
      </c>
      <c r="AB1811" s="7" t="n"/>
      <c r="AE1811">
        <f>IF($E1811="","",IF($AQ1811=1,0,IF($AP1811=1,Settings!$C$6,Settings!$C$7))*100)</f>
        <v/>
      </c>
      <c r="AI1811" s="7" t="n"/>
      <c r="AL1811" s="11" t="n"/>
      <c r="AN1811">
        <f>IF($E1811="","",IF(COUNTIF($E$2:$E1811,$E1811)=1,1,0))</f>
        <v/>
      </c>
      <c r="AO1811">
        <f>IF($AN1811=1,SUMPRODUCT(--($AR$2:$AR$3001&lt;$AR1811))+1,"")</f>
        <v/>
      </c>
      <c r="AP1811">
        <f>IF($E1811="","",IF(OR($U1811=TRUE(),$U1811="TRUE"),1,0))</f>
        <v/>
      </c>
      <c r="AQ1811">
        <f>IF($E1811="","",IF($AD1811="Yes",1,0))</f>
        <v/>
      </c>
      <c r="AR1811">
        <f>IF($AN1811=1,IFERROR(VALUE(MID($E1811,2,20)),1000000000)+ROW()/100000,"")</f>
        <v/>
      </c>
    </row>
    <row r="1812">
      <c r="G1812" s="11" t="n"/>
      <c r="Q1812" s="7">
        <f>IF($E1812="","",P1812*AB1812/100)</f>
        <v/>
      </c>
      <c r="R1812" s="7" t="n"/>
      <c r="X1812" s="7" t="n"/>
      <c r="Y1812" s="7">
        <f>IF($E1812="","",AB1812*AE1812/100)</f>
        <v/>
      </c>
      <c r="Z1812" s="7">
        <f>IF($E1812="","",AB1812-Y1812)</f>
        <v/>
      </c>
      <c r="AA1812" s="7">
        <f>IF($E1812="","",Z1812-Q1812)</f>
        <v/>
      </c>
      <c r="AB1812" s="7" t="n"/>
      <c r="AE1812">
        <f>IF($E1812="","",IF($AQ1812=1,0,IF($AP1812=1,Settings!$C$6,Settings!$C$7))*100)</f>
        <v/>
      </c>
      <c r="AI1812" s="7" t="n"/>
      <c r="AL1812" s="11" t="n"/>
      <c r="AN1812">
        <f>IF($E1812="","",IF(COUNTIF($E$2:$E1812,$E1812)=1,1,0))</f>
        <v/>
      </c>
      <c r="AO1812">
        <f>IF($AN1812=1,SUMPRODUCT(--($AR$2:$AR$3001&lt;$AR1812))+1,"")</f>
        <v/>
      </c>
      <c r="AP1812">
        <f>IF($E1812="","",IF(OR($U1812=TRUE(),$U1812="TRUE"),1,0))</f>
        <v/>
      </c>
      <c r="AQ1812">
        <f>IF($E1812="","",IF($AD1812="Yes",1,0))</f>
        <v/>
      </c>
      <c r="AR1812">
        <f>IF($AN1812=1,IFERROR(VALUE(MID($E1812,2,20)),1000000000)+ROW()/100000,"")</f>
        <v/>
      </c>
    </row>
    <row r="1813">
      <c r="G1813" s="11" t="n"/>
      <c r="Q1813" s="7">
        <f>IF($E1813="","",P1813*AB1813/100)</f>
        <v/>
      </c>
      <c r="R1813" s="7" t="n"/>
      <c r="X1813" s="7" t="n"/>
      <c r="Y1813" s="7">
        <f>IF($E1813="","",AB1813*AE1813/100)</f>
        <v/>
      </c>
      <c r="Z1813" s="7">
        <f>IF($E1813="","",AB1813-Y1813)</f>
        <v/>
      </c>
      <c r="AA1813" s="7">
        <f>IF($E1813="","",Z1813-Q1813)</f>
        <v/>
      </c>
      <c r="AB1813" s="7" t="n"/>
      <c r="AE1813">
        <f>IF($E1813="","",IF($AQ1813=1,0,IF($AP1813=1,Settings!$C$6,Settings!$C$7))*100)</f>
        <v/>
      </c>
      <c r="AI1813" s="7" t="n"/>
      <c r="AL1813" s="11" t="n"/>
      <c r="AN1813">
        <f>IF($E1813="","",IF(COUNTIF($E$2:$E1813,$E1813)=1,1,0))</f>
        <v/>
      </c>
      <c r="AO1813">
        <f>IF($AN1813=1,SUMPRODUCT(--($AR$2:$AR$3001&lt;$AR1813))+1,"")</f>
        <v/>
      </c>
      <c r="AP1813">
        <f>IF($E1813="","",IF(OR($U1813=TRUE(),$U1813="TRUE"),1,0))</f>
        <v/>
      </c>
      <c r="AQ1813">
        <f>IF($E1813="","",IF($AD1813="Yes",1,0))</f>
        <v/>
      </c>
      <c r="AR1813">
        <f>IF($AN1813=1,IFERROR(VALUE(MID($E1813,2,20)),1000000000)+ROW()/100000,"")</f>
        <v/>
      </c>
    </row>
    <row r="1814">
      <c r="G1814" s="11" t="n"/>
      <c r="Q1814" s="7">
        <f>IF($E1814="","",P1814*AB1814/100)</f>
        <v/>
      </c>
      <c r="R1814" s="7" t="n"/>
      <c r="X1814" s="7" t="n"/>
      <c r="Y1814" s="7">
        <f>IF($E1814="","",AB1814*AE1814/100)</f>
        <v/>
      </c>
      <c r="Z1814" s="7">
        <f>IF($E1814="","",AB1814-Y1814)</f>
        <v/>
      </c>
      <c r="AA1814" s="7">
        <f>IF($E1814="","",Z1814-Q1814)</f>
        <v/>
      </c>
      <c r="AB1814" s="7" t="n"/>
      <c r="AE1814">
        <f>IF($E1814="","",IF($AQ1814=1,0,IF($AP1814=1,Settings!$C$6,Settings!$C$7))*100)</f>
        <v/>
      </c>
      <c r="AI1814" s="7" t="n"/>
      <c r="AL1814" s="11" t="n"/>
      <c r="AN1814">
        <f>IF($E1814="","",IF(COUNTIF($E$2:$E1814,$E1814)=1,1,0))</f>
        <v/>
      </c>
      <c r="AO1814">
        <f>IF($AN1814=1,SUMPRODUCT(--($AR$2:$AR$3001&lt;$AR1814))+1,"")</f>
        <v/>
      </c>
      <c r="AP1814">
        <f>IF($E1814="","",IF(OR($U1814=TRUE(),$U1814="TRUE"),1,0))</f>
        <v/>
      </c>
      <c r="AQ1814">
        <f>IF($E1814="","",IF($AD1814="Yes",1,0))</f>
        <v/>
      </c>
      <c r="AR1814">
        <f>IF($AN1814=1,IFERROR(VALUE(MID($E1814,2,20)),1000000000)+ROW()/100000,"")</f>
        <v/>
      </c>
    </row>
    <row r="1815">
      <c r="G1815" s="11" t="n"/>
      <c r="Q1815" s="7">
        <f>IF($E1815="","",P1815*AB1815/100)</f>
        <v/>
      </c>
      <c r="R1815" s="7" t="n"/>
      <c r="X1815" s="7" t="n"/>
      <c r="Y1815" s="7">
        <f>IF($E1815="","",AB1815*AE1815/100)</f>
        <v/>
      </c>
      <c r="Z1815" s="7">
        <f>IF($E1815="","",AB1815-Y1815)</f>
        <v/>
      </c>
      <c r="AA1815" s="7">
        <f>IF($E1815="","",Z1815-Q1815)</f>
        <v/>
      </c>
      <c r="AB1815" s="7" t="n"/>
      <c r="AE1815">
        <f>IF($E1815="","",IF($AQ1815=1,0,IF($AP1815=1,Settings!$C$6,Settings!$C$7))*100)</f>
        <v/>
      </c>
      <c r="AI1815" s="7" t="n"/>
      <c r="AL1815" s="11" t="n"/>
      <c r="AN1815">
        <f>IF($E1815="","",IF(COUNTIF($E$2:$E1815,$E1815)=1,1,0))</f>
        <v/>
      </c>
      <c r="AO1815">
        <f>IF($AN1815=1,SUMPRODUCT(--($AR$2:$AR$3001&lt;$AR1815))+1,"")</f>
        <v/>
      </c>
      <c r="AP1815">
        <f>IF($E1815="","",IF(OR($U1815=TRUE(),$U1815="TRUE"),1,0))</f>
        <v/>
      </c>
      <c r="AQ1815">
        <f>IF($E1815="","",IF($AD1815="Yes",1,0))</f>
        <v/>
      </c>
      <c r="AR1815">
        <f>IF($AN1815=1,IFERROR(VALUE(MID($E1815,2,20)),1000000000)+ROW()/100000,"")</f>
        <v/>
      </c>
    </row>
    <row r="1816">
      <c r="G1816" s="11" t="n"/>
      <c r="Q1816" s="7">
        <f>IF($E1816="","",P1816*AB1816/100)</f>
        <v/>
      </c>
      <c r="R1816" s="7" t="n"/>
      <c r="X1816" s="7" t="n"/>
      <c r="Y1816" s="7">
        <f>IF($E1816="","",AB1816*AE1816/100)</f>
        <v/>
      </c>
      <c r="Z1816" s="7">
        <f>IF($E1816="","",AB1816-Y1816)</f>
        <v/>
      </c>
      <c r="AA1816" s="7">
        <f>IF($E1816="","",Z1816-Q1816)</f>
        <v/>
      </c>
      <c r="AB1816" s="7" t="n"/>
      <c r="AE1816">
        <f>IF($E1816="","",IF($AQ1816=1,0,IF($AP1816=1,Settings!$C$6,Settings!$C$7))*100)</f>
        <v/>
      </c>
      <c r="AI1816" s="7" t="n"/>
      <c r="AL1816" s="11" t="n"/>
      <c r="AN1816">
        <f>IF($E1816="","",IF(COUNTIF($E$2:$E1816,$E1816)=1,1,0))</f>
        <v/>
      </c>
      <c r="AO1816">
        <f>IF($AN1816=1,SUMPRODUCT(--($AR$2:$AR$3001&lt;$AR1816))+1,"")</f>
        <v/>
      </c>
      <c r="AP1816">
        <f>IF($E1816="","",IF(OR($U1816=TRUE(),$U1816="TRUE"),1,0))</f>
        <v/>
      </c>
      <c r="AQ1816">
        <f>IF($E1816="","",IF($AD1816="Yes",1,0))</f>
        <v/>
      </c>
      <c r="AR1816">
        <f>IF($AN1816=1,IFERROR(VALUE(MID($E1816,2,20)),1000000000)+ROW()/100000,"")</f>
        <v/>
      </c>
    </row>
    <row r="1817">
      <c r="G1817" s="11" t="n"/>
      <c r="Q1817" s="7">
        <f>IF($E1817="","",P1817*AB1817/100)</f>
        <v/>
      </c>
      <c r="R1817" s="7" t="n"/>
      <c r="X1817" s="7" t="n"/>
      <c r="Y1817" s="7">
        <f>IF($E1817="","",AB1817*AE1817/100)</f>
        <v/>
      </c>
      <c r="Z1817" s="7">
        <f>IF($E1817="","",AB1817-Y1817)</f>
        <v/>
      </c>
      <c r="AA1817" s="7">
        <f>IF($E1817="","",Z1817-Q1817)</f>
        <v/>
      </c>
      <c r="AB1817" s="7" t="n"/>
      <c r="AE1817">
        <f>IF($E1817="","",IF($AQ1817=1,0,IF($AP1817=1,Settings!$C$6,Settings!$C$7))*100)</f>
        <v/>
      </c>
      <c r="AI1817" s="7" t="n"/>
      <c r="AL1817" s="11" t="n"/>
      <c r="AN1817">
        <f>IF($E1817="","",IF(COUNTIF($E$2:$E1817,$E1817)=1,1,0))</f>
        <v/>
      </c>
      <c r="AO1817">
        <f>IF($AN1817=1,SUMPRODUCT(--($AR$2:$AR$3001&lt;$AR1817))+1,"")</f>
        <v/>
      </c>
      <c r="AP1817">
        <f>IF($E1817="","",IF(OR($U1817=TRUE(),$U1817="TRUE"),1,0))</f>
        <v/>
      </c>
      <c r="AQ1817">
        <f>IF($E1817="","",IF($AD1817="Yes",1,0))</f>
        <v/>
      </c>
      <c r="AR1817">
        <f>IF($AN1817=1,IFERROR(VALUE(MID($E1817,2,20)),1000000000)+ROW()/100000,"")</f>
        <v/>
      </c>
    </row>
    <row r="1818">
      <c r="G1818" s="11" t="n"/>
      <c r="Q1818" s="7">
        <f>IF($E1818="","",P1818*AB1818/100)</f>
        <v/>
      </c>
      <c r="R1818" s="7" t="n"/>
      <c r="X1818" s="7" t="n"/>
      <c r="Y1818" s="7">
        <f>IF($E1818="","",AB1818*AE1818/100)</f>
        <v/>
      </c>
      <c r="Z1818" s="7">
        <f>IF($E1818="","",AB1818-Y1818)</f>
        <v/>
      </c>
      <c r="AA1818" s="7">
        <f>IF($E1818="","",Z1818-Q1818)</f>
        <v/>
      </c>
      <c r="AB1818" s="7" t="n"/>
      <c r="AE1818">
        <f>IF($E1818="","",IF($AQ1818=1,0,IF($AP1818=1,Settings!$C$6,Settings!$C$7))*100)</f>
        <v/>
      </c>
      <c r="AI1818" s="7" t="n"/>
      <c r="AL1818" s="11" t="n"/>
      <c r="AN1818">
        <f>IF($E1818="","",IF(COUNTIF($E$2:$E1818,$E1818)=1,1,0))</f>
        <v/>
      </c>
      <c r="AO1818">
        <f>IF($AN1818=1,SUMPRODUCT(--($AR$2:$AR$3001&lt;$AR1818))+1,"")</f>
        <v/>
      </c>
      <c r="AP1818">
        <f>IF($E1818="","",IF(OR($U1818=TRUE(),$U1818="TRUE"),1,0))</f>
        <v/>
      </c>
      <c r="AQ1818">
        <f>IF($E1818="","",IF($AD1818="Yes",1,0))</f>
        <v/>
      </c>
      <c r="AR1818">
        <f>IF($AN1818=1,IFERROR(VALUE(MID($E1818,2,20)),1000000000)+ROW()/100000,"")</f>
        <v/>
      </c>
    </row>
    <row r="1819">
      <c r="G1819" s="11" t="n"/>
      <c r="Q1819" s="7">
        <f>IF($E1819="","",P1819*AB1819/100)</f>
        <v/>
      </c>
      <c r="R1819" s="7" t="n"/>
      <c r="X1819" s="7" t="n"/>
      <c r="Y1819" s="7">
        <f>IF($E1819="","",AB1819*AE1819/100)</f>
        <v/>
      </c>
      <c r="Z1819" s="7">
        <f>IF($E1819="","",AB1819-Y1819)</f>
        <v/>
      </c>
      <c r="AA1819" s="7">
        <f>IF($E1819="","",Z1819-Q1819)</f>
        <v/>
      </c>
      <c r="AB1819" s="7" t="n"/>
      <c r="AE1819">
        <f>IF($E1819="","",IF($AQ1819=1,0,IF($AP1819=1,Settings!$C$6,Settings!$C$7))*100)</f>
        <v/>
      </c>
      <c r="AI1819" s="7" t="n"/>
      <c r="AL1819" s="11" t="n"/>
      <c r="AN1819">
        <f>IF($E1819="","",IF(COUNTIF($E$2:$E1819,$E1819)=1,1,0))</f>
        <v/>
      </c>
      <c r="AO1819">
        <f>IF($AN1819=1,SUMPRODUCT(--($AR$2:$AR$3001&lt;$AR1819))+1,"")</f>
        <v/>
      </c>
      <c r="AP1819">
        <f>IF($E1819="","",IF(OR($U1819=TRUE(),$U1819="TRUE"),1,0))</f>
        <v/>
      </c>
      <c r="AQ1819">
        <f>IF($E1819="","",IF($AD1819="Yes",1,0))</f>
        <v/>
      </c>
      <c r="AR1819">
        <f>IF($AN1819=1,IFERROR(VALUE(MID($E1819,2,20)),1000000000)+ROW()/100000,"")</f>
        <v/>
      </c>
    </row>
    <row r="1820">
      <c r="G1820" s="11" t="n"/>
      <c r="Q1820" s="7">
        <f>IF($E1820="","",P1820*AB1820/100)</f>
        <v/>
      </c>
      <c r="R1820" s="7" t="n"/>
      <c r="X1820" s="7" t="n"/>
      <c r="Y1820" s="7">
        <f>IF($E1820="","",AB1820*AE1820/100)</f>
        <v/>
      </c>
      <c r="Z1820" s="7">
        <f>IF($E1820="","",AB1820-Y1820)</f>
        <v/>
      </c>
      <c r="AA1820" s="7">
        <f>IF($E1820="","",Z1820-Q1820)</f>
        <v/>
      </c>
      <c r="AB1820" s="7" t="n"/>
      <c r="AE1820">
        <f>IF($E1820="","",IF($AQ1820=1,0,IF($AP1820=1,Settings!$C$6,Settings!$C$7))*100)</f>
        <v/>
      </c>
      <c r="AI1820" s="7" t="n"/>
      <c r="AL1820" s="11" t="n"/>
      <c r="AN1820">
        <f>IF($E1820="","",IF(COUNTIF($E$2:$E1820,$E1820)=1,1,0))</f>
        <v/>
      </c>
      <c r="AO1820">
        <f>IF($AN1820=1,SUMPRODUCT(--($AR$2:$AR$3001&lt;$AR1820))+1,"")</f>
        <v/>
      </c>
      <c r="AP1820">
        <f>IF($E1820="","",IF(OR($U1820=TRUE(),$U1820="TRUE"),1,0))</f>
        <v/>
      </c>
      <c r="AQ1820">
        <f>IF($E1820="","",IF($AD1820="Yes",1,0))</f>
        <v/>
      </c>
      <c r="AR1820">
        <f>IF($AN1820=1,IFERROR(VALUE(MID($E1820,2,20)),1000000000)+ROW()/100000,"")</f>
        <v/>
      </c>
    </row>
    <row r="1821">
      <c r="G1821" s="11" t="n"/>
      <c r="Q1821" s="7">
        <f>IF($E1821="","",P1821*AB1821/100)</f>
        <v/>
      </c>
      <c r="R1821" s="7" t="n"/>
      <c r="X1821" s="7" t="n"/>
      <c r="Y1821" s="7">
        <f>IF($E1821="","",AB1821*AE1821/100)</f>
        <v/>
      </c>
      <c r="Z1821" s="7">
        <f>IF($E1821="","",AB1821-Y1821)</f>
        <v/>
      </c>
      <c r="AA1821" s="7">
        <f>IF($E1821="","",Z1821-Q1821)</f>
        <v/>
      </c>
      <c r="AB1821" s="7" t="n"/>
      <c r="AE1821">
        <f>IF($E1821="","",IF($AQ1821=1,0,IF($AP1821=1,Settings!$C$6,Settings!$C$7))*100)</f>
        <v/>
      </c>
      <c r="AI1821" s="7" t="n"/>
      <c r="AL1821" s="11" t="n"/>
      <c r="AN1821">
        <f>IF($E1821="","",IF(COUNTIF($E$2:$E1821,$E1821)=1,1,0))</f>
        <v/>
      </c>
      <c r="AO1821">
        <f>IF($AN1821=1,SUMPRODUCT(--($AR$2:$AR$3001&lt;$AR1821))+1,"")</f>
        <v/>
      </c>
      <c r="AP1821">
        <f>IF($E1821="","",IF(OR($U1821=TRUE(),$U1821="TRUE"),1,0))</f>
        <v/>
      </c>
      <c r="AQ1821">
        <f>IF($E1821="","",IF($AD1821="Yes",1,0))</f>
        <v/>
      </c>
      <c r="AR1821">
        <f>IF($AN1821=1,IFERROR(VALUE(MID($E1821,2,20)),1000000000)+ROW()/100000,"")</f>
        <v/>
      </c>
    </row>
    <row r="1822">
      <c r="G1822" s="11" t="n"/>
      <c r="Q1822" s="7">
        <f>IF($E1822="","",P1822*AB1822/100)</f>
        <v/>
      </c>
      <c r="R1822" s="7" t="n"/>
      <c r="X1822" s="7" t="n"/>
      <c r="Y1822" s="7">
        <f>IF($E1822="","",AB1822*AE1822/100)</f>
        <v/>
      </c>
      <c r="Z1822" s="7">
        <f>IF($E1822="","",AB1822-Y1822)</f>
        <v/>
      </c>
      <c r="AA1822" s="7">
        <f>IF($E1822="","",Z1822-Q1822)</f>
        <v/>
      </c>
      <c r="AB1822" s="7" t="n"/>
      <c r="AE1822">
        <f>IF($E1822="","",IF($AQ1822=1,0,IF($AP1822=1,Settings!$C$6,Settings!$C$7))*100)</f>
        <v/>
      </c>
      <c r="AI1822" s="7" t="n"/>
      <c r="AL1822" s="11" t="n"/>
      <c r="AN1822">
        <f>IF($E1822="","",IF(COUNTIF($E$2:$E1822,$E1822)=1,1,0))</f>
        <v/>
      </c>
      <c r="AO1822">
        <f>IF($AN1822=1,SUMPRODUCT(--($AR$2:$AR$3001&lt;$AR1822))+1,"")</f>
        <v/>
      </c>
      <c r="AP1822">
        <f>IF($E1822="","",IF(OR($U1822=TRUE(),$U1822="TRUE"),1,0))</f>
        <v/>
      </c>
      <c r="AQ1822">
        <f>IF($E1822="","",IF($AD1822="Yes",1,0))</f>
        <v/>
      </c>
      <c r="AR1822">
        <f>IF($AN1822=1,IFERROR(VALUE(MID($E1822,2,20)),1000000000)+ROW()/100000,"")</f>
        <v/>
      </c>
    </row>
    <row r="1823">
      <c r="G1823" s="11" t="n"/>
      <c r="Q1823" s="7">
        <f>IF($E1823="","",P1823*AB1823/100)</f>
        <v/>
      </c>
      <c r="R1823" s="7" t="n"/>
      <c r="X1823" s="7" t="n"/>
      <c r="Y1823" s="7">
        <f>IF($E1823="","",AB1823*AE1823/100)</f>
        <v/>
      </c>
      <c r="Z1823" s="7">
        <f>IF($E1823="","",AB1823-Y1823)</f>
        <v/>
      </c>
      <c r="AA1823" s="7">
        <f>IF($E1823="","",Z1823-Q1823)</f>
        <v/>
      </c>
      <c r="AB1823" s="7" t="n"/>
      <c r="AE1823">
        <f>IF($E1823="","",IF($AQ1823=1,0,IF($AP1823=1,Settings!$C$6,Settings!$C$7))*100)</f>
        <v/>
      </c>
      <c r="AI1823" s="7" t="n"/>
      <c r="AL1823" s="11" t="n"/>
      <c r="AN1823">
        <f>IF($E1823="","",IF(COUNTIF($E$2:$E1823,$E1823)=1,1,0))</f>
        <v/>
      </c>
      <c r="AO1823">
        <f>IF($AN1823=1,SUMPRODUCT(--($AR$2:$AR$3001&lt;$AR1823))+1,"")</f>
        <v/>
      </c>
      <c r="AP1823">
        <f>IF($E1823="","",IF(OR($U1823=TRUE(),$U1823="TRUE"),1,0))</f>
        <v/>
      </c>
      <c r="AQ1823">
        <f>IF($E1823="","",IF($AD1823="Yes",1,0))</f>
        <v/>
      </c>
      <c r="AR1823">
        <f>IF($AN1823=1,IFERROR(VALUE(MID($E1823,2,20)),1000000000)+ROW()/100000,"")</f>
        <v/>
      </c>
    </row>
    <row r="1824">
      <c r="G1824" s="11" t="n"/>
      <c r="Q1824" s="7">
        <f>IF($E1824="","",P1824*AB1824/100)</f>
        <v/>
      </c>
      <c r="R1824" s="7" t="n"/>
      <c r="X1824" s="7" t="n"/>
      <c r="Y1824" s="7">
        <f>IF($E1824="","",AB1824*AE1824/100)</f>
        <v/>
      </c>
      <c r="Z1824" s="7">
        <f>IF($E1824="","",AB1824-Y1824)</f>
        <v/>
      </c>
      <c r="AA1824" s="7">
        <f>IF($E1824="","",Z1824-Q1824)</f>
        <v/>
      </c>
      <c r="AB1824" s="7" t="n"/>
      <c r="AE1824">
        <f>IF($E1824="","",IF($AQ1824=1,0,IF($AP1824=1,Settings!$C$6,Settings!$C$7))*100)</f>
        <v/>
      </c>
      <c r="AI1824" s="7" t="n"/>
      <c r="AL1824" s="11" t="n"/>
      <c r="AN1824">
        <f>IF($E1824="","",IF(COUNTIF($E$2:$E1824,$E1824)=1,1,0))</f>
        <v/>
      </c>
      <c r="AO1824">
        <f>IF($AN1824=1,SUMPRODUCT(--($AR$2:$AR$3001&lt;$AR1824))+1,"")</f>
        <v/>
      </c>
      <c r="AP1824">
        <f>IF($E1824="","",IF(OR($U1824=TRUE(),$U1824="TRUE"),1,0))</f>
        <v/>
      </c>
      <c r="AQ1824">
        <f>IF($E1824="","",IF($AD1824="Yes",1,0))</f>
        <v/>
      </c>
      <c r="AR1824">
        <f>IF($AN1824=1,IFERROR(VALUE(MID($E1824,2,20)),1000000000)+ROW()/100000,"")</f>
        <v/>
      </c>
    </row>
    <row r="1825">
      <c r="G1825" s="11" t="n"/>
      <c r="Q1825" s="7">
        <f>IF($E1825="","",P1825*AB1825/100)</f>
        <v/>
      </c>
      <c r="R1825" s="7" t="n"/>
      <c r="X1825" s="7" t="n"/>
      <c r="Y1825" s="7">
        <f>IF($E1825="","",AB1825*AE1825/100)</f>
        <v/>
      </c>
      <c r="Z1825" s="7">
        <f>IF($E1825="","",AB1825-Y1825)</f>
        <v/>
      </c>
      <c r="AA1825" s="7">
        <f>IF($E1825="","",Z1825-Q1825)</f>
        <v/>
      </c>
      <c r="AB1825" s="7" t="n"/>
      <c r="AE1825">
        <f>IF($E1825="","",IF($AQ1825=1,0,IF($AP1825=1,Settings!$C$6,Settings!$C$7))*100)</f>
        <v/>
      </c>
      <c r="AI1825" s="7" t="n"/>
      <c r="AL1825" s="11" t="n"/>
      <c r="AN1825">
        <f>IF($E1825="","",IF(COUNTIF($E$2:$E1825,$E1825)=1,1,0))</f>
        <v/>
      </c>
      <c r="AO1825">
        <f>IF($AN1825=1,SUMPRODUCT(--($AR$2:$AR$3001&lt;$AR1825))+1,"")</f>
        <v/>
      </c>
      <c r="AP1825">
        <f>IF($E1825="","",IF(OR($U1825=TRUE(),$U1825="TRUE"),1,0))</f>
        <v/>
      </c>
      <c r="AQ1825">
        <f>IF($E1825="","",IF($AD1825="Yes",1,0))</f>
        <v/>
      </c>
      <c r="AR1825">
        <f>IF($AN1825=1,IFERROR(VALUE(MID($E1825,2,20)),1000000000)+ROW()/100000,"")</f>
        <v/>
      </c>
    </row>
    <row r="1826">
      <c r="G1826" s="11" t="n"/>
      <c r="Q1826" s="7">
        <f>IF($E1826="","",P1826*AB1826/100)</f>
        <v/>
      </c>
      <c r="R1826" s="7" t="n"/>
      <c r="X1826" s="7" t="n"/>
      <c r="Y1826" s="7">
        <f>IF($E1826="","",AB1826*AE1826/100)</f>
        <v/>
      </c>
      <c r="Z1826" s="7">
        <f>IF($E1826="","",AB1826-Y1826)</f>
        <v/>
      </c>
      <c r="AA1826" s="7">
        <f>IF($E1826="","",Z1826-Q1826)</f>
        <v/>
      </c>
      <c r="AB1826" s="7" t="n"/>
      <c r="AE1826">
        <f>IF($E1826="","",IF($AQ1826=1,0,IF($AP1826=1,Settings!$C$6,Settings!$C$7))*100)</f>
        <v/>
      </c>
      <c r="AI1826" s="7" t="n"/>
      <c r="AL1826" s="11" t="n"/>
      <c r="AN1826">
        <f>IF($E1826="","",IF(COUNTIF($E$2:$E1826,$E1826)=1,1,0))</f>
        <v/>
      </c>
      <c r="AO1826">
        <f>IF($AN1826=1,SUMPRODUCT(--($AR$2:$AR$3001&lt;$AR1826))+1,"")</f>
        <v/>
      </c>
      <c r="AP1826">
        <f>IF($E1826="","",IF(OR($U1826=TRUE(),$U1826="TRUE"),1,0))</f>
        <v/>
      </c>
      <c r="AQ1826">
        <f>IF($E1826="","",IF($AD1826="Yes",1,0))</f>
        <v/>
      </c>
      <c r="AR1826">
        <f>IF($AN1826=1,IFERROR(VALUE(MID($E1826,2,20)),1000000000)+ROW()/100000,"")</f>
        <v/>
      </c>
    </row>
    <row r="1827">
      <c r="G1827" s="11" t="n"/>
      <c r="Q1827" s="7">
        <f>IF($E1827="","",P1827*AB1827/100)</f>
        <v/>
      </c>
      <c r="R1827" s="7" t="n"/>
      <c r="X1827" s="7" t="n"/>
      <c r="Y1827" s="7">
        <f>IF($E1827="","",AB1827*AE1827/100)</f>
        <v/>
      </c>
      <c r="Z1827" s="7">
        <f>IF($E1827="","",AB1827-Y1827)</f>
        <v/>
      </c>
      <c r="AA1827" s="7">
        <f>IF($E1827="","",Z1827-Q1827)</f>
        <v/>
      </c>
      <c r="AB1827" s="7" t="n"/>
      <c r="AE1827">
        <f>IF($E1827="","",IF($AQ1827=1,0,IF($AP1827=1,Settings!$C$6,Settings!$C$7))*100)</f>
        <v/>
      </c>
      <c r="AI1827" s="7" t="n"/>
      <c r="AL1827" s="11" t="n"/>
      <c r="AN1827">
        <f>IF($E1827="","",IF(COUNTIF($E$2:$E1827,$E1827)=1,1,0))</f>
        <v/>
      </c>
      <c r="AO1827">
        <f>IF($AN1827=1,SUMPRODUCT(--($AR$2:$AR$3001&lt;$AR1827))+1,"")</f>
        <v/>
      </c>
      <c r="AP1827">
        <f>IF($E1827="","",IF(OR($U1827=TRUE(),$U1827="TRUE"),1,0))</f>
        <v/>
      </c>
      <c r="AQ1827">
        <f>IF($E1827="","",IF($AD1827="Yes",1,0))</f>
        <v/>
      </c>
      <c r="AR1827">
        <f>IF($AN1827=1,IFERROR(VALUE(MID($E1827,2,20)),1000000000)+ROW()/100000,"")</f>
        <v/>
      </c>
    </row>
    <row r="1828">
      <c r="G1828" s="11" t="n"/>
      <c r="Q1828" s="7">
        <f>IF($E1828="","",P1828*AB1828/100)</f>
        <v/>
      </c>
      <c r="R1828" s="7" t="n"/>
      <c r="X1828" s="7" t="n"/>
      <c r="Y1828" s="7">
        <f>IF($E1828="","",AB1828*AE1828/100)</f>
        <v/>
      </c>
      <c r="Z1828" s="7">
        <f>IF($E1828="","",AB1828-Y1828)</f>
        <v/>
      </c>
      <c r="AA1828" s="7">
        <f>IF($E1828="","",Z1828-Q1828)</f>
        <v/>
      </c>
      <c r="AB1828" s="7" t="n"/>
      <c r="AE1828">
        <f>IF($E1828="","",IF($AQ1828=1,0,IF($AP1828=1,Settings!$C$6,Settings!$C$7))*100)</f>
        <v/>
      </c>
      <c r="AI1828" s="7" t="n"/>
      <c r="AL1828" s="11" t="n"/>
      <c r="AN1828">
        <f>IF($E1828="","",IF(COUNTIF($E$2:$E1828,$E1828)=1,1,0))</f>
        <v/>
      </c>
      <c r="AO1828">
        <f>IF($AN1828=1,SUMPRODUCT(--($AR$2:$AR$3001&lt;$AR1828))+1,"")</f>
        <v/>
      </c>
      <c r="AP1828">
        <f>IF($E1828="","",IF(OR($U1828=TRUE(),$U1828="TRUE"),1,0))</f>
        <v/>
      </c>
      <c r="AQ1828">
        <f>IF($E1828="","",IF($AD1828="Yes",1,0))</f>
        <v/>
      </c>
      <c r="AR1828">
        <f>IF($AN1828=1,IFERROR(VALUE(MID($E1828,2,20)),1000000000)+ROW()/100000,"")</f>
        <v/>
      </c>
    </row>
    <row r="1829">
      <c r="G1829" s="11" t="n"/>
      <c r="Q1829" s="7">
        <f>IF($E1829="","",P1829*AB1829/100)</f>
        <v/>
      </c>
      <c r="R1829" s="7" t="n"/>
      <c r="X1829" s="7" t="n"/>
      <c r="Y1829" s="7">
        <f>IF($E1829="","",AB1829*AE1829/100)</f>
        <v/>
      </c>
      <c r="Z1829" s="7">
        <f>IF($E1829="","",AB1829-Y1829)</f>
        <v/>
      </c>
      <c r="AA1829" s="7">
        <f>IF($E1829="","",Z1829-Q1829)</f>
        <v/>
      </c>
      <c r="AB1829" s="7" t="n"/>
      <c r="AE1829">
        <f>IF($E1829="","",IF($AQ1829=1,0,IF($AP1829=1,Settings!$C$6,Settings!$C$7))*100)</f>
        <v/>
      </c>
      <c r="AI1829" s="7" t="n"/>
      <c r="AL1829" s="11" t="n"/>
      <c r="AN1829">
        <f>IF($E1829="","",IF(COUNTIF($E$2:$E1829,$E1829)=1,1,0))</f>
        <v/>
      </c>
      <c r="AO1829">
        <f>IF($AN1829=1,SUMPRODUCT(--($AR$2:$AR$3001&lt;$AR1829))+1,"")</f>
        <v/>
      </c>
      <c r="AP1829">
        <f>IF($E1829="","",IF(OR($U1829=TRUE(),$U1829="TRUE"),1,0))</f>
        <v/>
      </c>
      <c r="AQ1829">
        <f>IF($E1829="","",IF($AD1829="Yes",1,0))</f>
        <v/>
      </c>
      <c r="AR1829">
        <f>IF($AN1829=1,IFERROR(VALUE(MID($E1829,2,20)),1000000000)+ROW()/100000,"")</f>
        <v/>
      </c>
    </row>
    <row r="1830">
      <c r="G1830" s="11" t="n"/>
      <c r="Q1830" s="7">
        <f>IF($E1830="","",P1830*AB1830/100)</f>
        <v/>
      </c>
      <c r="R1830" s="7" t="n"/>
      <c r="X1830" s="7" t="n"/>
      <c r="Y1830" s="7">
        <f>IF($E1830="","",AB1830*AE1830/100)</f>
        <v/>
      </c>
      <c r="Z1830" s="7">
        <f>IF($E1830="","",AB1830-Y1830)</f>
        <v/>
      </c>
      <c r="AA1830" s="7">
        <f>IF($E1830="","",Z1830-Q1830)</f>
        <v/>
      </c>
      <c r="AB1830" s="7" t="n"/>
      <c r="AE1830">
        <f>IF($E1830="","",IF($AQ1830=1,0,IF($AP1830=1,Settings!$C$6,Settings!$C$7))*100)</f>
        <v/>
      </c>
      <c r="AI1830" s="7" t="n"/>
      <c r="AL1830" s="11" t="n"/>
      <c r="AN1830">
        <f>IF($E1830="","",IF(COUNTIF($E$2:$E1830,$E1830)=1,1,0))</f>
        <v/>
      </c>
      <c r="AO1830">
        <f>IF($AN1830=1,SUMPRODUCT(--($AR$2:$AR$3001&lt;$AR1830))+1,"")</f>
        <v/>
      </c>
      <c r="AP1830">
        <f>IF($E1830="","",IF(OR($U1830=TRUE(),$U1830="TRUE"),1,0))</f>
        <v/>
      </c>
      <c r="AQ1830">
        <f>IF($E1830="","",IF($AD1830="Yes",1,0))</f>
        <v/>
      </c>
      <c r="AR1830">
        <f>IF($AN1830=1,IFERROR(VALUE(MID($E1830,2,20)),1000000000)+ROW()/100000,"")</f>
        <v/>
      </c>
    </row>
    <row r="1831">
      <c r="G1831" s="11" t="n"/>
      <c r="Q1831" s="7">
        <f>IF($E1831="","",P1831*AB1831/100)</f>
        <v/>
      </c>
      <c r="R1831" s="7" t="n"/>
      <c r="X1831" s="7" t="n"/>
      <c r="Y1831" s="7">
        <f>IF($E1831="","",AB1831*AE1831/100)</f>
        <v/>
      </c>
      <c r="Z1831" s="7">
        <f>IF($E1831="","",AB1831-Y1831)</f>
        <v/>
      </c>
      <c r="AA1831" s="7">
        <f>IF($E1831="","",Z1831-Q1831)</f>
        <v/>
      </c>
      <c r="AB1831" s="7" t="n"/>
      <c r="AE1831">
        <f>IF($E1831="","",IF($AQ1831=1,0,IF($AP1831=1,Settings!$C$6,Settings!$C$7))*100)</f>
        <v/>
      </c>
      <c r="AI1831" s="7" t="n"/>
      <c r="AL1831" s="11" t="n"/>
      <c r="AN1831">
        <f>IF($E1831="","",IF(COUNTIF($E$2:$E1831,$E1831)=1,1,0))</f>
        <v/>
      </c>
      <c r="AO1831">
        <f>IF($AN1831=1,SUMPRODUCT(--($AR$2:$AR$3001&lt;$AR1831))+1,"")</f>
        <v/>
      </c>
      <c r="AP1831">
        <f>IF($E1831="","",IF(OR($U1831=TRUE(),$U1831="TRUE"),1,0))</f>
        <v/>
      </c>
      <c r="AQ1831">
        <f>IF($E1831="","",IF($AD1831="Yes",1,0))</f>
        <v/>
      </c>
      <c r="AR1831">
        <f>IF($AN1831=1,IFERROR(VALUE(MID($E1831,2,20)),1000000000)+ROW()/100000,"")</f>
        <v/>
      </c>
    </row>
    <row r="1832">
      <c r="G1832" s="11" t="n"/>
      <c r="Q1832" s="7">
        <f>IF($E1832="","",P1832*AB1832/100)</f>
        <v/>
      </c>
      <c r="R1832" s="7" t="n"/>
      <c r="X1832" s="7" t="n"/>
      <c r="Y1832" s="7">
        <f>IF($E1832="","",AB1832*AE1832/100)</f>
        <v/>
      </c>
      <c r="Z1832" s="7">
        <f>IF($E1832="","",AB1832-Y1832)</f>
        <v/>
      </c>
      <c r="AA1832" s="7">
        <f>IF($E1832="","",Z1832-Q1832)</f>
        <v/>
      </c>
      <c r="AB1832" s="7" t="n"/>
      <c r="AE1832">
        <f>IF($E1832="","",IF($AQ1832=1,0,IF($AP1832=1,Settings!$C$6,Settings!$C$7))*100)</f>
        <v/>
      </c>
      <c r="AI1832" s="7" t="n"/>
      <c r="AL1832" s="11" t="n"/>
      <c r="AN1832">
        <f>IF($E1832="","",IF(COUNTIF($E$2:$E1832,$E1832)=1,1,0))</f>
        <v/>
      </c>
      <c r="AO1832">
        <f>IF($AN1832=1,SUMPRODUCT(--($AR$2:$AR$3001&lt;$AR1832))+1,"")</f>
        <v/>
      </c>
      <c r="AP1832">
        <f>IF($E1832="","",IF(OR($U1832=TRUE(),$U1832="TRUE"),1,0))</f>
        <v/>
      </c>
      <c r="AQ1832">
        <f>IF($E1832="","",IF($AD1832="Yes",1,0))</f>
        <v/>
      </c>
      <c r="AR1832">
        <f>IF($AN1832=1,IFERROR(VALUE(MID($E1832,2,20)),1000000000)+ROW()/100000,"")</f>
        <v/>
      </c>
    </row>
    <row r="1833">
      <c r="G1833" s="11" t="n"/>
      <c r="Q1833" s="7">
        <f>IF($E1833="","",P1833*AB1833/100)</f>
        <v/>
      </c>
      <c r="R1833" s="7" t="n"/>
      <c r="X1833" s="7" t="n"/>
      <c r="Y1833" s="7">
        <f>IF($E1833="","",AB1833*AE1833/100)</f>
        <v/>
      </c>
      <c r="Z1833" s="7">
        <f>IF($E1833="","",AB1833-Y1833)</f>
        <v/>
      </c>
      <c r="AA1833" s="7">
        <f>IF($E1833="","",Z1833-Q1833)</f>
        <v/>
      </c>
      <c r="AB1833" s="7" t="n"/>
      <c r="AE1833">
        <f>IF($E1833="","",IF($AQ1833=1,0,IF($AP1833=1,Settings!$C$6,Settings!$C$7))*100)</f>
        <v/>
      </c>
      <c r="AI1833" s="7" t="n"/>
      <c r="AL1833" s="11" t="n"/>
      <c r="AN1833">
        <f>IF($E1833="","",IF(COUNTIF($E$2:$E1833,$E1833)=1,1,0))</f>
        <v/>
      </c>
      <c r="AO1833">
        <f>IF($AN1833=1,SUMPRODUCT(--($AR$2:$AR$3001&lt;$AR1833))+1,"")</f>
        <v/>
      </c>
      <c r="AP1833">
        <f>IF($E1833="","",IF(OR($U1833=TRUE(),$U1833="TRUE"),1,0))</f>
        <v/>
      </c>
      <c r="AQ1833">
        <f>IF($E1833="","",IF($AD1833="Yes",1,0))</f>
        <v/>
      </c>
      <c r="AR1833">
        <f>IF($AN1833=1,IFERROR(VALUE(MID($E1833,2,20)),1000000000)+ROW()/100000,"")</f>
        <v/>
      </c>
    </row>
    <row r="1834">
      <c r="G1834" s="11" t="n"/>
      <c r="Q1834" s="7">
        <f>IF($E1834="","",P1834*AB1834/100)</f>
        <v/>
      </c>
      <c r="R1834" s="7" t="n"/>
      <c r="X1834" s="7" t="n"/>
      <c r="Y1834" s="7">
        <f>IF($E1834="","",AB1834*AE1834/100)</f>
        <v/>
      </c>
      <c r="Z1834" s="7">
        <f>IF($E1834="","",AB1834-Y1834)</f>
        <v/>
      </c>
      <c r="AA1834" s="7">
        <f>IF($E1834="","",Z1834-Q1834)</f>
        <v/>
      </c>
      <c r="AB1834" s="7" t="n"/>
      <c r="AE1834">
        <f>IF($E1834="","",IF($AQ1834=1,0,IF($AP1834=1,Settings!$C$6,Settings!$C$7))*100)</f>
        <v/>
      </c>
      <c r="AI1834" s="7" t="n"/>
      <c r="AL1834" s="11" t="n"/>
      <c r="AN1834">
        <f>IF($E1834="","",IF(COUNTIF($E$2:$E1834,$E1834)=1,1,0))</f>
        <v/>
      </c>
      <c r="AO1834">
        <f>IF($AN1834=1,SUMPRODUCT(--($AR$2:$AR$3001&lt;$AR1834))+1,"")</f>
        <v/>
      </c>
      <c r="AP1834">
        <f>IF($E1834="","",IF(OR($U1834=TRUE(),$U1834="TRUE"),1,0))</f>
        <v/>
      </c>
      <c r="AQ1834">
        <f>IF($E1834="","",IF($AD1834="Yes",1,0))</f>
        <v/>
      </c>
      <c r="AR1834">
        <f>IF($AN1834=1,IFERROR(VALUE(MID($E1834,2,20)),1000000000)+ROW()/100000,"")</f>
        <v/>
      </c>
    </row>
    <row r="1835">
      <c r="G1835" s="11" t="n"/>
      <c r="Q1835" s="7">
        <f>IF($E1835="","",P1835*AB1835/100)</f>
        <v/>
      </c>
      <c r="R1835" s="7" t="n"/>
      <c r="X1835" s="7" t="n"/>
      <c r="Y1835" s="7">
        <f>IF($E1835="","",AB1835*AE1835/100)</f>
        <v/>
      </c>
      <c r="Z1835" s="7">
        <f>IF($E1835="","",AB1835-Y1835)</f>
        <v/>
      </c>
      <c r="AA1835" s="7">
        <f>IF($E1835="","",Z1835-Q1835)</f>
        <v/>
      </c>
      <c r="AB1835" s="7" t="n"/>
      <c r="AE1835">
        <f>IF($E1835="","",IF($AQ1835=1,0,IF($AP1835=1,Settings!$C$6,Settings!$C$7))*100)</f>
        <v/>
      </c>
      <c r="AI1835" s="7" t="n"/>
      <c r="AL1835" s="11" t="n"/>
      <c r="AN1835">
        <f>IF($E1835="","",IF(COUNTIF($E$2:$E1835,$E1835)=1,1,0))</f>
        <v/>
      </c>
      <c r="AO1835">
        <f>IF($AN1835=1,SUMPRODUCT(--($AR$2:$AR$3001&lt;$AR1835))+1,"")</f>
        <v/>
      </c>
      <c r="AP1835">
        <f>IF($E1835="","",IF(OR($U1835=TRUE(),$U1835="TRUE"),1,0))</f>
        <v/>
      </c>
      <c r="AQ1835">
        <f>IF($E1835="","",IF($AD1835="Yes",1,0))</f>
        <v/>
      </c>
      <c r="AR1835">
        <f>IF($AN1835=1,IFERROR(VALUE(MID($E1835,2,20)),1000000000)+ROW()/100000,"")</f>
        <v/>
      </c>
    </row>
    <row r="1836">
      <c r="G1836" s="11" t="n"/>
      <c r="Q1836" s="7">
        <f>IF($E1836="","",P1836*AB1836/100)</f>
        <v/>
      </c>
      <c r="R1836" s="7" t="n"/>
      <c r="X1836" s="7" t="n"/>
      <c r="Y1836" s="7">
        <f>IF($E1836="","",AB1836*AE1836/100)</f>
        <v/>
      </c>
      <c r="Z1836" s="7">
        <f>IF($E1836="","",AB1836-Y1836)</f>
        <v/>
      </c>
      <c r="AA1836" s="7">
        <f>IF($E1836="","",Z1836-Q1836)</f>
        <v/>
      </c>
      <c r="AB1836" s="7" t="n"/>
      <c r="AE1836">
        <f>IF($E1836="","",IF($AQ1836=1,0,IF($AP1836=1,Settings!$C$6,Settings!$C$7))*100)</f>
        <v/>
      </c>
      <c r="AI1836" s="7" t="n"/>
      <c r="AL1836" s="11" t="n"/>
      <c r="AN1836">
        <f>IF($E1836="","",IF(COUNTIF($E$2:$E1836,$E1836)=1,1,0))</f>
        <v/>
      </c>
      <c r="AO1836">
        <f>IF($AN1836=1,SUMPRODUCT(--($AR$2:$AR$3001&lt;$AR1836))+1,"")</f>
        <v/>
      </c>
      <c r="AP1836">
        <f>IF($E1836="","",IF(OR($U1836=TRUE(),$U1836="TRUE"),1,0))</f>
        <v/>
      </c>
      <c r="AQ1836">
        <f>IF($E1836="","",IF($AD1836="Yes",1,0))</f>
        <v/>
      </c>
      <c r="AR1836">
        <f>IF($AN1836=1,IFERROR(VALUE(MID($E1836,2,20)),1000000000)+ROW()/100000,"")</f>
        <v/>
      </c>
    </row>
    <row r="1837">
      <c r="G1837" s="11" t="n"/>
      <c r="Q1837" s="7">
        <f>IF($E1837="","",P1837*AB1837/100)</f>
        <v/>
      </c>
      <c r="R1837" s="7" t="n"/>
      <c r="X1837" s="7" t="n"/>
      <c r="Y1837" s="7">
        <f>IF($E1837="","",AB1837*AE1837/100)</f>
        <v/>
      </c>
      <c r="Z1837" s="7">
        <f>IF($E1837="","",AB1837-Y1837)</f>
        <v/>
      </c>
      <c r="AA1837" s="7">
        <f>IF($E1837="","",Z1837-Q1837)</f>
        <v/>
      </c>
      <c r="AB1837" s="7" t="n"/>
      <c r="AE1837">
        <f>IF($E1837="","",IF($AQ1837=1,0,IF($AP1837=1,Settings!$C$6,Settings!$C$7))*100)</f>
        <v/>
      </c>
      <c r="AI1837" s="7" t="n"/>
      <c r="AL1837" s="11" t="n"/>
      <c r="AN1837">
        <f>IF($E1837="","",IF(COUNTIF($E$2:$E1837,$E1837)=1,1,0))</f>
        <v/>
      </c>
      <c r="AO1837">
        <f>IF($AN1837=1,SUMPRODUCT(--($AR$2:$AR$3001&lt;$AR1837))+1,"")</f>
        <v/>
      </c>
      <c r="AP1837">
        <f>IF($E1837="","",IF(OR($U1837=TRUE(),$U1837="TRUE"),1,0))</f>
        <v/>
      </c>
      <c r="AQ1837">
        <f>IF($E1837="","",IF($AD1837="Yes",1,0))</f>
        <v/>
      </c>
      <c r="AR1837">
        <f>IF($AN1837=1,IFERROR(VALUE(MID($E1837,2,20)),1000000000)+ROW()/100000,"")</f>
        <v/>
      </c>
    </row>
    <row r="1838">
      <c r="G1838" s="11" t="n"/>
      <c r="Q1838" s="7">
        <f>IF($E1838="","",P1838*AB1838/100)</f>
        <v/>
      </c>
      <c r="R1838" s="7" t="n"/>
      <c r="X1838" s="7" t="n"/>
      <c r="Y1838" s="7">
        <f>IF($E1838="","",AB1838*AE1838/100)</f>
        <v/>
      </c>
      <c r="Z1838" s="7">
        <f>IF($E1838="","",AB1838-Y1838)</f>
        <v/>
      </c>
      <c r="AA1838" s="7">
        <f>IF($E1838="","",Z1838-Q1838)</f>
        <v/>
      </c>
      <c r="AB1838" s="7" t="n"/>
      <c r="AE1838">
        <f>IF($E1838="","",IF($AQ1838=1,0,IF($AP1838=1,Settings!$C$6,Settings!$C$7))*100)</f>
        <v/>
      </c>
      <c r="AI1838" s="7" t="n"/>
      <c r="AL1838" s="11" t="n"/>
      <c r="AN1838">
        <f>IF($E1838="","",IF(COUNTIF($E$2:$E1838,$E1838)=1,1,0))</f>
        <v/>
      </c>
      <c r="AO1838">
        <f>IF($AN1838=1,SUMPRODUCT(--($AR$2:$AR$3001&lt;$AR1838))+1,"")</f>
        <v/>
      </c>
      <c r="AP1838">
        <f>IF($E1838="","",IF(OR($U1838=TRUE(),$U1838="TRUE"),1,0))</f>
        <v/>
      </c>
      <c r="AQ1838">
        <f>IF($E1838="","",IF($AD1838="Yes",1,0))</f>
        <v/>
      </c>
      <c r="AR1838">
        <f>IF($AN1838=1,IFERROR(VALUE(MID($E1838,2,20)),1000000000)+ROW()/100000,"")</f>
        <v/>
      </c>
    </row>
    <row r="1839">
      <c r="G1839" s="11" t="n"/>
      <c r="Q1839" s="7">
        <f>IF($E1839="","",P1839*AB1839/100)</f>
        <v/>
      </c>
      <c r="R1839" s="7" t="n"/>
      <c r="X1839" s="7" t="n"/>
      <c r="Y1839" s="7">
        <f>IF($E1839="","",AB1839*AE1839/100)</f>
        <v/>
      </c>
      <c r="Z1839" s="7">
        <f>IF($E1839="","",AB1839-Y1839)</f>
        <v/>
      </c>
      <c r="AA1839" s="7">
        <f>IF($E1839="","",Z1839-Q1839)</f>
        <v/>
      </c>
      <c r="AB1839" s="7" t="n"/>
      <c r="AE1839">
        <f>IF($E1839="","",IF($AQ1839=1,0,IF($AP1839=1,Settings!$C$6,Settings!$C$7))*100)</f>
        <v/>
      </c>
      <c r="AI1839" s="7" t="n"/>
      <c r="AL1839" s="11" t="n"/>
      <c r="AN1839">
        <f>IF($E1839="","",IF(COUNTIF($E$2:$E1839,$E1839)=1,1,0))</f>
        <v/>
      </c>
      <c r="AO1839">
        <f>IF($AN1839=1,SUMPRODUCT(--($AR$2:$AR$3001&lt;$AR1839))+1,"")</f>
        <v/>
      </c>
      <c r="AP1839">
        <f>IF($E1839="","",IF(OR($U1839=TRUE(),$U1839="TRUE"),1,0))</f>
        <v/>
      </c>
      <c r="AQ1839">
        <f>IF($E1839="","",IF($AD1839="Yes",1,0))</f>
        <v/>
      </c>
      <c r="AR1839">
        <f>IF($AN1839=1,IFERROR(VALUE(MID($E1839,2,20)),1000000000)+ROW()/100000,"")</f>
        <v/>
      </c>
    </row>
    <row r="1840">
      <c r="G1840" s="11" t="n"/>
      <c r="Q1840" s="7">
        <f>IF($E1840="","",P1840*AB1840/100)</f>
        <v/>
      </c>
      <c r="R1840" s="7" t="n"/>
      <c r="X1840" s="7" t="n"/>
      <c r="Y1840" s="7">
        <f>IF($E1840="","",AB1840*AE1840/100)</f>
        <v/>
      </c>
      <c r="Z1840" s="7">
        <f>IF($E1840="","",AB1840-Y1840)</f>
        <v/>
      </c>
      <c r="AA1840" s="7">
        <f>IF($E1840="","",Z1840-Q1840)</f>
        <v/>
      </c>
      <c r="AB1840" s="7" t="n"/>
      <c r="AE1840">
        <f>IF($E1840="","",IF($AQ1840=1,0,IF($AP1840=1,Settings!$C$6,Settings!$C$7))*100)</f>
        <v/>
      </c>
      <c r="AI1840" s="7" t="n"/>
      <c r="AL1840" s="11" t="n"/>
      <c r="AN1840">
        <f>IF($E1840="","",IF(COUNTIF($E$2:$E1840,$E1840)=1,1,0))</f>
        <v/>
      </c>
      <c r="AO1840">
        <f>IF($AN1840=1,SUMPRODUCT(--($AR$2:$AR$3001&lt;$AR1840))+1,"")</f>
        <v/>
      </c>
      <c r="AP1840">
        <f>IF($E1840="","",IF(OR($U1840=TRUE(),$U1840="TRUE"),1,0))</f>
        <v/>
      </c>
      <c r="AQ1840">
        <f>IF($E1840="","",IF($AD1840="Yes",1,0))</f>
        <v/>
      </c>
      <c r="AR1840">
        <f>IF($AN1840=1,IFERROR(VALUE(MID($E1840,2,20)),1000000000)+ROW()/100000,"")</f>
        <v/>
      </c>
    </row>
    <row r="1841">
      <c r="G1841" s="11" t="n"/>
      <c r="Q1841" s="7">
        <f>IF($E1841="","",P1841*AB1841/100)</f>
        <v/>
      </c>
      <c r="R1841" s="7" t="n"/>
      <c r="X1841" s="7" t="n"/>
      <c r="Y1841" s="7">
        <f>IF($E1841="","",AB1841*AE1841/100)</f>
        <v/>
      </c>
      <c r="Z1841" s="7">
        <f>IF($E1841="","",AB1841-Y1841)</f>
        <v/>
      </c>
      <c r="AA1841" s="7">
        <f>IF($E1841="","",Z1841-Q1841)</f>
        <v/>
      </c>
      <c r="AB1841" s="7" t="n"/>
      <c r="AE1841">
        <f>IF($E1841="","",IF($AQ1841=1,0,IF($AP1841=1,Settings!$C$6,Settings!$C$7))*100)</f>
        <v/>
      </c>
      <c r="AI1841" s="7" t="n"/>
      <c r="AL1841" s="11" t="n"/>
      <c r="AN1841">
        <f>IF($E1841="","",IF(COUNTIF($E$2:$E1841,$E1841)=1,1,0))</f>
        <v/>
      </c>
      <c r="AO1841">
        <f>IF($AN1841=1,SUMPRODUCT(--($AR$2:$AR$3001&lt;$AR1841))+1,"")</f>
        <v/>
      </c>
      <c r="AP1841">
        <f>IF($E1841="","",IF(OR($U1841=TRUE(),$U1841="TRUE"),1,0))</f>
        <v/>
      </c>
      <c r="AQ1841">
        <f>IF($E1841="","",IF($AD1841="Yes",1,0))</f>
        <v/>
      </c>
      <c r="AR1841">
        <f>IF($AN1841=1,IFERROR(VALUE(MID($E1841,2,20)),1000000000)+ROW()/100000,"")</f>
        <v/>
      </c>
    </row>
    <row r="1842">
      <c r="G1842" s="11" t="n"/>
      <c r="Q1842" s="7">
        <f>IF($E1842="","",P1842*AB1842/100)</f>
        <v/>
      </c>
      <c r="R1842" s="7" t="n"/>
      <c r="X1842" s="7" t="n"/>
      <c r="Y1842" s="7">
        <f>IF($E1842="","",AB1842*AE1842/100)</f>
        <v/>
      </c>
      <c r="Z1842" s="7">
        <f>IF($E1842="","",AB1842-Y1842)</f>
        <v/>
      </c>
      <c r="AA1842" s="7">
        <f>IF($E1842="","",Z1842-Q1842)</f>
        <v/>
      </c>
      <c r="AB1842" s="7" t="n"/>
      <c r="AE1842">
        <f>IF($E1842="","",IF($AQ1842=1,0,IF($AP1842=1,Settings!$C$6,Settings!$C$7))*100)</f>
        <v/>
      </c>
      <c r="AI1842" s="7" t="n"/>
      <c r="AL1842" s="11" t="n"/>
      <c r="AN1842">
        <f>IF($E1842="","",IF(COUNTIF($E$2:$E1842,$E1842)=1,1,0))</f>
        <v/>
      </c>
      <c r="AO1842">
        <f>IF($AN1842=1,SUMPRODUCT(--($AR$2:$AR$3001&lt;$AR1842))+1,"")</f>
        <v/>
      </c>
      <c r="AP1842">
        <f>IF($E1842="","",IF(OR($U1842=TRUE(),$U1842="TRUE"),1,0))</f>
        <v/>
      </c>
      <c r="AQ1842">
        <f>IF($E1842="","",IF($AD1842="Yes",1,0))</f>
        <v/>
      </c>
      <c r="AR1842">
        <f>IF($AN1842=1,IFERROR(VALUE(MID($E1842,2,20)),1000000000)+ROW()/100000,"")</f>
        <v/>
      </c>
    </row>
    <row r="1843">
      <c r="G1843" s="11" t="n"/>
      <c r="Q1843" s="7">
        <f>IF($E1843="","",P1843*AB1843/100)</f>
        <v/>
      </c>
      <c r="R1843" s="7" t="n"/>
      <c r="X1843" s="7" t="n"/>
      <c r="Y1843" s="7">
        <f>IF($E1843="","",AB1843*AE1843/100)</f>
        <v/>
      </c>
      <c r="Z1843" s="7">
        <f>IF($E1843="","",AB1843-Y1843)</f>
        <v/>
      </c>
      <c r="AA1843" s="7">
        <f>IF($E1843="","",Z1843-Q1843)</f>
        <v/>
      </c>
      <c r="AB1843" s="7" t="n"/>
      <c r="AE1843">
        <f>IF($E1843="","",IF($AQ1843=1,0,IF($AP1843=1,Settings!$C$6,Settings!$C$7))*100)</f>
        <v/>
      </c>
      <c r="AI1843" s="7" t="n"/>
      <c r="AL1843" s="11" t="n"/>
      <c r="AN1843">
        <f>IF($E1843="","",IF(COUNTIF($E$2:$E1843,$E1843)=1,1,0))</f>
        <v/>
      </c>
      <c r="AO1843">
        <f>IF($AN1843=1,SUMPRODUCT(--($AR$2:$AR$3001&lt;$AR1843))+1,"")</f>
        <v/>
      </c>
      <c r="AP1843">
        <f>IF($E1843="","",IF(OR($U1843=TRUE(),$U1843="TRUE"),1,0))</f>
        <v/>
      </c>
      <c r="AQ1843">
        <f>IF($E1843="","",IF($AD1843="Yes",1,0))</f>
        <v/>
      </c>
      <c r="AR1843">
        <f>IF($AN1843=1,IFERROR(VALUE(MID($E1843,2,20)),1000000000)+ROW()/100000,"")</f>
        <v/>
      </c>
    </row>
    <row r="1844">
      <c r="G1844" s="11" t="n"/>
      <c r="Q1844" s="7">
        <f>IF($E1844="","",P1844*AB1844/100)</f>
        <v/>
      </c>
      <c r="R1844" s="7" t="n"/>
      <c r="X1844" s="7" t="n"/>
      <c r="Y1844" s="7">
        <f>IF($E1844="","",AB1844*AE1844/100)</f>
        <v/>
      </c>
      <c r="Z1844" s="7">
        <f>IF($E1844="","",AB1844-Y1844)</f>
        <v/>
      </c>
      <c r="AA1844" s="7">
        <f>IF($E1844="","",Z1844-Q1844)</f>
        <v/>
      </c>
      <c r="AB1844" s="7" t="n"/>
      <c r="AE1844">
        <f>IF($E1844="","",IF($AQ1844=1,0,IF($AP1844=1,Settings!$C$6,Settings!$C$7))*100)</f>
        <v/>
      </c>
      <c r="AI1844" s="7" t="n"/>
      <c r="AL1844" s="11" t="n"/>
      <c r="AN1844">
        <f>IF($E1844="","",IF(COUNTIF($E$2:$E1844,$E1844)=1,1,0))</f>
        <v/>
      </c>
      <c r="AO1844">
        <f>IF($AN1844=1,SUMPRODUCT(--($AR$2:$AR$3001&lt;$AR1844))+1,"")</f>
        <v/>
      </c>
      <c r="AP1844">
        <f>IF($E1844="","",IF(OR($U1844=TRUE(),$U1844="TRUE"),1,0))</f>
        <v/>
      </c>
      <c r="AQ1844">
        <f>IF($E1844="","",IF($AD1844="Yes",1,0))</f>
        <v/>
      </c>
      <c r="AR1844">
        <f>IF($AN1844=1,IFERROR(VALUE(MID($E1844,2,20)),1000000000)+ROW()/100000,"")</f>
        <v/>
      </c>
    </row>
    <row r="1845">
      <c r="G1845" s="11" t="n"/>
      <c r="Q1845" s="7">
        <f>IF($E1845="","",P1845*AB1845/100)</f>
        <v/>
      </c>
      <c r="R1845" s="7" t="n"/>
      <c r="X1845" s="7" t="n"/>
      <c r="Y1845" s="7">
        <f>IF($E1845="","",AB1845*AE1845/100)</f>
        <v/>
      </c>
      <c r="Z1845" s="7">
        <f>IF($E1845="","",AB1845-Y1845)</f>
        <v/>
      </c>
      <c r="AA1845" s="7">
        <f>IF($E1845="","",Z1845-Q1845)</f>
        <v/>
      </c>
      <c r="AB1845" s="7" t="n"/>
      <c r="AE1845">
        <f>IF($E1845="","",IF($AQ1845=1,0,IF($AP1845=1,Settings!$C$6,Settings!$C$7))*100)</f>
        <v/>
      </c>
      <c r="AI1845" s="7" t="n"/>
      <c r="AL1845" s="11" t="n"/>
      <c r="AN1845">
        <f>IF($E1845="","",IF(COUNTIF($E$2:$E1845,$E1845)=1,1,0))</f>
        <v/>
      </c>
      <c r="AO1845">
        <f>IF($AN1845=1,SUMPRODUCT(--($AR$2:$AR$3001&lt;$AR1845))+1,"")</f>
        <v/>
      </c>
      <c r="AP1845">
        <f>IF($E1845="","",IF(OR($U1845=TRUE(),$U1845="TRUE"),1,0))</f>
        <v/>
      </c>
      <c r="AQ1845">
        <f>IF($E1845="","",IF($AD1845="Yes",1,0))</f>
        <v/>
      </c>
      <c r="AR1845">
        <f>IF($AN1845=1,IFERROR(VALUE(MID($E1845,2,20)),1000000000)+ROW()/100000,"")</f>
        <v/>
      </c>
    </row>
    <row r="1846">
      <c r="G1846" s="11" t="n"/>
      <c r="Q1846" s="7">
        <f>IF($E1846="","",P1846*AB1846/100)</f>
        <v/>
      </c>
      <c r="R1846" s="7" t="n"/>
      <c r="X1846" s="7" t="n"/>
      <c r="Y1846" s="7">
        <f>IF($E1846="","",AB1846*AE1846/100)</f>
        <v/>
      </c>
      <c r="Z1846" s="7">
        <f>IF($E1846="","",AB1846-Y1846)</f>
        <v/>
      </c>
      <c r="AA1846" s="7">
        <f>IF($E1846="","",Z1846-Q1846)</f>
        <v/>
      </c>
      <c r="AB1846" s="7" t="n"/>
      <c r="AE1846">
        <f>IF($E1846="","",IF($AQ1846=1,0,IF($AP1846=1,Settings!$C$6,Settings!$C$7))*100)</f>
        <v/>
      </c>
      <c r="AI1846" s="7" t="n"/>
      <c r="AL1846" s="11" t="n"/>
      <c r="AN1846">
        <f>IF($E1846="","",IF(COUNTIF($E$2:$E1846,$E1846)=1,1,0))</f>
        <v/>
      </c>
      <c r="AO1846">
        <f>IF($AN1846=1,SUMPRODUCT(--($AR$2:$AR$3001&lt;$AR1846))+1,"")</f>
        <v/>
      </c>
      <c r="AP1846">
        <f>IF($E1846="","",IF(OR($U1846=TRUE(),$U1846="TRUE"),1,0))</f>
        <v/>
      </c>
      <c r="AQ1846">
        <f>IF($E1846="","",IF($AD1846="Yes",1,0))</f>
        <v/>
      </c>
      <c r="AR1846">
        <f>IF($AN1846=1,IFERROR(VALUE(MID($E1846,2,20)),1000000000)+ROW()/100000,"")</f>
        <v/>
      </c>
    </row>
    <row r="1847">
      <c r="G1847" s="11" t="n"/>
      <c r="Q1847" s="7">
        <f>IF($E1847="","",P1847*AB1847/100)</f>
        <v/>
      </c>
      <c r="R1847" s="7" t="n"/>
      <c r="X1847" s="7" t="n"/>
      <c r="Y1847" s="7">
        <f>IF($E1847="","",AB1847*AE1847/100)</f>
        <v/>
      </c>
      <c r="Z1847" s="7">
        <f>IF($E1847="","",AB1847-Y1847)</f>
        <v/>
      </c>
      <c r="AA1847" s="7">
        <f>IF($E1847="","",Z1847-Q1847)</f>
        <v/>
      </c>
      <c r="AB1847" s="7" t="n"/>
      <c r="AE1847">
        <f>IF($E1847="","",IF($AQ1847=1,0,IF($AP1847=1,Settings!$C$6,Settings!$C$7))*100)</f>
        <v/>
      </c>
      <c r="AI1847" s="7" t="n"/>
      <c r="AL1847" s="11" t="n"/>
      <c r="AN1847">
        <f>IF($E1847="","",IF(COUNTIF($E$2:$E1847,$E1847)=1,1,0))</f>
        <v/>
      </c>
      <c r="AO1847">
        <f>IF($AN1847=1,SUMPRODUCT(--($AR$2:$AR$3001&lt;$AR1847))+1,"")</f>
        <v/>
      </c>
      <c r="AP1847">
        <f>IF($E1847="","",IF(OR($U1847=TRUE(),$U1847="TRUE"),1,0))</f>
        <v/>
      </c>
      <c r="AQ1847">
        <f>IF($E1847="","",IF($AD1847="Yes",1,0))</f>
        <v/>
      </c>
      <c r="AR1847">
        <f>IF($AN1847=1,IFERROR(VALUE(MID($E1847,2,20)),1000000000)+ROW()/100000,"")</f>
        <v/>
      </c>
    </row>
    <row r="1848">
      <c r="G1848" s="11" t="n"/>
      <c r="Q1848" s="7">
        <f>IF($E1848="","",P1848*AB1848/100)</f>
        <v/>
      </c>
      <c r="R1848" s="7" t="n"/>
      <c r="X1848" s="7" t="n"/>
      <c r="Y1848" s="7">
        <f>IF($E1848="","",AB1848*AE1848/100)</f>
        <v/>
      </c>
      <c r="Z1848" s="7">
        <f>IF($E1848="","",AB1848-Y1848)</f>
        <v/>
      </c>
      <c r="AA1848" s="7">
        <f>IF($E1848="","",Z1848-Q1848)</f>
        <v/>
      </c>
      <c r="AB1848" s="7" t="n"/>
      <c r="AE1848">
        <f>IF($E1848="","",IF($AQ1848=1,0,IF($AP1848=1,Settings!$C$6,Settings!$C$7))*100)</f>
        <v/>
      </c>
      <c r="AI1848" s="7" t="n"/>
      <c r="AL1848" s="11" t="n"/>
      <c r="AN1848">
        <f>IF($E1848="","",IF(COUNTIF($E$2:$E1848,$E1848)=1,1,0))</f>
        <v/>
      </c>
      <c r="AO1848">
        <f>IF($AN1848=1,SUMPRODUCT(--($AR$2:$AR$3001&lt;$AR1848))+1,"")</f>
        <v/>
      </c>
      <c r="AP1848">
        <f>IF($E1848="","",IF(OR($U1848=TRUE(),$U1848="TRUE"),1,0))</f>
        <v/>
      </c>
      <c r="AQ1848">
        <f>IF($E1848="","",IF($AD1848="Yes",1,0))</f>
        <v/>
      </c>
      <c r="AR1848">
        <f>IF($AN1848=1,IFERROR(VALUE(MID($E1848,2,20)),1000000000)+ROW()/100000,"")</f>
        <v/>
      </c>
    </row>
    <row r="1849">
      <c r="G1849" s="11" t="n"/>
      <c r="Q1849" s="7">
        <f>IF($E1849="","",P1849*AB1849/100)</f>
        <v/>
      </c>
      <c r="R1849" s="7" t="n"/>
      <c r="X1849" s="7" t="n"/>
      <c r="Y1849" s="7">
        <f>IF($E1849="","",AB1849*AE1849/100)</f>
        <v/>
      </c>
      <c r="Z1849" s="7">
        <f>IF($E1849="","",AB1849-Y1849)</f>
        <v/>
      </c>
      <c r="AA1849" s="7">
        <f>IF($E1849="","",Z1849-Q1849)</f>
        <v/>
      </c>
      <c r="AB1849" s="7" t="n"/>
      <c r="AE1849">
        <f>IF($E1849="","",IF($AQ1849=1,0,IF($AP1849=1,Settings!$C$6,Settings!$C$7))*100)</f>
        <v/>
      </c>
      <c r="AI1849" s="7" t="n"/>
      <c r="AL1849" s="11" t="n"/>
      <c r="AN1849">
        <f>IF($E1849="","",IF(COUNTIF($E$2:$E1849,$E1849)=1,1,0))</f>
        <v/>
      </c>
      <c r="AO1849">
        <f>IF($AN1849=1,SUMPRODUCT(--($AR$2:$AR$3001&lt;$AR1849))+1,"")</f>
        <v/>
      </c>
      <c r="AP1849">
        <f>IF($E1849="","",IF(OR($U1849=TRUE(),$U1849="TRUE"),1,0))</f>
        <v/>
      </c>
      <c r="AQ1849">
        <f>IF($E1849="","",IF($AD1849="Yes",1,0))</f>
        <v/>
      </c>
      <c r="AR1849">
        <f>IF($AN1849=1,IFERROR(VALUE(MID($E1849,2,20)),1000000000)+ROW()/100000,"")</f>
        <v/>
      </c>
    </row>
    <row r="1850">
      <c r="G1850" s="11" t="n"/>
      <c r="Q1850" s="7">
        <f>IF($E1850="","",P1850*AB1850/100)</f>
        <v/>
      </c>
      <c r="R1850" s="7" t="n"/>
      <c r="X1850" s="7" t="n"/>
      <c r="Y1850" s="7">
        <f>IF($E1850="","",AB1850*AE1850/100)</f>
        <v/>
      </c>
      <c r="Z1850" s="7">
        <f>IF($E1850="","",AB1850-Y1850)</f>
        <v/>
      </c>
      <c r="AA1850" s="7">
        <f>IF($E1850="","",Z1850-Q1850)</f>
        <v/>
      </c>
      <c r="AB1850" s="7" t="n"/>
      <c r="AE1850">
        <f>IF($E1850="","",IF($AQ1850=1,0,IF($AP1850=1,Settings!$C$6,Settings!$C$7))*100)</f>
        <v/>
      </c>
      <c r="AI1850" s="7" t="n"/>
      <c r="AL1850" s="11" t="n"/>
      <c r="AN1850">
        <f>IF($E1850="","",IF(COUNTIF($E$2:$E1850,$E1850)=1,1,0))</f>
        <v/>
      </c>
      <c r="AO1850">
        <f>IF($AN1850=1,SUMPRODUCT(--($AR$2:$AR$3001&lt;$AR1850))+1,"")</f>
        <v/>
      </c>
      <c r="AP1850">
        <f>IF($E1850="","",IF(OR($U1850=TRUE(),$U1850="TRUE"),1,0))</f>
        <v/>
      </c>
      <c r="AQ1850">
        <f>IF($E1850="","",IF($AD1850="Yes",1,0))</f>
        <v/>
      </c>
      <c r="AR1850">
        <f>IF($AN1850=1,IFERROR(VALUE(MID($E1850,2,20)),1000000000)+ROW()/100000,"")</f>
        <v/>
      </c>
    </row>
    <row r="1851">
      <c r="G1851" s="11" t="n"/>
      <c r="Q1851" s="7">
        <f>IF($E1851="","",P1851*AB1851/100)</f>
        <v/>
      </c>
      <c r="R1851" s="7" t="n"/>
      <c r="X1851" s="7" t="n"/>
      <c r="Y1851" s="7">
        <f>IF($E1851="","",AB1851*AE1851/100)</f>
        <v/>
      </c>
      <c r="Z1851" s="7">
        <f>IF($E1851="","",AB1851-Y1851)</f>
        <v/>
      </c>
      <c r="AA1851" s="7">
        <f>IF($E1851="","",Z1851-Q1851)</f>
        <v/>
      </c>
      <c r="AB1851" s="7" t="n"/>
      <c r="AE1851">
        <f>IF($E1851="","",IF($AQ1851=1,0,IF($AP1851=1,Settings!$C$6,Settings!$C$7))*100)</f>
        <v/>
      </c>
      <c r="AI1851" s="7" t="n"/>
      <c r="AL1851" s="11" t="n"/>
      <c r="AN1851">
        <f>IF($E1851="","",IF(COUNTIF($E$2:$E1851,$E1851)=1,1,0))</f>
        <v/>
      </c>
      <c r="AO1851">
        <f>IF($AN1851=1,SUMPRODUCT(--($AR$2:$AR$3001&lt;$AR1851))+1,"")</f>
        <v/>
      </c>
      <c r="AP1851">
        <f>IF($E1851="","",IF(OR($U1851=TRUE(),$U1851="TRUE"),1,0))</f>
        <v/>
      </c>
      <c r="AQ1851">
        <f>IF($E1851="","",IF($AD1851="Yes",1,0))</f>
        <v/>
      </c>
      <c r="AR1851">
        <f>IF($AN1851=1,IFERROR(VALUE(MID($E1851,2,20)),1000000000)+ROW()/100000,"")</f>
        <v/>
      </c>
    </row>
    <row r="1852">
      <c r="G1852" s="11" t="n"/>
      <c r="Q1852" s="7">
        <f>IF($E1852="","",P1852*AB1852/100)</f>
        <v/>
      </c>
      <c r="R1852" s="7" t="n"/>
      <c r="X1852" s="7" t="n"/>
      <c r="Y1852" s="7">
        <f>IF($E1852="","",AB1852*AE1852/100)</f>
        <v/>
      </c>
      <c r="Z1852" s="7">
        <f>IF($E1852="","",AB1852-Y1852)</f>
        <v/>
      </c>
      <c r="AA1852" s="7">
        <f>IF($E1852="","",Z1852-Q1852)</f>
        <v/>
      </c>
      <c r="AB1852" s="7" t="n"/>
      <c r="AE1852">
        <f>IF($E1852="","",IF($AQ1852=1,0,IF($AP1852=1,Settings!$C$6,Settings!$C$7))*100)</f>
        <v/>
      </c>
      <c r="AI1852" s="7" t="n"/>
      <c r="AL1852" s="11" t="n"/>
      <c r="AN1852">
        <f>IF($E1852="","",IF(COUNTIF($E$2:$E1852,$E1852)=1,1,0))</f>
        <v/>
      </c>
      <c r="AO1852">
        <f>IF($AN1852=1,SUMPRODUCT(--($AR$2:$AR$3001&lt;$AR1852))+1,"")</f>
        <v/>
      </c>
      <c r="AP1852">
        <f>IF($E1852="","",IF(OR($U1852=TRUE(),$U1852="TRUE"),1,0))</f>
        <v/>
      </c>
      <c r="AQ1852">
        <f>IF($E1852="","",IF($AD1852="Yes",1,0))</f>
        <v/>
      </c>
      <c r="AR1852">
        <f>IF($AN1852=1,IFERROR(VALUE(MID($E1852,2,20)),1000000000)+ROW()/100000,"")</f>
        <v/>
      </c>
    </row>
    <row r="1853">
      <c r="G1853" s="11" t="n"/>
      <c r="Q1853" s="7">
        <f>IF($E1853="","",P1853*AB1853/100)</f>
        <v/>
      </c>
      <c r="R1853" s="7" t="n"/>
      <c r="X1853" s="7" t="n"/>
      <c r="Y1853" s="7">
        <f>IF($E1853="","",AB1853*AE1853/100)</f>
        <v/>
      </c>
      <c r="Z1853" s="7">
        <f>IF($E1853="","",AB1853-Y1853)</f>
        <v/>
      </c>
      <c r="AA1853" s="7">
        <f>IF($E1853="","",Z1853-Q1853)</f>
        <v/>
      </c>
      <c r="AB1853" s="7" t="n"/>
      <c r="AE1853">
        <f>IF($E1853="","",IF($AQ1853=1,0,IF($AP1853=1,Settings!$C$6,Settings!$C$7))*100)</f>
        <v/>
      </c>
      <c r="AI1853" s="7" t="n"/>
      <c r="AL1853" s="11" t="n"/>
      <c r="AN1853">
        <f>IF($E1853="","",IF(COUNTIF($E$2:$E1853,$E1853)=1,1,0))</f>
        <v/>
      </c>
      <c r="AO1853">
        <f>IF($AN1853=1,SUMPRODUCT(--($AR$2:$AR$3001&lt;$AR1853))+1,"")</f>
        <v/>
      </c>
      <c r="AP1853">
        <f>IF($E1853="","",IF(OR($U1853=TRUE(),$U1853="TRUE"),1,0))</f>
        <v/>
      </c>
      <c r="AQ1853">
        <f>IF($E1853="","",IF($AD1853="Yes",1,0))</f>
        <v/>
      </c>
      <c r="AR1853">
        <f>IF($AN1853=1,IFERROR(VALUE(MID($E1853,2,20)),1000000000)+ROW()/100000,"")</f>
        <v/>
      </c>
    </row>
    <row r="1854">
      <c r="G1854" s="11" t="n"/>
      <c r="Q1854" s="7">
        <f>IF($E1854="","",P1854*AB1854/100)</f>
        <v/>
      </c>
      <c r="R1854" s="7" t="n"/>
      <c r="X1854" s="7" t="n"/>
      <c r="Y1854" s="7">
        <f>IF($E1854="","",AB1854*AE1854/100)</f>
        <v/>
      </c>
      <c r="Z1854" s="7">
        <f>IF($E1854="","",AB1854-Y1854)</f>
        <v/>
      </c>
      <c r="AA1854" s="7">
        <f>IF($E1854="","",Z1854-Q1854)</f>
        <v/>
      </c>
      <c r="AB1854" s="7" t="n"/>
      <c r="AE1854">
        <f>IF($E1854="","",IF($AQ1854=1,0,IF($AP1854=1,Settings!$C$6,Settings!$C$7))*100)</f>
        <v/>
      </c>
      <c r="AI1854" s="7" t="n"/>
      <c r="AL1854" s="11" t="n"/>
      <c r="AN1854">
        <f>IF($E1854="","",IF(COUNTIF($E$2:$E1854,$E1854)=1,1,0))</f>
        <v/>
      </c>
      <c r="AO1854">
        <f>IF($AN1854=1,SUMPRODUCT(--($AR$2:$AR$3001&lt;$AR1854))+1,"")</f>
        <v/>
      </c>
      <c r="AP1854">
        <f>IF($E1854="","",IF(OR($U1854=TRUE(),$U1854="TRUE"),1,0))</f>
        <v/>
      </c>
      <c r="AQ1854">
        <f>IF($E1854="","",IF($AD1854="Yes",1,0))</f>
        <v/>
      </c>
      <c r="AR1854">
        <f>IF($AN1854=1,IFERROR(VALUE(MID($E1854,2,20)),1000000000)+ROW()/100000,"")</f>
        <v/>
      </c>
    </row>
    <row r="1855">
      <c r="G1855" s="11" t="n"/>
      <c r="Q1855" s="7">
        <f>IF($E1855="","",P1855*AB1855/100)</f>
        <v/>
      </c>
      <c r="R1855" s="7" t="n"/>
      <c r="X1855" s="7" t="n"/>
      <c r="Y1855" s="7">
        <f>IF($E1855="","",AB1855*AE1855/100)</f>
        <v/>
      </c>
      <c r="Z1855" s="7">
        <f>IF($E1855="","",AB1855-Y1855)</f>
        <v/>
      </c>
      <c r="AA1855" s="7">
        <f>IF($E1855="","",Z1855-Q1855)</f>
        <v/>
      </c>
      <c r="AB1855" s="7" t="n"/>
      <c r="AE1855">
        <f>IF($E1855="","",IF($AQ1855=1,0,IF($AP1855=1,Settings!$C$6,Settings!$C$7))*100)</f>
        <v/>
      </c>
      <c r="AI1855" s="7" t="n"/>
      <c r="AL1855" s="11" t="n"/>
      <c r="AN1855">
        <f>IF($E1855="","",IF(COUNTIF($E$2:$E1855,$E1855)=1,1,0))</f>
        <v/>
      </c>
      <c r="AO1855">
        <f>IF($AN1855=1,SUMPRODUCT(--($AR$2:$AR$3001&lt;$AR1855))+1,"")</f>
        <v/>
      </c>
      <c r="AP1855">
        <f>IF($E1855="","",IF(OR($U1855=TRUE(),$U1855="TRUE"),1,0))</f>
        <v/>
      </c>
      <c r="AQ1855">
        <f>IF($E1855="","",IF($AD1855="Yes",1,0))</f>
        <v/>
      </c>
      <c r="AR1855">
        <f>IF($AN1855=1,IFERROR(VALUE(MID($E1855,2,20)),1000000000)+ROW()/100000,"")</f>
        <v/>
      </c>
    </row>
    <row r="1856">
      <c r="G1856" s="11" t="n"/>
      <c r="Q1856" s="7">
        <f>IF($E1856="","",P1856*AB1856/100)</f>
        <v/>
      </c>
      <c r="R1856" s="7" t="n"/>
      <c r="X1856" s="7" t="n"/>
      <c r="Y1856" s="7">
        <f>IF($E1856="","",AB1856*AE1856/100)</f>
        <v/>
      </c>
      <c r="Z1856" s="7">
        <f>IF($E1856="","",AB1856-Y1856)</f>
        <v/>
      </c>
      <c r="AA1856" s="7">
        <f>IF($E1856="","",Z1856-Q1856)</f>
        <v/>
      </c>
      <c r="AB1856" s="7" t="n"/>
      <c r="AE1856">
        <f>IF($E1856="","",IF($AQ1856=1,0,IF($AP1856=1,Settings!$C$6,Settings!$C$7))*100)</f>
        <v/>
      </c>
      <c r="AI1856" s="7" t="n"/>
      <c r="AL1856" s="11" t="n"/>
      <c r="AN1856">
        <f>IF($E1856="","",IF(COUNTIF($E$2:$E1856,$E1856)=1,1,0))</f>
        <v/>
      </c>
      <c r="AO1856">
        <f>IF($AN1856=1,SUMPRODUCT(--($AR$2:$AR$3001&lt;$AR1856))+1,"")</f>
        <v/>
      </c>
      <c r="AP1856">
        <f>IF($E1856="","",IF(OR($U1856=TRUE(),$U1856="TRUE"),1,0))</f>
        <v/>
      </c>
      <c r="AQ1856">
        <f>IF($E1856="","",IF($AD1856="Yes",1,0))</f>
        <v/>
      </c>
      <c r="AR1856">
        <f>IF($AN1856=1,IFERROR(VALUE(MID($E1856,2,20)),1000000000)+ROW()/100000,"")</f>
        <v/>
      </c>
    </row>
    <row r="1857">
      <c r="G1857" s="11" t="n"/>
      <c r="Q1857" s="7">
        <f>IF($E1857="","",P1857*AB1857/100)</f>
        <v/>
      </c>
      <c r="R1857" s="7" t="n"/>
      <c r="X1857" s="7" t="n"/>
      <c r="Y1857" s="7">
        <f>IF($E1857="","",AB1857*AE1857/100)</f>
        <v/>
      </c>
      <c r="Z1857" s="7">
        <f>IF($E1857="","",AB1857-Y1857)</f>
        <v/>
      </c>
      <c r="AA1857" s="7">
        <f>IF($E1857="","",Z1857-Q1857)</f>
        <v/>
      </c>
      <c r="AB1857" s="7" t="n"/>
      <c r="AE1857">
        <f>IF($E1857="","",IF($AQ1857=1,0,IF($AP1857=1,Settings!$C$6,Settings!$C$7))*100)</f>
        <v/>
      </c>
      <c r="AI1857" s="7" t="n"/>
      <c r="AL1857" s="11" t="n"/>
      <c r="AN1857">
        <f>IF($E1857="","",IF(COUNTIF($E$2:$E1857,$E1857)=1,1,0))</f>
        <v/>
      </c>
      <c r="AO1857">
        <f>IF($AN1857=1,SUMPRODUCT(--($AR$2:$AR$3001&lt;$AR1857))+1,"")</f>
        <v/>
      </c>
      <c r="AP1857">
        <f>IF($E1857="","",IF(OR($U1857=TRUE(),$U1857="TRUE"),1,0))</f>
        <v/>
      </c>
      <c r="AQ1857">
        <f>IF($E1857="","",IF($AD1857="Yes",1,0))</f>
        <v/>
      </c>
      <c r="AR1857">
        <f>IF($AN1857=1,IFERROR(VALUE(MID($E1857,2,20)),1000000000)+ROW()/100000,"")</f>
        <v/>
      </c>
    </row>
    <row r="1858">
      <c r="G1858" s="11" t="n"/>
      <c r="Q1858" s="7">
        <f>IF($E1858="","",P1858*AB1858/100)</f>
        <v/>
      </c>
      <c r="R1858" s="7" t="n"/>
      <c r="X1858" s="7" t="n"/>
      <c r="Y1858" s="7">
        <f>IF($E1858="","",AB1858*AE1858/100)</f>
        <v/>
      </c>
      <c r="Z1858" s="7">
        <f>IF($E1858="","",AB1858-Y1858)</f>
        <v/>
      </c>
      <c r="AA1858" s="7">
        <f>IF($E1858="","",Z1858-Q1858)</f>
        <v/>
      </c>
      <c r="AB1858" s="7" t="n"/>
      <c r="AE1858">
        <f>IF($E1858="","",IF($AQ1858=1,0,IF($AP1858=1,Settings!$C$6,Settings!$C$7))*100)</f>
        <v/>
      </c>
      <c r="AI1858" s="7" t="n"/>
      <c r="AL1858" s="11" t="n"/>
      <c r="AN1858">
        <f>IF($E1858="","",IF(COUNTIF($E$2:$E1858,$E1858)=1,1,0))</f>
        <v/>
      </c>
      <c r="AO1858">
        <f>IF($AN1858=1,SUMPRODUCT(--($AR$2:$AR$3001&lt;$AR1858))+1,"")</f>
        <v/>
      </c>
      <c r="AP1858">
        <f>IF($E1858="","",IF(OR($U1858=TRUE(),$U1858="TRUE"),1,0))</f>
        <v/>
      </c>
      <c r="AQ1858">
        <f>IF($E1858="","",IF($AD1858="Yes",1,0))</f>
        <v/>
      </c>
      <c r="AR1858">
        <f>IF($AN1858=1,IFERROR(VALUE(MID($E1858,2,20)),1000000000)+ROW()/100000,"")</f>
        <v/>
      </c>
    </row>
    <row r="1859">
      <c r="G1859" s="11" t="n"/>
      <c r="Q1859" s="7">
        <f>IF($E1859="","",P1859*AB1859/100)</f>
        <v/>
      </c>
      <c r="R1859" s="7" t="n"/>
      <c r="X1859" s="7" t="n"/>
      <c r="Y1859" s="7">
        <f>IF($E1859="","",AB1859*AE1859/100)</f>
        <v/>
      </c>
      <c r="Z1859" s="7">
        <f>IF($E1859="","",AB1859-Y1859)</f>
        <v/>
      </c>
      <c r="AA1859" s="7">
        <f>IF($E1859="","",Z1859-Q1859)</f>
        <v/>
      </c>
      <c r="AB1859" s="7" t="n"/>
      <c r="AE1859">
        <f>IF($E1859="","",IF($AQ1859=1,0,IF($AP1859=1,Settings!$C$6,Settings!$C$7))*100)</f>
        <v/>
      </c>
      <c r="AI1859" s="7" t="n"/>
      <c r="AL1859" s="11" t="n"/>
      <c r="AN1859">
        <f>IF($E1859="","",IF(COUNTIF($E$2:$E1859,$E1859)=1,1,0))</f>
        <v/>
      </c>
      <c r="AO1859">
        <f>IF($AN1859=1,SUMPRODUCT(--($AR$2:$AR$3001&lt;$AR1859))+1,"")</f>
        <v/>
      </c>
      <c r="AP1859">
        <f>IF($E1859="","",IF(OR($U1859=TRUE(),$U1859="TRUE"),1,0))</f>
        <v/>
      </c>
      <c r="AQ1859">
        <f>IF($E1859="","",IF($AD1859="Yes",1,0))</f>
        <v/>
      </c>
      <c r="AR1859">
        <f>IF($AN1859=1,IFERROR(VALUE(MID($E1859,2,20)),1000000000)+ROW()/100000,"")</f>
        <v/>
      </c>
    </row>
    <row r="1860">
      <c r="G1860" s="11" t="n"/>
      <c r="Q1860" s="7">
        <f>IF($E1860="","",P1860*AB1860/100)</f>
        <v/>
      </c>
      <c r="R1860" s="7" t="n"/>
      <c r="X1860" s="7" t="n"/>
      <c r="Y1860" s="7">
        <f>IF($E1860="","",AB1860*AE1860/100)</f>
        <v/>
      </c>
      <c r="Z1860" s="7">
        <f>IF($E1860="","",AB1860-Y1860)</f>
        <v/>
      </c>
      <c r="AA1860" s="7">
        <f>IF($E1860="","",Z1860-Q1860)</f>
        <v/>
      </c>
      <c r="AB1860" s="7" t="n"/>
      <c r="AE1860">
        <f>IF($E1860="","",IF($AQ1860=1,0,IF($AP1860=1,Settings!$C$6,Settings!$C$7))*100)</f>
        <v/>
      </c>
      <c r="AI1860" s="7" t="n"/>
      <c r="AL1860" s="11" t="n"/>
      <c r="AN1860">
        <f>IF($E1860="","",IF(COUNTIF($E$2:$E1860,$E1860)=1,1,0))</f>
        <v/>
      </c>
      <c r="AO1860">
        <f>IF($AN1860=1,SUMPRODUCT(--($AR$2:$AR$3001&lt;$AR1860))+1,"")</f>
        <v/>
      </c>
      <c r="AP1860">
        <f>IF($E1860="","",IF(OR($U1860=TRUE(),$U1860="TRUE"),1,0))</f>
        <v/>
      </c>
      <c r="AQ1860">
        <f>IF($E1860="","",IF($AD1860="Yes",1,0))</f>
        <v/>
      </c>
      <c r="AR1860">
        <f>IF($AN1860=1,IFERROR(VALUE(MID($E1860,2,20)),1000000000)+ROW()/100000,"")</f>
        <v/>
      </c>
    </row>
    <row r="1861">
      <c r="G1861" s="11" t="n"/>
      <c r="Q1861" s="7">
        <f>IF($E1861="","",P1861*AB1861/100)</f>
        <v/>
      </c>
      <c r="R1861" s="7" t="n"/>
      <c r="X1861" s="7" t="n"/>
      <c r="Y1861" s="7">
        <f>IF($E1861="","",AB1861*AE1861/100)</f>
        <v/>
      </c>
      <c r="Z1861" s="7">
        <f>IF($E1861="","",AB1861-Y1861)</f>
        <v/>
      </c>
      <c r="AA1861" s="7">
        <f>IF($E1861="","",Z1861-Q1861)</f>
        <v/>
      </c>
      <c r="AB1861" s="7" t="n"/>
      <c r="AE1861">
        <f>IF($E1861="","",IF($AQ1861=1,0,IF($AP1861=1,Settings!$C$6,Settings!$C$7))*100)</f>
        <v/>
      </c>
      <c r="AI1861" s="7" t="n"/>
      <c r="AL1861" s="11" t="n"/>
      <c r="AN1861">
        <f>IF($E1861="","",IF(COUNTIF($E$2:$E1861,$E1861)=1,1,0))</f>
        <v/>
      </c>
      <c r="AO1861">
        <f>IF($AN1861=1,SUMPRODUCT(--($AR$2:$AR$3001&lt;$AR1861))+1,"")</f>
        <v/>
      </c>
      <c r="AP1861">
        <f>IF($E1861="","",IF(OR($U1861=TRUE(),$U1861="TRUE"),1,0))</f>
        <v/>
      </c>
      <c r="AQ1861">
        <f>IF($E1861="","",IF($AD1861="Yes",1,0))</f>
        <v/>
      </c>
      <c r="AR1861">
        <f>IF($AN1861=1,IFERROR(VALUE(MID($E1861,2,20)),1000000000)+ROW()/100000,"")</f>
        <v/>
      </c>
    </row>
    <row r="1862">
      <c r="G1862" s="11" t="n"/>
      <c r="Q1862" s="7">
        <f>IF($E1862="","",P1862*AB1862/100)</f>
        <v/>
      </c>
      <c r="R1862" s="7" t="n"/>
      <c r="X1862" s="7" t="n"/>
      <c r="Y1862" s="7">
        <f>IF($E1862="","",AB1862*AE1862/100)</f>
        <v/>
      </c>
      <c r="Z1862" s="7">
        <f>IF($E1862="","",AB1862-Y1862)</f>
        <v/>
      </c>
      <c r="AA1862" s="7">
        <f>IF($E1862="","",Z1862-Q1862)</f>
        <v/>
      </c>
      <c r="AB1862" s="7" t="n"/>
      <c r="AE1862">
        <f>IF($E1862="","",IF($AQ1862=1,0,IF($AP1862=1,Settings!$C$6,Settings!$C$7))*100)</f>
        <v/>
      </c>
      <c r="AI1862" s="7" t="n"/>
      <c r="AL1862" s="11" t="n"/>
      <c r="AN1862">
        <f>IF($E1862="","",IF(COUNTIF($E$2:$E1862,$E1862)=1,1,0))</f>
        <v/>
      </c>
      <c r="AO1862">
        <f>IF($AN1862=1,SUMPRODUCT(--($AR$2:$AR$3001&lt;$AR1862))+1,"")</f>
        <v/>
      </c>
      <c r="AP1862">
        <f>IF($E1862="","",IF(OR($U1862=TRUE(),$U1862="TRUE"),1,0))</f>
        <v/>
      </c>
      <c r="AQ1862">
        <f>IF($E1862="","",IF($AD1862="Yes",1,0))</f>
        <v/>
      </c>
      <c r="AR1862">
        <f>IF($AN1862=1,IFERROR(VALUE(MID($E1862,2,20)),1000000000)+ROW()/100000,"")</f>
        <v/>
      </c>
    </row>
    <row r="1863">
      <c r="G1863" s="11" t="n"/>
      <c r="Q1863" s="7">
        <f>IF($E1863="","",P1863*AB1863/100)</f>
        <v/>
      </c>
      <c r="R1863" s="7" t="n"/>
      <c r="X1863" s="7" t="n"/>
      <c r="Y1863" s="7">
        <f>IF($E1863="","",AB1863*AE1863/100)</f>
        <v/>
      </c>
      <c r="Z1863" s="7">
        <f>IF($E1863="","",AB1863-Y1863)</f>
        <v/>
      </c>
      <c r="AA1863" s="7">
        <f>IF($E1863="","",Z1863-Q1863)</f>
        <v/>
      </c>
      <c r="AB1863" s="7" t="n"/>
      <c r="AE1863">
        <f>IF($E1863="","",IF($AQ1863=1,0,IF($AP1863=1,Settings!$C$6,Settings!$C$7))*100)</f>
        <v/>
      </c>
      <c r="AI1863" s="7" t="n"/>
      <c r="AL1863" s="11" t="n"/>
      <c r="AN1863">
        <f>IF($E1863="","",IF(COUNTIF($E$2:$E1863,$E1863)=1,1,0))</f>
        <v/>
      </c>
      <c r="AO1863">
        <f>IF($AN1863=1,SUMPRODUCT(--($AR$2:$AR$3001&lt;$AR1863))+1,"")</f>
        <v/>
      </c>
      <c r="AP1863">
        <f>IF($E1863="","",IF(OR($U1863=TRUE(),$U1863="TRUE"),1,0))</f>
        <v/>
      </c>
      <c r="AQ1863">
        <f>IF($E1863="","",IF($AD1863="Yes",1,0))</f>
        <v/>
      </c>
      <c r="AR1863">
        <f>IF($AN1863=1,IFERROR(VALUE(MID($E1863,2,20)),1000000000)+ROW()/100000,"")</f>
        <v/>
      </c>
    </row>
    <row r="1864">
      <c r="G1864" s="11" t="n"/>
      <c r="Q1864" s="7">
        <f>IF($E1864="","",P1864*AB1864/100)</f>
        <v/>
      </c>
      <c r="R1864" s="7" t="n"/>
      <c r="X1864" s="7" t="n"/>
      <c r="Y1864" s="7">
        <f>IF($E1864="","",AB1864*AE1864/100)</f>
        <v/>
      </c>
      <c r="Z1864" s="7">
        <f>IF($E1864="","",AB1864-Y1864)</f>
        <v/>
      </c>
      <c r="AA1864" s="7">
        <f>IF($E1864="","",Z1864-Q1864)</f>
        <v/>
      </c>
      <c r="AB1864" s="7" t="n"/>
      <c r="AE1864">
        <f>IF($E1864="","",IF($AQ1864=1,0,IF($AP1864=1,Settings!$C$6,Settings!$C$7))*100)</f>
        <v/>
      </c>
      <c r="AI1864" s="7" t="n"/>
      <c r="AL1864" s="11" t="n"/>
      <c r="AN1864">
        <f>IF($E1864="","",IF(COUNTIF($E$2:$E1864,$E1864)=1,1,0))</f>
        <v/>
      </c>
      <c r="AO1864">
        <f>IF($AN1864=1,SUMPRODUCT(--($AR$2:$AR$3001&lt;$AR1864))+1,"")</f>
        <v/>
      </c>
      <c r="AP1864">
        <f>IF($E1864="","",IF(OR($U1864=TRUE(),$U1864="TRUE"),1,0))</f>
        <v/>
      </c>
      <c r="AQ1864">
        <f>IF($E1864="","",IF($AD1864="Yes",1,0))</f>
        <v/>
      </c>
      <c r="AR1864">
        <f>IF($AN1864=1,IFERROR(VALUE(MID($E1864,2,20)),1000000000)+ROW()/100000,"")</f>
        <v/>
      </c>
    </row>
    <row r="1865">
      <c r="G1865" s="11" t="n"/>
      <c r="Q1865" s="7">
        <f>IF($E1865="","",P1865*AB1865/100)</f>
        <v/>
      </c>
      <c r="R1865" s="7" t="n"/>
      <c r="X1865" s="7" t="n"/>
      <c r="Y1865" s="7">
        <f>IF($E1865="","",AB1865*AE1865/100)</f>
        <v/>
      </c>
      <c r="Z1865" s="7">
        <f>IF($E1865="","",AB1865-Y1865)</f>
        <v/>
      </c>
      <c r="AA1865" s="7">
        <f>IF($E1865="","",Z1865-Q1865)</f>
        <v/>
      </c>
      <c r="AB1865" s="7" t="n"/>
      <c r="AE1865">
        <f>IF($E1865="","",IF($AQ1865=1,0,IF($AP1865=1,Settings!$C$6,Settings!$C$7))*100)</f>
        <v/>
      </c>
      <c r="AI1865" s="7" t="n"/>
      <c r="AL1865" s="11" t="n"/>
      <c r="AN1865">
        <f>IF($E1865="","",IF(COUNTIF($E$2:$E1865,$E1865)=1,1,0))</f>
        <v/>
      </c>
      <c r="AO1865">
        <f>IF($AN1865=1,SUMPRODUCT(--($AR$2:$AR$3001&lt;$AR1865))+1,"")</f>
        <v/>
      </c>
      <c r="AP1865">
        <f>IF($E1865="","",IF(OR($U1865=TRUE(),$U1865="TRUE"),1,0))</f>
        <v/>
      </c>
      <c r="AQ1865">
        <f>IF($E1865="","",IF($AD1865="Yes",1,0))</f>
        <v/>
      </c>
      <c r="AR1865">
        <f>IF($AN1865=1,IFERROR(VALUE(MID($E1865,2,20)),1000000000)+ROW()/100000,"")</f>
        <v/>
      </c>
    </row>
    <row r="1866">
      <c r="G1866" s="11" t="n"/>
      <c r="Q1866" s="7">
        <f>IF($E1866="","",P1866*AB1866/100)</f>
        <v/>
      </c>
      <c r="R1866" s="7" t="n"/>
      <c r="X1866" s="7" t="n"/>
      <c r="Y1866" s="7">
        <f>IF($E1866="","",AB1866*AE1866/100)</f>
        <v/>
      </c>
      <c r="Z1866" s="7">
        <f>IF($E1866="","",AB1866-Y1866)</f>
        <v/>
      </c>
      <c r="AA1866" s="7">
        <f>IF($E1866="","",Z1866-Q1866)</f>
        <v/>
      </c>
      <c r="AB1866" s="7" t="n"/>
      <c r="AE1866">
        <f>IF($E1866="","",IF($AQ1866=1,0,IF($AP1866=1,Settings!$C$6,Settings!$C$7))*100)</f>
        <v/>
      </c>
      <c r="AI1866" s="7" t="n"/>
      <c r="AL1866" s="11" t="n"/>
      <c r="AN1866">
        <f>IF($E1866="","",IF(COUNTIF($E$2:$E1866,$E1866)=1,1,0))</f>
        <v/>
      </c>
      <c r="AO1866">
        <f>IF($AN1866=1,SUMPRODUCT(--($AR$2:$AR$3001&lt;$AR1866))+1,"")</f>
        <v/>
      </c>
      <c r="AP1866">
        <f>IF($E1866="","",IF(OR($U1866=TRUE(),$U1866="TRUE"),1,0))</f>
        <v/>
      </c>
      <c r="AQ1866">
        <f>IF($E1866="","",IF($AD1866="Yes",1,0))</f>
        <v/>
      </c>
      <c r="AR1866">
        <f>IF($AN1866=1,IFERROR(VALUE(MID($E1866,2,20)),1000000000)+ROW()/100000,"")</f>
        <v/>
      </c>
    </row>
    <row r="1867">
      <c r="G1867" s="11" t="n"/>
      <c r="Q1867" s="7">
        <f>IF($E1867="","",P1867*AB1867/100)</f>
        <v/>
      </c>
      <c r="R1867" s="7" t="n"/>
      <c r="X1867" s="7" t="n"/>
      <c r="Y1867" s="7">
        <f>IF($E1867="","",AB1867*AE1867/100)</f>
        <v/>
      </c>
      <c r="Z1867" s="7">
        <f>IF($E1867="","",AB1867-Y1867)</f>
        <v/>
      </c>
      <c r="AA1867" s="7">
        <f>IF($E1867="","",Z1867-Q1867)</f>
        <v/>
      </c>
      <c r="AB1867" s="7" t="n"/>
      <c r="AE1867">
        <f>IF($E1867="","",IF($AQ1867=1,0,IF($AP1867=1,Settings!$C$6,Settings!$C$7))*100)</f>
        <v/>
      </c>
      <c r="AI1867" s="7" t="n"/>
      <c r="AL1867" s="11" t="n"/>
      <c r="AN1867">
        <f>IF($E1867="","",IF(COUNTIF($E$2:$E1867,$E1867)=1,1,0))</f>
        <v/>
      </c>
      <c r="AO1867">
        <f>IF($AN1867=1,SUMPRODUCT(--($AR$2:$AR$3001&lt;$AR1867))+1,"")</f>
        <v/>
      </c>
      <c r="AP1867">
        <f>IF($E1867="","",IF(OR($U1867=TRUE(),$U1867="TRUE"),1,0))</f>
        <v/>
      </c>
      <c r="AQ1867">
        <f>IF($E1867="","",IF($AD1867="Yes",1,0))</f>
        <v/>
      </c>
      <c r="AR1867">
        <f>IF($AN1867=1,IFERROR(VALUE(MID($E1867,2,20)),1000000000)+ROW()/100000,"")</f>
        <v/>
      </c>
    </row>
    <row r="1868">
      <c r="G1868" s="11" t="n"/>
      <c r="Q1868" s="7">
        <f>IF($E1868="","",P1868*AB1868/100)</f>
        <v/>
      </c>
      <c r="R1868" s="7" t="n"/>
      <c r="X1868" s="7" t="n"/>
      <c r="Y1868" s="7">
        <f>IF($E1868="","",AB1868*AE1868/100)</f>
        <v/>
      </c>
      <c r="Z1868" s="7">
        <f>IF($E1868="","",AB1868-Y1868)</f>
        <v/>
      </c>
      <c r="AA1868" s="7">
        <f>IF($E1868="","",Z1868-Q1868)</f>
        <v/>
      </c>
      <c r="AB1868" s="7" t="n"/>
      <c r="AE1868">
        <f>IF($E1868="","",IF($AQ1868=1,0,IF($AP1868=1,Settings!$C$6,Settings!$C$7))*100)</f>
        <v/>
      </c>
      <c r="AI1868" s="7" t="n"/>
      <c r="AL1868" s="11" t="n"/>
      <c r="AN1868">
        <f>IF($E1868="","",IF(COUNTIF($E$2:$E1868,$E1868)=1,1,0))</f>
        <v/>
      </c>
      <c r="AO1868">
        <f>IF($AN1868=1,SUMPRODUCT(--($AR$2:$AR$3001&lt;$AR1868))+1,"")</f>
        <v/>
      </c>
      <c r="AP1868">
        <f>IF($E1868="","",IF(OR($U1868=TRUE(),$U1868="TRUE"),1,0))</f>
        <v/>
      </c>
      <c r="AQ1868">
        <f>IF($E1868="","",IF($AD1868="Yes",1,0))</f>
        <v/>
      </c>
      <c r="AR1868">
        <f>IF($AN1868=1,IFERROR(VALUE(MID($E1868,2,20)),1000000000)+ROW()/100000,"")</f>
        <v/>
      </c>
    </row>
    <row r="1869">
      <c r="G1869" s="11" t="n"/>
      <c r="Q1869" s="7">
        <f>IF($E1869="","",P1869*AB1869/100)</f>
        <v/>
      </c>
      <c r="R1869" s="7" t="n"/>
      <c r="X1869" s="7" t="n"/>
      <c r="Y1869" s="7">
        <f>IF($E1869="","",AB1869*AE1869/100)</f>
        <v/>
      </c>
      <c r="Z1869" s="7">
        <f>IF($E1869="","",AB1869-Y1869)</f>
        <v/>
      </c>
      <c r="AA1869" s="7">
        <f>IF($E1869="","",Z1869-Q1869)</f>
        <v/>
      </c>
      <c r="AB1869" s="7" t="n"/>
      <c r="AE1869">
        <f>IF($E1869="","",IF($AQ1869=1,0,IF($AP1869=1,Settings!$C$6,Settings!$C$7))*100)</f>
        <v/>
      </c>
      <c r="AI1869" s="7" t="n"/>
      <c r="AL1869" s="11" t="n"/>
      <c r="AN1869">
        <f>IF($E1869="","",IF(COUNTIF($E$2:$E1869,$E1869)=1,1,0))</f>
        <v/>
      </c>
      <c r="AO1869">
        <f>IF($AN1869=1,SUMPRODUCT(--($AR$2:$AR$3001&lt;$AR1869))+1,"")</f>
        <v/>
      </c>
      <c r="AP1869">
        <f>IF($E1869="","",IF(OR($U1869=TRUE(),$U1869="TRUE"),1,0))</f>
        <v/>
      </c>
      <c r="AQ1869">
        <f>IF($E1869="","",IF($AD1869="Yes",1,0))</f>
        <v/>
      </c>
      <c r="AR1869">
        <f>IF($AN1869=1,IFERROR(VALUE(MID($E1869,2,20)),1000000000)+ROW()/100000,"")</f>
        <v/>
      </c>
    </row>
    <row r="1870">
      <c r="G1870" s="11" t="n"/>
      <c r="Q1870" s="7">
        <f>IF($E1870="","",P1870*AB1870/100)</f>
        <v/>
      </c>
      <c r="R1870" s="7" t="n"/>
      <c r="X1870" s="7" t="n"/>
      <c r="Y1870" s="7">
        <f>IF($E1870="","",AB1870*AE1870/100)</f>
        <v/>
      </c>
      <c r="Z1870" s="7">
        <f>IF($E1870="","",AB1870-Y1870)</f>
        <v/>
      </c>
      <c r="AA1870" s="7">
        <f>IF($E1870="","",Z1870-Q1870)</f>
        <v/>
      </c>
      <c r="AB1870" s="7" t="n"/>
      <c r="AE1870">
        <f>IF($E1870="","",IF($AQ1870=1,0,IF($AP1870=1,Settings!$C$6,Settings!$C$7))*100)</f>
        <v/>
      </c>
      <c r="AI1870" s="7" t="n"/>
      <c r="AL1870" s="11" t="n"/>
      <c r="AN1870">
        <f>IF($E1870="","",IF(COUNTIF($E$2:$E1870,$E1870)=1,1,0))</f>
        <v/>
      </c>
      <c r="AO1870">
        <f>IF($AN1870=1,SUMPRODUCT(--($AR$2:$AR$3001&lt;$AR1870))+1,"")</f>
        <v/>
      </c>
      <c r="AP1870">
        <f>IF($E1870="","",IF(OR($U1870=TRUE(),$U1870="TRUE"),1,0))</f>
        <v/>
      </c>
      <c r="AQ1870">
        <f>IF($E1870="","",IF($AD1870="Yes",1,0))</f>
        <v/>
      </c>
      <c r="AR1870">
        <f>IF($AN1870=1,IFERROR(VALUE(MID($E1870,2,20)),1000000000)+ROW()/100000,"")</f>
        <v/>
      </c>
    </row>
    <row r="1871">
      <c r="G1871" s="11" t="n"/>
      <c r="Q1871" s="7">
        <f>IF($E1871="","",P1871*AB1871/100)</f>
        <v/>
      </c>
      <c r="R1871" s="7" t="n"/>
      <c r="X1871" s="7" t="n"/>
      <c r="Y1871" s="7">
        <f>IF($E1871="","",AB1871*AE1871/100)</f>
        <v/>
      </c>
      <c r="Z1871" s="7">
        <f>IF($E1871="","",AB1871-Y1871)</f>
        <v/>
      </c>
      <c r="AA1871" s="7">
        <f>IF($E1871="","",Z1871-Q1871)</f>
        <v/>
      </c>
      <c r="AB1871" s="7" t="n"/>
      <c r="AE1871">
        <f>IF($E1871="","",IF($AQ1871=1,0,IF($AP1871=1,Settings!$C$6,Settings!$C$7))*100)</f>
        <v/>
      </c>
      <c r="AI1871" s="7" t="n"/>
      <c r="AL1871" s="11" t="n"/>
      <c r="AN1871">
        <f>IF($E1871="","",IF(COUNTIF($E$2:$E1871,$E1871)=1,1,0))</f>
        <v/>
      </c>
      <c r="AO1871">
        <f>IF($AN1871=1,SUMPRODUCT(--($AR$2:$AR$3001&lt;$AR1871))+1,"")</f>
        <v/>
      </c>
      <c r="AP1871">
        <f>IF($E1871="","",IF(OR($U1871=TRUE(),$U1871="TRUE"),1,0))</f>
        <v/>
      </c>
      <c r="AQ1871">
        <f>IF($E1871="","",IF($AD1871="Yes",1,0))</f>
        <v/>
      </c>
      <c r="AR1871">
        <f>IF($AN1871=1,IFERROR(VALUE(MID($E1871,2,20)),1000000000)+ROW()/100000,"")</f>
        <v/>
      </c>
    </row>
    <row r="1872">
      <c r="G1872" s="11" t="n"/>
      <c r="Q1872" s="7">
        <f>IF($E1872="","",P1872*AB1872/100)</f>
        <v/>
      </c>
      <c r="R1872" s="7" t="n"/>
      <c r="X1872" s="7" t="n"/>
      <c r="Y1872" s="7">
        <f>IF($E1872="","",AB1872*AE1872/100)</f>
        <v/>
      </c>
      <c r="Z1872" s="7">
        <f>IF($E1872="","",AB1872-Y1872)</f>
        <v/>
      </c>
      <c r="AA1872" s="7">
        <f>IF($E1872="","",Z1872-Q1872)</f>
        <v/>
      </c>
      <c r="AB1872" s="7" t="n"/>
      <c r="AE1872">
        <f>IF($E1872="","",IF($AQ1872=1,0,IF($AP1872=1,Settings!$C$6,Settings!$C$7))*100)</f>
        <v/>
      </c>
      <c r="AI1872" s="7" t="n"/>
      <c r="AL1872" s="11" t="n"/>
      <c r="AN1872">
        <f>IF($E1872="","",IF(COUNTIF($E$2:$E1872,$E1872)=1,1,0))</f>
        <v/>
      </c>
      <c r="AO1872">
        <f>IF($AN1872=1,SUMPRODUCT(--($AR$2:$AR$3001&lt;$AR1872))+1,"")</f>
        <v/>
      </c>
      <c r="AP1872">
        <f>IF($E1872="","",IF(OR($U1872=TRUE(),$U1872="TRUE"),1,0))</f>
        <v/>
      </c>
      <c r="AQ1872">
        <f>IF($E1872="","",IF($AD1872="Yes",1,0))</f>
        <v/>
      </c>
      <c r="AR1872">
        <f>IF($AN1872=1,IFERROR(VALUE(MID($E1872,2,20)),1000000000)+ROW()/100000,"")</f>
        <v/>
      </c>
    </row>
    <row r="1873">
      <c r="G1873" s="11" t="n"/>
      <c r="Q1873" s="7">
        <f>IF($E1873="","",P1873*AB1873/100)</f>
        <v/>
      </c>
      <c r="R1873" s="7" t="n"/>
      <c r="X1873" s="7" t="n"/>
      <c r="Y1873" s="7">
        <f>IF($E1873="","",AB1873*AE1873/100)</f>
        <v/>
      </c>
      <c r="Z1873" s="7">
        <f>IF($E1873="","",AB1873-Y1873)</f>
        <v/>
      </c>
      <c r="AA1873" s="7">
        <f>IF($E1873="","",Z1873-Q1873)</f>
        <v/>
      </c>
      <c r="AB1873" s="7" t="n"/>
      <c r="AE1873">
        <f>IF($E1873="","",IF($AQ1873=1,0,IF($AP1873=1,Settings!$C$6,Settings!$C$7))*100)</f>
        <v/>
      </c>
      <c r="AI1873" s="7" t="n"/>
      <c r="AL1873" s="11" t="n"/>
      <c r="AN1873">
        <f>IF($E1873="","",IF(COUNTIF($E$2:$E1873,$E1873)=1,1,0))</f>
        <v/>
      </c>
      <c r="AO1873">
        <f>IF($AN1873=1,SUMPRODUCT(--($AR$2:$AR$3001&lt;$AR1873))+1,"")</f>
        <v/>
      </c>
      <c r="AP1873">
        <f>IF($E1873="","",IF(OR($U1873=TRUE(),$U1873="TRUE"),1,0))</f>
        <v/>
      </c>
      <c r="AQ1873">
        <f>IF($E1873="","",IF($AD1873="Yes",1,0))</f>
        <v/>
      </c>
      <c r="AR1873">
        <f>IF($AN1873=1,IFERROR(VALUE(MID($E1873,2,20)),1000000000)+ROW()/100000,"")</f>
        <v/>
      </c>
    </row>
    <row r="1874">
      <c r="G1874" s="11" t="n"/>
      <c r="Q1874" s="7">
        <f>IF($E1874="","",P1874*AB1874/100)</f>
        <v/>
      </c>
      <c r="R1874" s="7" t="n"/>
      <c r="X1874" s="7" t="n"/>
      <c r="Y1874" s="7">
        <f>IF($E1874="","",AB1874*AE1874/100)</f>
        <v/>
      </c>
      <c r="Z1874" s="7">
        <f>IF($E1874="","",AB1874-Y1874)</f>
        <v/>
      </c>
      <c r="AA1874" s="7">
        <f>IF($E1874="","",Z1874-Q1874)</f>
        <v/>
      </c>
      <c r="AB1874" s="7" t="n"/>
      <c r="AE1874">
        <f>IF($E1874="","",IF($AQ1874=1,0,IF($AP1874=1,Settings!$C$6,Settings!$C$7))*100)</f>
        <v/>
      </c>
      <c r="AI1874" s="7" t="n"/>
      <c r="AL1874" s="11" t="n"/>
      <c r="AN1874">
        <f>IF($E1874="","",IF(COUNTIF($E$2:$E1874,$E1874)=1,1,0))</f>
        <v/>
      </c>
      <c r="AO1874">
        <f>IF($AN1874=1,SUMPRODUCT(--($AR$2:$AR$3001&lt;$AR1874))+1,"")</f>
        <v/>
      </c>
      <c r="AP1874">
        <f>IF($E1874="","",IF(OR($U1874=TRUE(),$U1874="TRUE"),1,0))</f>
        <v/>
      </c>
      <c r="AQ1874">
        <f>IF($E1874="","",IF($AD1874="Yes",1,0))</f>
        <v/>
      </c>
      <c r="AR1874">
        <f>IF($AN1874=1,IFERROR(VALUE(MID($E1874,2,20)),1000000000)+ROW()/100000,"")</f>
        <v/>
      </c>
    </row>
    <row r="1875">
      <c r="G1875" s="11" t="n"/>
      <c r="Q1875" s="7">
        <f>IF($E1875="","",P1875*AB1875/100)</f>
        <v/>
      </c>
      <c r="R1875" s="7" t="n"/>
      <c r="X1875" s="7" t="n"/>
      <c r="Y1875" s="7">
        <f>IF($E1875="","",AB1875*AE1875/100)</f>
        <v/>
      </c>
      <c r="Z1875" s="7">
        <f>IF($E1875="","",AB1875-Y1875)</f>
        <v/>
      </c>
      <c r="AA1875" s="7">
        <f>IF($E1875="","",Z1875-Q1875)</f>
        <v/>
      </c>
      <c r="AB1875" s="7" t="n"/>
      <c r="AE1875">
        <f>IF($E1875="","",IF($AQ1875=1,0,IF($AP1875=1,Settings!$C$6,Settings!$C$7))*100)</f>
        <v/>
      </c>
      <c r="AI1875" s="7" t="n"/>
      <c r="AL1875" s="11" t="n"/>
      <c r="AN1875">
        <f>IF($E1875="","",IF(COUNTIF($E$2:$E1875,$E1875)=1,1,0))</f>
        <v/>
      </c>
      <c r="AO1875">
        <f>IF($AN1875=1,SUMPRODUCT(--($AR$2:$AR$3001&lt;$AR1875))+1,"")</f>
        <v/>
      </c>
      <c r="AP1875">
        <f>IF($E1875="","",IF(OR($U1875=TRUE(),$U1875="TRUE"),1,0))</f>
        <v/>
      </c>
      <c r="AQ1875">
        <f>IF($E1875="","",IF($AD1875="Yes",1,0))</f>
        <v/>
      </c>
      <c r="AR1875">
        <f>IF($AN1875=1,IFERROR(VALUE(MID($E1875,2,20)),1000000000)+ROW()/100000,"")</f>
        <v/>
      </c>
    </row>
    <row r="1876">
      <c r="G1876" s="11" t="n"/>
      <c r="Q1876" s="7">
        <f>IF($E1876="","",P1876*AB1876/100)</f>
        <v/>
      </c>
      <c r="R1876" s="7" t="n"/>
      <c r="X1876" s="7" t="n"/>
      <c r="Y1876" s="7">
        <f>IF($E1876="","",AB1876*AE1876/100)</f>
        <v/>
      </c>
      <c r="Z1876" s="7">
        <f>IF($E1876="","",AB1876-Y1876)</f>
        <v/>
      </c>
      <c r="AA1876" s="7">
        <f>IF($E1876="","",Z1876-Q1876)</f>
        <v/>
      </c>
      <c r="AB1876" s="7" t="n"/>
      <c r="AE1876">
        <f>IF($E1876="","",IF($AQ1876=1,0,IF($AP1876=1,Settings!$C$6,Settings!$C$7))*100)</f>
        <v/>
      </c>
      <c r="AI1876" s="7" t="n"/>
      <c r="AL1876" s="11" t="n"/>
      <c r="AN1876">
        <f>IF($E1876="","",IF(COUNTIF($E$2:$E1876,$E1876)=1,1,0))</f>
        <v/>
      </c>
      <c r="AO1876">
        <f>IF($AN1876=1,SUMPRODUCT(--($AR$2:$AR$3001&lt;$AR1876))+1,"")</f>
        <v/>
      </c>
      <c r="AP1876">
        <f>IF($E1876="","",IF(OR($U1876=TRUE(),$U1876="TRUE"),1,0))</f>
        <v/>
      </c>
      <c r="AQ1876">
        <f>IF($E1876="","",IF($AD1876="Yes",1,0))</f>
        <v/>
      </c>
      <c r="AR1876">
        <f>IF($AN1876=1,IFERROR(VALUE(MID($E1876,2,20)),1000000000)+ROW()/100000,"")</f>
        <v/>
      </c>
    </row>
    <row r="1877">
      <c r="G1877" s="11" t="n"/>
      <c r="Q1877" s="7">
        <f>IF($E1877="","",P1877*AB1877/100)</f>
        <v/>
      </c>
      <c r="R1877" s="7" t="n"/>
      <c r="X1877" s="7" t="n"/>
      <c r="Y1877" s="7">
        <f>IF($E1877="","",AB1877*AE1877/100)</f>
        <v/>
      </c>
      <c r="Z1877" s="7">
        <f>IF($E1877="","",AB1877-Y1877)</f>
        <v/>
      </c>
      <c r="AA1877" s="7">
        <f>IF($E1877="","",Z1877-Q1877)</f>
        <v/>
      </c>
      <c r="AB1877" s="7" t="n"/>
      <c r="AE1877">
        <f>IF($E1877="","",IF($AQ1877=1,0,IF($AP1877=1,Settings!$C$6,Settings!$C$7))*100)</f>
        <v/>
      </c>
      <c r="AI1877" s="7" t="n"/>
      <c r="AL1877" s="11" t="n"/>
      <c r="AN1877">
        <f>IF($E1877="","",IF(COUNTIF($E$2:$E1877,$E1877)=1,1,0))</f>
        <v/>
      </c>
      <c r="AO1877">
        <f>IF($AN1877=1,SUMPRODUCT(--($AR$2:$AR$3001&lt;$AR1877))+1,"")</f>
        <v/>
      </c>
      <c r="AP1877">
        <f>IF($E1877="","",IF(OR($U1877=TRUE(),$U1877="TRUE"),1,0))</f>
        <v/>
      </c>
      <c r="AQ1877">
        <f>IF($E1877="","",IF($AD1877="Yes",1,0))</f>
        <v/>
      </c>
      <c r="AR1877">
        <f>IF($AN1877=1,IFERROR(VALUE(MID($E1877,2,20)),1000000000)+ROW()/100000,"")</f>
        <v/>
      </c>
    </row>
    <row r="1878">
      <c r="G1878" s="11" t="n"/>
      <c r="Q1878" s="7">
        <f>IF($E1878="","",P1878*AB1878/100)</f>
        <v/>
      </c>
      <c r="R1878" s="7" t="n"/>
      <c r="X1878" s="7" t="n"/>
      <c r="Y1878" s="7">
        <f>IF($E1878="","",AB1878*AE1878/100)</f>
        <v/>
      </c>
      <c r="Z1878" s="7">
        <f>IF($E1878="","",AB1878-Y1878)</f>
        <v/>
      </c>
      <c r="AA1878" s="7">
        <f>IF($E1878="","",Z1878-Q1878)</f>
        <v/>
      </c>
      <c r="AB1878" s="7" t="n"/>
      <c r="AE1878">
        <f>IF($E1878="","",IF($AQ1878=1,0,IF($AP1878=1,Settings!$C$6,Settings!$C$7))*100)</f>
        <v/>
      </c>
      <c r="AI1878" s="7" t="n"/>
      <c r="AL1878" s="11" t="n"/>
      <c r="AN1878">
        <f>IF($E1878="","",IF(COUNTIF($E$2:$E1878,$E1878)=1,1,0))</f>
        <v/>
      </c>
      <c r="AO1878">
        <f>IF($AN1878=1,SUMPRODUCT(--($AR$2:$AR$3001&lt;$AR1878))+1,"")</f>
        <v/>
      </c>
      <c r="AP1878">
        <f>IF($E1878="","",IF(OR($U1878=TRUE(),$U1878="TRUE"),1,0))</f>
        <v/>
      </c>
      <c r="AQ1878">
        <f>IF($E1878="","",IF($AD1878="Yes",1,0))</f>
        <v/>
      </c>
      <c r="AR1878">
        <f>IF($AN1878=1,IFERROR(VALUE(MID($E1878,2,20)),1000000000)+ROW()/100000,"")</f>
        <v/>
      </c>
    </row>
    <row r="1879">
      <c r="G1879" s="11" t="n"/>
      <c r="Q1879" s="7">
        <f>IF($E1879="","",P1879*AB1879/100)</f>
        <v/>
      </c>
      <c r="R1879" s="7" t="n"/>
      <c r="X1879" s="7" t="n"/>
      <c r="Y1879" s="7">
        <f>IF($E1879="","",AB1879*AE1879/100)</f>
        <v/>
      </c>
      <c r="Z1879" s="7">
        <f>IF($E1879="","",AB1879-Y1879)</f>
        <v/>
      </c>
      <c r="AA1879" s="7">
        <f>IF($E1879="","",Z1879-Q1879)</f>
        <v/>
      </c>
      <c r="AB1879" s="7" t="n"/>
      <c r="AE1879">
        <f>IF($E1879="","",IF($AQ1879=1,0,IF($AP1879=1,Settings!$C$6,Settings!$C$7))*100)</f>
        <v/>
      </c>
      <c r="AI1879" s="7" t="n"/>
      <c r="AL1879" s="11" t="n"/>
      <c r="AN1879">
        <f>IF($E1879="","",IF(COUNTIF($E$2:$E1879,$E1879)=1,1,0))</f>
        <v/>
      </c>
      <c r="AO1879">
        <f>IF($AN1879=1,SUMPRODUCT(--($AR$2:$AR$3001&lt;$AR1879))+1,"")</f>
        <v/>
      </c>
      <c r="AP1879">
        <f>IF($E1879="","",IF(OR($U1879=TRUE(),$U1879="TRUE"),1,0))</f>
        <v/>
      </c>
      <c r="AQ1879">
        <f>IF($E1879="","",IF($AD1879="Yes",1,0))</f>
        <v/>
      </c>
      <c r="AR1879">
        <f>IF($AN1879=1,IFERROR(VALUE(MID($E1879,2,20)),1000000000)+ROW()/100000,"")</f>
        <v/>
      </c>
    </row>
    <row r="1880">
      <c r="G1880" s="11" t="n"/>
      <c r="Q1880" s="7">
        <f>IF($E1880="","",P1880*AB1880/100)</f>
        <v/>
      </c>
      <c r="R1880" s="7" t="n"/>
      <c r="X1880" s="7" t="n"/>
      <c r="Y1880" s="7">
        <f>IF($E1880="","",AB1880*AE1880/100)</f>
        <v/>
      </c>
      <c r="Z1880" s="7">
        <f>IF($E1880="","",AB1880-Y1880)</f>
        <v/>
      </c>
      <c r="AA1880" s="7">
        <f>IF($E1880="","",Z1880-Q1880)</f>
        <v/>
      </c>
      <c r="AB1880" s="7" t="n"/>
      <c r="AE1880">
        <f>IF($E1880="","",IF($AQ1880=1,0,IF($AP1880=1,Settings!$C$6,Settings!$C$7))*100)</f>
        <v/>
      </c>
      <c r="AI1880" s="7" t="n"/>
      <c r="AL1880" s="11" t="n"/>
      <c r="AN1880">
        <f>IF($E1880="","",IF(COUNTIF($E$2:$E1880,$E1880)=1,1,0))</f>
        <v/>
      </c>
      <c r="AO1880">
        <f>IF($AN1880=1,SUMPRODUCT(--($AR$2:$AR$3001&lt;$AR1880))+1,"")</f>
        <v/>
      </c>
      <c r="AP1880">
        <f>IF($E1880="","",IF(OR($U1880=TRUE(),$U1880="TRUE"),1,0))</f>
        <v/>
      </c>
      <c r="AQ1880">
        <f>IF($E1880="","",IF($AD1880="Yes",1,0))</f>
        <v/>
      </c>
      <c r="AR1880">
        <f>IF($AN1880=1,IFERROR(VALUE(MID($E1880,2,20)),1000000000)+ROW()/100000,"")</f>
        <v/>
      </c>
    </row>
    <row r="1881">
      <c r="G1881" s="11" t="n"/>
      <c r="Q1881" s="7">
        <f>IF($E1881="","",P1881*AB1881/100)</f>
        <v/>
      </c>
      <c r="R1881" s="7" t="n"/>
      <c r="X1881" s="7" t="n"/>
      <c r="Y1881" s="7">
        <f>IF($E1881="","",AB1881*AE1881/100)</f>
        <v/>
      </c>
      <c r="Z1881" s="7">
        <f>IF($E1881="","",AB1881-Y1881)</f>
        <v/>
      </c>
      <c r="AA1881" s="7">
        <f>IF($E1881="","",Z1881-Q1881)</f>
        <v/>
      </c>
      <c r="AB1881" s="7" t="n"/>
      <c r="AE1881">
        <f>IF($E1881="","",IF($AQ1881=1,0,IF($AP1881=1,Settings!$C$6,Settings!$C$7))*100)</f>
        <v/>
      </c>
      <c r="AI1881" s="7" t="n"/>
      <c r="AL1881" s="11" t="n"/>
      <c r="AN1881">
        <f>IF($E1881="","",IF(COUNTIF($E$2:$E1881,$E1881)=1,1,0))</f>
        <v/>
      </c>
      <c r="AO1881">
        <f>IF($AN1881=1,SUMPRODUCT(--($AR$2:$AR$3001&lt;$AR1881))+1,"")</f>
        <v/>
      </c>
      <c r="AP1881">
        <f>IF($E1881="","",IF(OR($U1881=TRUE(),$U1881="TRUE"),1,0))</f>
        <v/>
      </c>
      <c r="AQ1881">
        <f>IF($E1881="","",IF($AD1881="Yes",1,0))</f>
        <v/>
      </c>
      <c r="AR1881">
        <f>IF($AN1881=1,IFERROR(VALUE(MID($E1881,2,20)),1000000000)+ROW()/100000,"")</f>
        <v/>
      </c>
    </row>
    <row r="1882">
      <c r="G1882" s="11" t="n"/>
      <c r="Q1882" s="7">
        <f>IF($E1882="","",P1882*AB1882/100)</f>
        <v/>
      </c>
      <c r="R1882" s="7" t="n"/>
      <c r="X1882" s="7" t="n"/>
      <c r="Y1882" s="7">
        <f>IF($E1882="","",AB1882*AE1882/100)</f>
        <v/>
      </c>
      <c r="Z1882" s="7">
        <f>IF($E1882="","",AB1882-Y1882)</f>
        <v/>
      </c>
      <c r="AA1882" s="7">
        <f>IF($E1882="","",Z1882-Q1882)</f>
        <v/>
      </c>
      <c r="AB1882" s="7" t="n"/>
      <c r="AE1882">
        <f>IF($E1882="","",IF($AQ1882=1,0,IF($AP1882=1,Settings!$C$6,Settings!$C$7))*100)</f>
        <v/>
      </c>
      <c r="AI1882" s="7" t="n"/>
      <c r="AL1882" s="11" t="n"/>
      <c r="AN1882">
        <f>IF($E1882="","",IF(COUNTIF($E$2:$E1882,$E1882)=1,1,0))</f>
        <v/>
      </c>
      <c r="AO1882">
        <f>IF($AN1882=1,SUMPRODUCT(--($AR$2:$AR$3001&lt;$AR1882))+1,"")</f>
        <v/>
      </c>
      <c r="AP1882">
        <f>IF($E1882="","",IF(OR($U1882=TRUE(),$U1882="TRUE"),1,0))</f>
        <v/>
      </c>
      <c r="AQ1882">
        <f>IF($E1882="","",IF($AD1882="Yes",1,0))</f>
        <v/>
      </c>
      <c r="AR1882">
        <f>IF($AN1882=1,IFERROR(VALUE(MID($E1882,2,20)),1000000000)+ROW()/100000,"")</f>
        <v/>
      </c>
    </row>
    <row r="1883">
      <c r="G1883" s="11" t="n"/>
      <c r="Q1883" s="7">
        <f>IF($E1883="","",P1883*AB1883/100)</f>
        <v/>
      </c>
      <c r="R1883" s="7" t="n"/>
      <c r="X1883" s="7" t="n"/>
      <c r="Y1883" s="7">
        <f>IF($E1883="","",AB1883*AE1883/100)</f>
        <v/>
      </c>
      <c r="Z1883" s="7">
        <f>IF($E1883="","",AB1883-Y1883)</f>
        <v/>
      </c>
      <c r="AA1883" s="7">
        <f>IF($E1883="","",Z1883-Q1883)</f>
        <v/>
      </c>
      <c r="AB1883" s="7" t="n"/>
      <c r="AE1883">
        <f>IF($E1883="","",IF($AQ1883=1,0,IF($AP1883=1,Settings!$C$6,Settings!$C$7))*100)</f>
        <v/>
      </c>
      <c r="AI1883" s="7" t="n"/>
      <c r="AL1883" s="11" t="n"/>
      <c r="AN1883">
        <f>IF($E1883="","",IF(COUNTIF($E$2:$E1883,$E1883)=1,1,0))</f>
        <v/>
      </c>
      <c r="AO1883">
        <f>IF($AN1883=1,SUMPRODUCT(--($AR$2:$AR$3001&lt;$AR1883))+1,"")</f>
        <v/>
      </c>
      <c r="AP1883">
        <f>IF($E1883="","",IF(OR($U1883=TRUE(),$U1883="TRUE"),1,0))</f>
        <v/>
      </c>
      <c r="AQ1883">
        <f>IF($E1883="","",IF($AD1883="Yes",1,0))</f>
        <v/>
      </c>
      <c r="AR1883">
        <f>IF($AN1883=1,IFERROR(VALUE(MID($E1883,2,20)),1000000000)+ROW()/100000,"")</f>
        <v/>
      </c>
    </row>
    <row r="1884">
      <c r="G1884" s="11" t="n"/>
      <c r="Q1884" s="7">
        <f>IF($E1884="","",P1884*AB1884/100)</f>
        <v/>
      </c>
      <c r="R1884" s="7" t="n"/>
      <c r="X1884" s="7" t="n"/>
      <c r="Y1884" s="7">
        <f>IF($E1884="","",AB1884*AE1884/100)</f>
        <v/>
      </c>
      <c r="Z1884" s="7">
        <f>IF($E1884="","",AB1884-Y1884)</f>
        <v/>
      </c>
      <c r="AA1884" s="7">
        <f>IF($E1884="","",Z1884-Q1884)</f>
        <v/>
      </c>
      <c r="AB1884" s="7" t="n"/>
      <c r="AE1884">
        <f>IF($E1884="","",IF($AQ1884=1,0,IF($AP1884=1,Settings!$C$6,Settings!$C$7))*100)</f>
        <v/>
      </c>
      <c r="AI1884" s="7" t="n"/>
      <c r="AL1884" s="11" t="n"/>
      <c r="AN1884">
        <f>IF($E1884="","",IF(COUNTIF($E$2:$E1884,$E1884)=1,1,0))</f>
        <v/>
      </c>
      <c r="AO1884">
        <f>IF($AN1884=1,SUMPRODUCT(--($AR$2:$AR$3001&lt;$AR1884))+1,"")</f>
        <v/>
      </c>
      <c r="AP1884">
        <f>IF($E1884="","",IF(OR($U1884=TRUE(),$U1884="TRUE"),1,0))</f>
        <v/>
      </c>
      <c r="AQ1884">
        <f>IF($E1884="","",IF($AD1884="Yes",1,0))</f>
        <v/>
      </c>
      <c r="AR1884">
        <f>IF($AN1884=1,IFERROR(VALUE(MID($E1884,2,20)),1000000000)+ROW()/100000,"")</f>
        <v/>
      </c>
    </row>
    <row r="1885">
      <c r="G1885" s="11" t="n"/>
      <c r="Q1885" s="7">
        <f>IF($E1885="","",P1885*AB1885/100)</f>
        <v/>
      </c>
      <c r="R1885" s="7" t="n"/>
      <c r="X1885" s="7" t="n"/>
      <c r="Y1885" s="7">
        <f>IF($E1885="","",AB1885*AE1885/100)</f>
        <v/>
      </c>
      <c r="Z1885" s="7">
        <f>IF($E1885="","",AB1885-Y1885)</f>
        <v/>
      </c>
      <c r="AA1885" s="7">
        <f>IF($E1885="","",Z1885-Q1885)</f>
        <v/>
      </c>
      <c r="AB1885" s="7" t="n"/>
      <c r="AE1885">
        <f>IF($E1885="","",IF($AQ1885=1,0,IF($AP1885=1,Settings!$C$6,Settings!$C$7))*100)</f>
        <v/>
      </c>
      <c r="AI1885" s="7" t="n"/>
      <c r="AL1885" s="11" t="n"/>
      <c r="AN1885">
        <f>IF($E1885="","",IF(COUNTIF($E$2:$E1885,$E1885)=1,1,0))</f>
        <v/>
      </c>
      <c r="AO1885">
        <f>IF($AN1885=1,SUMPRODUCT(--($AR$2:$AR$3001&lt;$AR1885))+1,"")</f>
        <v/>
      </c>
      <c r="AP1885">
        <f>IF($E1885="","",IF(OR($U1885=TRUE(),$U1885="TRUE"),1,0))</f>
        <v/>
      </c>
      <c r="AQ1885">
        <f>IF($E1885="","",IF($AD1885="Yes",1,0))</f>
        <v/>
      </c>
      <c r="AR1885">
        <f>IF($AN1885=1,IFERROR(VALUE(MID($E1885,2,20)),1000000000)+ROW()/100000,"")</f>
        <v/>
      </c>
    </row>
    <row r="1886">
      <c r="G1886" s="11" t="n"/>
      <c r="Q1886" s="7">
        <f>IF($E1886="","",P1886*AB1886/100)</f>
        <v/>
      </c>
      <c r="R1886" s="7" t="n"/>
      <c r="X1886" s="7" t="n"/>
      <c r="Y1886" s="7">
        <f>IF($E1886="","",AB1886*AE1886/100)</f>
        <v/>
      </c>
      <c r="Z1886" s="7">
        <f>IF($E1886="","",AB1886-Y1886)</f>
        <v/>
      </c>
      <c r="AA1886" s="7">
        <f>IF($E1886="","",Z1886-Q1886)</f>
        <v/>
      </c>
      <c r="AB1886" s="7" t="n"/>
      <c r="AE1886">
        <f>IF($E1886="","",IF($AQ1886=1,0,IF($AP1886=1,Settings!$C$6,Settings!$C$7))*100)</f>
        <v/>
      </c>
      <c r="AI1886" s="7" t="n"/>
      <c r="AL1886" s="11" t="n"/>
      <c r="AN1886">
        <f>IF($E1886="","",IF(COUNTIF($E$2:$E1886,$E1886)=1,1,0))</f>
        <v/>
      </c>
      <c r="AO1886">
        <f>IF($AN1886=1,SUMPRODUCT(--($AR$2:$AR$3001&lt;$AR1886))+1,"")</f>
        <v/>
      </c>
      <c r="AP1886">
        <f>IF($E1886="","",IF(OR($U1886=TRUE(),$U1886="TRUE"),1,0))</f>
        <v/>
      </c>
      <c r="AQ1886">
        <f>IF($E1886="","",IF($AD1886="Yes",1,0))</f>
        <v/>
      </c>
      <c r="AR1886">
        <f>IF($AN1886=1,IFERROR(VALUE(MID($E1886,2,20)),1000000000)+ROW()/100000,"")</f>
        <v/>
      </c>
    </row>
    <row r="1887">
      <c r="G1887" s="11" t="n"/>
      <c r="Q1887" s="7">
        <f>IF($E1887="","",P1887*AB1887/100)</f>
        <v/>
      </c>
      <c r="R1887" s="7" t="n"/>
      <c r="X1887" s="7" t="n"/>
      <c r="Y1887" s="7">
        <f>IF($E1887="","",AB1887*AE1887/100)</f>
        <v/>
      </c>
      <c r="Z1887" s="7">
        <f>IF($E1887="","",AB1887-Y1887)</f>
        <v/>
      </c>
      <c r="AA1887" s="7">
        <f>IF($E1887="","",Z1887-Q1887)</f>
        <v/>
      </c>
      <c r="AB1887" s="7" t="n"/>
      <c r="AE1887">
        <f>IF($E1887="","",IF($AQ1887=1,0,IF($AP1887=1,Settings!$C$6,Settings!$C$7))*100)</f>
        <v/>
      </c>
      <c r="AI1887" s="7" t="n"/>
      <c r="AL1887" s="11" t="n"/>
      <c r="AN1887">
        <f>IF($E1887="","",IF(COUNTIF($E$2:$E1887,$E1887)=1,1,0))</f>
        <v/>
      </c>
      <c r="AO1887">
        <f>IF($AN1887=1,SUMPRODUCT(--($AR$2:$AR$3001&lt;$AR1887))+1,"")</f>
        <v/>
      </c>
      <c r="AP1887">
        <f>IF($E1887="","",IF(OR($U1887=TRUE(),$U1887="TRUE"),1,0))</f>
        <v/>
      </c>
      <c r="AQ1887">
        <f>IF($E1887="","",IF($AD1887="Yes",1,0))</f>
        <v/>
      </c>
      <c r="AR1887">
        <f>IF($AN1887=1,IFERROR(VALUE(MID($E1887,2,20)),1000000000)+ROW()/100000,"")</f>
        <v/>
      </c>
    </row>
    <row r="1888">
      <c r="G1888" s="11" t="n"/>
      <c r="Q1888" s="7">
        <f>IF($E1888="","",P1888*AB1888/100)</f>
        <v/>
      </c>
      <c r="R1888" s="7" t="n"/>
      <c r="X1888" s="7" t="n"/>
      <c r="Y1888" s="7">
        <f>IF($E1888="","",AB1888*AE1888/100)</f>
        <v/>
      </c>
      <c r="Z1888" s="7">
        <f>IF($E1888="","",AB1888-Y1888)</f>
        <v/>
      </c>
      <c r="AA1888" s="7">
        <f>IF($E1888="","",Z1888-Q1888)</f>
        <v/>
      </c>
      <c r="AB1888" s="7" t="n"/>
      <c r="AE1888">
        <f>IF($E1888="","",IF($AQ1888=1,0,IF($AP1888=1,Settings!$C$6,Settings!$C$7))*100)</f>
        <v/>
      </c>
      <c r="AI1888" s="7" t="n"/>
      <c r="AL1888" s="11" t="n"/>
      <c r="AN1888">
        <f>IF($E1888="","",IF(COUNTIF($E$2:$E1888,$E1888)=1,1,0))</f>
        <v/>
      </c>
      <c r="AO1888">
        <f>IF($AN1888=1,SUMPRODUCT(--($AR$2:$AR$3001&lt;$AR1888))+1,"")</f>
        <v/>
      </c>
      <c r="AP1888">
        <f>IF($E1888="","",IF(OR($U1888=TRUE(),$U1888="TRUE"),1,0))</f>
        <v/>
      </c>
      <c r="AQ1888">
        <f>IF($E1888="","",IF($AD1888="Yes",1,0))</f>
        <v/>
      </c>
      <c r="AR1888">
        <f>IF($AN1888=1,IFERROR(VALUE(MID($E1888,2,20)),1000000000)+ROW()/100000,"")</f>
        <v/>
      </c>
    </row>
    <row r="1889">
      <c r="G1889" s="11" t="n"/>
      <c r="Q1889" s="7">
        <f>IF($E1889="","",P1889*AB1889/100)</f>
        <v/>
      </c>
      <c r="R1889" s="7" t="n"/>
      <c r="X1889" s="7" t="n"/>
      <c r="Y1889" s="7">
        <f>IF($E1889="","",AB1889*AE1889/100)</f>
        <v/>
      </c>
      <c r="Z1889" s="7">
        <f>IF($E1889="","",AB1889-Y1889)</f>
        <v/>
      </c>
      <c r="AA1889" s="7">
        <f>IF($E1889="","",Z1889-Q1889)</f>
        <v/>
      </c>
      <c r="AB1889" s="7" t="n"/>
      <c r="AE1889">
        <f>IF($E1889="","",IF($AQ1889=1,0,IF($AP1889=1,Settings!$C$6,Settings!$C$7))*100)</f>
        <v/>
      </c>
      <c r="AI1889" s="7" t="n"/>
      <c r="AL1889" s="11" t="n"/>
      <c r="AN1889">
        <f>IF($E1889="","",IF(COUNTIF($E$2:$E1889,$E1889)=1,1,0))</f>
        <v/>
      </c>
      <c r="AO1889">
        <f>IF($AN1889=1,SUMPRODUCT(--($AR$2:$AR$3001&lt;$AR1889))+1,"")</f>
        <v/>
      </c>
      <c r="AP1889">
        <f>IF($E1889="","",IF(OR($U1889=TRUE(),$U1889="TRUE"),1,0))</f>
        <v/>
      </c>
      <c r="AQ1889">
        <f>IF($E1889="","",IF($AD1889="Yes",1,0))</f>
        <v/>
      </c>
      <c r="AR1889">
        <f>IF($AN1889=1,IFERROR(VALUE(MID($E1889,2,20)),1000000000)+ROW()/100000,"")</f>
        <v/>
      </c>
    </row>
    <row r="1890">
      <c r="G1890" s="11" t="n"/>
      <c r="Q1890" s="7">
        <f>IF($E1890="","",P1890*AB1890/100)</f>
        <v/>
      </c>
      <c r="R1890" s="7" t="n"/>
      <c r="X1890" s="7" t="n"/>
      <c r="Y1890" s="7">
        <f>IF($E1890="","",AB1890*AE1890/100)</f>
        <v/>
      </c>
      <c r="Z1890" s="7">
        <f>IF($E1890="","",AB1890-Y1890)</f>
        <v/>
      </c>
      <c r="AA1890" s="7">
        <f>IF($E1890="","",Z1890-Q1890)</f>
        <v/>
      </c>
      <c r="AB1890" s="7" t="n"/>
      <c r="AE1890">
        <f>IF($E1890="","",IF($AQ1890=1,0,IF($AP1890=1,Settings!$C$6,Settings!$C$7))*100)</f>
        <v/>
      </c>
      <c r="AI1890" s="7" t="n"/>
      <c r="AL1890" s="11" t="n"/>
      <c r="AN1890">
        <f>IF($E1890="","",IF(COUNTIF($E$2:$E1890,$E1890)=1,1,0))</f>
        <v/>
      </c>
      <c r="AO1890">
        <f>IF($AN1890=1,SUMPRODUCT(--($AR$2:$AR$3001&lt;$AR1890))+1,"")</f>
        <v/>
      </c>
      <c r="AP1890">
        <f>IF($E1890="","",IF(OR($U1890=TRUE(),$U1890="TRUE"),1,0))</f>
        <v/>
      </c>
      <c r="AQ1890">
        <f>IF($E1890="","",IF($AD1890="Yes",1,0))</f>
        <v/>
      </c>
      <c r="AR1890">
        <f>IF($AN1890=1,IFERROR(VALUE(MID($E1890,2,20)),1000000000)+ROW()/100000,"")</f>
        <v/>
      </c>
    </row>
    <row r="1891">
      <c r="G1891" s="11" t="n"/>
      <c r="Q1891" s="7">
        <f>IF($E1891="","",P1891*AB1891/100)</f>
        <v/>
      </c>
      <c r="R1891" s="7" t="n"/>
      <c r="X1891" s="7" t="n"/>
      <c r="Y1891" s="7">
        <f>IF($E1891="","",AB1891*AE1891/100)</f>
        <v/>
      </c>
      <c r="Z1891" s="7">
        <f>IF($E1891="","",AB1891-Y1891)</f>
        <v/>
      </c>
      <c r="AA1891" s="7">
        <f>IF($E1891="","",Z1891-Q1891)</f>
        <v/>
      </c>
      <c r="AB1891" s="7" t="n"/>
      <c r="AE1891">
        <f>IF($E1891="","",IF($AQ1891=1,0,IF($AP1891=1,Settings!$C$6,Settings!$C$7))*100)</f>
        <v/>
      </c>
      <c r="AI1891" s="7" t="n"/>
      <c r="AL1891" s="11" t="n"/>
      <c r="AN1891">
        <f>IF($E1891="","",IF(COUNTIF($E$2:$E1891,$E1891)=1,1,0))</f>
        <v/>
      </c>
      <c r="AO1891">
        <f>IF($AN1891=1,SUMPRODUCT(--($AR$2:$AR$3001&lt;$AR1891))+1,"")</f>
        <v/>
      </c>
      <c r="AP1891">
        <f>IF($E1891="","",IF(OR($U1891=TRUE(),$U1891="TRUE"),1,0))</f>
        <v/>
      </c>
      <c r="AQ1891">
        <f>IF($E1891="","",IF($AD1891="Yes",1,0))</f>
        <v/>
      </c>
      <c r="AR1891">
        <f>IF($AN1891=1,IFERROR(VALUE(MID($E1891,2,20)),1000000000)+ROW()/100000,"")</f>
        <v/>
      </c>
    </row>
    <row r="1892">
      <c r="G1892" s="11" t="n"/>
      <c r="Q1892" s="7">
        <f>IF($E1892="","",P1892*AB1892/100)</f>
        <v/>
      </c>
      <c r="R1892" s="7" t="n"/>
      <c r="X1892" s="7" t="n"/>
      <c r="Y1892" s="7">
        <f>IF($E1892="","",AB1892*AE1892/100)</f>
        <v/>
      </c>
      <c r="Z1892" s="7">
        <f>IF($E1892="","",AB1892-Y1892)</f>
        <v/>
      </c>
      <c r="AA1892" s="7">
        <f>IF($E1892="","",Z1892-Q1892)</f>
        <v/>
      </c>
      <c r="AB1892" s="7" t="n"/>
      <c r="AE1892">
        <f>IF($E1892="","",IF($AQ1892=1,0,IF($AP1892=1,Settings!$C$6,Settings!$C$7))*100)</f>
        <v/>
      </c>
      <c r="AI1892" s="7" t="n"/>
      <c r="AL1892" s="11" t="n"/>
      <c r="AN1892">
        <f>IF($E1892="","",IF(COUNTIF($E$2:$E1892,$E1892)=1,1,0))</f>
        <v/>
      </c>
      <c r="AO1892">
        <f>IF($AN1892=1,SUMPRODUCT(--($AR$2:$AR$3001&lt;$AR1892))+1,"")</f>
        <v/>
      </c>
      <c r="AP1892">
        <f>IF($E1892="","",IF(OR($U1892=TRUE(),$U1892="TRUE"),1,0))</f>
        <v/>
      </c>
      <c r="AQ1892">
        <f>IF($E1892="","",IF($AD1892="Yes",1,0))</f>
        <v/>
      </c>
      <c r="AR1892">
        <f>IF($AN1892=1,IFERROR(VALUE(MID($E1892,2,20)),1000000000)+ROW()/100000,"")</f>
        <v/>
      </c>
    </row>
    <row r="1893">
      <c r="G1893" s="11" t="n"/>
      <c r="Q1893" s="7">
        <f>IF($E1893="","",P1893*AB1893/100)</f>
        <v/>
      </c>
      <c r="R1893" s="7" t="n"/>
      <c r="X1893" s="7" t="n"/>
      <c r="Y1893" s="7">
        <f>IF($E1893="","",AB1893*AE1893/100)</f>
        <v/>
      </c>
      <c r="Z1893" s="7">
        <f>IF($E1893="","",AB1893-Y1893)</f>
        <v/>
      </c>
      <c r="AA1893" s="7">
        <f>IF($E1893="","",Z1893-Q1893)</f>
        <v/>
      </c>
      <c r="AB1893" s="7" t="n"/>
      <c r="AE1893">
        <f>IF($E1893="","",IF($AQ1893=1,0,IF($AP1893=1,Settings!$C$6,Settings!$C$7))*100)</f>
        <v/>
      </c>
      <c r="AI1893" s="7" t="n"/>
      <c r="AL1893" s="11" t="n"/>
      <c r="AN1893">
        <f>IF($E1893="","",IF(COUNTIF($E$2:$E1893,$E1893)=1,1,0))</f>
        <v/>
      </c>
      <c r="AO1893">
        <f>IF($AN1893=1,SUMPRODUCT(--($AR$2:$AR$3001&lt;$AR1893))+1,"")</f>
        <v/>
      </c>
      <c r="AP1893">
        <f>IF($E1893="","",IF(OR($U1893=TRUE(),$U1893="TRUE"),1,0))</f>
        <v/>
      </c>
      <c r="AQ1893">
        <f>IF($E1893="","",IF($AD1893="Yes",1,0))</f>
        <v/>
      </c>
      <c r="AR1893">
        <f>IF($AN1893=1,IFERROR(VALUE(MID($E1893,2,20)),1000000000)+ROW()/100000,"")</f>
        <v/>
      </c>
    </row>
    <row r="1894">
      <c r="G1894" s="11" t="n"/>
      <c r="Q1894" s="7">
        <f>IF($E1894="","",P1894*AB1894/100)</f>
        <v/>
      </c>
      <c r="R1894" s="7" t="n"/>
      <c r="X1894" s="7" t="n"/>
      <c r="Y1894" s="7">
        <f>IF($E1894="","",AB1894*AE1894/100)</f>
        <v/>
      </c>
      <c r="Z1894" s="7">
        <f>IF($E1894="","",AB1894-Y1894)</f>
        <v/>
      </c>
      <c r="AA1894" s="7">
        <f>IF($E1894="","",Z1894-Q1894)</f>
        <v/>
      </c>
      <c r="AB1894" s="7" t="n"/>
      <c r="AE1894">
        <f>IF($E1894="","",IF($AQ1894=1,0,IF($AP1894=1,Settings!$C$6,Settings!$C$7))*100)</f>
        <v/>
      </c>
      <c r="AI1894" s="7" t="n"/>
      <c r="AL1894" s="11" t="n"/>
      <c r="AN1894">
        <f>IF($E1894="","",IF(COUNTIF($E$2:$E1894,$E1894)=1,1,0))</f>
        <v/>
      </c>
      <c r="AO1894">
        <f>IF($AN1894=1,SUMPRODUCT(--($AR$2:$AR$3001&lt;$AR1894))+1,"")</f>
        <v/>
      </c>
      <c r="AP1894">
        <f>IF($E1894="","",IF(OR($U1894=TRUE(),$U1894="TRUE"),1,0))</f>
        <v/>
      </c>
      <c r="AQ1894">
        <f>IF($E1894="","",IF($AD1894="Yes",1,0))</f>
        <v/>
      </c>
      <c r="AR1894">
        <f>IF($AN1894=1,IFERROR(VALUE(MID($E1894,2,20)),1000000000)+ROW()/100000,"")</f>
        <v/>
      </c>
    </row>
    <row r="1895">
      <c r="G1895" s="11" t="n"/>
      <c r="Q1895" s="7">
        <f>IF($E1895="","",P1895*AB1895/100)</f>
        <v/>
      </c>
      <c r="R1895" s="7" t="n"/>
      <c r="X1895" s="7" t="n"/>
      <c r="Y1895" s="7">
        <f>IF($E1895="","",AB1895*AE1895/100)</f>
        <v/>
      </c>
      <c r="Z1895" s="7">
        <f>IF($E1895="","",AB1895-Y1895)</f>
        <v/>
      </c>
      <c r="AA1895" s="7">
        <f>IF($E1895="","",Z1895-Q1895)</f>
        <v/>
      </c>
      <c r="AB1895" s="7" t="n"/>
      <c r="AE1895">
        <f>IF($E1895="","",IF($AQ1895=1,0,IF($AP1895=1,Settings!$C$6,Settings!$C$7))*100)</f>
        <v/>
      </c>
      <c r="AI1895" s="7" t="n"/>
      <c r="AL1895" s="11" t="n"/>
      <c r="AN1895">
        <f>IF($E1895="","",IF(COUNTIF($E$2:$E1895,$E1895)=1,1,0))</f>
        <v/>
      </c>
      <c r="AO1895">
        <f>IF($AN1895=1,SUMPRODUCT(--($AR$2:$AR$3001&lt;$AR1895))+1,"")</f>
        <v/>
      </c>
      <c r="AP1895">
        <f>IF($E1895="","",IF(OR($U1895=TRUE(),$U1895="TRUE"),1,0))</f>
        <v/>
      </c>
      <c r="AQ1895">
        <f>IF($E1895="","",IF($AD1895="Yes",1,0))</f>
        <v/>
      </c>
      <c r="AR1895">
        <f>IF($AN1895=1,IFERROR(VALUE(MID($E1895,2,20)),1000000000)+ROW()/100000,"")</f>
        <v/>
      </c>
    </row>
    <row r="1896">
      <c r="G1896" s="11" t="n"/>
      <c r="Q1896" s="7">
        <f>IF($E1896="","",P1896*AB1896/100)</f>
        <v/>
      </c>
      <c r="R1896" s="7" t="n"/>
      <c r="X1896" s="7" t="n"/>
      <c r="Y1896" s="7">
        <f>IF($E1896="","",AB1896*AE1896/100)</f>
        <v/>
      </c>
      <c r="Z1896" s="7">
        <f>IF($E1896="","",AB1896-Y1896)</f>
        <v/>
      </c>
      <c r="AA1896" s="7">
        <f>IF($E1896="","",Z1896-Q1896)</f>
        <v/>
      </c>
      <c r="AB1896" s="7" t="n"/>
      <c r="AE1896">
        <f>IF($E1896="","",IF($AQ1896=1,0,IF($AP1896=1,Settings!$C$6,Settings!$C$7))*100)</f>
        <v/>
      </c>
      <c r="AI1896" s="7" t="n"/>
      <c r="AL1896" s="11" t="n"/>
      <c r="AN1896">
        <f>IF($E1896="","",IF(COUNTIF($E$2:$E1896,$E1896)=1,1,0))</f>
        <v/>
      </c>
      <c r="AO1896">
        <f>IF($AN1896=1,SUMPRODUCT(--($AR$2:$AR$3001&lt;$AR1896))+1,"")</f>
        <v/>
      </c>
      <c r="AP1896">
        <f>IF($E1896="","",IF(OR($U1896=TRUE(),$U1896="TRUE"),1,0))</f>
        <v/>
      </c>
      <c r="AQ1896">
        <f>IF($E1896="","",IF($AD1896="Yes",1,0))</f>
        <v/>
      </c>
      <c r="AR1896">
        <f>IF($AN1896=1,IFERROR(VALUE(MID($E1896,2,20)),1000000000)+ROW()/100000,"")</f>
        <v/>
      </c>
    </row>
    <row r="1897">
      <c r="G1897" s="11" t="n"/>
      <c r="Q1897" s="7">
        <f>IF($E1897="","",P1897*AB1897/100)</f>
        <v/>
      </c>
      <c r="R1897" s="7" t="n"/>
      <c r="X1897" s="7" t="n"/>
      <c r="Y1897" s="7">
        <f>IF($E1897="","",AB1897*AE1897/100)</f>
        <v/>
      </c>
      <c r="Z1897" s="7">
        <f>IF($E1897="","",AB1897-Y1897)</f>
        <v/>
      </c>
      <c r="AA1897" s="7">
        <f>IF($E1897="","",Z1897-Q1897)</f>
        <v/>
      </c>
      <c r="AB1897" s="7" t="n"/>
      <c r="AE1897">
        <f>IF($E1897="","",IF($AQ1897=1,0,IF($AP1897=1,Settings!$C$6,Settings!$C$7))*100)</f>
        <v/>
      </c>
      <c r="AI1897" s="7" t="n"/>
      <c r="AL1897" s="11" t="n"/>
      <c r="AN1897">
        <f>IF($E1897="","",IF(COUNTIF($E$2:$E1897,$E1897)=1,1,0))</f>
        <v/>
      </c>
      <c r="AO1897">
        <f>IF($AN1897=1,SUMPRODUCT(--($AR$2:$AR$3001&lt;$AR1897))+1,"")</f>
        <v/>
      </c>
      <c r="AP1897">
        <f>IF($E1897="","",IF(OR($U1897=TRUE(),$U1897="TRUE"),1,0))</f>
        <v/>
      </c>
      <c r="AQ1897">
        <f>IF($E1897="","",IF($AD1897="Yes",1,0))</f>
        <v/>
      </c>
      <c r="AR1897">
        <f>IF($AN1897=1,IFERROR(VALUE(MID($E1897,2,20)),1000000000)+ROW()/100000,"")</f>
        <v/>
      </c>
    </row>
    <row r="1898">
      <c r="G1898" s="11" t="n"/>
      <c r="Q1898" s="7">
        <f>IF($E1898="","",P1898*AB1898/100)</f>
        <v/>
      </c>
      <c r="R1898" s="7" t="n"/>
      <c r="X1898" s="7" t="n"/>
      <c r="Y1898" s="7">
        <f>IF($E1898="","",AB1898*AE1898/100)</f>
        <v/>
      </c>
      <c r="Z1898" s="7">
        <f>IF($E1898="","",AB1898-Y1898)</f>
        <v/>
      </c>
      <c r="AA1898" s="7">
        <f>IF($E1898="","",Z1898-Q1898)</f>
        <v/>
      </c>
      <c r="AB1898" s="7" t="n"/>
      <c r="AE1898">
        <f>IF($E1898="","",IF($AQ1898=1,0,IF($AP1898=1,Settings!$C$6,Settings!$C$7))*100)</f>
        <v/>
      </c>
      <c r="AI1898" s="7" t="n"/>
      <c r="AL1898" s="11" t="n"/>
      <c r="AN1898">
        <f>IF($E1898="","",IF(COUNTIF($E$2:$E1898,$E1898)=1,1,0))</f>
        <v/>
      </c>
      <c r="AO1898">
        <f>IF($AN1898=1,SUMPRODUCT(--($AR$2:$AR$3001&lt;$AR1898))+1,"")</f>
        <v/>
      </c>
      <c r="AP1898">
        <f>IF($E1898="","",IF(OR($U1898=TRUE(),$U1898="TRUE"),1,0))</f>
        <v/>
      </c>
      <c r="AQ1898">
        <f>IF($E1898="","",IF($AD1898="Yes",1,0))</f>
        <v/>
      </c>
      <c r="AR1898">
        <f>IF($AN1898=1,IFERROR(VALUE(MID($E1898,2,20)),1000000000)+ROW()/100000,"")</f>
        <v/>
      </c>
    </row>
    <row r="1899">
      <c r="G1899" s="11" t="n"/>
      <c r="Q1899" s="7">
        <f>IF($E1899="","",P1899*AB1899/100)</f>
        <v/>
      </c>
      <c r="R1899" s="7" t="n"/>
      <c r="X1899" s="7" t="n"/>
      <c r="Y1899" s="7">
        <f>IF($E1899="","",AB1899*AE1899/100)</f>
        <v/>
      </c>
      <c r="Z1899" s="7">
        <f>IF($E1899="","",AB1899-Y1899)</f>
        <v/>
      </c>
      <c r="AA1899" s="7">
        <f>IF($E1899="","",Z1899-Q1899)</f>
        <v/>
      </c>
      <c r="AB1899" s="7" t="n"/>
      <c r="AE1899">
        <f>IF($E1899="","",IF($AQ1899=1,0,IF($AP1899=1,Settings!$C$6,Settings!$C$7))*100)</f>
        <v/>
      </c>
      <c r="AI1899" s="7" t="n"/>
      <c r="AL1899" s="11" t="n"/>
      <c r="AN1899">
        <f>IF($E1899="","",IF(COUNTIF($E$2:$E1899,$E1899)=1,1,0))</f>
        <v/>
      </c>
      <c r="AO1899">
        <f>IF($AN1899=1,SUMPRODUCT(--($AR$2:$AR$3001&lt;$AR1899))+1,"")</f>
        <v/>
      </c>
      <c r="AP1899">
        <f>IF($E1899="","",IF(OR($U1899=TRUE(),$U1899="TRUE"),1,0))</f>
        <v/>
      </c>
      <c r="AQ1899">
        <f>IF($E1899="","",IF($AD1899="Yes",1,0))</f>
        <v/>
      </c>
      <c r="AR1899">
        <f>IF($AN1899=1,IFERROR(VALUE(MID($E1899,2,20)),1000000000)+ROW()/100000,"")</f>
        <v/>
      </c>
    </row>
    <row r="1900">
      <c r="G1900" s="11" t="n"/>
      <c r="Q1900" s="7">
        <f>IF($E1900="","",P1900*AB1900/100)</f>
        <v/>
      </c>
      <c r="R1900" s="7" t="n"/>
      <c r="X1900" s="7" t="n"/>
      <c r="Y1900" s="7">
        <f>IF($E1900="","",AB1900*AE1900/100)</f>
        <v/>
      </c>
      <c r="Z1900" s="7">
        <f>IF($E1900="","",AB1900-Y1900)</f>
        <v/>
      </c>
      <c r="AA1900" s="7">
        <f>IF($E1900="","",Z1900-Q1900)</f>
        <v/>
      </c>
      <c r="AB1900" s="7" t="n"/>
      <c r="AE1900">
        <f>IF($E1900="","",IF($AQ1900=1,0,IF($AP1900=1,Settings!$C$6,Settings!$C$7))*100)</f>
        <v/>
      </c>
      <c r="AI1900" s="7" t="n"/>
      <c r="AL1900" s="11" t="n"/>
      <c r="AN1900">
        <f>IF($E1900="","",IF(COUNTIF($E$2:$E1900,$E1900)=1,1,0))</f>
        <v/>
      </c>
      <c r="AO1900">
        <f>IF($AN1900=1,SUMPRODUCT(--($AR$2:$AR$3001&lt;$AR1900))+1,"")</f>
        <v/>
      </c>
      <c r="AP1900">
        <f>IF($E1900="","",IF(OR($U1900=TRUE(),$U1900="TRUE"),1,0))</f>
        <v/>
      </c>
      <c r="AQ1900">
        <f>IF($E1900="","",IF($AD1900="Yes",1,0))</f>
        <v/>
      </c>
      <c r="AR1900">
        <f>IF($AN1900=1,IFERROR(VALUE(MID($E1900,2,20)),1000000000)+ROW()/100000,"")</f>
        <v/>
      </c>
    </row>
    <row r="1901">
      <c r="G1901" s="11" t="n"/>
      <c r="Q1901" s="7">
        <f>IF($E1901="","",P1901*AB1901/100)</f>
        <v/>
      </c>
      <c r="R1901" s="7" t="n"/>
      <c r="X1901" s="7" t="n"/>
      <c r="Y1901" s="7">
        <f>IF($E1901="","",AB1901*AE1901/100)</f>
        <v/>
      </c>
      <c r="Z1901" s="7">
        <f>IF($E1901="","",AB1901-Y1901)</f>
        <v/>
      </c>
      <c r="AA1901" s="7">
        <f>IF($E1901="","",Z1901-Q1901)</f>
        <v/>
      </c>
      <c r="AB1901" s="7" t="n"/>
      <c r="AE1901">
        <f>IF($E1901="","",IF($AQ1901=1,0,IF($AP1901=1,Settings!$C$6,Settings!$C$7))*100)</f>
        <v/>
      </c>
      <c r="AI1901" s="7" t="n"/>
      <c r="AL1901" s="11" t="n"/>
      <c r="AN1901">
        <f>IF($E1901="","",IF(COUNTIF($E$2:$E1901,$E1901)=1,1,0))</f>
        <v/>
      </c>
      <c r="AO1901">
        <f>IF($AN1901=1,SUMPRODUCT(--($AR$2:$AR$3001&lt;$AR1901))+1,"")</f>
        <v/>
      </c>
      <c r="AP1901">
        <f>IF($E1901="","",IF(OR($U1901=TRUE(),$U1901="TRUE"),1,0))</f>
        <v/>
      </c>
      <c r="AQ1901">
        <f>IF($E1901="","",IF($AD1901="Yes",1,0))</f>
        <v/>
      </c>
      <c r="AR1901">
        <f>IF($AN1901=1,IFERROR(VALUE(MID($E1901,2,20)),1000000000)+ROW()/100000,"")</f>
        <v/>
      </c>
    </row>
    <row r="1902">
      <c r="G1902" s="11" t="n"/>
      <c r="Q1902" s="7">
        <f>IF($E1902="","",P1902*AB1902/100)</f>
        <v/>
      </c>
      <c r="R1902" s="7" t="n"/>
      <c r="X1902" s="7" t="n"/>
      <c r="Y1902" s="7">
        <f>IF($E1902="","",AB1902*AE1902/100)</f>
        <v/>
      </c>
      <c r="Z1902" s="7">
        <f>IF($E1902="","",AB1902-Y1902)</f>
        <v/>
      </c>
      <c r="AA1902" s="7">
        <f>IF($E1902="","",Z1902-Q1902)</f>
        <v/>
      </c>
      <c r="AB1902" s="7" t="n"/>
      <c r="AE1902">
        <f>IF($E1902="","",IF($AQ1902=1,0,IF($AP1902=1,Settings!$C$6,Settings!$C$7))*100)</f>
        <v/>
      </c>
      <c r="AI1902" s="7" t="n"/>
      <c r="AL1902" s="11" t="n"/>
      <c r="AN1902">
        <f>IF($E1902="","",IF(COUNTIF($E$2:$E1902,$E1902)=1,1,0))</f>
        <v/>
      </c>
      <c r="AO1902">
        <f>IF($AN1902=1,SUMPRODUCT(--($AR$2:$AR$3001&lt;$AR1902))+1,"")</f>
        <v/>
      </c>
      <c r="AP1902">
        <f>IF($E1902="","",IF(OR($U1902=TRUE(),$U1902="TRUE"),1,0))</f>
        <v/>
      </c>
      <c r="AQ1902">
        <f>IF($E1902="","",IF($AD1902="Yes",1,0))</f>
        <v/>
      </c>
      <c r="AR1902">
        <f>IF($AN1902=1,IFERROR(VALUE(MID($E1902,2,20)),1000000000)+ROW()/100000,"")</f>
        <v/>
      </c>
    </row>
    <row r="1903">
      <c r="G1903" s="11" t="n"/>
      <c r="Q1903" s="7">
        <f>IF($E1903="","",P1903*AB1903/100)</f>
        <v/>
      </c>
      <c r="R1903" s="7" t="n"/>
      <c r="X1903" s="7" t="n"/>
      <c r="Y1903" s="7">
        <f>IF($E1903="","",AB1903*AE1903/100)</f>
        <v/>
      </c>
      <c r="Z1903" s="7">
        <f>IF($E1903="","",AB1903-Y1903)</f>
        <v/>
      </c>
      <c r="AA1903" s="7">
        <f>IF($E1903="","",Z1903-Q1903)</f>
        <v/>
      </c>
      <c r="AB1903" s="7" t="n"/>
      <c r="AE1903">
        <f>IF($E1903="","",IF($AQ1903=1,0,IF($AP1903=1,Settings!$C$6,Settings!$C$7))*100)</f>
        <v/>
      </c>
      <c r="AI1903" s="7" t="n"/>
      <c r="AL1903" s="11" t="n"/>
      <c r="AN1903">
        <f>IF($E1903="","",IF(COUNTIF($E$2:$E1903,$E1903)=1,1,0))</f>
        <v/>
      </c>
      <c r="AO1903">
        <f>IF($AN1903=1,SUMPRODUCT(--($AR$2:$AR$3001&lt;$AR1903))+1,"")</f>
        <v/>
      </c>
      <c r="AP1903">
        <f>IF($E1903="","",IF(OR($U1903=TRUE(),$U1903="TRUE"),1,0))</f>
        <v/>
      </c>
      <c r="AQ1903">
        <f>IF($E1903="","",IF($AD1903="Yes",1,0))</f>
        <v/>
      </c>
      <c r="AR1903">
        <f>IF($AN1903=1,IFERROR(VALUE(MID($E1903,2,20)),1000000000)+ROW()/100000,"")</f>
        <v/>
      </c>
    </row>
    <row r="1904">
      <c r="G1904" s="11" t="n"/>
      <c r="Q1904" s="7">
        <f>IF($E1904="","",P1904*AB1904/100)</f>
        <v/>
      </c>
      <c r="R1904" s="7" t="n"/>
      <c r="X1904" s="7" t="n"/>
      <c r="Y1904" s="7">
        <f>IF($E1904="","",AB1904*AE1904/100)</f>
        <v/>
      </c>
      <c r="Z1904" s="7">
        <f>IF($E1904="","",AB1904-Y1904)</f>
        <v/>
      </c>
      <c r="AA1904" s="7">
        <f>IF($E1904="","",Z1904-Q1904)</f>
        <v/>
      </c>
      <c r="AB1904" s="7" t="n"/>
      <c r="AE1904">
        <f>IF($E1904="","",IF($AQ1904=1,0,IF($AP1904=1,Settings!$C$6,Settings!$C$7))*100)</f>
        <v/>
      </c>
      <c r="AI1904" s="7" t="n"/>
      <c r="AL1904" s="11" t="n"/>
      <c r="AN1904">
        <f>IF($E1904="","",IF(COUNTIF($E$2:$E1904,$E1904)=1,1,0))</f>
        <v/>
      </c>
      <c r="AO1904">
        <f>IF($AN1904=1,SUMPRODUCT(--($AR$2:$AR$3001&lt;$AR1904))+1,"")</f>
        <v/>
      </c>
      <c r="AP1904">
        <f>IF($E1904="","",IF(OR($U1904=TRUE(),$U1904="TRUE"),1,0))</f>
        <v/>
      </c>
      <c r="AQ1904">
        <f>IF($E1904="","",IF($AD1904="Yes",1,0))</f>
        <v/>
      </c>
      <c r="AR1904">
        <f>IF($AN1904=1,IFERROR(VALUE(MID($E1904,2,20)),1000000000)+ROW()/100000,"")</f>
        <v/>
      </c>
    </row>
    <row r="1905">
      <c r="G1905" s="11" t="n"/>
      <c r="Q1905" s="7">
        <f>IF($E1905="","",P1905*AB1905/100)</f>
        <v/>
      </c>
      <c r="R1905" s="7" t="n"/>
      <c r="X1905" s="7" t="n"/>
      <c r="Y1905" s="7">
        <f>IF($E1905="","",AB1905*AE1905/100)</f>
        <v/>
      </c>
      <c r="Z1905" s="7">
        <f>IF($E1905="","",AB1905-Y1905)</f>
        <v/>
      </c>
      <c r="AA1905" s="7">
        <f>IF($E1905="","",Z1905-Q1905)</f>
        <v/>
      </c>
      <c r="AB1905" s="7" t="n"/>
      <c r="AE1905">
        <f>IF($E1905="","",IF($AQ1905=1,0,IF($AP1905=1,Settings!$C$6,Settings!$C$7))*100)</f>
        <v/>
      </c>
      <c r="AI1905" s="7" t="n"/>
      <c r="AL1905" s="11" t="n"/>
      <c r="AN1905">
        <f>IF($E1905="","",IF(COUNTIF($E$2:$E1905,$E1905)=1,1,0))</f>
        <v/>
      </c>
      <c r="AO1905">
        <f>IF($AN1905=1,SUMPRODUCT(--($AR$2:$AR$3001&lt;$AR1905))+1,"")</f>
        <v/>
      </c>
      <c r="AP1905">
        <f>IF($E1905="","",IF(OR($U1905=TRUE(),$U1905="TRUE"),1,0))</f>
        <v/>
      </c>
      <c r="AQ1905">
        <f>IF($E1905="","",IF($AD1905="Yes",1,0))</f>
        <v/>
      </c>
      <c r="AR1905">
        <f>IF($AN1905=1,IFERROR(VALUE(MID($E1905,2,20)),1000000000)+ROW()/100000,"")</f>
        <v/>
      </c>
    </row>
    <row r="1906">
      <c r="G1906" s="11" t="n"/>
      <c r="Q1906" s="7">
        <f>IF($E1906="","",P1906*AB1906/100)</f>
        <v/>
      </c>
      <c r="R1906" s="7" t="n"/>
      <c r="X1906" s="7" t="n"/>
      <c r="Y1906" s="7">
        <f>IF($E1906="","",AB1906*AE1906/100)</f>
        <v/>
      </c>
      <c r="Z1906" s="7">
        <f>IF($E1906="","",AB1906-Y1906)</f>
        <v/>
      </c>
      <c r="AA1906" s="7">
        <f>IF($E1906="","",Z1906-Q1906)</f>
        <v/>
      </c>
      <c r="AB1906" s="7" t="n"/>
      <c r="AE1906">
        <f>IF($E1906="","",IF($AQ1906=1,0,IF($AP1906=1,Settings!$C$6,Settings!$C$7))*100)</f>
        <v/>
      </c>
      <c r="AI1906" s="7" t="n"/>
      <c r="AL1906" s="11" t="n"/>
      <c r="AN1906">
        <f>IF($E1906="","",IF(COUNTIF($E$2:$E1906,$E1906)=1,1,0))</f>
        <v/>
      </c>
      <c r="AO1906">
        <f>IF($AN1906=1,SUMPRODUCT(--($AR$2:$AR$3001&lt;$AR1906))+1,"")</f>
        <v/>
      </c>
      <c r="AP1906">
        <f>IF($E1906="","",IF(OR($U1906=TRUE(),$U1906="TRUE"),1,0))</f>
        <v/>
      </c>
      <c r="AQ1906">
        <f>IF($E1906="","",IF($AD1906="Yes",1,0))</f>
        <v/>
      </c>
      <c r="AR1906">
        <f>IF($AN1906=1,IFERROR(VALUE(MID($E1906,2,20)),1000000000)+ROW()/100000,"")</f>
        <v/>
      </c>
    </row>
    <row r="1907">
      <c r="G1907" s="11" t="n"/>
      <c r="Q1907" s="7">
        <f>IF($E1907="","",P1907*AB1907/100)</f>
        <v/>
      </c>
      <c r="R1907" s="7" t="n"/>
      <c r="X1907" s="7" t="n"/>
      <c r="Y1907" s="7">
        <f>IF($E1907="","",AB1907*AE1907/100)</f>
        <v/>
      </c>
      <c r="Z1907" s="7">
        <f>IF($E1907="","",AB1907-Y1907)</f>
        <v/>
      </c>
      <c r="AA1907" s="7">
        <f>IF($E1907="","",Z1907-Q1907)</f>
        <v/>
      </c>
      <c r="AB1907" s="7" t="n"/>
      <c r="AE1907">
        <f>IF($E1907="","",IF($AQ1907=1,0,IF($AP1907=1,Settings!$C$6,Settings!$C$7))*100)</f>
        <v/>
      </c>
      <c r="AI1907" s="7" t="n"/>
      <c r="AL1907" s="11" t="n"/>
      <c r="AN1907">
        <f>IF($E1907="","",IF(COUNTIF($E$2:$E1907,$E1907)=1,1,0))</f>
        <v/>
      </c>
      <c r="AO1907">
        <f>IF($AN1907=1,SUMPRODUCT(--($AR$2:$AR$3001&lt;$AR1907))+1,"")</f>
        <v/>
      </c>
      <c r="AP1907">
        <f>IF($E1907="","",IF(OR($U1907=TRUE(),$U1907="TRUE"),1,0))</f>
        <v/>
      </c>
      <c r="AQ1907">
        <f>IF($E1907="","",IF($AD1907="Yes",1,0))</f>
        <v/>
      </c>
      <c r="AR1907">
        <f>IF($AN1907=1,IFERROR(VALUE(MID($E1907,2,20)),1000000000)+ROW()/100000,"")</f>
        <v/>
      </c>
    </row>
    <row r="1908">
      <c r="G1908" s="11" t="n"/>
      <c r="Q1908" s="7">
        <f>IF($E1908="","",P1908*AB1908/100)</f>
        <v/>
      </c>
      <c r="R1908" s="7" t="n"/>
      <c r="X1908" s="7" t="n"/>
      <c r="Y1908" s="7">
        <f>IF($E1908="","",AB1908*AE1908/100)</f>
        <v/>
      </c>
      <c r="Z1908" s="7">
        <f>IF($E1908="","",AB1908-Y1908)</f>
        <v/>
      </c>
      <c r="AA1908" s="7">
        <f>IF($E1908="","",Z1908-Q1908)</f>
        <v/>
      </c>
      <c r="AB1908" s="7" t="n"/>
      <c r="AE1908">
        <f>IF($E1908="","",IF($AQ1908=1,0,IF($AP1908=1,Settings!$C$6,Settings!$C$7))*100)</f>
        <v/>
      </c>
      <c r="AI1908" s="7" t="n"/>
      <c r="AL1908" s="11" t="n"/>
      <c r="AN1908">
        <f>IF($E1908="","",IF(COUNTIF($E$2:$E1908,$E1908)=1,1,0))</f>
        <v/>
      </c>
      <c r="AO1908">
        <f>IF($AN1908=1,SUMPRODUCT(--($AR$2:$AR$3001&lt;$AR1908))+1,"")</f>
        <v/>
      </c>
      <c r="AP1908">
        <f>IF($E1908="","",IF(OR($U1908=TRUE(),$U1908="TRUE"),1,0))</f>
        <v/>
      </c>
      <c r="AQ1908">
        <f>IF($E1908="","",IF($AD1908="Yes",1,0))</f>
        <v/>
      </c>
      <c r="AR1908">
        <f>IF($AN1908=1,IFERROR(VALUE(MID($E1908,2,20)),1000000000)+ROW()/100000,"")</f>
        <v/>
      </c>
    </row>
    <row r="1909">
      <c r="G1909" s="11" t="n"/>
      <c r="Q1909" s="7">
        <f>IF($E1909="","",P1909*AB1909/100)</f>
        <v/>
      </c>
      <c r="R1909" s="7" t="n"/>
      <c r="X1909" s="7" t="n"/>
      <c r="Y1909" s="7">
        <f>IF($E1909="","",AB1909*AE1909/100)</f>
        <v/>
      </c>
      <c r="Z1909" s="7">
        <f>IF($E1909="","",AB1909-Y1909)</f>
        <v/>
      </c>
      <c r="AA1909" s="7">
        <f>IF($E1909="","",Z1909-Q1909)</f>
        <v/>
      </c>
      <c r="AB1909" s="7" t="n"/>
      <c r="AE1909">
        <f>IF($E1909="","",IF($AQ1909=1,0,IF($AP1909=1,Settings!$C$6,Settings!$C$7))*100)</f>
        <v/>
      </c>
      <c r="AI1909" s="7" t="n"/>
      <c r="AL1909" s="11" t="n"/>
      <c r="AN1909">
        <f>IF($E1909="","",IF(COUNTIF($E$2:$E1909,$E1909)=1,1,0))</f>
        <v/>
      </c>
      <c r="AO1909">
        <f>IF($AN1909=1,SUMPRODUCT(--($AR$2:$AR$3001&lt;$AR1909))+1,"")</f>
        <v/>
      </c>
      <c r="AP1909">
        <f>IF($E1909="","",IF(OR($U1909=TRUE(),$U1909="TRUE"),1,0))</f>
        <v/>
      </c>
      <c r="AQ1909">
        <f>IF($E1909="","",IF($AD1909="Yes",1,0))</f>
        <v/>
      </c>
      <c r="AR1909">
        <f>IF($AN1909=1,IFERROR(VALUE(MID($E1909,2,20)),1000000000)+ROW()/100000,"")</f>
        <v/>
      </c>
    </row>
    <row r="1910">
      <c r="G1910" s="11" t="n"/>
      <c r="Q1910" s="7">
        <f>IF($E1910="","",P1910*AB1910/100)</f>
        <v/>
      </c>
      <c r="R1910" s="7" t="n"/>
      <c r="X1910" s="7" t="n"/>
      <c r="Y1910" s="7">
        <f>IF($E1910="","",AB1910*AE1910/100)</f>
        <v/>
      </c>
      <c r="Z1910" s="7">
        <f>IF($E1910="","",AB1910-Y1910)</f>
        <v/>
      </c>
      <c r="AA1910" s="7">
        <f>IF($E1910="","",Z1910-Q1910)</f>
        <v/>
      </c>
      <c r="AB1910" s="7" t="n"/>
      <c r="AE1910">
        <f>IF($E1910="","",IF($AQ1910=1,0,IF($AP1910=1,Settings!$C$6,Settings!$C$7))*100)</f>
        <v/>
      </c>
      <c r="AI1910" s="7" t="n"/>
      <c r="AL1910" s="11" t="n"/>
      <c r="AN1910">
        <f>IF($E1910="","",IF(COUNTIF($E$2:$E1910,$E1910)=1,1,0))</f>
        <v/>
      </c>
      <c r="AO1910">
        <f>IF($AN1910=1,SUMPRODUCT(--($AR$2:$AR$3001&lt;$AR1910))+1,"")</f>
        <v/>
      </c>
      <c r="AP1910">
        <f>IF($E1910="","",IF(OR($U1910=TRUE(),$U1910="TRUE"),1,0))</f>
        <v/>
      </c>
      <c r="AQ1910">
        <f>IF($E1910="","",IF($AD1910="Yes",1,0))</f>
        <v/>
      </c>
      <c r="AR1910">
        <f>IF($AN1910=1,IFERROR(VALUE(MID($E1910,2,20)),1000000000)+ROW()/100000,"")</f>
        <v/>
      </c>
    </row>
    <row r="1911">
      <c r="G1911" s="11" t="n"/>
      <c r="Q1911" s="7">
        <f>IF($E1911="","",P1911*AB1911/100)</f>
        <v/>
      </c>
      <c r="R1911" s="7" t="n"/>
      <c r="X1911" s="7" t="n"/>
      <c r="Y1911" s="7">
        <f>IF($E1911="","",AB1911*AE1911/100)</f>
        <v/>
      </c>
      <c r="Z1911" s="7">
        <f>IF($E1911="","",AB1911-Y1911)</f>
        <v/>
      </c>
      <c r="AA1911" s="7">
        <f>IF($E1911="","",Z1911-Q1911)</f>
        <v/>
      </c>
      <c r="AB1911" s="7" t="n"/>
      <c r="AE1911">
        <f>IF($E1911="","",IF($AQ1911=1,0,IF($AP1911=1,Settings!$C$6,Settings!$C$7))*100)</f>
        <v/>
      </c>
      <c r="AI1911" s="7" t="n"/>
      <c r="AL1911" s="11" t="n"/>
      <c r="AN1911">
        <f>IF($E1911="","",IF(COUNTIF($E$2:$E1911,$E1911)=1,1,0))</f>
        <v/>
      </c>
      <c r="AO1911">
        <f>IF($AN1911=1,SUMPRODUCT(--($AR$2:$AR$3001&lt;$AR1911))+1,"")</f>
        <v/>
      </c>
      <c r="AP1911">
        <f>IF($E1911="","",IF(OR($U1911=TRUE(),$U1911="TRUE"),1,0))</f>
        <v/>
      </c>
      <c r="AQ1911">
        <f>IF($E1911="","",IF($AD1911="Yes",1,0))</f>
        <v/>
      </c>
      <c r="AR1911">
        <f>IF($AN1911=1,IFERROR(VALUE(MID($E1911,2,20)),1000000000)+ROW()/100000,"")</f>
        <v/>
      </c>
    </row>
    <row r="1912">
      <c r="G1912" s="11" t="n"/>
      <c r="Q1912" s="7">
        <f>IF($E1912="","",P1912*AB1912/100)</f>
        <v/>
      </c>
      <c r="R1912" s="7" t="n"/>
      <c r="X1912" s="7" t="n"/>
      <c r="Y1912" s="7">
        <f>IF($E1912="","",AB1912*AE1912/100)</f>
        <v/>
      </c>
      <c r="Z1912" s="7">
        <f>IF($E1912="","",AB1912-Y1912)</f>
        <v/>
      </c>
      <c r="AA1912" s="7">
        <f>IF($E1912="","",Z1912-Q1912)</f>
        <v/>
      </c>
      <c r="AB1912" s="7" t="n"/>
      <c r="AE1912">
        <f>IF($E1912="","",IF($AQ1912=1,0,IF($AP1912=1,Settings!$C$6,Settings!$C$7))*100)</f>
        <v/>
      </c>
      <c r="AI1912" s="7" t="n"/>
      <c r="AL1912" s="11" t="n"/>
      <c r="AN1912">
        <f>IF($E1912="","",IF(COUNTIF($E$2:$E1912,$E1912)=1,1,0))</f>
        <v/>
      </c>
      <c r="AO1912">
        <f>IF($AN1912=1,SUMPRODUCT(--($AR$2:$AR$3001&lt;$AR1912))+1,"")</f>
        <v/>
      </c>
      <c r="AP1912">
        <f>IF($E1912="","",IF(OR($U1912=TRUE(),$U1912="TRUE"),1,0))</f>
        <v/>
      </c>
      <c r="AQ1912">
        <f>IF($E1912="","",IF($AD1912="Yes",1,0))</f>
        <v/>
      </c>
      <c r="AR1912">
        <f>IF($AN1912=1,IFERROR(VALUE(MID($E1912,2,20)),1000000000)+ROW()/100000,"")</f>
        <v/>
      </c>
    </row>
    <row r="1913">
      <c r="G1913" s="11" t="n"/>
      <c r="Q1913" s="7">
        <f>IF($E1913="","",P1913*AB1913/100)</f>
        <v/>
      </c>
      <c r="R1913" s="7" t="n"/>
      <c r="X1913" s="7" t="n"/>
      <c r="Y1913" s="7">
        <f>IF($E1913="","",AB1913*AE1913/100)</f>
        <v/>
      </c>
      <c r="Z1913" s="7">
        <f>IF($E1913="","",AB1913-Y1913)</f>
        <v/>
      </c>
      <c r="AA1913" s="7">
        <f>IF($E1913="","",Z1913-Q1913)</f>
        <v/>
      </c>
      <c r="AB1913" s="7" t="n"/>
      <c r="AE1913">
        <f>IF($E1913="","",IF($AQ1913=1,0,IF($AP1913=1,Settings!$C$6,Settings!$C$7))*100)</f>
        <v/>
      </c>
      <c r="AI1913" s="7" t="n"/>
      <c r="AL1913" s="11" t="n"/>
      <c r="AN1913">
        <f>IF($E1913="","",IF(COUNTIF($E$2:$E1913,$E1913)=1,1,0))</f>
        <v/>
      </c>
      <c r="AO1913">
        <f>IF($AN1913=1,SUMPRODUCT(--($AR$2:$AR$3001&lt;$AR1913))+1,"")</f>
        <v/>
      </c>
      <c r="AP1913">
        <f>IF($E1913="","",IF(OR($U1913=TRUE(),$U1913="TRUE"),1,0))</f>
        <v/>
      </c>
      <c r="AQ1913">
        <f>IF($E1913="","",IF($AD1913="Yes",1,0))</f>
        <v/>
      </c>
      <c r="AR1913">
        <f>IF($AN1913=1,IFERROR(VALUE(MID($E1913,2,20)),1000000000)+ROW()/100000,"")</f>
        <v/>
      </c>
    </row>
    <row r="1914">
      <c r="G1914" s="11" t="n"/>
      <c r="Q1914" s="7">
        <f>IF($E1914="","",P1914*AB1914/100)</f>
        <v/>
      </c>
      <c r="R1914" s="7" t="n"/>
      <c r="X1914" s="7" t="n"/>
      <c r="Y1914" s="7">
        <f>IF($E1914="","",AB1914*AE1914/100)</f>
        <v/>
      </c>
      <c r="Z1914" s="7">
        <f>IF($E1914="","",AB1914-Y1914)</f>
        <v/>
      </c>
      <c r="AA1914" s="7">
        <f>IF($E1914="","",Z1914-Q1914)</f>
        <v/>
      </c>
      <c r="AB1914" s="7" t="n"/>
      <c r="AE1914">
        <f>IF($E1914="","",IF($AQ1914=1,0,IF($AP1914=1,Settings!$C$6,Settings!$C$7))*100)</f>
        <v/>
      </c>
      <c r="AI1914" s="7" t="n"/>
      <c r="AL1914" s="11" t="n"/>
      <c r="AN1914">
        <f>IF($E1914="","",IF(COUNTIF($E$2:$E1914,$E1914)=1,1,0))</f>
        <v/>
      </c>
      <c r="AO1914">
        <f>IF($AN1914=1,SUMPRODUCT(--($AR$2:$AR$3001&lt;$AR1914))+1,"")</f>
        <v/>
      </c>
      <c r="AP1914">
        <f>IF($E1914="","",IF(OR($U1914=TRUE(),$U1914="TRUE"),1,0))</f>
        <v/>
      </c>
      <c r="AQ1914">
        <f>IF($E1914="","",IF($AD1914="Yes",1,0))</f>
        <v/>
      </c>
      <c r="AR1914">
        <f>IF($AN1914=1,IFERROR(VALUE(MID($E1914,2,20)),1000000000)+ROW()/100000,"")</f>
        <v/>
      </c>
    </row>
    <row r="1915">
      <c r="G1915" s="11" t="n"/>
      <c r="Q1915" s="7">
        <f>IF($E1915="","",P1915*AB1915/100)</f>
        <v/>
      </c>
      <c r="R1915" s="7" t="n"/>
      <c r="X1915" s="7" t="n"/>
      <c r="Y1915" s="7">
        <f>IF($E1915="","",AB1915*AE1915/100)</f>
        <v/>
      </c>
      <c r="Z1915" s="7">
        <f>IF($E1915="","",AB1915-Y1915)</f>
        <v/>
      </c>
      <c r="AA1915" s="7">
        <f>IF($E1915="","",Z1915-Q1915)</f>
        <v/>
      </c>
      <c r="AB1915" s="7" t="n"/>
      <c r="AE1915">
        <f>IF($E1915="","",IF($AQ1915=1,0,IF($AP1915=1,Settings!$C$6,Settings!$C$7))*100)</f>
        <v/>
      </c>
      <c r="AI1915" s="7" t="n"/>
      <c r="AL1915" s="11" t="n"/>
      <c r="AN1915">
        <f>IF($E1915="","",IF(COUNTIF($E$2:$E1915,$E1915)=1,1,0))</f>
        <v/>
      </c>
      <c r="AO1915">
        <f>IF($AN1915=1,SUMPRODUCT(--($AR$2:$AR$3001&lt;$AR1915))+1,"")</f>
        <v/>
      </c>
      <c r="AP1915">
        <f>IF($E1915="","",IF(OR($U1915=TRUE(),$U1915="TRUE"),1,0))</f>
        <v/>
      </c>
      <c r="AQ1915">
        <f>IF($E1915="","",IF($AD1915="Yes",1,0))</f>
        <v/>
      </c>
      <c r="AR1915">
        <f>IF($AN1915=1,IFERROR(VALUE(MID($E1915,2,20)),1000000000)+ROW()/100000,"")</f>
        <v/>
      </c>
    </row>
    <row r="1916">
      <c r="G1916" s="11" t="n"/>
      <c r="Q1916" s="7">
        <f>IF($E1916="","",P1916*AB1916/100)</f>
        <v/>
      </c>
      <c r="R1916" s="7" t="n"/>
      <c r="X1916" s="7" t="n"/>
      <c r="Y1916" s="7">
        <f>IF($E1916="","",AB1916*AE1916/100)</f>
        <v/>
      </c>
      <c r="Z1916" s="7">
        <f>IF($E1916="","",AB1916-Y1916)</f>
        <v/>
      </c>
      <c r="AA1916" s="7">
        <f>IF($E1916="","",Z1916-Q1916)</f>
        <v/>
      </c>
      <c r="AB1916" s="7" t="n"/>
      <c r="AE1916">
        <f>IF($E1916="","",IF($AQ1916=1,0,IF($AP1916=1,Settings!$C$6,Settings!$C$7))*100)</f>
        <v/>
      </c>
      <c r="AI1916" s="7" t="n"/>
      <c r="AL1916" s="11" t="n"/>
      <c r="AN1916">
        <f>IF($E1916="","",IF(COUNTIF($E$2:$E1916,$E1916)=1,1,0))</f>
        <v/>
      </c>
      <c r="AO1916">
        <f>IF($AN1916=1,SUMPRODUCT(--($AR$2:$AR$3001&lt;$AR1916))+1,"")</f>
        <v/>
      </c>
      <c r="AP1916">
        <f>IF($E1916="","",IF(OR($U1916=TRUE(),$U1916="TRUE"),1,0))</f>
        <v/>
      </c>
      <c r="AQ1916">
        <f>IF($E1916="","",IF($AD1916="Yes",1,0))</f>
        <v/>
      </c>
      <c r="AR1916">
        <f>IF($AN1916=1,IFERROR(VALUE(MID($E1916,2,20)),1000000000)+ROW()/100000,"")</f>
        <v/>
      </c>
    </row>
    <row r="1917">
      <c r="G1917" s="11" t="n"/>
      <c r="Q1917" s="7">
        <f>IF($E1917="","",P1917*AB1917/100)</f>
        <v/>
      </c>
      <c r="R1917" s="7" t="n"/>
      <c r="X1917" s="7" t="n"/>
      <c r="Y1917" s="7">
        <f>IF($E1917="","",AB1917*AE1917/100)</f>
        <v/>
      </c>
      <c r="Z1917" s="7">
        <f>IF($E1917="","",AB1917-Y1917)</f>
        <v/>
      </c>
      <c r="AA1917" s="7">
        <f>IF($E1917="","",Z1917-Q1917)</f>
        <v/>
      </c>
      <c r="AB1917" s="7" t="n"/>
      <c r="AE1917">
        <f>IF($E1917="","",IF($AQ1917=1,0,IF($AP1917=1,Settings!$C$6,Settings!$C$7))*100)</f>
        <v/>
      </c>
      <c r="AI1917" s="7" t="n"/>
      <c r="AL1917" s="11" t="n"/>
      <c r="AN1917">
        <f>IF($E1917="","",IF(COUNTIF($E$2:$E1917,$E1917)=1,1,0))</f>
        <v/>
      </c>
      <c r="AO1917">
        <f>IF($AN1917=1,SUMPRODUCT(--($AR$2:$AR$3001&lt;$AR1917))+1,"")</f>
        <v/>
      </c>
      <c r="AP1917">
        <f>IF($E1917="","",IF(OR($U1917=TRUE(),$U1917="TRUE"),1,0))</f>
        <v/>
      </c>
      <c r="AQ1917">
        <f>IF($E1917="","",IF($AD1917="Yes",1,0))</f>
        <v/>
      </c>
      <c r="AR1917">
        <f>IF($AN1917=1,IFERROR(VALUE(MID($E1917,2,20)),1000000000)+ROW()/100000,"")</f>
        <v/>
      </c>
    </row>
    <row r="1918">
      <c r="G1918" s="11" t="n"/>
      <c r="Q1918" s="7">
        <f>IF($E1918="","",P1918*AB1918/100)</f>
        <v/>
      </c>
      <c r="R1918" s="7" t="n"/>
      <c r="X1918" s="7" t="n"/>
      <c r="Y1918" s="7">
        <f>IF($E1918="","",AB1918*AE1918/100)</f>
        <v/>
      </c>
      <c r="Z1918" s="7">
        <f>IF($E1918="","",AB1918-Y1918)</f>
        <v/>
      </c>
      <c r="AA1918" s="7">
        <f>IF($E1918="","",Z1918-Q1918)</f>
        <v/>
      </c>
      <c r="AB1918" s="7" t="n"/>
      <c r="AE1918">
        <f>IF($E1918="","",IF($AQ1918=1,0,IF($AP1918=1,Settings!$C$6,Settings!$C$7))*100)</f>
        <v/>
      </c>
      <c r="AI1918" s="7" t="n"/>
      <c r="AL1918" s="11" t="n"/>
      <c r="AN1918">
        <f>IF($E1918="","",IF(COUNTIF($E$2:$E1918,$E1918)=1,1,0))</f>
        <v/>
      </c>
      <c r="AO1918">
        <f>IF($AN1918=1,SUMPRODUCT(--($AR$2:$AR$3001&lt;$AR1918))+1,"")</f>
        <v/>
      </c>
      <c r="AP1918">
        <f>IF($E1918="","",IF(OR($U1918=TRUE(),$U1918="TRUE"),1,0))</f>
        <v/>
      </c>
      <c r="AQ1918">
        <f>IF($E1918="","",IF($AD1918="Yes",1,0))</f>
        <v/>
      </c>
      <c r="AR1918">
        <f>IF($AN1918=1,IFERROR(VALUE(MID($E1918,2,20)),1000000000)+ROW()/100000,"")</f>
        <v/>
      </c>
    </row>
    <row r="1919">
      <c r="G1919" s="11" t="n"/>
      <c r="Q1919" s="7">
        <f>IF($E1919="","",P1919*AB1919/100)</f>
        <v/>
      </c>
      <c r="R1919" s="7" t="n"/>
      <c r="X1919" s="7" t="n"/>
      <c r="Y1919" s="7">
        <f>IF($E1919="","",AB1919*AE1919/100)</f>
        <v/>
      </c>
      <c r="Z1919" s="7">
        <f>IF($E1919="","",AB1919-Y1919)</f>
        <v/>
      </c>
      <c r="AA1919" s="7">
        <f>IF($E1919="","",Z1919-Q1919)</f>
        <v/>
      </c>
      <c r="AB1919" s="7" t="n"/>
      <c r="AE1919">
        <f>IF($E1919="","",IF($AQ1919=1,0,IF($AP1919=1,Settings!$C$6,Settings!$C$7))*100)</f>
        <v/>
      </c>
      <c r="AI1919" s="7" t="n"/>
      <c r="AL1919" s="11" t="n"/>
      <c r="AN1919">
        <f>IF($E1919="","",IF(COUNTIF($E$2:$E1919,$E1919)=1,1,0))</f>
        <v/>
      </c>
      <c r="AO1919">
        <f>IF($AN1919=1,SUMPRODUCT(--($AR$2:$AR$3001&lt;$AR1919))+1,"")</f>
        <v/>
      </c>
      <c r="AP1919">
        <f>IF($E1919="","",IF(OR($U1919=TRUE(),$U1919="TRUE"),1,0))</f>
        <v/>
      </c>
      <c r="AQ1919">
        <f>IF($E1919="","",IF($AD1919="Yes",1,0))</f>
        <v/>
      </c>
      <c r="AR1919">
        <f>IF($AN1919=1,IFERROR(VALUE(MID($E1919,2,20)),1000000000)+ROW()/100000,"")</f>
        <v/>
      </c>
    </row>
    <row r="1920">
      <c r="G1920" s="11" t="n"/>
      <c r="Q1920" s="7">
        <f>IF($E1920="","",P1920*AB1920/100)</f>
        <v/>
      </c>
      <c r="R1920" s="7" t="n"/>
      <c r="X1920" s="7" t="n"/>
      <c r="Y1920" s="7">
        <f>IF($E1920="","",AB1920*AE1920/100)</f>
        <v/>
      </c>
      <c r="Z1920" s="7">
        <f>IF($E1920="","",AB1920-Y1920)</f>
        <v/>
      </c>
      <c r="AA1920" s="7">
        <f>IF($E1920="","",Z1920-Q1920)</f>
        <v/>
      </c>
      <c r="AB1920" s="7" t="n"/>
      <c r="AE1920">
        <f>IF($E1920="","",IF($AQ1920=1,0,IF($AP1920=1,Settings!$C$6,Settings!$C$7))*100)</f>
        <v/>
      </c>
      <c r="AI1920" s="7" t="n"/>
      <c r="AL1920" s="11" t="n"/>
      <c r="AN1920">
        <f>IF($E1920="","",IF(COUNTIF($E$2:$E1920,$E1920)=1,1,0))</f>
        <v/>
      </c>
      <c r="AO1920">
        <f>IF($AN1920=1,SUMPRODUCT(--($AR$2:$AR$3001&lt;$AR1920))+1,"")</f>
        <v/>
      </c>
      <c r="AP1920">
        <f>IF($E1920="","",IF(OR($U1920=TRUE(),$U1920="TRUE"),1,0))</f>
        <v/>
      </c>
      <c r="AQ1920">
        <f>IF($E1920="","",IF($AD1920="Yes",1,0))</f>
        <v/>
      </c>
      <c r="AR1920">
        <f>IF($AN1920=1,IFERROR(VALUE(MID($E1920,2,20)),1000000000)+ROW()/100000,"")</f>
        <v/>
      </c>
    </row>
    <row r="1921">
      <c r="G1921" s="11" t="n"/>
      <c r="Q1921" s="7">
        <f>IF($E1921="","",P1921*AB1921/100)</f>
        <v/>
      </c>
      <c r="R1921" s="7" t="n"/>
      <c r="X1921" s="7" t="n"/>
      <c r="Y1921" s="7">
        <f>IF($E1921="","",AB1921*AE1921/100)</f>
        <v/>
      </c>
      <c r="Z1921" s="7">
        <f>IF($E1921="","",AB1921-Y1921)</f>
        <v/>
      </c>
      <c r="AA1921" s="7">
        <f>IF($E1921="","",Z1921-Q1921)</f>
        <v/>
      </c>
      <c r="AB1921" s="7" t="n"/>
      <c r="AE1921">
        <f>IF($E1921="","",IF($AQ1921=1,0,IF($AP1921=1,Settings!$C$6,Settings!$C$7))*100)</f>
        <v/>
      </c>
      <c r="AI1921" s="7" t="n"/>
      <c r="AL1921" s="11" t="n"/>
      <c r="AN1921">
        <f>IF($E1921="","",IF(COUNTIF($E$2:$E1921,$E1921)=1,1,0))</f>
        <v/>
      </c>
      <c r="AO1921">
        <f>IF($AN1921=1,SUMPRODUCT(--($AR$2:$AR$3001&lt;$AR1921))+1,"")</f>
        <v/>
      </c>
      <c r="AP1921">
        <f>IF($E1921="","",IF(OR($U1921=TRUE(),$U1921="TRUE"),1,0))</f>
        <v/>
      </c>
      <c r="AQ1921">
        <f>IF($E1921="","",IF($AD1921="Yes",1,0))</f>
        <v/>
      </c>
      <c r="AR1921">
        <f>IF($AN1921=1,IFERROR(VALUE(MID($E1921,2,20)),1000000000)+ROW()/100000,"")</f>
        <v/>
      </c>
    </row>
    <row r="1922">
      <c r="G1922" s="11" t="n"/>
      <c r="Q1922" s="7">
        <f>IF($E1922="","",P1922*AB1922/100)</f>
        <v/>
      </c>
      <c r="R1922" s="7" t="n"/>
      <c r="X1922" s="7" t="n"/>
      <c r="Y1922" s="7">
        <f>IF($E1922="","",AB1922*AE1922/100)</f>
        <v/>
      </c>
      <c r="Z1922" s="7">
        <f>IF($E1922="","",AB1922-Y1922)</f>
        <v/>
      </c>
      <c r="AA1922" s="7">
        <f>IF($E1922="","",Z1922-Q1922)</f>
        <v/>
      </c>
      <c r="AB1922" s="7" t="n"/>
      <c r="AE1922">
        <f>IF($E1922="","",IF($AQ1922=1,0,IF($AP1922=1,Settings!$C$6,Settings!$C$7))*100)</f>
        <v/>
      </c>
      <c r="AI1922" s="7" t="n"/>
      <c r="AL1922" s="11" t="n"/>
      <c r="AN1922">
        <f>IF($E1922="","",IF(COUNTIF($E$2:$E1922,$E1922)=1,1,0))</f>
        <v/>
      </c>
      <c r="AO1922">
        <f>IF($AN1922=1,SUMPRODUCT(--($AR$2:$AR$3001&lt;$AR1922))+1,"")</f>
        <v/>
      </c>
      <c r="AP1922">
        <f>IF($E1922="","",IF(OR($U1922=TRUE(),$U1922="TRUE"),1,0))</f>
        <v/>
      </c>
      <c r="AQ1922">
        <f>IF($E1922="","",IF($AD1922="Yes",1,0))</f>
        <v/>
      </c>
      <c r="AR1922">
        <f>IF($AN1922=1,IFERROR(VALUE(MID($E1922,2,20)),1000000000)+ROW()/100000,"")</f>
        <v/>
      </c>
    </row>
    <row r="1923">
      <c r="G1923" s="11" t="n"/>
      <c r="Q1923" s="7">
        <f>IF($E1923="","",P1923*AB1923/100)</f>
        <v/>
      </c>
      <c r="R1923" s="7" t="n"/>
      <c r="X1923" s="7" t="n"/>
      <c r="Y1923" s="7">
        <f>IF($E1923="","",AB1923*AE1923/100)</f>
        <v/>
      </c>
      <c r="Z1923" s="7">
        <f>IF($E1923="","",AB1923-Y1923)</f>
        <v/>
      </c>
      <c r="AA1923" s="7">
        <f>IF($E1923="","",Z1923-Q1923)</f>
        <v/>
      </c>
      <c r="AB1923" s="7" t="n"/>
      <c r="AE1923">
        <f>IF($E1923="","",IF($AQ1923=1,0,IF($AP1923=1,Settings!$C$6,Settings!$C$7))*100)</f>
        <v/>
      </c>
      <c r="AI1923" s="7" t="n"/>
      <c r="AL1923" s="11" t="n"/>
      <c r="AN1923">
        <f>IF($E1923="","",IF(COUNTIF($E$2:$E1923,$E1923)=1,1,0))</f>
        <v/>
      </c>
      <c r="AO1923">
        <f>IF($AN1923=1,SUMPRODUCT(--($AR$2:$AR$3001&lt;$AR1923))+1,"")</f>
        <v/>
      </c>
      <c r="AP1923">
        <f>IF($E1923="","",IF(OR($U1923=TRUE(),$U1923="TRUE"),1,0))</f>
        <v/>
      </c>
      <c r="AQ1923">
        <f>IF($E1923="","",IF($AD1923="Yes",1,0))</f>
        <v/>
      </c>
      <c r="AR1923">
        <f>IF($AN1923=1,IFERROR(VALUE(MID($E1923,2,20)),1000000000)+ROW()/100000,"")</f>
        <v/>
      </c>
    </row>
    <row r="1924">
      <c r="G1924" s="11" t="n"/>
      <c r="Q1924" s="7">
        <f>IF($E1924="","",P1924*AB1924/100)</f>
        <v/>
      </c>
      <c r="R1924" s="7" t="n"/>
      <c r="X1924" s="7" t="n"/>
      <c r="Y1924" s="7">
        <f>IF($E1924="","",AB1924*AE1924/100)</f>
        <v/>
      </c>
      <c r="Z1924" s="7">
        <f>IF($E1924="","",AB1924-Y1924)</f>
        <v/>
      </c>
      <c r="AA1924" s="7">
        <f>IF($E1924="","",Z1924-Q1924)</f>
        <v/>
      </c>
      <c r="AB1924" s="7" t="n"/>
      <c r="AE1924">
        <f>IF($E1924="","",IF($AQ1924=1,0,IF($AP1924=1,Settings!$C$6,Settings!$C$7))*100)</f>
        <v/>
      </c>
      <c r="AI1924" s="7" t="n"/>
      <c r="AL1924" s="11" t="n"/>
      <c r="AN1924">
        <f>IF($E1924="","",IF(COUNTIF($E$2:$E1924,$E1924)=1,1,0))</f>
        <v/>
      </c>
      <c r="AO1924">
        <f>IF($AN1924=1,SUMPRODUCT(--($AR$2:$AR$3001&lt;$AR1924))+1,"")</f>
        <v/>
      </c>
      <c r="AP1924">
        <f>IF($E1924="","",IF(OR($U1924=TRUE(),$U1924="TRUE"),1,0))</f>
        <v/>
      </c>
      <c r="AQ1924">
        <f>IF($E1924="","",IF($AD1924="Yes",1,0))</f>
        <v/>
      </c>
      <c r="AR1924">
        <f>IF($AN1924=1,IFERROR(VALUE(MID($E1924,2,20)),1000000000)+ROW()/100000,"")</f>
        <v/>
      </c>
    </row>
    <row r="1925">
      <c r="G1925" s="11" t="n"/>
      <c r="Q1925" s="7">
        <f>IF($E1925="","",P1925*AB1925/100)</f>
        <v/>
      </c>
      <c r="R1925" s="7" t="n"/>
      <c r="X1925" s="7" t="n"/>
      <c r="Y1925" s="7">
        <f>IF($E1925="","",AB1925*AE1925/100)</f>
        <v/>
      </c>
      <c r="Z1925" s="7">
        <f>IF($E1925="","",AB1925-Y1925)</f>
        <v/>
      </c>
      <c r="AA1925" s="7">
        <f>IF($E1925="","",Z1925-Q1925)</f>
        <v/>
      </c>
      <c r="AB1925" s="7" t="n"/>
      <c r="AE1925">
        <f>IF($E1925="","",IF($AQ1925=1,0,IF($AP1925=1,Settings!$C$6,Settings!$C$7))*100)</f>
        <v/>
      </c>
      <c r="AI1925" s="7" t="n"/>
      <c r="AL1925" s="11" t="n"/>
      <c r="AN1925">
        <f>IF($E1925="","",IF(COUNTIF($E$2:$E1925,$E1925)=1,1,0))</f>
        <v/>
      </c>
      <c r="AO1925">
        <f>IF($AN1925=1,SUMPRODUCT(--($AR$2:$AR$3001&lt;$AR1925))+1,"")</f>
        <v/>
      </c>
      <c r="AP1925">
        <f>IF($E1925="","",IF(OR($U1925=TRUE(),$U1925="TRUE"),1,0))</f>
        <v/>
      </c>
      <c r="AQ1925">
        <f>IF($E1925="","",IF($AD1925="Yes",1,0))</f>
        <v/>
      </c>
      <c r="AR1925">
        <f>IF($AN1925=1,IFERROR(VALUE(MID($E1925,2,20)),1000000000)+ROW()/100000,"")</f>
        <v/>
      </c>
    </row>
    <row r="1926">
      <c r="G1926" s="11" t="n"/>
      <c r="Q1926" s="7">
        <f>IF($E1926="","",P1926*AB1926/100)</f>
        <v/>
      </c>
      <c r="R1926" s="7" t="n"/>
      <c r="X1926" s="7" t="n"/>
      <c r="Y1926" s="7">
        <f>IF($E1926="","",AB1926*AE1926/100)</f>
        <v/>
      </c>
      <c r="Z1926" s="7">
        <f>IF($E1926="","",AB1926-Y1926)</f>
        <v/>
      </c>
      <c r="AA1926" s="7">
        <f>IF($E1926="","",Z1926-Q1926)</f>
        <v/>
      </c>
      <c r="AB1926" s="7" t="n"/>
      <c r="AE1926">
        <f>IF($E1926="","",IF($AQ1926=1,0,IF($AP1926=1,Settings!$C$6,Settings!$C$7))*100)</f>
        <v/>
      </c>
      <c r="AI1926" s="7" t="n"/>
      <c r="AL1926" s="11" t="n"/>
      <c r="AN1926">
        <f>IF($E1926="","",IF(COUNTIF($E$2:$E1926,$E1926)=1,1,0))</f>
        <v/>
      </c>
      <c r="AO1926">
        <f>IF($AN1926=1,SUMPRODUCT(--($AR$2:$AR$3001&lt;$AR1926))+1,"")</f>
        <v/>
      </c>
      <c r="AP1926">
        <f>IF($E1926="","",IF(OR($U1926=TRUE(),$U1926="TRUE"),1,0))</f>
        <v/>
      </c>
      <c r="AQ1926">
        <f>IF($E1926="","",IF($AD1926="Yes",1,0))</f>
        <v/>
      </c>
      <c r="AR1926">
        <f>IF($AN1926=1,IFERROR(VALUE(MID($E1926,2,20)),1000000000)+ROW()/100000,"")</f>
        <v/>
      </c>
    </row>
    <row r="1927">
      <c r="G1927" s="11" t="n"/>
      <c r="Q1927" s="7">
        <f>IF($E1927="","",P1927*AB1927/100)</f>
        <v/>
      </c>
      <c r="R1927" s="7" t="n"/>
      <c r="X1927" s="7" t="n"/>
      <c r="Y1927" s="7">
        <f>IF($E1927="","",AB1927*AE1927/100)</f>
        <v/>
      </c>
      <c r="Z1927" s="7">
        <f>IF($E1927="","",AB1927-Y1927)</f>
        <v/>
      </c>
      <c r="AA1927" s="7">
        <f>IF($E1927="","",Z1927-Q1927)</f>
        <v/>
      </c>
      <c r="AB1927" s="7" t="n"/>
      <c r="AE1927">
        <f>IF($E1927="","",IF($AQ1927=1,0,IF($AP1927=1,Settings!$C$6,Settings!$C$7))*100)</f>
        <v/>
      </c>
      <c r="AI1927" s="7" t="n"/>
      <c r="AL1927" s="11" t="n"/>
      <c r="AN1927">
        <f>IF($E1927="","",IF(COUNTIF($E$2:$E1927,$E1927)=1,1,0))</f>
        <v/>
      </c>
      <c r="AO1927">
        <f>IF($AN1927=1,SUMPRODUCT(--($AR$2:$AR$3001&lt;$AR1927))+1,"")</f>
        <v/>
      </c>
      <c r="AP1927">
        <f>IF($E1927="","",IF(OR($U1927=TRUE(),$U1927="TRUE"),1,0))</f>
        <v/>
      </c>
      <c r="AQ1927">
        <f>IF($E1927="","",IF($AD1927="Yes",1,0))</f>
        <v/>
      </c>
      <c r="AR1927">
        <f>IF($AN1927=1,IFERROR(VALUE(MID($E1927,2,20)),1000000000)+ROW()/100000,"")</f>
        <v/>
      </c>
    </row>
    <row r="1928">
      <c r="G1928" s="11" t="n"/>
      <c r="Q1928" s="7">
        <f>IF($E1928="","",P1928*AB1928/100)</f>
        <v/>
      </c>
      <c r="R1928" s="7" t="n"/>
      <c r="X1928" s="7" t="n"/>
      <c r="Y1928" s="7">
        <f>IF($E1928="","",AB1928*AE1928/100)</f>
        <v/>
      </c>
      <c r="Z1928" s="7">
        <f>IF($E1928="","",AB1928-Y1928)</f>
        <v/>
      </c>
      <c r="AA1928" s="7">
        <f>IF($E1928="","",Z1928-Q1928)</f>
        <v/>
      </c>
      <c r="AB1928" s="7" t="n"/>
      <c r="AE1928">
        <f>IF($E1928="","",IF($AQ1928=1,0,IF($AP1928=1,Settings!$C$6,Settings!$C$7))*100)</f>
        <v/>
      </c>
      <c r="AI1928" s="7" t="n"/>
      <c r="AL1928" s="11" t="n"/>
      <c r="AN1928">
        <f>IF($E1928="","",IF(COUNTIF($E$2:$E1928,$E1928)=1,1,0))</f>
        <v/>
      </c>
      <c r="AO1928">
        <f>IF($AN1928=1,SUMPRODUCT(--($AR$2:$AR$3001&lt;$AR1928))+1,"")</f>
        <v/>
      </c>
      <c r="AP1928">
        <f>IF($E1928="","",IF(OR($U1928=TRUE(),$U1928="TRUE"),1,0))</f>
        <v/>
      </c>
      <c r="AQ1928">
        <f>IF($E1928="","",IF($AD1928="Yes",1,0))</f>
        <v/>
      </c>
      <c r="AR1928">
        <f>IF($AN1928=1,IFERROR(VALUE(MID($E1928,2,20)),1000000000)+ROW()/100000,"")</f>
        <v/>
      </c>
    </row>
    <row r="1929">
      <c r="G1929" s="11" t="n"/>
      <c r="Q1929" s="7">
        <f>IF($E1929="","",P1929*AB1929/100)</f>
        <v/>
      </c>
      <c r="R1929" s="7" t="n"/>
      <c r="X1929" s="7" t="n"/>
      <c r="Y1929" s="7">
        <f>IF($E1929="","",AB1929*AE1929/100)</f>
        <v/>
      </c>
      <c r="Z1929" s="7">
        <f>IF($E1929="","",AB1929-Y1929)</f>
        <v/>
      </c>
      <c r="AA1929" s="7">
        <f>IF($E1929="","",Z1929-Q1929)</f>
        <v/>
      </c>
      <c r="AB1929" s="7" t="n"/>
      <c r="AE1929">
        <f>IF($E1929="","",IF($AQ1929=1,0,IF($AP1929=1,Settings!$C$6,Settings!$C$7))*100)</f>
        <v/>
      </c>
      <c r="AI1929" s="7" t="n"/>
      <c r="AL1929" s="11" t="n"/>
      <c r="AN1929">
        <f>IF($E1929="","",IF(COUNTIF($E$2:$E1929,$E1929)=1,1,0))</f>
        <v/>
      </c>
      <c r="AO1929">
        <f>IF($AN1929=1,SUMPRODUCT(--($AR$2:$AR$3001&lt;$AR1929))+1,"")</f>
        <v/>
      </c>
      <c r="AP1929">
        <f>IF($E1929="","",IF(OR($U1929=TRUE(),$U1929="TRUE"),1,0))</f>
        <v/>
      </c>
      <c r="AQ1929">
        <f>IF($E1929="","",IF($AD1929="Yes",1,0))</f>
        <v/>
      </c>
      <c r="AR1929">
        <f>IF($AN1929=1,IFERROR(VALUE(MID($E1929,2,20)),1000000000)+ROW()/100000,"")</f>
        <v/>
      </c>
    </row>
    <row r="1930">
      <c r="G1930" s="11" t="n"/>
      <c r="Q1930" s="7">
        <f>IF($E1930="","",P1930*AB1930/100)</f>
        <v/>
      </c>
      <c r="R1930" s="7" t="n"/>
      <c r="X1930" s="7" t="n"/>
      <c r="Y1930" s="7">
        <f>IF($E1930="","",AB1930*AE1930/100)</f>
        <v/>
      </c>
      <c r="Z1930" s="7">
        <f>IF($E1930="","",AB1930-Y1930)</f>
        <v/>
      </c>
      <c r="AA1930" s="7">
        <f>IF($E1930="","",Z1930-Q1930)</f>
        <v/>
      </c>
      <c r="AB1930" s="7" t="n"/>
      <c r="AE1930">
        <f>IF($E1930="","",IF($AQ1930=1,0,IF($AP1930=1,Settings!$C$6,Settings!$C$7))*100)</f>
        <v/>
      </c>
      <c r="AI1930" s="7" t="n"/>
      <c r="AL1930" s="11" t="n"/>
      <c r="AN1930">
        <f>IF($E1930="","",IF(COUNTIF($E$2:$E1930,$E1930)=1,1,0))</f>
        <v/>
      </c>
      <c r="AO1930">
        <f>IF($AN1930=1,SUMPRODUCT(--($AR$2:$AR$3001&lt;$AR1930))+1,"")</f>
        <v/>
      </c>
      <c r="AP1930">
        <f>IF($E1930="","",IF(OR($U1930=TRUE(),$U1930="TRUE"),1,0))</f>
        <v/>
      </c>
      <c r="AQ1930">
        <f>IF($E1930="","",IF($AD1930="Yes",1,0))</f>
        <v/>
      </c>
      <c r="AR1930">
        <f>IF($AN1930=1,IFERROR(VALUE(MID($E1930,2,20)),1000000000)+ROW()/100000,"")</f>
        <v/>
      </c>
    </row>
    <row r="1931">
      <c r="G1931" s="11" t="n"/>
      <c r="Q1931" s="7">
        <f>IF($E1931="","",P1931*AB1931/100)</f>
        <v/>
      </c>
      <c r="R1931" s="7" t="n"/>
      <c r="X1931" s="7" t="n"/>
      <c r="Y1931" s="7">
        <f>IF($E1931="","",AB1931*AE1931/100)</f>
        <v/>
      </c>
      <c r="Z1931" s="7">
        <f>IF($E1931="","",AB1931-Y1931)</f>
        <v/>
      </c>
      <c r="AA1931" s="7">
        <f>IF($E1931="","",Z1931-Q1931)</f>
        <v/>
      </c>
      <c r="AB1931" s="7" t="n"/>
      <c r="AE1931">
        <f>IF($E1931="","",IF($AQ1931=1,0,IF($AP1931=1,Settings!$C$6,Settings!$C$7))*100)</f>
        <v/>
      </c>
      <c r="AI1931" s="7" t="n"/>
      <c r="AL1931" s="11" t="n"/>
      <c r="AN1931">
        <f>IF($E1931="","",IF(COUNTIF($E$2:$E1931,$E1931)=1,1,0))</f>
        <v/>
      </c>
      <c r="AO1931">
        <f>IF($AN1931=1,SUMPRODUCT(--($AR$2:$AR$3001&lt;$AR1931))+1,"")</f>
        <v/>
      </c>
      <c r="AP1931">
        <f>IF($E1931="","",IF(OR($U1931=TRUE(),$U1931="TRUE"),1,0))</f>
        <v/>
      </c>
      <c r="AQ1931">
        <f>IF($E1931="","",IF($AD1931="Yes",1,0))</f>
        <v/>
      </c>
      <c r="AR1931">
        <f>IF($AN1931=1,IFERROR(VALUE(MID($E1931,2,20)),1000000000)+ROW()/100000,"")</f>
        <v/>
      </c>
    </row>
    <row r="1932">
      <c r="G1932" s="11" t="n"/>
      <c r="Q1932" s="7">
        <f>IF($E1932="","",P1932*AB1932/100)</f>
        <v/>
      </c>
      <c r="R1932" s="7" t="n"/>
      <c r="X1932" s="7" t="n"/>
      <c r="Y1932" s="7">
        <f>IF($E1932="","",AB1932*AE1932/100)</f>
        <v/>
      </c>
      <c r="Z1932" s="7">
        <f>IF($E1932="","",AB1932-Y1932)</f>
        <v/>
      </c>
      <c r="AA1932" s="7">
        <f>IF($E1932="","",Z1932-Q1932)</f>
        <v/>
      </c>
      <c r="AB1932" s="7" t="n"/>
      <c r="AE1932">
        <f>IF($E1932="","",IF($AQ1932=1,0,IF($AP1932=1,Settings!$C$6,Settings!$C$7))*100)</f>
        <v/>
      </c>
      <c r="AI1932" s="7" t="n"/>
      <c r="AL1932" s="11" t="n"/>
      <c r="AN1932">
        <f>IF($E1932="","",IF(COUNTIF($E$2:$E1932,$E1932)=1,1,0))</f>
        <v/>
      </c>
      <c r="AO1932">
        <f>IF($AN1932=1,SUMPRODUCT(--($AR$2:$AR$3001&lt;$AR1932))+1,"")</f>
        <v/>
      </c>
      <c r="AP1932">
        <f>IF($E1932="","",IF(OR($U1932=TRUE(),$U1932="TRUE"),1,0))</f>
        <v/>
      </c>
      <c r="AQ1932">
        <f>IF($E1932="","",IF($AD1932="Yes",1,0))</f>
        <v/>
      </c>
      <c r="AR1932">
        <f>IF($AN1932=1,IFERROR(VALUE(MID($E1932,2,20)),1000000000)+ROW()/100000,"")</f>
        <v/>
      </c>
    </row>
    <row r="1933">
      <c r="G1933" s="11" t="n"/>
      <c r="Q1933" s="7">
        <f>IF($E1933="","",P1933*AB1933/100)</f>
        <v/>
      </c>
      <c r="R1933" s="7" t="n"/>
      <c r="X1933" s="7" t="n"/>
      <c r="Y1933" s="7">
        <f>IF($E1933="","",AB1933*AE1933/100)</f>
        <v/>
      </c>
      <c r="Z1933" s="7">
        <f>IF($E1933="","",AB1933-Y1933)</f>
        <v/>
      </c>
      <c r="AA1933" s="7">
        <f>IF($E1933="","",Z1933-Q1933)</f>
        <v/>
      </c>
      <c r="AB1933" s="7" t="n"/>
      <c r="AE1933">
        <f>IF($E1933="","",IF($AQ1933=1,0,IF($AP1933=1,Settings!$C$6,Settings!$C$7))*100)</f>
        <v/>
      </c>
      <c r="AI1933" s="7" t="n"/>
      <c r="AL1933" s="11" t="n"/>
      <c r="AN1933">
        <f>IF($E1933="","",IF(COUNTIF($E$2:$E1933,$E1933)=1,1,0))</f>
        <v/>
      </c>
      <c r="AO1933">
        <f>IF($AN1933=1,SUMPRODUCT(--($AR$2:$AR$3001&lt;$AR1933))+1,"")</f>
        <v/>
      </c>
      <c r="AP1933">
        <f>IF($E1933="","",IF(OR($U1933=TRUE(),$U1933="TRUE"),1,0))</f>
        <v/>
      </c>
      <c r="AQ1933">
        <f>IF($E1933="","",IF($AD1933="Yes",1,0))</f>
        <v/>
      </c>
      <c r="AR1933">
        <f>IF($AN1933=1,IFERROR(VALUE(MID($E1933,2,20)),1000000000)+ROW()/100000,"")</f>
        <v/>
      </c>
    </row>
    <row r="1934">
      <c r="G1934" s="11" t="n"/>
      <c r="Q1934" s="7">
        <f>IF($E1934="","",P1934*AB1934/100)</f>
        <v/>
      </c>
      <c r="R1934" s="7" t="n"/>
      <c r="X1934" s="7" t="n"/>
      <c r="Y1934" s="7">
        <f>IF($E1934="","",AB1934*AE1934/100)</f>
        <v/>
      </c>
      <c r="Z1934" s="7">
        <f>IF($E1934="","",AB1934-Y1934)</f>
        <v/>
      </c>
      <c r="AA1934" s="7">
        <f>IF($E1934="","",Z1934-Q1934)</f>
        <v/>
      </c>
      <c r="AB1934" s="7" t="n"/>
      <c r="AE1934">
        <f>IF($E1934="","",IF($AQ1934=1,0,IF($AP1934=1,Settings!$C$6,Settings!$C$7))*100)</f>
        <v/>
      </c>
      <c r="AI1934" s="7" t="n"/>
      <c r="AL1934" s="11" t="n"/>
      <c r="AN1934">
        <f>IF($E1934="","",IF(COUNTIF($E$2:$E1934,$E1934)=1,1,0))</f>
        <v/>
      </c>
      <c r="AO1934">
        <f>IF($AN1934=1,SUMPRODUCT(--($AR$2:$AR$3001&lt;$AR1934))+1,"")</f>
        <v/>
      </c>
      <c r="AP1934">
        <f>IF($E1934="","",IF(OR($U1934=TRUE(),$U1934="TRUE"),1,0))</f>
        <v/>
      </c>
      <c r="AQ1934">
        <f>IF($E1934="","",IF($AD1934="Yes",1,0))</f>
        <v/>
      </c>
      <c r="AR1934">
        <f>IF($AN1934=1,IFERROR(VALUE(MID($E1934,2,20)),1000000000)+ROW()/100000,"")</f>
        <v/>
      </c>
    </row>
    <row r="1935">
      <c r="G1935" s="11" t="n"/>
      <c r="Q1935" s="7">
        <f>IF($E1935="","",P1935*AB1935/100)</f>
        <v/>
      </c>
      <c r="R1935" s="7" t="n"/>
      <c r="X1935" s="7" t="n"/>
      <c r="Y1935" s="7">
        <f>IF($E1935="","",AB1935*AE1935/100)</f>
        <v/>
      </c>
      <c r="Z1935" s="7">
        <f>IF($E1935="","",AB1935-Y1935)</f>
        <v/>
      </c>
      <c r="AA1935" s="7">
        <f>IF($E1935="","",Z1935-Q1935)</f>
        <v/>
      </c>
      <c r="AB1935" s="7" t="n"/>
      <c r="AE1935">
        <f>IF($E1935="","",IF($AQ1935=1,0,IF($AP1935=1,Settings!$C$6,Settings!$C$7))*100)</f>
        <v/>
      </c>
      <c r="AI1935" s="7" t="n"/>
      <c r="AL1935" s="11" t="n"/>
      <c r="AN1935">
        <f>IF($E1935="","",IF(COUNTIF($E$2:$E1935,$E1935)=1,1,0))</f>
        <v/>
      </c>
      <c r="AO1935">
        <f>IF($AN1935=1,SUMPRODUCT(--($AR$2:$AR$3001&lt;$AR1935))+1,"")</f>
        <v/>
      </c>
      <c r="AP1935">
        <f>IF($E1935="","",IF(OR($U1935=TRUE(),$U1935="TRUE"),1,0))</f>
        <v/>
      </c>
      <c r="AQ1935">
        <f>IF($E1935="","",IF($AD1935="Yes",1,0))</f>
        <v/>
      </c>
      <c r="AR1935">
        <f>IF($AN1935=1,IFERROR(VALUE(MID($E1935,2,20)),1000000000)+ROW()/100000,"")</f>
        <v/>
      </c>
    </row>
    <row r="1936">
      <c r="G1936" s="11" t="n"/>
      <c r="Q1936" s="7">
        <f>IF($E1936="","",P1936*AB1936/100)</f>
        <v/>
      </c>
      <c r="R1936" s="7" t="n"/>
      <c r="X1936" s="7" t="n"/>
      <c r="Y1936" s="7">
        <f>IF($E1936="","",AB1936*AE1936/100)</f>
        <v/>
      </c>
      <c r="Z1936" s="7">
        <f>IF($E1936="","",AB1936-Y1936)</f>
        <v/>
      </c>
      <c r="AA1936" s="7">
        <f>IF($E1936="","",Z1936-Q1936)</f>
        <v/>
      </c>
      <c r="AB1936" s="7" t="n"/>
      <c r="AE1936">
        <f>IF($E1936="","",IF($AQ1936=1,0,IF($AP1936=1,Settings!$C$6,Settings!$C$7))*100)</f>
        <v/>
      </c>
      <c r="AI1936" s="7" t="n"/>
      <c r="AL1936" s="11" t="n"/>
      <c r="AN1936">
        <f>IF($E1936="","",IF(COUNTIF($E$2:$E1936,$E1936)=1,1,0))</f>
        <v/>
      </c>
      <c r="AO1936">
        <f>IF($AN1936=1,SUMPRODUCT(--($AR$2:$AR$3001&lt;$AR1936))+1,"")</f>
        <v/>
      </c>
      <c r="AP1936">
        <f>IF($E1936="","",IF(OR($U1936=TRUE(),$U1936="TRUE"),1,0))</f>
        <v/>
      </c>
      <c r="AQ1936">
        <f>IF($E1936="","",IF($AD1936="Yes",1,0))</f>
        <v/>
      </c>
      <c r="AR1936">
        <f>IF($AN1936=1,IFERROR(VALUE(MID($E1936,2,20)),1000000000)+ROW()/100000,"")</f>
        <v/>
      </c>
    </row>
    <row r="1937">
      <c r="G1937" s="11" t="n"/>
      <c r="Q1937" s="7">
        <f>IF($E1937="","",P1937*AB1937/100)</f>
        <v/>
      </c>
      <c r="R1937" s="7" t="n"/>
      <c r="X1937" s="7" t="n"/>
      <c r="Y1937" s="7">
        <f>IF($E1937="","",AB1937*AE1937/100)</f>
        <v/>
      </c>
      <c r="Z1937" s="7">
        <f>IF($E1937="","",AB1937-Y1937)</f>
        <v/>
      </c>
      <c r="AA1937" s="7">
        <f>IF($E1937="","",Z1937-Q1937)</f>
        <v/>
      </c>
      <c r="AB1937" s="7" t="n"/>
      <c r="AE1937">
        <f>IF($E1937="","",IF($AQ1937=1,0,IF($AP1937=1,Settings!$C$6,Settings!$C$7))*100)</f>
        <v/>
      </c>
      <c r="AI1937" s="7" t="n"/>
      <c r="AL1937" s="11" t="n"/>
      <c r="AN1937">
        <f>IF($E1937="","",IF(COUNTIF($E$2:$E1937,$E1937)=1,1,0))</f>
        <v/>
      </c>
      <c r="AO1937">
        <f>IF($AN1937=1,SUMPRODUCT(--($AR$2:$AR$3001&lt;$AR1937))+1,"")</f>
        <v/>
      </c>
      <c r="AP1937">
        <f>IF($E1937="","",IF(OR($U1937=TRUE(),$U1937="TRUE"),1,0))</f>
        <v/>
      </c>
      <c r="AQ1937">
        <f>IF($E1937="","",IF($AD1937="Yes",1,0))</f>
        <v/>
      </c>
      <c r="AR1937">
        <f>IF($AN1937=1,IFERROR(VALUE(MID($E1937,2,20)),1000000000)+ROW()/100000,"")</f>
        <v/>
      </c>
    </row>
    <row r="1938">
      <c r="G1938" s="11" t="n"/>
      <c r="Q1938" s="7">
        <f>IF($E1938="","",P1938*AB1938/100)</f>
        <v/>
      </c>
      <c r="R1938" s="7" t="n"/>
      <c r="X1938" s="7" t="n"/>
      <c r="Y1938" s="7">
        <f>IF($E1938="","",AB1938*AE1938/100)</f>
        <v/>
      </c>
      <c r="Z1938" s="7">
        <f>IF($E1938="","",AB1938-Y1938)</f>
        <v/>
      </c>
      <c r="AA1938" s="7">
        <f>IF($E1938="","",Z1938-Q1938)</f>
        <v/>
      </c>
      <c r="AB1938" s="7" t="n"/>
      <c r="AE1938">
        <f>IF($E1938="","",IF($AQ1938=1,0,IF($AP1938=1,Settings!$C$6,Settings!$C$7))*100)</f>
        <v/>
      </c>
      <c r="AI1938" s="7" t="n"/>
      <c r="AL1938" s="11" t="n"/>
      <c r="AN1938">
        <f>IF($E1938="","",IF(COUNTIF($E$2:$E1938,$E1938)=1,1,0))</f>
        <v/>
      </c>
      <c r="AO1938">
        <f>IF($AN1938=1,SUMPRODUCT(--($AR$2:$AR$3001&lt;$AR1938))+1,"")</f>
        <v/>
      </c>
      <c r="AP1938">
        <f>IF($E1938="","",IF(OR($U1938=TRUE(),$U1938="TRUE"),1,0))</f>
        <v/>
      </c>
      <c r="AQ1938">
        <f>IF($E1938="","",IF($AD1938="Yes",1,0))</f>
        <v/>
      </c>
      <c r="AR1938">
        <f>IF($AN1938=1,IFERROR(VALUE(MID($E1938,2,20)),1000000000)+ROW()/100000,"")</f>
        <v/>
      </c>
    </row>
    <row r="1939">
      <c r="G1939" s="11" t="n"/>
      <c r="Q1939" s="7">
        <f>IF($E1939="","",P1939*AB1939/100)</f>
        <v/>
      </c>
      <c r="R1939" s="7" t="n"/>
      <c r="X1939" s="7" t="n"/>
      <c r="Y1939" s="7">
        <f>IF($E1939="","",AB1939*AE1939/100)</f>
        <v/>
      </c>
      <c r="Z1939" s="7">
        <f>IF($E1939="","",AB1939-Y1939)</f>
        <v/>
      </c>
      <c r="AA1939" s="7">
        <f>IF($E1939="","",Z1939-Q1939)</f>
        <v/>
      </c>
      <c r="AB1939" s="7" t="n"/>
      <c r="AE1939">
        <f>IF($E1939="","",IF($AQ1939=1,0,IF($AP1939=1,Settings!$C$6,Settings!$C$7))*100)</f>
        <v/>
      </c>
      <c r="AI1939" s="7" t="n"/>
      <c r="AL1939" s="11" t="n"/>
      <c r="AN1939">
        <f>IF($E1939="","",IF(COUNTIF($E$2:$E1939,$E1939)=1,1,0))</f>
        <v/>
      </c>
      <c r="AO1939">
        <f>IF($AN1939=1,SUMPRODUCT(--($AR$2:$AR$3001&lt;$AR1939))+1,"")</f>
        <v/>
      </c>
      <c r="AP1939">
        <f>IF($E1939="","",IF(OR($U1939=TRUE(),$U1939="TRUE"),1,0))</f>
        <v/>
      </c>
      <c r="AQ1939">
        <f>IF($E1939="","",IF($AD1939="Yes",1,0))</f>
        <v/>
      </c>
      <c r="AR1939">
        <f>IF($AN1939=1,IFERROR(VALUE(MID($E1939,2,20)),1000000000)+ROW()/100000,"")</f>
        <v/>
      </c>
    </row>
    <row r="1940">
      <c r="G1940" s="11" t="n"/>
      <c r="Q1940" s="7">
        <f>IF($E1940="","",P1940*AB1940/100)</f>
        <v/>
      </c>
      <c r="R1940" s="7" t="n"/>
      <c r="X1940" s="7" t="n"/>
      <c r="Y1940" s="7">
        <f>IF($E1940="","",AB1940*AE1940/100)</f>
        <v/>
      </c>
      <c r="Z1940" s="7">
        <f>IF($E1940="","",AB1940-Y1940)</f>
        <v/>
      </c>
      <c r="AA1940" s="7">
        <f>IF($E1940="","",Z1940-Q1940)</f>
        <v/>
      </c>
      <c r="AB1940" s="7" t="n"/>
      <c r="AE1940">
        <f>IF($E1940="","",IF($AQ1940=1,0,IF($AP1940=1,Settings!$C$6,Settings!$C$7))*100)</f>
        <v/>
      </c>
      <c r="AI1940" s="7" t="n"/>
      <c r="AL1940" s="11" t="n"/>
      <c r="AN1940">
        <f>IF($E1940="","",IF(COUNTIF($E$2:$E1940,$E1940)=1,1,0))</f>
        <v/>
      </c>
      <c r="AO1940">
        <f>IF($AN1940=1,SUMPRODUCT(--($AR$2:$AR$3001&lt;$AR1940))+1,"")</f>
        <v/>
      </c>
      <c r="AP1940">
        <f>IF($E1940="","",IF(OR($U1940=TRUE(),$U1940="TRUE"),1,0))</f>
        <v/>
      </c>
      <c r="AQ1940">
        <f>IF($E1940="","",IF($AD1940="Yes",1,0))</f>
        <v/>
      </c>
      <c r="AR1940">
        <f>IF($AN1940=1,IFERROR(VALUE(MID($E1940,2,20)),1000000000)+ROW()/100000,"")</f>
        <v/>
      </c>
    </row>
    <row r="1941">
      <c r="G1941" s="11" t="n"/>
      <c r="Q1941" s="7">
        <f>IF($E1941="","",P1941*AB1941/100)</f>
        <v/>
      </c>
      <c r="R1941" s="7" t="n"/>
      <c r="X1941" s="7" t="n"/>
      <c r="Y1941" s="7">
        <f>IF($E1941="","",AB1941*AE1941/100)</f>
        <v/>
      </c>
      <c r="Z1941" s="7">
        <f>IF($E1941="","",AB1941-Y1941)</f>
        <v/>
      </c>
      <c r="AA1941" s="7">
        <f>IF($E1941="","",Z1941-Q1941)</f>
        <v/>
      </c>
      <c r="AB1941" s="7" t="n"/>
      <c r="AE1941">
        <f>IF($E1941="","",IF($AQ1941=1,0,IF($AP1941=1,Settings!$C$6,Settings!$C$7))*100)</f>
        <v/>
      </c>
      <c r="AI1941" s="7" t="n"/>
      <c r="AL1941" s="11" t="n"/>
      <c r="AN1941">
        <f>IF($E1941="","",IF(COUNTIF($E$2:$E1941,$E1941)=1,1,0))</f>
        <v/>
      </c>
      <c r="AO1941">
        <f>IF($AN1941=1,SUMPRODUCT(--($AR$2:$AR$3001&lt;$AR1941))+1,"")</f>
        <v/>
      </c>
      <c r="AP1941">
        <f>IF($E1941="","",IF(OR($U1941=TRUE(),$U1941="TRUE"),1,0))</f>
        <v/>
      </c>
      <c r="AQ1941">
        <f>IF($E1941="","",IF($AD1941="Yes",1,0))</f>
        <v/>
      </c>
      <c r="AR1941">
        <f>IF($AN1941=1,IFERROR(VALUE(MID($E1941,2,20)),1000000000)+ROW()/100000,"")</f>
        <v/>
      </c>
    </row>
    <row r="1942">
      <c r="G1942" s="11" t="n"/>
      <c r="Q1942" s="7">
        <f>IF($E1942="","",P1942*AB1942/100)</f>
        <v/>
      </c>
      <c r="R1942" s="7" t="n"/>
      <c r="X1942" s="7" t="n"/>
      <c r="Y1942" s="7">
        <f>IF($E1942="","",AB1942*AE1942/100)</f>
        <v/>
      </c>
      <c r="Z1942" s="7">
        <f>IF($E1942="","",AB1942-Y1942)</f>
        <v/>
      </c>
      <c r="AA1942" s="7">
        <f>IF($E1942="","",Z1942-Q1942)</f>
        <v/>
      </c>
      <c r="AB1942" s="7" t="n"/>
      <c r="AE1942">
        <f>IF($E1942="","",IF($AQ1942=1,0,IF($AP1942=1,Settings!$C$6,Settings!$C$7))*100)</f>
        <v/>
      </c>
      <c r="AI1942" s="7" t="n"/>
      <c r="AL1942" s="11" t="n"/>
      <c r="AN1942">
        <f>IF($E1942="","",IF(COUNTIF($E$2:$E1942,$E1942)=1,1,0))</f>
        <v/>
      </c>
      <c r="AO1942">
        <f>IF($AN1942=1,SUMPRODUCT(--($AR$2:$AR$3001&lt;$AR1942))+1,"")</f>
        <v/>
      </c>
      <c r="AP1942">
        <f>IF($E1942="","",IF(OR($U1942=TRUE(),$U1942="TRUE"),1,0))</f>
        <v/>
      </c>
      <c r="AQ1942">
        <f>IF($E1942="","",IF($AD1942="Yes",1,0))</f>
        <v/>
      </c>
      <c r="AR1942">
        <f>IF($AN1942=1,IFERROR(VALUE(MID($E1942,2,20)),1000000000)+ROW()/100000,"")</f>
        <v/>
      </c>
    </row>
    <row r="1943">
      <c r="G1943" s="11" t="n"/>
      <c r="Q1943" s="7">
        <f>IF($E1943="","",P1943*AB1943/100)</f>
        <v/>
      </c>
      <c r="R1943" s="7" t="n"/>
      <c r="X1943" s="7" t="n"/>
      <c r="Y1943" s="7">
        <f>IF($E1943="","",AB1943*AE1943/100)</f>
        <v/>
      </c>
      <c r="Z1943" s="7">
        <f>IF($E1943="","",AB1943-Y1943)</f>
        <v/>
      </c>
      <c r="AA1943" s="7">
        <f>IF($E1943="","",Z1943-Q1943)</f>
        <v/>
      </c>
      <c r="AB1943" s="7" t="n"/>
      <c r="AE1943">
        <f>IF($E1943="","",IF($AQ1943=1,0,IF($AP1943=1,Settings!$C$6,Settings!$C$7))*100)</f>
        <v/>
      </c>
      <c r="AI1943" s="7" t="n"/>
      <c r="AL1943" s="11" t="n"/>
      <c r="AN1943">
        <f>IF($E1943="","",IF(COUNTIF($E$2:$E1943,$E1943)=1,1,0))</f>
        <v/>
      </c>
      <c r="AO1943">
        <f>IF($AN1943=1,SUMPRODUCT(--($AR$2:$AR$3001&lt;$AR1943))+1,"")</f>
        <v/>
      </c>
      <c r="AP1943">
        <f>IF($E1943="","",IF(OR($U1943=TRUE(),$U1943="TRUE"),1,0))</f>
        <v/>
      </c>
      <c r="AQ1943">
        <f>IF($E1943="","",IF($AD1943="Yes",1,0))</f>
        <v/>
      </c>
      <c r="AR1943">
        <f>IF($AN1943=1,IFERROR(VALUE(MID($E1943,2,20)),1000000000)+ROW()/100000,"")</f>
        <v/>
      </c>
    </row>
    <row r="1944">
      <c r="G1944" s="11" t="n"/>
      <c r="Q1944" s="7">
        <f>IF($E1944="","",P1944*AB1944/100)</f>
        <v/>
      </c>
      <c r="R1944" s="7" t="n"/>
      <c r="X1944" s="7" t="n"/>
      <c r="Y1944" s="7">
        <f>IF($E1944="","",AB1944*AE1944/100)</f>
        <v/>
      </c>
      <c r="Z1944" s="7">
        <f>IF($E1944="","",AB1944-Y1944)</f>
        <v/>
      </c>
      <c r="AA1944" s="7">
        <f>IF($E1944="","",Z1944-Q1944)</f>
        <v/>
      </c>
      <c r="AB1944" s="7" t="n"/>
      <c r="AE1944">
        <f>IF($E1944="","",IF($AQ1944=1,0,IF($AP1944=1,Settings!$C$6,Settings!$C$7))*100)</f>
        <v/>
      </c>
      <c r="AI1944" s="7" t="n"/>
      <c r="AL1944" s="11" t="n"/>
      <c r="AN1944">
        <f>IF($E1944="","",IF(COUNTIF($E$2:$E1944,$E1944)=1,1,0))</f>
        <v/>
      </c>
      <c r="AO1944">
        <f>IF($AN1944=1,SUMPRODUCT(--($AR$2:$AR$3001&lt;$AR1944))+1,"")</f>
        <v/>
      </c>
      <c r="AP1944">
        <f>IF($E1944="","",IF(OR($U1944=TRUE(),$U1944="TRUE"),1,0))</f>
        <v/>
      </c>
      <c r="AQ1944">
        <f>IF($E1944="","",IF($AD1944="Yes",1,0))</f>
        <v/>
      </c>
      <c r="AR1944">
        <f>IF($AN1944=1,IFERROR(VALUE(MID($E1944,2,20)),1000000000)+ROW()/100000,"")</f>
        <v/>
      </c>
    </row>
    <row r="1945">
      <c r="G1945" s="11" t="n"/>
      <c r="Q1945" s="7">
        <f>IF($E1945="","",P1945*AB1945/100)</f>
        <v/>
      </c>
      <c r="R1945" s="7" t="n"/>
      <c r="X1945" s="7" t="n"/>
      <c r="Y1945" s="7">
        <f>IF($E1945="","",AB1945*AE1945/100)</f>
        <v/>
      </c>
      <c r="Z1945" s="7">
        <f>IF($E1945="","",AB1945-Y1945)</f>
        <v/>
      </c>
      <c r="AA1945" s="7">
        <f>IF($E1945="","",Z1945-Q1945)</f>
        <v/>
      </c>
      <c r="AB1945" s="7" t="n"/>
      <c r="AE1945">
        <f>IF($E1945="","",IF($AQ1945=1,0,IF($AP1945=1,Settings!$C$6,Settings!$C$7))*100)</f>
        <v/>
      </c>
      <c r="AI1945" s="7" t="n"/>
      <c r="AL1945" s="11" t="n"/>
      <c r="AN1945">
        <f>IF($E1945="","",IF(COUNTIF($E$2:$E1945,$E1945)=1,1,0))</f>
        <v/>
      </c>
      <c r="AO1945">
        <f>IF($AN1945=1,SUMPRODUCT(--($AR$2:$AR$3001&lt;$AR1945))+1,"")</f>
        <v/>
      </c>
      <c r="AP1945">
        <f>IF($E1945="","",IF(OR($U1945=TRUE(),$U1945="TRUE"),1,0))</f>
        <v/>
      </c>
      <c r="AQ1945">
        <f>IF($E1945="","",IF($AD1945="Yes",1,0))</f>
        <v/>
      </c>
      <c r="AR1945">
        <f>IF($AN1945=1,IFERROR(VALUE(MID($E1945,2,20)),1000000000)+ROW()/100000,"")</f>
        <v/>
      </c>
    </row>
    <row r="1946">
      <c r="G1946" s="11" t="n"/>
      <c r="Q1946" s="7">
        <f>IF($E1946="","",P1946*AB1946/100)</f>
        <v/>
      </c>
      <c r="R1946" s="7" t="n"/>
      <c r="X1946" s="7" t="n"/>
      <c r="Y1946" s="7">
        <f>IF($E1946="","",AB1946*AE1946/100)</f>
        <v/>
      </c>
      <c r="Z1946" s="7">
        <f>IF($E1946="","",AB1946-Y1946)</f>
        <v/>
      </c>
      <c r="AA1946" s="7">
        <f>IF($E1946="","",Z1946-Q1946)</f>
        <v/>
      </c>
      <c r="AB1946" s="7" t="n"/>
      <c r="AE1946">
        <f>IF($E1946="","",IF($AQ1946=1,0,IF($AP1946=1,Settings!$C$6,Settings!$C$7))*100)</f>
        <v/>
      </c>
      <c r="AI1946" s="7" t="n"/>
      <c r="AL1946" s="11" t="n"/>
      <c r="AN1946">
        <f>IF($E1946="","",IF(COUNTIF($E$2:$E1946,$E1946)=1,1,0))</f>
        <v/>
      </c>
      <c r="AO1946">
        <f>IF($AN1946=1,SUMPRODUCT(--($AR$2:$AR$3001&lt;$AR1946))+1,"")</f>
        <v/>
      </c>
      <c r="AP1946">
        <f>IF($E1946="","",IF(OR($U1946=TRUE(),$U1946="TRUE"),1,0))</f>
        <v/>
      </c>
      <c r="AQ1946">
        <f>IF($E1946="","",IF($AD1946="Yes",1,0))</f>
        <v/>
      </c>
      <c r="AR1946">
        <f>IF($AN1946=1,IFERROR(VALUE(MID($E1946,2,20)),1000000000)+ROW()/100000,"")</f>
        <v/>
      </c>
    </row>
    <row r="1947">
      <c r="G1947" s="11" t="n"/>
      <c r="Q1947" s="7">
        <f>IF($E1947="","",P1947*AB1947/100)</f>
        <v/>
      </c>
      <c r="R1947" s="7" t="n"/>
      <c r="X1947" s="7" t="n"/>
      <c r="Y1947" s="7">
        <f>IF($E1947="","",AB1947*AE1947/100)</f>
        <v/>
      </c>
      <c r="Z1947" s="7">
        <f>IF($E1947="","",AB1947-Y1947)</f>
        <v/>
      </c>
      <c r="AA1947" s="7">
        <f>IF($E1947="","",Z1947-Q1947)</f>
        <v/>
      </c>
      <c r="AB1947" s="7" t="n"/>
      <c r="AE1947">
        <f>IF($E1947="","",IF($AQ1947=1,0,IF($AP1947=1,Settings!$C$6,Settings!$C$7))*100)</f>
        <v/>
      </c>
      <c r="AI1947" s="7" t="n"/>
      <c r="AL1947" s="11" t="n"/>
      <c r="AN1947">
        <f>IF($E1947="","",IF(COUNTIF($E$2:$E1947,$E1947)=1,1,0))</f>
        <v/>
      </c>
      <c r="AO1947">
        <f>IF($AN1947=1,SUMPRODUCT(--($AR$2:$AR$3001&lt;$AR1947))+1,"")</f>
        <v/>
      </c>
      <c r="AP1947">
        <f>IF($E1947="","",IF(OR($U1947=TRUE(),$U1947="TRUE"),1,0))</f>
        <v/>
      </c>
      <c r="AQ1947">
        <f>IF($E1947="","",IF($AD1947="Yes",1,0))</f>
        <v/>
      </c>
      <c r="AR1947">
        <f>IF($AN1947=1,IFERROR(VALUE(MID($E1947,2,20)),1000000000)+ROW()/100000,"")</f>
        <v/>
      </c>
    </row>
    <row r="1948">
      <c r="G1948" s="11" t="n"/>
      <c r="Q1948" s="7">
        <f>IF($E1948="","",P1948*AB1948/100)</f>
        <v/>
      </c>
      <c r="R1948" s="7" t="n"/>
      <c r="X1948" s="7" t="n"/>
      <c r="Y1948" s="7">
        <f>IF($E1948="","",AB1948*AE1948/100)</f>
        <v/>
      </c>
      <c r="Z1948" s="7">
        <f>IF($E1948="","",AB1948-Y1948)</f>
        <v/>
      </c>
      <c r="AA1948" s="7">
        <f>IF($E1948="","",Z1948-Q1948)</f>
        <v/>
      </c>
      <c r="AB1948" s="7" t="n"/>
      <c r="AE1948">
        <f>IF($E1948="","",IF($AQ1948=1,0,IF($AP1948=1,Settings!$C$6,Settings!$C$7))*100)</f>
        <v/>
      </c>
      <c r="AI1948" s="7" t="n"/>
      <c r="AL1948" s="11" t="n"/>
      <c r="AN1948">
        <f>IF($E1948="","",IF(COUNTIF($E$2:$E1948,$E1948)=1,1,0))</f>
        <v/>
      </c>
      <c r="AO1948">
        <f>IF($AN1948=1,SUMPRODUCT(--($AR$2:$AR$3001&lt;$AR1948))+1,"")</f>
        <v/>
      </c>
      <c r="AP1948">
        <f>IF($E1948="","",IF(OR($U1948=TRUE(),$U1948="TRUE"),1,0))</f>
        <v/>
      </c>
      <c r="AQ1948">
        <f>IF($E1948="","",IF($AD1948="Yes",1,0))</f>
        <v/>
      </c>
      <c r="AR1948">
        <f>IF($AN1948=1,IFERROR(VALUE(MID($E1948,2,20)),1000000000)+ROW()/100000,"")</f>
        <v/>
      </c>
    </row>
    <row r="1949">
      <c r="G1949" s="11" t="n"/>
      <c r="Q1949" s="7">
        <f>IF($E1949="","",P1949*AB1949/100)</f>
        <v/>
      </c>
      <c r="R1949" s="7" t="n"/>
      <c r="X1949" s="7" t="n"/>
      <c r="Y1949" s="7">
        <f>IF($E1949="","",AB1949*AE1949/100)</f>
        <v/>
      </c>
      <c r="Z1949" s="7">
        <f>IF($E1949="","",AB1949-Y1949)</f>
        <v/>
      </c>
      <c r="AA1949" s="7">
        <f>IF($E1949="","",Z1949-Q1949)</f>
        <v/>
      </c>
      <c r="AB1949" s="7" t="n"/>
      <c r="AE1949">
        <f>IF($E1949="","",IF($AQ1949=1,0,IF($AP1949=1,Settings!$C$6,Settings!$C$7))*100)</f>
        <v/>
      </c>
      <c r="AI1949" s="7" t="n"/>
      <c r="AL1949" s="11" t="n"/>
      <c r="AN1949">
        <f>IF($E1949="","",IF(COUNTIF($E$2:$E1949,$E1949)=1,1,0))</f>
        <v/>
      </c>
      <c r="AO1949">
        <f>IF($AN1949=1,SUMPRODUCT(--($AR$2:$AR$3001&lt;$AR1949))+1,"")</f>
        <v/>
      </c>
      <c r="AP1949">
        <f>IF($E1949="","",IF(OR($U1949=TRUE(),$U1949="TRUE"),1,0))</f>
        <v/>
      </c>
      <c r="AQ1949">
        <f>IF($E1949="","",IF($AD1949="Yes",1,0))</f>
        <v/>
      </c>
      <c r="AR1949">
        <f>IF($AN1949=1,IFERROR(VALUE(MID($E1949,2,20)),1000000000)+ROW()/100000,"")</f>
        <v/>
      </c>
    </row>
    <row r="1950">
      <c r="G1950" s="11" t="n"/>
      <c r="Q1950" s="7">
        <f>IF($E1950="","",P1950*AB1950/100)</f>
        <v/>
      </c>
      <c r="R1950" s="7" t="n"/>
      <c r="X1950" s="7" t="n"/>
      <c r="Y1950" s="7">
        <f>IF($E1950="","",AB1950*AE1950/100)</f>
        <v/>
      </c>
      <c r="Z1950" s="7">
        <f>IF($E1950="","",AB1950-Y1950)</f>
        <v/>
      </c>
      <c r="AA1950" s="7">
        <f>IF($E1950="","",Z1950-Q1950)</f>
        <v/>
      </c>
      <c r="AB1950" s="7" t="n"/>
      <c r="AE1950">
        <f>IF($E1950="","",IF($AQ1950=1,0,IF($AP1950=1,Settings!$C$6,Settings!$C$7))*100)</f>
        <v/>
      </c>
      <c r="AI1950" s="7" t="n"/>
      <c r="AL1950" s="11" t="n"/>
      <c r="AN1950">
        <f>IF($E1950="","",IF(COUNTIF($E$2:$E1950,$E1950)=1,1,0))</f>
        <v/>
      </c>
      <c r="AO1950">
        <f>IF($AN1950=1,SUMPRODUCT(--($AR$2:$AR$3001&lt;$AR1950))+1,"")</f>
        <v/>
      </c>
      <c r="AP1950">
        <f>IF($E1950="","",IF(OR($U1950=TRUE(),$U1950="TRUE"),1,0))</f>
        <v/>
      </c>
      <c r="AQ1950">
        <f>IF($E1950="","",IF($AD1950="Yes",1,0))</f>
        <v/>
      </c>
      <c r="AR1950">
        <f>IF($AN1950=1,IFERROR(VALUE(MID($E1950,2,20)),1000000000)+ROW()/100000,"")</f>
        <v/>
      </c>
    </row>
    <row r="1951">
      <c r="G1951" s="11" t="n"/>
      <c r="Q1951" s="7">
        <f>IF($E1951="","",P1951*AB1951/100)</f>
        <v/>
      </c>
      <c r="R1951" s="7" t="n"/>
      <c r="X1951" s="7" t="n"/>
      <c r="Y1951" s="7">
        <f>IF($E1951="","",AB1951*AE1951/100)</f>
        <v/>
      </c>
      <c r="Z1951" s="7">
        <f>IF($E1951="","",AB1951-Y1951)</f>
        <v/>
      </c>
      <c r="AA1951" s="7">
        <f>IF($E1951="","",Z1951-Q1951)</f>
        <v/>
      </c>
      <c r="AB1951" s="7" t="n"/>
      <c r="AE1951">
        <f>IF($E1951="","",IF($AQ1951=1,0,IF($AP1951=1,Settings!$C$6,Settings!$C$7))*100)</f>
        <v/>
      </c>
      <c r="AI1951" s="7" t="n"/>
      <c r="AL1951" s="11" t="n"/>
      <c r="AN1951">
        <f>IF($E1951="","",IF(COUNTIF($E$2:$E1951,$E1951)=1,1,0))</f>
        <v/>
      </c>
      <c r="AO1951">
        <f>IF($AN1951=1,SUMPRODUCT(--($AR$2:$AR$3001&lt;$AR1951))+1,"")</f>
        <v/>
      </c>
      <c r="AP1951">
        <f>IF($E1951="","",IF(OR($U1951=TRUE(),$U1951="TRUE"),1,0))</f>
        <v/>
      </c>
      <c r="AQ1951">
        <f>IF($E1951="","",IF($AD1951="Yes",1,0))</f>
        <v/>
      </c>
      <c r="AR1951">
        <f>IF($AN1951=1,IFERROR(VALUE(MID($E1951,2,20)),1000000000)+ROW()/100000,"")</f>
        <v/>
      </c>
    </row>
    <row r="1952">
      <c r="G1952" s="11" t="n"/>
      <c r="Q1952" s="7">
        <f>IF($E1952="","",P1952*AB1952/100)</f>
        <v/>
      </c>
      <c r="R1952" s="7" t="n"/>
      <c r="X1952" s="7" t="n"/>
      <c r="Y1952" s="7">
        <f>IF($E1952="","",AB1952*AE1952/100)</f>
        <v/>
      </c>
      <c r="Z1952" s="7">
        <f>IF($E1952="","",AB1952-Y1952)</f>
        <v/>
      </c>
      <c r="AA1952" s="7">
        <f>IF($E1952="","",Z1952-Q1952)</f>
        <v/>
      </c>
      <c r="AB1952" s="7" t="n"/>
      <c r="AE1952">
        <f>IF($E1952="","",IF($AQ1952=1,0,IF($AP1952=1,Settings!$C$6,Settings!$C$7))*100)</f>
        <v/>
      </c>
      <c r="AI1952" s="7" t="n"/>
      <c r="AL1952" s="11" t="n"/>
      <c r="AN1952">
        <f>IF($E1952="","",IF(COUNTIF($E$2:$E1952,$E1952)=1,1,0))</f>
        <v/>
      </c>
      <c r="AO1952">
        <f>IF($AN1952=1,SUMPRODUCT(--($AR$2:$AR$3001&lt;$AR1952))+1,"")</f>
        <v/>
      </c>
      <c r="AP1952">
        <f>IF($E1952="","",IF(OR($U1952=TRUE(),$U1952="TRUE"),1,0))</f>
        <v/>
      </c>
      <c r="AQ1952">
        <f>IF($E1952="","",IF($AD1952="Yes",1,0))</f>
        <v/>
      </c>
      <c r="AR1952">
        <f>IF($AN1952=1,IFERROR(VALUE(MID($E1952,2,20)),1000000000)+ROW()/100000,"")</f>
        <v/>
      </c>
    </row>
    <row r="1953">
      <c r="G1953" s="11" t="n"/>
      <c r="Q1953" s="7">
        <f>IF($E1953="","",P1953*AB1953/100)</f>
        <v/>
      </c>
      <c r="R1953" s="7" t="n"/>
      <c r="X1953" s="7" t="n"/>
      <c r="Y1953" s="7">
        <f>IF($E1953="","",AB1953*AE1953/100)</f>
        <v/>
      </c>
      <c r="Z1953" s="7">
        <f>IF($E1953="","",AB1953-Y1953)</f>
        <v/>
      </c>
      <c r="AA1953" s="7">
        <f>IF($E1953="","",Z1953-Q1953)</f>
        <v/>
      </c>
      <c r="AB1953" s="7" t="n"/>
      <c r="AE1953">
        <f>IF($E1953="","",IF($AQ1953=1,0,IF($AP1953=1,Settings!$C$6,Settings!$C$7))*100)</f>
        <v/>
      </c>
      <c r="AI1953" s="7" t="n"/>
      <c r="AL1953" s="11" t="n"/>
      <c r="AN1953">
        <f>IF($E1953="","",IF(COUNTIF($E$2:$E1953,$E1953)=1,1,0))</f>
        <v/>
      </c>
      <c r="AO1953">
        <f>IF($AN1953=1,SUMPRODUCT(--($AR$2:$AR$3001&lt;$AR1953))+1,"")</f>
        <v/>
      </c>
      <c r="AP1953">
        <f>IF($E1953="","",IF(OR($U1953=TRUE(),$U1953="TRUE"),1,0))</f>
        <v/>
      </c>
      <c r="AQ1953">
        <f>IF($E1953="","",IF($AD1953="Yes",1,0))</f>
        <v/>
      </c>
      <c r="AR1953">
        <f>IF($AN1953=1,IFERROR(VALUE(MID($E1953,2,20)),1000000000)+ROW()/100000,"")</f>
        <v/>
      </c>
    </row>
    <row r="1954">
      <c r="G1954" s="11" t="n"/>
      <c r="Q1954" s="7">
        <f>IF($E1954="","",P1954*AB1954/100)</f>
        <v/>
      </c>
      <c r="R1954" s="7" t="n"/>
      <c r="X1954" s="7" t="n"/>
      <c r="Y1954" s="7">
        <f>IF($E1954="","",AB1954*AE1954/100)</f>
        <v/>
      </c>
      <c r="Z1954" s="7">
        <f>IF($E1954="","",AB1954-Y1954)</f>
        <v/>
      </c>
      <c r="AA1954" s="7">
        <f>IF($E1954="","",Z1954-Q1954)</f>
        <v/>
      </c>
      <c r="AB1954" s="7" t="n"/>
      <c r="AE1954">
        <f>IF($E1954="","",IF($AQ1954=1,0,IF($AP1954=1,Settings!$C$6,Settings!$C$7))*100)</f>
        <v/>
      </c>
      <c r="AI1954" s="7" t="n"/>
      <c r="AL1954" s="11" t="n"/>
      <c r="AN1954">
        <f>IF($E1954="","",IF(COUNTIF($E$2:$E1954,$E1954)=1,1,0))</f>
        <v/>
      </c>
      <c r="AO1954">
        <f>IF($AN1954=1,SUMPRODUCT(--($AR$2:$AR$3001&lt;$AR1954))+1,"")</f>
        <v/>
      </c>
      <c r="AP1954">
        <f>IF($E1954="","",IF(OR($U1954=TRUE(),$U1954="TRUE"),1,0))</f>
        <v/>
      </c>
      <c r="AQ1954">
        <f>IF($E1954="","",IF($AD1954="Yes",1,0))</f>
        <v/>
      </c>
      <c r="AR1954">
        <f>IF($AN1954=1,IFERROR(VALUE(MID($E1954,2,20)),1000000000)+ROW()/100000,"")</f>
        <v/>
      </c>
    </row>
    <row r="1955">
      <c r="G1955" s="11" t="n"/>
      <c r="Q1955" s="7">
        <f>IF($E1955="","",P1955*AB1955/100)</f>
        <v/>
      </c>
      <c r="R1955" s="7" t="n"/>
      <c r="X1955" s="7" t="n"/>
      <c r="Y1955" s="7">
        <f>IF($E1955="","",AB1955*AE1955/100)</f>
        <v/>
      </c>
      <c r="Z1955" s="7">
        <f>IF($E1955="","",AB1955-Y1955)</f>
        <v/>
      </c>
      <c r="AA1955" s="7">
        <f>IF($E1955="","",Z1955-Q1955)</f>
        <v/>
      </c>
      <c r="AB1955" s="7" t="n"/>
      <c r="AE1955">
        <f>IF($E1955="","",IF($AQ1955=1,0,IF($AP1955=1,Settings!$C$6,Settings!$C$7))*100)</f>
        <v/>
      </c>
      <c r="AI1955" s="7" t="n"/>
      <c r="AL1955" s="11" t="n"/>
      <c r="AN1955">
        <f>IF($E1955="","",IF(COUNTIF($E$2:$E1955,$E1955)=1,1,0))</f>
        <v/>
      </c>
      <c r="AO1955">
        <f>IF($AN1955=1,SUMPRODUCT(--($AR$2:$AR$3001&lt;$AR1955))+1,"")</f>
        <v/>
      </c>
      <c r="AP1955">
        <f>IF($E1955="","",IF(OR($U1955=TRUE(),$U1955="TRUE"),1,0))</f>
        <v/>
      </c>
      <c r="AQ1955">
        <f>IF($E1955="","",IF($AD1955="Yes",1,0))</f>
        <v/>
      </c>
      <c r="AR1955">
        <f>IF($AN1955=1,IFERROR(VALUE(MID($E1955,2,20)),1000000000)+ROW()/100000,"")</f>
        <v/>
      </c>
    </row>
    <row r="1956">
      <c r="G1956" s="11" t="n"/>
      <c r="Q1956" s="7">
        <f>IF($E1956="","",P1956*AB1956/100)</f>
        <v/>
      </c>
      <c r="R1956" s="7" t="n"/>
      <c r="X1956" s="7" t="n"/>
      <c r="Y1956" s="7">
        <f>IF($E1956="","",AB1956*AE1956/100)</f>
        <v/>
      </c>
      <c r="Z1956" s="7">
        <f>IF($E1956="","",AB1956-Y1956)</f>
        <v/>
      </c>
      <c r="AA1956" s="7">
        <f>IF($E1956="","",Z1956-Q1956)</f>
        <v/>
      </c>
      <c r="AB1956" s="7" t="n"/>
      <c r="AE1956">
        <f>IF($E1956="","",IF($AQ1956=1,0,IF($AP1956=1,Settings!$C$6,Settings!$C$7))*100)</f>
        <v/>
      </c>
      <c r="AI1956" s="7" t="n"/>
      <c r="AL1956" s="11" t="n"/>
      <c r="AN1956">
        <f>IF($E1956="","",IF(COUNTIF($E$2:$E1956,$E1956)=1,1,0))</f>
        <v/>
      </c>
      <c r="AO1956">
        <f>IF($AN1956=1,SUMPRODUCT(--($AR$2:$AR$3001&lt;$AR1956))+1,"")</f>
        <v/>
      </c>
      <c r="AP1956">
        <f>IF($E1956="","",IF(OR($U1956=TRUE(),$U1956="TRUE"),1,0))</f>
        <v/>
      </c>
      <c r="AQ1956">
        <f>IF($E1956="","",IF($AD1956="Yes",1,0))</f>
        <v/>
      </c>
      <c r="AR1956">
        <f>IF($AN1956=1,IFERROR(VALUE(MID($E1956,2,20)),1000000000)+ROW()/100000,"")</f>
        <v/>
      </c>
    </row>
    <row r="1957">
      <c r="G1957" s="11" t="n"/>
      <c r="Q1957" s="7">
        <f>IF($E1957="","",P1957*AB1957/100)</f>
        <v/>
      </c>
      <c r="R1957" s="7" t="n"/>
      <c r="X1957" s="7" t="n"/>
      <c r="Y1957" s="7">
        <f>IF($E1957="","",AB1957*AE1957/100)</f>
        <v/>
      </c>
      <c r="Z1957" s="7">
        <f>IF($E1957="","",AB1957-Y1957)</f>
        <v/>
      </c>
      <c r="AA1957" s="7">
        <f>IF($E1957="","",Z1957-Q1957)</f>
        <v/>
      </c>
      <c r="AB1957" s="7" t="n"/>
      <c r="AE1957">
        <f>IF($E1957="","",IF($AQ1957=1,0,IF($AP1957=1,Settings!$C$6,Settings!$C$7))*100)</f>
        <v/>
      </c>
      <c r="AI1957" s="7" t="n"/>
      <c r="AL1957" s="11" t="n"/>
      <c r="AN1957">
        <f>IF($E1957="","",IF(COUNTIF($E$2:$E1957,$E1957)=1,1,0))</f>
        <v/>
      </c>
      <c r="AO1957">
        <f>IF($AN1957=1,SUMPRODUCT(--($AR$2:$AR$3001&lt;$AR1957))+1,"")</f>
        <v/>
      </c>
      <c r="AP1957">
        <f>IF($E1957="","",IF(OR($U1957=TRUE(),$U1957="TRUE"),1,0))</f>
        <v/>
      </c>
      <c r="AQ1957">
        <f>IF($E1957="","",IF($AD1957="Yes",1,0))</f>
        <v/>
      </c>
      <c r="AR1957">
        <f>IF($AN1957=1,IFERROR(VALUE(MID($E1957,2,20)),1000000000)+ROW()/100000,"")</f>
        <v/>
      </c>
    </row>
    <row r="1958">
      <c r="G1958" s="11" t="n"/>
      <c r="Q1958" s="7">
        <f>IF($E1958="","",P1958*AB1958/100)</f>
        <v/>
      </c>
      <c r="R1958" s="7" t="n"/>
      <c r="X1958" s="7" t="n"/>
      <c r="Y1958" s="7">
        <f>IF($E1958="","",AB1958*AE1958/100)</f>
        <v/>
      </c>
      <c r="Z1958" s="7">
        <f>IF($E1958="","",AB1958-Y1958)</f>
        <v/>
      </c>
      <c r="AA1958" s="7">
        <f>IF($E1958="","",Z1958-Q1958)</f>
        <v/>
      </c>
      <c r="AB1958" s="7" t="n"/>
      <c r="AE1958">
        <f>IF($E1958="","",IF($AQ1958=1,0,IF($AP1958=1,Settings!$C$6,Settings!$C$7))*100)</f>
        <v/>
      </c>
      <c r="AI1958" s="7" t="n"/>
      <c r="AL1958" s="11" t="n"/>
      <c r="AN1958">
        <f>IF($E1958="","",IF(COUNTIF($E$2:$E1958,$E1958)=1,1,0))</f>
        <v/>
      </c>
      <c r="AO1958">
        <f>IF($AN1958=1,SUMPRODUCT(--($AR$2:$AR$3001&lt;$AR1958))+1,"")</f>
        <v/>
      </c>
      <c r="AP1958">
        <f>IF($E1958="","",IF(OR($U1958=TRUE(),$U1958="TRUE"),1,0))</f>
        <v/>
      </c>
      <c r="AQ1958">
        <f>IF($E1958="","",IF($AD1958="Yes",1,0))</f>
        <v/>
      </c>
      <c r="AR1958">
        <f>IF($AN1958=1,IFERROR(VALUE(MID($E1958,2,20)),1000000000)+ROW()/100000,"")</f>
        <v/>
      </c>
    </row>
    <row r="1959">
      <c r="G1959" s="11" t="n"/>
      <c r="Q1959" s="7">
        <f>IF($E1959="","",P1959*AB1959/100)</f>
        <v/>
      </c>
      <c r="R1959" s="7" t="n"/>
      <c r="X1959" s="7" t="n"/>
      <c r="Y1959" s="7">
        <f>IF($E1959="","",AB1959*AE1959/100)</f>
        <v/>
      </c>
      <c r="Z1959" s="7">
        <f>IF($E1959="","",AB1959-Y1959)</f>
        <v/>
      </c>
      <c r="AA1959" s="7">
        <f>IF($E1959="","",Z1959-Q1959)</f>
        <v/>
      </c>
      <c r="AB1959" s="7" t="n"/>
      <c r="AE1959">
        <f>IF($E1959="","",IF($AQ1959=1,0,IF($AP1959=1,Settings!$C$6,Settings!$C$7))*100)</f>
        <v/>
      </c>
      <c r="AI1959" s="7" t="n"/>
      <c r="AL1959" s="11" t="n"/>
      <c r="AN1959">
        <f>IF($E1959="","",IF(COUNTIF($E$2:$E1959,$E1959)=1,1,0))</f>
        <v/>
      </c>
      <c r="AO1959">
        <f>IF($AN1959=1,SUMPRODUCT(--($AR$2:$AR$3001&lt;$AR1959))+1,"")</f>
        <v/>
      </c>
      <c r="AP1959">
        <f>IF($E1959="","",IF(OR($U1959=TRUE(),$U1959="TRUE"),1,0))</f>
        <v/>
      </c>
      <c r="AQ1959">
        <f>IF($E1959="","",IF($AD1959="Yes",1,0))</f>
        <v/>
      </c>
      <c r="AR1959">
        <f>IF($AN1959=1,IFERROR(VALUE(MID($E1959,2,20)),1000000000)+ROW()/100000,"")</f>
        <v/>
      </c>
    </row>
    <row r="1960">
      <c r="G1960" s="11" t="n"/>
      <c r="Q1960" s="7">
        <f>IF($E1960="","",P1960*AB1960/100)</f>
        <v/>
      </c>
      <c r="R1960" s="7" t="n"/>
      <c r="X1960" s="7" t="n"/>
      <c r="Y1960" s="7">
        <f>IF($E1960="","",AB1960*AE1960/100)</f>
        <v/>
      </c>
      <c r="Z1960" s="7">
        <f>IF($E1960="","",AB1960-Y1960)</f>
        <v/>
      </c>
      <c r="AA1960" s="7">
        <f>IF($E1960="","",Z1960-Q1960)</f>
        <v/>
      </c>
      <c r="AB1960" s="7" t="n"/>
      <c r="AE1960">
        <f>IF($E1960="","",IF($AQ1960=1,0,IF($AP1960=1,Settings!$C$6,Settings!$C$7))*100)</f>
        <v/>
      </c>
      <c r="AI1960" s="7" t="n"/>
      <c r="AL1960" s="11" t="n"/>
      <c r="AN1960">
        <f>IF($E1960="","",IF(COUNTIF($E$2:$E1960,$E1960)=1,1,0))</f>
        <v/>
      </c>
      <c r="AO1960">
        <f>IF($AN1960=1,SUMPRODUCT(--($AR$2:$AR$3001&lt;$AR1960))+1,"")</f>
        <v/>
      </c>
      <c r="AP1960">
        <f>IF($E1960="","",IF(OR($U1960=TRUE(),$U1960="TRUE"),1,0))</f>
        <v/>
      </c>
      <c r="AQ1960">
        <f>IF($E1960="","",IF($AD1960="Yes",1,0))</f>
        <v/>
      </c>
      <c r="AR1960">
        <f>IF($AN1960=1,IFERROR(VALUE(MID($E1960,2,20)),1000000000)+ROW()/100000,"")</f>
        <v/>
      </c>
    </row>
    <row r="1961">
      <c r="G1961" s="11" t="n"/>
      <c r="Q1961" s="7">
        <f>IF($E1961="","",P1961*AB1961/100)</f>
        <v/>
      </c>
      <c r="R1961" s="7" t="n"/>
      <c r="X1961" s="7" t="n"/>
      <c r="Y1961" s="7">
        <f>IF($E1961="","",AB1961*AE1961/100)</f>
        <v/>
      </c>
      <c r="Z1961" s="7">
        <f>IF($E1961="","",AB1961-Y1961)</f>
        <v/>
      </c>
      <c r="AA1961" s="7">
        <f>IF($E1961="","",Z1961-Q1961)</f>
        <v/>
      </c>
      <c r="AB1961" s="7" t="n"/>
      <c r="AE1961">
        <f>IF($E1961="","",IF($AQ1961=1,0,IF($AP1961=1,Settings!$C$6,Settings!$C$7))*100)</f>
        <v/>
      </c>
      <c r="AI1961" s="7" t="n"/>
      <c r="AL1961" s="11" t="n"/>
      <c r="AN1961">
        <f>IF($E1961="","",IF(COUNTIF($E$2:$E1961,$E1961)=1,1,0))</f>
        <v/>
      </c>
      <c r="AO1961">
        <f>IF($AN1961=1,SUMPRODUCT(--($AR$2:$AR$3001&lt;$AR1961))+1,"")</f>
        <v/>
      </c>
      <c r="AP1961">
        <f>IF($E1961="","",IF(OR($U1961=TRUE(),$U1961="TRUE"),1,0))</f>
        <v/>
      </c>
      <c r="AQ1961">
        <f>IF($E1961="","",IF($AD1961="Yes",1,0))</f>
        <v/>
      </c>
      <c r="AR1961">
        <f>IF($AN1961=1,IFERROR(VALUE(MID($E1961,2,20)),1000000000)+ROW()/100000,"")</f>
        <v/>
      </c>
    </row>
    <row r="1962">
      <c r="G1962" s="11" t="n"/>
      <c r="Q1962" s="7">
        <f>IF($E1962="","",P1962*AB1962/100)</f>
        <v/>
      </c>
      <c r="R1962" s="7" t="n"/>
      <c r="X1962" s="7" t="n"/>
      <c r="Y1962" s="7">
        <f>IF($E1962="","",AB1962*AE1962/100)</f>
        <v/>
      </c>
      <c r="Z1962" s="7">
        <f>IF($E1962="","",AB1962-Y1962)</f>
        <v/>
      </c>
      <c r="AA1962" s="7">
        <f>IF($E1962="","",Z1962-Q1962)</f>
        <v/>
      </c>
      <c r="AB1962" s="7" t="n"/>
      <c r="AE1962">
        <f>IF($E1962="","",IF($AQ1962=1,0,IF($AP1962=1,Settings!$C$6,Settings!$C$7))*100)</f>
        <v/>
      </c>
      <c r="AI1962" s="7" t="n"/>
      <c r="AL1962" s="11" t="n"/>
      <c r="AN1962">
        <f>IF($E1962="","",IF(COUNTIF($E$2:$E1962,$E1962)=1,1,0))</f>
        <v/>
      </c>
      <c r="AO1962">
        <f>IF($AN1962=1,SUMPRODUCT(--($AR$2:$AR$3001&lt;$AR1962))+1,"")</f>
        <v/>
      </c>
      <c r="AP1962">
        <f>IF($E1962="","",IF(OR($U1962=TRUE(),$U1962="TRUE"),1,0))</f>
        <v/>
      </c>
      <c r="AQ1962">
        <f>IF($E1962="","",IF($AD1962="Yes",1,0))</f>
        <v/>
      </c>
      <c r="AR1962">
        <f>IF($AN1962=1,IFERROR(VALUE(MID($E1962,2,20)),1000000000)+ROW()/100000,"")</f>
        <v/>
      </c>
    </row>
    <row r="1963">
      <c r="G1963" s="11" t="n"/>
      <c r="Q1963" s="7">
        <f>IF($E1963="","",P1963*AB1963/100)</f>
        <v/>
      </c>
      <c r="R1963" s="7" t="n"/>
      <c r="X1963" s="7" t="n"/>
      <c r="Y1963" s="7">
        <f>IF($E1963="","",AB1963*AE1963/100)</f>
        <v/>
      </c>
      <c r="Z1963" s="7">
        <f>IF($E1963="","",AB1963-Y1963)</f>
        <v/>
      </c>
      <c r="AA1963" s="7">
        <f>IF($E1963="","",Z1963-Q1963)</f>
        <v/>
      </c>
      <c r="AB1963" s="7" t="n"/>
      <c r="AE1963">
        <f>IF($E1963="","",IF($AQ1963=1,0,IF($AP1963=1,Settings!$C$6,Settings!$C$7))*100)</f>
        <v/>
      </c>
      <c r="AI1963" s="7" t="n"/>
      <c r="AL1963" s="11" t="n"/>
      <c r="AN1963">
        <f>IF($E1963="","",IF(COUNTIF($E$2:$E1963,$E1963)=1,1,0))</f>
        <v/>
      </c>
      <c r="AO1963">
        <f>IF($AN1963=1,SUMPRODUCT(--($AR$2:$AR$3001&lt;$AR1963))+1,"")</f>
        <v/>
      </c>
      <c r="AP1963">
        <f>IF($E1963="","",IF(OR($U1963=TRUE(),$U1963="TRUE"),1,0))</f>
        <v/>
      </c>
      <c r="AQ1963">
        <f>IF($E1963="","",IF($AD1963="Yes",1,0))</f>
        <v/>
      </c>
      <c r="AR1963">
        <f>IF($AN1963=1,IFERROR(VALUE(MID($E1963,2,20)),1000000000)+ROW()/100000,"")</f>
        <v/>
      </c>
    </row>
    <row r="1964">
      <c r="G1964" s="11" t="n"/>
      <c r="Q1964" s="7">
        <f>IF($E1964="","",P1964*AB1964/100)</f>
        <v/>
      </c>
      <c r="R1964" s="7" t="n"/>
      <c r="X1964" s="7" t="n"/>
      <c r="Y1964" s="7">
        <f>IF($E1964="","",AB1964*AE1964/100)</f>
        <v/>
      </c>
      <c r="Z1964" s="7">
        <f>IF($E1964="","",AB1964-Y1964)</f>
        <v/>
      </c>
      <c r="AA1964" s="7">
        <f>IF($E1964="","",Z1964-Q1964)</f>
        <v/>
      </c>
      <c r="AB1964" s="7" t="n"/>
      <c r="AE1964">
        <f>IF($E1964="","",IF($AQ1964=1,0,IF($AP1964=1,Settings!$C$6,Settings!$C$7))*100)</f>
        <v/>
      </c>
      <c r="AI1964" s="7" t="n"/>
      <c r="AL1964" s="11" t="n"/>
      <c r="AN1964">
        <f>IF($E1964="","",IF(COUNTIF($E$2:$E1964,$E1964)=1,1,0))</f>
        <v/>
      </c>
      <c r="AO1964">
        <f>IF($AN1964=1,SUMPRODUCT(--($AR$2:$AR$3001&lt;$AR1964))+1,"")</f>
        <v/>
      </c>
      <c r="AP1964">
        <f>IF($E1964="","",IF(OR($U1964=TRUE(),$U1964="TRUE"),1,0))</f>
        <v/>
      </c>
      <c r="AQ1964">
        <f>IF($E1964="","",IF($AD1964="Yes",1,0))</f>
        <v/>
      </c>
      <c r="AR1964">
        <f>IF($AN1964=1,IFERROR(VALUE(MID($E1964,2,20)),1000000000)+ROW()/100000,"")</f>
        <v/>
      </c>
    </row>
    <row r="1965">
      <c r="G1965" s="11" t="n"/>
      <c r="Q1965" s="7">
        <f>IF($E1965="","",P1965*AB1965/100)</f>
        <v/>
      </c>
      <c r="R1965" s="7" t="n"/>
      <c r="X1965" s="7" t="n"/>
      <c r="Y1965" s="7">
        <f>IF($E1965="","",AB1965*AE1965/100)</f>
        <v/>
      </c>
      <c r="Z1965" s="7">
        <f>IF($E1965="","",AB1965-Y1965)</f>
        <v/>
      </c>
      <c r="AA1965" s="7">
        <f>IF($E1965="","",Z1965-Q1965)</f>
        <v/>
      </c>
      <c r="AB1965" s="7" t="n"/>
      <c r="AE1965">
        <f>IF($E1965="","",IF($AQ1965=1,0,IF($AP1965=1,Settings!$C$6,Settings!$C$7))*100)</f>
        <v/>
      </c>
      <c r="AI1965" s="7" t="n"/>
      <c r="AL1965" s="11" t="n"/>
      <c r="AN1965">
        <f>IF($E1965="","",IF(COUNTIF($E$2:$E1965,$E1965)=1,1,0))</f>
        <v/>
      </c>
      <c r="AO1965">
        <f>IF($AN1965=1,SUMPRODUCT(--($AR$2:$AR$3001&lt;$AR1965))+1,"")</f>
        <v/>
      </c>
      <c r="AP1965">
        <f>IF($E1965="","",IF(OR($U1965=TRUE(),$U1965="TRUE"),1,0))</f>
        <v/>
      </c>
      <c r="AQ1965">
        <f>IF($E1965="","",IF($AD1965="Yes",1,0))</f>
        <v/>
      </c>
      <c r="AR1965">
        <f>IF($AN1965=1,IFERROR(VALUE(MID($E1965,2,20)),1000000000)+ROW()/100000,"")</f>
        <v/>
      </c>
    </row>
    <row r="1966">
      <c r="G1966" s="11" t="n"/>
      <c r="Q1966" s="7">
        <f>IF($E1966="","",P1966*AB1966/100)</f>
        <v/>
      </c>
      <c r="R1966" s="7" t="n"/>
      <c r="X1966" s="7" t="n"/>
      <c r="Y1966" s="7">
        <f>IF($E1966="","",AB1966*AE1966/100)</f>
        <v/>
      </c>
      <c r="Z1966" s="7">
        <f>IF($E1966="","",AB1966-Y1966)</f>
        <v/>
      </c>
      <c r="AA1966" s="7">
        <f>IF($E1966="","",Z1966-Q1966)</f>
        <v/>
      </c>
      <c r="AB1966" s="7" t="n"/>
      <c r="AE1966">
        <f>IF($E1966="","",IF($AQ1966=1,0,IF($AP1966=1,Settings!$C$6,Settings!$C$7))*100)</f>
        <v/>
      </c>
      <c r="AI1966" s="7" t="n"/>
      <c r="AL1966" s="11" t="n"/>
      <c r="AN1966">
        <f>IF($E1966="","",IF(COUNTIF($E$2:$E1966,$E1966)=1,1,0))</f>
        <v/>
      </c>
      <c r="AO1966">
        <f>IF($AN1966=1,SUMPRODUCT(--($AR$2:$AR$3001&lt;$AR1966))+1,"")</f>
        <v/>
      </c>
      <c r="AP1966">
        <f>IF($E1966="","",IF(OR($U1966=TRUE(),$U1966="TRUE"),1,0))</f>
        <v/>
      </c>
      <c r="AQ1966">
        <f>IF($E1966="","",IF($AD1966="Yes",1,0))</f>
        <v/>
      </c>
      <c r="AR1966">
        <f>IF($AN1966=1,IFERROR(VALUE(MID($E1966,2,20)),1000000000)+ROW()/100000,"")</f>
        <v/>
      </c>
    </row>
    <row r="1967">
      <c r="G1967" s="11" t="n"/>
      <c r="Q1967" s="7">
        <f>IF($E1967="","",P1967*AB1967/100)</f>
        <v/>
      </c>
      <c r="R1967" s="7" t="n"/>
      <c r="X1967" s="7" t="n"/>
      <c r="Y1967" s="7">
        <f>IF($E1967="","",AB1967*AE1967/100)</f>
        <v/>
      </c>
      <c r="Z1967" s="7">
        <f>IF($E1967="","",AB1967-Y1967)</f>
        <v/>
      </c>
      <c r="AA1967" s="7">
        <f>IF($E1967="","",Z1967-Q1967)</f>
        <v/>
      </c>
      <c r="AB1967" s="7" t="n"/>
      <c r="AE1967">
        <f>IF($E1967="","",IF($AQ1967=1,0,IF($AP1967=1,Settings!$C$6,Settings!$C$7))*100)</f>
        <v/>
      </c>
      <c r="AI1967" s="7" t="n"/>
      <c r="AL1967" s="11" t="n"/>
      <c r="AN1967">
        <f>IF($E1967="","",IF(COUNTIF($E$2:$E1967,$E1967)=1,1,0))</f>
        <v/>
      </c>
      <c r="AO1967">
        <f>IF($AN1967=1,SUMPRODUCT(--($AR$2:$AR$3001&lt;$AR1967))+1,"")</f>
        <v/>
      </c>
      <c r="AP1967">
        <f>IF($E1967="","",IF(OR($U1967=TRUE(),$U1967="TRUE"),1,0))</f>
        <v/>
      </c>
      <c r="AQ1967">
        <f>IF($E1967="","",IF($AD1967="Yes",1,0))</f>
        <v/>
      </c>
      <c r="AR1967">
        <f>IF($AN1967=1,IFERROR(VALUE(MID($E1967,2,20)),1000000000)+ROW()/100000,"")</f>
        <v/>
      </c>
    </row>
    <row r="1968">
      <c r="G1968" s="11" t="n"/>
      <c r="Q1968" s="7">
        <f>IF($E1968="","",P1968*AB1968/100)</f>
        <v/>
      </c>
      <c r="R1968" s="7" t="n"/>
      <c r="X1968" s="7" t="n"/>
      <c r="Y1968" s="7">
        <f>IF($E1968="","",AB1968*AE1968/100)</f>
        <v/>
      </c>
      <c r="Z1968" s="7">
        <f>IF($E1968="","",AB1968-Y1968)</f>
        <v/>
      </c>
      <c r="AA1968" s="7">
        <f>IF($E1968="","",Z1968-Q1968)</f>
        <v/>
      </c>
      <c r="AB1968" s="7" t="n"/>
      <c r="AE1968">
        <f>IF($E1968="","",IF($AQ1968=1,0,IF($AP1968=1,Settings!$C$6,Settings!$C$7))*100)</f>
        <v/>
      </c>
      <c r="AI1968" s="7" t="n"/>
      <c r="AL1968" s="11" t="n"/>
      <c r="AN1968">
        <f>IF($E1968="","",IF(COUNTIF($E$2:$E1968,$E1968)=1,1,0))</f>
        <v/>
      </c>
      <c r="AO1968">
        <f>IF($AN1968=1,SUMPRODUCT(--($AR$2:$AR$3001&lt;$AR1968))+1,"")</f>
        <v/>
      </c>
      <c r="AP1968">
        <f>IF($E1968="","",IF(OR($U1968=TRUE(),$U1968="TRUE"),1,0))</f>
        <v/>
      </c>
      <c r="AQ1968">
        <f>IF($E1968="","",IF($AD1968="Yes",1,0))</f>
        <v/>
      </c>
      <c r="AR1968">
        <f>IF($AN1968=1,IFERROR(VALUE(MID($E1968,2,20)),1000000000)+ROW()/100000,"")</f>
        <v/>
      </c>
    </row>
    <row r="1969">
      <c r="G1969" s="11" t="n"/>
      <c r="Q1969" s="7">
        <f>IF($E1969="","",P1969*AB1969/100)</f>
        <v/>
      </c>
      <c r="R1969" s="7" t="n"/>
      <c r="X1969" s="7" t="n"/>
      <c r="Y1969" s="7">
        <f>IF($E1969="","",AB1969*AE1969/100)</f>
        <v/>
      </c>
      <c r="Z1969" s="7">
        <f>IF($E1969="","",AB1969-Y1969)</f>
        <v/>
      </c>
      <c r="AA1969" s="7">
        <f>IF($E1969="","",Z1969-Q1969)</f>
        <v/>
      </c>
      <c r="AB1969" s="7" t="n"/>
      <c r="AE1969">
        <f>IF($E1969="","",IF($AQ1969=1,0,IF($AP1969=1,Settings!$C$6,Settings!$C$7))*100)</f>
        <v/>
      </c>
      <c r="AI1969" s="7" t="n"/>
      <c r="AL1969" s="11" t="n"/>
      <c r="AN1969">
        <f>IF($E1969="","",IF(COUNTIF($E$2:$E1969,$E1969)=1,1,0))</f>
        <v/>
      </c>
      <c r="AO1969">
        <f>IF($AN1969=1,SUMPRODUCT(--($AR$2:$AR$3001&lt;$AR1969))+1,"")</f>
        <v/>
      </c>
      <c r="AP1969">
        <f>IF($E1969="","",IF(OR($U1969=TRUE(),$U1969="TRUE"),1,0))</f>
        <v/>
      </c>
      <c r="AQ1969">
        <f>IF($E1969="","",IF($AD1969="Yes",1,0))</f>
        <v/>
      </c>
      <c r="AR1969">
        <f>IF($AN1969=1,IFERROR(VALUE(MID($E1969,2,20)),1000000000)+ROW()/100000,"")</f>
        <v/>
      </c>
    </row>
    <row r="1970">
      <c r="G1970" s="11" t="n"/>
      <c r="Q1970" s="7">
        <f>IF($E1970="","",P1970*AB1970/100)</f>
        <v/>
      </c>
      <c r="R1970" s="7" t="n"/>
      <c r="X1970" s="7" t="n"/>
      <c r="Y1970" s="7">
        <f>IF($E1970="","",AB1970*AE1970/100)</f>
        <v/>
      </c>
      <c r="Z1970" s="7">
        <f>IF($E1970="","",AB1970-Y1970)</f>
        <v/>
      </c>
      <c r="AA1970" s="7">
        <f>IF($E1970="","",Z1970-Q1970)</f>
        <v/>
      </c>
      <c r="AB1970" s="7" t="n"/>
      <c r="AE1970">
        <f>IF($E1970="","",IF($AQ1970=1,0,IF($AP1970=1,Settings!$C$6,Settings!$C$7))*100)</f>
        <v/>
      </c>
      <c r="AI1970" s="7" t="n"/>
      <c r="AL1970" s="11" t="n"/>
      <c r="AN1970">
        <f>IF($E1970="","",IF(COUNTIF($E$2:$E1970,$E1970)=1,1,0))</f>
        <v/>
      </c>
      <c r="AO1970">
        <f>IF($AN1970=1,SUMPRODUCT(--($AR$2:$AR$3001&lt;$AR1970))+1,"")</f>
        <v/>
      </c>
      <c r="AP1970">
        <f>IF($E1970="","",IF(OR($U1970=TRUE(),$U1970="TRUE"),1,0))</f>
        <v/>
      </c>
      <c r="AQ1970">
        <f>IF($E1970="","",IF($AD1970="Yes",1,0))</f>
        <v/>
      </c>
      <c r="AR1970">
        <f>IF($AN1970=1,IFERROR(VALUE(MID($E1970,2,20)),1000000000)+ROW()/100000,"")</f>
        <v/>
      </c>
    </row>
    <row r="1971">
      <c r="G1971" s="11" t="n"/>
      <c r="Q1971" s="7">
        <f>IF($E1971="","",P1971*AB1971/100)</f>
        <v/>
      </c>
      <c r="R1971" s="7" t="n"/>
      <c r="X1971" s="7" t="n"/>
      <c r="Y1971" s="7">
        <f>IF($E1971="","",AB1971*AE1971/100)</f>
        <v/>
      </c>
      <c r="Z1971" s="7">
        <f>IF($E1971="","",AB1971-Y1971)</f>
        <v/>
      </c>
      <c r="AA1971" s="7">
        <f>IF($E1971="","",Z1971-Q1971)</f>
        <v/>
      </c>
      <c r="AB1971" s="7" t="n"/>
      <c r="AE1971">
        <f>IF($E1971="","",IF($AQ1971=1,0,IF($AP1971=1,Settings!$C$6,Settings!$C$7))*100)</f>
        <v/>
      </c>
      <c r="AI1971" s="7" t="n"/>
      <c r="AL1971" s="11" t="n"/>
      <c r="AN1971">
        <f>IF($E1971="","",IF(COUNTIF($E$2:$E1971,$E1971)=1,1,0))</f>
        <v/>
      </c>
      <c r="AO1971">
        <f>IF($AN1971=1,SUMPRODUCT(--($AR$2:$AR$3001&lt;$AR1971))+1,"")</f>
        <v/>
      </c>
      <c r="AP1971">
        <f>IF($E1971="","",IF(OR($U1971=TRUE(),$U1971="TRUE"),1,0))</f>
        <v/>
      </c>
      <c r="AQ1971">
        <f>IF($E1971="","",IF($AD1971="Yes",1,0))</f>
        <v/>
      </c>
      <c r="AR1971">
        <f>IF($AN1971=1,IFERROR(VALUE(MID($E1971,2,20)),1000000000)+ROW()/100000,"")</f>
        <v/>
      </c>
    </row>
    <row r="1972">
      <c r="G1972" s="11" t="n"/>
      <c r="Q1972" s="7">
        <f>IF($E1972="","",P1972*AB1972/100)</f>
        <v/>
      </c>
      <c r="R1972" s="7" t="n"/>
      <c r="X1972" s="7" t="n"/>
      <c r="Y1972" s="7">
        <f>IF($E1972="","",AB1972*AE1972/100)</f>
        <v/>
      </c>
      <c r="Z1972" s="7">
        <f>IF($E1972="","",AB1972-Y1972)</f>
        <v/>
      </c>
      <c r="AA1972" s="7">
        <f>IF($E1972="","",Z1972-Q1972)</f>
        <v/>
      </c>
      <c r="AB1972" s="7" t="n"/>
      <c r="AE1972">
        <f>IF($E1972="","",IF($AQ1972=1,0,IF($AP1972=1,Settings!$C$6,Settings!$C$7))*100)</f>
        <v/>
      </c>
      <c r="AI1972" s="7" t="n"/>
      <c r="AL1972" s="11" t="n"/>
      <c r="AN1972">
        <f>IF($E1972="","",IF(COUNTIF($E$2:$E1972,$E1972)=1,1,0))</f>
        <v/>
      </c>
      <c r="AO1972">
        <f>IF($AN1972=1,SUMPRODUCT(--($AR$2:$AR$3001&lt;$AR1972))+1,"")</f>
        <v/>
      </c>
      <c r="AP1972">
        <f>IF($E1972="","",IF(OR($U1972=TRUE(),$U1972="TRUE"),1,0))</f>
        <v/>
      </c>
      <c r="AQ1972">
        <f>IF($E1972="","",IF($AD1972="Yes",1,0))</f>
        <v/>
      </c>
      <c r="AR1972">
        <f>IF($AN1972=1,IFERROR(VALUE(MID($E1972,2,20)),1000000000)+ROW()/100000,"")</f>
        <v/>
      </c>
    </row>
    <row r="1973">
      <c r="G1973" s="11" t="n"/>
      <c r="Q1973" s="7">
        <f>IF($E1973="","",P1973*AB1973/100)</f>
        <v/>
      </c>
      <c r="R1973" s="7" t="n"/>
      <c r="X1973" s="7" t="n"/>
      <c r="Y1973" s="7">
        <f>IF($E1973="","",AB1973*AE1973/100)</f>
        <v/>
      </c>
      <c r="Z1973" s="7">
        <f>IF($E1973="","",AB1973-Y1973)</f>
        <v/>
      </c>
      <c r="AA1973" s="7">
        <f>IF($E1973="","",Z1973-Q1973)</f>
        <v/>
      </c>
      <c r="AB1973" s="7" t="n"/>
      <c r="AE1973">
        <f>IF($E1973="","",IF($AQ1973=1,0,IF($AP1973=1,Settings!$C$6,Settings!$C$7))*100)</f>
        <v/>
      </c>
      <c r="AI1973" s="7" t="n"/>
      <c r="AL1973" s="11" t="n"/>
      <c r="AN1973">
        <f>IF($E1973="","",IF(COUNTIF($E$2:$E1973,$E1973)=1,1,0))</f>
        <v/>
      </c>
      <c r="AO1973">
        <f>IF($AN1973=1,SUMPRODUCT(--($AR$2:$AR$3001&lt;$AR1973))+1,"")</f>
        <v/>
      </c>
      <c r="AP1973">
        <f>IF($E1973="","",IF(OR($U1973=TRUE(),$U1973="TRUE"),1,0))</f>
        <v/>
      </c>
      <c r="AQ1973">
        <f>IF($E1973="","",IF($AD1973="Yes",1,0))</f>
        <v/>
      </c>
      <c r="AR1973">
        <f>IF($AN1973=1,IFERROR(VALUE(MID($E1973,2,20)),1000000000)+ROW()/100000,"")</f>
        <v/>
      </c>
    </row>
    <row r="1974">
      <c r="G1974" s="11" t="n"/>
      <c r="Q1974" s="7">
        <f>IF($E1974="","",P1974*AB1974/100)</f>
        <v/>
      </c>
      <c r="R1974" s="7" t="n"/>
      <c r="X1974" s="7" t="n"/>
      <c r="Y1974" s="7">
        <f>IF($E1974="","",AB1974*AE1974/100)</f>
        <v/>
      </c>
      <c r="Z1974" s="7">
        <f>IF($E1974="","",AB1974-Y1974)</f>
        <v/>
      </c>
      <c r="AA1974" s="7">
        <f>IF($E1974="","",Z1974-Q1974)</f>
        <v/>
      </c>
      <c r="AB1974" s="7" t="n"/>
      <c r="AE1974">
        <f>IF($E1974="","",IF($AQ1974=1,0,IF($AP1974=1,Settings!$C$6,Settings!$C$7))*100)</f>
        <v/>
      </c>
      <c r="AI1974" s="7" t="n"/>
      <c r="AL1974" s="11" t="n"/>
      <c r="AN1974">
        <f>IF($E1974="","",IF(COUNTIF($E$2:$E1974,$E1974)=1,1,0))</f>
        <v/>
      </c>
      <c r="AO1974">
        <f>IF($AN1974=1,SUMPRODUCT(--($AR$2:$AR$3001&lt;$AR1974))+1,"")</f>
        <v/>
      </c>
      <c r="AP1974">
        <f>IF($E1974="","",IF(OR($U1974=TRUE(),$U1974="TRUE"),1,0))</f>
        <v/>
      </c>
      <c r="AQ1974">
        <f>IF($E1974="","",IF($AD1974="Yes",1,0))</f>
        <v/>
      </c>
      <c r="AR1974">
        <f>IF($AN1974=1,IFERROR(VALUE(MID($E1974,2,20)),1000000000)+ROW()/100000,"")</f>
        <v/>
      </c>
    </row>
    <row r="1975">
      <c r="G1975" s="11" t="n"/>
      <c r="Q1975" s="7">
        <f>IF($E1975="","",P1975*AB1975/100)</f>
        <v/>
      </c>
      <c r="R1975" s="7" t="n"/>
      <c r="X1975" s="7" t="n"/>
      <c r="Y1975" s="7">
        <f>IF($E1975="","",AB1975*AE1975/100)</f>
        <v/>
      </c>
      <c r="Z1975" s="7">
        <f>IF($E1975="","",AB1975-Y1975)</f>
        <v/>
      </c>
      <c r="AA1975" s="7">
        <f>IF($E1975="","",Z1975-Q1975)</f>
        <v/>
      </c>
      <c r="AB1975" s="7" t="n"/>
      <c r="AE1975">
        <f>IF($E1975="","",IF($AQ1975=1,0,IF($AP1975=1,Settings!$C$6,Settings!$C$7))*100)</f>
        <v/>
      </c>
      <c r="AI1975" s="7" t="n"/>
      <c r="AL1975" s="11" t="n"/>
      <c r="AN1975">
        <f>IF($E1975="","",IF(COUNTIF($E$2:$E1975,$E1975)=1,1,0))</f>
        <v/>
      </c>
      <c r="AO1975">
        <f>IF($AN1975=1,SUMPRODUCT(--($AR$2:$AR$3001&lt;$AR1975))+1,"")</f>
        <v/>
      </c>
      <c r="AP1975">
        <f>IF($E1975="","",IF(OR($U1975=TRUE(),$U1975="TRUE"),1,0))</f>
        <v/>
      </c>
      <c r="AQ1975">
        <f>IF($E1975="","",IF($AD1975="Yes",1,0))</f>
        <v/>
      </c>
      <c r="AR1975">
        <f>IF($AN1975=1,IFERROR(VALUE(MID($E1975,2,20)),1000000000)+ROW()/100000,"")</f>
        <v/>
      </c>
    </row>
    <row r="1976">
      <c r="G1976" s="11" t="n"/>
      <c r="Q1976" s="7">
        <f>IF($E1976="","",P1976*AB1976/100)</f>
        <v/>
      </c>
      <c r="R1976" s="7" t="n"/>
      <c r="X1976" s="7" t="n"/>
      <c r="Y1976" s="7">
        <f>IF($E1976="","",AB1976*AE1976/100)</f>
        <v/>
      </c>
      <c r="Z1976" s="7">
        <f>IF($E1976="","",AB1976-Y1976)</f>
        <v/>
      </c>
      <c r="AA1976" s="7">
        <f>IF($E1976="","",Z1976-Q1976)</f>
        <v/>
      </c>
      <c r="AB1976" s="7" t="n"/>
      <c r="AE1976">
        <f>IF($E1976="","",IF($AQ1976=1,0,IF($AP1976=1,Settings!$C$6,Settings!$C$7))*100)</f>
        <v/>
      </c>
      <c r="AI1976" s="7" t="n"/>
      <c r="AL1976" s="11" t="n"/>
      <c r="AN1976">
        <f>IF($E1976="","",IF(COUNTIF($E$2:$E1976,$E1976)=1,1,0))</f>
        <v/>
      </c>
      <c r="AO1976">
        <f>IF($AN1976=1,SUMPRODUCT(--($AR$2:$AR$3001&lt;$AR1976))+1,"")</f>
        <v/>
      </c>
      <c r="AP1976">
        <f>IF($E1976="","",IF(OR($U1976=TRUE(),$U1976="TRUE"),1,0))</f>
        <v/>
      </c>
      <c r="AQ1976">
        <f>IF($E1976="","",IF($AD1976="Yes",1,0))</f>
        <v/>
      </c>
      <c r="AR1976">
        <f>IF($AN1976=1,IFERROR(VALUE(MID($E1976,2,20)),1000000000)+ROW()/100000,"")</f>
        <v/>
      </c>
    </row>
    <row r="1977">
      <c r="G1977" s="11" t="n"/>
      <c r="Q1977" s="7">
        <f>IF($E1977="","",P1977*AB1977/100)</f>
        <v/>
      </c>
      <c r="R1977" s="7" t="n"/>
      <c r="X1977" s="7" t="n"/>
      <c r="Y1977" s="7">
        <f>IF($E1977="","",AB1977*AE1977/100)</f>
        <v/>
      </c>
      <c r="Z1977" s="7">
        <f>IF($E1977="","",AB1977-Y1977)</f>
        <v/>
      </c>
      <c r="AA1977" s="7">
        <f>IF($E1977="","",Z1977-Q1977)</f>
        <v/>
      </c>
      <c r="AB1977" s="7" t="n"/>
      <c r="AE1977">
        <f>IF($E1977="","",IF($AQ1977=1,0,IF($AP1977=1,Settings!$C$6,Settings!$C$7))*100)</f>
        <v/>
      </c>
      <c r="AI1977" s="7" t="n"/>
      <c r="AL1977" s="11" t="n"/>
      <c r="AN1977">
        <f>IF($E1977="","",IF(COUNTIF($E$2:$E1977,$E1977)=1,1,0))</f>
        <v/>
      </c>
      <c r="AO1977">
        <f>IF($AN1977=1,SUMPRODUCT(--($AR$2:$AR$3001&lt;$AR1977))+1,"")</f>
        <v/>
      </c>
      <c r="AP1977">
        <f>IF($E1977="","",IF(OR($U1977=TRUE(),$U1977="TRUE"),1,0))</f>
        <v/>
      </c>
      <c r="AQ1977">
        <f>IF($E1977="","",IF($AD1977="Yes",1,0))</f>
        <v/>
      </c>
      <c r="AR1977">
        <f>IF($AN1977=1,IFERROR(VALUE(MID($E1977,2,20)),1000000000)+ROW()/100000,"")</f>
        <v/>
      </c>
    </row>
    <row r="1978">
      <c r="G1978" s="11" t="n"/>
      <c r="Q1978" s="7">
        <f>IF($E1978="","",P1978*AB1978/100)</f>
        <v/>
      </c>
      <c r="R1978" s="7" t="n"/>
      <c r="X1978" s="7" t="n"/>
      <c r="Y1978" s="7">
        <f>IF($E1978="","",AB1978*AE1978/100)</f>
        <v/>
      </c>
      <c r="Z1978" s="7">
        <f>IF($E1978="","",AB1978-Y1978)</f>
        <v/>
      </c>
      <c r="AA1978" s="7">
        <f>IF($E1978="","",Z1978-Q1978)</f>
        <v/>
      </c>
      <c r="AB1978" s="7" t="n"/>
      <c r="AE1978">
        <f>IF($E1978="","",IF($AQ1978=1,0,IF($AP1978=1,Settings!$C$6,Settings!$C$7))*100)</f>
        <v/>
      </c>
      <c r="AI1978" s="7" t="n"/>
      <c r="AL1978" s="11" t="n"/>
      <c r="AN1978">
        <f>IF($E1978="","",IF(COUNTIF($E$2:$E1978,$E1978)=1,1,0))</f>
        <v/>
      </c>
      <c r="AO1978">
        <f>IF($AN1978=1,SUMPRODUCT(--($AR$2:$AR$3001&lt;$AR1978))+1,"")</f>
        <v/>
      </c>
      <c r="AP1978">
        <f>IF($E1978="","",IF(OR($U1978=TRUE(),$U1978="TRUE"),1,0))</f>
        <v/>
      </c>
      <c r="AQ1978">
        <f>IF($E1978="","",IF($AD1978="Yes",1,0))</f>
        <v/>
      </c>
      <c r="AR1978">
        <f>IF($AN1978=1,IFERROR(VALUE(MID($E1978,2,20)),1000000000)+ROW()/100000,"")</f>
        <v/>
      </c>
    </row>
    <row r="1979">
      <c r="G1979" s="11" t="n"/>
      <c r="Q1979" s="7">
        <f>IF($E1979="","",P1979*AB1979/100)</f>
        <v/>
      </c>
      <c r="R1979" s="7" t="n"/>
      <c r="X1979" s="7" t="n"/>
      <c r="Y1979" s="7">
        <f>IF($E1979="","",AB1979*AE1979/100)</f>
        <v/>
      </c>
      <c r="Z1979" s="7">
        <f>IF($E1979="","",AB1979-Y1979)</f>
        <v/>
      </c>
      <c r="AA1979" s="7">
        <f>IF($E1979="","",Z1979-Q1979)</f>
        <v/>
      </c>
      <c r="AB1979" s="7" t="n"/>
      <c r="AE1979">
        <f>IF($E1979="","",IF($AQ1979=1,0,IF($AP1979=1,Settings!$C$6,Settings!$C$7))*100)</f>
        <v/>
      </c>
      <c r="AI1979" s="7" t="n"/>
      <c r="AL1979" s="11" t="n"/>
      <c r="AN1979">
        <f>IF($E1979="","",IF(COUNTIF($E$2:$E1979,$E1979)=1,1,0))</f>
        <v/>
      </c>
      <c r="AO1979">
        <f>IF($AN1979=1,SUMPRODUCT(--($AR$2:$AR$3001&lt;$AR1979))+1,"")</f>
        <v/>
      </c>
      <c r="AP1979">
        <f>IF($E1979="","",IF(OR($U1979=TRUE(),$U1979="TRUE"),1,0))</f>
        <v/>
      </c>
      <c r="AQ1979">
        <f>IF($E1979="","",IF($AD1979="Yes",1,0))</f>
        <v/>
      </c>
      <c r="AR1979">
        <f>IF($AN1979=1,IFERROR(VALUE(MID($E1979,2,20)),1000000000)+ROW()/100000,"")</f>
        <v/>
      </c>
    </row>
    <row r="1980">
      <c r="G1980" s="11" t="n"/>
      <c r="Q1980" s="7">
        <f>IF($E1980="","",P1980*AB1980/100)</f>
        <v/>
      </c>
      <c r="R1980" s="7" t="n"/>
      <c r="X1980" s="7" t="n"/>
      <c r="Y1980" s="7">
        <f>IF($E1980="","",AB1980*AE1980/100)</f>
        <v/>
      </c>
      <c r="Z1980" s="7">
        <f>IF($E1980="","",AB1980-Y1980)</f>
        <v/>
      </c>
      <c r="AA1980" s="7">
        <f>IF($E1980="","",Z1980-Q1980)</f>
        <v/>
      </c>
      <c r="AB1980" s="7" t="n"/>
      <c r="AE1980">
        <f>IF($E1980="","",IF($AQ1980=1,0,IF($AP1980=1,Settings!$C$6,Settings!$C$7))*100)</f>
        <v/>
      </c>
      <c r="AI1980" s="7" t="n"/>
      <c r="AL1980" s="11" t="n"/>
      <c r="AN1980">
        <f>IF($E1980="","",IF(COUNTIF($E$2:$E1980,$E1980)=1,1,0))</f>
        <v/>
      </c>
      <c r="AO1980">
        <f>IF($AN1980=1,SUMPRODUCT(--($AR$2:$AR$3001&lt;$AR1980))+1,"")</f>
        <v/>
      </c>
      <c r="AP1980">
        <f>IF($E1980="","",IF(OR($U1980=TRUE(),$U1980="TRUE"),1,0))</f>
        <v/>
      </c>
      <c r="AQ1980">
        <f>IF($E1980="","",IF($AD1980="Yes",1,0))</f>
        <v/>
      </c>
      <c r="AR1980">
        <f>IF($AN1980=1,IFERROR(VALUE(MID($E1980,2,20)),1000000000)+ROW()/100000,"")</f>
        <v/>
      </c>
    </row>
    <row r="1981">
      <c r="G1981" s="11" t="n"/>
      <c r="Q1981" s="7">
        <f>IF($E1981="","",P1981*AB1981/100)</f>
        <v/>
      </c>
      <c r="R1981" s="7" t="n"/>
      <c r="X1981" s="7" t="n"/>
      <c r="Y1981" s="7">
        <f>IF($E1981="","",AB1981*AE1981/100)</f>
        <v/>
      </c>
      <c r="Z1981" s="7">
        <f>IF($E1981="","",AB1981-Y1981)</f>
        <v/>
      </c>
      <c r="AA1981" s="7">
        <f>IF($E1981="","",Z1981-Q1981)</f>
        <v/>
      </c>
      <c r="AB1981" s="7" t="n"/>
      <c r="AE1981">
        <f>IF($E1981="","",IF($AQ1981=1,0,IF($AP1981=1,Settings!$C$6,Settings!$C$7))*100)</f>
        <v/>
      </c>
      <c r="AI1981" s="7" t="n"/>
      <c r="AL1981" s="11" t="n"/>
      <c r="AN1981">
        <f>IF($E1981="","",IF(COUNTIF($E$2:$E1981,$E1981)=1,1,0))</f>
        <v/>
      </c>
      <c r="AO1981">
        <f>IF($AN1981=1,SUMPRODUCT(--($AR$2:$AR$3001&lt;$AR1981))+1,"")</f>
        <v/>
      </c>
      <c r="AP1981">
        <f>IF($E1981="","",IF(OR($U1981=TRUE(),$U1981="TRUE"),1,0))</f>
        <v/>
      </c>
      <c r="AQ1981">
        <f>IF($E1981="","",IF($AD1981="Yes",1,0))</f>
        <v/>
      </c>
      <c r="AR1981">
        <f>IF($AN1981=1,IFERROR(VALUE(MID($E1981,2,20)),1000000000)+ROW()/100000,"")</f>
        <v/>
      </c>
    </row>
    <row r="1982">
      <c r="G1982" s="11" t="n"/>
      <c r="Q1982" s="7">
        <f>IF($E1982="","",P1982*AB1982/100)</f>
        <v/>
      </c>
      <c r="R1982" s="7" t="n"/>
      <c r="X1982" s="7" t="n"/>
      <c r="Y1982" s="7">
        <f>IF($E1982="","",AB1982*AE1982/100)</f>
        <v/>
      </c>
      <c r="Z1982" s="7">
        <f>IF($E1982="","",AB1982-Y1982)</f>
        <v/>
      </c>
      <c r="AA1982" s="7">
        <f>IF($E1982="","",Z1982-Q1982)</f>
        <v/>
      </c>
      <c r="AB1982" s="7" t="n"/>
      <c r="AE1982">
        <f>IF($E1982="","",IF($AQ1982=1,0,IF($AP1982=1,Settings!$C$6,Settings!$C$7))*100)</f>
        <v/>
      </c>
      <c r="AI1982" s="7" t="n"/>
      <c r="AL1982" s="11" t="n"/>
      <c r="AN1982">
        <f>IF($E1982="","",IF(COUNTIF($E$2:$E1982,$E1982)=1,1,0))</f>
        <v/>
      </c>
      <c r="AO1982">
        <f>IF($AN1982=1,SUMPRODUCT(--($AR$2:$AR$3001&lt;$AR1982))+1,"")</f>
        <v/>
      </c>
      <c r="AP1982">
        <f>IF($E1982="","",IF(OR($U1982=TRUE(),$U1982="TRUE"),1,0))</f>
        <v/>
      </c>
      <c r="AQ1982">
        <f>IF($E1982="","",IF($AD1982="Yes",1,0))</f>
        <v/>
      </c>
      <c r="AR1982">
        <f>IF($AN1982=1,IFERROR(VALUE(MID($E1982,2,20)),1000000000)+ROW()/100000,"")</f>
        <v/>
      </c>
    </row>
    <row r="1983">
      <c r="G1983" s="11" t="n"/>
      <c r="Q1983" s="7">
        <f>IF($E1983="","",P1983*AB1983/100)</f>
        <v/>
      </c>
      <c r="R1983" s="7" t="n"/>
      <c r="X1983" s="7" t="n"/>
      <c r="Y1983" s="7">
        <f>IF($E1983="","",AB1983*AE1983/100)</f>
        <v/>
      </c>
      <c r="Z1983" s="7">
        <f>IF($E1983="","",AB1983-Y1983)</f>
        <v/>
      </c>
      <c r="AA1983" s="7">
        <f>IF($E1983="","",Z1983-Q1983)</f>
        <v/>
      </c>
      <c r="AB1983" s="7" t="n"/>
      <c r="AE1983">
        <f>IF($E1983="","",IF($AQ1983=1,0,IF($AP1983=1,Settings!$C$6,Settings!$C$7))*100)</f>
        <v/>
      </c>
      <c r="AI1983" s="7" t="n"/>
      <c r="AL1983" s="11" t="n"/>
      <c r="AN1983">
        <f>IF($E1983="","",IF(COUNTIF($E$2:$E1983,$E1983)=1,1,0))</f>
        <v/>
      </c>
      <c r="AO1983">
        <f>IF($AN1983=1,SUMPRODUCT(--($AR$2:$AR$3001&lt;$AR1983))+1,"")</f>
        <v/>
      </c>
      <c r="AP1983">
        <f>IF($E1983="","",IF(OR($U1983=TRUE(),$U1983="TRUE"),1,0))</f>
        <v/>
      </c>
      <c r="AQ1983">
        <f>IF($E1983="","",IF($AD1983="Yes",1,0))</f>
        <v/>
      </c>
      <c r="AR1983">
        <f>IF($AN1983=1,IFERROR(VALUE(MID($E1983,2,20)),1000000000)+ROW()/100000,"")</f>
        <v/>
      </c>
    </row>
    <row r="1984">
      <c r="G1984" s="11" t="n"/>
      <c r="Q1984" s="7">
        <f>IF($E1984="","",P1984*AB1984/100)</f>
        <v/>
      </c>
      <c r="R1984" s="7" t="n"/>
      <c r="X1984" s="7" t="n"/>
      <c r="Y1984" s="7">
        <f>IF($E1984="","",AB1984*AE1984/100)</f>
        <v/>
      </c>
      <c r="Z1984" s="7">
        <f>IF($E1984="","",AB1984-Y1984)</f>
        <v/>
      </c>
      <c r="AA1984" s="7">
        <f>IF($E1984="","",Z1984-Q1984)</f>
        <v/>
      </c>
      <c r="AB1984" s="7" t="n"/>
      <c r="AE1984">
        <f>IF($E1984="","",IF($AQ1984=1,0,IF($AP1984=1,Settings!$C$6,Settings!$C$7))*100)</f>
        <v/>
      </c>
      <c r="AI1984" s="7" t="n"/>
      <c r="AL1984" s="11" t="n"/>
      <c r="AN1984">
        <f>IF($E1984="","",IF(COUNTIF($E$2:$E1984,$E1984)=1,1,0))</f>
        <v/>
      </c>
      <c r="AO1984">
        <f>IF($AN1984=1,SUMPRODUCT(--($AR$2:$AR$3001&lt;$AR1984))+1,"")</f>
        <v/>
      </c>
      <c r="AP1984">
        <f>IF($E1984="","",IF(OR($U1984=TRUE(),$U1984="TRUE"),1,0))</f>
        <v/>
      </c>
      <c r="AQ1984">
        <f>IF($E1984="","",IF($AD1984="Yes",1,0))</f>
        <v/>
      </c>
      <c r="AR1984">
        <f>IF($AN1984=1,IFERROR(VALUE(MID($E1984,2,20)),1000000000)+ROW()/100000,"")</f>
        <v/>
      </c>
    </row>
    <row r="1985">
      <c r="G1985" s="11" t="n"/>
      <c r="Q1985" s="7">
        <f>IF($E1985="","",P1985*AB1985/100)</f>
        <v/>
      </c>
      <c r="R1985" s="7" t="n"/>
      <c r="X1985" s="7" t="n"/>
      <c r="Y1985" s="7">
        <f>IF($E1985="","",AB1985*AE1985/100)</f>
        <v/>
      </c>
      <c r="Z1985" s="7">
        <f>IF($E1985="","",AB1985-Y1985)</f>
        <v/>
      </c>
      <c r="AA1985" s="7">
        <f>IF($E1985="","",Z1985-Q1985)</f>
        <v/>
      </c>
      <c r="AB1985" s="7" t="n"/>
      <c r="AE1985">
        <f>IF($E1985="","",IF($AQ1985=1,0,IF($AP1985=1,Settings!$C$6,Settings!$C$7))*100)</f>
        <v/>
      </c>
      <c r="AI1985" s="7" t="n"/>
      <c r="AL1985" s="11" t="n"/>
      <c r="AN1985">
        <f>IF($E1985="","",IF(COUNTIF($E$2:$E1985,$E1985)=1,1,0))</f>
        <v/>
      </c>
      <c r="AO1985">
        <f>IF($AN1985=1,SUMPRODUCT(--($AR$2:$AR$3001&lt;$AR1985))+1,"")</f>
        <v/>
      </c>
      <c r="AP1985">
        <f>IF($E1985="","",IF(OR($U1985=TRUE(),$U1985="TRUE"),1,0))</f>
        <v/>
      </c>
      <c r="AQ1985">
        <f>IF($E1985="","",IF($AD1985="Yes",1,0))</f>
        <v/>
      </c>
      <c r="AR1985">
        <f>IF($AN1985=1,IFERROR(VALUE(MID($E1985,2,20)),1000000000)+ROW()/100000,"")</f>
        <v/>
      </c>
    </row>
    <row r="1986">
      <c r="G1986" s="11" t="n"/>
      <c r="Q1986" s="7">
        <f>IF($E1986="","",P1986*AB1986/100)</f>
        <v/>
      </c>
      <c r="R1986" s="7" t="n"/>
      <c r="X1986" s="7" t="n"/>
      <c r="Y1986" s="7">
        <f>IF($E1986="","",AB1986*AE1986/100)</f>
        <v/>
      </c>
      <c r="Z1986" s="7">
        <f>IF($E1986="","",AB1986-Y1986)</f>
        <v/>
      </c>
      <c r="AA1986" s="7">
        <f>IF($E1986="","",Z1986-Q1986)</f>
        <v/>
      </c>
      <c r="AB1986" s="7" t="n"/>
      <c r="AE1986">
        <f>IF($E1986="","",IF($AQ1986=1,0,IF($AP1986=1,Settings!$C$6,Settings!$C$7))*100)</f>
        <v/>
      </c>
      <c r="AI1986" s="7" t="n"/>
      <c r="AL1986" s="11" t="n"/>
      <c r="AN1986">
        <f>IF($E1986="","",IF(COUNTIF($E$2:$E1986,$E1986)=1,1,0))</f>
        <v/>
      </c>
      <c r="AO1986">
        <f>IF($AN1986=1,SUMPRODUCT(--($AR$2:$AR$3001&lt;$AR1986))+1,"")</f>
        <v/>
      </c>
      <c r="AP1986">
        <f>IF($E1986="","",IF(OR($U1986=TRUE(),$U1986="TRUE"),1,0))</f>
        <v/>
      </c>
      <c r="AQ1986">
        <f>IF($E1986="","",IF($AD1986="Yes",1,0))</f>
        <v/>
      </c>
      <c r="AR1986">
        <f>IF($AN1986=1,IFERROR(VALUE(MID($E1986,2,20)),1000000000)+ROW()/100000,"")</f>
        <v/>
      </c>
    </row>
    <row r="1987">
      <c r="G1987" s="11" t="n"/>
      <c r="Q1987" s="7">
        <f>IF($E1987="","",P1987*AB1987/100)</f>
        <v/>
      </c>
      <c r="R1987" s="7" t="n"/>
      <c r="X1987" s="7" t="n"/>
      <c r="Y1987" s="7">
        <f>IF($E1987="","",AB1987*AE1987/100)</f>
        <v/>
      </c>
      <c r="Z1987" s="7">
        <f>IF($E1987="","",AB1987-Y1987)</f>
        <v/>
      </c>
      <c r="AA1987" s="7">
        <f>IF($E1987="","",Z1987-Q1987)</f>
        <v/>
      </c>
      <c r="AB1987" s="7" t="n"/>
      <c r="AE1987">
        <f>IF($E1987="","",IF($AQ1987=1,0,IF($AP1987=1,Settings!$C$6,Settings!$C$7))*100)</f>
        <v/>
      </c>
      <c r="AI1987" s="7" t="n"/>
      <c r="AL1987" s="11" t="n"/>
      <c r="AN1987">
        <f>IF($E1987="","",IF(COUNTIF($E$2:$E1987,$E1987)=1,1,0))</f>
        <v/>
      </c>
      <c r="AO1987">
        <f>IF($AN1987=1,SUMPRODUCT(--($AR$2:$AR$3001&lt;$AR1987))+1,"")</f>
        <v/>
      </c>
      <c r="AP1987">
        <f>IF($E1987="","",IF(OR($U1987=TRUE(),$U1987="TRUE"),1,0))</f>
        <v/>
      </c>
      <c r="AQ1987">
        <f>IF($E1987="","",IF($AD1987="Yes",1,0))</f>
        <v/>
      </c>
      <c r="AR1987">
        <f>IF($AN1987=1,IFERROR(VALUE(MID($E1987,2,20)),1000000000)+ROW()/100000,"")</f>
        <v/>
      </c>
    </row>
    <row r="1988">
      <c r="G1988" s="11" t="n"/>
      <c r="Q1988" s="7">
        <f>IF($E1988="","",P1988*AB1988/100)</f>
        <v/>
      </c>
      <c r="R1988" s="7" t="n"/>
      <c r="X1988" s="7" t="n"/>
      <c r="Y1988" s="7">
        <f>IF($E1988="","",AB1988*AE1988/100)</f>
        <v/>
      </c>
      <c r="Z1988" s="7">
        <f>IF($E1988="","",AB1988-Y1988)</f>
        <v/>
      </c>
      <c r="AA1988" s="7">
        <f>IF($E1988="","",Z1988-Q1988)</f>
        <v/>
      </c>
      <c r="AB1988" s="7" t="n"/>
      <c r="AE1988">
        <f>IF($E1988="","",IF($AQ1988=1,0,IF($AP1988=1,Settings!$C$6,Settings!$C$7))*100)</f>
        <v/>
      </c>
      <c r="AI1988" s="7" t="n"/>
      <c r="AL1988" s="11" t="n"/>
      <c r="AN1988">
        <f>IF($E1988="","",IF(COUNTIF($E$2:$E1988,$E1988)=1,1,0))</f>
        <v/>
      </c>
      <c r="AO1988">
        <f>IF($AN1988=1,SUMPRODUCT(--($AR$2:$AR$3001&lt;$AR1988))+1,"")</f>
        <v/>
      </c>
      <c r="AP1988">
        <f>IF($E1988="","",IF(OR($U1988=TRUE(),$U1988="TRUE"),1,0))</f>
        <v/>
      </c>
      <c r="AQ1988">
        <f>IF($E1988="","",IF($AD1988="Yes",1,0))</f>
        <v/>
      </c>
      <c r="AR1988">
        <f>IF($AN1988=1,IFERROR(VALUE(MID($E1988,2,20)),1000000000)+ROW()/100000,"")</f>
        <v/>
      </c>
    </row>
    <row r="1989">
      <c r="G1989" s="11" t="n"/>
      <c r="Q1989" s="7">
        <f>IF($E1989="","",P1989*AB1989/100)</f>
        <v/>
      </c>
      <c r="R1989" s="7" t="n"/>
      <c r="X1989" s="7" t="n"/>
      <c r="Y1989" s="7">
        <f>IF($E1989="","",AB1989*AE1989/100)</f>
        <v/>
      </c>
      <c r="Z1989" s="7">
        <f>IF($E1989="","",AB1989-Y1989)</f>
        <v/>
      </c>
      <c r="AA1989" s="7">
        <f>IF($E1989="","",Z1989-Q1989)</f>
        <v/>
      </c>
      <c r="AB1989" s="7" t="n"/>
      <c r="AE1989">
        <f>IF($E1989="","",IF($AQ1989=1,0,IF($AP1989=1,Settings!$C$6,Settings!$C$7))*100)</f>
        <v/>
      </c>
      <c r="AI1989" s="7" t="n"/>
      <c r="AL1989" s="11" t="n"/>
      <c r="AN1989">
        <f>IF($E1989="","",IF(COUNTIF($E$2:$E1989,$E1989)=1,1,0))</f>
        <v/>
      </c>
      <c r="AO1989">
        <f>IF($AN1989=1,SUMPRODUCT(--($AR$2:$AR$3001&lt;$AR1989))+1,"")</f>
        <v/>
      </c>
      <c r="AP1989">
        <f>IF($E1989="","",IF(OR($U1989=TRUE(),$U1989="TRUE"),1,0))</f>
        <v/>
      </c>
      <c r="AQ1989">
        <f>IF($E1989="","",IF($AD1989="Yes",1,0))</f>
        <v/>
      </c>
      <c r="AR1989">
        <f>IF($AN1989=1,IFERROR(VALUE(MID($E1989,2,20)),1000000000)+ROW()/100000,"")</f>
        <v/>
      </c>
    </row>
    <row r="1990">
      <c r="G1990" s="11" t="n"/>
      <c r="Q1990" s="7">
        <f>IF($E1990="","",P1990*AB1990/100)</f>
        <v/>
      </c>
      <c r="R1990" s="7" t="n"/>
      <c r="X1990" s="7" t="n"/>
      <c r="Y1990" s="7">
        <f>IF($E1990="","",AB1990*AE1990/100)</f>
        <v/>
      </c>
      <c r="Z1990" s="7">
        <f>IF($E1990="","",AB1990-Y1990)</f>
        <v/>
      </c>
      <c r="AA1990" s="7">
        <f>IF($E1990="","",Z1990-Q1990)</f>
        <v/>
      </c>
      <c r="AB1990" s="7" t="n"/>
      <c r="AE1990">
        <f>IF($E1990="","",IF($AQ1990=1,0,IF($AP1990=1,Settings!$C$6,Settings!$C$7))*100)</f>
        <v/>
      </c>
      <c r="AI1990" s="7" t="n"/>
      <c r="AL1990" s="11" t="n"/>
      <c r="AN1990">
        <f>IF($E1990="","",IF(COUNTIF($E$2:$E1990,$E1990)=1,1,0))</f>
        <v/>
      </c>
      <c r="AO1990">
        <f>IF($AN1990=1,SUMPRODUCT(--($AR$2:$AR$3001&lt;$AR1990))+1,"")</f>
        <v/>
      </c>
      <c r="AP1990">
        <f>IF($E1990="","",IF(OR($U1990=TRUE(),$U1990="TRUE"),1,0))</f>
        <v/>
      </c>
      <c r="AQ1990">
        <f>IF($E1990="","",IF($AD1990="Yes",1,0))</f>
        <v/>
      </c>
      <c r="AR1990">
        <f>IF($AN1990=1,IFERROR(VALUE(MID($E1990,2,20)),1000000000)+ROW()/100000,"")</f>
        <v/>
      </c>
    </row>
    <row r="1991">
      <c r="G1991" s="11" t="n"/>
      <c r="Q1991" s="7">
        <f>IF($E1991="","",P1991*AB1991/100)</f>
        <v/>
      </c>
      <c r="R1991" s="7" t="n"/>
      <c r="X1991" s="7" t="n"/>
      <c r="Y1991" s="7">
        <f>IF($E1991="","",AB1991*AE1991/100)</f>
        <v/>
      </c>
      <c r="Z1991" s="7">
        <f>IF($E1991="","",AB1991-Y1991)</f>
        <v/>
      </c>
      <c r="AA1991" s="7">
        <f>IF($E1991="","",Z1991-Q1991)</f>
        <v/>
      </c>
      <c r="AB1991" s="7" t="n"/>
      <c r="AE1991">
        <f>IF($E1991="","",IF($AQ1991=1,0,IF($AP1991=1,Settings!$C$6,Settings!$C$7))*100)</f>
        <v/>
      </c>
      <c r="AI1991" s="7" t="n"/>
      <c r="AL1991" s="11" t="n"/>
      <c r="AN1991">
        <f>IF($E1991="","",IF(COUNTIF($E$2:$E1991,$E1991)=1,1,0))</f>
        <v/>
      </c>
      <c r="AO1991">
        <f>IF($AN1991=1,SUMPRODUCT(--($AR$2:$AR$3001&lt;$AR1991))+1,"")</f>
        <v/>
      </c>
      <c r="AP1991">
        <f>IF($E1991="","",IF(OR($U1991=TRUE(),$U1991="TRUE"),1,0))</f>
        <v/>
      </c>
      <c r="AQ1991">
        <f>IF($E1991="","",IF($AD1991="Yes",1,0))</f>
        <v/>
      </c>
      <c r="AR1991">
        <f>IF($AN1991=1,IFERROR(VALUE(MID($E1991,2,20)),1000000000)+ROW()/100000,"")</f>
        <v/>
      </c>
    </row>
    <row r="1992">
      <c r="G1992" s="11" t="n"/>
      <c r="Q1992" s="7">
        <f>IF($E1992="","",P1992*AB1992/100)</f>
        <v/>
      </c>
      <c r="R1992" s="7" t="n"/>
      <c r="X1992" s="7" t="n"/>
      <c r="Y1992" s="7">
        <f>IF($E1992="","",AB1992*AE1992/100)</f>
        <v/>
      </c>
      <c r="Z1992" s="7">
        <f>IF($E1992="","",AB1992-Y1992)</f>
        <v/>
      </c>
      <c r="AA1992" s="7">
        <f>IF($E1992="","",Z1992-Q1992)</f>
        <v/>
      </c>
      <c r="AB1992" s="7" t="n"/>
      <c r="AE1992">
        <f>IF($E1992="","",IF($AQ1992=1,0,IF($AP1992=1,Settings!$C$6,Settings!$C$7))*100)</f>
        <v/>
      </c>
      <c r="AI1992" s="7" t="n"/>
      <c r="AL1992" s="11" t="n"/>
      <c r="AN1992">
        <f>IF($E1992="","",IF(COUNTIF($E$2:$E1992,$E1992)=1,1,0))</f>
        <v/>
      </c>
      <c r="AO1992">
        <f>IF($AN1992=1,SUMPRODUCT(--($AR$2:$AR$3001&lt;$AR1992))+1,"")</f>
        <v/>
      </c>
      <c r="AP1992">
        <f>IF($E1992="","",IF(OR($U1992=TRUE(),$U1992="TRUE"),1,0))</f>
        <v/>
      </c>
      <c r="AQ1992">
        <f>IF($E1992="","",IF($AD1992="Yes",1,0))</f>
        <v/>
      </c>
      <c r="AR1992">
        <f>IF($AN1992=1,IFERROR(VALUE(MID($E1992,2,20)),1000000000)+ROW()/100000,"")</f>
        <v/>
      </c>
    </row>
    <row r="1993">
      <c r="G1993" s="11" t="n"/>
      <c r="Q1993" s="7">
        <f>IF($E1993="","",P1993*AB1993/100)</f>
        <v/>
      </c>
      <c r="R1993" s="7" t="n"/>
      <c r="X1993" s="7" t="n"/>
      <c r="Y1993" s="7">
        <f>IF($E1993="","",AB1993*AE1993/100)</f>
        <v/>
      </c>
      <c r="Z1993" s="7">
        <f>IF($E1993="","",AB1993-Y1993)</f>
        <v/>
      </c>
      <c r="AA1993" s="7">
        <f>IF($E1993="","",Z1993-Q1993)</f>
        <v/>
      </c>
      <c r="AB1993" s="7" t="n"/>
      <c r="AE1993">
        <f>IF($E1993="","",IF($AQ1993=1,0,IF($AP1993=1,Settings!$C$6,Settings!$C$7))*100)</f>
        <v/>
      </c>
      <c r="AI1993" s="7" t="n"/>
      <c r="AL1993" s="11" t="n"/>
      <c r="AN1993">
        <f>IF($E1993="","",IF(COUNTIF($E$2:$E1993,$E1993)=1,1,0))</f>
        <v/>
      </c>
      <c r="AO1993">
        <f>IF($AN1993=1,SUMPRODUCT(--($AR$2:$AR$3001&lt;$AR1993))+1,"")</f>
        <v/>
      </c>
      <c r="AP1993">
        <f>IF($E1993="","",IF(OR($U1993=TRUE(),$U1993="TRUE"),1,0))</f>
        <v/>
      </c>
      <c r="AQ1993">
        <f>IF($E1993="","",IF($AD1993="Yes",1,0))</f>
        <v/>
      </c>
      <c r="AR1993">
        <f>IF($AN1993=1,IFERROR(VALUE(MID($E1993,2,20)),1000000000)+ROW()/100000,"")</f>
        <v/>
      </c>
    </row>
    <row r="1994">
      <c r="G1994" s="11" t="n"/>
      <c r="Q1994" s="7">
        <f>IF($E1994="","",P1994*AB1994/100)</f>
        <v/>
      </c>
      <c r="R1994" s="7" t="n"/>
      <c r="X1994" s="7" t="n"/>
      <c r="Y1994" s="7">
        <f>IF($E1994="","",AB1994*AE1994/100)</f>
        <v/>
      </c>
      <c r="Z1994" s="7">
        <f>IF($E1994="","",AB1994-Y1994)</f>
        <v/>
      </c>
      <c r="AA1994" s="7">
        <f>IF($E1994="","",Z1994-Q1994)</f>
        <v/>
      </c>
      <c r="AB1994" s="7" t="n"/>
      <c r="AE1994">
        <f>IF($E1994="","",IF($AQ1994=1,0,IF($AP1994=1,Settings!$C$6,Settings!$C$7))*100)</f>
        <v/>
      </c>
      <c r="AI1994" s="7" t="n"/>
      <c r="AL1994" s="11" t="n"/>
      <c r="AN1994">
        <f>IF($E1994="","",IF(COUNTIF($E$2:$E1994,$E1994)=1,1,0))</f>
        <v/>
      </c>
      <c r="AO1994">
        <f>IF($AN1994=1,SUMPRODUCT(--($AR$2:$AR$3001&lt;$AR1994))+1,"")</f>
        <v/>
      </c>
      <c r="AP1994">
        <f>IF($E1994="","",IF(OR($U1994=TRUE(),$U1994="TRUE"),1,0))</f>
        <v/>
      </c>
      <c r="AQ1994">
        <f>IF($E1994="","",IF($AD1994="Yes",1,0))</f>
        <v/>
      </c>
      <c r="AR1994">
        <f>IF($AN1994=1,IFERROR(VALUE(MID($E1994,2,20)),1000000000)+ROW()/100000,"")</f>
        <v/>
      </c>
    </row>
    <row r="1995">
      <c r="G1995" s="11" t="n"/>
      <c r="Q1995" s="7">
        <f>IF($E1995="","",P1995*AB1995/100)</f>
        <v/>
      </c>
      <c r="R1995" s="7" t="n"/>
      <c r="X1995" s="7" t="n"/>
      <c r="Y1995" s="7">
        <f>IF($E1995="","",AB1995*AE1995/100)</f>
        <v/>
      </c>
      <c r="Z1995" s="7">
        <f>IF($E1995="","",AB1995-Y1995)</f>
        <v/>
      </c>
      <c r="AA1995" s="7">
        <f>IF($E1995="","",Z1995-Q1995)</f>
        <v/>
      </c>
      <c r="AB1995" s="7" t="n"/>
      <c r="AE1995">
        <f>IF($E1995="","",IF($AQ1995=1,0,IF($AP1995=1,Settings!$C$6,Settings!$C$7))*100)</f>
        <v/>
      </c>
      <c r="AI1995" s="7" t="n"/>
      <c r="AL1995" s="11" t="n"/>
      <c r="AN1995">
        <f>IF($E1995="","",IF(COUNTIF($E$2:$E1995,$E1995)=1,1,0))</f>
        <v/>
      </c>
      <c r="AO1995">
        <f>IF($AN1995=1,SUMPRODUCT(--($AR$2:$AR$3001&lt;$AR1995))+1,"")</f>
        <v/>
      </c>
      <c r="AP1995">
        <f>IF($E1995="","",IF(OR($U1995=TRUE(),$U1995="TRUE"),1,0))</f>
        <v/>
      </c>
      <c r="AQ1995">
        <f>IF($E1995="","",IF($AD1995="Yes",1,0))</f>
        <v/>
      </c>
      <c r="AR1995">
        <f>IF($AN1995=1,IFERROR(VALUE(MID($E1995,2,20)),1000000000)+ROW()/100000,"")</f>
        <v/>
      </c>
    </row>
    <row r="1996">
      <c r="G1996" s="11" t="n"/>
      <c r="Q1996" s="7">
        <f>IF($E1996="","",P1996*AB1996/100)</f>
        <v/>
      </c>
      <c r="R1996" s="7" t="n"/>
      <c r="X1996" s="7" t="n"/>
      <c r="Y1996" s="7">
        <f>IF($E1996="","",AB1996*AE1996/100)</f>
        <v/>
      </c>
      <c r="Z1996" s="7">
        <f>IF($E1996="","",AB1996-Y1996)</f>
        <v/>
      </c>
      <c r="AA1996" s="7">
        <f>IF($E1996="","",Z1996-Q1996)</f>
        <v/>
      </c>
      <c r="AB1996" s="7" t="n"/>
      <c r="AE1996">
        <f>IF($E1996="","",IF($AQ1996=1,0,IF($AP1996=1,Settings!$C$6,Settings!$C$7))*100)</f>
        <v/>
      </c>
      <c r="AI1996" s="7" t="n"/>
      <c r="AL1996" s="11" t="n"/>
      <c r="AN1996">
        <f>IF($E1996="","",IF(COUNTIF($E$2:$E1996,$E1996)=1,1,0))</f>
        <v/>
      </c>
      <c r="AO1996">
        <f>IF($AN1996=1,SUMPRODUCT(--($AR$2:$AR$3001&lt;$AR1996))+1,"")</f>
        <v/>
      </c>
      <c r="AP1996">
        <f>IF($E1996="","",IF(OR($U1996=TRUE(),$U1996="TRUE"),1,0))</f>
        <v/>
      </c>
      <c r="AQ1996">
        <f>IF($E1996="","",IF($AD1996="Yes",1,0))</f>
        <v/>
      </c>
      <c r="AR1996">
        <f>IF($AN1996=1,IFERROR(VALUE(MID($E1996,2,20)),1000000000)+ROW()/100000,"")</f>
        <v/>
      </c>
    </row>
    <row r="1997">
      <c r="G1997" s="11" t="n"/>
      <c r="Q1997" s="7">
        <f>IF($E1997="","",P1997*AB1997/100)</f>
        <v/>
      </c>
      <c r="R1997" s="7" t="n"/>
      <c r="X1997" s="7" t="n"/>
      <c r="Y1997" s="7">
        <f>IF($E1997="","",AB1997*AE1997/100)</f>
        <v/>
      </c>
      <c r="Z1997" s="7">
        <f>IF($E1997="","",AB1997-Y1997)</f>
        <v/>
      </c>
      <c r="AA1997" s="7">
        <f>IF($E1997="","",Z1997-Q1997)</f>
        <v/>
      </c>
      <c r="AB1997" s="7" t="n"/>
      <c r="AE1997">
        <f>IF($E1997="","",IF($AQ1997=1,0,IF($AP1997=1,Settings!$C$6,Settings!$C$7))*100)</f>
        <v/>
      </c>
      <c r="AI1997" s="7" t="n"/>
      <c r="AL1997" s="11" t="n"/>
      <c r="AN1997">
        <f>IF($E1997="","",IF(COUNTIF($E$2:$E1997,$E1997)=1,1,0))</f>
        <v/>
      </c>
      <c r="AO1997">
        <f>IF($AN1997=1,SUMPRODUCT(--($AR$2:$AR$3001&lt;$AR1997))+1,"")</f>
        <v/>
      </c>
      <c r="AP1997">
        <f>IF($E1997="","",IF(OR($U1997=TRUE(),$U1997="TRUE"),1,0))</f>
        <v/>
      </c>
      <c r="AQ1997">
        <f>IF($E1997="","",IF($AD1997="Yes",1,0))</f>
        <v/>
      </c>
      <c r="AR1997">
        <f>IF($AN1997=1,IFERROR(VALUE(MID($E1997,2,20)),1000000000)+ROW()/100000,"")</f>
        <v/>
      </c>
    </row>
    <row r="1998">
      <c r="G1998" s="11" t="n"/>
      <c r="Q1998" s="7">
        <f>IF($E1998="","",P1998*AB1998/100)</f>
        <v/>
      </c>
      <c r="R1998" s="7" t="n"/>
      <c r="X1998" s="7" t="n"/>
      <c r="Y1998" s="7">
        <f>IF($E1998="","",AB1998*AE1998/100)</f>
        <v/>
      </c>
      <c r="Z1998" s="7">
        <f>IF($E1998="","",AB1998-Y1998)</f>
        <v/>
      </c>
      <c r="AA1998" s="7">
        <f>IF($E1998="","",Z1998-Q1998)</f>
        <v/>
      </c>
      <c r="AB1998" s="7" t="n"/>
      <c r="AE1998">
        <f>IF($E1998="","",IF($AQ1998=1,0,IF($AP1998=1,Settings!$C$6,Settings!$C$7))*100)</f>
        <v/>
      </c>
      <c r="AI1998" s="7" t="n"/>
      <c r="AL1998" s="11" t="n"/>
      <c r="AN1998">
        <f>IF($E1998="","",IF(COUNTIF($E$2:$E1998,$E1998)=1,1,0))</f>
        <v/>
      </c>
      <c r="AO1998">
        <f>IF($AN1998=1,SUMPRODUCT(--($AR$2:$AR$3001&lt;$AR1998))+1,"")</f>
        <v/>
      </c>
      <c r="AP1998">
        <f>IF($E1998="","",IF(OR($U1998=TRUE(),$U1998="TRUE"),1,0))</f>
        <v/>
      </c>
      <c r="AQ1998">
        <f>IF($E1998="","",IF($AD1998="Yes",1,0))</f>
        <v/>
      </c>
      <c r="AR1998">
        <f>IF($AN1998=1,IFERROR(VALUE(MID($E1998,2,20)),1000000000)+ROW()/100000,"")</f>
        <v/>
      </c>
    </row>
    <row r="1999">
      <c r="G1999" s="11" t="n"/>
      <c r="Q1999" s="7">
        <f>IF($E1999="","",P1999*AB1999/100)</f>
        <v/>
      </c>
      <c r="R1999" s="7" t="n"/>
      <c r="X1999" s="7" t="n"/>
      <c r="Y1999" s="7">
        <f>IF($E1999="","",AB1999*AE1999/100)</f>
        <v/>
      </c>
      <c r="Z1999" s="7">
        <f>IF($E1999="","",AB1999-Y1999)</f>
        <v/>
      </c>
      <c r="AA1999" s="7">
        <f>IF($E1999="","",Z1999-Q1999)</f>
        <v/>
      </c>
      <c r="AB1999" s="7" t="n"/>
      <c r="AE1999">
        <f>IF($E1999="","",IF($AQ1999=1,0,IF($AP1999=1,Settings!$C$6,Settings!$C$7))*100)</f>
        <v/>
      </c>
      <c r="AI1999" s="7" t="n"/>
      <c r="AL1999" s="11" t="n"/>
      <c r="AN1999">
        <f>IF($E1999="","",IF(COUNTIF($E$2:$E1999,$E1999)=1,1,0))</f>
        <v/>
      </c>
      <c r="AO1999">
        <f>IF($AN1999=1,SUMPRODUCT(--($AR$2:$AR$3001&lt;$AR1999))+1,"")</f>
        <v/>
      </c>
      <c r="AP1999">
        <f>IF($E1999="","",IF(OR($U1999=TRUE(),$U1999="TRUE"),1,0))</f>
        <v/>
      </c>
      <c r="AQ1999">
        <f>IF($E1999="","",IF($AD1999="Yes",1,0))</f>
        <v/>
      </c>
      <c r="AR1999">
        <f>IF($AN1999=1,IFERROR(VALUE(MID($E1999,2,20)),1000000000)+ROW()/100000,"")</f>
        <v/>
      </c>
    </row>
    <row r="2000">
      <c r="G2000" s="11" t="n"/>
      <c r="Q2000" s="7">
        <f>IF($E2000="","",P2000*AB2000/100)</f>
        <v/>
      </c>
      <c r="R2000" s="7" t="n"/>
      <c r="X2000" s="7" t="n"/>
      <c r="Y2000" s="7">
        <f>IF($E2000="","",AB2000*AE2000/100)</f>
        <v/>
      </c>
      <c r="Z2000" s="7">
        <f>IF($E2000="","",AB2000-Y2000)</f>
        <v/>
      </c>
      <c r="AA2000" s="7">
        <f>IF($E2000="","",Z2000-Q2000)</f>
        <v/>
      </c>
      <c r="AB2000" s="7" t="n"/>
      <c r="AE2000">
        <f>IF($E2000="","",IF($AQ2000=1,0,IF($AP2000=1,Settings!$C$6,Settings!$C$7))*100)</f>
        <v/>
      </c>
      <c r="AI2000" s="7" t="n"/>
      <c r="AL2000" s="11" t="n"/>
      <c r="AN2000">
        <f>IF($E2000="","",IF(COUNTIF($E$2:$E2000,$E2000)=1,1,0))</f>
        <v/>
      </c>
      <c r="AO2000">
        <f>IF($AN2000=1,SUMPRODUCT(--($AR$2:$AR$3001&lt;$AR2000))+1,"")</f>
        <v/>
      </c>
      <c r="AP2000">
        <f>IF($E2000="","",IF(OR($U2000=TRUE(),$U2000="TRUE"),1,0))</f>
        <v/>
      </c>
      <c r="AQ2000">
        <f>IF($E2000="","",IF($AD2000="Yes",1,0))</f>
        <v/>
      </c>
      <c r="AR2000">
        <f>IF($AN2000=1,IFERROR(VALUE(MID($E2000,2,20)),1000000000)+ROW()/100000,"")</f>
        <v/>
      </c>
    </row>
    <row r="2001">
      <c r="G2001" s="11" t="n"/>
      <c r="Q2001" s="7">
        <f>IF($E2001="","",P2001*AB2001/100)</f>
        <v/>
      </c>
      <c r="R2001" s="7" t="n"/>
      <c r="X2001" s="7" t="n"/>
      <c r="Y2001" s="7">
        <f>IF($E2001="","",AB2001*AE2001/100)</f>
        <v/>
      </c>
      <c r="Z2001" s="7">
        <f>IF($E2001="","",AB2001-Y2001)</f>
        <v/>
      </c>
      <c r="AA2001" s="7">
        <f>IF($E2001="","",Z2001-Q2001)</f>
        <v/>
      </c>
      <c r="AB2001" s="7" t="n"/>
      <c r="AE2001">
        <f>IF($E2001="","",IF($AQ2001=1,0,IF($AP2001=1,Settings!$C$6,Settings!$C$7))*100)</f>
        <v/>
      </c>
      <c r="AI2001" s="7" t="n"/>
      <c r="AL2001" s="11" t="n"/>
      <c r="AN2001">
        <f>IF($E2001="","",IF(COUNTIF($E$2:$E2001,$E2001)=1,1,0))</f>
        <v/>
      </c>
      <c r="AO2001">
        <f>IF($AN2001=1,SUMPRODUCT(--($AR$2:$AR$3001&lt;$AR2001))+1,"")</f>
        <v/>
      </c>
      <c r="AP2001">
        <f>IF($E2001="","",IF(OR($U2001=TRUE(),$U2001="TRUE"),1,0))</f>
        <v/>
      </c>
      <c r="AQ2001">
        <f>IF($E2001="","",IF($AD2001="Yes",1,0))</f>
        <v/>
      </c>
      <c r="AR2001">
        <f>IF($AN2001=1,IFERROR(VALUE(MID($E2001,2,20)),1000000000)+ROW()/100000,"")</f>
        <v/>
      </c>
    </row>
    <row r="2002">
      <c r="G2002" s="11" t="n"/>
      <c r="Q2002" s="7">
        <f>IF($E2002="","",P2002*AB2002/100)</f>
        <v/>
      </c>
      <c r="R2002" s="7" t="n"/>
      <c r="X2002" s="7" t="n"/>
      <c r="Y2002" s="7">
        <f>IF($E2002="","",AB2002*AE2002/100)</f>
        <v/>
      </c>
      <c r="Z2002" s="7">
        <f>IF($E2002="","",AB2002-Y2002)</f>
        <v/>
      </c>
      <c r="AA2002" s="7">
        <f>IF($E2002="","",Z2002-Q2002)</f>
        <v/>
      </c>
      <c r="AB2002" s="7" t="n"/>
      <c r="AE2002">
        <f>IF($E2002="","",IF($AQ2002=1,0,IF($AP2002=1,Settings!$C$6,Settings!$C$7))*100)</f>
        <v/>
      </c>
      <c r="AI2002" s="7" t="n"/>
      <c r="AL2002" s="11" t="n"/>
      <c r="AN2002">
        <f>IF($E2002="","",IF(COUNTIF($E$2:$E2002,$E2002)=1,1,0))</f>
        <v/>
      </c>
      <c r="AO2002">
        <f>IF($AN2002=1,SUMPRODUCT(--($AR$2:$AR$3001&lt;$AR2002))+1,"")</f>
        <v/>
      </c>
      <c r="AP2002">
        <f>IF($E2002="","",IF(OR($U2002=TRUE(),$U2002="TRUE"),1,0))</f>
        <v/>
      </c>
      <c r="AQ2002">
        <f>IF($E2002="","",IF($AD2002="Yes",1,0))</f>
        <v/>
      </c>
      <c r="AR2002">
        <f>IF($AN2002=1,IFERROR(VALUE(MID($E2002,2,20)),1000000000)+ROW()/100000,"")</f>
        <v/>
      </c>
    </row>
    <row r="2003">
      <c r="G2003" s="11" t="n"/>
      <c r="Q2003" s="7">
        <f>IF($E2003="","",P2003*AB2003/100)</f>
        <v/>
      </c>
      <c r="R2003" s="7" t="n"/>
      <c r="X2003" s="7" t="n"/>
      <c r="Y2003" s="7">
        <f>IF($E2003="","",AB2003*AE2003/100)</f>
        <v/>
      </c>
      <c r="Z2003" s="7">
        <f>IF($E2003="","",AB2003-Y2003)</f>
        <v/>
      </c>
      <c r="AA2003" s="7">
        <f>IF($E2003="","",Z2003-Q2003)</f>
        <v/>
      </c>
      <c r="AB2003" s="7" t="n"/>
      <c r="AE2003">
        <f>IF($E2003="","",IF($AQ2003=1,0,IF($AP2003=1,Settings!$C$6,Settings!$C$7))*100)</f>
        <v/>
      </c>
      <c r="AI2003" s="7" t="n"/>
      <c r="AL2003" s="11" t="n"/>
      <c r="AN2003">
        <f>IF($E2003="","",IF(COUNTIF($E$2:$E2003,$E2003)=1,1,0))</f>
        <v/>
      </c>
      <c r="AO2003">
        <f>IF($AN2003=1,SUMPRODUCT(--($AR$2:$AR$3001&lt;$AR2003))+1,"")</f>
        <v/>
      </c>
      <c r="AP2003">
        <f>IF($E2003="","",IF(OR($U2003=TRUE(),$U2003="TRUE"),1,0))</f>
        <v/>
      </c>
      <c r="AQ2003">
        <f>IF($E2003="","",IF($AD2003="Yes",1,0))</f>
        <v/>
      </c>
      <c r="AR2003">
        <f>IF($AN2003=1,IFERROR(VALUE(MID($E2003,2,20)),1000000000)+ROW()/100000,"")</f>
        <v/>
      </c>
    </row>
    <row r="2004">
      <c r="G2004" s="11" t="n"/>
      <c r="Q2004" s="7">
        <f>IF($E2004="","",P2004*AB2004/100)</f>
        <v/>
      </c>
      <c r="R2004" s="7" t="n"/>
      <c r="X2004" s="7" t="n"/>
      <c r="Y2004" s="7">
        <f>IF($E2004="","",AB2004*AE2004/100)</f>
        <v/>
      </c>
      <c r="Z2004" s="7">
        <f>IF($E2004="","",AB2004-Y2004)</f>
        <v/>
      </c>
      <c r="AA2004" s="7">
        <f>IF($E2004="","",Z2004-Q2004)</f>
        <v/>
      </c>
      <c r="AB2004" s="7" t="n"/>
      <c r="AE2004">
        <f>IF($E2004="","",IF($AQ2004=1,0,IF($AP2004=1,Settings!$C$6,Settings!$C$7))*100)</f>
        <v/>
      </c>
      <c r="AI2004" s="7" t="n"/>
      <c r="AL2004" s="11" t="n"/>
      <c r="AN2004">
        <f>IF($E2004="","",IF(COUNTIF($E$2:$E2004,$E2004)=1,1,0))</f>
        <v/>
      </c>
      <c r="AO2004">
        <f>IF($AN2004=1,SUMPRODUCT(--($AR$2:$AR$3001&lt;$AR2004))+1,"")</f>
        <v/>
      </c>
      <c r="AP2004">
        <f>IF($E2004="","",IF(OR($U2004=TRUE(),$U2004="TRUE"),1,0))</f>
        <v/>
      </c>
      <c r="AQ2004">
        <f>IF($E2004="","",IF($AD2004="Yes",1,0))</f>
        <v/>
      </c>
      <c r="AR2004">
        <f>IF($AN2004=1,IFERROR(VALUE(MID($E2004,2,20)),1000000000)+ROW()/100000,"")</f>
        <v/>
      </c>
    </row>
    <row r="2005">
      <c r="G2005" s="11" t="n"/>
      <c r="Q2005" s="7">
        <f>IF($E2005="","",P2005*AB2005/100)</f>
        <v/>
      </c>
      <c r="R2005" s="7" t="n"/>
      <c r="X2005" s="7" t="n"/>
      <c r="Y2005" s="7">
        <f>IF($E2005="","",AB2005*AE2005/100)</f>
        <v/>
      </c>
      <c r="Z2005" s="7">
        <f>IF($E2005="","",AB2005-Y2005)</f>
        <v/>
      </c>
      <c r="AA2005" s="7">
        <f>IF($E2005="","",Z2005-Q2005)</f>
        <v/>
      </c>
      <c r="AB2005" s="7" t="n"/>
      <c r="AE2005">
        <f>IF($E2005="","",IF($AQ2005=1,0,IF($AP2005=1,Settings!$C$6,Settings!$C$7))*100)</f>
        <v/>
      </c>
      <c r="AI2005" s="7" t="n"/>
      <c r="AL2005" s="11" t="n"/>
      <c r="AN2005">
        <f>IF($E2005="","",IF(COUNTIF($E$2:$E2005,$E2005)=1,1,0))</f>
        <v/>
      </c>
      <c r="AO2005">
        <f>IF($AN2005=1,SUMPRODUCT(--($AR$2:$AR$3001&lt;$AR2005))+1,"")</f>
        <v/>
      </c>
      <c r="AP2005">
        <f>IF($E2005="","",IF(OR($U2005=TRUE(),$U2005="TRUE"),1,0))</f>
        <v/>
      </c>
      <c r="AQ2005">
        <f>IF($E2005="","",IF($AD2005="Yes",1,0))</f>
        <v/>
      </c>
      <c r="AR2005">
        <f>IF($AN2005=1,IFERROR(VALUE(MID($E2005,2,20)),1000000000)+ROW()/100000,"")</f>
        <v/>
      </c>
    </row>
    <row r="2006">
      <c r="G2006" s="11" t="n"/>
      <c r="Q2006" s="7">
        <f>IF($E2006="","",P2006*AB2006/100)</f>
        <v/>
      </c>
      <c r="R2006" s="7" t="n"/>
      <c r="X2006" s="7" t="n"/>
      <c r="Y2006" s="7">
        <f>IF($E2006="","",AB2006*AE2006/100)</f>
        <v/>
      </c>
      <c r="Z2006" s="7">
        <f>IF($E2006="","",AB2006-Y2006)</f>
        <v/>
      </c>
      <c r="AA2006" s="7">
        <f>IF($E2006="","",Z2006-Q2006)</f>
        <v/>
      </c>
      <c r="AB2006" s="7" t="n"/>
      <c r="AE2006">
        <f>IF($E2006="","",IF($AQ2006=1,0,IF($AP2006=1,Settings!$C$6,Settings!$C$7))*100)</f>
        <v/>
      </c>
      <c r="AI2006" s="7" t="n"/>
      <c r="AL2006" s="11" t="n"/>
      <c r="AN2006">
        <f>IF($E2006="","",IF(COUNTIF($E$2:$E2006,$E2006)=1,1,0))</f>
        <v/>
      </c>
      <c r="AO2006">
        <f>IF($AN2006=1,SUMPRODUCT(--($AR$2:$AR$3001&lt;$AR2006))+1,"")</f>
        <v/>
      </c>
      <c r="AP2006">
        <f>IF($E2006="","",IF(OR($U2006=TRUE(),$U2006="TRUE"),1,0))</f>
        <v/>
      </c>
      <c r="AQ2006">
        <f>IF($E2006="","",IF($AD2006="Yes",1,0))</f>
        <v/>
      </c>
      <c r="AR2006">
        <f>IF($AN2006=1,IFERROR(VALUE(MID($E2006,2,20)),1000000000)+ROW()/100000,"")</f>
        <v/>
      </c>
    </row>
    <row r="2007">
      <c r="G2007" s="11" t="n"/>
      <c r="Q2007" s="7">
        <f>IF($E2007="","",P2007*AB2007/100)</f>
        <v/>
      </c>
      <c r="R2007" s="7" t="n"/>
      <c r="X2007" s="7" t="n"/>
      <c r="Y2007" s="7">
        <f>IF($E2007="","",AB2007*AE2007/100)</f>
        <v/>
      </c>
      <c r="Z2007" s="7">
        <f>IF($E2007="","",AB2007-Y2007)</f>
        <v/>
      </c>
      <c r="AA2007" s="7">
        <f>IF($E2007="","",Z2007-Q2007)</f>
        <v/>
      </c>
      <c r="AB2007" s="7" t="n"/>
      <c r="AE2007">
        <f>IF($E2007="","",IF($AQ2007=1,0,IF($AP2007=1,Settings!$C$6,Settings!$C$7))*100)</f>
        <v/>
      </c>
      <c r="AI2007" s="7" t="n"/>
      <c r="AL2007" s="11" t="n"/>
      <c r="AN2007">
        <f>IF($E2007="","",IF(COUNTIF($E$2:$E2007,$E2007)=1,1,0))</f>
        <v/>
      </c>
      <c r="AO2007">
        <f>IF($AN2007=1,SUMPRODUCT(--($AR$2:$AR$3001&lt;$AR2007))+1,"")</f>
        <v/>
      </c>
      <c r="AP2007">
        <f>IF($E2007="","",IF(OR($U2007=TRUE(),$U2007="TRUE"),1,0))</f>
        <v/>
      </c>
      <c r="AQ2007">
        <f>IF($E2007="","",IF($AD2007="Yes",1,0))</f>
        <v/>
      </c>
      <c r="AR2007">
        <f>IF($AN2007=1,IFERROR(VALUE(MID($E2007,2,20)),1000000000)+ROW()/100000,"")</f>
        <v/>
      </c>
    </row>
    <row r="2008">
      <c r="G2008" s="11" t="n"/>
      <c r="Q2008" s="7">
        <f>IF($E2008="","",P2008*AB2008/100)</f>
        <v/>
      </c>
      <c r="R2008" s="7" t="n"/>
      <c r="X2008" s="7" t="n"/>
      <c r="Y2008" s="7">
        <f>IF($E2008="","",AB2008*AE2008/100)</f>
        <v/>
      </c>
      <c r="Z2008" s="7">
        <f>IF($E2008="","",AB2008-Y2008)</f>
        <v/>
      </c>
      <c r="AA2008" s="7">
        <f>IF($E2008="","",Z2008-Q2008)</f>
        <v/>
      </c>
      <c r="AB2008" s="7" t="n"/>
      <c r="AE2008">
        <f>IF($E2008="","",IF($AQ2008=1,0,IF($AP2008=1,Settings!$C$6,Settings!$C$7))*100)</f>
        <v/>
      </c>
      <c r="AI2008" s="7" t="n"/>
      <c r="AL2008" s="11" t="n"/>
      <c r="AN2008">
        <f>IF($E2008="","",IF(COUNTIF($E$2:$E2008,$E2008)=1,1,0))</f>
        <v/>
      </c>
      <c r="AO2008">
        <f>IF($AN2008=1,SUMPRODUCT(--($AR$2:$AR$3001&lt;$AR2008))+1,"")</f>
        <v/>
      </c>
      <c r="AP2008">
        <f>IF($E2008="","",IF(OR($U2008=TRUE(),$U2008="TRUE"),1,0))</f>
        <v/>
      </c>
      <c r="AQ2008">
        <f>IF($E2008="","",IF($AD2008="Yes",1,0))</f>
        <v/>
      </c>
      <c r="AR2008">
        <f>IF($AN2008=1,IFERROR(VALUE(MID($E2008,2,20)),1000000000)+ROW()/100000,"")</f>
        <v/>
      </c>
    </row>
    <row r="2009">
      <c r="G2009" s="11" t="n"/>
      <c r="Q2009" s="7">
        <f>IF($E2009="","",P2009*AB2009/100)</f>
        <v/>
      </c>
      <c r="R2009" s="7" t="n"/>
      <c r="X2009" s="7" t="n"/>
      <c r="Y2009" s="7">
        <f>IF($E2009="","",AB2009*AE2009/100)</f>
        <v/>
      </c>
      <c r="Z2009" s="7">
        <f>IF($E2009="","",AB2009-Y2009)</f>
        <v/>
      </c>
      <c r="AA2009" s="7">
        <f>IF($E2009="","",Z2009-Q2009)</f>
        <v/>
      </c>
      <c r="AB2009" s="7" t="n"/>
      <c r="AE2009">
        <f>IF($E2009="","",IF($AQ2009=1,0,IF($AP2009=1,Settings!$C$6,Settings!$C$7))*100)</f>
        <v/>
      </c>
      <c r="AI2009" s="7" t="n"/>
      <c r="AL2009" s="11" t="n"/>
      <c r="AN2009">
        <f>IF($E2009="","",IF(COUNTIF($E$2:$E2009,$E2009)=1,1,0))</f>
        <v/>
      </c>
      <c r="AO2009">
        <f>IF($AN2009=1,SUMPRODUCT(--($AR$2:$AR$3001&lt;$AR2009))+1,"")</f>
        <v/>
      </c>
      <c r="AP2009">
        <f>IF($E2009="","",IF(OR($U2009=TRUE(),$U2009="TRUE"),1,0))</f>
        <v/>
      </c>
      <c r="AQ2009">
        <f>IF($E2009="","",IF($AD2009="Yes",1,0))</f>
        <v/>
      </c>
      <c r="AR2009">
        <f>IF($AN2009=1,IFERROR(VALUE(MID($E2009,2,20)),1000000000)+ROW()/100000,"")</f>
        <v/>
      </c>
    </row>
    <row r="2010">
      <c r="G2010" s="11" t="n"/>
      <c r="Q2010" s="7">
        <f>IF($E2010="","",P2010*AB2010/100)</f>
        <v/>
      </c>
      <c r="R2010" s="7" t="n"/>
      <c r="X2010" s="7" t="n"/>
      <c r="Y2010" s="7">
        <f>IF($E2010="","",AB2010*AE2010/100)</f>
        <v/>
      </c>
      <c r="Z2010" s="7">
        <f>IF($E2010="","",AB2010-Y2010)</f>
        <v/>
      </c>
      <c r="AA2010" s="7">
        <f>IF($E2010="","",Z2010-Q2010)</f>
        <v/>
      </c>
      <c r="AB2010" s="7" t="n"/>
      <c r="AE2010">
        <f>IF($E2010="","",IF($AQ2010=1,0,IF($AP2010=1,Settings!$C$6,Settings!$C$7))*100)</f>
        <v/>
      </c>
      <c r="AI2010" s="7" t="n"/>
      <c r="AL2010" s="11" t="n"/>
      <c r="AN2010">
        <f>IF($E2010="","",IF(COUNTIF($E$2:$E2010,$E2010)=1,1,0))</f>
        <v/>
      </c>
      <c r="AO2010">
        <f>IF($AN2010=1,SUMPRODUCT(--($AR$2:$AR$3001&lt;$AR2010))+1,"")</f>
        <v/>
      </c>
      <c r="AP2010">
        <f>IF($E2010="","",IF(OR($U2010=TRUE(),$U2010="TRUE"),1,0))</f>
        <v/>
      </c>
      <c r="AQ2010">
        <f>IF($E2010="","",IF($AD2010="Yes",1,0))</f>
        <v/>
      </c>
      <c r="AR2010">
        <f>IF($AN2010=1,IFERROR(VALUE(MID($E2010,2,20)),1000000000)+ROW()/100000,"")</f>
        <v/>
      </c>
    </row>
    <row r="2011">
      <c r="G2011" s="11" t="n"/>
      <c r="Q2011" s="7">
        <f>IF($E2011="","",P2011*AB2011/100)</f>
        <v/>
      </c>
      <c r="R2011" s="7" t="n"/>
      <c r="X2011" s="7" t="n"/>
      <c r="Y2011" s="7">
        <f>IF($E2011="","",AB2011*AE2011/100)</f>
        <v/>
      </c>
      <c r="Z2011" s="7">
        <f>IF($E2011="","",AB2011-Y2011)</f>
        <v/>
      </c>
      <c r="AA2011" s="7">
        <f>IF($E2011="","",Z2011-Q2011)</f>
        <v/>
      </c>
      <c r="AB2011" s="7" t="n"/>
      <c r="AE2011">
        <f>IF($E2011="","",IF($AQ2011=1,0,IF($AP2011=1,Settings!$C$6,Settings!$C$7))*100)</f>
        <v/>
      </c>
      <c r="AI2011" s="7" t="n"/>
      <c r="AL2011" s="11" t="n"/>
      <c r="AN2011">
        <f>IF($E2011="","",IF(COUNTIF($E$2:$E2011,$E2011)=1,1,0))</f>
        <v/>
      </c>
      <c r="AO2011">
        <f>IF($AN2011=1,SUMPRODUCT(--($AR$2:$AR$3001&lt;$AR2011))+1,"")</f>
        <v/>
      </c>
      <c r="AP2011">
        <f>IF($E2011="","",IF(OR($U2011=TRUE(),$U2011="TRUE"),1,0))</f>
        <v/>
      </c>
      <c r="AQ2011">
        <f>IF($E2011="","",IF($AD2011="Yes",1,0))</f>
        <v/>
      </c>
      <c r="AR2011">
        <f>IF($AN2011=1,IFERROR(VALUE(MID($E2011,2,20)),1000000000)+ROW()/100000,"")</f>
        <v/>
      </c>
    </row>
    <row r="2012">
      <c r="G2012" s="11" t="n"/>
      <c r="Q2012" s="7">
        <f>IF($E2012="","",P2012*AB2012/100)</f>
        <v/>
      </c>
      <c r="R2012" s="7" t="n"/>
      <c r="X2012" s="7" t="n"/>
      <c r="Y2012" s="7">
        <f>IF($E2012="","",AB2012*AE2012/100)</f>
        <v/>
      </c>
      <c r="Z2012" s="7">
        <f>IF($E2012="","",AB2012-Y2012)</f>
        <v/>
      </c>
      <c r="AA2012" s="7">
        <f>IF($E2012="","",Z2012-Q2012)</f>
        <v/>
      </c>
      <c r="AB2012" s="7" t="n"/>
      <c r="AE2012">
        <f>IF($E2012="","",IF($AQ2012=1,0,IF($AP2012=1,Settings!$C$6,Settings!$C$7))*100)</f>
        <v/>
      </c>
      <c r="AI2012" s="7" t="n"/>
      <c r="AL2012" s="11" t="n"/>
      <c r="AN2012">
        <f>IF($E2012="","",IF(COUNTIF($E$2:$E2012,$E2012)=1,1,0))</f>
        <v/>
      </c>
      <c r="AO2012">
        <f>IF($AN2012=1,SUMPRODUCT(--($AR$2:$AR$3001&lt;$AR2012))+1,"")</f>
        <v/>
      </c>
      <c r="AP2012">
        <f>IF($E2012="","",IF(OR($U2012=TRUE(),$U2012="TRUE"),1,0))</f>
        <v/>
      </c>
      <c r="AQ2012">
        <f>IF($E2012="","",IF($AD2012="Yes",1,0))</f>
        <v/>
      </c>
      <c r="AR2012">
        <f>IF($AN2012=1,IFERROR(VALUE(MID($E2012,2,20)),1000000000)+ROW()/100000,"")</f>
        <v/>
      </c>
    </row>
    <row r="2013">
      <c r="G2013" s="11" t="n"/>
      <c r="Q2013" s="7">
        <f>IF($E2013="","",P2013*AB2013/100)</f>
        <v/>
      </c>
      <c r="R2013" s="7" t="n"/>
      <c r="X2013" s="7" t="n"/>
      <c r="Y2013" s="7">
        <f>IF($E2013="","",AB2013*AE2013/100)</f>
        <v/>
      </c>
      <c r="Z2013" s="7">
        <f>IF($E2013="","",AB2013-Y2013)</f>
        <v/>
      </c>
      <c r="AA2013" s="7">
        <f>IF($E2013="","",Z2013-Q2013)</f>
        <v/>
      </c>
      <c r="AB2013" s="7" t="n"/>
      <c r="AE2013">
        <f>IF($E2013="","",IF($AQ2013=1,0,IF($AP2013=1,Settings!$C$6,Settings!$C$7))*100)</f>
        <v/>
      </c>
      <c r="AI2013" s="7" t="n"/>
      <c r="AL2013" s="11" t="n"/>
      <c r="AN2013">
        <f>IF($E2013="","",IF(COUNTIF($E$2:$E2013,$E2013)=1,1,0))</f>
        <v/>
      </c>
      <c r="AO2013">
        <f>IF($AN2013=1,SUMPRODUCT(--($AR$2:$AR$3001&lt;$AR2013))+1,"")</f>
        <v/>
      </c>
      <c r="AP2013">
        <f>IF($E2013="","",IF(OR($U2013=TRUE(),$U2013="TRUE"),1,0))</f>
        <v/>
      </c>
      <c r="AQ2013">
        <f>IF($E2013="","",IF($AD2013="Yes",1,0))</f>
        <v/>
      </c>
      <c r="AR2013">
        <f>IF($AN2013=1,IFERROR(VALUE(MID($E2013,2,20)),1000000000)+ROW()/100000,"")</f>
        <v/>
      </c>
    </row>
    <row r="2014">
      <c r="G2014" s="11" t="n"/>
      <c r="Q2014" s="7">
        <f>IF($E2014="","",P2014*AB2014/100)</f>
        <v/>
      </c>
      <c r="R2014" s="7" t="n"/>
      <c r="X2014" s="7" t="n"/>
      <c r="Y2014" s="7">
        <f>IF($E2014="","",AB2014*AE2014/100)</f>
        <v/>
      </c>
      <c r="Z2014" s="7">
        <f>IF($E2014="","",AB2014-Y2014)</f>
        <v/>
      </c>
      <c r="AA2014" s="7">
        <f>IF($E2014="","",Z2014-Q2014)</f>
        <v/>
      </c>
      <c r="AB2014" s="7" t="n"/>
      <c r="AE2014">
        <f>IF($E2014="","",IF($AQ2014=1,0,IF($AP2014=1,Settings!$C$6,Settings!$C$7))*100)</f>
        <v/>
      </c>
      <c r="AI2014" s="7" t="n"/>
      <c r="AL2014" s="11" t="n"/>
      <c r="AN2014">
        <f>IF($E2014="","",IF(COUNTIF($E$2:$E2014,$E2014)=1,1,0))</f>
        <v/>
      </c>
      <c r="AO2014">
        <f>IF($AN2014=1,SUMPRODUCT(--($AR$2:$AR$3001&lt;$AR2014))+1,"")</f>
        <v/>
      </c>
      <c r="AP2014">
        <f>IF($E2014="","",IF(OR($U2014=TRUE(),$U2014="TRUE"),1,0))</f>
        <v/>
      </c>
      <c r="AQ2014">
        <f>IF($E2014="","",IF($AD2014="Yes",1,0))</f>
        <v/>
      </c>
      <c r="AR2014">
        <f>IF($AN2014=1,IFERROR(VALUE(MID($E2014,2,20)),1000000000)+ROW()/100000,"")</f>
        <v/>
      </c>
    </row>
    <row r="2015">
      <c r="G2015" s="11" t="n"/>
      <c r="Q2015" s="7">
        <f>IF($E2015="","",P2015*AB2015/100)</f>
        <v/>
      </c>
      <c r="R2015" s="7" t="n"/>
      <c r="X2015" s="7" t="n"/>
      <c r="Y2015" s="7">
        <f>IF($E2015="","",AB2015*AE2015/100)</f>
        <v/>
      </c>
      <c r="Z2015" s="7">
        <f>IF($E2015="","",AB2015-Y2015)</f>
        <v/>
      </c>
      <c r="AA2015" s="7">
        <f>IF($E2015="","",Z2015-Q2015)</f>
        <v/>
      </c>
      <c r="AB2015" s="7" t="n"/>
      <c r="AE2015">
        <f>IF($E2015="","",IF($AQ2015=1,0,IF($AP2015=1,Settings!$C$6,Settings!$C$7))*100)</f>
        <v/>
      </c>
      <c r="AI2015" s="7" t="n"/>
      <c r="AL2015" s="11" t="n"/>
      <c r="AN2015">
        <f>IF($E2015="","",IF(COUNTIF($E$2:$E2015,$E2015)=1,1,0))</f>
        <v/>
      </c>
      <c r="AO2015">
        <f>IF($AN2015=1,SUMPRODUCT(--($AR$2:$AR$3001&lt;$AR2015))+1,"")</f>
        <v/>
      </c>
      <c r="AP2015">
        <f>IF($E2015="","",IF(OR($U2015=TRUE(),$U2015="TRUE"),1,0))</f>
        <v/>
      </c>
      <c r="AQ2015">
        <f>IF($E2015="","",IF($AD2015="Yes",1,0))</f>
        <v/>
      </c>
      <c r="AR2015">
        <f>IF($AN2015=1,IFERROR(VALUE(MID($E2015,2,20)),1000000000)+ROW()/100000,"")</f>
        <v/>
      </c>
    </row>
    <row r="2016">
      <c r="G2016" s="11" t="n"/>
      <c r="Q2016" s="7">
        <f>IF($E2016="","",P2016*AB2016/100)</f>
        <v/>
      </c>
      <c r="R2016" s="7" t="n"/>
      <c r="X2016" s="7" t="n"/>
      <c r="Y2016" s="7">
        <f>IF($E2016="","",AB2016*AE2016/100)</f>
        <v/>
      </c>
      <c r="Z2016" s="7">
        <f>IF($E2016="","",AB2016-Y2016)</f>
        <v/>
      </c>
      <c r="AA2016" s="7">
        <f>IF($E2016="","",Z2016-Q2016)</f>
        <v/>
      </c>
      <c r="AB2016" s="7" t="n"/>
      <c r="AE2016">
        <f>IF($E2016="","",IF($AQ2016=1,0,IF($AP2016=1,Settings!$C$6,Settings!$C$7))*100)</f>
        <v/>
      </c>
      <c r="AI2016" s="7" t="n"/>
      <c r="AL2016" s="11" t="n"/>
      <c r="AN2016">
        <f>IF($E2016="","",IF(COUNTIF($E$2:$E2016,$E2016)=1,1,0))</f>
        <v/>
      </c>
      <c r="AO2016">
        <f>IF($AN2016=1,SUMPRODUCT(--($AR$2:$AR$3001&lt;$AR2016))+1,"")</f>
        <v/>
      </c>
      <c r="AP2016">
        <f>IF($E2016="","",IF(OR($U2016=TRUE(),$U2016="TRUE"),1,0))</f>
        <v/>
      </c>
      <c r="AQ2016">
        <f>IF($E2016="","",IF($AD2016="Yes",1,0))</f>
        <v/>
      </c>
      <c r="AR2016">
        <f>IF($AN2016=1,IFERROR(VALUE(MID($E2016,2,20)),1000000000)+ROW()/100000,"")</f>
        <v/>
      </c>
    </row>
    <row r="2017">
      <c r="G2017" s="11" t="n"/>
      <c r="Q2017" s="7">
        <f>IF($E2017="","",P2017*AB2017/100)</f>
        <v/>
      </c>
      <c r="R2017" s="7" t="n"/>
      <c r="X2017" s="7" t="n"/>
      <c r="Y2017" s="7">
        <f>IF($E2017="","",AB2017*AE2017/100)</f>
        <v/>
      </c>
      <c r="Z2017" s="7">
        <f>IF($E2017="","",AB2017-Y2017)</f>
        <v/>
      </c>
      <c r="AA2017" s="7">
        <f>IF($E2017="","",Z2017-Q2017)</f>
        <v/>
      </c>
      <c r="AB2017" s="7" t="n"/>
      <c r="AE2017">
        <f>IF($E2017="","",IF($AQ2017=1,0,IF($AP2017=1,Settings!$C$6,Settings!$C$7))*100)</f>
        <v/>
      </c>
      <c r="AI2017" s="7" t="n"/>
      <c r="AL2017" s="11" t="n"/>
      <c r="AN2017">
        <f>IF($E2017="","",IF(COUNTIF($E$2:$E2017,$E2017)=1,1,0))</f>
        <v/>
      </c>
      <c r="AO2017">
        <f>IF($AN2017=1,SUMPRODUCT(--($AR$2:$AR$3001&lt;$AR2017))+1,"")</f>
        <v/>
      </c>
      <c r="AP2017">
        <f>IF($E2017="","",IF(OR($U2017=TRUE(),$U2017="TRUE"),1,0))</f>
        <v/>
      </c>
      <c r="AQ2017">
        <f>IF($E2017="","",IF($AD2017="Yes",1,0))</f>
        <v/>
      </c>
      <c r="AR2017">
        <f>IF($AN2017=1,IFERROR(VALUE(MID($E2017,2,20)),1000000000)+ROW()/100000,"")</f>
        <v/>
      </c>
    </row>
    <row r="2018">
      <c r="G2018" s="11" t="n"/>
      <c r="Q2018" s="7">
        <f>IF($E2018="","",P2018*AB2018/100)</f>
        <v/>
      </c>
      <c r="R2018" s="7" t="n"/>
      <c r="X2018" s="7" t="n"/>
      <c r="Y2018" s="7">
        <f>IF($E2018="","",AB2018*AE2018/100)</f>
        <v/>
      </c>
      <c r="Z2018" s="7">
        <f>IF($E2018="","",AB2018-Y2018)</f>
        <v/>
      </c>
      <c r="AA2018" s="7">
        <f>IF($E2018="","",Z2018-Q2018)</f>
        <v/>
      </c>
      <c r="AB2018" s="7" t="n"/>
      <c r="AE2018">
        <f>IF($E2018="","",IF($AQ2018=1,0,IF($AP2018=1,Settings!$C$6,Settings!$C$7))*100)</f>
        <v/>
      </c>
      <c r="AI2018" s="7" t="n"/>
      <c r="AL2018" s="11" t="n"/>
      <c r="AN2018">
        <f>IF($E2018="","",IF(COUNTIF($E$2:$E2018,$E2018)=1,1,0))</f>
        <v/>
      </c>
      <c r="AO2018">
        <f>IF($AN2018=1,SUMPRODUCT(--($AR$2:$AR$3001&lt;$AR2018))+1,"")</f>
        <v/>
      </c>
      <c r="AP2018">
        <f>IF($E2018="","",IF(OR($U2018=TRUE(),$U2018="TRUE"),1,0))</f>
        <v/>
      </c>
      <c r="AQ2018">
        <f>IF($E2018="","",IF($AD2018="Yes",1,0))</f>
        <v/>
      </c>
      <c r="AR2018">
        <f>IF($AN2018=1,IFERROR(VALUE(MID($E2018,2,20)),1000000000)+ROW()/100000,"")</f>
        <v/>
      </c>
    </row>
    <row r="2019">
      <c r="G2019" s="11" t="n"/>
      <c r="Q2019" s="7">
        <f>IF($E2019="","",P2019*AB2019/100)</f>
        <v/>
      </c>
      <c r="R2019" s="7" t="n"/>
      <c r="X2019" s="7" t="n"/>
      <c r="Y2019" s="7">
        <f>IF($E2019="","",AB2019*AE2019/100)</f>
        <v/>
      </c>
      <c r="Z2019" s="7">
        <f>IF($E2019="","",AB2019-Y2019)</f>
        <v/>
      </c>
      <c r="AA2019" s="7">
        <f>IF($E2019="","",Z2019-Q2019)</f>
        <v/>
      </c>
      <c r="AB2019" s="7" t="n"/>
      <c r="AE2019">
        <f>IF($E2019="","",IF($AQ2019=1,0,IF($AP2019=1,Settings!$C$6,Settings!$C$7))*100)</f>
        <v/>
      </c>
      <c r="AI2019" s="7" t="n"/>
      <c r="AL2019" s="11" t="n"/>
      <c r="AN2019">
        <f>IF($E2019="","",IF(COUNTIF($E$2:$E2019,$E2019)=1,1,0))</f>
        <v/>
      </c>
      <c r="AO2019">
        <f>IF($AN2019=1,SUMPRODUCT(--($AR$2:$AR$3001&lt;$AR2019))+1,"")</f>
        <v/>
      </c>
      <c r="AP2019">
        <f>IF($E2019="","",IF(OR($U2019=TRUE(),$U2019="TRUE"),1,0))</f>
        <v/>
      </c>
      <c r="AQ2019">
        <f>IF($E2019="","",IF($AD2019="Yes",1,0))</f>
        <v/>
      </c>
      <c r="AR2019">
        <f>IF($AN2019=1,IFERROR(VALUE(MID($E2019,2,20)),1000000000)+ROW()/100000,"")</f>
        <v/>
      </c>
    </row>
    <row r="2020">
      <c r="G2020" s="11" t="n"/>
      <c r="Q2020" s="7">
        <f>IF($E2020="","",P2020*AB2020/100)</f>
        <v/>
      </c>
      <c r="R2020" s="7" t="n"/>
      <c r="X2020" s="7" t="n"/>
      <c r="Y2020" s="7">
        <f>IF($E2020="","",AB2020*AE2020/100)</f>
        <v/>
      </c>
      <c r="Z2020" s="7">
        <f>IF($E2020="","",AB2020-Y2020)</f>
        <v/>
      </c>
      <c r="AA2020" s="7">
        <f>IF($E2020="","",Z2020-Q2020)</f>
        <v/>
      </c>
      <c r="AB2020" s="7" t="n"/>
      <c r="AE2020">
        <f>IF($E2020="","",IF($AQ2020=1,0,IF($AP2020=1,Settings!$C$6,Settings!$C$7))*100)</f>
        <v/>
      </c>
      <c r="AI2020" s="7" t="n"/>
      <c r="AL2020" s="11" t="n"/>
      <c r="AN2020">
        <f>IF($E2020="","",IF(COUNTIF($E$2:$E2020,$E2020)=1,1,0))</f>
        <v/>
      </c>
      <c r="AO2020">
        <f>IF($AN2020=1,SUMPRODUCT(--($AR$2:$AR$3001&lt;$AR2020))+1,"")</f>
        <v/>
      </c>
      <c r="AP2020">
        <f>IF($E2020="","",IF(OR($U2020=TRUE(),$U2020="TRUE"),1,0))</f>
        <v/>
      </c>
      <c r="AQ2020">
        <f>IF($E2020="","",IF($AD2020="Yes",1,0))</f>
        <v/>
      </c>
      <c r="AR2020">
        <f>IF($AN2020=1,IFERROR(VALUE(MID($E2020,2,20)),1000000000)+ROW()/100000,"")</f>
        <v/>
      </c>
    </row>
    <row r="2021">
      <c r="G2021" s="11" t="n"/>
      <c r="Q2021" s="7">
        <f>IF($E2021="","",P2021*AB2021/100)</f>
        <v/>
      </c>
      <c r="R2021" s="7" t="n"/>
      <c r="X2021" s="7" t="n"/>
      <c r="Y2021" s="7">
        <f>IF($E2021="","",AB2021*AE2021/100)</f>
        <v/>
      </c>
      <c r="Z2021" s="7">
        <f>IF($E2021="","",AB2021-Y2021)</f>
        <v/>
      </c>
      <c r="AA2021" s="7">
        <f>IF($E2021="","",Z2021-Q2021)</f>
        <v/>
      </c>
      <c r="AB2021" s="7" t="n"/>
      <c r="AE2021">
        <f>IF($E2021="","",IF($AQ2021=1,0,IF($AP2021=1,Settings!$C$6,Settings!$C$7))*100)</f>
        <v/>
      </c>
      <c r="AI2021" s="7" t="n"/>
      <c r="AL2021" s="11" t="n"/>
      <c r="AN2021">
        <f>IF($E2021="","",IF(COUNTIF($E$2:$E2021,$E2021)=1,1,0))</f>
        <v/>
      </c>
      <c r="AO2021">
        <f>IF($AN2021=1,SUMPRODUCT(--($AR$2:$AR$3001&lt;$AR2021))+1,"")</f>
        <v/>
      </c>
      <c r="AP2021">
        <f>IF($E2021="","",IF(OR($U2021=TRUE(),$U2021="TRUE"),1,0))</f>
        <v/>
      </c>
      <c r="AQ2021">
        <f>IF($E2021="","",IF($AD2021="Yes",1,0))</f>
        <v/>
      </c>
      <c r="AR2021">
        <f>IF($AN2021=1,IFERROR(VALUE(MID($E2021,2,20)),1000000000)+ROW()/100000,"")</f>
        <v/>
      </c>
    </row>
    <row r="2022">
      <c r="G2022" s="11" t="n"/>
      <c r="Q2022" s="7">
        <f>IF($E2022="","",P2022*AB2022/100)</f>
        <v/>
      </c>
      <c r="R2022" s="7" t="n"/>
      <c r="X2022" s="7" t="n"/>
      <c r="Y2022" s="7">
        <f>IF($E2022="","",AB2022*AE2022/100)</f>
        <v/>
      </c>
      <c r="Z2022" s="7">
        <f>IF($E2022="","",AB2022-Y2022)</f>
        <v/>
      </c>
      <c r="AA2022" s="7">
        <f>IF($E2022="","",Z2022-Q2022)</f>
        <v/>
      </c>
      <c r="AB2022" s="7" t="n"/>
      <c r="AE2022">
        <f>IF($E2022="","",IF($AQ2022=1,0,IF($AP2022=1,Settings!$C$6,Settings!$C$7))*100)</f>
        <v/>
      </c>
      <c r="AI2022" s="7" t="n"/>
      <c r="AL2022" s="11" t="n"/>
      <c r="AN2022">
        <f>IF($E2022="","",IF(COUNTIF($E$2:$E2022,$E2022)=1,1,0))</f>
        <v/>
      </c>
      <c r="AO2022">
        <f>IF($AN2022=1,SUMPRODUCT(--($AR$2:$AR$3001&lt;$AR2022))+1,"")</f>
        <v/>
      </c>
      <c r="AP2022">
        <f>IF($E2022="","",IF(OR($U2022=TRUE(),$U2022="TRUE"),1,0))</f>
        <v/>
      </c>
      <c r="AQ2022">
        <f>IF($E2022="","",IF($AD2022="Yes",1,0))</f>
        <v/>
      </c>
      <c r="AR2022">
        <f>IF($AN2022=1,IFERROR(VALUE(MID($E2022,2,20)),1000000000)+ROW()/100000,"")</f>
        <v/>
      </c>
    </row>
    <row r="2023">
      <c r="G2023" s="11" t="n"/>
      <c r="Q2023" s="7">
        <f>IF($E2023="","",P2023*AB2023/100)</f>
        <v/>
      </c>
      <c r="R2023" s="7" t="n"/>
      <c r="X2023" s="7" t="n"/>
      <c r="Y2023" s="7">
        <f>IF($E2023="","",AB2023*AE2023/100)</f>
        <v/>
      </c>
      <c r="Z2023" s="7">
        <f>IF($E2023="","",AB2023-Y2023)</f>
        <v/>
      </c>
      <c r="AA2023" s="7">
        <f>IF($E2023="","",Z2023-Q2023)</f>
        <v/>
      </c>
      <c r="AB2023" s="7" t="n"/>
      <c r="AE2023">
        <f>IF($E2023="","",IF($AQ2023=1,0,IF($AP2023=1,Settings!$C$6,Settings!$C$7))*100)</f>
        <v/>
      </c>
      <c r="AI2023" s="7" t="n"/>
      <c r="AL2023" s="11" t="n"/>
      <c r="AN2023">
        <f>IF($E2023="","",IF(COUNTIF($E$2:$E2023,$E2023)=1,1,0))</f>
        <v/>
      </c>
      <c r="AO2023">
        <f>IF($AN2023=1,SUMPRODUCT(--($AR$2:$AR$3001&lt;$AR2023))+1,"")</f>
        <v/>
      </c>
      <c r="AP2023">
        <f>IF($E2023="","",IF(OR($U2023=TRUE(),$U2023="TRUE"),1,0))</f>
        <v/>
      </c>
      <c r="AQ2023">
        <f>IF($E2023="","",IF($AD2023="Yes",1,0))</f>
        <v/>
      </c>
      <c r="AR2023">
        <f>IF($AN2023=1,IFERROR(VALUE(MID($E2023,2,20)),1000000000)+ROW()/100000,"")</f>
        <v/>
      </c>
    </row>
    <row r="2024">
      <c r="G2024" s="11" t="n"/>
      <c r="Q2024" s="7">
        <f>IF($E2024="","",P2024*AB2024/100)</f>
        <v/>
      </c>
      <c r="R2024" s="7" t="n"/>
      <c r="X2024" s="7" t="n"/>
      <c r="Y2024" s="7">
        <f>IF($E2024="","",AB2024*AE2024/100)</f>
        <v/>
      </c>
      <c r="Z2024" s="7">
        <f>IF($E2024="","",AB2024-Y2024)</f>
        <v/>
      </c>
      <c r="AA2024" s="7">
        <f>IF($E2024="","",Z2024-Q2024)</f>
        <v/>
      </c>
      <c r="AB2024" s="7" t="n"/>
      <c r="AE2024">
        <f>IF($E2024="","",IF($AQ2024=1,0,IF($AP2024=1,Settings!$C$6,Settings!$C$7))*100)</f>
        <v/>
      </c>
      <c r="AI2024" s="7" t="n"/>
      <c r="AL2024" s="11" t="n"/>
      <c r="AN2024">
        <f>IF($E2024="","",IF(COUNTIF($E$2:$E2024,$E2024)=1,1,0))</f>
        <v/>
      </c>
      <c r="AO2024">
        <f>IF($AN2024=1,SUMPRODUCT(--($AR$2:$AR$3001&lt;$AR2024))+1,"")</f>
        <v/>
      </c>
      <c r="AP2024">
        <f>IF($E2024="","",IF(OR($U2024=TRUE(),$U2024="TRUE"),1,0))</f>
        <v/>
      </c>
      <c r="AQ2024">
        <f>IF($E2024="","",IF($AD2024="Yes",1,0))</f>
        <v/>
      </c>
      <c r="AR2024">
        <f>IF($AN2024=1,IFERROR(VALUE(MID($E2024,2,20)),1000000000)+ROW()/100000,"")</f>
        <v/>
      </c>
    </row>
    <row r="2025">
      <c r="G2025" s="11" t="n"/>
      <c r="Q2025" s="7">
        <f>IF($E2025="","",P2025*AB2025/100)</f>
        <v/>
      </c>
      <c r="R2025" s="7" t="n"/>
      <c r="X2025" s="7" t="n"/>
      <c r="Y2025" s="7">
        <f>IF($E2025="","",AB2025*AE2025/100)</f>
        <v/>
      </c>
      <c r="Z2025" s="7">
        <f>IF($E2025="","",AB2025-Y2025)</f>
        <v/>
      </c>
      <c r="AA2025" s="7">
        <f>IF($E2025="","",Z2025-Q2025)</f>
        <v/>
      </c>
      <c r="AB2025" s="7" t="n"/>
      <c r="AE2025">
        <f>IF($E2025="","",IF($AQ2025=1,0,IF($AP2025=1,Settings!$C$6,Settings!$C$7))*100)</f>
        <v/>
      </c>
      <c r="AI2025" s="7" t="n"/>
      <c r="AL2025" s="11" t="n"/>
      <c r="AN2025">
        <f>IF($E2025="","",IF(COUNTIF($E$2:$E2025,$E2025)=1,1,0))</f>
        <v/>
      </c>
      <c r="AO2025">
        <f>IF($AN2025=1,SUMPRODUCT(--($AR$2:$AR$3001&lt;$AR2025))+1,"")</f>
        <v/>
      </c>
      <c r="AP2025">
        <f>IF($E2025="","",IF(OR($U2025=TRUE(),$U2025="TRUE"),1,0))</f>
        <v/>
      </c>
      <c r="AQ2025">
        <f>IF($E2025="","",IF($AD2025="Yes",1,0))</f>
        <v/>
      </c>
      <c r="AR2025">
        <f>IF($AN2025=1,IFERROR(VALUE(MID($E2025,2,20)),1000000000)+ROW()/100000,"")</f>
        <v/>
      </c>
    </row>
    <row r="2026">
      <c r="G2026" s="11" t="n"/>
      <c r="Q2026" s="7">
        <f>IF($E2026="","",P2026*AB2026/100)</f>
        <v/>
      </c>
      <c r="R2026" s="7" t="n"/>
      <c r="X2026" s="7" t="n"/>
      <c r="Y2026" s="7">
        <f>IF($E2026="","",AB2026*AE2026/100)</f>
        <v/>
      </c>
      <c r="Z2026" s="7">
        <f>IF($E2026="","",AB2026-Y2026)</f>
        <v/>
      </c>
      <c r="AA2026" s="7">
        <f>IF($E2026="","",Z2026-Q2026)</f>
        <v/>
      </c>
      <c r="AB2026" s="7" t="n"/>
      <c r="AE2026">
        <f>IF($E2026="","",IF($AQ2026=1,0,IF($AP2026=1,Settings!$C$6,Settings!$C$7))*100)</f>
        <v/>
      </c>
      <c r="AI2026" s="7" t="n"/>
      <c r="AL2026" s="11" t="n"/>
      <c r="AN2026">
        <f>IF($E2026="","",IF(COUNTIF($E$2:$E2026,$E2026)=1,1,0))</f>
        <v/>
      </c>
      <c r="AO2026">
        <f>IF($AN2026=1,SUMPRODUCT(--($AR$2:$AR$3001&lt;$AR2026))+1,"")</f>
        <v/>
      </c>
      <c r="AP2026">
        <f>IF($E2026="","",IF(OR($U2026=TRUE(),$U2026="TRUE"),1,0))</f>
        <v/>
      </c>
      <c r="AQ2026">
        <f>IF($E2026="","",IF($AD2026="Yes",1,0))</f>
        <v/>
      </c>
      <c r="AR2026">
        <f>IF($AN2026=1,IFERROR(VALUE(MID($E2026,2,20)),1000000000)+ROW()/100000,"")</f>
        <v/>
      </c>
    </row>
    <row r="2027">
      <c r="G2027" s="11" t="n"/>
      <c r="Q2027" s="7">
        <f>IF($E2027="","",P2027*AB2027/100)</f>
        <v/>
      </c>
      <c r="R2027" s="7" t="n"/>
      <c r="X2027" s="7" t="n"/>
      <c r="Y2027" s="7">
        <f>IF($E2027="","",AB2027*AE2027/100)</f>
        <v/>
      </c>
      <c r="Z2027" s="7">
        <f>IF($E2027="","",AB2027-Y2027)</f>
        <v/>
      </c>
      <c r="AA2027" s="7">
        <f>IF($E2027="","",Z2027-Q2027)</f>
        <v/>
      </c>
      <c r="AB2027" s="7" t="n"/>
      <c r="AE2027">
        <f>IF($E2027="","",IF($AQ2027=1,0,IF($AP2027=1,Settings!$C$6,Settings!$C$7))*100)</f>
        <v/>
      </c>
      <c r="AI2027" s="7" t="n"/>
      <c r="AL2027" s="11" t="n"/>
      <c r="AN2027">
        <f>IF($E2027="","",IF(COUNTIF($E$2:$E2027,$E2027)=1,1,0))</f>
        <v/>
      </c>
      <c r="AO2027">
        <f>IF($AN2027=1,SUMPRODUCT(--($AR$2:$AR$3001&lt;$AR2027))+1,"")</f>
        <v/>
      </c>
      <c r="AP2027">
        <f>IF($E2027="","",IF(OR($U2027=TRUE(),$U2027="TRUE"),1,0))</f>
        <v/>
      </c>
      <c r="AQ2027">
        <f>IF($E2027="","",IF($AD2027="Yes",1,0))</f>
        <v/>
      </c>
      <c r="AR2027">
        <f>IF($AN2027=1,IFERROR(VALUE(MID($E2027,2,20)),1000000000)+ROW()/100000,"")</f>
        <v/>
      </c>
    </row>
    <row r="2028">
      <c r="G2028" s="11" t="n"/>
      <c r="Q2028" s="7">
        <f>IF($E2028="","",P2028*AB2028/100)</f>
        <v/>
      </c>
      <c r="R2028" s="7" t="n"/>
      <c r="X2028" s="7" t="n"/>
      <c r="Y2028" s="7">
        <f>IF($E2028="","",AB2028*AE2028/100)</f>
        <v/>
      </c>
      <c r="Z2028" s="7">
        <f>IF($E2028="","",AB2028-Y2028)</f>
        <v/>
      </c>
      <c r="AA2028" s="7">
        <f>IF($E2028="","",Z2028-Q2028)</f>
        <v/>
      </c>
      <c r="AB2028" s="7" t="n"/>
      <c r="AE2028">
        <f>IF($E2028="","",IF($AQ2028=1,0,IF($AP2028=1,Settings!$C$6,Settings!$C$7))*100)</f>
        <v/>
      </c>
      <c r="AI2028" s="7" t="n"/>
      <c r="AL2028" s="11" t="n"/>
      <c r="AN2028">
        <f>IF($E2028="","",IF(COUNTIF($E$2:$E2028,$E2028)=1,1,0))</f>
        <v/>
      </c>
      <c r="AO2028">
        <f>IF($AN2028=1,SUMPRODUCT(--($AR$2:$AR$3001&lt;$AR2028))+1,"")</f>
        <v/>
      </c>
      <c r="AP2028">
        <f>IF($E2028="","",IF(OR($U2028=TRUE(),$U2028="TRUE"),1,0))</f>
        <v/>
      </c>
      <c r="AQ2028">
        <f>IF($E2028="","",IF($AD2028="Yes",1,0))</f>
        <v/>
      </c>
      <c r="AR2028">
        <f>IF($AN2028=1,IFERROR(VALUE(MID($E2028,2,20)),1000000000)+ROW()/100000,"")</f>
        <v/>
      </c>
    </row>
    <row r="2029">
      <c r="G2029" s="11" t="n"/>
      <c r="Q2029" s="7">
        <f>IF($E2029="","",P2029*AB2029/100)</f>
        <v/>
      </c>
      <c r="R2029" s="7" t="n"/>
      <c r="X2029" s="7" t="n"/>
      <c r="Y2029" s="7">
        <f>IF($E2029="","",AB2029*AE2029/100)</f>
        <v/>
      </c>
      <c r="Z2029" s="7">
        <f>IF($E2029="","",AB2029-Y2029)</f>
        <v/>
      </c>
      <c r="AA2029" s="7">
        <f>IF($E2029="","",Z2029-Q2029)</f>
        <v/>
      </c>
      <c r="AB2029" s="7" t="n"/>
      <c r="AE2029">
        <f>IF($E2029="","",IF($AQ2029=1,0,IF($AP2029=1,Settings!$C$6,Settings!$C$7))*100)</f>
        <v/>
      </c>
      <c r="AI2029" s="7" t="n"/>
      <c r="AL2029" s="11" t="n"/>
      <c r="AN2029">
        <f>IF($E2029="","",IF(COUNTIF($E$2:$E2029,$E2029)=1,1,0))</f>
        <v/>
      </c>
      <c r="AO2029">
        <f>IF($AN2029=1,SUMPRODUCT(--($AR$2:$AR$3001&lt;$AR2029))+1,"")</f>
        <v/>
      </c>
      <c r="AP2029">
        <f>IF($E2029="","",IF(OR($U2029=TRUE(),$U2029="TRUE"),1,0))</f>
        <v/>
      </c>
      <c r="AQ2029">
        <f>IF($E2029="","",IF($AD2029="Yes",1,0))</f>
        <v/>
      </c>
      <c r="AR2029">
        <f>IF($AN2029=1,IFERROR(VALUE(MID($E2029,2,20)),1000000000)+ROW()/100000,"")</f>
        <v/>
      </c>
    </row>
    <row r="2030">
      <c r="G2030" s="11" t="n"/>
      <c r="Q2030" s="7">
        <f>IF($E2030="","",P2030*AB2030/100)</f>
        <v/>
      </c>
      <c r="R2030" s="7" t="n"/>
      <c r="X2030" s="7" t="n"/>
      <c r="Y2030" s="7">
        <f>IF($E2030="","",AB2030*AE2030/100)</f>
        <v/>
      </c>
      <c r="Z2030" s="7">
        <f>IF($E2030="","",AB2030-Y2030)</f>
        <v/>
      </c>
      <c r="AA2030" s="7">
        <f>IF($E2030="","",Z2030-Q2030)</f>
        <v/>
      </c>
      <c r="AB2030" s="7" t="n"/>
      <c r="AE2030">
        <f>IF($E2030="","",IF($AQ2030=1,0,IF($AP2030=1,Settings!$C$6,Settings!$C$7))*100)</f>
        <v/>
      </c>
      <c r="AI2030" s="7" t="n"/>
      <c r="AL2030" s="11" t="n"/>
      <c r="AN2030">
        <f>IF($E2030="","",IF(COUNTIF($E$2:$E2030,$E2030)=1,1,0))</f>
        <v/>
      </c>
      <c r="AO2030">
        <f>IF($AN2030=1,SUMPRODUCT(--($AR$2:$AR$3001&lt;$AR2030))+1,"")</f>
        <v/>
      </c>
      <c r="AP2030">
        <f>IF($E2030="","",IF(OR($U2030=TRUE(),$U2030="TRUE"),1,0))</f>
        <v/>
      </c>
      <c r="AQ2030">
        <f>IF($E2030="","",IF($AD2030="Yes",1,0))</f>
        <v/>
      </c>
      <c r="AR2030">
        <f>IF($AN2030=1,IFERROR(VALUE(MID($E2030,2,20)),1000000000)+ROW()/100000,"")</f>
        <v/>
      </c>
    </row>
    <row r="2031">
      <c r="G2031" s="11" t="n"/>
      <c r="Q2031" s="7">
        <f>IF($E2031="","",P2031*AB2031/100)</f>
        <v/>
      </c>
      <c r="R2031" s="7" t="n"/>
      <c r="X2031" s="7" t="n"/>
      <c r="Y2031" s="7">
        <f>IF($E2031="","",AB2031*AE2031/100)</f>
        <v/>
      </c>
      <c r="Z2031" s="7">
        <f>IF($E2031="","",AB2031-Y2031)</f>
        <v/>
      </c>
      <c r="AA2031" s="7">
        <f>IF($E2031="","",Z2031-Q2031)</f>
        <v/>
      </c>
      <c r="AB2031" s="7" t="n"/>
      <c r="AE2031">
        <f>IF($E2031="","",IF($AQ2031=1,0,IF($AP2031=1,Settings!$C$6,Settings!$C$7))*100)</f>
        <v/>
      </c>
      <c r="AI2031" s="7" t="n"/>
      <c r="AL2031" s="11" t="n"/>
      <c r="AN2031">
        <f>IF($E2031="","",IF(COUNTIF($E$2:$E2031,$E2031)=1,1,0))</f>
        <v/>
      </c>
      <c r="AO2031">
        <f>IF($AN2031=1,SUMPRODUCT(--($AR$2:$AR$3001&lt;$AR2031))+1,"")</f>
        <v/>
      </c>
      <c r="AP2031">
        <f>IF($E2031="","",IF(OR($U2031=TRUE(),$U2031="TRUE"),1,0))</f>
        <v/>
      </c>
      <c r="AQ2031">
        <f>IF($E2031="","",IF($AD2031="Yes",1,0))</f>
        <v/>
      </c>
      <c r="AR2031">
        <f>IF($AN2031=1,IFERROR(VALUE(MID($E2031,2,20)),1000000000)+ROW()/100000,"")</f>
        <v/>
      </c>
    </row>
    <row r="2032">
      <c r="G2032" s="11" t="n"/>
      <c r="Q2032" s="7">
        <f>IF($E2032="","",P2032*AB2032/100)</f>
        <v/>
      </c>
      <c r="R2032" s="7" t="n"/>
      <c r="X2032" s="7" t="n"/>
      <c r="Y2032" s="7">
        <f>IF($E2032="","",AB2032*AE2032/100)</f>
        <v/>
      </c>
      <c r="Z2032" s="7">
        <f>IF($E2032="","",AB2032-Y2032)</f>
        <v/>
      </c>
      <c r="AA2032" s="7">
        <f>IF($E2032="","",Z2032-Q2032)</f>
        <v/>
      </c>
      <c r="AB2032" s="7" t="n"/>
      <c r="AE2032">
        <f>IF($E2032="","",IF($AQ2032=1,0,IF($AP2032=1,Settings!$C$6,Settings!$C$7))*100)</f>
        <v/>
      </c>
      <c r="AI2032" s="7" t="n"/>
      <c r="AL2032" s="11" t="n"/>
      <c r="AN2032">
        <f>IF($E2032="","",IF(COUNTIF($E$2:$E2032,$E2032)=1,1,0))</f>
        <v/>
      </c>
      <c r="AO2032">
        <f>IF($AN2032=1,SUMPRODUCT(--($AR$2:$AR$3001&lt;$AR2032))+1,"")</f>
        <v/>
      </c>
      <c r="AP2032">
        <f>IF($E2032="","",IF(OR($U2032=TRUE(),$U2032="TRUE"),1,0))</f>
        <v/>
      </c>
      <c r="AQ2032">
        <f>IF($E2032="","",IF($AD2032="Yes",1,0))</f>
        <v/>
      </c>
      <c r="AR2032">
        <f>IF($AN2032=1,IFERROR(VALUE(MID($E2032,2,20)),1000000000)+ROW()/100000,"")</f>
        <v/>
      </c>
    </row>
    <row r="2033">
      <c r="G2033" s="11" t="n"/>
      <c r="Q2033" s="7">
        <f>IF($E2033="","",P2033*AB2033/100)</f>
        <v/>
      </c>
      <c r="R2033" s="7" t="n"/>
      <c r="X2033" s="7" t="n"/>
      <c r="Y2033" s="7">
        <f>IF($E2033="","",AB2033*AE2033/100)</f>
        <v/>
      </c>
      <c r="Z2033" s="7">
        <f>IF($E2033="","",AB2033-Y2033)</f>
        <v/>
      </c>
      <c r="AA2033" s="7">
        <f>IF($E2033="","",Z2033-Q2033)</f>
        <v/>
      </c>
      <c r="AB2033" s="7" t="n"/>
      <c r="AE2033">
        <f>IF($E2033="","",IF($AQ2033=1,0,IF($AP2033=1,Settings!$C$6,Settings!$C$7))*100)</f>
        <v/>
      </c>
      <c r="AI2033" s="7" t="n"/>
      <c r="AL2033" s="11" t="n"/>
      <c r="AN2033">
        <f>IF($E2033="","",IF(COUNTIF($E$2:$E2033,$E2033)=1,1,0))</f>
        <v/>
      </c>
      <c r="AO2033">
        <f>IF($AN2033=1,SUMPRODUCT(--($AR$2:$AR$3001&lt;$AR2033))+1,"")</f>
        <v/>
      </c>
      <c r="AP2033">
        <f>IF($E2033="","",IF(OR($U2033=TRUE(),$U2033="TRUE"),1,0))</f>
        <v/>
      </c>
      <c r="AQ2033">
        <f>IF($E2033="","",IF($AD2033="Yes",1,0))</f>
        <v/>
      </c>
      <c r="AR2033">
        <f>IF($AN2033=1,IFERROR(VALUE(MID($E2033,2,20)),1000000000)+ROW()/100000,"")</f>
        <v/>
      </c>
    </row>
    <row r="2034">
      <c r="G2034" s="11" t="n"/>
      <c r="Q2034" s="7">
        <f>IF($E2034="","",P2034*AB2034/100)</f>
        <v/>
      </c>
      <c r="R2034" s="7" t="n"/>
      <c r="X2034" s="7" t="n"/>
      <c r="Y2034" s="7">
        <f>IF($E2034="","",AB2034*AE2034/100)</f>
        <v/>
      </c>
      <c r="Z2034" s="7">
        <f>IF($E2034="","",AB2034-Y2034)</f>
        <v/>
      </c>
      <c r="AA2034" s="7">
        <f>IF($E2034="","",Z2034-Q2034)</f>
        <v/>
      </c>
      <c r="AB2034" s="7" t="n"/>
      <c r="AE2034">
        <f>IF($E2034="","",IF($AQ2034=1,0,IF($AP2034=1,Settings!$C$6,Settings!$C$7))*100)</f>
        <v/>
      </c>
      <c r="AI2034" s="7" t="n"/>
      <c r="AL2034" s="11" t="n"/>
      <c r="AN2034">
        <f>IF($E2034="","",IF(COUNTIF($E$2:$E2034,$E2034)=1,1,0))</f>
        <v/>
      </c>
      <c r="AO2034">
        <f>IF($AN2034=1,SUMPRODUCT(--($AR$2:$AR$3001&lt;$AR2034))+1,"")</f>
        <v/>
      </c>
      <c r="AP2034">
        <f>IF($E2034="","",IF(OR($U2034=TRUE(),$U2034="TRUE"),1,0))</f>
        <v/>
      </c>
      <c r="AQ2034">
        <f>IF($E2034="","",IF($AD2034="Yes",1,0))</f>
        <v/>
      </c>
      <c r="AR2034">
        <f>IF($AN2034=1,IFERROR(VALUE(MID($E2034,2,20)),1000000000)+ROW()/100000,"")</f>
        <v/>
      </c>
    </row>
    <row r="2035">
      <c r="G2035" s="11" t="n"/>
      <c r="Q2035" s="7">
        <f>IF($E2035="","",P2035*AB2035/100)</f>
        <v/>
      </c>
      <c r="R2035" s="7" t="n"/>
      <c r="X2035" s="7" t="n"/>
      <c r="Y2035" s="7">
        <f>IF($E2035="","",AB2035*AE2035/100)</f>
        <v/>
      </c>
      <c r="Z2035" s="7">
        <f>IF($E2035="","",AB2035-Y2035)</f>
        <v/>
      </c>
      <c r="AA2035" s="7">
        <f>IF($E2035="","",Z2035-Q2035)</f>
        <v/>
      </c>
      <c r="AB2035" s="7" t="n"/>
      <c r="AE2035">
        <f>IF($E2035="","",IF($AQ2035=1,0,IF($AP2035=1,Settings!$C$6,Settings!$C$7))*100)</f>
        <v/>
      </c>
      <c r="AI2035" s="7" t="n"/>
      <c r="AL2035" s="11" t="n"/>
      <c r="AN2035">
        <f>IF($E2035="","",IF(COUNTIF($E$2:$E2035,$E2035)=1,1,0))</f>
        <v/>
      </c>
      <c r="AO2035">
        <f>IF($AN2035=1,SUMPRODUCT(--($AR$2:$AR$3001&lt;$AR2035))+1,"")</f>
        <v/>
      </c>
      <c r="AP2035">
        <f>IF($E2035="","",IF(OR($U2035=TRUE(),$U2035="TRUE"),1,0))</f>
        <v/>
      </c>
      <c r="AQ2035">
        <f>IF($E2035="","",IF($AD2035="Yes",1,0))</f>
        <v/>
      </c>
      <c r="AR2035">
        <f>IF($AN2035=1,IFERROR(VALUE(MID($E2035,2,20)),1000000000)+ROW()/100000,"")</f>
        <v/>
      </c>
    </row>
    <row r="2036">
      <c r="G2036" s="11" t="n"/>
      <c r="Q2036" s="7">
        <f>IF($E2036="","",P2036*AB2036/100)</f>
        <v/>
      </c>
      <c r="R2036" s="7" t="n"/>
      <c r="X2036" s="7" t="n"/>
      <c r="Y2036" s="7">
        <f>IF($E2036="","",AB2036*AE2036/100)</f>
        <v/>
      </c>
      <c r="Z2036" s="7">
        <f>IF($E2036="","",AB2036-Y2036)</f>
        <v/>
      </c>
      <c r="AA2036" s="7">
        <f>IF($E2036="","",Z2036-Q2036)</f>
        <v/>
      </c>
      <c r="AB2036" s="7" t="n"/>
      <c r="AE2036">
        <f>IF($E2036="","",IF($AQ2036=1,0,IF($AP2036=1,Settings!$C$6,Settings!$C$7))*100)</f>
        <v/>
      </c>
      <c r="AI2036" s="7" t="n"/>
      <c r="AL2036" s="11" t="n"/>
      <c r="AN2036">
        <f>IF($E2036="","",IF(COUNTIF($E$2:$E2036,$E2036)=1,1,0))</f>
        <v/>
      </c>
      <c r="AO2036">
        <f>IF($AN2036=1,SUMPRODUCT(--($AR$2:$AR$3001&lt;$AR2036))+1,"")</f>
        <v/>
      </c>
      <c r="AP2036">
        <f>IF($E2036="","",IF(OR($U2036=TRUE(),$U2036="TRUE"),1,0))</f>
        <v/>
      </c>
      <c r="AQ2036">
        <f>IF($E2036="","",IF($AD2036="Yes",1,0))</f>
        <v/>
      </c>
      <c r="AR2036">
        <f>IF($AN2036=1,IFERROR(VALUE(MID($E2036,2,20)),1000000000)+ROW()/100000,"")</f>
        <v/>
      </c>
    </row>
    <row r="2037">
      <c r="G2037" s="11" t="n"/>
      <c r="Q2037" s="7">
        <f>IF($E2037="","",P2037*AB2037/100)</f>
        <v/>
      </c>
      <c r="R2037" s="7" t="n"/>
      <c r="X2037" s="7" t="n"/>
      <c r="Y2037" s="7">
        <f>IF($E2037="","",AB2037*AE2037/100)</f>
        <v/>
      </c>
      <c r="Z2037" s="7">
        <f>IF($E2037="","",AB2037-Y2037)</f>
        <v/>
      </c>
      <c r="AA2037" s="7">
        <f>IF($E2037="","",Z2037-Q2037)</f>
        <v/>
      </c>
      <c r="AB2037" s="7" t="n"/>
      <c r="AE2037">
        <f>IF($E2037="","",IF($AQ2037=1,0,IF($AP2037=1,Settings!$C$6,Settings!$C$7))*100)</f>
        <v/>
      </c>
      <c r="AI2037" s="7" t="n"/>
      <c r="AL2037" s="11" t="n"/>
      <c r="AN2037">
        <f>IF($E2037="","",IF(COUNTIF($E$2:$E2037,$E2037)=1,1,0))</f>
        <v/>
      </c>
      <c r="AO2037">
        <f>IF($AN2037=1,SUMPRODUCT(--($AR$2:$AR$3001&lt;$AR2037))+1,"")</f>
        <v/>
      </c>
      <c r="AP2037">
        <f>IF($E2037="","",IF(OR($U2037=TRUE(),$U2037="TRUE"),1,0))</f>
        <v/>
      </c>
      <c r="AQ2037">
        <f>IF($E2037="","",IF($AD2037="Yes",1,0))</f>
        <v/>
      </c>
      <c r="AR2037">
        <f>IF($AN2037=1,IFERROR(VALUE(MID($E2037,2,20)),1000000000)+ROW()/100000,"")</f>
        <v/>
      </c>
    </row>
    <row r="2038">
      <c r="G2038" s="11" t="n"/>
      <c r="Q2038" s="7">
        <f>IF($E2038="","",P2038*AB2038/100)</f>
        <v/>
      </c>
      <c r="R2038" s="7" t="n"/>
      <c r="X2038" s="7" t="n"/>
      <c r="Y2038" s="7">
        <f>IF($E2038="","",AB2038*AE2038/100)</f>
        <v/>
      </c>
      <c r="Z2038" s="7">
        <f>IF($E2038="","",AB2038-Y2038)</f>
        <v/>
      </c>
      <c r="AA2038" s="7">
        <f>IF($E2038="","",Z2038-Q2038)</f>
        <v/>
      </c>
      <c r="AB2038" s="7" t="n"/>
      <c r="AE2038">
        <f>IF($E2038="","",IF($AQ2038=1,0,IF($AP2038=1,Settings!$C$6,Settings!$C$7))*100)</f>
        <v/>
      </c>
      <c r="AI2038" s="7" t="n"/>
      <c r="AL2038" s="11" t="n"/>
      <c r="AN2038">
        <f>IF($E2038="","",IF(COUNTIF($E$2:$E2038,$E2038)=1,1,0))</f>
        <v/>
      </c>
      <c r="AO2038">
        <f>IF($AN2038=1,SUMPRODUCT(--($AR$2:$AR$3001&lt;$AR2038))+1,"")</f>
        <v/>
      </c>
      <c r="AP2038">
        <f>IF($E2038="","",IF(OR($U2038=TRUE(),$U2038="TRUE"),1,0))</f>
        <v/>
      </c>
      <c r="AQ2038">
        <f>IF($E2038="","",IF($AD2038="Yes",1,0))</f>
        <v/>
      </c>
      <c r="AR2038">
        <f>IF($AN2038=1,IFERROR(VALUE(MID($E2038,2,20)),1000000000)+ROW()/100000,"")</f>
        <v/>
      </c>
    </row>
    <row r="2039">
      <c r="G2039" s="11" t="n"/>
      <c r="Q2039" s="7">
        <f>IF($E2039="","",P2039*AB2039/100)</f>
        <v/>
      </c>
      <c r="R2039" s="7" t="n"/>
      <c r="X2039" s="7" t="n"/>
      <c r="Y2039" s="7">
        <f>IF($E2039="","",AB2039*AE2039/100)</f>
        <v/>
      </c>
      <c r="Z2039" s="7">
        <f>IF($E2039="","",AB2039-Y2039)</f>
        <v/>
      </c>
      <c r="AA2039" s="7">
        <f>IF($E2039="","",Z2039-Q2039)</f>
        <v/>
      </c>
      <c r="AB2039" s="7" t="n"/>
      <c r="AE2039">
        <f>IF($E2039="","",IF($AQ2039=1,0,IF($AP2039=1,Settings!$C$6,Settings!$C$7))*100)</f>
        <v/>
      </c>
      <c r="AI2039" s="7" t="n"/>
      <c r="AL2039" s="11" t="n"/>
      <c r="AN2039">
        <f>IF($E2039="","",IF(COUNTIF($E$2:$E2039,$E2039)=1,1,0))</f>
        <v/>
      </c>
      <c r="AO2039">
        <f>IF($AN2039=1,SUMPRODUCT(--($AR$2:$AR$3001&lt;$AR2039))+1,"")</f>
        <v/>
      </c>
      <c r="AP2039">
        <f>IF($E2039="","",IF(OR($U2039=TRUE(),$U2039="TRUE"),1,0))</f>
        <v/>
      </c>
      <c r="AQ2039">
        <f>IF($E2039="","",IF($AD2039="Yes",1,0))</f>
        <v/>
      </c>
      <c r="AR2039">
        <f>IF($AN2039=1,IFERROR(VALUE(MID($E2039,2,20)),1000000000)+ROW()/100000,"")</f>
        <v/>
      </c>
    </row>
    <row r="2040">
      <c r="G2040" s="11" t="n"/>
      <c r="Q2040" s="7">
        <f>IF($E2040="","",P2040*AB2040/100)</f>
        <v/>
      </c>
      <c r="R2040" s="7" t="n"/>
      <c r="X2040" s="7" t="n"/>
      <c r="Y2040" s="7">
        <f>IF($E2040="","",AB2040*AE2040/100)</f>
        <v/>
      </c>
      <c r="Z2040" s="7">
        <f>IF($E2040="","",AB2040-Y2040)</f>
        <v/>
      </c>
      <c r="AA2040" s="7">
        <f>IF($E2040="","",Z2040-Q2040)</f>
        <v/>
      </c>
      <c r="AB2040" s="7" t="n"/>
      <c r="AE2040">
        <f>IF($E2040="","",IF($AQ2040=1,0,IF($AP2040=1,Settings!$C$6,Settings!$C$7))*100)</f>
        <v/>
      </c>
      <c r="AI2040" s="7" t="n"/>
      <c r="AL2040" s="11" t="n"/>
      <c r="AN2040">
        <f>IF($E2040="","",IF(COUNTIF($E$2:$E2040,$E2040)=1,1,0))</f>
        <v/>
      </c>
      <c r="AO2040">
        <f>IF($AN2040=1,SUMPRODUCT(--($AR$2:$AR$3001&lt;$AR2040))+1,"")</f>
        <v/>
      </c>
      <c r="AP2040">
        <f>IF($E2040="","",IF(OR($U2040=TRUE(),$U2040="TRUE"),1,0))</f>
        <v/>
      </c>
      <c r="AQ2040">
        <f>IF($E2040="","",IF($AD2040="Yes",1,0))</f>
        <v/>
      </c>
      <c r="AR2040">
        <f>IF($AN2040=1,IFERROR(VALUE(MID($E2040,2,20)),1000000000)+ROW()/100000,"")</f>
        <v/>
      </c>
    </row>
    <row r="2041">
      <c r="G2041" s="11" t="n"/>
      <c r="Q2041" s="7">
        <f>IF($E2041="","",P2041*AB2041/100)</f>
        <v/>
      </c>
      <c r="R2041" s="7" t="n"/>
      <c r="X2041" s="7" t="n"/>
      <c r="Y2041" s="7">
        <f>IF($E2041="","",AB2041*AE2041/100)</f>
        <v/>
      </c>
      <c r="Z2041" s="7">
        <f>IF($E2041="","",AB2041-Y2041)</f>
        <v/>
      </c>
      <c r="AA2041" s="7">
        <f>IF($E2041="","",Z2041-Q2041)</f>
        <v/>
      </c>
      <c r="AB2041" s="7" t="n"/>
      <c r="AE2041">
        <f>IF($E2041="","",IF($AQ2041=1,0,IF($AP2041=1,Settings!$C$6,Settings!$C$7))*100)</f>
        <v/>
      </c>
      <c r="AI2041" s="7" t="n"/>
      <c r="AL2041" s="11" t="n"/>
      <c r="AN2041">
        <f>IF($E2041="","",IF(COUNTIF($E$2:$E2041,$E2041)=1,1,0))</f>
        <v/>
      </c>
      <c r="AO2041">
        <f>IF($AN2041=1,SUMPRODUCT(--($AR$2:$AR$3001&lt;$AR2041))+1,"")</f>
        <v/>
      </c>
      <c r="AP2041">
        <f>IF($E2041="","",IF(OR($U2041=TRUE(),$U2041="TRUE"),1,0))</f>
        <v/>
      </c>
      <c r="AQ2041">
        <f>IF($E2041="","",IF($AD2041="Yes",1,0))</f>
        <v/>
      </c>
      <c r="AR2041">
        <f>IF($AN2041=1,IFERROR(VALUE(MID($E2041,2,20)),1000000000)+ROW()/100000,"")</f>
        <v/>
      </c>
    </row>
    <row r="2042">
      <c r="G2042" s="11" t="n"/>
      <c r="Q2042" s="7">
        <f>IF($E2042="","",P2042*AB2042/100)</f>
        <v/>
      </c>
      <c r="R2042" s="7" t="n"/>
      <c r="X2042" s="7" t="n"/>
      <c r="Y2042" s="7">
        <f>IF($E2042="","",AB2042*AE2042/100)</f>
        <v/>
      </c>
      <c r="Z2042" s="7">
        <f>IF($E2042="","",AB2042-Y2042)</f>
        <v/>
      </c>
      <c r="AA2042" s="7">
        <f>IF($E2042="","",Z2042-Q2042)</f>
        <v/>
      </c>
      <c r="AB2042" s="7" t="n"/>
      <c r="AE2042">
        <f>IF($E2042="","",IF($AQ2042=1,0,IF($AP2042=1,Settings!$C$6,Settings!$C$7))*100)</f>
        <v/>
      </c>
      <c r="AI2042" s="7" t="n"/>
      <c r="AL2042" s="11" t="n"/>
      <c r="AN2042">
        <f>IF($E2042="","",IF(COUNTIF($E$2:$E2042,$E2042)=1,1,0))</f>
        <v/>
      </c>
      <c r="AO2042">
        <f>IF($AN2042=1,SUMPRODUCT(--($AR$2:$AR$3001&lt;$AR2042))+1,"")</f>
        <v/>
      </c>
      <c r="AP2042">
        <f>IF($E2042="","",IF(OR($U2042=TRUE(),$U2042="TRUE"),1,0))</f>
        <v/>
      </c>
      <c r="AQ2042">
        <f>IF($E2042="","",IF($AD2042="Yes",1,0))</f>
        <v/>
      </c>
      <c r="AR2042">
        <f>IF($AN2042=1,IFERROR(VALUE(MID($E2042,2,20)),1000000000)+ROW()/100000,"")</f>
        <v/>
      </c>
    </row>
    <row r="2043">
      <c r="G2043" s="11" t="n"/>
      <c r="Q2043" s="7">
        <f>IF($E2043="","",P2043*AB2043/100)</f>
        <v/>
      </c>
      <c r="R2043" s="7" t="n"/>
      <c r="X2043" s="7" t="n"/>
      <c r="Y2043" s="7">
        <f>IF($E2043="","",AB2043*AE2043/100)</f>
        <v/>
      </c>
      <c r="Z2043" s="7">
        <f>IF($E2043="","",AB2043-Y2043)</f>
        <v/>
      </c>
      <c r="AA2043" s="7">
        <f>IF($E2043="","",Z2043-Q2043)</f>
        <v/>
      </c>
      <c r="AB2043" s="7" t="n"/>
      <c r="AE2043">
        <f>IF($E2043="","",IF($AQ2043=1,0,IF($AP2043=1,Settings!$C$6,Settings!$C$7))*100)</f>
        <v/>
      </c>
      <c r="AI2043" s="7" t="n"/>
      <c r="AL2043" s="11" t="n"/>
      <c r="AN2043">
        <f>IF($E2043="","",IF(COUNTIF($E$2:$E2043,$E2043)=1,1,0))</f>
        <v/>
      </c>
      <c r="AO2043">
        <f>IF($AN2043=1,SUMPRODUCT(--($AR$2:$AR$3001&lt;$AR2043))+1,"")</f>
        <v/>
      </c>
      <c r="AP2043">
        <f>IF($E2043="","",IF(OR($U2043=TRUE(),$U2043="TRUE"),1,0))</f>
        <v/>
      </c>
      <c r="AQ2043">
        <f>IF($E2043="","",IF($AD2043="Yes",1,0))</f>
        <v/>
      </c>
      <c r="AR2043">
        <f>IF($AN2043=1,IFERROR(VALUE(MID($E2043,2,20)),1000000000)+ROW()/100000,"")</f>
        <v/>
      </c>
    </row>
    <row r="2044">
      <c r="G2044" s="11" t="n"/>
      <c r="Q2044" s="7">
        <f>IF($E2044="","",P2044*AB2044/100)</f>
        <v/>
      </c>
      <c r="R2044" s="7" t="n"/>
      <c r="X2044" s="7" t="n"/>
      <c r="Y2044" s="7">
        <f>IF($E2044="","",AB2044*AE2044/100)</f>
        <v/>
      </c>
      <c r="Z2044" s="7">
        <f>IF($E2044="","",AB2044-Y2044)</f>
        <v/>
      </c>
      <c r="AA2044" s="7">
        <f>IF($E2044="","",Z2044-Q2044)</f>
        <v/>
      </c>
      <c r="AB2044" s="7" t="n"/>
      <c r="AE2044">
        <f>IF($E2044="","",IF($AQ2044=1,0,IF($AP2044=1,Settings!$C$6,Settings!$C$7))*100)</f>
        <v/>
      </c>
      <c r="AI2044" s="7" t="n"/>
      <c r="AL2044" s="11" t="n"/>
      <c r="AN2044">
        <f>IF($E2044="","",IF(COUNTIF($E$2:$E2044,$E2044)=1,1,0))</f>
        <v/>
      </c>
      <c r="AO2044">
        <f>IF($AN2044=1,SUMPRODUCT(--($AR$2:$AR$3001&lt;$AR2044))+1,"")</f>
        <v/>
      </c>
      <c r="AP2044">
        <f>IF($E2044="","",IF(OR($U2044=TRUE(),$U2044="TRUE"),1,0))</f>
        <v/>
      </c>
      <c r="AQ2044">
        <f>IF($E2044="","",IF($AD2044="Yes",1,0))</f>
        <v/>
      </c>
      <c r="AR2044">
        <f>IF($AN2044=1,IFERROR(VALUE(MID($E2044,2,20)),1000000000)+ROW()/100000,"")</f>
        <v/>
      </c>
    </row>
    <row r="2045">
      <c r="G2045" s="11" t="n"/>
      <c r="Q2045" s="7">
        <f>IF($E2045="","",P2045*AB2045/100)</f>
        <v/>
      </c>
      <c r="R2045" s="7" t="n"/>
      <c r="X2045" s="7" t="n"/>
      <c r="Y2045" s="7">
        <f>IF($E2045="","",AB2045*AE2045/100)</f>
        <v/>
      </c>
      <c r="Z2045" s="7">
        <f>IF($E2045="","",AB2045-Y2045)</f>
        <v/>
      </c>
      <c r="AA2045" s="7">
        <f>IF($E2045="","",Z2045-Q2045)</f>
        <v/>
      </c>
      <c r="AB2045" s="7" t="n"/>
      <c r="AE2045">
        <f>IF($E2045="","",IF($AQ2045=1,0,IF($AP2045=1,Settings!$C$6,Settings!$C$7))*100)</f>
        <v/>
      </c>
      <c r="AI2045" s="7" t="n"/>
      <c r="AL2045" s="11" t="n"/>
      <c r="AN2045">
        <f>IF($E2045="","",IF(COUNTIF($E$2:$E2045,$E2045)=1,1,0))</f>
        <v/>
      </c>
      <c r="AO2045">
        <f>IF($AN2045=1,SUMPRODUCT(--($AR$2:$AR$3001&lt;$AR2045))+1,"")</f>
        <v/>
      </c>
      <c r="AP2045">
        <f>IF($E2045="","",IF(OR($U2045=TRUE(),$U2045="TRUE"),1,0))</f>
        <v/>
      </c>
      <c r="AQ2045">
        <f>IF($E2045="","",IF($AD2045="Yes",1,0))</f>
        <v/>
      </c>
      <c r="AR2045">
        <f>IF($AN2045=1,IFERROR(VALUE(MID($E2045,2,20)),1000000000)+ROW()/100000,"")</f>
        <v/>
      </c>
    </row>
    <row r="2046">
      <c r="G2046" s="11" t="n"/>
      <c r="Q2046" s="7">
        <f>IF($E2046="","",P2046*AB2046/100)</f>
        <v/>
      </c>
      <c r="R2046" s="7" t="n"/>
      <c r="X2046" s="7" t="n"/>
      <c r="Y2046" s="7">
        <f>IF($E2046="","",AB2046*AE2046/100)</f>
        <v/>
      </c>
      <c r="Z2046" s="7">
        <f>IF($E2046="","",AB2046-Y2046)</f>
        <v/>
      </c>
      <c r="AA2046" s="7">
        <f>IF($E2046="","",Z2046-Q2046)</f>
        <v/>
      </c>
      <c r="AB2046" s="7" t="n"/>
      <c r="AE2046">
        <f>IF($E2046="","",IF($AQ2046=1,0,IF($AP2046=1,Settings!$C$6,Settings!$C$7))*100)</f>
        <v/>
      </c>
      <c r="AI2046" s="7" t="n"/>
      <c r="AL2046" s="11" t="n"/>
      <c r="AN2046">
        <f>IF($E2046="","",IF(COUNTIF($E$2:$E2046,$E2046)=1,1,0))</f>
        <v/>
      </c>
      <c r="AO2046">
        <f>IF($AN2046=1,SUMPRODUCT(--($AR$2:$AR$3001&lt;$AR2046))+1,"")</f>
        <v/>
      </c>
      <c r="AP2046">
        <f>IF($E2046="","",IF(OR($U2046=TRUE(),$U2046="TRUE"),1,0))</f>
        <v/>
      </c>
      <c r="AQ2046">
        <f>IF($E2046="","",IF($AD2046="Yes",1,0))</f>
        <v/>
      </c>
      <c r="AR2046">
        <f>IF($AN2046=1,IFERROR(VALUE(MID($E2046,2,20)),1000000000)+ROW()/100000,"")</f>
        <v/>
      </c>
    </row>
    <row r="2047">
      <c r="G2047" s="11" t="n"/>
      <c r="Q2047" s="7">
        <f>IF($E2047="","",P2047*AB2047/100)</f>
        <v/>
      </c>
      <c r="R2047" s="7" t="n"/>
      <c r="X2047" s="7" t="n"/>
      <c r="Y2047" s="7">
        <f>IF($E2047="","",AB2047*AE2047/100)</f>
        <v/>
      </c>
      <c r="Z2047" s="7">
        <f>IF($E2047="","",AB2047-Y2047)</f>
        <v/>
      </c>
      <c r="AA2047" s="7">
        <f>IF($E2047="","",Z2047-Q2047)</f>
        <v/>
      </c>
      <c r="AB2047" s="7" t="n"/>
      <c r="AE2047">
        <f>IF($E2047="","",IF($AQ2047=1,0,IF($AP2047=1,Settings!$C$6,Settings!$C$7))*100)</f>
        <v/>
      </c>
      <c r="AI2047" s="7" t="n"/>
      <c r="AL2047" s="11" t="n"/>
      <c r="AN2047">
        <f>IF($E2047="","",IF(COUNTIF($E$2:$E2047,$E2047)=1,1,0))</f>
        <v/>
      </c>
      <c r="AO2047">
        <f>IF($AN2047=1,SUMPRODUCT(--($AR$2:$AR$3001&lt;$AR2047))+1,"")</f>
        <v/>
      </c>
      <c r="AP2047">
        <f>IF($E2047="","",IF(OR($U2047=TRUE(),$U2047="TRUE"),1,0))</f>
        <v/>
      </c>
      <c r="AQ2047">
        <f>IF($E2047="","",IF($AD2047="Yes",1,0))</f>
        <v/>
      </c>
      <c r="AR2047">
        <f>IF($AN2047=1,IFERROR(VALUE(MID($E2047,2,20)),1000000000)+ROW()/100000,"")</f>
        <v/>
      </c>
    </row>
    <row r="2048">
      <c r="G2048" s="11" t="n"/>
      <c r="Q2048" s="7">
        <f>IF($E2048="","",P2048*AB2048/100)</f>
        <v/>
      </c>
      <c r="R2048" s="7" t="n"/>
      <c r="X2048" s="7" t="n"/>
      <c r="Y2048" s="7">
        <f>IF($E2048="","",AB2048*AE2048/100)</f>
        <v/>
      </c>
      <c r="Z2048" s="7">
        <f>IF($E2048="","",AB2048-Y2048)</f>
        <v/>
      </c>
      <c r="AA2048" s="7">
        <f>IF($E2048="","",Z2048-Q2048)</f>
        <v/>
      </c>
      <c r="AB2048" s="7" t="n"/>
      <c r="AE2048">
        <f>IF($E2048="","",IF($AQ2048=1,0,IF($AP2048=1,Settings!$C$6,Settings!$C$7))*100)</f>
        <v/>
      </c>
      <c r="AI2048" s="7" t="n"/>
      <c r="AL2048" s="11" t="n"/>
      <c r="AN2048">
        <f>IF($E2048="","",IF(COUNTIF($E$2:$E2048,$E2048)=1,1,0))</f>
        <v/>
      </c>
      <c r="AO2048">
        <f>IF($AN2048=1,SUMPRODUCT(--($AR$2:$AR$3001&lt;$AR2048))+1,"")</f>
        <v/>
      </c>
      <c r="AP2048">
        <f>IF($E2048="","",IF(OR($U2048=TRUE(),$U2048="TRUE"),1,0))</f>
        <v/>
      </c>
      <c r="AQ2048">
        <f>IF($E2048="","",IF($AD2048="Yes",1,0))</f>
        <v/>
      </c>
      <c r="AR2048">
        <f>IF($AN2048=1,IFERROR(VALUE(MID($E2048,2,20)),1000000000)+ROW()/100000,"")</f>
        <v/>
      </c>
    </row>
    <row r="2049">
      <c r="G2049" s="11" t="n"/>
      <c r="Q2049" s="7">
        <f>IF($E2049="","",P2049*AB2049/100)</f>
        <v/>
      </c>
      <c r="R2049" s="7" t="n"/>
      <c r="X2049" s="7" t="n"/>
      <c r="Y2049" s="7">
        <f>IF($E2049="","",AB2049*AE2049/100)</f>
        <v/>
      </c>
      <c r="Z2049" s="7">
        <f>IF($E2049="","",AB2049-Y2049)</f>
        <v/>
      </c>
      <c r="AA2049" s="7">
        <f>IF($E2049="","",Z2049-Q2049)</f>
        <v/>
      </c>
      <c r="AB2049" s="7" t="n"/>
      <c r="AE2049">
        <f>IF($E2049="","",IF($AQ2049=1,0,IF($AP2049=1,Settings!$C$6,Settings!$C$7))*100)</f>
        <v/>
      </c>
      <c r="AI2049" s="7" t="n"/>
      <c r="AL2049" s="11" t="n"/>
      <c r="AN2049">
        <f>IF($E2049="","",IF(COUNTIF($E$2:$E2049,$E2049)=1,1,0))</f>
        <v/>
      </c>
      <c r="AO2049">
        <f>IF($AN2049=1,SUMPRODUCT(--($AR$2:$AR$3001&lt;$AR2049))+1,"")</f>
        <v/>
      </c>
      <c r="AP2049">
        <f>IF($E2049="","",IF(OR($U2049=TRUE(),$U2049="TRUE"),1,0))</f>
        <v/>
      </c>
      <c r="AQ2049">
        <f>IF($E2049="","",IF($AD2049="Yes",1,0))</f>
        <v/>
      </c>
      <c r="AR2049">
        <f>IF($AN2049=1,IFERROR(VALUE(MID($E2049,2,20)),1000000000)+ROW()/100000,"")</f>
        <v/>
      </c>
    </row>
    <row r="2050">
      <c r="G2050" s="11" t="n"/>
      <c r="Q2050" s="7">
        <f>IF($E2050="","",P2050*AB2050/100)</f>
        <v/>
      </c>
      <c r="R2050" s="7" t="n"/>
      <c r="X2050" s="7" t="n"/>
      <c r="Y2050" s="7">
        <f>IF($E2050="","",AB2050*AE2050/100)</f>
        <v/>
      </c>
      <c r="Z2050" s="7">
        <f>IF($E2050="","",AB2050-Y2050)</f>
        <v/>
      </c>
      <c r="AA2050" s="7">
        <f>IF($E2050="","",Z2050-Q2050)</f>
        <v/>
      </c>
      <c r="AB2050" s="7" t="n"/>
      <c r="AE2050">
        <f>IF($E2050="","",IF($AQ2050=1,0,IF($AP2050=1,Settings!$C$6,Settings!$C$7))*100)</f>
        <v/>
      </c>
      <c r="AI2050" s="7" t="n"/>
      <c r="AL2050" s="11" t="n"/>
      <c r="AN2050">
        <f>IF($E2050="","",IF(COUNTIF($E$2:$E2050,$E2050)=1,1,0))</f>
        <v/>
      </c>
      <c r="AO2050">
        <f>IF($AN2050=1,SUMPRODUCT(--($AR$2:$AR$3001&lt;$AR2050))+1,"")</f>
        <v/>
      </c>
      <c r="AP2050">
        <f>IF($E2050="","",IF(OR($U2050=TRUE(),$U2050="TRUE"),1,0))</f>
        <v/>
      </c>
      <c r="AQ2050">
        <f>IF($E2050="","",IF($AD2050="Yes",1,0))</f>
        <v/>
      </c>
      <c r="AR2050">
        <f>IF($AN2050=1,IFERROR(VALUE(MID($E2050,2,20)),1000000000)+ROW()/100000,"")</f>
        <v/>
      </c>
    </row>
    <row r="2051">
      <c r="G2051" s="11" t="n"/>
      <c r="Q2051" s="7">
        <f>IF($E2051="","",P2051*AB2051/100)</f>
        <v/>
      </c>
      <c r="R2051" s="7" t="n"/>
      <c r="X2051" s="7" t="n"/>
      <c r="Y2051" s="7">
        <f>IF($E2051="","",AB2051*AE2051/100)</f>
        <v/>
      </c>
      <c r="Z2051" s="7">
        <f>IF($E2051="","",AB2051-Y2051)</f>
        <v/>
      </c>
      <c r="AA2051" s="7">
        <f>IF($E2051="","",Z2051-Q2051)</f>
        <v/>
      </c>
      <c r="AB2051" s="7" t="n"/>
      <c r="AE2051">
        <f>IF($E2051="","",IF($AQ2051=1,0,IF($AP2051=1,Settings!$C$6,Settings!$C$7))*100)</f>
        <v/>
      </c>
      <c r="AI2051" s="7" t="n"/>
      <c r="AL2051" s="11" t="n"/>
      <c r="AN2051">
        <f>IF($E2051="","",IF(COUNTIF($E$2:$E2051,$E2051)=1,1,0))</f>
        <v/>
      </c>
      <c r="AO2051">
        <f>IF($AN2051=1,SUMPRODUCT(--($AR$2:$AR$3001&lt;$AR2051))+1,"")</f>
        <v/>
      </c>
      <c r="AP2051">
        <f>IF($E2051="","",IF(OR($U2051=TRUE(),$U2051="TRUE"),1,0))</f>
        <v/>
      </c>
      <c r="AQ2051">
        <f>IF($E2051="","",IF($AD2051="Yes",1,0))</f>
        <v/>
      </c>
      <c r="AR2051">
        <f>IF($AN2051=1,IFERROR(VALUE(MID($E2051,2,20)),1000000000)+ROW()/100000,"")</f>
        <v/>
      </c>
    </row>
    <row r="2052">
      <c r="G2052" s="11" t="n"/>
      <c r="Q2052" s="7">
        <f>IF($E2052="","",P2052*AB2052/100)</f>
        <v/>
      </c>
      <c r="R2052" s="7" t="n"/>
      <c r="X2052" s="7" t="n"/>
      <c r="Y2052" s="7">
        <f>IF($E2052="","",AB2052*AE2052/100)</f>
        <v/>
      </c>
      <c r="Z2052" s="7">
        <f>IF($E2052="","",AB2052-Y2052)</f>
        <v/>
      </c>
      <c r="AA2052" s="7">
        <f>IF($E2052="","",Z2052-Q2052)</f>
        <v/>
      </c>
      <c r="AB2052" s="7" t="n"/>
      <c r="AE2052">
        <f>IF($E2052="","",IF($AQ2052=1,0,IF($AP2052=1,Settings!$C$6,Settings!$C$7))*100)</f>
        <v/>
      </c>
      <c r="AI2052" s="7" t="n"/>
      <c r="AL2052" s="11" t="n"/>
      <c r="AN2052">
        <f>IF($E2052="","",IF(COUNTIF($E$2:$E2052,$E2052)=1,1,0))</f>
        <v/>
      </c>
      <c r="AO2052">
        <f>IF($AN2052=1,SUMPRODUCT(--($AR$2:$AR$3001&lt;$AR2052))+1,"")</f>
        <v/>
      </c>
      <c r="AP2052">
        <f>IF($E2052="","",IF(OR($U2052=TRUE(),$U2052="TRUE"),1,0))</f>
        <v/>
      </c>
      <c r="AQ2052">
        <f>IF($E2052="","",IF($AD2052="Yes",1,0))</f>
        <v/>
      </c>
      <c r="AR2052">
        <f>IF($AN2052=1,IFERROR(VALUE(MID($E2052,2,20)),1000000000)+ROW()/100000,"")</f>
        <v/>
      </c>
    </row>
    <row r="2053">
      <c r="G2053" s="11" t="n"/>
      <c r="Q2053" s="7">
        <f>IF($E2053="","",P2053*AB2053/100)</f>
        <v/>
      </c>
      <c r="R2053" s="7" t="n"/>
      <c r="X2053" s="7" t="n"/>
      <c r="Y2053" s="7">
        <f>IF($E2053="","",AB2053*AE2053/100)</f>
        <v/>
      </c>
      <c r="Z2053" s="7">
        <f>IF($E2053="","",AB2053-Y2053)</f>
        <v/>
      </c>
      <c r="AA2053" s="7">
        <f>IF($E2053="","",Z2053-Q2053)</f>
        <v/>
      </c>
      <c r="AB2053" s="7" t="n"/>
      <c r="AE2053">
        <f>IF($E2053="","",IF($AQ2053=1,0,IF($AP2053=1,Settings!$C$6,Settings!$C$7))*100)</f>
        <v/>
      </c>
      <c r="AI2053" s="7" t="n"/>
      <c r="AL2053" s="11" t="n"/>
      <c r="AN2053">
        <f>IF($E2053="","",IF(COUNTIF($E$2:$E2053,$E2053)=1,1,0))</f>
        <v/>
      </c>
      <c r="AO2053">
        <f>IF($AN2053=1,SUMPRODUCT(--($AR$2:$AR$3001&lt;$AR2053))+1,"")</f>
        <v/>
      </c>
      <c r="AP2053">
        <f>IF($E2053="","",IF(OR($U2053=TRUE(),$U2053="TRUE"),1,0))</f>
        <v/>
      </c>
      <c r="AQ2053">
        <f>IF($E2053="","",IF($AD2053="Yes",1,0))</f>
        <v/>
      </c>
      <c r="AR2053">
        <f>IF($AN2053=1,IFERROR(VALUE(MID($E2053,2,20)),1000000000)+ROW()/100000,"")</f>
        <v/>
      </c>
    </row>
    <row r="2054">
      <c r="G2054" s="11" t="n"/>
      <c r="Q2054" s="7">
        <f>IF($E2054="","",P2054*AB2054/100)</f>
        <v/>
      </c>
      <c r="R2054" s="7" t="n"/>
      <c r="X2054" s="7" t="n"/>
      <c r="Y2054" s="7">
        <f>IF($E2054="","",AB2054*AE2054/100)</f>
        <v/>
      </c>
      <c r="Z2054" s="7">
        <f>IF($E2054="","",AB2054-Y2054)</f>
        <v/>
      </c>
      <c r="AA2054" s="7">
        <f>IF($E2054="","",Z2054-Q2054)</f>
        <v/>
      </c>
      <c r="AB2054" s="7" t="n"/>
      <c r="AE2054">
        <f>IF($E2054="","",IF($AQ2054=1,0,IF($AP2054=1,Settings!$C$6,Settings!$C$7))*100)</f>
        <v/>
      </c>
      <c r="AI2054" s="7" t="n"/>
      <c r="AL2054" s="11" t="n"/>
      <c r="AN2054">
        <f>IF($E2054="","",IF(COUNTIF($E$2:$E2054,$E2054)=1,1,0))</f>
        <v/>
      </c>
      <c r="AO2054">
        <f>IF($AN2054=1,SUMPRODUCT(--($AR$2:$AR$3001&lt;$AR2054))+1,"")</f>
        <v/>
      </c>
      <c r="AP2054">
        <f>IF($E2054="","",IF(OR($U2054=TRUE(),$U2054="TRUE"),1,0))</f>
        <v/>
      </c>
      <c r="AQ2054">
        <f>IF($E2054="","",IF($AD2054="Yes",1,0))</f>
        <v/>
      </c>
      <c r="AR2054">
        <f>IF($AN2054=1,IFERROR(VALUE(MID($E2054,2,20)),1000000000)+ROW()/100000,"")</f>
        <v/>
      </c>
    </row>
    <row r="2055">
      <c r="G2055" s="11" t="n"/>
      <c r="Q2055" s="7">
        <f>IF($E2055="","",P2055*AB2055/100)</f>
        <v/>
      </c>
      <c r="R2055" s="7" t="n"/>
      <c r="X2055" s="7" t="n"/>
      <c r="Y2055" s="7">
        <f>IF($E2055="","",AB2055*AE2055/100)</f>
        <v/>
      </c>
      <c r="Z2055" s="7">
        <f>IF($E2055="","",AB2055-Y2055)</f>
        <v/>
      </c>
      <c r="AA2055" s="7">
        <f>IF($E2055="","",Z2055-Q2055)</f>
        <v/>
      </c>
      <c r="AB2055" s="7" t="n"/>
      <c r="AE2055">
        <f>IF($E2055="","",IF($AQ2055=1,0,IF($AP2055=1,Settings!$C$6,Settings!$C$7))*100)</f>
        <v/>
      </c>
      <c r="AI2055" s="7" t="n"/>
      <c r="AL2055" s="11" t="n"/>
      <c r="AN2055">
        <f>IF($E2055="","",IF(COUNTIF($E$2:$E2055,$E2055)=1,1,0))</f>
        <v/>
      </c>
      <c r="AO2055">
        <f>IF($AN2055=1,SUMPRODUCT(--($AR$2:$AR$3001&lt;$AR2055))+1,"")</f>
        <v/>
      </c>
      <c r="AP2055">
        <f>IF($E2055="","",IF(OR($U2055=TRUE(),$U2055="TRUE"),1,0))</f>
        <v/>
      </c>
      <c r="AQ2055">
        <f>IF($E2055="","",IF($AD2055="Yes",1,0))</f>
        <v/>
      </c>
      <c r="AR2055">
        <f>IF($AN2055=1,IFERROR(VALUE(MID($E2055,2,20)),1000000000)+ROW()/100000,"")</f>
        <v/>
      </c>
    </row>
    <row r="2056">
      <c r="G2056" s="11" t="n"/>
      <c r="Q2056" s="7">
        <f>IF($E2056="","",P2056*AB2056/100)</f>
        <v/>
      </c>
      <c r="R2056" s="7" t="n"/>
      <c r="X2056" s="7" t="n"/>
      <c r="Y2056" s="7">
        <f>IF($E2056="","",AB2056*AE2056/100)</f>
        <v/>
      </c>
      <c r="Z2056" s="7">
        <f>IF($E2056="","",AB2056-Y2056)</f>
        <v/>
      </c>
      <c r="AA2056" s="7">
        <f>IF($E2056="","",Z2056-Q2056)</f>
        <v/>
      </c>
      <c r="AB2056" s="7" t="n"/>
      <c r="AE2056">
        <f>IF($E2056="","",IF($AQ2056=1,0,IF($AP2056=1,Settings!$C$6,Settings!$C$7))*100)</f>
        <v/>
      </c>
      <c r="AI2056" s="7" t="n"/>
      <c r="AL2056" s="11" t="n"/>
      <c r="AN2056">
        <f>IF($E2056="","",IF(COUNTIF($E$2:$E2056,$E2056)=1,1,0))</f>
        <v/>
      </c>
      <c r="AO2056">
        <f>IF($AN2056=1,SUMPRODUCT(--($AR$2:$AR$3001&lt;$AR2056))+1,"")</f>
        <v/>
      </c>
      <c r="AP2056">
        <f>IF($E2056="","",IF(OR($U2056=TRUE(),$U2056="TRUE"),1,0))</f>
        <v/>
      </c>
      <c r="AQ2056">
        <f>IF($E2056="","",IF($AD2056="Yes",1,0))</f>
        <v/>
      </c>
      <c r="AR2056">
        <f>IF($AN2056=1,IFERROR(VALUE(MID($E2056,2,20)),1000000000)+ROW()/100000,"")</f>
        <v/>
      </c>
    </row>
    <row r="2057">
      <c r="G2057" s="11" t="n"/>
      <c r="Q2057" s="7">
        <f>IF($E2057="","",P2057*AB2057/100)</f>
        <v/>
      </c>
      <c r="R2057" s="7" t="n"/>
      <c r="X2057" s="7" t="n"/>
      <c r="Y2057" s="7">
        <f>IF($E2057="","",AB2057*AE2057/100)</f>
        <v/>
      </c>
      <c r="Z2057" s="7">
        <f>IF($E2057="","",AB2057-Y2057)</f>
        <v/>
      </c>
      <c r="AA2057" s="7">
        <f>IF($E2057="","",Z2057-Q2057)</f>
        <v/>
      </c>
      <c r="AB2057" s="7" t="n"/>
      <c r="AE2057">
        <f>IF($E2057="","",IF($AQ2057=1,0,IF($AP2057=1,Settings!$C$6,Settings!$C$7))*100)</f>
        <v/>
      </c>
      <c r="AI2057" s="7" t="n"/>
      <c r="AL2057" s="11" t="n"/>
      <c r="AN2057">
        <f>IF($E2057="","",IF(COUNTIF($E$2:$E2057,$E2057)=1,1,0))</f>
        <v/>
      </c>
      <c r="AO2057">
        <f>IF($AN2057=1,SUMPRODUCT(--($AR$2:$AR$3001&lt;$AR2057))+1,"")</f>
        <v/>
      </c>
      <c r="AP2057">
        <f>IF($E2057="","",IF(OR($U2057=TRUE(),$U2057="TRUE"),1,0))</f>
        <v/>
      </c>
      <c r="AQ2057">
        <f>IF($E2057="","",IF($AD2057="Yes",1,0))</f>
        <v/>
      </c>
      <c r="AR2057">
        <f>IF($AN2057=1,IFERROR(VALUE(MID($E2057,2,20)),1000000000)+ROW()/100000,"")</f>
        <v/>
      </c>
    </row>
    <row r="2058">
      <c r="G2058" s="11" t="n"/>
      <c r="Q2058" s="7">
        <f>IF($E2058="","",P2058*AB2058/100)</f>
        <v/>
      </c>
      <c r="R2058" s="7" t="n"/>
      <c r="X2058" s="7" t="n"/>
      <c r="Y2058" s="7">
        <f>IF($E2058="","",AB2058*AE2058/100)</f>
        <v/>
      </c>
      <c r="Z2058" s="7">
        <f>IF($E2058="","",AB2058-Y2058)</f>
        <v/>
      </c>
      <c r="AA2058" s="7">
        <f>IF($E2058="","",Z2058-Q2058)</f>
        <v/>
      </c>
      <c r="AB2058" s="7" t="n"/>
      <c r="AE2058">
        <f>IF($E2058="","",IF($AQ2058=1,0,IF($AP2058=1,Settings!$C$6,Settings!$C$7))*100)</f>
        <v/>
      </c>
      <c r="AI2058" s="7" t="n"/>
      <c r="AL2058" s="11" t="n"/>
      <c r="AN2058">
        <f>IF($E2058="","",IF(COUNTIF($E$2:$E2058,$E2058)=1,1,0))</f>
        <v/>
      </c>
      <c r="AO2058">
        <f>IF($AN2058=1,SUMPRODUCT(--($AR$2:$AR$3001&lt;$AR2058))+1,"")</f>
        <v/>
      </c>
      <c r="AP2058">
        <f>IF($E2058="","",IF(OR($U2058=TRUE(),$U2058="TRUE"),1,0))</f>
        <v/>
      </c>
      <c r="AQ2058">
        <f>IF($E2058="","",IF($AD2058="Yes",1,0))</f>
        <v/>
      </c>
      <c r="AR2058">
        <f>IF($AN2058=1,IFERROR(VALUE(MID($E2058,2,20)),1000000000)+ROW()/100000,"")</f>
        <v/>
      </c>
    </row>
    <row r="2059">
      <c r="G2059" s="11" t="n"/>
      <c r="Q2059" s="7">
        <f>IF($E2059="","",P2059*AB2059/100)</f>
        <v/>
      </c>
      <c r="R2059" s="7" t="n"/>
      <c r="X2059" s="7" t="n"/>
      <c r="Y2059" s="7">
        <f>IF($E2059="","",AB2059*AE2059/100)</f>
        <v/>
      </c>
      <c r="Z2059" s="7">
        <f>IF($E2059="","",AB2059-Y2059)</f>
        <v/>
      </c>
      <c r="AA2059" s="7">
        <f>IF($E2059="","",Z2059-Q2059)</f>
        <v/>
      </c>
      <c r="AB2059" s="7" t="n"/>
      <c r="AE2059">
        <f>IF($E2059="","",IF($AQ2059=1,0,IF($AP2059=1,Settings!$C$6,Settings!$C$7))*100)</f>
        <v/>
      </c>
      <c r="AI2059" s="7" t="n"/>
      <c r="AL2059" s="11" t="n"/>
      <c r="AN2059">
        <f>IF($E2059="","",IF(COUNTIF($E$2:$E2059,$E2059)=1,1,0))</f>
        <v/>
      </c>
      <c r="AO2059">
        <f>IF($AN2059=1,SUMPRODUCT(--($AR$2:$AR$3001&lt;$AR2059))+1,"")</f>
        <v/>
      </c>
      <c r="AP2059">
        <f>IF($E2059="","",IF(OR($U2059=TRUE(),$U2059="TRUE"),1,0))</f>
        <v/>
      </c>
      <c r="AQ2059">
        <f>IF($E2059="","",IF($AD2059="Yes",1,0))</f>
        <v/>
      </c>
      <c r="AR2059">
        <f>IF($AN2059=1,IFERROR(VALUE(MID($E2059,2,20)),1000000000)+ROW()/100000,"")</f>
        <v/>
      </c>
    </row>
    <row r="2060">
      <c r="G2060" s="11" t="n"/>
      <c r="Q2060" s="7">
        <f>IF($E2060="","",P2060*AB2060/100)</f>
        <v/>
      </c>
      <c r="R2060" s="7" t="n"/>
      <c r="X2060" s="7" t="n"/>
      <c r="Y2060" s="7">
        <f>IF($E2060="","",AB2060*AE2060/100)</f>
        <v/>
      </c>
      <c r="Z2060" s="7">
        <f>IF($E2060="","",AB2060-Y2060)</f>
        <v/>
      </c>
      <c r="AA2060" s="7">
        <f>IF($E2060="","",Z2060-Q2060)</f>
        <v/>
      </c>
      <c r="AB2060" s="7" t="n"/>
      <c r="AE2060">
        <f>IF($E2060="","",IF($AQ2060=1,0,IF($AP2060=1,Settings!$C$6,Settings!$C$7))*100)</f>
        <v/>
      </c>
      <c r="AI2060" s="7" t="n"/>
      <c r="AL2060" s="11" t="n"/>
      <c r="AN2060">
        <f>IF($E2060="","",IF(COUNTIF($E$2:$E2060,$E2060)=1,1,0))</f>
        <v/>
      </c>
      <c r="AO2060">
        <f>IF($AN2060=1,SUMPRODUCT(--($AR$2:$AR$3001&lt;$AR2060))+1,"")</f>
        <v/>
      </c>
      <c r="AP2060">
        <f>IF($E2060="","",IF(OR($U2060=TRUE(),$U2060="TRUE"),1,0))</f>
        <v/>
      </c>
      <c r="AQ2060">
        <f>IF($E2060="","",IF($AD2060="Yes",1,0))</f>
        <v/>
      </c>
      <c r="AR2060">
        <f>IF($AN2060=1,IFERROR(VALUE(MID($E2060,2,20)),1000000000)+ROW()/100000,"")</f>
        <v/>
      </c>
    </row>
    <row r="2061">
      <c r="G2061" s="11" t="n"/>
      <c r="Q2061" s="7">
        <f>IF($E2061="","",P2061*AB2061/100)</f>
        <v/>
      </c>
      <c r="R2061" s="7" t="n"/>
      <c r="X2061" s="7" t="n"/>
      <c r="Y2061" s="7">
        <f>IF($E2061="","",AB2061*AE2061/100)</f>
        <v/>
      </c>
      <c r="Z2061" s="7">
        <f>IF($E2061="","",AB2061-Y2061)</f>
        <v/>
      </c>
      <c r="AA2061" s="7">
        <f>IF($E2061="","",Z2061-Q2061)</f>
        <v/>
      </c>
      <c r="AB2061" s="7" t="n"/>
      <c r="AE2061">
        <f>IF($E2061="","",IF($AQ2061=1,0,IF($AP2061=1,Settings!$C$6,Settings!$C$7))*100)</f>
        <v/>
      </c>
      <c r="AI2061" s="7" t="n"/>
      <c r="AL2061" s="11" t="n"/>
      <c r="AN2061">
        <f>IF($E2061="","",IF(COUNTIF($E$2:$E2061,$E2061)=1,1,0))</f>
        <v/>
      </c>
      <c r="AO2061">
        <f>IF($AN2061=1,SUMPRODUCT(--($AR$2:$AR$3001&lt;$AR2061))+1,"")</f>
        <v/>
      </c>
      <c r="AP2061">
        <f>IF($E2061="","",IF(OR($U2061=TRUE(),$U2061="TRUE"),1,0))</f>
        <v/>
      </c>
      <c r="AQ2061">
        <f>IF($E2061="","",IF($AD2061="Yes",1,0))</f>
        <v/>
      </c>
      <c r="AR2061">
        <f>IF($AN2061=1,IFERROR(VALUE(MID($E2061,2,20)),1000000000)+ROW()/100000,"")</f>
        <v/>
      </c>
    </row>
    <row r="2062">
      <c r="G2062" s="11" t="n"/>
      <c r="Q2062" s="7">
        <f>IF($E2062="","",P2062*AB2062/100)</f>
        <v/>
      </c>
      <c r="R2062" s="7" t="n"/>
      <c r="X2062" s="7" t="n"/>
      <c r="Y2062" s="7">
        <f>IF($E2062="","",AB2062*AE2062/100)</f>
        <v/>
      </c>
      <c r="Z2062" s="7">
        <f>IF($E2062="","",AB2062-Y2062)</f>
        <v/>
      </c>
      <c r="AA2062" s="7">
        <f>IF($E2062="","",Z2062-Q2062)</f>
        <v/>
      </c>
      <c r="AB2062" s="7" t="n"/>
      <c r="AE2062">
        <f>IF($E2062="","",IF($AQ2062=1,0,IF($AP2062=1,Settings!$C$6,Settings!$C$7))*100)</f>
        <v/>
      </c>
      <c r="AI2062" s="7" t="n"/>
      <c r="AL2062" s="11" t="n"/>
      <c r="AN2062">
        <f>IF($E2062="","",IF(COUNTIF($E$2:$E2062,$E2062)=1,1,0))</f>
        <v/>
      </c>
      <c r="AO2062">
        <f>IF($AN2062=1,SUMPRODUCT(--($AR$2:$AR$3001&lt;$AR2062))+1,"")</f>
        <v/>
      </c>
      <c r="AP2062">
        <f>IF($E2062="","",IF(OR($U2062=TRUE(),$U2062="TRUE"),1,0))</f>
        <v/>
      </c>
      <c r="AQ2062">
        <f>IF($E2062="","",IF($AD2062="Yes",1,0))</f>
        <v/>
      </c>
      <c r="AR2062">
        <f>IF($AN2062=1,IFERROR(VALUE(MID($E2062,2,20)),1000000000)+ROW()/100000,"")</f>
        <v/>
      </c>
    </row>
    <row r="2063">
      <c r="G2063" s="11" t="n"/>
      <c r="Q2063" s="7">
        <f>IF($E2063="","",P2063*AB2063/100)</f>
        <v/>
      </c>
      <c r="R2063" s="7" t="n"/>
      <c r="X2063" s="7" t="n"/>
      <c r="Y2063" s="7">
        <f>IF($E2063="","",AB2063*AE2063/100)</f>
        <v/>
      </c>
      <c r="Z2063" s="7">
        <f>IF($E2063="","",AB2063-Y2063)</f>
        <v/>
      </c>
      <c r="AA2063" s="7">
        <f>IF($E2063="","",Z2063-Q2063)</f>
        <v/>
      </c>
      <c r="AB2063" s="7" t="n"/>
      <c r="AE2063">
        <f>IF($E2063="","",IF($AQ2063=1,0,IF($AP2063=1,Settings!$C$6,Settings!$C$7))*100)</f>
        <v/>
      </c>
      <c r="AI2063" s="7" t="n"/>
      <c r="AL2063" s="11" t="n"/>
      <c r="AN2063">
        <f>IF($E2063="","",IF(COUNTIF($E$2:$E2063,$E2063)=1,1,0))</f>
        <v/>
      </c>
      <c r="AO2063">
        <f>IF($AN2063=1,SUMPRODUCT(--($AR$2:$AR$3001&lt;$AR2063))+1,"")</f>
        <v/>
      </c>
      <c r="AP2063">
        <f>IF($E2063="","",IF(OR($U2063=TRUE(),$U2063="TRUE"),1,0))</f>
        <v/>
      </c>
      <c r="AQ2063">
        <f>IF($E2063="","",IF($AD2063="Yes",1,0))</f>
        <v/>
      </c>
      <c r="AR2063">
        <f>IF($AN2063=1,IFERROR(VALUE(MID($E2063,2,20)),1000000000)+ROW()/100000,"")</f>
        <v/>
      </c>
    </row>
    <row r="2064">
      <c r="G2064" s="11" t="n"/>
      <c r="Q2064" s="7">
        <f>IF($E2064="","",P2064*AB2064/100)</f>
        <v/>
      </c>
      <c r="R2064" s="7" t="n"/>
      <c r="X2064" s="7" t="n"/>
      <c r="Y2064" s="7">
        <f>IF($E2064="","",AB2064*AE2064/100)</f>
        <v/>
      </c>
      <c r="Z2064" s="7">
        <f>IF($E2064="","",AB2064-Y2064)</f>
        <v/>
      </c>
      <c r="AA2064" s="7">
        <f>IF($E2064="","",Z2064-Q2064)</f>
        <v/>
      </c>
      <c r="AB2064" s="7" t="n"/>
      <c r="AE2064">
        <f>IF($E2064="","",IF($AQ2064=1,0,IF($AP2064=1,Settings!$C$6,Settings!$C$7))*100)</f>
        <v/>
      </c>
      <c r="AI2064" s="7" t="n"/>
      <c r="AL2064" s="11" t="n"/>
      <c r="AN2064">
        <f>IF($E2064="","",IF(COUNTIF($E$2:$E2064,$E2064)=1,1,0))</f>
        <v/>
      </c>
      <c r="AO2064">
        <f>IF($AN2064=1,SUMPRODUCT(--($AR$2:$AR$3001&lt;$AR2064))+1,"")</f>
        <v/>
      </c>
      <c r="AP2064">
        <f>IF($E2064="","",IF(OR($U2064=TRUE(),$U2064="TRUE"),1,0))</f>
        <v/>
      </c>
      <c r="AQ2064">
        <f>IF($E2064="","",IF($AD2064="Yes",1,0))</f>
        <v/>
      </c>
      <c r="AR2064">
        <f>IF($AN2064=1,IFERROR(VALUE(MID($E2064,2,20)),1000000000)+ROW()/100000,"")</f>
        <v/>
      </c>
    </row>
    <row r="2065">
      <c r="G2065" s="11" t="n"/>
      <c r="Q2065" s="7">
        <f>IF($E2065="","",P2065*AB2065/100)</f>
        <v/>
      </c>
      <c r="R2065" s="7" t="n"/>
      <c r="X2065" s="7" t="n"/>
      <c r="Y2065" s="7">
        <f>IF($E2065="","",AB2065*AE2065/100)</f>
        <v/>
      </c>
      <c r="Z2065" s="7">
        <f>IF($E2065="","",AB2065-Y2065)</f>
        <v/>
      </c>
      <c r="AA2065" s="7">
        <f>IF($E2065="","",Z2065-Q2065)</f>
        <v/>
      </c>
      <c r="AB2065" s="7" t="n"/>
      <c r="AE2065">
        <f>IF($E2065="","",IF($AQ2065=1,0,IF($AP2065=1,Settings!$C$6,Settings!$C$7))*100)</f>
        <v/>
      </c>
      <c r="AI2065" s="7" t="n"/>
      <c r="AL2065" s="11" t="n"/>
      <c r="AN2065">
        <f>IF($E2065="","",IF(COUNTIF($E$2:$E2065,$E2065)=1,1,0))</f>
        <v/>
      </c>
      <c r="AO2065">
        <f>IF($AN2065=1,SUMPRODUCT(--($AR$2:$AR$3001&lt;$AR2065))+1,"")</f>
        <v/>
      </c>
      <c r="AP2065">
        <f>IF($E2065="","",IF(OR($U2065=TRUE(),$U2065="TRUE"),1,0))</f>
        <v/>
      </c>
      <c r="AQ2065">
        <f>IF($E2065="","",IF($AD2065="Yes",1,0))</f>
        <v/>
      </c>
      <c r="AR2065">
        <f>IF($AN2065=1,IFERROR(VALUE(MID($E2065,2,20)),1000000000)+ROW()/100000,"")</f>
        <v/>
      </c>
    </row>
    <row r="2066">
      <c r="G2066" s="11" t="n"/>
      <c r="Q2066" s="7">
        <f>IF($E2066="","",P2066*AB2066/100)</f>
        <v/>
      </c>
      <c r="R2066" s="7" t="n"/>
      <c r="X2066" s="7" t="n"/>
      <c r="Y2066" s="7">
        <f>IF($E2066="","",AB2066*AE2066/100)</f>
        <v/>
      </c>
      <c r="Z2066" s="7">
        <f>IF($E2066="","",AB2066-Y2066)</f>
        <v/>
      </c>
      <c r="AA2066" s="7">
        <f>IF($E2066="","",Z2066-Q2066)</f>
        <v/>
      </c>
      <c r="AB2066" s="7" t="n"/>
      <c r="AE2066">
        <f>IF($E2066="","",IF($AQ2066=1,0,IF($AP2066=1,Settings!$C$6,Settings!$C$7))*100)</f>
        <v/>
      </c>
      <c r="AI2066" s="7" t="n"/>
      <c r="AL2066" s="11" t="n"/>
      <c r="AN2066">
        <f>IF($E2066="","",IF(COUNTIF($E$2:$E2066,$E2066)=1,1,0))</f>
        <v/>
      </c>
      <c r="AO2066">
        <f>IF($AN2066=1,SUMPRODUCT(--($AR$2:$AR$3001&lt;$AR2066))+1,"")</f>
        <v/>
      </c>
      <c r="AP2066">
        <f>IF($E2066="","",IF(OR($U2066=TRUE(),$U2066="TRUE"),1,0))</f>
        <v/>
      </c>
      <c r="AQ2066">
        <f>IF($E2066="","",IF($AD2066="Yes",1,0))</f>
        <v/>
      </c>
      <c r="AR2066">
        <f>IF($AN2066=1,IFERROR(VALUE(MID($E2066,2,20)),1000000000)+ROW()/100000,"")</f>
        <v/>
      </c>
    </row>
    <row r="2067">
      <c r="G2067" s="11" t="n"/>
      <c r="Q2067" s="7">
        <f>IF($E2067="","",P2067*AB2067/100)</f>
        <v/>
      </c>
      <c r="R2067" s="7" t="n"/>
      <c r="X2067" s="7" t="n"/>
      <c r="Y2067" s="7">
        <f>IF($E2067="","",AB2067*AE2067/100)</f>
        <v/>
      </c>
      <c r="Z2067" s="7">
        <f>IF($E2067="","",AB2067-Y2067)</f>
        <v/>
      </c>
      <c r="AA2067" s="7">
        <f>IF($E2067="","",Z2067-Q2067)</f>
        <v/>
      </c>
      <c r="AB2067" s="7" t="n"/>
      <c r="AE2067">
        <f>IF($E2067="","",IF($AQ2067=1,0,IF($AP2067=1,Settings!$C$6,Settings!$C$7))*100)</f>
        <v/>
      </c>
      <c r="AI2067" s="7" t="n"/>
      <c r="AL2067" s="11" t="n"/>
      <c r="AN2067">
        <f>IF($E2067="","",IF(COUNTIF($E$2:$E2067,$E2067)=1,1,0))</f>
        <v/>
      </c>
      <c r="AO2067">
        <f>IF($AN2067=1,SUMPRODUCT(--($AR$2:$AR$3001&lt;$AR2067))+1,"")</f>
        <v/>
      </c>
      <c r="AP2067">
        <f>IF($E2067="","",IF(OR($U2067=TRUE(),$U2067="TRUE"),1,0))</f>
        <v/>
      </c>
      <c r="AQ2067">
        <f>IF($E2067="","",IF($AD2067="Yes",1,0))</f>
        <v/>
      </c>
      <c r="AR2067">
        <f>IF($AN2067=1,IFERROR(VALUE(MID($E2067,2,20)),1000000000)+ROW()/100000,"")</f>
        <v/>
      </c>
    </row>
    <row r="2068">
      <c r="G2068" s="11" t="n"/>
      <c r="Q2068" s="7">
        <f>IF($E2068="","",P2068*AB2068/100)</f>
        <v/>
      </c>
      <c r="R2068" s="7" t="n"/>
      <c r="X2068" s="7" t="n"/>
      <c r="Y2068" s="7">
        <f>IF($E2068="","",AB2068*AE2068/100)</f>
        <v/>
      </c>
      <c r="Z2068" s="7">
        <f>IF($E2068="","",AB2068-Y2068)</f>
        <v/>
      </c>
      <c r="AA2068" s="7">
        <f>IF($E2068="","",Z2068-Q2068)</f>
        <v/>
      </c>
      <c r="AB2068" s="7" t="n"/>
      <c r="AE2068">
        <f>IF($E2068="","",IF($AQ2068=1,0,IF($AP2068=1,Settings!$C$6,Settings!$C$7))*100)</f>
        <v/>
      </c>
      <c r="AI2068" s="7" t="n"/>
      <c r="AL2068" s="11" t="n"/>
      <c r="AN2068">
        <f>IF($E2068="","",IF(COUNTIF($E$2:$E2068,$E2068)=1,1,0))</f>
        <v/>
      </c>
      <c r="AO2068">
        <f>IF($AN2068=1,SUMPRODUCT(--($AR$2:$AR$3001&lt;$AR2068))+1,"")</f>
        <v/>
      </c>
      <c r="AP2068">
        <f>IF($E2068="","",IF(OR($U2068=TRUE(),$U2068="TRUE"),1,0))</f>
        <v/>
      </c>
      <c r="AQ2068">
        <f>IF($E2068="","",IF($AD2068="Yes",1,0))</f>
        <v/>
      </c>
      <c r="AR2068">
        <f>IF($AN2068=1,IFERROR(VALUE(MID($E2068,2,20)),1000000000)+ROW()/100000,"")</f>
        <v/>
      </c>
    </row>
    <row r="2069">
      <c r="G2069" s="11" t="n"/>
      <c r="Q2069" s="7">
        <f>IF($E2069="","",P2069*AB2069/100)</f>
        <v/>
      </c>
      <c r="R2069" s="7" t="n"/>
      <c r="X2069" s="7" t="n"/>
      <c r="Y2069" s="7">
        <f>IF($E2069="","",AB2069*AE2069/100)</f>
        <v/>
      </c>
      <c r="Z2069" s="7">
        <f>IF($E2069="","",AB2069-Y2069)</f>
        <v/>
      </c>
      <c r="AA2069" s="7">
        <f>IF($E2069="","",Z2069-Q2069)</f>
        <v/>
      </c>
      <c r="AB2069" s="7" t="n"/>
      <c r="AE2069">
        <f>IF($E2069="","",IF($AQ2069=1,0,IF($AP2069=1,Settings!$C$6,Settings!$C$7))*100)</f>
        <v/>
      </c>
      <c r="AI2069" s="7" t="n"/>
      <c r="AL2069" s="11" t="n"/>
      <c r="AN2069">
        <f>IF($E2069="","",IF(COUNTIF($E$2:$E2069,$E2069)=1,1,0))</f>
        <v/>
      </c>
      <c r="AO2069">
        <f>IF($AN2069=1,SUMPRODUCT(--($AR$2:$AR$3001&lt;$AR2069))+1,"")</f>
        <v/>
      </c>
      <c r="AP2069">
        <f>IF($E2069="","",IF(OR($U2069=TRUE(),$U2069="TRUE"),1,0))</f>
        <v/>
      </c>
      <c r="AQ2069">
        <f>IF($E2069="","",IF($AD2069="Yes",1,0))</f>
        <v/>
      </c>
      <c r="AR2069">
        <f>IF($AN2069=1,IFERROR(VALUE(MID($E2069,2,20)),1000000000)+ROW()/100000,"")</f>
        <v/>
      </c>
    </row>
    <row r="2070">
      <c r="G2070" s="11" t="n"/>
      <c r="Q2070" s="7">
        <f>IF($E2070="","",P2070*AB2070/100)</f>
        <v/>
      </c>
      <c r="R2070" s="7" t="n"/>
      <c r="X2070" s="7" t="n"/>
      <c r="Y2070" s="7">
        <f>IF($E2070="","",AB2070*AE2070/100)</f>
        <v/>
      </c>
      <c r="Z2070" s="7">
        <f>IF($E2070="","",AB2070-Y2070)</f>
        <v/>
      </c>
      <c r="AA2070" s="7">
        <f>IF($E2070="","",Z2070-Q2070)</f>
        <v/>
      </c>
      <c r="AB2070" s="7" t="n"/>
      <c r="AE2070">
        <f>IF($E2070="","",IF($AQ2070=1,0,IF($AP2070=1,Settings!$C$6,Settings!$C$7))*100)</f>
        <v/>
      </c>
      <c r="AI2070" s="7" t="n"/>
      <c r="AL2070" s="11" t="n"/>
      <c r="AN2070">
        <f>IF($E2070="","",IF(COUNTIF($E$2:$E2070,$E2070)=1,1,0))</f>
        <v/>
      </c>
      <c r="AO2070">
        <f>IF($AN2070=1,SUMPRODUCT(--($AR$2:$AR$3001&lt;$AR2070))+1,"")</f>
        <v/>
      </c>
      <c r="AP2070">
        <f>IF($E2070="","",IF(OR($U2070=TRUE(),$U2070="TRUE"),1,0))</f>
        <v/>
      </c>
      <c r="AQ2070">
        <f>IF($E2070="","",IF($AD2070="Yes",1,0))</f>
        <v/>
      </c>
      <c r="AR2070">
        <f>IF($AN2070=1,IFERROR(VALUE(MID($E2070,2,20)),1000000000)+ROW()/100000,"")</f>
        <v/>
      </c>
    </row>
    <row r="2071">
      <c r="G2071" s="11" t="n"/>
      <c r="Q2071" s="7">
        <f>IF($E2071="","",P2071*AB2071/100)</f>
        <v/>
      </c>
      <c r="R2071" s="7" t="n"/>
      <c r="X2071" s="7" t="n"/>
      <c r="Y2071" s="7">
        <f>IF($E2071="","",AB2071*AE2071/100)</f>
        <v/>
      </c>
      <c r="Z2071" s="7">
        <f>IF($E2071="","",AB2071-Y2071)</f>
        <v/>
      </c>
      <c r="AA2071" s="7">
        <f>IF($E2071="","",Z2071-Q2071)</f>
        <v/>
      </c>
      <c r="AB2071" s="7" t="n"/>
      <c r="AE2071">
        <f>IF($E2071="","",IF($AQ2071=1,0,IF($AP2071=1,Settings!$C$6,Settings!$C$7))*100)</f>
        <v/>
      </c>
      <c r="AI2071" s="7" t="n"/>
      <c r="AL2071" s="11" t="n"/>
      <c r="AN2071">
        <f>IF($E2071="","",IF(COUNTIF($E$2:$E2071,$E2071)=1,1,0))</f>
        <v/>
      </c>
      <c r="AO2071">
        <f>IF($AN2071=1,SUMPRODUCT(--($AR$2:$AR$3001&lt;$AR2071))+1,"")</f>
        <v/>
      </c>
      <c r="AP2071">
        <f>IF($E2071="","",IF(OR($U2071=TRUE(),$U2071="TRUE"),1,0))</f>
        <v/>
      </c>
      <c r="AQ2071">
        <f>IF($E2071="","",IF($AD2071="Yes",1,0))</f>
        <v/>
      </c>
      <c r="AR2071">
        <f>IF($AN2071=1,IFERROR(VALUE(MID($E2071,2,20)),1000000000)+ROW()/100000,"")</f>
        <v/>
      </c>
    </row>
    <row r="2072">
      <c r="G2072" s="11" t="n"/>
      <c r="Q2072" s="7">
        <f>IF($E2072="","",P2072*AB2072/100)</f>
        <v/>
      </c>
      <c r="R2072" s="7" t="n"/>
      <c r="X2072" s="7" t="n"/>
      <c r="Y2072" s="7">
        <f>IF($E2072="","",AB2072*AE2072/100)</f>
        <v/>
      </c>
      <c r="Z2072" s="7">
        <f>IF($E2072="","",AB2072-Y2072)</f>
        <v/>
      </c>
      <c r="AA2072" s="7">
        <f>IF($E2072="","",Z2072-Q2072)</f>
        <v/>
      </c>
      <c r="AB2072" s="7" t="n"/>
      <c r="AE2072">
        <f>IF($E2072="","",IF($AQ2072=1,0,IF($AP2072=1,Settings!$C$6,Settings!$C$7))*100)</f>
        <v/>
      </c>
      <c r="AI2072" s="7" t="n"/>
      <c r="AL2072" s="11" t="n"/>
      <c r="AN2072">
        <f>IF($E2072="","",IF(COUNTIF($E$2:$E2072,$E2072)=1,1,0))</f>
        <v/>
      </c>
      <c r="AO2072">
        <f>IF($AN2072=1,SUMPRODUCT(--($AR$2:$AR$3001&lt;$AR2072))+1,"")</f>
        <v/>
      </c>
      <c r="AP2072">
        <f>IF($E2072="","",IF(OR($U2072=TRUE(),$U2072="TRUE"),1,0))</f>
        <v/>
      </c>
      <c r="AQ2072">
        <f>IF($E2072="","",IF($AD2072="Yes",1,0))</f>
        <v/>
      </c>
      <c r="AR2072">
        <f>IF($AN2072=1,IFERROR(VALUE(MID($E2072,2,20)),1000000000)+ROW()/100000,"")</f>
        <v/>
      </c>
    </row>
    <row r="2073">
      <c r="G2073" s="11" t="n"/>
      <c r="Q2073" s="7">
        <f>IF($E2073="","",P2073*AB2073/100)</f>
        <v/>
      </c>
      <c r="R2073" s="7" t="n"/>
      <c r="X2073" s="7" t="n"/>
      <c r="Y2073" s="7">
        <f>IF($E2073="","",AB2073*AE2073/100)</f>
        <v/>
      </c>
      <c r="Z2073" s="7">
        <f>IF($E2073="","",AB2073-Y2073)</f>
        <v/>
      </c>
      <c r="AA2073" s="7">
        <f>IF($E2073="","",Z2073-Q2073)</f>
        <v/>
      </c>
      <c r="AB2073" s="7" t="n"/>
      <c r="AE2073">
        <f>IF($E2073="","",IF($AQ2073=1,0,IF($AP2073=1,Settings!$C$6,Settings!$C$7))*100)</f>
        <v/>
      </c>
      <c r="AI2073" s="7" t="n"/>
      <c r="AL2073" s="11" t="n"/>
      <c r="AN2073">
        <f>IF($E2073="","",IF(COUNTIF($E$2:$E2073,$E2073)=1,1,0))</f>
        <v/>
      </c>
      <c r="AO2073">
        <f>IF($AN2073=1,SUMPRODUCT(--($AR$2:$AR$3001&lt;$AR2073))+1,"")</f>
        <v/>
      </c>
      <c r="AP2073">
        <f>IF($E2073="","",IF(OR($U2073=TRUE(),$U2073="TRUE"),1,0))</f>
        <v/>
      </c>
      <c r="AQ2073">
        <f>IF($E2073="","",IF($AD2073="Yes",1,0))</f>
        <v/>
      </c>
      <c r="AR2073">
        <f>IF($AN2073=1,IFERROR(VALUE(MID($E2073,2,20)),1000000000)+ROW()/100000,"")</f>
        <v/>
      </c>
    </row>
    <row r="2074">
      <c r="G2074" s="11" t="n"/>
      <c r="Q2074" s="7">
        <f>IF($E2074="","",P2074*AB2074/100)</f>
        <v/>
      </c>
      <c r="R2074" s="7" t="n"/>
      <c r="X2074" s="7" t="n"/>
      <c r="Y2074" s="7">
        <f>IF($E2074="","",AB2074*AE2074/100)</f>
        <v/>
      </c>
      <c r="Z2074" s="7">
        <f>IF($E2074="","",AB2074-Y2074)</f>
        <v/>
      </c>
      <c r="AA2074" s="7">
        <f>IF($E2074="","",Z2074-Q2074)</f>
        <v/>
      </c>
      <c r="AB2074" s="7" t="n"/>
      <c r="AE2074">
        <f>IF($E2074="","",IF($AQ2074=1,0,IF($AP2074=1,Settings!$C$6,Settings!$C$7))*100)</f>
        <v/>
      </c>
      <c r="AI2074" s="7" t="n"/>
      <c r="AL2074" s="11" t="n"/>
      <c r="AN2074">
        <f>IF($E2074="","",IF(COUNTIF($E$2:$E2074,$E2074)=1,1,0))</f>
        <v/>
      </c>
      <c r="AO2074">
        <f>IF($AN2074=1,SUMPRODUCT(--($AR$2:$AR$3001&lt;$AR2074))+1,"")</f>
        <v/>
      </c>
      <c r="AP2074">
        <f>IF($E2074="","",IF(OR($U2074=TRUE(),$U2074="TRUE"),1,0))</f>
        <v/>
      </c>
      <c r="AQ2074">
        <f>IF($E2074="","",IF($AD2074="Yes",1,0))</f>
        <v/>
      </c>
      <c r="AR2074">
        <f>IF($AN2074=1,IFERROR(VALUE(MID($E2074,2,20)),1000000000)+ROW()/100000,"")</f>
        <v/>
      </c>
    </row>
    <row r="2075">
      <c r="G2075" s="11" t="n"/>
      <c r="Q2075" s="7">
        <f>IF($E2075="","",P2075*AB2075/100)</f>
        <v/>
      </c>
      <c r="R2075" s="7" t="n"/>
      <c r="X2075" s="7" t="n"/>
      <c r="Y2075" s="7">
        <f>IF($E2075="","",AB2075*AE2075/100)</f>
        <v/>
      </c>
      <c r="Z2075" s="7">
        <f>IF($E2075="","",AB2075-Y2075)</f>
        <v/>
      </c>
      <c r="AA2075" s="7">
        <f>IF($E2075="","",Z2075-Q2075)</f>
        <v/>
      </c>
      <c r="AB2075" s="7" t="n"/>
      <c r="AE2075">
        <f>IF($E2075="","",IF($AQ2075=1,0,IF($AP2075=1,Settings!$C$6,Settings!$C$7))*100)</f>
        <v/>
      </c>
      <c r="AI2075" s="7" t="n"/>
      <c r="AL2075" s="11" t="n"/>
      <c r="AN2075">
        <f>IF($E2075="","",IF(COUNTIF($E$2:$E2075,$E2075)=1,1,0))</f>
        <v/>
      </c>
      <c r="AO2075">
        <f>IF($AN2075=1,SUMPRODUCT(--($AR$2:$AR$3001&lt;$AR2075))+1,"")</f>
        <v/>
      </c>
      <c r="AP2075">
        <f>IF($E2075="","",IF(OR($U2075=TRUE(),$U2075="TRUE"),1,0))</f>
        <v/>
      </c>
      <c r="AQ2075">
        <f>IF($E2075="","",IF($AD2075="Yes",1,0))</f>
        <v/>
      </c>
      <c r="AR2075">
        <f>IF($AN2075=1,IFERROR(VALUE(MID($E2075,2,20)),1000000000)+ROW()/100000,"")</f>
        <v/>
      </c>
    </row>
    <row r="2076">
      <c r="G2076" s="11" t="n"/>
      <c r="Q2076" s="7">
        <f>IF($E2076="","",P2076*AB2076/100)</f>
        <v/>
      </c>
      <c r="R2076" s="7" t="n"/>
      <c r="X2076" s="7" t="n"/>
      <c r="Y2076" s="7">
        <f>IF($E2076="","",AB2076*AE2076/100)</f>
        <v/>
      </c>
      <c r="Z2076" s="7">
        <f>IF($E2076="","",AB2076-Y2076)</f>
        <v/>
      </c>
      <c r="AA2076" s="7">
        <f>IF($E2076="","",Z2076-Q2076)</f>
        <v/>
      </c>
      <c r="AB2076" s="7" t="n"/>
      <c r="AE2076">
        <f>IF($E2076="","",IF($AQ2076=1,0,IF($AP2076=1,Settings!$C$6,Settings!$C$7))*100)</f>
        <v/>
      </c>
      <c r="AI2076" s="7" t="n"/>
      <c r="AL2076" s="11" t="n"/>
      <c r="AN2076">
        <f>IF($E2076="","",IF(COUNTIF($E$2:$E2076,$E2076)=1,1,0))</f>
        <v/>
      </c>
      <c r="AO2076">
        <f>IF($AN2076=1,SUMPRODUCT(--($AR$2:$AR$3001&lt;$AR2076))+1,"")</f>
        <v/>
      </c>
      <c r="AP2076">
        <f>IF($E2076="","",IF(OR($U2076=TRUE(),$U2076="TRUE"),1,0))</f>
        <v/>
      </c>
      <c r="AQ2076">
        <f>IF($E2076="","",IF($AD2076="Yes",1,0))</f>
        <v/>
      </c>
      <c r="AR2076">
        <f>IF($AN2076=1,IFERROR(VALUE(MID($E2076,2,20)),1000000000)+ROW()/100000,"")</f>
        <v/>
      </c>
    </row>
    <row r="2077">
      <c r="G2077" s="11" t="n"/>
      <c r="Q2077" s="7">
        <f>IF($E2077="","",P2077*AB2077/100)</f>
        <v/>
      </c>
      <c r="R2077" s="7" t="n"/>
      <c r="X2077" s="7" t="n"/>
      <c r="Y2077" s="7">
        <f>IF($E2077="","",AB2077*AE2077/100)</f>
        <v/>
      </c>
      <c r="Z2077" s="7">
        <f>IF($E2077="","",AB2077-Y2077)</f>
        <v/>
      </c>
      <c r="AA2077" s="7">
        <f>IF($E2077="","",Z2077-Q2077)</f>
        <v/>
      </c>
      <c r="AB2077" s="7" t="n"/>
      <c r="AE2077">
        <f>IF($E2077="","",IF($AQ2077=1,0,IF($AP2077=1,Settings!$C$6,Settings!$C$7))*100)</f>
        <v/>
      </c>
      <c r="AI2077" s="7" t="n"/>
      <c r="AL2077" s="11" t="n"/>
      <c r="AN2077">
        <f>IF($E2077="","",IF(COUNTIF($E$2:$E2077,$E2077)=1,1,0))</f>
        <v/>
      </c>
      <c r="AO2077">
        <f>IF($AN2077=1,SUMPRODUCT(--($AR$2:$AR$3001&lt;$AR2077))+1,"")</f>
        <v/>
      </c>
      <c r="AP2077">
        <f>IF($E2077="","",IF(OR($U2077=TRUE(),$U2077="TRUE"),1,0))</f>
        <v/>
      </c>
      <c r="AQ2077">
        <f>IF($E2077="","",IF($AD2077="Yes",1,0))</f>
        <v/>
      </c>
      <c r="AR2077">
        <f>IF($AN2077=1,IFERROR(VALUE(MID($E2077,2,20)),1000000000)+ROW()/100000,"")</f>
        <v/>
      </c>
    </row>
    <row r="2078">
      <c r="G2078" s="11" t="n"/>
      <c r="Q2078" s="7">
        <f>IF($E2078="","",P2078*AB2078/100)</f>
        <v/>
      </c>
      <c r="R2078" s="7" t="n"/>
      <c r="X2078" s="7" t="n"/>
      <c r="Y2078" s="7">
        <f>IF($E2078="","",AB2078*AE2078/100)</f>
        <v/>
      </c>
      <c r="Z2078" s="7">
        <f>IF($E2078="","",AB2078-Y2078)</f>
        <v/>
      </c>
      <c r="AA2078" s="7">
        <f>IF($E2078="","",Z2078-Q2078)</f>
        <v/>
      </c>
      <c r="AB2078" s="7" t="n"/>
      <c r="AE2078">
        <f>IF($E2078="","",IF($AQ2078=1,0,IF($AP2078=1,Settings!$C$6,Settings!$C$7))*100)</f>
        <v/>
      </c>
      <c r="AI2078" s="7" t="n"/>
      <c r="AL2078" s="11" t="n"/>
      <c r="AN2078">
        <f>IF($E2078="","",IF(COUNTIF($E$2:$E2078,$E2078)=1,1,0))</f>
        <v/>
      </c>
      <c r="AO2078">
        <f>IF($AN2078=1,SUMPRODUCT(--($AR$2:$AR$3001&lt;$AR2078))+1,"")</f>
        <v/>
      </c>
      <c r="AP2078">
        <f>IF($E2078="","",IF(OR($U2078=TRUE(),$U2078="TRUE"),1,0))</f>
        <v/>
      </c>
      <c r="AQ2078">
        <f>IF($E2078="","",IF($AD2078="Yes",1,0))</f>
        <v/>
      </c>
      <c r="AR2078">
        <f>IF($AN2078=1,IFERROR(VALUE(MID($E2078,2,20)),1000000000)+ROW()/100000,"")</f>
        <v/>
      </c>
    </row>
    <row r="2079">
      <c r="G2079" s="11" t="n"/>
      <c r="Q2079" s="7">
        <f>IF($E2079="","",P2079*AB2079/100)</f>
        <v/>
      </c>
      <c r="R2079" s="7" t="n"/>
      <c r="X2079" s="7" t="n"/>
      <c r="Y2079" s="7">
        <f>IF($E2079="","",AB2079*AE2079/100)</f>
        <v/>
      </c>
      <c r="Z2079" s="7">
        <f>IF($E2079="","",AB2079-Y2079)</f>
        <v/>
      </c>
      <c r="AA2079" s="7">
        <f>IF($E2079="","",Z2079-Q2079)</f>
        <v/>
      </c>
      <c r="AB2079" s="7" t="n"/>
      <c r="AE2079">
        <f>IF($E2079="","",IF($AQ2079=1,0,IF($AP2079=1,Settings!$C$6,Settings!$C$7))*100)</f>
        <v/>
      </c>
      <c r="AI2079" s="7" t="n"/>
      <c r="AL2079" s="11" t="n"/>
      <c r="AN2079">
        <f>IF($E2079="","",IF(COUNTIF($E$2:$E2079,$E2079)=1,1,0))</f>
        <v/>
      </c>
      <c r="AO2079">
        <f>IF($AN2079=1,SUMPRODUCT(--($AR$2:$AR$3001&lt;$AR2079))+1,"")</f>
        <v/>
      </c>
      <c r="AP2079">
        <f>IF($E2079="","",IF(OR($U2079=TRUE(),$U2079="TRUE"),1,0))</f>
        <v/>
      </c>
      <c r="AQ2079">
        <f>IF($E2079="","",IF($AD2079="Yes",1,0))</f>
        <v/>
      </c>
      <c r="AR2079">
        <f>IF($AN2079=1,IFERROR(VALUE(MID($E2079,2,20)),1000000000)+ROW()/100000,"")</f>
        <v/>
      </c>
    </row>
    <row r="2080">
      <c r="G2080" s="11" t="n"/>
      <c r="Q2080" s="7">
        <f>IF($E2080="","",P2080*AB2080/100)</f>
        <v/>
      </c>
      <c r="R2080" s="7" t="n"/>
      <c r="X2080" s="7" t="n"/>
      <c r="Y2080" s="7">
        <f>IF($E2080="","",AB2080*AE2080/100)</f>
        <v/>
      </c>
      <c r="Z2080" s="7">
        <f>IF($E2080="","",AB2080-Y2080)</f>
        <v/>
      </c>
      <c r="AA2080" s="7">
        <f>IF($E2080="","",Z2080-Q2080)</f>
        <v/>
      </c>
      <c r="AB2080" s="7" t="n"/>
      <c r="AE2080">
        <f>IF($E2080="","",IF($AQ2080=1,0,IF($AP2080=1,Settings!$C$6,Settings!$C$7))*100)</f>
        <v/>
      </c>
      <c r="AI2080" s="7" t="n"/>
      <c r="AL2080" s="11" t="n"/>
      <c r="AN2080">
        <f>IF($E2080="","",IF(COUNTIF($E$2:$E2080,$E2080)=1,1,0))</f>
        <v/>
      </c>
      <c r="AO2080">
        <f>IF($AN2080=1,SUMPRODUCT(--($AR$2:$AR$3001&lt;$AR2080))+1,"")</f>
        <v/>
      </c>
      <c r="AP2080">
        <f>IF($E2080="","",IF(OR($U2080=TRUE(),$U2080="TRUE"),1,0))</f>
        <v/>
      </c>
      <c r="AQ2080">
        <f>IF($E2080="","",IF($AD2080="Yes",1,0))</f>
        <v/>
      </c>
      <c r="AR2080">
        <f>IF($AN2080=1,IFERROR(VALUE(MID($E2080,2,20)),1000000000)+ROW()/100000,"")</f>
        <v/>
      </c>
    </row>
    <row r="2081">
      <c r="G2081" s="11" t="n"/>
      <c r="Q2081" s="7">
        <f>IF($E2081="","",P2081*AB2081/100)</f>
        <v/>
      </c>
      <c r="R2081" s="7" t="n"/>
      <c r="X2081" s="7" t="n"/>
      <c r="Y2081" s="7">
        <f>IF($E2081="","",AB2081*AE2081/100)</f>
        <v/>
      </c>
      <c r="Z2081" s="7">
        <f>IF($E2081="","",AB2081-Y2081)</f>
        <v/>
      </c>
      <c r="AA2081" s="7">
        <f>IF($E2081="","",Z2081-Q2081)</f>
        <v/>
      </c>
      <c r="AB2081" s="7" t="n"/>
      <c r="AE2081">
        <f>IF($E2081="","",IF($AQ2081=1,0,IF($AP2081=1,Settings!$C$6,Settings!$C$7))*100)</f>
        <v/>
      </c>
      <c r="AI2081" s="7" t="n"/>
      <c r="AL2081" s="11" t="n"/>
      <c r="AN2081">
        <f>IF($E2081="","",IF(COUNTIF($E$2:$E2081,$E2081)=1,1,0))</f>
        <v/>
      </c>
      <c r="AO2081">
        <f>IF($AN2081=1,SUMPRODUCT(--($AR$2:$AR$3001&lt;$AR2081))+1,"")</f>
        <v/>
      </c>
      <c r="AP2081">
        <f>IF($E2081="","",IF(OR($U2081=TRUE(),$U2081="TRUE"),1,0))</f>
        <v/>
      </c>
      <c r="AQ2081">
        <f>IF($E2081="","",IF($AD2081="Yes",1,0))</f>
        <v/>
      </c>
      <c r="AR2081">
        <f>IF($AN2081=1,IFERROR(VALUE(MID($E2081,2,20)),1000000000)+ROW()/100000,"")</f>
        <v/>
      </c>
    </row>
    <row r="2082">
      <c r="G2082" s="11" t="n"/>
      <c r="Q2082" s="7">
        <f>IF($E2082="","",P2082*AB2082/100)</f>
        <v/>
      </c>
      <c r="R2082" s="7" t="n"/>
      <c r="X2082" s="7" t="n"/>
      <c r="Y2082" s="7">
        <f>IF($E2082="","",AB2082*AE2082/100)</f>
        <v/>
      </c>
      <c r="Z2082" s="7">
        <f>IF($E2082="","",AB2082-Y2082)</f>
        <v/>
      </c>
      <c r="AA2082" s="7">
        <f>IF($E2082="","",Z2082-Q2082)</f>
        <v/>
      </c>
      <c r="AB2082" s="7" t="n"/>
      <c r="AE2082">
        <f>IF($E2082="","",IF($AQ2082=1,0,IF($AP2082=1,Settings!$C$6,Settings!$C$7))*100)</f>
        <v/>
      </c>
      <c r="AI2082" s="7" t="n"/>
      <c r="AL2082" s="11" t="n"/>
      <c r="AN2082">
        <f>IF($E2082="","",IF(COUNTIF($E$2:$E2082,$E2082)=1,1,0))</f>
        <v/>
      </c>
      <c r="AO2082">
        <f>IF($AN2082=1,SUMPRODUCT(--($AR$2:$AR$3001&lt;$AR2082))+1,"")</f>
        <v/>
      </c>
      <c r="AP2082">
        <f>IF($E2082="","",IF(OR($U2082=TRUE(),$U2082="TRUE"),1,0))</f>
        <v/>
      </c>
      <c r="AQ2082">
        <f>IF($E2082="","",IF($AD2082="Yes",1,0))</f>
        <v/>
      </c>
      <c r="AR2082">
        <f>IF($AN2082=1,IFERROR(VALUE(MID($E2082,2,20)),1000000000)+ROW()/100000,"")</f>
        <v/>
      </c>
    </row>
    <row r="2083">
      <c r="G2083" s="11" t="n"/>
      <c r="Q2083" s="7">
        <f>IF($E2083="","",P2083*AB2083/100)</f>
        <v/>
      </c>
      <c r="R2083" s="7" t="n"/>
      <c r="X2083" s="7" t="n"/>
      <c r="Y2083" s="7">
        <f>IF($E2083="","",AB2083*AE2083/100)</f>
        <v/>
      </c>
      <c r="Z2083" s="7">
        <f>IF($E2083="","",AB2083-Y2083)</f>
        <v/>
      </c>
      <c r="AA2083" s="7">
        <f>IF($E2083="","",Z2083-Q2083)</f>
        <v/>
      </c>
      <c r="AB2083" s="7" t="n"/>
      <c r="AE2083">
        <f>IF($E2083="","",IF($AQ2083=1,0,IF($AP2083=1,Settings!$C$6,Settings!$C$7))*100)</f>
        <v/>
      </c>
      <c r="AI2083" s="7" t="n"/>
      <c r="AL2083" s="11" t="n"/>
      <c r="AN2083">
        <f>IF($E2083="","",IF(COUNTIF($E$2:$E2083,$E2083)=1,1,0))</f>
        <v/>
      </c>
      <c r="AO2083">
        <f>IF($AN2083=1,SUMPRODUCT(--($AR$2:$AR$3001&lt;$AR2083))+1,"")</f>
        <v/>
      </c>
      <c r="AP2083">
        <f>IF($E2083="","",IF(OR($U2083=TRUE(),$U2083="TRUE"),1,0))</f>
        <v/>
      </c>
      <c r="AQ2083">
        <f>IF($E2083="","",IF($AD2083="Yes",1,0))</f>
        <v/>
      </c>
      <c r="AR2083">
        <f>IF($AN2083=1,IFERROR(VALUE(MID($E2083,2,20)),1000000000)+ROW()/100000,"")</f>
        <v/>
      </c>
    </row>
    <row r="2084">
      <c r="G2084" s="11" t="n"/>
      <c r="Q2084" s="7">
        <f>IF($E2084="","",P2084*AB2084/100)</f>
        <v/>
      </c>
      <c r="R2084" s="7" t="n"/>
      <c r="X2084" s="7" t="n"/>
      <c r="Y2084" s="7">
        <f>IF($E2084="","",AB2084*AE2084/100)</f>
        <v/>
      </c>
      <c r="Z2084" s="7">
        <f>IF($E2084="","",AB2084-Y2084)</f>
        <v/>
      </c>
      <c r="AA2084" s="7">
        <f>IF($E2084="","",Z2084-Q2084)</f>
        <v/>
      </c>
      <c r="AB2084" s="7" t="n"/>
      <c r="AE2084">
        <f>IF($E2084="","",IF($AQ2084=1,0,IF($AP2084=1,Settings!$C$6,Settings!$C$7))*100)</f>
        <v/>
      </c>
      <c r="AI2084" s="7" t="n"/>
      <c r="AL2084" s="11" t="n"/>
      <c r="AN2084">
        <f>IF($E2084="","",IF(COUNTIF($E$2:$E2084,$E2084)=1,1,0))</f>
        <v/>
      </c>
      <c r="AO2084">
        <f>IF($AN2084=1,SUMPRODUCT(--($AR$2:$AR$3001&lt;$AR2084))+1,"")</f>
        <v/>
      </c>
      <c r="AP2084">
        <f>IF($E2084="","",IF(OR($U2084=TRUE(),$U2084="TRUE"),1,0))</f>
        <v/>
      </c>
      <c r="AQ2084">
        <f>IF($E2084="","",IF($AD2084="Yes",1,0))</f>
        <v/>
      </c>
      <c r="AR2084">
        <f>IF($AN2084=1,IFERROR(VALUE(MID($E2084,2,20)),1000000000)+ROW()/100000,"")</f>
        <v/>
      </c>
    </row>
    <row r="2085">
      <c r="G2085" s="11" t="n"/>
      <c r="Q2085" s="7">
        <f>IF($E2085="","",P2085*AB2085/100)</f>
        <v/>
      </c>
      <c r="R2085" s="7" t="n"/>
      <c r="X2085" s="7" t="n"/>
      <c r="Y2085" s="7">
        <f>IF($E2085="","",AB2085*AE2085/100)</f>
        <v/>
      </c>
      <c r="Z2085" s="7">
        <f>IF($E2085="","",AB2085-Y2085)</f>
        <v/>
      </c>
      <c r="AA2085" s="7">
        <f>IF($E2085="","",Z2085-Q2085)</f>
        <v/>
      </c>
      <c r="AB2085" s="7" t="n"/>
      <c r="AE2085">
        <f>IF($E2085="","",IF($AQ2085=1,0,IF($AP2085=1,Settings!$C$6,Settings!$C$7))*100)</f>
        <v/>
      </c>
      <c r="AI2085" s="7" t="n"/>
      <c r="AL2085" s="11" t="n"/>
      <c r="AN2085">
        <f>IF($E2085="","",IF(COUNTIF($E$2:$E2085,$E2085)=1,1,0))</f>
        <v/>
      </c>
      <c r="AO2085">
        <f>IF($AN2085=1,SUMPRODUCT(--($AR$2:$AR$3001&lt;$AR2085))+1,"")</f>
        <v/>
      </c>
      <c r="AP2085">
        <f>IF($E2085="","",IF(OR($U2085=TRUE(),$U2085="TRUE"),1,0))</f>
        <v/>
      </c>
      <c r="AQ2085">
        <f>IF($E2085="","",IF($AD2085="Yes",1,0))</f>
        <v/>
      </c>
      <c r="AR2085">
        <f>IF($AN2085=1,IFERROR(VALUE(MID($E2085,2,20)),1000000000)+ROW()/100000,"")</f>
        <v/>
      </c>
    </row>
    <row r="2086">
      <c r="G2086" s="11" t="n"/>
      <c r="Q2086" s="7">
        <f>IF($E2086="","",P2086*AB2086/100)</f>
        <v/>
      </c>
      <c r="R2086" s="7" t="n"/>
      <c r="X2086" s="7" t="n"/>
      <c r="Y2086" s="7">
        <f>IF($E2086="","",AB2086*AE2086/100)</f>
        <v/>
      </c>
      <c r="Z2086" s="7">
        <f>IF($E2086="","",AB2086-Y2086)</f>
        <v/>
      </c>
      <c r="AA2086" s="7">
        <f>IF($E2086="","",Z2086-Q2086)</f>
        <v/>
      </c>
      <c r="AB2086" s="7" t="n"/>
      <c r="AE2086">
        <f>IF($E2086="","",IF($AQ2086=1,0,IF($AP2086=1,Settings!$C$6,Settings!$C$7))*100)</f>
        <v/>
      </c>
      <c r="AI2086" s="7" t="n"/>
      <c r="AL2086" s="11" t="n"/>
      <c r="AN2086">
        <f>IF($E2086="","",IF(COUNTIF($E$2:$E2086,$E2086)=1,1,0))</f>
        <v/>
      </c>
      <c r="AO2086">
        <f>IF($AN2086=1,SUMPRODUCT(--($AR$2:$AR$3001&lt;$AR2086))+1,"")</f>
        <v/>
      </c>
      <c r="AP2086">
        <f>IF($E2086="","",IF(OR($U2086=TRUE(),$U2086="TRUE"),1,0))</f>
        <v/>
      </c>
      <c r="AQ2086">
        <f>IF($E2086="","",IF($AD2086="Yes",1,0))</f>
        <v/>
      </c>
      <c r="AR2086">
        <f>IF($AN2086=1,IFERROR(VALUE(MID($E2086,2,20)),1000000000)+ROW()/100000,"")</f>
        <v/>
      </c>
    </row>
    <row r="2087">
      <c r="G2087" s="11" t="n"/>
      <c r="Q2087" s="7">
        <f>IF($E2087="","",P2087*AB2087/100)</f>
        <v/>
      </c>
      <c r="R2087" s="7" t="n"/>
      <c r="X2087" s="7" t="n"/>
      <c r="Y2087" s="7">
        <f>IF($E2087="","",AB2087*AE2087/100)</f>
        <v/>
      </c>
      <c r="Z2087" s="7">
        <f>IF($E2087="","",AB2087-Y2087)</f>
        <v/>
      </c>
      <c r="AA2087" s="7">
        <f>IF($E2087="","",Z2087-Q2087)</f>
        <v/>
      </c>
      <c r="AB2087" s="7" t="n"/>
      <c r="AE2087">
        <f>IF($E2087="","",IF($AQ2087=1,0,IF($AP2087=1,Settings!$C$6,Settings!$C$7))*100)</f>
        <v/>
      </c>
      <c r="AI2087" s="7" t="n"/>
      <c r="AL2087" s="11" t="n"/>
      <c r="AN2087">
        <f>IF($E2087="","",IF(COUNTIF($E$2:$E2087,$E2087)=1,1,0))</f>
        <v/>
      </c>
      <c r="AO2087">
        <f>IF($AN2087=1,SUMPRODUCT(--($AR$2:$AR$3001&lt;$AR2087))+1,"")</f>
        <v/>
      </c>
      <c r="AP2087">
        <f>IF($E2087="","",IF(OR($U2087=TRUE(),$U2087="TRUE"),1,0))</f>
        <v/>
      </c>
      <c r="AQ2087">
        <f>IF($E2087="","",IF($AD2087="Yes",1,0))</f>
        <v/>
      </c>
      <c r="AR2087">
        <f>IF($AN2087=1,IFERROR(VALUE(MID($E2087,2,20)),1000000000)+ROW()/100000,"")</f>
        <v/>
      </c>
    </row>
    <row r="2088">
      <c r="G2088" s="11" t="n"/>
      <c r="Q2088" s="7">
        <f>IF($E2088="","",P2088*AB2088/100)</f>
        <v/>
      </c>
      <c r="R2088" s="7" t="n"/>
      <c r="X2088" s="7" t="n"/>
      <c r="Y2088" s="7">
        <f>IF($E2088="","",AB2088*AE2088/100)</f>
        <v/>
      </c>
      <c r="Z2088" s="7">
        <f>IF($E2088="","",AB2088-Y2088)</f>
        <v/>
      </c>
      <c r="AA2088" s="7">
        <f>IF($E2088="","",Z2088-Q2088)</f>
        <v/>
      </c>
      <c r="AB2088" s="7" t="n"/>
      <c r="AE2088">
        <f>IF($E2088="","",IF($AQ2088=1,0,IF($AP2088=1,Settings!$C$6,Settings!$C$7))*100)</f>
        <v/>
      </c>
      <c r="AI2088" s="7" t="n"/>
      <c r="AL2088" s="11" t="n"/>
      <c r="AN2088">
        <f>IF($E2088="","",IF(COUNTIF($E$2:$E2088,$E2088)=1,1,0))</f>
        <v/>
      </c>
      <c r="AO2088">
        <f>IF($AN2088=1,SUMPRODUCT(--($AR$2:$AR$3001&lt;$AR2088))+1,"")</f>
        <v/>
      </c>
      <c r="AP2088">
        <f>IF($E2088="","",IF(OR($U2088=TRUE(),$U2088="TRUE"),1,0))</f>
        <v/>
      </c>
      <c r="AQ2088">
        <f>IF($E2088="","",IF($AD2088="Yes",1,0))</f>
        <v/>
      </c>
      <c r="AR2088">
        <f>IF($AN2088=1,IFERROR(VALUE(MID($E2088,2,20)),1000000000)+ROW()/100000,"")</f>
        <v/>
      </c>
    </row>
    <row r="2089">
      <c r="G2089" s="11" t="n"/>
      <c r="Q2089" s="7">
        <f>IF($E2089="","",P2089*AB2089/100)</f>
        <v/>
      </c>
      <c r="R2089" s="7" t="n"/>
      <c r="X2089" s="7" t="n"/>
      <c r="Y2089" s="7">
        <f>IF($E2089="","",AB2089*AE2089/100)</f>
        <v/>
      </c>
      <c r="Z2089" s="7">
        <f>IF($E2089="","",AB2089-Y2089)</f>
        <v/>
      </c>
      <c r="AA2089" s="7">
        <f>IF($E2089="","",Z2089-Q2089)</f>
        <v/>
      </c>
      <c r="AB2089" s="7" t="n"/>
      <c r="AE2089">
        <f>IF($E2089="","",IF($AQ2089=1,0,IF($AP2089=1,Settings!$C$6,Settings!$C$7))*100)</f>
        <v/>
      </c>
      <c r="AI2089" s="7" t="n"/>
      <c r="AL2089" s="11" t="n"/>
      <c r="AN2089">
        <f>IF($E2089="","",IF(COUNTIF($E$2:$E2089,$E2089)=1,1,0))</f>
        <v/>
      </c>
      <c r="AO2089">
        <f>IF($AN2089=1,SUMPRODUCT(--($AR$2:$AR$3001&lt;$AR2089))+1,"")</f>
        <v/>
      </c>
      <c r="AP2089">
        <f>IF($E2089="","",IF(OR($U2089=TRUE(),$U2089="TRUE"),1,0))</f>
        <v/>
      </c>
      <c r="AQ2089">
        <f>IF($E2089="","",IF($AD2089="Yes",1,0))</f>
        <v/>
      </c>
      <c r="AR2089">
        <f>IF($AN2089=1,IFERROR(VALUE(MID($E2089,2,20)),1000000000)+ROW()/100000,"")</f>
        <v/>
      </c>
    </row>
    <row r="2090">
      <c r="G2090" s="11" t="n"/>
      <c r="Q2090" s="7">
        <f>IF($E2090="","",P2090*AB2090/100)</f>
        <v/>
      </c>
      <c r="R2090" s="7" t="n"/>
      <c r="X2090" s="7" t="n"/>
      <c r="Y2090" s="7">
        <f>IF($E2090="","",AB2090*AE2090/100)</f>
        <v/>
      </c>
      <c r="Z2090" s="7">
        <f>IF($E2090="","",AB2090-Y2090)</f>
        <v/>
      </c>
      <c r="AA2090" s="7">
        <f>IF($E2090="","",Z2090-Q2090)</f>
        <v/>
      </c>
      <c r="AB2090" s="7" t="n"/>
      <c r="AE2090">
        <f>IF($E2090="","",IF($AQ2090=1,0,IF($AP2090=1,Settings!$C$6,Settings!$C$7))*100)</f>
        <v/>
      </c>
      <c r="AI2090" s="7" t="n"/>
      <c r="AL2090" s="11" t="n"/>
      <c r="AN2090">
        <f>IF($E2090="","",IF(COUNTIF($E$2:$E2090,$E2090)=1,1,0))</f>
        <v/>
      </c>
      <c r="AO2090">
        <f>IF($AN2090=1,SUMPRODUCT(--($AR$2:$AR$3001&lt;$AR2090))+1,"")</f>
        <v/>
      </c>
      <c r="AP2090">
        <f>IF($E2090="","",IF(OR($U2090=TRUE(),$U2090="TRUE"),1,0))</f>
        <v/>
      </c>
      <c r="AQ2090">
        <f>IF($E2090="","",IF($AD2090="Yes",1,0))</f>
        <v/>
      </c>
      <c r="AR2090">
        <f>IF($AN2090=1,IFERROR(VALUE(MID($E2090,2,20)),1000000000)+ROW()/100000,"")</f>
        <v/>
      </c>
    </row>
    <row r="2091">
      <c r="G2091" s="11" t="n"/>
      <c r="Q2091" s="7">
        <f>IF($E2091="","",P2091*AB2091/100)</f>
        <v/>
      </c>
      <c r="R2091" s="7" t="n"/>
      <c r="X2091" s="7" t="n"/>
      <c r="Y2091" s="7">
        <f>IF($E2091="","",AB2091*AE2091/100)</f>
        <v/>
      </c>
      <c r="Z2091" s="7">
        <f>IF($E2091="","",AB2091-Y2091)</f>
        <v/>
      </c>
      <c r="AA2091" s="7">
        <f>IF($E2091="","",Z2091-Q2091)</f>
        <v/>
      </c>
      <c r="AB2091" s="7" t="n"/>
      <c r="AE2091">
        <f>IF($E2091="","",IF($AQ2091=1,0,IF($AP2091=1,Settings!$C$6,Settings!$C$7))*100)</f>
        <v/>
      </c>
      <c r="AI2091" s="7" t="n"/>
      <c r="AL2091" s="11" t="n"/>
      <c r="AN2091">
        <f>IF($E2091="","",IF(COUNTIF($E$2:$E2091,$E2091)=1,1,0))</f>
        <v/>
      </c>
      <c r="AO2091">
        <f>IF($AN2091=1,SUMPRODUCT(--($AR$2:$AR$3001&lt;$AR2091))+1,"")</f>
        <v/>
      </c>
      <c r="AP2091">
        <f>IF($E2091="","",IF(OR($U2091=TRUE(),$U2091="TRUE"),1,0))</f>
        <v/>
      </c>
      <c r="AQ2091">
        <f>IF($E2091="","",IF($AD2091="Yes",1,0))</f>
        <v/>
      </c>
      <c r="AR2091">
        <f>IF($AN2091=1,IFERROR(VALUE(MID($E2091,2,20)),1000000000)+ROW()/100000,"")</f>
        <v/>
      </c>
    </row>
    <row r="2092">
      <c r="G2092" s="11" t="n"/>
      <c r="Q2092" s="7">
        <f>IF($E2092="","",P2092*AB2092/100)</f>
        <v/>
      </c>
      <c r="R2092" s="7" t="n"/>
      <c r="X2092" s="7" t="n"/>
      <c r="Y2092" s="7">
        <f>IF($E2092="","",AB2092*AE2092/100)</f>
        <v/>
      </c>
      <c r="Z2092" s="7">
        <f>IF($E2092="","",AB2092-Y2092)</f>
        <v/>
      </c>
      <c r="AA2092" s="7">
        <f>IF($E2092="","",Z2092-Q2092)</f>
        <v/>
      </c>
      <c r="AB2092" s="7" t="n"/>
      <c r="AE2092">
        <f>IF($E2092="","",IF($AQ2092=1,0,IF($AP2092=1,Settings!$C$6,Settings!$C$7))*100)</f>
        <v/>
      </c>
      <c r="AI2092" s="7" t="n"/>
      <c r="AL2092" s="11" t="n"/>
      <c r="AN2092">
        <f>IF($E2092="","",IF(COUNTIF($E$2:$E2092,$E2092)=1,1,0))</f>
        <v/>
      </c>
      <c r="AO2092">
        <f>IF($AN2092=1,SUMPRODUCT(--($AR$2:$AR$3001&lt;$AR2092))+1,"")</f>
        <v/>
      </c>
      <c r="AP2092">
        <f>IF($E2092="","",IF(OR($U2092=TRUE(),$U2092="TRUE"),1,0))</f>
        <v/>
      </c>
      <c r="AQ2092">
        <f>IF($E2092="","",IF($AD2092="Yes",1,0))</f>
        <v/>
      </c>
      <c r="AR2092">
        <f>IF($AN2092=1,IFERROR(VALUE(MID($E2092,2,20)),1000000000)+ROW()/100000,"")</f>
        <v/>
      </c>
    </row>
    <row r="2093">
      <c r="G2093" s="11" t="n"/>
      <c r="Q2093" s="7">
        <f>IF($E2093="","",P2093*AB2093/100)</f>
        <v/>
      </c>
      <c r="R2093" s="7" t="n"/>
      <c r="X2093" s="7" t="n"/>
      <c r="Y2093" s="7">
        <f>IF($E2093="","",AB2093*AE2093/100)</f>
        <v/>
      </c>
      <c r="Z2093" s="7">
        <f>IF($E2093="","",AB2093-Y2093)</f>
        <v/>
      </c>
      <c r="AA2093" s="7">
        <f>IF($E2093="","",Z2093-Q2093)</f>
        <v/>
      </c>
      <c r="AB2093" s="7" t="n"/>
      <c r="AE2093">
        <f>IF($E2093="","",IF($AQ2093=1,0,IF($AP2093=1,Settings!$C$6,Settings!$C$7))*100)</f>
        <v/>
      </c>
      <c r="AI2093" s="7" t="n"/>
      <c r="AL2093" s="11" t="n"/>
      <c r="AN2093">
        <f>IF($E2093="","",IF(COUNTIF($E$2:$E2093,$E2093)=1,1,0))</f>
        <v/>
      </c>
      <c r="AO2093">
        <f>IF($AN2093=1,SUMPRODUCT(--($AR$2:$AR$3001&lt;$AR2093))+1,"")</f>
        <v/>
      </c>
      <c r="AP2093">
        <f>IF($E2093="","",IF(OR($U2093=TRUE(),$U2093="TRUE"),1,0))</f>
        <v/>
      </c>
      <c r="AQ2093">
        <f>IF($E2093="","",IF($AD2093="Yes",1,0))</f>
        <v/>
      </c>
      <c r="AR2093">
        <f>IF($AN2093=1,IFERROR(VALUE(MID($E2093,2,20)),1000000000)+ROW()/100000,"")</f>
        <v/>
      </c>
    </row>
    <row r="2094">
      <c r="G2094" s="11" t="n"/>
      <c r="Q2094" s="7">
        <f>IF($E2094="","",P2094*AB2094/100)</f>
        <v/>
      </c>
      <c r="R2094" s="7" t="n"/>
      <c r="X2094" s="7" t="n"/>
      <c r="Y2094" s="7">
        <f>IF($E2094="","",AB2094*AE2094/100)</f>
        <v/>
      </c>
      <c r="Z2094" s="7">
        <f>IF($E2094="","",AB2094-Y2094)</f>
        <v/>
      </c>
      <c r="AA2094" s="7">
        <f>IF($E2094="","",Z2094-Q2094)</f>
        <v/>
      </c>
      <c r="AB2094" s="7" t="n"/>
      <c r="AE2094">
        <f>IF($E2094="","",IF($AQ2094=1,0,IF($AP2094=1,Settings!$C$6,Settings!$C$7))*100)</f>
        <v/>
      </c>
      <c r="AI2094" s="7" t="n"/>
      <c r="AL2094" s="11" t="n"/>
      <c r="AN2094">
        <f>IF($E2094="","",IF(COUNTIF($E$2:$E2094,$E2094)=1,1,0))</f>
        <v/>
      </c>
      <c r="AO2094">
        <f>IF($AN2094=1,SUMPRODUCT(--($AR$2:$AR$3001&lt;$AR2094))+1,"")</f>
        <v/>
      </c>
      <c r="AP2094">
        <f>IF($E2094="","",IF(OR($U2094=TRUE(),$U2094="TRUE"),1,0))</f>
        <v/>
      </c>
      <c r="AQ2094">
        <f>IF($E2094="","",IF($AD2094="Yes",1,0))</f>
        <v/>
      </c>
      <c r="AR2094">
        <f>IF($AN2094=1,IFERROR(VALUE(MID($E2094,2,20)),1000000000)+ROW()/100000,"")</f>
        <v/>
      </c>
    </row>
    <row r="2095">
      <c r="G2095" s="11" t="n"/>
      <c r="Q2095" s="7">
        <f>IF($E2095="","",P2095*AB2095/100)</f>
        <v/>
      </c>
      <c r="R2095" s="7" t="n"/>
      <c r="X2095" s="7" t="n"/>
      <c r="Y2095" s="7">
        <f>IF($E2095="","",AB2095*AE2095/100)</f>
        <v/>
      </c>
      <c r="Z2095" s="7">
        <f>IF($E2095="","",AB2095-Y2095)</f>
        <v/>
      </c>
      <c r="AA2095" s="7">
        <f>IF($E2095="","",Z2095-Q2095)</f>
        <v/>
      </c>
      <c r="AB2095" s="7" t="n"/>
      <c r="AE2095">
        <f>IF($E2095="","",IF($AQ2095=1,0,IF($AP2095=1,Settings!$C$6,Settings!$C$7))*100)</f>
        <v/>
      </c>
      <c r="AI2095" s="7" t="n"/>
      <c r="AL2095" s="11" t="n"/>
      <c r="AN2095">
        <f>IF($E2095="","",IF(COUNTIF($E$2:$E2095,$E2095)=1,1,0))</f>
        <v/>
      </c>
      <c r="AO2095">
        <f>IF($AN2095=1,SUMPRODUCT(--($AR$2:$AR$3001&lt;$AR2095))+1,"")</f>
        <v/>
      </c>
      <c r="AP2095">
        <f>IF($E2095="","",IF(OR($U2095=TRUE(),$U2095="TRUE"),1,0))</f>
        <v/>
      </c>
      <c r="AQ2095">
        <f>IF($E2095="","",IF($AD2095="Yes",1,0))</f>
        <v/>
      </c>
      <c r="AR2095">
        <f>IF($AN2095=1,IFERROR(VALUE(MID($E2095,2,20)),1000000000)+ROW()/100000,"")</f>
        <v/>
      </c>
    </row>
    <row r="2096">
      <c r="G2096" s="11" t="n"/>
      <c r="Q2096" s="7">
        <f>IF($E2096="","",P2096*AB2096/100)</f>
        <v/>
      </c>
      <c r="R2096" s="7" t="n"/>
      <c r="X2096" s="7" t="n"/>
      <c r="Y2096" s="7">
        <f>IF($E2096="","",AB2096*AE2096/100)</f>
        <v/>
      </c>
      <c r="Z2096" s="7">
        <f>IF($E2096="","",AB2096-Y2096)</f>
        <v/>
      </c>
      <c r="AA2096" s="7">
        <f>IF($E2096="","",Z2096-Q2096)</f>
        <v/>
      </c>
      <c r="AB2096" s="7" t="n"/>
      <c r="AE2096">
        <f>IF($E2096="","",IF($AQ2096=1,0,IF($AP2096=1,Settings!$C$6,Settings!$C$7))*100)</f>
        <v/>
      </c>
      <c r="AI2096" s="7" t="n"/>
      <c r="AL2096" s="11" t="n"/>
      <c r="AN2096">
        <f>IF($E2096="","",IF(COUNTIF($E$2:$E2096,$E2096)=1,1,0))</f>
        <v/>
      </c>
      <c r="AO2096">
        <f>IF($AN2096=1,SUMPRODUCT(--($AR$2:$AR$3001&lt;$AR2096))+1,"")</f>
        <v/>
      </c>
      <c r="AP2096">
        <f>IF($E2096="","",IF(OR($U2096=TRUE(),$U2096="TRUE"),1,0))</f>
        <v/>
      </c>
      <c r="AQ2096">
        <f>IF($E2096="","",IF($AD2096="Yes",1,0))</f>
        <v/>
      </c>
      <c r="AR2096">
        <f>IF($AN2096=1,IFERROR(VALUE(MID($E2096,2,20)),1000000000)+ROW()/100000,"")</f>
        <v/>
      </c>
    </row>
    <row r="2097">
      <c r="G2097" s="11" t="n"/>
      <c r="Q2097" s="7">
        <f>IF($E2097="","",P2097*AB2097/100)</f>
        <v/>
      </c>
      <c r="R2097" s="7" t="n"/>
      <c r="X2097" s="7" t="n"/>
      <c r="Y2097" s="7">
        <f>IF($E2097="","",AB2097*AE2097/100)</f>
        <v/>
      </c>
      <c r="Z2097" s="7">
        <f>IF($E2097="","",AB2097-Y2097)</f>
        <v/>
      </c>
      <c r="AA2097" s="7">
        <f>IF($E2097="","",Z2097-Q2097)</f>
        <v/>
      </c>
      <c r="AB2097" s="7" t="n"/>
      <c r="AE2097">
        <f>IF($E2097="","",IF($AQ2097=1,0,IF($AP2097=1,Settings!$C$6,Settings!$C$7))*100)</f>
        <v/>
      </c>
      <c r="AI2097" s="7" t="n"/>
      <c r="AL2097" s="11" t="n"/>
      <c r="AN2097">
        <f>IF($E2097="","",IF(COUNTIF($E$2:$E2097,$E2097)=1,1,0))</f>
        <v/>
      </c>
      <c r="AO2097">
        <f>IF($AN2097=1,SUMPRODUCT(--($AR$2:$AR$3001&lt;$AR2097))+1,"")</f>
        <v/>
      </c>
      <c r="AP2097">
        <f>IF($E2097="","",IF(OR($U2097=TRUE(),$U2097="TRUE"),1,0))</f>
        <v/>
      </c>
      <c r="AQ2097">
        <f>IF($E2097="","",IF($AD2097="Yes",1,0))</f>
        <v/>
      </c>
      <c r="AR2097">
        <f>IF($AN2097=1,IFERROR(VALUE(MID($E2097,2,20)),1000000000)+ROW()/100000,"")</f>
        <v/>
      </c>
    </row>
    <row r="2098">
      <c r="G2098" s="11" t="n"/>
      <c r="Q2098" s="7">
        <f>IF($E2098="","",P2098*AB2098/100)</f>
        <v/>
      </c>
      <c r="R2098" s="7" t="n"/>
      <c r="X2098" s="7" t="n"/>
      <c r="Y2098" s="7">
        <f>IF($E2098="","",AB2098*AE2098/100)</f>
        <v/>
      </c>
      <c r="Z2098" s="7">
        <f>IF($E2098="","",AB2098-Y2098)</f>
        <v/>
      </c>
      <c r="AA2098" s="7">
        <f>IF($E2098="","",Z2098-Q2098)</f>
        <v/>
      </c>
      <c r="AB2098" s="7" t="n"/>
      <c r="AE2098">
        <f>IF($E2098="","",IF($AQ2098=1,0,IF($AP2098=1,Settings!$C$6,Settings!$C$7))*100)</f>
        <v/>
      </c>
      <c r="AI2098" s="7" t="n"/>
      <c r="AL2098" s="11" t="n"/>
      <c r="AN2098">
        <f>IF($E2098="","",IF(COUNTIF($E$2:$E2098,$E2098)=1,1,0))</f>
        <v/>
      </c>
      <c r="AO2098">
        <f>IF($AN2098=1,SUMPRODUCT(--($AR$2:$AR$3001&lt;$AR2098))+1,"")</f>
        <v/>
      </c>
      <c r="AP2098">
        <f>IF($E2098="","",IF(OR($U2098=TRUE(),$U2098="TRUE"),1,0))</f>
        <v/>
      </c>
      <c r="AQ2098">
        <f>IF($E2098="","",IF($AD2098="Yes",1,0))</f>
        <v/>
      </c>
      <c r="AR2098">
        <f>IF($AN2098=1,IFERROR(VALUE(MID($E2098,2,20)),1000000000)+ROW()/100000,"")</f>
        <v/>
      </c>
    </row>
    <row r="2099">
      <c r="G2099" s="11" t="n"/>
      <c r="Q2099" s="7">
        <f>IF($E2099="","",P2099*AB2099/100)</f>
        <v/>
      </c>
      <c r="R2099" s="7" t="n"/>
      <c r="X2099" s="7" t="n"/>
      <c r="Y2099" s="7">
        <f>IF($E2099="","",AB2099*AE2099/100)</f>
        <v/>
      </c>
      <c r="Z2099" s="7">
        <f>IF($E2099="","",AB2099-Y2099)</f>
        <v/>
      </c>
      <c r="AA2099" s="7">
        <f>IF($E2099="","",Z2099-Q2099)</f>
        <v/>
      </c>
      <c r="AB2099" s="7" t="n"/>
      <c r="AE2099">
        <f>IF($E2099="","",IF($AQ2099=1,0,IF($AP2099=1,Settings!$C$6,Settings!$C$7))*100)</f>
        <v/>
      </c>
      <c r="AI2099" s="7" t="n"/>
      <c r="AL2099" s="11" t="n"/>
      <c r="AN2099">
        <f>IF($E2099="","",IF(COUNTIF($E$2:$E2099,$E2099)=1,1,0))</f>
        <v/>
      </c>
      <c r="AO2099">
        <f>IF($AN2099=1,SUMPRODUCT(--($AR$2:$AR$3001&lt;$AR2099))+1,"")</f>
        <v/>
      </c>
      <c r="AP2099">
        <f>IF($E2099="","",IF(OR($U2099=TRUE(),$U2099="TRUE"),1,0))</f>
        <v/>
      </c>
      <c r="AQ2099">
        <f>IF($E2099="","",IF($AD2099="Yes",1,0))</f>
        <v/>
      </c>
      <c r="AR2099">
        <f>IF($AN2099=1,IFERROR(VALUE(MID($E2099,2,20)),1000000000)+ROW()/100000,"")</f>
        <v/>
      </c>
    </row>
    <row r="2100">
      <c r="G2100" s="11" t="n"/>
      <c r="Q2100" s="7">
        <f>IF($E2100="","",P2100*AB2100/100)</f>
        <v/>
      </c>
      <c r="R2100" s="7" t="n"/>
      <c r="X2100" s="7" t="n"/>
      <c r="Y2100" s="7">
        <f>IF($E2100="","",AB2100*AE2100/100)</f>
        <v/>
      </c>
      <c r="Z2100" s="7">
        <f>IF($E2100="","",AB2100-Y2100)</f>
        <v/>
      </c>
      <c r="AA2100" s="7">
        <f>IF($E2100="","",Z2100-Q2100)</f>
        <v/>
      </c>
      <c r="AB2100" s="7" t="n"/>
      <c r="AE2100">
        <f>IF($E2100="","",IF($AQ2100=1,0,IF($AP2100=1,Settings!$C$6,Settings!$C$7))*100)</f>
        <v/>
      </c>
      <c r="AI2100" s="7" t="n"/>
      <c r="AL2100" s="11" t="n"/>
      <c r="AN2100">
        <f>IF($E2100="","",IF(COUNTIF($E$2:$E2100,$E2100)=1,1,0))</f>
        <v/>
      </c>
      <c r="AO2100">
        <f>IF($AN2100=1,SUMPRODUCT(--($AR$2:$AR$3001&lt;$AR2100))+1,"")</f>
        <v/>
      </c>
      <c r="AP2100">
        <f>IF($E2100="","",IF(OR($U2100=TRUE(),$U2100="TRUE"),1,0))</f>
        <v/>
      </c>
      <c r="AQ2100">
        <f>IF($E2100="","",IF($AD2100="Yes",1,0))</f>
        <v/>
      </c>
      <c r="AR2100">
        <f>IF($AN2100=1,IFERROR(VALUE(MID($E2100,2,20)),1000000000)+ROW()/100000,"")</f>
        <v/>
      </c>
    </row>
    <row r="2101">
      <c r="G2101" s="11" t="n"/>
      <c r="Q2101" s="7">
        <f>IF($E2101="","",P2101*AB2101/100)</f>
        <v/>
      </c>
      <c r="R2101" s="7" t="n"/>
      <c r="X2101" s="7" t="n"/>
      <c r="Y2101" s="7">
        <f>IF($E2101="","",AB2101*AE2101/100)</f>
        <v/>
      </c>
      <c r="Z2101" s="7">
        <f>IF($E2101="","",AB2101-Y2101)</f>
        <v/>
      </c>
      <c r="AA2101" s="7">
        <f>IF($E2101="","",Z2101-Q2101)</f>
        <v/>
      </c>
      <c r="AB2101" s="7" t="n"/>
      <c r="AE2101">
        <f>IF($E2101="","",IF($AQ2101=1,0,IF($AP2101=1,Settings!$C$6,Settings!$C$7))*100)</f>
        <v/>
      </c>
      <c r="AI2101" s="7" t="n"/>
      <c r="AL2101" s="11" t="n"/>
      <c r="AN2101">
        <f>IF($E2101="","",IF(COUNTIF($E$2:$E2101,$E2101)=1,1,0))</f>
        <v/>
      </c>
      <c r="AO2101">
        <f>IF($AN2101=1,SUMPRODUCT(--($AR$2:$AR$3001&lt;$AR2101))+1,"")</f>
        <v/>
      </c>
      <c r="AP2101">
        <f>IF($E2101="","",IF(OR($U2101=TRUE(),$U2101="TRUE"),1,0))</f>
        <v/>
      </c>
      <c r="AQ2101">
        <f>IF($E2101="","",IF($AD2101="Yes",1,0))</f>
        <v/>
      </c>
      <c r="AR2101">
        <f>IF($AN2101=1,IFERROR(VALUE(MID($E2101,2,20)),1000000000)+ROW()/100000,"")</f>
        <v/>
      </c>
    </row>
    <row r="2102">
      <c r="G2102" s="11" t="n"/>
      <c r="Q2102" s="7">
        <f>IF($E2102="","",P2102*AB2102/100)</f>
        <v/>
      </c>
      <c r="R2102" s="7" t="n"/>
      <c r="X2102" s="7" t="n"/>
      <c r="Y2102" s="7">
        <f>IF($E2102="","",AB2102*AE2102/100)</f>
        <v/>
      </c>
      <c r="Z2102" s="7">
        <f>IF($E2102="","",AB2102-Y2102)</f>
        <v/>
      </c>
      <c r="AA2102" s="7">
        <f>IF($E2102="","",Z2102-Q2102)</f>
        <v/>
      </c>
      <c r="AB2102" s="7" t="n"/>
      <c r="AE2102">
        <f>IF($E2102="","",IF($AQ2102=1,0,IF($AP2102=1,Settings!$C$6,Settings!$C$7))*100)</f>
        <v/>
      </c>
      <c r="AI2102" s="7" t="n"/>
      <c r="AL2102" s="11" t="n"/>
      <c r="AN2102">
        <f>IF($E2102="","",IF(COUNTIF($E$2:$E2102,$E2102)=1,1,0))</f>
        <v/>
      </c>
      <c r="AO2102">
        <f>IF($AN2102=1,SUMPRODUCT(--($AR$2:$AR$3001&lt;$AR2102))+1,"")</f>
        <v/>
      </c>
      <c r="AP2102">
        <f>IF($E2102="","",IF(OR($U2102=TRUE(),$U2102="TRUE"),1,0))</f>
        <v/>
      </c>
      <c r="AQ2102">
        <f>IF($E2102="","",IF($AD2102="Yes",1,0))</f>
        <v/>
      </c>
      <c r="AR2102">
        <f>IF($AN2102=1,IFERROR(VALUE(MID($E2102,2,20)),1000000000)+ROW()/100000,"")</f>
        <v/>
      </c>
    </row>
    <row r="2103">
      <c r="G2103" s="11" t="n"/>
      <c r="Q2103" s="7">
        <f>IF($E2103="","",P2103*AB2103/100)</f>
        <v/>
      </c>
      <c r="R2103" s="7" t="n"/>
      <c r="X2103" s="7" t="n"/>
      <c r="Y2103" s="7">
        <f>IF($E2103="","",AB2103*AE2103/100)</f>
        <v/>
      </c>
      <c r="Z2103" s="7">
        <f>IF($E2103="","",AB2103-Y2103)</f>
        <v/>
      </c>
      <c r="AA2103" s="7">
        <f>IF($E2103="","",Z2103-Q2103)</f>
        <v/>
      </c>
      <c r="AB2103" s="7" t="n"/>
      <c r="AE2103">
        <f>IF($E2103="","",IF($AQ2103=1,0,IF($AP2103=1,Settings!$C$6,Settings!$C$7))*100)</f>
        <v/>
      </c>
      <c r="AI2103" s="7" t="n"/>
      <c r="AL2103" s="11" t="n"/>
      <c r="AN2103">
        <f>IF($E2103="","",IF(COUNTIF($E$2:$E2103,$E2103)=1,1,0))</f>
        <v/>
      </c>
      <c r="AO2103">
        <f>IF($AN2103=1,SUMPRODUCT(--($AR$2:$AR$3001&lt;$AR2103))+1,"")</f>
        <v/>
      </c>
      <c r="AP2103">
        <f>IF($E2103="","",IF(OR($U2103=TRUE(),$U2103="TRUE"),1,0))</f>
        <v/>
      </c>
      <c r="AQ2103">
        <f>IF($E2103="","",IF($AD2103="Yes",1,0))</f>
        <v/>
      </c>
      <c r="AR2103">
        <f>IF($AN2103=1,IFERROR(VALUE(MID($E2103,2,20)),1000000000)+ROW()/100000,"")</f>
        <v/>
      </c>
    </row>
    <row r="2104">
      <c r="G2104" s="11" t="n"/>
      <c r="Q2104" s="7">
        <f>IF($E2104="","",P2104*AB2104/100)</f>
        <v/>
      </c>
      <c r="R2104" s="7" t="n"/>
      <c r="X2104" s="7" t="n"/>
      <c r="Y2104" s="7">
        <f>IF($E2104="","",AB2104*AE2104/100)</f>
        <v/>
      </c>
      <c r="Z2104" s="7">
        <f>IF($E2104="","",AB2104-Y2104)</f>
        <v/>
      </c>
      <c r="AA2104" s="7">
        <f>IF($E2104="","",Z2104-Q2104)</f>
        <v/>
      </c>
      <c r="AB2104" s="7" t="n"/>
      <c r="AE2104">
        <f>IF($E2104="","",IF($AQ2104=1,0,IF($AP2104=1,Settings!$C$6,Settings!$C$7))*100)</f>
        <v/>
      </c>
      <c r="AI2104" s="7" t="n"/>
      <c r="AL2104" s="11" t="n"/>
      <c r="AN2104">
        <f>IF($E2104="","",IF(COUNTIF($E$2:$E2104,$E2104)=1,1,0))</f>
        <v/>
      </c>
      <c r="AO2104">
        <f>IF($AN2104=1,SUMPRODUCT(--($AR$2:$AR$3001&lt;$AR2104))+1,"")</f>
        <v/>
      </c>
      <c r="AP2104">
        <f>IF($E2104="","",IF(OR($U2104=TRUE(),$U2104="TRUE"),1,0))</f>
        <v/>
      </c>
      <c r="AQ2104">
        <f>IF($E2104="","",IF($AD2104="Yes",1,0))</f>
        <v/>
      </c>
      <c r="AR2104">
        <f>IF($AN2104=1,IFERROR(VALUE(MID($E2104,2,20)),1000000000)+ROW()/100000,"")</f>
        <v/>
      </c>
    </row>
    <row r="2105">
      <c r="G2105" s="11" t="n"/>
      <c r="Q2105" s="7">
        <f>IF($E2105="","",P2105*AB2105/100)</f>
        <v/>
      </c>
      <c r="R2105" s="7" t="n"/>
      <c r="X2105" s="7" t="n"/>
      <c r="Y2105" s="7">
        <f>IF($E2105="","",AB2105*AE2105/100)</f>
        <v/>
      </c>
      <c r="Z2105" s="7">
        <f>IF($E2105="","",AB2105-Y2105)</f>
        <v/>
      </c>
      <c r="AA2105" s="7">
        <f>IF($E2105="","",Z2105-Q2105)</f>
        <v/>
      </c>
      <c r="AB2105" s="7" t="n"/>
      <c r="AE2105">
        <f>IF($E2105="","",IF($AQ2105=1,0,IF($AP2105=1,Settings!$C$6,Settings!$C$7))*100)</f>
        <v/>
      </c>
      <c r="AI2105" s="7" t="n"/>
      <c r="AL2105" s="11" t="n"/>
      <c r="AN2105">
        <f>IF($E2105="","",IF(COUNTIF($E$2:$E2105,$E2105)=1,1,0))</f>
        <v/>
      </c>
      <c r="AO2105">
        <f>IF($AN2105=1,SUMPRODUCT(--($AR$2:$AR$3001&lt;$AR2105))+1,"")</f>
        <v/>
      </c>
      <c r="AP2105">
        <f>IF($E2105="","",IF(OR($U2105=TRUE(),$U2105="TRUE"),1,0))</f>
        <v/>
      </c>
      <c r="AQ2105">
        <f>IF($E2105="","",IF($AD2105="Yes",1,0))</f>
        <v/>
      </c>
      <c r="AR2105">
        <f>IF($AN2105=1,IFERROR(VALUE(MID($E2105,2,20)),1000000000)+ROW()/100000,"")</f>
        <v/>
      </c>
    </row>
    <row r="2106">
      <c r="G2106" s="11" t="n"/>
      <c r="Q2106" s="7">
        <f>IF($E2106="","",P2106*AB2106/100)</f>
        <v/>
      </c>
      <c r="R2106" s="7" t="n"/>
      <c r="X2106" s="7" t="n"/>
      <c r="Y2106" s="7">
        <f>IF($E2106="","",AB2106*AE2106/100)</f>
        <v/>
      </c>
      <c r="Z2106" s="7">
        <f>IF($E2106="","",AB2106-Y2106)</f>
        <v/>
      </c>
      <c r="AA2106" s="7">
        <f>IF($E2106="","",Z2106-Q2106)</f>
        <v/>
      </c>
      <c r="AB2106" s="7" t="n"/>
      <c r="AE2106">
        <f>IF($E2106="","",IF($AQ2106=1,0,IF($AP2106=1,Settings!$C$6,Settings!$C$7))*100)</f>
        <v/>
      </c>
      <c r="AI2106" s="7" t="n"/>
      <c r="AL2106" s="11" t="n"/>
      <c r="AN2106">
        <f>IF($E2106="","",IF(COUNTIF($E$2:$E2106,$E2106)=1,1,0))</f>
        <v/>
      </c>
      <c r="AO2106">
        <f>IF($AN2106=1,SUMPRODUCT(--($AR$2:$AR$3001&lt;$AR2106))+1,"")</f>
        <v/>
      </c>
      <c r="AP2106">
        <f>IF($E2106="","",IF(OR($U2106=TRUE(),$U2106="TRUE"),1,0))</f>
        <v/>
      </c>
      <c r="AQ2106">
        <f>IF($E2106="","",IF($AD2106="Yes",1,0))</f>
        <v/>
      </c>
      <c r="AR2106">
        <f>IF($AN2106=1,IFERROR(VALUE(MID($E2106,2,20)),1000000000)+ROW()/100000,"")</f>
        <v/>
      </c>
    </row>
    <row r="2107">
      <c r="G2107" s="11" t="n"/>
      <c r="Q2107" s="7">
        <f>IF($E2107="","",P2107*AB2107/100)</f>
        <v/>
      </c>
      <c r="R2107" s="7" t="n"/>
      <c r="X2107" s="7" t="n"/>
      <c r="Y2107" s="7">
        <f>IF($E2107="","",AB2107*AE2107/100)</f>
        <v/>
      </c>
      <c r="Z2107" s="7">
        <f>IF($E2107="","",AB2107-Y2107)</f>
        <v/>
      </c>
      <c r="AA2107" s="7">
        <f>IF($E2107="","",Z2107-Q2107)</f>
        <v/>
      </c>
      <c r="AB2107" s="7" t="n"/>
      <c r="AE2107">
        <f>IF($E2107="","",IF($AQ2107=1,0,IF($AP2107=1,Settings!$C$6,Settings!$C$7))*100)</f>
        <v/>
      </c>
      <c r="AI2107" s="7" t="n"/>
      <c r="AL2107" s="11" t="n"/>
      <c r="AN2107">
        <f>IF($E2107="","",IF(COUNTIF($E$2:$E2107,$E2107)=1,1,0))</f>
        <v/>
      </c>
      <c r="AO2107">
        <f>IF($AN2107=1,SUMPRODUCT(--($AR$2:$AR$3001&lt;$AR2107))+1,"")</f>
        <v/>
      </c>
      <c r="AP2107">
        <f>IF($E2107="","",IF(OR($U2107=TRUE(),$U2107="TRUE"),1,0))</f>
        <v/>
      </c>
      <c r="AQ2107">
        <f>IF($E2107="","",IF($AD2107="Yes",1,0))</f>
        <v/>
      </c>
      <c r="AR2107">
        <f>IF($AN2107=1,IFERROR(VALUE(MID($E2107,2,20)),1000000000)+ROW()/100000,"")</f>
        <v/>
      </c>
    </row>
    <row r="2108">
      <c r="G2108" s="11" t="n"/>
      <c r="Q2108" s="7">
        <f>IF($E2108="","",P2108*AB2108/100)</f>
        <v/>
      </c>
      <c r="R2108" s="7" t="n"/>
      <c r="X2108" s="7" t="n"/>
      <c r="Y2108" s="7">
        <f>IF($E2108="","",AB2108*AE2108/100)</f>
        <v/>
      </c>
      <c r="Z2108" s="7">
        <f>IF($E2108="","",AB2108-Y2108)</f>
        <v/>
      </c>
      <c r="AA2108" s="7">
        <f>IF($E2108="","",Z2108-Q2108)</f>
        <v/>
      </c>
      <c r="AB2108" s="7" t="n"/>
      <c r="AE2108">
        <f>IF($E2108="","",IF($AQ2108=1,0,IF($AP2108=1,Settings!$C$6,Settings!$C$7))*100)</f>
        <v/>
      </c>
      <c r="AI2108" s="7" t="n"/>
      <c r="AL2108" s="11" t="n"/>
      <c r="AN2108">
        <f>IF($E2108="","",IF(COUNTIF($E$2:$E2108,$E2108)=1,1,0))</f>
        <v/>
      </c>
      <c r="AO2108">
        <f>IF($AN2108=1,SUMPRODUCT(--($AR$2:$AR$3001&lt;$AR2108))+1,"")</f>
        <v/>
      </c>
      <c r="AP2108">
        <f>IF($E2108="","",IF(OR($U2108=TRUE(),$U2108="TRUE"),1,0))</f>
        <v/>
      </c>
      <c r="AQ2108">
        <f>IF($E2108="","",IF($AD2108="Yes",1,0))</f>
        <v/>
      </c>
      <c r="AR2108">
        <f>IF($AN2108=1,IFERROR(VALUE(MID($E2108,2,20)),1000000000)+ROW()/100000,"")</f>
        <v/>
      </c>
    </row>
    <row r="2109">
      <c r="G2109" s="11" t="n"/>
      <c r="Q2109" s="7">
        <f>IF($E2109="","",P2109*AB2109/100)</f>
        <v/>
      </c>
      <c r="R2109" s="7" t="n"/>
      <c r="X2109" s="7" t="n"/>
      <c r="Y2109" s="7">
        <f>IF($E2109="","",AB2109*AE2109/100)</f>
        <v/>
      </c>
      <c r="Z2109" s="7">
        <f>IF($E2109="","",AB2109-Y2109)</f>
        <v/>
      </c>
      <c r="AA2109" s="7">
        <f>IF($E2109="","",Z2109-Q2109)</f>
        <v/>
      </c>
      <c r="AB2109" s="7" t="n"/>
      <c r="AE2109">
        <f>IF($E2109="","",IF($AQ2109=1,0,IF($AP2109=1,Settings!$C$6,Settings!$C$7))*100)</f>
        <v/>
      </c>
      <c r="AI2109" s="7" t="n"/>
      <c r="AL2109" s="11" t="n"/>
      <c r="AN2109">
        <f>IF($E2109="","",IF(COUNTIF($E$2:$E2109,$E2109)=1,1,0))</f>
        <v/>
      </c>
      <c r="AO2109">
        <f>IF($AN2109=1,SUMPRODUCT(--($AR$2:$AR$3001&lt;$AR2109))+1,"")</f>
        <v/>
      </c>
      <c r="AP2109">
        <f>IF($E2109="","",IF(OR($U2109=TRUE(),$U2109="TRUE"),1,0))</f>
        <v/>
      </c>
      <c r="AQ2109">
        <f>IF($E2109="","",IF($AD2109="Yes",1,0))</f>
        <v/>
      </c>
      <c r="AR2109">
        <f>IF($AN2109=1,IFERROR(VALUE(MID($E2109,2,20)),1000000000)+ROW()/100000,"")</f>
        <v/>
      </c>
    </row>
    <row r="2110">
      <c r="G2110" s="11" t="n"/>
      <c r="Q2110" s="7">
        <f>IF($E2110="","",P2110*AB2110/100)</f>
        <v/>
      </c>
      <c r="R2110" s="7" t="n"/>
      <c r="X2110" s="7" t="n"/>
      <c r="Y2110" s="7">
        <f>IF($E2110="","",AB2110*AE2110/100)</f>
        <v/>
      </c>
      <c r="Z2110" s="7">
        <f>IF($E2110="","",AB2110-Y2110)</f>
        <v/>
      </c>
      <c r="AA2110" s="7">
        <f>IF($E2110="","",Z2110-Q2110)</f>
        <v/>
      </c>
      <c r="AB2110" s="7" t="n"/>
      <c r="AE2110">
        <f>IF($E2110="","",IF($AQ2110=1,0,IF($AP2110=1,Settings!$C$6,Settings!$C$7))*100)</f>
        <v/>
      </c>
      <c r="AI2110" s="7" t="n"/>
      <c r="AL2110" s="11" t="n"/>
      <c r="AN2110">
        <f>IF($E2110="","",IF(COUNTIF($E$2:$E2110,$E2110)=1,1,0))</f>
        <v/>
      </c>
      <c r="AO2110">
        <f>IF($AN2110=1,SUMPRODUCT(--($AR$2:$AR$3001&lt;$AR2110))+1,"")</f>
        <v/>
      </c>
      <c r="AP2110">
        <f>IF($E2110="","",IF(OR($U2110=TRUE(),$U2110="TRUE"),1,0))</f>
        <v/>
      </c>
      <c r="AQ2110">
        <f>IF($E2110="","",IF($AD2110="Yes",1,0))</f>
        <v/>
      </c>
      <c r="AR2110">
        <f>IF($AN2110=1,IFERROR(VALUE(MID($E2110,2,20)),1000000000)+ROW()/100000,"")</f>
        <v/>
      </c>
    </row>
    <row r="2111">
      <c r="G2111" s="11" t="n"/>
      <c r="Q2111" s="7">
        <f>IF($E2111="","",P2111*AB2111/100)</f>
        <v/>
      </c>
      <c r="R2111" s="7" t="n"/>
      <c r="X2111" s="7" t="n"/>
      <c r="Y2111" s="7">
        <f>IF($E2111="","",AB2111*AE2111/100)</f>
        <v/>
      </c>
      <c r="Z2111" s="7">
        <f>IF($E2111="","",AB2111-Y2111)</f>
        <v/>
      </c>
      <c r="AA2111" s="7">
        <f>IF($E2111="","",Z2111-Q2111)</f>
        <v/>
      </c>
      <c r="AB2111" s="7" t="n"/>
      <c r="AE2111">
        <f>IF($E2111="","",IF($AQ2111=1,0,IF($AP2111=1,Settings!$C$6,Settings!$C$7))*100)</f>
        <v/>
      </c>
      <c r="AI2111" s="7" t="n"/>
      <c r="AL2111" s="11" t="n"/>
      <c r="AN2111">
        <f>IF($E2111="","",IF(COUNTIF($E$2:$E2111,$E2111)=1,1,0))</f>
        <v/>
      </c>
      <c r="AO2111">
        <f>IF($AN2111=1,SUMPRODUCT(--($AR$2:$AR$3001&lt;$AR2111))+1,"")</f>
        <v/>
      </c>
      <c r="AP2111">
        <f>IF($E2111="","",IF(OR($U2111=TRUE(),$U2111="TRUE"),1,0))</f>
        <v/>
      </c>
      <c r="AQ2111">
        <f>IF($E2111="","",IF($AD2111="Yes",1,0))</f>
        <v/>
      </c>
      <c r="AR2111">
        <f>IF($AN2111=1,IFERROR(VALUE(MID($E2111,2,20)),1000000000)+ROW()/100000,"")</f>
        <v/>
      </c>
    </row>
    <row r="2112">
      <c r="G2112" s="11" t="n"/>
      <c r="Q2112" s="7">
        <f>IF($E2112="","",P2112*AB2112/100)</f>
        <v/>
      </c>
      <c r="R2112" s="7" t="n"/>
      <c r="X2112" s="7" t="n"/>
      <c r="Y2112" s="7">
        <f>IF($E2112="","",AB2112*AE2112/100)</f>
        <v/>
      </c>
      <c r="Z2112" s="7">
        <f>IF($E2112="","",AB2112-Y2112)</f>
        <v/>
      </c>
      <c r="AA2112" s="7">
        <f>IF($E2112="","",Z2112-Q2112)</f>
        <v/>
      </c>
      <c r="AB2112" s="7" t="n"/>
      <c r="AE2112">
        <f>IF($E2112="","",IF($AQ2112=1,0,IF($AP2112=1,Settings!$C$6,Settings!$C$7))*100)</f>
        <v/>
      </c>
      <c r="AI2112" s="7" t="n"/>
      <c r="AL2112" s="11" t="n"/>
      <c r="AN2112">
        <f>IF($E2112="","",IF(COUNTIF($E$2:$E2112,$E2112)=1,1,0))</f>
        <v/>
      </c>
      <c r="AO2112">
        <f>IF($AN2112=1,SUMPRODUCT(--($AR$2:$AR$3001&lt;$AR2112))+1,"")</f>
        <v/>
      </c>
      <c r="AP2112">
        <f>IF($E2112="","",IF(OR($U2112=TRUE(),$U2112="TRUE"),1,0))</f>
        <v/>
      </c>
      <c r="AQ2112">
        <f>IF($E2112="","",IF($AD2112="Yes",1,0))</f>
        <v/>
      </c>
      <c r="AR2112">
        <f>IF($AN2112=1,IFERROR(VALUE(MID($E2112,2,20)),1000000000)+ROW()/100000,"")</f>
        <v/>
      </c>
    </row>
    <row r="2113">
      <c r="G2113" s="11" t="n"/>
      <c r="Q2113" s="7">
        <f>IF($E2113="","",P2113*AB2113/100)</f>
        <v/>
      </c>
      <c r="R2113" s="7" t="n"/>
      <c r="X2113" s="7" t="n"/>
      <c r="Y2113" s="7">
        <f>IF($E2113="","",AB2113*AE2113/100)</f>
        <v/>
      </c>
      <c r="Z2113" s="7">
        <f>IF($E2113="","",AB2113-Y2113)</f>
        <v/>
      </c>
      <c r="AA2113" s="7">
        <f>IF($E2113="","",Z2113-Q2113)</f>
        <v/>
      </c>
      <c r="AB2113" s="7" t="n"/>
      <c r="AE2113">
        <f>IF($E2113="","",IF($AQ2113=1,0,IF($AP2113=1,Settings!$C$6,Settings!$C$7))*100)</f>
        <v/>
      </c>
      <c r="AI2113" s="7" t="n"/>
      <c r="AL2113" s="11" t="n"/>
      <c r="AN2113">
        <f>IF($E2113="","",IF(COUNTIF($E$2:$E2113,$E2113)=1,1,0))</f>
        <v/>
      </c>
      <c r="AO2113">
        <f>IF($AN2113=1,SUMPRODUCT(--($AR$2:$AR$3001&lt;$AR2113))+1,"")</f>
        <v/>
      </c>
      <c r="AP2113">
        <f>IF($E2113="","",IF(OR($U2113=TRUE(),$U2113="TRUE"),1,0))</f>
        <v/>
      </c>
      <c r="AQ2113">
        <f>IF($E2113="","",IF($AD2113="Yes",1,0))</f>
        <v/>
      </c>
      <c r="AR2113">
        <f>IF($AN2113=1,IFERROR(VALUE(MID($E2113,2,20)),1000000000)+ROW()/100000,"")</f>
        <v/>
      </c>
    </row>
    <row r="2114">
      <c r="G2114" s="11" t="n"/>
      <c r="Q2114" s="7">
        <f>IF($E2114="","",P2114*AB2114/100)</f>
        <v/>
      </c>
      <c r="R2114" s="7" t="n"/>
      <c r="X2114" s="7" t="n"/>
      <c r="Y2114" s="7">
        <f>IF($E2114="","",AB2114*AE2114/100)</f>
        <v/>
      </c>
      <c r="Z2114" s="7">
        <f>IF($E2114="","",AB2114-Y2114)</f>
        <v/>
      </c>
      <c r="AA2114" s="7">
        <f>IF($E2114="","",Z2114-Q2114)</f>
        <v/>
      </c>
      <c r="AB2114" s="7" t="n"/>
      <c r="AE2114">
        <f>IF($E2114="","",IF($AQ2114=1,0,IF($AP2114=1,Settings!$C$6,Settings!$C$7))*100)</f>
        <v/>
      </c>
      <c r="AI2114" s="7" t="n"/>
      <c r="AL2114" s="11" t="n"/>
      <c r="AN2114">
        <f>IF($E2114="","",IF(COUNTIF($E$2:$E2114,$E2114)=1,1,0))</f>
        <v/>
      </c>
      <c r="AO2114">
        <f>IF($AN2114=1,SUMPRODUCT(--($AR$2:$AR$3001&lt;$AR2114))+1,"")</f>
        <v/>
      </c>
      <c r="AP2114">
        <f>IF($E2114="","",IF(OR($U2114=TRUE(),$U2114="TRUE"),1,0))</f>
        <v/>
      </c>
      <c r="AQ2114">
        <f>IF($E2114="","",IF($AD2114="Yes",1,0))</f>
        <v/>
      </c>
      <c r="AR2114">
        <f>IF($AN2114=1,IFERROR(VALUE(MID($E2114,2,20)),1000000000)+ROW()/100000,"")</f>
        <v/>
      </c>
    </row>
    <row r="2115">
      <c r="G2115" s="11" t="n"/>
      <c r="Q2115" s="7">
        <f>IF($E2115="","",P2115*AB2115/100)</f>
        <v/>
      </c>
      <c r="R2115" s="7" t="n"/>
      <c r="X2115" s="7" t="n"/>
      <c r="Y2115" s="7">
        <f>IF($E2115="","",AB2115*AE2115/100)</f>
        <v/>
      </c>
      <c r="Z2115" s="7">
        <f>IF($E2115="","",AB2115-Y2115)</f>
        <v/>
      </c>
      <c r="AA2115" s="7">
        <f>IF($E2115="","",Z2115-Q2115)</f>
        <v/>
      </c>
      <c r="AB2115" s="7" t="n"/>
      <c r="AE2115">
        <f>IF($E2115="","",IF($AQ2115=1,0,IF($AP2115=1,Settings!$C$6,Settings!$C$7))*100)</f>
        <v/>
      </c>
      <c r="AI2115" s="7" t="n"/>
      <c r="AL2115" s="11" t="n"/>
      <c r="AN2115">
        <f>IF($E2115="","",IF(COUNTIF($E$2:$E2115,$E2115)=1,1,0))</f>
        <v/>
      </c>
      <c r="AO2115">
        <f>IF($AN2115=1,SUMPRODUCT(--($AR$2:$AR$3001&lt;$AR2115))+1,"")</f>
        <v/>
      </c>
      <c r="AP2115">
        <f>IF($E2115="","",IF(OR($U2115=TRUE(),$U2115="TRUE"),1,0))</f>
        <v/>
      </c>
      <c r="AQ2115">
        <f>IF($E2115="","",IF($AD2115="Yes",1,0))</f>
        <v/>
      </c>
      <c r="AR2115">
        <f>IF($AN2115=1,IFERROR(VALUE(MID($E2115,2,20)),1000000000)+ROW()/100000,"")</f>
        <v/>
      </c>
    </row>
    <row r="2116">
      <c r="G2116" s="11" t="n"/>
      <c r="Q2116" s="7">
        <f>IF($E2116="","",P2116*AB2116/100)</f>
        <v/>
      </c>
      <c r="R2116" s="7" t="n"/>
      <c r="X2116" s="7" t="n"/>
      <c r="Y2116" s="7">
        <f>IF($E2116="","",AB2116*AE2116/100)</f>
        <v/>
      </c>
      <c r="Z2116" s="7">
        <f>IF($E2116="","",AB2116-Y2116)</f>
        <v/>
      </c>
      <c r="AA2116" s="7">
        <f>IF($E2116="","",Z2116-Q2116)</f>
        <v/>
      </c>
      <c r="AB2116" s="7" t="n"/>
      <c r="AE2116">
        <f>IF($E2116="","",IF($AQ2116=1,0,IF($AP2116=1,Settings!$C$6,Settings!$C$7))*100)</f>
        <v/>
      </c>
      <c r="AI2116" s="7" t="n"/>
      <c r="AL2116" s="11" t="n"/>
      <c r="AN2116">
        <f>IF($E2116="","",IF(COUNTIF($E$2:$E2116,$E2116)=1,1,0))</f>
        <v/>
      </c>
      <c r="AO2116">
        <f>IF($AN2116=1,SUMPRODUCT(--($AR$2:$AR$3001&lt;$AR2116))+1,"")</f>
        <v/>
      </c>
      <c r="AP2116">
        <f>IF($E2116="","",IF(OR($U2116=TRUE(),$U2116="TRUE"),1,0))</f>
        <v/>
      </c>
      <c r="AQ2116">
        <f>IF($E2116="","",IF($AD2116="Yes",1,0))</f>
        <v/>
      </c>
      <c r="AR2116">
        <f>IF($AN2116=1,IFERROR(VALUE(MID($E2116,2,20)),1000000000)+ROW()/100000,"")</f>
        <v/>
      </c>
    </row>
    <row r="2117">
      <c r="G2117" s="11" t="n"/>
      <c r="Q2117" s="7">
        <f>IF($E2117="","",P2117*AB2117/100)</f>
        <v/>
      </c>
      <c r="R2117" s="7" t="n"/>
      <c r="X2117" s="7" t="n"/>
      <c r="Y2117" s="7">
        <f>IF($E2117="","",AB2117*AE2117/100)</f>
        <v/>
      </c>
      <c r="Z2117" s="7">
        <f>IF($E2117="","",AB2117-Y2117)</f>
        <v/>
      </c>
      <c r="AA2117" s="7">
        <f>IF($E2117="","",Z2117-Q2117)</f>
        <v/>
      </c>
      <c r="AB2117" s="7" t="n"/>
      <c r="AE2117">
        <f>IF($E2117="","",IF($AQ2117=1,0,IF($AP2117=1,Settings!$C$6,Settings!$C$7))*100)</f>
        <v/>
      </c>
      <c r="AI2117" s="7" t="n"/>
      <c r="AL2117" s="11" t="n"/>
      <c r="AN2117">
        <f>IF($E2117="","",IF(COUNTIF($E$2:$E2117,$E2117)=1,1,0))</f>
        <v/>
      </c>
      <c r="AO2117">
        <f>IF($AN2117=1,SUMPRODUCT(--($AR$2:$AR$3001&lt;$AR2117))+1,"")</f>
        <v/>
      </c>
      <c r="AP2117">
        <f>IF($E2117="","",IF(OR($U2117=TRUE(),$U2117="TRUE"),1,0))</f>
        <v/>
      </c>
      <c r="AQ2117">
        <f>IF($E2117="","",IF($AD2117="Yes",1,0))</f>
        <v/>
      </c>
      <c r="AR2117">
        <f>IF($AN2117=1,IFERROR(VALUE(MID($E2117,2,20)),1000000000)+ROW()/100000,"")</f>
        <v/>
      </c>
    </row>
    <row r="2118">
      <c r="G2118" s="11" t="n"/>
      <c r="Q2118" s="7">
        <f>IF($E2118="","",P2118*AB2118/100)</f>
        <v/>
      </c>
      <c r="R2118" s="7" t="n"/>
      <c r="X2118" s="7" t="n"/>
      <c r="Y2118" s="7">
        <f>IF($E2118="","",AB2118*AE2118/100)</f>
        <v/>
      </c>
      <c r="Z2118" s="7">
        <f>IF($E2118="","",AB2118-Y2118)</f>
        <v/>
      </c>
      <c r="AA2118" s="7">
        <f>IF($E2118="","",Z2118-Q2118)</f>
        <v/>
      </c>
      <c r="AB2118" s="7" t="n"/>
      <c r="AE2118">
        <f>IF($E2118="","",IF($AQ2118=1,0,IF($AP2118=1,Settings!$C$6,Settings!$C$7))*100)</f>
        <v/>
      </c>
      <c r="AI2118" s="7" t="n"/>
      <c r="AL2118" s="11" t="n"/>
      <c r="AN2118">
        <f>IF($E2118="","",IF(COUNTIF($E$2:$E2118,$E2118)=1,1,0))</f>
        <v/>
      </c>
      <c r="AO2118">
        <f>IF($AN2118=1,SUMPRODUCT(--($AR$2:$AR$3001&lt;$AR2118))+1,"")</f>
        <v/>
      </c>
      <c r="AP2118">
        <f>IF($E2118="","",IF(OR($U2118=TRUE(),$U2118="TRUE"),1,0))</f>
        <v/>
      </c>
      <c r="AQ2118">
        <f>IF($E2118="","",IF($AD2118="Yes",1,0))</f>
        <v/>
      </c>
      <c r="AR2118">
        <f>IF($AN2118=1,IFERROR(VALUE(MID($E2118,2,20)),1000000000)+ROW()/100000,"")</f>
        <v/>
      </c>
    </row>
    <row r="2119">
      <c r="G2119" s="11" t="n"/>
      <c r="Q2119" s="7">
        <f>IF($E2119="","",P2119*AB2119/100)</f>
        <v/>
      </c>
      <c r="R2119" s="7" t="n"/>
      <c r="X2119" s="7" t="n"/>
      <c r="Y2119" s="7">
        <f>IF($E2119="","",AB2119*AE2119/100)</f>
        <v/>
      </c>
      <c r="Z2119" s="7">
        <f>IF($E2119="","",AB2119-Y2119)</f>
        <v/>
      </c>
      <c r="AA2119" s="7">
        <f>IF($E2119="","",Z2119-Q2119)</f>
        <v/>
      </c>
      <c r="AB2119" s="7" t="n"/>
      <c r="AE2119">
        <f>IF($E2119="","",IF($AQ2119=1,0,IF($AP2119=1,Settings!$C$6,Settings!$C$7))*100)</f>
        <v/>
      </c>
      <c r="AI2119" s="7" t="n"/>
      <c r="AL2119" s="11" t="n"/>
      <c r="AN2119">
        <f>IF($E2119="","",IF(COUNTIF($E$2:$E2119,$E2119)=1,1,0))</f>
        <v/>
      </c>
      <c r="AO2119">
        <f>IF($AN2119=1,SUMPRODUCT(--($AR$2:$AR$3001&lt;$AR2119))+1,"")</f>
        <v/>
      </c>
      <c r="AP2119">
        <f>IF($E2119="","",IF(OR($U2119=TRUE(),$U2119="TRUE"),1,0))</f>
        <v/>
      </c>
      <c r="AQ2119">
        <f>IF($E2119="","",IF($AD2119="Yes",1,0))</f>
        <v/>
      </c>
      <c r="AR2119">
        <f>IF($AN2119=1,IFERROR(VALUE(MID($E2119,2,20)),1000000000)+ROW()/100000,"")</f>
        <v/>
      </c>
    </row>
    <row r="2120">
      <c r="G2120" s="11" t="n"/>
      <c r="Q2120" s="7">
        <f>IF($E2120="","",P2120*AB2120/100)</f>
        <v/>
      </c>
      <c r="R2120" s="7" t="n"/>
      <c r="X2120" s="7" t="n"/>
      <c r="Y2120" s="7">
        <f>IF($E2120="","",AB2120*AE2120/100)</f>
        <v/>
      </c>
      <c r="Z2120" s="7">
        <f>IF($E2120="","",AB2120-Y2120)</f>
        <v/>
      </c>
      <c r="AA2120" s="7">
        <f>IF($E2120="","",Z2120-Q2120)</f>
        <v/>
      </c>
      <c r="AB2120" s="7" t="n"/>
      <c r="AE2120">
        <f>IF($E2120="","",IF($AQ2120=1,0,IF($AP2120=1,Settings!$C$6,Settings!$C$7))*100)</f>
        <v/>
      </c>
      <c r="AI2120" s="7" t="n"/>
      <c r="AL2120" s="11" t="n"/>
      <c r="AN2120">
        <f>IF($E2120="","",IF(COUNTIF($E$2:$E2120,$E2120)=1,1,0))</f>
        <v/>
      </c>
      <c r="AO2120">
        <f>IF($AN2120=1,SUMPRODUCT(--($AR$2:$AR$3001&lt;$AR2120))+1,"")</f>
        <v/>
      </c>
      <c r="AP2120">
        <f>IF($E2120="","",IF(OR($U2120=TRUE(),$U2120="TRUE"),1,0))</f>
        <v/>
      </c>
      <c r="AQ2120">
        <f>IF($E2120="","",IF($AD2120="Yes",1,0))</f>
        <v/>
      </c>
      <c r="AR2120">
        <f>IF($AN2120=1,IFERROR(VALUE(MID($E2120,2,20)),1000000000)+ROW()/100000,"")</f>
        <v/>
      </c>
    </row>
    <row r="2121">
      <c r="G2121" s="11" t="n"/>
      <c r="Q2121" s="7">
        <f>IF($E2121="","",P2121*AB2121/100)</f>
        <v/>
      </c>
      <c r="R2121" s="7" t="n"/>
      <c r="X2121" s="7" t="n"/>
      <c r="Y2121" s="7">
        <f>IF($E2121="","",AB2121*AE2121/100)</f>
        <v/>
      </c>
      <c r="Z2121" s="7">
        <f>IF($E2121="","",AB2121-Y2121)</f>
        <v/>
      </c>
      <c r="AA2121" s="7">
        <f>IF($E2121="","",Z2121-Q2121)</f>
        <v/>
      </c>
      <c r="AB2121" s="7" t="n"/>
      <c r="AE2121">
        <f>IF($E2121="","",IF($AQ2121=1,0,IF($AP2121=1,Settings!$C$6,Settings!$C$7))*100)</f>
        <v/>
      </c>
      <c r="AI2121" s="7" t="n"/>
      <c r="AL2121" s="11" t="n"/>
      <c r="AN2121">
        <f>IF($E2121="","",IF(COUNTIF($E$2:$E2121,$E2121)=1,1,0))</f>
        <v/>
      </c>
      <c r="AO2121">
        <f>IF($AN2121=1,SUMPRODUCT(--($AR$2:$AR$3001&lt;$AR2121))+1,"")</f>
        <v/>
      </c>
      <c r="AP2121">
        <f>IF($E2121="","",IF(OR($U2121=TRUE(),$U2121="TRUE"),1,0))</f>
        <v/>
      </c>
      <c r="AQ2121">
        <f>IF($E2121="","",IF($AD2121="Yes",1,0))</f>
        <v/>
      </c>
      <c r="AR2121">
        <f>IF($AN2121=1,IFERROR(VALUE(MID($E2121,2,20)),1000000000)+ROW()/100000,"")</f>
        <v/>
      </c>
    </row>
    <row r="2122">
      <c r="G2122" s="11" t="n"/>
      <c r="Q2122" s="7">
        <f>IF($E2122="","",P2122*AB2122/100)</f>
        <v/>
      </c>
      <c r="R2122" s="7" t="n"/>
      <c r="X2122" s="7" t="n"/>
      <c r="Y2122" s="7">
        <f>IF($E2122="","",AB2122*AE2122/100)</f>
        <v/>
      </c>
      <c r="Z2122" s="7">
        <f>IF($E2122="","",AB2122-Y2122)</f>
        <v/>
      </c>
      <c r="AA2122" s="7">
        <f>IF($E2122="","",Z2122-Q2122)</f>
        <v/>
      </c>
      <c r="AB2122" s="7" t="n"/>
      <c r="AE2122">
        <f>IF($E2122="","",IF($AQ2122=1,0,IF($AP2122=1,Settings!$C$6,Settings!$C$7))*100)</f>
        <v/>
      </c>
      <c r="AI2122" s="7" t="n"/>
      <c r="AL2122" s="11" t="n"/>
      <c r="AN2122">
        <f>IF($E2122="","",IF(COUNTIF($E$2:$E2122,$E2122)=1,1,0))</f>
        <v/>
      </c>
      <c r="AO2122">
        <f>IF($AN2122=1,SUMPRODUCT(--($AR$2:$AR$3001&lt;$AR2122))+1,"")</f>
        <v/>
      </c>
      <c r="AP2122">
        <f>IF($E2122="","",IF(OR($U2122=TRUE(),$U2122="TRUE"),1,0))</f>
        <v/>
      </c>
      <c r="AQ2122">
        <f>IF($E2122="","",IF($AD2122="Yes",1,0))</f>
        <v/>
      </c>
      <c r="AR2122">
        <f>IF($AN2122=1,IFERROR(VALUE(MID($E2122,2,20)),1000000000)+ROW()/100000,"")</f>
        <v/>
      </c>
    </row>
    <row r="2123">
      <c r="G2123" s="11" t="n"/>
      <c r="Q2123" s="7">
        <f>IF($E2123="","",P2123*AB2123/100)</f>
        <v/>
      </c>
      <c r="R2123" s="7" t="n"/>
      <c r="X2123" s="7" t="n"/>
      <c r="Y2123" s="7">
        <f>IF($E2123="","",AB2123*AE2123/100)</f>
        <v/>
      </c>
      <c r="Z2123" s="7">
        <f>IF($E2123="","",AB2123-Y2123)</f>
        <v/>
      </c>
      <c r="AA2123" s="7">
        <f>IF($E2123="","",Z2123-Q2123)</f>
        <v/>
      </c>
      <c r="AB2123" s="7" t="n"/>
      <c r="AE2123">
        <f>IF($E2123="","",IF($AQ2123=1,0,IF($AP2123=1,Settings!$C$6,Settings!$C$7))*100)</f>
        <v/>
      </c>
      <c r="AI2123" s="7" t="n"/>
      <c r="AL2123" s="11" t="n"/>
      <c r="AN2123">
        <f>IF($E2123="","",IF(COUNTIF($E$2:$E2123,$E2123)=1,1,0))</f>
        <v/>
      </c>
      <c r="AO2123">
        <f>IF($AN2123=1,SUMPRODUCT(--($AR$2:$AR$3001&lt;$AR2123))+1,"")</f>
        <v/>
      </c>
      <c r="AP2123">
        <f>IF($E2123="","",IF(OR($U2123=TRUE(),$U2123="TRUE"),1,0))</f>
        <v/>
      </c>
      <c r="AQ2123">
        <f>IF($E2123="","",IF($AD2123="Yes",1,0))</f>
        <v/>
      </c>
      <c r="AR2123">
        <f>IF($AN2123=1,IFERROR(VALUE(MID($E2123,2,20)),1000000000)+ROW()/100000,"")</f>
        <v/>
      </c>
    </row>
    <row r="2124">
      <c r="G2124" s="11" t="n"/>
      <c r="Q2124" s="7">
        <f>IF($E2124="","",P2124*AB2124/100)</f>
        <v/>
      </c>
      <c r="R2124" s="7" t="n"/>
      <c r="X2124" s="7" t="n"/>
      <c r="Y2124" s="7">
        <f>IF($E2124="","",AB2124*AE2124/100)</f>
        <v/>
      </c>
      <c r="Z2124" s="7">
        <f>IF($E2124="","",AB2124-Y2124)</f>
        <v/>
      </c>
      <c r="AA2124" s="7">
        <f>IF($E2124="","",Z2124-Q2124)</f>
        <v/>
      </c>
      <c r="AB2124" s="7" t="n"/>
      <c r="AE2124">
        <f>IF($E2124="","",IF($AQ2124=1,0,IF($AP2124=1,Settings!$C$6,Settings!$C$7))*100)</f>
        <v/>
      </c>
      <c r="AI2124" s="7" t="n"/>
      <c r="AL2124" s="11" t="n"/>
      <c r="AN2124">
        <f>IF($E2124="","",IF(COUNTIF($E$2:$E2124,$E2124)=1,1,0))</f>
        <v/>
      </c>
      <c r="AO2124">
        <f>IF($AN2124=1,SUMPRODUCT(--($AR$2:$AR$3001&lt;$AR2124))+1,"")</f>
        <v/>
      </c>
      <c r="AP2124">
        <f>IF($E2124="","",IF(OR($U2124=TRUE(),$U2124="TRUE"),1,0))</f>
        <v/>
      </c>
      <c r="AQ2124">
        <f>IF($E2124="","",IF($AD2124="Yes",1,0))</f>
        <v/>
      </c>
      <c r="AR2124">
        <f>IF($AN2124=1,IFERROR(VALUE(MID($E2124,2,20)),1000000000)+ROW()/100000,"")</f>
        <v/>
      </c>
    </row>
    <row r="2125">
      <c r="G2125" s="11" t="n"/>
      <c r="Q2125" s="7">
        <f>IF($E2125="","",P2125*AB2125/100)</f>
        <v/>
      </c>
      <c r="R2125" s="7" t="n"/>
      <c r="X2125" s="7" t="n"/>
      <c r="Y2125" s="7">
        <f>IF($E2125="","",AB2125*AE2125/100)</f>
        <v/>
      </c>
      <c r="Z2125" s="7">
        <f>IF($E2125="","",AB2125-Y2125)</f>
        <v/>
      </c>
      <c r="AA2125" s="7">
        <f>IF($E2125="","",Z2125-Q2125)</f>
        <v/>
      </c>
      <c r="AB2125" s="7" t="n"/>
      <c r="AE2125">
        <f>IF($E2125="","",IF($AQ2125=1,0,IF($AP2125=1,Settings!$C$6,Settings!$C$7))*100)</f>
        <v/>
      </c>
      <c r="AI2125" s="7" t="n"/>
      <c r="AL2125" s="11" t="n"/>
      <c r="AN2125">
        <f>IF($E2125="","",IF(COUNTIF($E$2:$E2125,$E2125)=1,1,0))</f>
        <v/>
      </c>
      <c r="AO2125">
        <f>IF($AN2125=1,SUMPRODUCT(--($AR$2:$AR$3001&lt;$AR2125))+1,"")</f>
        <v/>
      </c>
      <c r="AP2125">
        <f>IF($E2125="","",IF(OR($U2125=TRUE(),$U2125="TRUE"),1,0))</f>
        <v/>
      </c>
      <c r="AQ2125">
        <f>IF($E2125="","",IF($AD2125="Yes",1,0))</f>
        <v/>
      </c>
      <c r="AR2125">
        <f>IF($AN2125=1,IFERROR(VALUE(MID($E2125,2,20)),1000000000)+ROW()/100000,"")</f>
        <v/>
      </c>
    </row>
    <row r="2126">
      <c r="G2126" s="11" t="n"/>
      <c r="Q2126" s="7">
        <f>IF($E2126="","",P2126*AB2126/100)</f>
        <v/>
      </c>
      <c r="R2126" s="7" t="n"/>
      <c r="X2126" s="7" t="n"/>
      <c r="Y2126" s="7">
        <f>IF($E2126="","",AB2126*AE2126/100)</f>
        <v/>
      </c>
      <c r="Z2126" s="7">
        <f>IF($E2126="","",AB2126-Y2126)</f>
        <v/>
      </c>
      <c r="AA2126" s="7">
        <f>IF($E2126="","",Z2126-Q2126)</f>
        <v/>
      </c>
      <c r="AB2126" s="7" t="n"/>
      <c r="AE2126">
        <f>IF($E2126="","",IF($AQ2126=1,0,IF($AP2126=1,Settings!$C$6,Settings!$C$7))*100)</f>
        <v/>
      </c>
      <c r="AI2126" s="7" t="n"/>
      <c r="AL2126" s="11" t="n"/>
      <c r="AN2126">
        <f>IF($E2126="","",IF(COUNTIF($E$2:$E2126,$E2126)=1,1,0))</f>
        <v/>
      </c>
      <c r="AO2126">
        <f>IF($AN2126=1,SUMPRODUCT(--($AR$2:$AR$3001&lt;$AR2126))+1,"")</f>
        <v/>
      </c>
      <c r="AP2126">
        <f>IF($E2126="","",IF(OR($U2126=TRUE(),$U2126="TRUE"),1,0))</f>
        <v/>
      </c>
      <c r="AQ2126">
        <f>IF($E2126="","",IF($AD2126="Yes",1,0))</f>
        <v/>
      </c>
      <c r="AR2126">
        <f>IF($AN2126=1,IFERROR(VALUE(MID($E2126,2,20)),1000000000)+ROW()/100000,"")</f>
        <v/>
      </c>
    </row>
    <row r="2127">
      <c r="G2127" s="11" t="n"/>
      <c r="Q2127" s="7">
        <f>IF($E2127="","",P2127*AB2127/100)</f>
        <v/>
      </c>
      <c r="R2127" s="7" t="n"/>
      <c r="X2127" s="7" t="n"/>
      <c r="Y2127" s="7">
        <f>IF($E2127="","",AB2127*AE2127/100)</f>
        <v/>
      </c>
      <c r="Z2127" s="7">
        <f>IF($E2127="","",AB2127-Y2127)</f>
        <v/>
      </c>
      <c r="AA2127" s="7">
        <f>IF($E2127="","",Z2127-Q2127)</f>
        <v/>
      </c>
      <c r="AB2127" s="7" t="n"/>
      <c r="AE2127">
        <f>IF($E2127="","",IF($AQ2127=1,0,IF($AP2127=1,Settings!$C$6,Settings!$C$7))*100)</f>
        <v/>
      </c>
      <c r="AI2127" s="7" t="n"/>
      <c r="AL2127" s="11" t="n"/>
      <c r="AN2127">
        <f>IF($E2127="","",IF(COUNTIF($E$2:$E2127,$E2127)=1,1,0))</f>
        <v/>
      </c>
      <c r="AO2127">
        <f>IF($AN2127=1,SUMPRODUCT(--($AR$2:$AR$3001&lt;$AR2127))+1,"")</f>
        <v/>
      </c>
      <c r="AP2127">
        <f>IF($E2127="","",IF(OR($U2127=TRUE(),$U2127="TRUE"),1,0))</f>
        <v/>
      </c>
      <c r="AQ2127">
        <f>IF($E2127="","",IF($AD2127="Yes",1,0))</f>
        <v/>
      </c>
      <c r="AR2127">
        <f>IF($AN2127=1,IFERROR(VALUE(MID($E2127,2,20)),1000000000)+ROW()/100000,"")</f>
        <v/>
      </c>
    </row>
    <row r="2128">
      <c r="G2128" s="11" t="n"/>
      <c r="Q2128" s="7">
        <f>IF($E2128="","",P2128*AB2128/100)</f>
        <v/>
      </c>
      <c r="R2128" s="7" t="n"/>
      <c r="X2128" s="7" t="n"/>
      <c r="Y2128" s="7">
        <f>IF($E2128="","",AB2128*AE2128/100)</f>
        <v/>
      </c>
      <c r="Z2128" s="7">
        <f>IF($E2128="","",AB2128-Y2128)</f>
        <v/>
      </c>
      <c r="AA2128" s="7">
        <f>IF($E2128="","",Z2128-Q2128)</f>
        <v/>
      </c>
      <c r="AB2128" s="7" t="n"/>
      <c r="AE2128">
        <f>IF($E2128="","",IF($AQ2128=1,0,IF($AP2128=1,Settings!$C$6,Settings!$C$7))*100)</f>
        <v/>
      </c>
      <c r="AI2128" s="7" t="n"/>
      <c r="AL2128" s="11" t="n"/>
      <c r="AN2128">
        <f>IF($E2128="","",IF(COUNTIF($E$2:$E2128,$E2128)=1,1,0))</f>
        <v/>
      </c>
      <c r="AO2128">
        <f>IF($AN2128=1,SUMPRODUCT(--($AR$2:$AR$3001&lt;$AR2128))+1,"")</f>
        <v/>
      </c>
      <c r="AP2128">
        <f>IF($E2128="","",IF(OR($U2128=TRUE(),$U2128="TRUE"),1,0))</f>
        <v/>
      </c>
      <c r="AQ2128">
        <f>IF($E2128="","",IF($AD2128="Yes",1,0))</f>
        <v/>
      </c>
      <c r="AR2128">
        <f>IF($AN2128=1,IFERROR(VALUE(MID($E2128,2,20)),1000000000)+ROW()/100000,"")</f>
        <v/>
      </c>
    </row>
    <row r="2129">
      <c r="G2129" s="11" t="n"/>
      <c r="Q2129" s="7">
        <f>IF($E2129="","",P2129*AB2129/100)</f>
        <v/>
      </c>
      <c r="R2129" s="7" t="n"/>
      <c r="X2129" s="7" t="n"/>
      <c r="Y2129" s="7">
        <f>IF($E2129="","",AB2129*AE2129/100)</f>
        <v/>
      </c>
      <c r="Z2129" s="7">
        <f>IF($E2129="","",AB2129-Y2129)</f>
        <v/>
      </c>
      <c r="AA2129" s="7">
        <f>IF($E2129="","",Z2129-Q2129)</f>
        <v/>
      </c>
      <c r="AB2129" s="7" t="n"/>
      <c r="AE2129">
        <f>IF($E2129="","",IF($AQ2129=1,0,IF($AP2129=1,Settings!$C$6,Settings!$C$7))*100)</f>
        <v/>
      </c>
      <c r="AI2129" s="7" t="n"/>
      <c r="AL2129" s="11" t="n"/>
      <c r="AN2129">
        <f>IF($E2129="","",IF(COUNTIF($E$2:$E2129,$E2129)=1,1,0))</f>
        <v/>
      </c>
      <c r="AO2129">
        <f>IF($AN2129=1,SUMPRODUCT(--($AR$2:$AR$3001&lt;$AR2129))+1,"")</f>
        <v/>
      </c>
      <c r="AP2129">
        <f>IF($E2129="","",IF(OR($U2129=TRUE(),$U2129="TRUE"),1,0))</f>
        <v/>
      </c>
      <c r="AQ2129">
        <f>IF($E2129="","",IF($AD2129="Yes",1,0))</f>
        <v/>
      </c>
      <c r="AR2129">
        <f>IF($AN2129=1,IFERROR(VALUE(MID($E2129,2,20)),1000000000)+ROW()/100000,"")</f>
        <v/>
      </c>
    </row>
    <row r="2130">
      <c r="G2130" s="11" t="n"/>
      <c r="Q2130" s="7">
        <f>IF($E2130="","",P2130*AB2130/100)</f>
        <v/>
      </c>
      <c r="R2130" s="7" t="n"/>
      <c r="X2130" s="7" t="n"/>
      <c r="Y2130" s="7">
        <f>IF($E2130="","",AB2130*AE2130/100)</f>
        <v/>
      </c>
      <c r="Z2130" s="7">
        <f>IF($E2130="","",AB2130-Y2130)</f>
        <v/>
      </c>
      <c r="AA2130" s="7">
        <f>IF($E2130="","",Z2130-Q2130)</f>
        <v/>
      </c>
      <c r="AB2130" s="7" t="n"/>
      <c r="AE2130">
        <f>IF($E2130="","",IF($AQ2130=1,0,IF($AP2130=1,Settings!$C$6,Settings!$C$7))*100)</f>
        <v/>
      </c>
      <c r="AI2130" s="7" t="n"/>
      <c r="AL2130" s="11" t="n"/>
      <c r="AN2130">
        <f>IF($E2130="","",IF(COUNTIF($E$2:$E2130,$E2130)=1,1,0))</f>
        <v/>
      </c>
      <c r="AO2130">
        <f>IF($AN2130=1,SUMPRODUCT(--($AR$2:$AR$3001&lt;$AR2130))+1,"")</f>
        <v/>
      </c>
      <c r="AP2130">
        <f>IF($E2130="","",IF(OR($U2130=TRUE(),$U2130="TRUE"),1,0))</f>
        <v/>
      </c>
      <c r="AQ2130">
        <f>IF($E2130="","",IF($AD2130="Yes",1,0))</f>
        <v/>
      </c>
      <c r="AR2130">
        <f>IF($AN2130=1,IFERROR(VALUE(MID($E2130,2,20)),1000000000)+ROW()/100000,"")</f>
        <v/>
      </c>
    </row>
    <row r="2131">
      <c r="G2131" s="11" t="n"/>
      <c r="Q2131" s="7">
        <f>IF($E2131="","",P2131*AB2131/100)</f>
        <v/>
      </c>
      <c r="R2131" s="7" t="n"/>
      <c r="X2131" s="7" t="n"/>
      <c r="Y2131" s="7">
        <f>IF($E2131="","",AB2131*AE2131/100)</f>
        <v/>
      </c>
      <c r="Z2131" s="7">
        <f>IF($E2131="","",AB2131-Y2131)</f>
        <v/>
      </c>
      <c r="AA2131" s="7">
        <f>IF($E2131="","",Z2131-Q2131)</f>
        <v/>
      </c>
      <c r="AB2131" s="7" t="n"/>
      <c r="AE2131">
        <f>IF($E2131="","",IF($AQ2131=1,0,IF($AP2131=1,Settings!$C$6,Settings!$C$7))*100)</f>
        <v/>
      </c>
      <c r="AI2131" s="7" t="n"/>
      <c r="AL2131" s="11" t="n"/>
      <c r="AN2131">
        <f>IF($E2131="","",IF(COUNTIF($E$2:$E2131,$E2131)=1,1,0))</f>
        <v/>
      </c>
      <c r="AO2131">
        <f>IF($AN2131=1,SUMPRODUCT(--($AR$2:$AR$3001&lt;$AR2131))+1,"")</f>
        <v/>
      </c>
      <c r="AP2131">
        <f>IF($E2131="","",IF(OR($U2131=TRUE(),$U2131="TRUE"),1,0))</f>
        <v/>
      </c>
      <c r="AQ2131">
        <f>IF($E2131="","",IF($AD2131="Yes",1,0))</f>
        <v/>
      </c>
      <c r="AR2131">
        <f>IF($AN2131=1,IFERROR(VALUE(MID($E2131,2,20)),1000000000)+ROW()/100000,"")</f>
        <v/>
      </c>
    </row>
    <row r="2132">
      <c r="G2132" s="11" t="n"/>
      <c r="Q2132" s="7">
        <f>IF($E2132="","",P2132*AB2132/100)</f>
        <v/>
      </c>
      <c r="R2132" s="7" t="n"/>
      <c r="X2132" s="7" t="n"/>
      <c r="Y2132" s="7">
        <f>IF($E2132="","",AB2132*AE2132/100)</f>
        <v/>
      </c>
      <c r="Z2132" s="7">
        <f>IF($E2132="","",AB2132-Y2132)</f>
        <v/>
      </c>
      <c r="AA2132" s="7">
        <f>IF($E2132="","",Z2132-Q2132)</f>
        <v/>
      </c>
      <c r="AB2132" s="7" t="n"/>
      <c r="AE2132">
        <f>IF($E2132="","",IF($AQ2132=1,0,IF($AP2132=1,Settings!$C$6,Settings!$C$7))*100)</f>
        <v/>
      </c>
      <c r="AI2132" s="7" t="n"/>
      <c r="AL2132" s="11" t="n"/>
      <c r="AN2132">
        <f>IF($E2132="","",IF(COUNTIF($E$2:$E2132,$E2132)=1,1,0))</f>
        <v/>
      </c>
      <c r="AO2132">
        <f>IF($AN2132=1,SUMPRODUCT(--($AR$2:$AR$3001&lt;$AR2132))+1,"")</f>
        <v/>
      </c>
      <c r="AP2132">
        <f>IF($E2132="","",IF(OR($U2132=TRUE(),$U2132="TRUE"),1,0))</f>
        <v/>
      </c>
      <c r="AQ2132">
        <f>IF($E2132="","",IF($AD2132="Yes",1,0))</f>
        <v/>
      </c>
      <c r="AR2132">
        <f>IF($AN2132=1,IFERROR(VALUE(MID($E2132,2,20)),1000000000)+ROW()/100000,"")</f>
        <v/>
      </c>
    </row>
    <row r="2133">
      <c r="G2133" s="11" t="n"/>
      <c r="Q2133" s="7">
        <f>IF($E2133="","",P2133*AB2133/100)</f>
        <v/>
      </c>
      <c r="R2133" s="7" t="n"/>
      <c r="X2133" s="7" t="n"/>
      <c r="Y2133" s="7">
        <f>IF($E2133="","",AB2133*AE2133/100)</f>
        <v/>
      </c>
      <c r="Z2133" s="7">
        <f>IF($E2133="","",AB2133-Y2133)</f>
        <v/>
      </c>
      <c r="AA2133" s="7">
        <f>IF($E2133="","",Z2133-Q2133)</f>
        <v/>
      </c>
      <c r="AB2133" s="7" t="n"/>
      <c r="AE2133">
        <f>IF($E2133="","",IF($AQ2133=1,0,IF($AP2133=1,Settings!$C$6,Settings!$C$7))*100)</f>
        <v/>
      </c>
      <c r="AI2133" s="7" t="n"/>
      <c r="AL2133" s="11" t="n"/>
      <c r="AN2133">
        <f>IF($E2133="","",IF(COUNTIF($E$2:$E2133,$E2133)=1,1,0))</f>
        <v/>
      </c>
      <c r="AO2133">
        <f>IF($AN2133=1,SUMPRODUCT(--($AR$2:$AR$3001&lt;$AR2133))+1,"")</f>
        <v/>
      </c>
      <c r="AP2133">
        <f>IF($E2133="","",IF(OR($U2133=TRUE(),$U2133="TRUE"),1,0))</f>
        <v/>
      </c>
      <c r="AQ2133">
        <f>IF($E2133="","",IF($AD2133="Yes",1,0))</f>
        <v/>
      </c>
      <c r="AR2133">
        <f>IF($AN2133=1,IFERROR(VALUE(MID($E2133,2,20)),1000000000)+ROW()/100000,"")</f>
        <v/>
      </c>
    </row>
    <row r="2134">
      <c r="G2134" s="11" t="n"/>
      <c r="Q2134" s="7">
        <f>IF($E2134="","",P2134*AB2134/100)</f>
        <v/>
      </c>
      <c r="R2134" s="7" t="n"/>
      <c r="X2134" s="7" t="n"/>
      <c r="Y2134" s="7">
        <f>IF($E2134="","",AB2134*AE2134/100)</f>
        <v/>
      </c>
      <c r="Z2134" s="7">
        <f>IF($E2134="","",AB2134-Y2134)</f>
        <v/>
      </c>
      <c r="AA2134" s="7">
        <f>IF($E2134="","",Z2134-Q2134)</f>
        <v/>
      </c>
      <c r="AB2134" s="7" t="n"/>
      <c r="AE2134">
        <f>IF($E2134="","",IF($AQ2134=1,0,IF($AP2134=1,Settings!$C$6,Settings!$C$7))*100)</f>
        <v/>
      </c>
      <c r="AI2134" s="7" t="n"/>
      <c r="AL2134" s="11" t="n"/>
      <c r="AN2134">
        <f>IF($E2134="","",IF(COUNTIF($E$2:$E2134,$E2134)=1,1,0))</f>
        <v/>
      </c>
      <c r="AO2134">
        <f>IF($AN2134=1,SUMPRODUCT(--($AR$2:$AR$3001&lt;$AR2134))+1,"")</f>
        <v/>
      </c>
      <c r="AP2134">
        <f>IF($E2134="","",IF(OR($U2134=TRUE(),$U2134="TRUE"),1,0))</f>
        <v/>
      </c>
      <c r="AQ2134">
        <f>IF($E2134="","",IF($AD2134="Yes",1,0))</f>
        <v/>
      </c>
      <c r="AR2134">
        <f>IF($AN2134=1,IFERROR(VALUE(MID($E2134,2,20)),1000000000)+ROW()/100000,"")</f>
        <v/>
      </c>
    </row>
    <row r="2135">
      <c r="G2135" s="11" t="n"/>
      <c r="Q2135" s="7">
        <f>IF($E2135="","",P2135*AB2135/100)</f>
        <v/>
      </c>
      <c r="R2135" s="7" t="n"/>
      <c r="X2135" s="7" t="n"/>
      <c r="Y2135" s="7">
        <f>IF($E2135="","",AB2135*AE2135/100)</f>
        <v/>
      </c>
      <c r="Z2135" s="7">
        <f>IF($E2135="","",AB2135-Y2135)</f>
        <v/>
      </c>
      <c r="AA2135" s="7">
        <f>IF($E2135="","",Z2135-Q2135)</f>
        <v/>
      </c>
      <c r="AB2135" s="7" t="n"/>
      <c r="AE2135">
        <f>IF($E2135="","",IF($AQ2135=1,0,IF($AP2135=1,Settings!$C$6,Settings!$C$7))*100)</f>
        <v/>
      </c>
      <c r="AI2135" s="7" t="n"/>
      <c r="AL2135" s="11" t="n"/>
      <c r="AN2135">
        <f>IF($E2135="","",IF(COUNTIF($E$2:$E2135,$E2135)=1,1,0))</f>
        <v/>
      </c>
      <c r="AO2135">
        <f>IF($AN2135=1,SUMPRODUCT(--($AR$2:$AR$3001&lt;$AR2135))+1,"")</f>
        <v/>
      </c>
      <c r="AP2135">
        <f>IF($E2135="","",IF(OR($U2135=TRUE(),$U2135="TRUE"),1,0))</f>
        <v/>
      </c>
      <c r="AQ2135">
        <f>IF($E2135="","",IF($AD2135="Yes",1,0))</f>
        <v/>
      </c>
      <c r="AR2135">
        <f>IF($AN2135=1,IFERROR(VALUE(MID($E2135,2,20)),1000000000)+ROW()/100000,"")</f>
        <v/>
      </c>
    </row>
    <row r="2136">
      <c r="G2136" s="11" t="n"/>
      <c r="Q2136" s="7">
        <f>IF($E2136="","",P2136*AB2136/100)</f>
        <v/>
      </c>
      <c r="R2136" s="7" t="n"/>
      <c r="X2136" s="7" t="n"/>
      <c r="Y2136" s="7">
        <f>IF($E2136="","",AB2136*AE2136/100)</f>
        <v/>
      </c>
      <c r="Z2136" s="7">
        <f>IF($E2136="","",AB2136-Y2136)</f>
        <v/>
      </c>
      <c r="AA2136" s="7">
        <f>IF($E2136="","",Z2136-Q2136)</f>
        <v/>
      </c>
      <c r="AB2136" s="7" t="n"/>
      <c r="AE2136">
        <f>IF($E2136="","",IF($AQ2136=1,0,IF($AP2136=1,Settings!$C$6,Settings!$C$7))*100)</f>
        <v/>
      </c>
      <c r="AI2136" s="7" t="n"/>
      <c r="AL2136" s="11" t="n"/>
      <c r="AN2136">
        <f>IF($E2136="","",IF(COUNTIF($E$2:$E2136,$E2136)=1,1,0))</f>
        <v/>
      </c>
      <c r="AO2136">
        <f>IF($AN2136=1,SUMPRODUCT(--($AR$2:$AR$3001&lt;$AR2136))+1,"")</f>
        <v/>
      </c>
      <c r="AP2136">
        <f>IF($E2136="","",IF(OR($U2136=TRUE(),$U2136="TRUE"),1,0))</f>
        <v/>
      </c>
      <c r="AQ2136">
        <f>IF($E2136="","",IF($AD2136="Yes",1,0))</f>
        <v/>
      </c>
      <c r="AR2136">
        <f>IF($AN2136=1,IFERROR(VALUE(MID($E2136,2,20)),1000000000)+ROW()/100000,"")</f>
        <v/>
      </c>
    </row>
    <row r="2137">
      <c r="G2137" s="11" t="n"/>
      <c r="Q2137" s="7">
        <f>IF($E2137="","",P2137*AB2137/100)</f>
        <v/>
      </c>
      <c r="R2137" s="7" t="n"/>
      <c r="X2137" s="7" t="n"/>
      <c r="Y2137" s="7">
        <f>IF($E2137="","",AB2137*AE2137/100)</f>
        <v/>
      </c>
      <c r="Z2137" s="7">
        <f>IF($E2137="","",AB2137-Y2137)</f>
        <v/>
      </c>
      <c r="AA2137" s="7">
        <f>IF($E2137="","",Z2137-Q2137)</f>
        <v/>
      </c>
      <c r="AB2137" s="7" t="n"/>
      <c r="AE2137">
        <f>IF($E2137="","",IF($AQ2137=1,0,IF($AP2137=1,Settings!$C$6,Settings!$C$7))*100)</f>
        <v/>
      </c>
      <c r="AI2137" s="7" t="n"/>
      <c r="AL2137" s="11" t="n"/>
      <c r="AN2137">
        <f>IF($E2137="","",IF(COUNTIF($E$2:$E2137,$E2137)=1,1,0))</f>
        <v/>
      </c>
      <c r="AO2137">
        <f>IF($AN2137=1,SUMPRODUCT(--($AR$2:$AR$3001&lt;$AR2137))+1,"")</f>
        <v/>
      </c>
      <c r="AP2137">
        <f>IF($E2137="","",IF(OR($U2137=TRUE(),$U2137="TRUE"),1,0))</f>
        <v/>
      </c>
      <c r="AQ2137">
        <f>IF($E2137="","",IF($AD2137="Yes",1,0))</f>
        <v/>
      </c>
      <c r="AR2137">
        <f>IF($AN2137=1,IFERROR(VALUE(MID($E2137,2,20)),1000000000)+ROW()/100000,"")</f>
        <v/>
      </c>
    </row>
    <row r="2138">
      <c r="G2138" s="11" t="n"/>
      <c r="Q2138" s="7">
        <f>IF($E2138="","",P2138*AB2138/100)</f>
        <v/>
      </c>
      <c r="R2138" s="7" t="n"/>
      <c r="X2138" s="7" t="n"/>
      <c r="Y2138" s="7">
        <f>IF($E2138="","",AB2138*AE2138/100)</f>
        <v/>
      </c>
      <c r="Z2138" s="7">
        <f>IF($E2138="","",AB2138-Y2138)</f>
        <v/>
      </c>
      <c r="AA2138" s="7">
        <f>IF($E2138="","",Z2138-Q2138)</f>
        <v/>
      </c>
      <c r="AB2138" s="7" t="n"/>
      <c r="AE2138">
        <f>IF($E2138="","",IF($AQ2138=1,0,IF($AP2138=1,Settings!$C$6,Settings!$C$7))*100)</f>
        <v/>
      </c>
      <c r="AI2138" s="7" t="n"/>
      <c r="AL2138" s="11" t="n"/>
      <c r="AN2138">
        <f>IF($E2138="","",IF(COUNTIF($E$2:$E2138,$E2138)=1,1,0))</f>
        <v/>
      </c>
      <c r="AO2138">
        <f>IF($AN2138=1,SUMPRODUCT(--($AR$2:$AR$3001&lt;$AR2138))+1,"")</f>
        <v/>
      </c>
      <c r="AP2138">
        <f>IF($E2138="","",IF(OR($U2138=TRUE(),$U2138="TRUE"),1,0))</f>
        <v/>
      </c>
      <c r="AQ2138">
        <f>IF($E2138="","",IF($AD2138="Yes",1,0))</f>
        <v/>
      </c>
      <c r="AR2138">
        <f>IF($AN2138=1,IFERROR(VALUE(MID($E2138,2,20)),1000000000)+ROW()/100000,"")</f>
        <v/>
      </c>
    </row>
    <row r="2139">
      <c r="G2139" s="11" t="n"/>
      <c r="Q2139" s="7">
        <f>IF($E2139="","",P2139*AB2139/100)</f>
        <v/>
      </c>
      <c r="R2139" s="7" t="n"/>
      <c r="X2139" s="7" t="n"/>
      <c r="Y2139" s="7">
        <f>IF($E2139="","",AB2139*AE2139/100)</f>
        <v/>
      </c>
      <c r="Z2139" s="7">
        <f>IF($E2139="","",AB2139-Y2139)</f>
        <v/>
      </c>
      <c r="AA2139" s="7">
        <f>IF($E2139="","",Z2139-Q2139)</f>
        <v/>
      </c>
      <c r="AB2139" s="7" t="n"/>
      <c r="AE2139">
        <f>IF($E2139="","",IF($AQ2139=1,0,IF($AP2139=1,Settings!$C$6,Settings!$C$7))*100)</f>
        <v/>
      </c>
      <c r="AI2139" s="7" t="n"/>
      <c r="AL2139" s="11" t="n"/>
      <c r="AN2139">
        <f>IF($E2139="","",IF(COUNTIF($E$2:$E2139,$E2139)=1,1,0))</f>
        <v/>
      </c>
      <c r="AO2139">
        <f>IF($AN2139=1,SUMPRODUCT(--($AR$2:$AR$3001&lt;$AR2139))+1,"")</f>
        <v/>
      </c>
      <c r="AP2139">
        <f>IF($E2139="","",IF(OR($U2139=TRUE(),$U2139="TRUE"),1,0))</f>
        <v/>
      </c>
      <c r="AQ2139">
        <f>IF($E2139="","",IF($AD2139="Yes",1,0))</f>
        <v/>
      </c>
      <c r="AR2139">
        <f>IF($AN2139=1,IFERROR(VALUE(MID($E2139,2,20)),1000000000)+ROW()/100000,"")</f>
        <v/>
      </c>
    </row>
    <row r="2140">
      <c r="G2140" s="11" t="n"/>
      <c r="Q2140" s="7">
        <f>IF($E2140="","",P2140*AB2140/100)</f>
        <v/>
      </c>
      <c r="R2140" s="7" t="n"/>
      <c r="X2140" s="7" t="n"/>
      <c r="Y2140" s="7">
        <f>IF($E2140="","",AB2140*AE2140/100)</f>
        <v/>
      </c>
      <c r="Z2140" s="7">
        <f>IF($E2140="","",AB2140-Y2140)</f>
        <v/>
      </c>
      <c r="AA2140" s="7">
        <f>IF($E2140="","",Z2140-Q2140)</f>
        <v/>
      </c>
      <c r="AB2140" s="7" t="n"/>
      <c r="AE2140">
        <f>IF($E2140="","",IF($AQ2140=1,0,IF($AP2140=1,Settings!$C$6,Settings!$C$7))*100)</f>
        <v/>
      </c>
      <c r="AI2140" s="7" t="n"/>
      <c r="AL2140" s="11" t="n"/>
      <c r="AN2140">
        <f>IF($E2140="","",IF(COUNTIF($E$2:$E2140,$E2140)=1,1,0))</f>
        <v/>
      </c>
      <c r="AO2140">
        <f>IF($AN2140=1,SUMPRODUCT(--($AR$2:$AR$3001&lt;$AR2140))+1,"")</f>
        <v/>
      </c>
      <c r="AP2140">
        <f>IF($E2140="","",IF(OR($U2140=TRUE(),$U2140="TRUE"),1,0))</f>
        <v/>
      </c>
      <c r="AQ2140">
        <f>IF($E2140="","",IF($AD2140="Yes",1,0))</f>
        <v/>
      </c>
      <c r="AR2140">
        <f>IF($AN2140=1,IFERROR(VALUE(MID($E2140,2,20)),1000000000)+ROW()/100000,"")</f>
        <v/>
      </c>
    </row>
    <row r="2141">
      <c r="G2141" s="11" t="n"/>
      <c r="Q2141" s="7">
        <f>IF($E2141="","",P2141*AB2141/100)</f>
        <v/>
      </c>
      <c r="R2141" s="7" t="n"/>
      <c r="X2141" s="7" t="n"/>
      <c r="Y2141" s="7">
        <f>IF($E2141="","",AB2141*AE2141/100)</f>
        <v/>
      </c>
      <c r="Z2141" s="7">
        <f>IF($E2141="","",AB2141-Y2141)</f>
        <v/>
      </c>
      <c r="AA2141" s="7">
        <f>IF($E2141="","",Z2141-Q2141)</f>
        <v/>
      </c>
      <c r="AB2141" s="7" t="n"/>
      <c r="AE2141">
        <f>IF($E2141="","",IF($AQ2141=1,0,IF($AP2141=1,Settings!$C$6,Settings!$C$7))*100)</f>
        <v/>
      </c>
      <c r="AI2141" s="7" t="n"/>
      <c r="AL2141" s="11" t="n"/>
      <c r="AN2141">
        <f>IF($E2141="","",IF(COUNTIF($E$2:$E2141,$E2141)=1,1,0))</f>
        <v/>
      </c>
      <c r="AO2141">
        <f>IF($AN2141=1,SUMPRODUCT(--($AR$2:$AR$3001&lt;$AR2141))+1,"")</f>
        <v/>
      </c>
      <c r="AP2141">
        <f>IF($E2141="","",IF(OR($U2141=TRUE(),$U2141="TRUE"),1,0))</f>
        <v/>
      </c>
      <c r="AQ2141">
        <f>IF($E2141="","",IF($AD2141="Yes",1,0))</f>
        <v/>
      </c>
      <c r="AR2141">
        <f>IF($AN2141=1,IFERROR(VALUE(MID($E2141,2,20)),1000000000)+ROW()/100000,"")</f>
        <v/>
      </c>
    </row>
    <row r="2142">
      <c r="G2142" s="11" t="n"/>
      <c r="Q2142" s="7">
        <f>IF($E2142="","",P2142*AB2142/100)</f>
        <v/>
      </c>
      <c r="R2142" s="7" t="n"/>
      <c r="X2142" s="7" t="n"/>
      <c r="Y2142" s="7">
        <f>IF($E2142="","",AB2142*AE2142/100)</f>
        <v/>
      </c>
      <c r="Z2142" s="7">
        <f>IF($E2142="","",AB2142-Y2142)</f>
        <v/>
      </c>
      <c r="AA2142" s="7">
        <f>IF($E2142="","",Z2142-Q2142)</f>
        <v/>
      </c>
      <c r="AB2142" s="7" t="n"/>
      <c r="AE2142">
        <f>IF($E2142="","",IF($AQ2142=1,0,IF($AP2142=1,Settings!$C$6,Settings!$C$7))*100)</f>
        <v/>
      </c>
      <c r="AI2142" s="7" t="n"/>
      <c r="AL2142" s="11" t="n"/>
      <c r="AN2142">
        <f>IF($E2142="","",IF(COUNTIF($E$2:$E2142,$E2142)=1,1,0))</f>
        <v/>
      </c>
      <c r="AO2142">
        <f>IF($AN2142=1,SUMPRODUCT(--($AR$2:$AR$3001&lt;$AR2142))+1,"")</f>
        <v/>
      </c>
      <c r="AP2142">
        <f>IF($E2142="","",IF(OR($U2142=TRUE(),$U2142="TRUE"),1,0))</f>
        <v/>
      </c>
      <c r="AQ2142">
        <f>IF($E2142="","",IF($AD2142="Yes",1,0))</f>
        <v/>
      </c>
      <c r="AR2142">
        <f>IF($AN2142=1,IFERROR(VALUE(MID($E2142,2,20)),1000000000)+ROW()/100000,"")</f>
        <v/>
      </c>
    </row>
    <row r="2143">
      <c r="G2143" s="11" t="n"/>
      <c r="Q2143" s="7">
        <f>IF($E2143="","",P2143*AB2143/100)</f>
        <v/>
      </c>
      <c r="R2143" s="7" t="n"/>
      <c r="X2143" s="7" t="n"/>
      <c r="Y2143" s="7">
        <f>IF($E2143="","",AB2143*AE2143/100)</f>
        <v/>
      </c>
      <c r="Z2143" s="7">
        <f>IF($E2143="","",AB2143-Y2143)</f>
        <v/>
      </c>
      <c r="AA2143" s="7">
        <f>IF($E2143="","",Z2143-Q2143)</f>
        <v/>
      </c>
      <c r="AB2143" s="7" t="n"/>
      <c r="AE2143">
        <f>IF($E2143="","",IF($AQ2143=1,0,IF($AP2143=1,Settings!$C$6,Settings!$C$7))*100)</f>
        <v/>
      </c>
      <c r="AI2143" s="7" t="n"/>
      <c r="AL2143" s="11" t="n"/>
      <c r="AN2143">
        <f>IF($E2143="","",IF(COUNTIF($E$2:$E2143,$E2143)=1,1,0))</f>
        <v/>
      </c>
      <c r="AO2143">
        <f>IF($AN2143=1,SUMPRODUCT(--($AR$2:$AR$3001&lt;$AR2143))+1,"")</f>
        <v/>
      </c>
      <c r="AP2143">
        <f>IF($E2143="","",IF(OR($U2143=TRUE(),$U2143="TRUE"),1,0))</f>
        <v/>
      </c>
      <c r="AQ2143">
        <f>IF($E2143="","",IF($AD2143="Yes",1,0))</f>
        <v/>
      </c>
      <c r="AR2143">
        <f>IF($AN2143=1,IFERROR(VALUE(MID($E2143,2,20)),1000000000)+ROW()/100000,"")</f>
        <v/>
      </c>
    </row>
    <row r="2144">
      <c r="G2144" s="11" t="n"/>
      <c r="Q2144" s="7">
        <f>IF($E2144="","",P2144*AB2144/100)</f>
        <v/>
      </c>
      <c r="R2144" s="7" t="n"/>
      <c r="X2144" s="7" t="n"/>
      <c r="Y2144" s="7">
        <f>IF($E2144="","",AB2144*AE2144/100)</f>
        <v/>
      </c>
      <c r="Z2144" s="7">
        <f>IF($E2144="","",AB2144-Y2144)</f>
        <v/>
      </c>
      <c r="AA2144" s="7">
        <f>IF($E2144="","",Z2144-Q2144)</f>
        <v/>
      </c>
      <c r="AB2144" s="7" t="n"/>
      <c r="AE2144">
        <f>IF($E2144="","",IF($AQ2144=1,0,IF($AP2144=1,Settings!$C$6,Settings!$C$7))*100)</f>
        <v/>
      </c>
      <c r="AI2144" s="7" t="n"/>
      <c r="AL2144" s="11" t="n"/>
      <c r="AN2144">
        <f>IF($E2144="","",IF(COUNTIF($E$2:$E2144,$E2144)=1,1,0))</f>
        <v/>
      </c>
      <c r="AO2144">
        <f>IF($AN2144=1,SUMPRODUCT(--($AR$2:$AR$3001&lt;$AR2144))+1,"")</f>
        <v/>
      </c>
      <c r="AP2144">
        <f>IF($E2144="","",IF(OR($U2144=TRUE(),$U2144="TRUE"),1,0))</f>
        <v/>
      </c>
      <c r="AQ2144">
        <f>IF($E2144="","",IF($AD2144="Yes",1,0))</f>
        <v/>
      </c>
      <c r="AR2144">
        <f>IF($AN2144=1,IFERROR(VALUE(MID($E2144,2,20)),1000000000)+ROW()/100000,"")</f>
        <v/>
      </c>
    </row>
    <row r="2145">
      <c r="G2145" s="11" t="n"/>
      <c r="Q2145" s="7">
        <f>IF($E2145="","",P2145*AB2145/100)</f>
        <v/>
      </c>
      <c r="R2145" s="7" t="n"/>
      <c r="X2145" s="7" t="n"/>
      <c r="Y2145" s="7">
        <f>IF($E2145="","",AB2145*AE2145/100)</f>
        <v/>
      </c>
      <c r="Z2145" s="7">
        <f>IF($E2145="","",AB2145-Y2145)</f>
        <v/>
      </c>
      <c r="AA2145" s="7">
        <f>IF($E2145="","",Z2145-Q2145)</f>
        <v/>
      </c>
      <c r="AB2145" s="7" t="n"/>
      <c r="AE2145">
        <f>IF($E2145="","",IF($AQ2145=1,0,IF($AP2145=1,Settings!$C$6,Settings!$C$7))*100)</f>
        <v/>
      </c>
      <c r="AI2145" s="7" t="n"/>
      <c r="AL2145" s="11" t="n"/>
      <c r="AN2145">
        <f>IF($E2145="","",IF(COUNTIF($E$2:$E2145,$E2145)=1,1,0))</f>
        <v/>
      </c>
      <c r="AO2145">
        <f>IF($AN2145=1,SUMPRODUCT(--($AR$2:$AR$3001&lt;$AR2145))+1,"")</f>
        <v/>
      </c>
      <c r="AP2145">
        <f>IF($E2145="","",IF(OR($U2145=TRUE(),$U2145="TRUE"),1,0))</f>
        <v/>
      </c>
      <c r="AQ2145">
        <f>IF($E2145="","",IF($AD2145="Yes",1,0))</f>
        <v/>
      </c>
      <c r="AR2145">
        <f>IF($AN2145=1,IFERROR(VALUE(MID($E2145,2,20)),1000000000)+ROW()/100000,"")</f>
        <v/>
      </c>
    </row>
    <row r="2146">
      <c r="G2146" s="11" t="n"/>
      <c r="Q2146" s="7">
        <f>IF($E2146="","",P2146*AB2146/100)</f>
        <v/>
      </c>
      <c r="R2146" s="7" t="n"/>
      <c r="X2146" s="7" t="n"/>
      <c r="Y2146" s="7">
        <f>IF($E2146="","",AB2146*AE2146/100)</f>
        <v/>
      </c>
      <c r="Z2146" s="7">
        <f>IF($E2146="","",AB2146-Y2146)</f>
        <v/>
      </c>
      <c r="AA2146" s="7">
        <f>IF($E2146="","",Z2146-Q2146)</f>
        <v/>
      </c>
      <c r="AB2146" s="7" t="n"/>
      <c r="AE2146">
        <f>IF($E2146="","",IF($AQ2146=1,0,IF($AP2146=1,Settings!$C$6,Settings!$C$7))*100)</f>
        <v/>
      </c>
      <c r="AI2146" s="7" t="n"/>
      <c r="AL2146" s="11" t="n"/>
      <c r="AN2146">
        <f>IF($E2146="","",IF(COUNTIF($E$2:$E2146,$E2146)=1,1,0))</f>
        <v/>
      </c>
      <c r="AO2146">
        <f>IF($AN2146=1,SUMPRODUCT(--($AR$2:$AR$3001&lt;$AR2146))+1,"")</f>
        <v/>
      </c>
      <c r="AP2146">
        <f>IF($E2146="","",IF(OR($U2146=TRUE(),$U2146="TRUE"),1,0))</f>
        <v/>
      </c>
      <c r="AQ2146">
        <f>IF($E2146="","",IF($AD2146="Yes",1,0))</f>
        <v/>
      </c>
      <c r="AR2146">
        <f>IF($AN2146=1,IFERROR(VALUE(MID($E2146,2,20)),1000000000)+ROW()/100000,"")</f>
        <v/>
      </c>
    </row>
    <row r="2147">
      <c r="G2147" s="11" t="n"/>
      <c r="Q2147" s="7">
        <f>IF($E2147="","",P2147*AB2147/100)</f>
        <v/>
      </c>
      <c r="R2147" s="7" t="n"/>
      <c r="X2147" s="7" t="n"/>
      <c r="Y2147" s="7">
        <f>IF($E2147="","",AB2147*AE2147/100)</f>
        <v/>
      </c>
      <c r="Z2147" s="7">
        <f>IF($E2147="","",AB2147-Y2147)</f>
        <v/>
      </c>
      <c r="AA2147" s="7">
        <f>IF($E2147="","",Z2147-Q2147)</f>
        <v/>
      </c>
      <c r="AB2147" s="7" t="n"/>
      <c r="AE2147">
        <f>IF($E2147="","",IF($AQ2147=1,0,IF($AP2147=1,Settings!$C$6,Settings!$C$7))*100)</f>
        <v/>
      </c>
      <c r="AI2147" s="7" t="n"/>
      <c r="AL2147" s="11" t="n"/>
      <c r="AN2147">
        <f>IF($E2147="","",IF(COUNTIF($E$2:$E2147,$E2147)=1,1,0))</f>
        <v/>
      </c>
      <c r="AO2147">
        <f>IF($AN2147=1,SUMPRODUCT(--($AR$2:$AR$3001&lt;$AR2147))+1,"")</f>
        <v/>
      </c>
      <c r="AP2147">
        <f>IF($E2147="","",IF(OR($U2147=TRUE(),$U2147="TRUE"),1,0))</f>
        <v/>
      </c>
      <c r="AQ2147">
        <f>IF($E2147="","",IF($AD2147="Yes",1,0))</f>
        <v/>
      </c>
      <c r="AR2147">
        <f>IF($AN2147=1,IFERROR(VALUE(MID($E2147,2,20)),1000000000)+ROW()/100000,"")</f>
        <v/>
      </c>
    </row>
    <row r="2148">
      <c r="G2148" s="11" t="n"/>
      <c r="Q2148" s="7">
        <f>IF($E2148="","",P2148*AB2148/100)</f>
        <v/>
      </c>
      <c r="R2148" s="7" t="n"/>
      <c r="X2148" s="7" t="n"/>
      <c r="Y2148" s="7">
        <f>IF($E2148="","",AB2148*AE2148/100)</f>
        <v/>
      </c>
      <c r="Z2148" s="7">
        <f>IF($E2148="","",AB2148-Y2148)</f>
        <v/>
      </c>
      <c r="AA2148" s="7">
        <f>IF($E2148="","",Z2148-Q2148)</f>
        <v/>
      </c>
      <c r="AB2148" s="7" t="n"/>
      <c r="AE2148">
        <f>IF($E2148="","",IF($AQ2148=1,0,IF($AP2148=1,Settings!$C$6,Settings!$C$7))*100)</f>
        <v/>
      </c>
      <c r="AI2148" s="7" t="n"/>
      <c r="AL2148" s="11" t="n"/>
      <c r="AN2148">
        <f>IF($E2148="","",IF(COUNTIF($E$2:$E2148,$E2148)=1,1,0))</f>
        <v/>
      </c>
      <c r="AO2148">
        <f>IF($AN2148=1,SUMPRODUCT(--($AR$2:$AR$3001&lt;$AR2148))+1,"")</f>
        <v/>
      </c>
      <c r="AP2148">
        <f>IF($E2148="","",IF(OR($U2148=TRUE(),$U2148="TRUE"),1,0))</f>
        <v/>
      </c>
      <c r="AQ2148">
        <f>IF($E2148="","",IF($AD2148="Yes",1,0))</f>
        <v/>
      </c>
      <c r="AR2148">
        <f>IF($AN2148=1,IFERROR(VALUE(MID($E2148,2,20)),1000000000)+ROW()/100000,"")</f>
        <v/>
      </c>
    </row>
    <row r="2149">
      <c r="G2149" s="11" t="n"/>
      <c r="Q2149" s="7">
        <f>IF($E2149="","",P2149*AB2149/100)</f>
        <v/>
      </c>
      <c r="R2149" s="7" t="n"/>
      <c r="X2149" s="7" t="n"/>
      <c r="Y2149" s="7">
        <f>IF($E2149="","",AB2149*AE2149/100)</f>
        <v/>
      </c>
      <c r="Z2149" s="7">
        <f>IF($E2149="","",AB2149-Y2149)</f>
        <v/>
      </c>
      <c r="AA2149" s="7">
        <f>IF($E2149="","",Z2149-Q2149)</f>
        <v/>
      </c>
      <c r="AB2149" s="7" t="n"/>
      <c r="AE2149">
        <f>IF($E2149="","",IF($AQ2149=1,0,IF($AP2149=1,Settings!$C$6,Settings!$C$7))*100)</f>
        <v/>
      </c>
      <c r="AI2149" s="7" t="n"/>
      <c r="AL2149" s="11" t="n"/>
      <c r="AN2149">
        <f>IF($E2149="","",IF(COUNTIF($E$2:$E2149,$E2149)=1,1,0))</f>
        <v/>
      </c>
      <c r="AO2149">
        <f>IF($AN2149=1,SUMPRODUCT(--($AR$2:$AR$3001&lt;$AR2149))+1,"")</f>
        <v/>
      </c>
      <c r="AP2149">
        <f>IF($E2149="","",IF(OR($U2149=TRUE(),$U2149="TRUE"),1,0))</f>
        <v/>
      </c>
      <c r="AQ2149">
        <f>IF($E2149="","",IF($AD2149="Yes",1,0))</f>
        <v/>
      </c>
      <c r="AR2149">
        <f>IF($AN2149=1,IFERROR(VALUE(MID($E2149,2,20)),1000000000)+ROW()/100000,"")</f>
        <v/>
      </c>
    </row>
    <row r="2150">
      <c r="G2150" s="11" t="n"/>
      <c r="Q2150" s="7">
        <f>IF($E2150="","",P2150*AB2150/100)</f>
        <v/>
      </c>
      <c r="R2150" s="7" t="n"/>
      <c r="X2150" s="7" t="n"/>
      <c r="Y2150" s="7">
        <f>IF($E2150="","",AB2150*AE2150/100)</f>
        <v/>
      </c>
      <c r="Z2150" s="7">
        <f>IF($E2150="","",AB2150-Y2150)</f>
        <v/>
      </c>
      <c r="AA2150" s="7">
        <f>IF($E2150="","",Z2150-Q2150)</f>
        <v/>
      </c>
      <c r="AB2150" s="7" t="n"/>
      <c r="AE2150">
        <f>IF($E2150="","",IF($AQ2150=1,0,IF($AP2150=1,Settings!$C$6,Settings!$C$7))*100)</f>
        <v/>
      </c>
      <c r="AI2150" s="7" t="n"/>
      <c r="AL2150" s="11" t="n"/>
      <c r="AN2150">
        <f>IF($E2150="","",IF(COUNTIF($E$2:$E2150,$E2150)=1,1,0))</f>
        <v/>
      </c>
      <c r="AO2150">
        <f>IF($AN2150=1,SUMPRODUCT(--($AR$2:$AR$3001&lt;$AR2150))+1,"")</f>
        <v/>
      </c>
      <c r="AP2150">
        <f>IF($E2150="","",IF(OR($U2150=TRUE(),$U2150="TRUE"),1,0))</f>
        <v/>
      </c>
      <c r="AQ2150">
        <f>IF($E2150="","",IF($AD2150="Yes",1,0))</f>
        <v/>
      </c>
      <c r="AR2150">
        <f>IF($AN2150=1,IFERROR(VALUE(MID($E2150,2,20)),1000000000)+ROW()/100000,"")</f>
        <v/>
      </c>
    </row>
    <row r="2151">
      <c r="G2151" s="11" t="n"/>
      <c r="Q2151" s="7">
        <f>IF($E2151="","",P2151*AB2151/100)</f>
        <v/>
      </c>
      <c r="R2151" s="7" t="n"/>
      <c r="X2151" s="7" t="n"/>
      <c r="Y2151" s="7">
        <f>IF($E2151="","",AB2151*AE2151/100)</f>
        <v/>
      </c>
      <c r="Z2151" s="7">
        <f>IF($E2151="","",AB2151-Y2151)</f>
        <v/>
      </c>
      <c r="AA2151" s="7">
        <f>IF($E2151="","",Z2151-Q2151)</f>
        <v/>
      </c>
      <c r="AB2151" s="7" t="n"/>
      <c r="AE2151">
        <f>IF($E2151="","",IF($AQ2151=1,0,IF($AP2151=1,Settings!$C$6,Settings!$C$7))*100)</f>
        <v/>
      </c>
      <c r="AI2151" s="7" t="n"/>
      <c r="AL2151" s="11" t="n"/>
      <c r="AN2151">
        <f>IF($E2151="","",IF(COUNTIF($E$2:$E2151,$E2151)=1,1,0))</f>
        <v/>
      </c>
      <c r="AO2151">
        <f>IF($AN2151=1,SUMPRODUCT(--($AR$2:$AR$3001&lt;$AR2151))+1,"")</f>
        <v/>
      </c>
      <c r="AP2151">
        <f>IF($E2151="","",IF(OR($U2151=TRUE(),$U2151="TRUE"),1,0))</f>
        <v/>
      </c>
      <c r="AQ2151">
        <f>IF($E2151="","",IF($AD2151="Yes",1,0))</f>
        <v/>
      </c>
      <c r="AR2151">
        <f>IF($AN2151=1,IFERROR(VALUE(MID($E2151,2,20)),1000000000)+ROW()/100000,"")</f>
        <v/>
      </c>
    </row>
    <row r="2152">
      <c r="G2152" s="11" t="n"/>
      <c r="Q2152" s="7">
        <f>IF($E2152="","",P2152*AB2152/100)</f>
        <v/>
      </c>
      <c r="R2152" s="7" t="n"/>
      <c r="X2152" s="7" t="n"/>
      <c r="Y2152" s="7">
        <f>IF($E2152="","",AB2152*AE2152/100)</f>
        <v/>
      </c>
      <c r="Z2152" s="7">
        <f>IF($E2152="","",AB2152-Y2152)</f>
        <v/>
      </c>
      <c r="AA2152" s="7">
        <f>IF($E2152="","",Z2152-Q2152)</f>
        <v/>
      </c>
      <c r="AB2152" s="7" t="n"/>
      <c r="AE2152">
        <f>IF($E2152="","",IF($AQ2152=1,0,IF($AP2152=1,Settings!$C$6,Settings!$C$7))*100)</f>
        <v/>
      </c>
      <c r="AI2152" s="7" t="n"/>
      <c r="AL2152" s="11" t="n"/>
      <c r="AN2152">
        <f>IF($E2152="","",IF(COUNTIF($E$2:$E2152,$E2152)=1,1,0))</f>
        <v/>
      </c>
      <c r="AO2152">
        <f>IF($AN2152=1,SUMPRODUCT(--($AR$2:$AR$3001&lt;$AR2152))+1,"")</f>
        <v/>
      </c>
      <c r="AP2152">
        <f>IF($E2152="","",IF(OR($U2152=TRUE(),$U2152="TRUE"),1,0))</f>
        <v/>
      </c>
      <c r="AQ2152">
        <f>IF($E2152="","",IF($AD2152="Yes",1,0))</f>
        <v/>
      </c>
      <c r="AR2152">
        <f>IF($AN2152=1,IFERROR(VALUE(MID($E2152,2,20)),1000000000)+ROW()/100000,"")</f>
        <v/>
      </c>
    </row>
    <row r="2153">
      <c r="G2153" s="11" t="n"/>
      <c r="Q2153" s="7">
        <f>IF($E2153="","",P2153*AB2153/100)</f>
        <v/>
      </c>
      <c r="R2153" s="7" t="n"/>
      <c r="X2153" s="7" t="n"/>
      <c r="Y2153" s="7">
        <f>IF($E2153="","",AB2153*AE2153/100)</f>
        <v/>
      </c>
      <c r="Z2153" s="7">
        <f>IF($E2153="","",AB2153-Y2153)</f>
        <v/>
      </c>
      <c r="AA2153" s="7">
        <f>IF($E2153="","",Z2153-Q2153)</f>
        <v/>
      </c>
      <c r="AB2153" s="7" t="n"/>
      <c r="AE2153">
        <f>IF($E2153="","",IF($AQ2153=1,0,IF($AP2153=1,Settings!$C$6,Settings!$C$7))*100)</f>
        <v/>
      </c>
      <c r="AI2153" s="7" t="n"/>
      <c r="AL2153" s="11" t="n"/>
      <c r="AN2153">
        <f>IF($E2153="","",IF(COUNTIF($E$2:$E2153,$E2153)=1,1,0))</f>
        <v/>
      </c>
      <c r="AO2153">
        <f>IF($AN2153=1,SUMPRODUCT(--($AR$2:$AR$3001&lt;$AR2153))+1,"")</f>
        <v/>
      </c>
      <c r="AP2153">
        <f>IF($E2153="","",IF(OR($U2153=TRUE(),$U2153="TRUE"),1,0))</f>
        <v/>
      </c>
      <c r="AQ2153">
        <f>IF($E2153="","",IF($AD2153="Yes",1,0))</f>
        <v/>
      </c>
      <c r="AR2153">
        <f>IF($AN2153=1,IFERROR(VALUE(MID($E2153,2,20)),1000000000)+ROW()/100000,"")</f>
        <v/>
      </c>
    </row>
    <row r="2154">
      <c r="G2154" s="11" t="n"/>
      <c r="Q2154" s="7">
        <f>IF($E2154="","",P2154*AB2154/100)</f>
        <v/>
      </c>
      <c r="R2154" s="7" t="n"/>
      <c r="X2154" s="7" t="n"/>
      <c r="Y2154" s="7">
        <f>IF($E2154="","",AB2154*AE2154/100)</f>
        <v/>
      </c>
      <c r="Z2154" s="7">
        <f>IF($E2154="","",AB2154-Y2154)</f>
        <v/>
      </c>
      <c r="AA2154" s="7">
        <f>IF($E2154="","",Z2154-Q2154)</f>
        <v/>
      </c>
      <c r="AB2154" s="7" t="n"/>
      <c r="AE2154">
        <f>IF($E2154="","",IF($AQ2154=1,0,IF($AP2154=1,Settings!$C$6,Settings!$C$7))*100)</f>
        <v/>
      </c>
      <c r="AI2154" s="7" t="n"/>
      <c r="AL2154" s="11" t="n"/>
      <c r="AN2154">
        <f>IF($E2154="","",IF(COUNTIF($E$2:$E2154,$E2154)=1,1,0))</f>
        <v/>
      </c>
      <c r="AO2154">
        <f>IF($AN2154=1,SUMPRODUCT(--($AR$2:$AR$3001&lt;$AR2154))+1,"")</f>
        <v/>
      </c>
      <c r="AP2154">
        <f>IF($E2154="","",IF(OR($U2154=TRUE(),$U2154="TRUE"),1,0))</f>
        <v/>
      </c>
      <c r="AQ2154">
        <f>IF($E2154="","",IF($AD2154="Yes",1,0))</f>
        <v/>
      </c>
      <c r="AR2154">
        <f>IF($AN2154=1,IFERROR(VALUE(MID($E2154,2,20)),1000000000)+ROW()/100000,"")</f>
        <v/>
      </c>
    </row>
    <row r="2155">
      <c r="G2155" s="11" t="n"/>
      <c r="Q2155" s="7">
        <f>IF($E2155="","",P2155*AB2155/100)</f>
        <v/>
      </c>
      <c r="R2155" s="7" t="n"/>
      <c r="X2155" s="7" t="n"/>
      <c r="Y2155" s="7">
        <f>IF($E2155="","",AB2155*AE2155/100)</f>
        <v/>
      </c>
      <c r="Z2155" s="7">
        <f>IF($E2155="","",AB2155-Y2155)</f>
        <v/>
      </c>
      <c r="AA2155" s="7">
        <f>IF($E2155="","",Z2155-Q2155)</f>
        <v/>
      </c>
      <c r="AB2155" s="7" t="n"/>
      <c r="AE2155">
        <f>IF($E2155="","",IF($AQ2155=1,0,IF($AP2155=1,Settings!$C$6,Settings!$C$7))*100)</f>
        <v/>
      </c>
      <c r="AI2155" s="7" t="n"/>
      <c r="AL2155" s="11" t="n"/>
      <c r="AN2155">
        <f>IF($E2155="","",IF(COUNTIF($E$2:$E2155,$E2155)=1,1,0))</f>
        <v/>
      </c>
      <c r="AO2155">
        <f>IF($AN2155=1,SUMPRODUCT(--($AR$2:$AR$3001&lt;$AR2155))+1,"")</f>
        <v/>
      </c>
      <c r="AP2155">
        <f>IF($E2155="","",IF(OR($U2155=TRUE(),$U2155="TRUE"),1,0))</f>
        <v/>
      </c>
      <c r="AQ2155">
        <f>IF($E2155="","",IF($AD2155="Yes",1,0))</f>
        <v/>
      </c>
      <c r="AR2155">
        <f>IF($AN2155=1,IFERROR(VALUE(MID($E2155,2,20)),1000000000)+ROW()/100000,"")</f>
        <v/>
      </c>
    </row>
    <row r="2156">
      <c r="G2156" s="11" t="n"/>
      <c r="Q2156" s="7">
        <f>IF($E2156="","",P2156*AB2156/100)</f>
        <v/>
      </c>
      <c r="R2156" s="7" t="n"/>
      <c r="X2156" s="7" t="n"/>
      <c r="Y2156" s="7">
        <f>IF($E2156="","",AB2156*AE2156/100)</f>
        <v/>
      </c>
      <c r="Z2156" s="7">
        <f>IF($E2156="","",AB2156-Y2156)</f>
        <v/>
      </c>
      <c r="AA2156" s="7">
        <f>IF($E2156="","",Z2156-Q2156)</f>
        <v/>
      </c>
      <c r="AB2156" s="7" t="n"/>
      <c r="AE2156">
        <f>IF($E2156="","",IF($AQ2156=1,0,IF($AP2156=1,Settings!$C$6,Settings!$C$7))*100)</f>
        <v/>
      </c>
      <c r="AI2156" s="7" t="n"/>
      <c r="AL2156" s="11" t="n"/>
      <c r="AN2156">
        <f>IF($E2156="","",IF(COUNTIF($E$2:$E2156,$E2156)=1,1,0))</f>
        <v/>
      </c>
      <c r="AO2156">
        <f>IF($AN2156=1,SUMPRODUCT(--($AR$2:$AR$3001&lt;$AR2156))+1,"")</f>
        <v/>
      </c>
      <c r="AP2156">
        <f>IF($E2156="","",IF(OR($U2156=TRUE(),$U2156="TRUE"),1,0))</f>
        <v/>
      </c>
      <c r="AQ2156">
        <f>IF($E2156="","",IF($AD2156="Yes",1,0))</f>
        <v/>
      </c>
      <c r="AR2156">
        <f>IF($AN2156=1,IFERROR(VALUE(MID($E2156,2,20)),1000000000)+ROW()/100000,"")</f>
        <v/>
      </c>
    </row>
    <row r="2157">
      <c r="G2157" s="11" t="n"/>
      <c r="Q2157" s="7">
        <f>IF($E2157="","",P2157*AB2157/100)</f>
        <v/>
      </c>
      <c r="R2157" s="7" t="n"/>
      <c r="X2157" s="7" t="n"/>
      <c r="Y2157" s="7">
        <f>IF($E2157="","",AB2157*AE2157/100)</f>
        <v/>
      </c>
      <c r="Z2157" s="7">
        <f>IF($E2157="","",AB2157-Y2157)</f>
        <v/>
      </c>
      <c r="AA2157" s="7">
        <f>IF($E2157="","",Z2157-Q2157)</f>
        <v/>
      </c>
      <c r="AB2157" s="7" t="n"/>
      <c r="AE2157">
        <f>IF($E2157="","",IF($AQ2157=1,0,IF($AP2157=1,Settings!$C$6,Settings!$C$7))*100)</f>
        <v/>
      </c>
      <c r="AI2157" s="7" t="n"/>
      <c r="AL2157" s="11" t="n"/>
      <c r="AN2157">
        <f>IF($E2157="","",IF(COUNTIF($E$2:$E2157,$E2157)=1,1,0))</f>
        <v/>
      </c>
      <c r="AO2157">
        <f>IF($AN2157=1,SUMPRODUCT(--($AR$2:$AR$3001&lt;$AR2157))+1,"")</f>
        <v/>
      </c>
      <c r="AP2157">
        <f>IF($E2157="","",IF(OR($U2157=TRUE(),$U2157="TRUE"),1,0))</f>
        <v/>
      </c>
      <c r="AQ2157">
        <f>IF($E2157="","",IF($AD2157="Yes",1,0))</f>
        <v/>
      </c>
      <c r="AR2157">
        <f>IF($AN2157=1,IFERROR(VALUE(MID($E2157,2,20)),1000000000)+ROW()/100000,"")</f>
        <v/>
      </c>
    </row>
    <row r="2158">
      <c r="G2158" s="11" t="n"/>
      <c r="Q2158" s="7">
        <f>IF($E2158="","",P2158*AB2158/100)</f>
        <v/>
      </c>
      <c r="R2158" s="7" t="n"/>
      <c r="X2158" s="7" t="n"/>
      <c r="Y2158" s="7">
        <f>IF($E2158="","",AB2158*AE2158/100)</f>
        <v/>
      </c>
      <c r="Z2158" s="7">
        <f>IF($E2158="","",AB2158-Y2158)</f>
        <v/>
      </c>
      <c r="AA2158" s="7">
        <f>IF($E2158="","",Z2158-Q2158)</f>
        <v/>
      </c>
      <c r="AB2158" s="7" t="n"/>
      <c r="AE2158">
        <f>IF($E2158="","",IF($AQ2158=1,0,IF($AP2158=1,Settings!$C$6,Settings!$C$7))*100)</f>
        <v/>
      </c>
      <c r="AI2158" s="7" t="n"/>
      <c r="AL2158" s="11" t="n"/>
      <c r="AN2158">
        <f>IF($E2158="","",IF(COUNTIF($E$2:$E2158,$E2158)=1,1,0))</f>
        <v/>
      </c>
      <c r="AO2158">
        <f>IF($AN2158=1,SUMPRODUCT(--($AR$2:$AR$3001&lt;$AR2158))+1,"")</f>
        <v/>
      </c>
      <c r="AP2158">
        <f>IF($E2158="","",IF(OR($U2158=TRUE(),$U2158="TRUE"),1,0))</f>
        <v/>
      </c>
      <c r="AQ2158">
        <f>IF($E2158="","",IF($AD2158="Yes",1,0))</f>
        <v/>
      </c>
      <c r="AR2158">
        <f>IF($AN2158=1,IFERROR(VALUE(MID($E2158,2,20)),1000000000)+ROW()/100000,"")</f>
        <v/>
      </c>
    </row>
    <row r="2159">
      <c r="G2159" s="11" t="n"/>
      <c r="Q2159" s="7">
        <f>IF($E2159="","",P2159*AB2159/100)</f>
        <v/>
      </c>
      <c r="R2159" s="7" t="n"/>
      <c r="X2159" s="7" t="n"/>
      <c r="Y2159" s="7">
        <f>IF($E2159="","",AB2159*AE2159/100)</f>
        <v/>
      </c>
      <c r="Z2159" s="7">
        <f>IF($E2159="","",AB2159-Y2159)</f>
        <v/>
      </c>
      <c r="AA2159" s="7">
        <f>IF($E2159="","",Z2159-Q2159)</f>
        <v/>
      </c>
      <c r="AB2159" s="7" t="n"/>
      <c r="AE2159">
        <f>IF($E2159="","",IF($AQ2159=1,0,IF($AP2159=1,Settings!$C$6,Settings!$C$7))*100)</f>
        <v/>
      </c>
      <c r="AI2159" s="7" t="n"/>
      <c r="AL2159" s="11" t="n"/>
      <c r="AN2159">
        <f>IF($E2159="","",IF(COUNTIF($E$2:$E2159,$E2159)=1,1,0))</f>
        <v/>
      </c>
      <c r="AO2159">
        <f>IF($AN2159=1,SUMPRODUCT(--($AR$2:$AR$3001&lt;$AR2159))+1,"")</f>
        <v/>
      </c>
      <c r="AP2159">
        <f>IF($E2159="","",IF(OR($U2159=TRUE(),$U2159="TRUE"),1,0))</f>
        <v/>
      </c>
      <c r="AQ2159">
        <f>IF($E2159="","",IF($AD2159="Yes",1,0))</f>
        <v/>
      </c>
      <c r="AR2159">
        <f>IF($AN2159=1,IFERROR(VALUE(MID($E2159,2,20)),1000000000)+ROW()/100000,"")</f>
        <v/>
      </c>
    </row>
    <row r="2160">
      <c r="G2160" s="11" t="n"/>
      <c r="Q2160" s="7">
        <f>IF($E2160="","",P2160*AB2160/100)</f>
        <v/>
      </c>
      <c r="R2160" s="7" t="n"/>
      <c r="X2160" s="7" t="n"/>
      <c r="Y2160" s="7">
        <f>IF($E2160="","",AB2160*AE2160/100)</f>
        <v/>
      </c>
      <c r="Z2160" s="7">
        <f>IF($E2160="","",AB2160-Y2160)</f>
        <v/>
      </c>
      <c r="AA2160" s="7">
        <f>IF($E2160="","",Z2160-Q2160)</f>
        <v/>
      </c>
      <c r="AB2160" s="7" t="n"/>
      <c r="AE2160">
        <f>IF($E2160="","",IF($AQ2160=1,0,IF($AP2160=1,Settings!$C$6,Settings!$C$7))*100)</f>
        <v/>
      </c>
      <c r="AI2160" s="7" t="n"/>
      <c r="AL2160" s="11" t="n"/>
      <c r="AN2160">
        <f>IF($E2160="","",IF(COUNTIF($E$2:$E2160,$E2160)=1,1,0))</f>
        <v/>
      </c>
      <c r="AO2160">
        <f>IF($AN2160=1,SUMPRODUCT(--($AR$2:$AR$3001&lt;$AR2160))+1,"")</f>
        <v/>
      </c>
      <c r="AP2160">
        <f>IF($E2160="","",IF(OR($U2160=TRUE(),$U2160="TRUE"),1,0))</f>
        <v/>
      </c>
      <c r="AQ2160">
        <f>IF($E2160="","",IF($AD2160="Yes",1,0))</f>
        <v/>
      </c>
      <c r="AR2160">
        <f>IF($AN2160=1,IFERROR(VALUE(MID($E2160,2,20)),1000000000)+ROW()/100000,"")</f>
        <v/>
      </c>
    </row>
    <row r="2161">
      <c r="G2161" s="11" t="n"/>
      <c r="Q2161" s="7">
        <f>IF($E2161="","",P2161*AB2161/100)</f>
        <v/>
      </c>
      <c r="R2161" s="7" t="n"/>
      <c r="X2161" s="7" t="n"/>
      <c r="Y2161" s="7">
        <f>IF($E2161="","",AB2161*AE2161/100)</f>
        <v/>
      </c>
      <c r="Z2161" s="7">
        <f>IF($E2161="","",AB2161-Y2161)</f>
        <v/>
      </c>
      <c r="AA2161" s="7">
        <f>IF($E2161="","",Z2161-Q2161)</f>
        <v/>
      </c>
      <c r="AB2161" s="7" t="n"/>
      <c r="AE2161">
        <f>IF($E2161="","",IF($AQ2161=1,0,IF($AP2161=1,Settings!$C$6,Settings!$C$7))*100)</f>
        <v/>
      </c>
      <c r="AI2161" s="7" t="n"/>
      <c r="AL2161" s="11" t="n"/>
      <c r="AN2161">
        <f>IF($E2161="","",IF(COUNTIF($E$2:$E2161,$E2161)=1,1,0))</f>
        <v/>
      </c>
      <c r="AO2161">
        <f>IF($AN2161=1,SUMPRODUCT(--($AR$2:$AR$3001&lt;$AR2161))+1,"")</f>
        <v/>
      </c>
      <c r="AP2161">
        <f>IF($E2161="","",IF(OR($U2161=TRUE(),$U2161="TRUE"),1,0))</f>
        <v/>
      </c>
      <c r="AQ2161">
        <f>IF($E2161="","",IF($AD2161="Yes",1,0))</f>
        <v/>
      </c>
      <c r="AR2161">
        <f>IF($AN2161=1,IFERROR(VALUE(MID($E2161,2,20)),1000000000)+ROW()/100000,"")</f>
        <v/>
      </c>
    </row>
    <row r="2162">
      <c r="G2162" s="11" t="n"/>
      <c r="Q2162" s="7">
        <f>IF($E2162="","",P2162*AB2162/100)</f>
        <v/>
      </c>
      <c r="R2162" s="7" t="n"/>
      <c r="X2162" s="7" t="n"/>
      <c r="Y2162" s="7">
        <f>IF($E2162="","",AB2162*AE2162/100)</f>
        <v/>
      </c>
      <c r="Z2162" s="7">
        <f>IF($E2162="","",AB2162-Y2162)</f>
        <v/>
      </c>
      <c r="AA2162" s="7">
        <f>IF($E2162="","",Z2162-Q2162)</f>
        <v/>
      </c>
      <c r="AB2162" s="7" t="n"/>
      <c r="AE2162">
        <f>IF($E2162="","",IF($AQ2162=1,0,IF($AP2162=1,Settings!$C$6,Settings!$C$7))*100)</f>
        <v/>
      </c>
      <c r="AI2162" s="7" t="n"/>
      <c r="AL2162" s="11" t="n"/>
      <c r="AN2162">
        <f>IF($E2162="","",IF(COUNTIF($E$2:$E2162,$E2162)=1,1,0))</f>
        <v/>
      </c>
      <c r="AO2162">
        <f>IF($AN2162=1,SUMPRODUCT(--($AR$2:$AR$3001&lt;$AR2162))+1,"")</f>
        <v/>
      </c>
      <c r="AP2162">
        <f>IF($E2162="","",IF(OR($U2162=TRUE(),$U2162="TRUE"),1,0))</f>
        <v/>
      </c>
      <c r="AQ2162">
        <f>IF($E2162="","",IF($AD2162="Yes",1,0))</f>
        <v/>
      </c>
      <c r="AR2162">
        <f>IF($AN2162=1,IFERROR(VALUE(MID($E2162,2,20)),1000000000)+ROW()/100000,"")</f>
        <v/>
      </c>
    </row>
    <row r="2163">
      <c r="G2163" s="11" t="n"/>
      <c r="Q2163" s="7">
        <f>IF($E2163="","",P2163*AB2163/100)</f>
        <v/>
      </c>
      <c r="R2163" s="7" t="n"/>
      <c r="X2163" s="7" t="n"/>
      <c r="Y2163" s="7">
        <f>IF($E2163="","",AB2163*AE2163/100)</f>
        <v/>
      </c>
      <c r="Z2163" s="7">
        <f>IF($E2163="","",AB2163-Y2163)</f>
        <v/>
      </c>
      <c r="AA2163" s="7">
        <f>IF($E2163="","",Z2163-Q2163)</f>
        <v/>
      </c>
      <c r="AB2163" s="7" t="n"/>
      <c r="AE2163">
        <f>IF($E2163="","",IF($AQ2163=1,0,IF($AP2163=1,Settings!$C$6,Settings!$C$7))*100)</f>
        <v/>
      </c>
      <c r="AI2163" s="7" t="n"/>
      <c r="AL2163" s="11" t="n"/>
      <c r="AN2163">
        <f>IF($E2163="","",IF(COUNTIF($E$2:$E2163,$E2163)=1,1,0))</f>
        <v/>
      </c>
      <c r="AO2163">
        <f>IF($AN2163=1,SUMPRODUCT(--($AR$2:$AR$3001&lt;$AR2163))+1,"")</f>
        <v/>
      </c>
      <c r="AP2163">
        <f>IF($E2163="","",IF(OR($U2163=TRUE(),$U2163="TRUE"),1,0))</f>
        <v/>
      </c>
      <c r="AQ2163">
        <f>IF($E2163="","",IF($AD2163="Yes",1,0))</f>
        <v/>
      </c>
      <c r="AR2163">
        <f>IF($AN2163=1,IFERROR(VALUE(MID($E2163,2,20)),1000000000)+ROW()/100000,"")</f>
        <v/>
      </c>
    </row>
    <row r="2164">
      <c r="G2164" s="11" t="n"/>
      <c r="Q2164" s="7">
        <f>IF($E2164="","",P2164*AB2164/100)</f>
        <v/>
      </c>
      <c r="R2164" s="7" t="n"/>
      <c r="X2164" s="7" t="n"/>
      <c r="Y2164" s="7">
        <f>IF($E2164="","",AB2164*AE2164/100)</f>
        <v/>
      </c>
      <c r="Z2164" s="7">
        <f>IF($E2164="","",AB2164-Y2164)</f>
        <v/>
      </c>
      <c r="AA2164" s="7">
        <f>IF($E2164="","",Z2164-Q2164)</f>
        <v/>
      </c>
      <c r="AB2164" s="7" t="n"/>
      <c r="AE2164">
        <f>IF($E2164="","",IF($AQ2164=1,0,IF($AP2164=1,Settings!$C$6,Settings!$C$7))*100)</f>
        <v/>
      </c>
      <c r="AI2164" s="7" t="n"/>
      <c r="AL2164" s="11" t="n"/>
      <c r="AN2164">
        <f>IF($E2164="","",IF(COUNTIF($E$2:$E2164,$E2164)=1,1,0))</f>
        <v/>
      </c>
      <c r="AO2164">
        <f>IF($AN2164=1,SUMPRODUCT(--($AR$2:$AR$3001&lt;$AR2164))+1,"")</f>
        <v/>
      </c>
      <c r="AP2164">
        <f>IF($E2164="","",IF(OR($U2164=TRUE(),$U2164="TRUE"),1,0))</f>
        <v/>
      </c>
      <c r="AQ2164">
        <f>IF($E2164="","",IF($AD2164="Yes",1,0))</f>
        <v/>
      </c>
      <c r="AR2164">
        <f>IF($AN2164=1,IFERROR(VALUE(MID($E2164,2,20)),1000000000)+ROW()/100000,"")</f>
        <v/>
      </c>
    </row>
    <row r="2165">
      <c r="G2165" s="11" t="n"/>
      <c r="Q2165" s="7">
        <f>IF($E2165="","",P2165*AB2165/100)</f>
        <v/>
      </c>
      <c r="R2165" s="7" t="n"/>
      <c r="X2165" s="7" t="n"/>
      <c r="Y2165" s="7">
        <f>IF($E2165="","",AB2165*AE2165/100)</f>
        <v/>
      </c>
      <c r="Z2165" s="7">
        <f>IF($E2165="","",AB2165-Y2165)</f>
        <v/>
      </c>
      <c r="AA2165" s="7">
        <f>IF($E2165="","",Z2165-Q2165)</f>
        <v/>
      </c>
      <c r="AB2165" s="7" t="n"/>
      <c r="AE2165">
        <f>IF($E2165="","",IF($AQ2165=1,0,IF($AP2165=1,Settings!$C$6,Settings!$C$7))*100)</f>
        <v/>
      </c>
      <c r="AI2165" s="7" t="n"/>
      <c r="AL2165" s="11" t="n"/>
      <c r="AN2165">
        <f>IF($E2165="","",IF(COUNTIF($E$2:$E2165,$E2165)=1,1,0))</f>
        <v/>
      </c>
      <c r="AO2165">
        <f>IF($AN2165=1,SUMPRODUCT(--($AR$2:$AR$3001&lt;$AR2165))+1,"")</f>
        <v/>
      </c>
      <c r="AP2165">
        <f>IF($E2165="","",IF(OR($U2165=TRUE(),$U2165="TRUE"),1,0))</f>
        <v/>
      </c>
      <c r="AQ2165">
        <f>IF($E2165="","",IF($AD2165="Yes",1,0))</f>
        <v/>
      </c>
      <c r="AR2165">
        <f>IF($AN2165=1,IFERROR(VALUE(MID($E2165,2,20)),1000000000)+ROW()/100000,"")</f>
        <v/>
      </c>
    </row>
    <row r="2166">
      <c r="G2166" s="11" t="n"/>
      <c r="Q2166" s="7">
        <f>IF($E2166="","",P2166*AB2166/100)</f>
        <v/>
      </c>
      <c r="R2166" s="7" t="n"/>
      <c r="X2166" s="7" t="n"/>
      <c r="Y2166" s="7">
        <f>IF($E2166="","",AB2166*AE2166/100)</f>
        <v/>
      </c>
      <c r="Z2166" s="7">
        <f>IF($E2166="","",AB2166-Y2166)</f>
        <v/>
      </c>
      <c r="AA2166" s="7">
        <f>IF($E2166="","",Z2166-Q2166)</f>
        <v/>
      </c>
      <c r="AB2166" s="7" t="n"/>
      <c r="AE2166">
        <f>IF($E2166="","",IF($AQ2166=1,0,IF($AP2166=1,Settings!$C$6,Settings!$C$7))*100)</f>
        <v/>
      </c>
      <c r="AI2166" s="7" t="n"/>
      <c r="AL2166" s="11" t="n"/>
      <c r="AN2166">
        <f>IF($E2166="","",IF(COUNTIF($E$2:$E2166,$E2166)=1,1,0))</f>
        <v/>
      </c>
      <c r="AO2166">
        <f>IF($AN2166=1,SUMPRODUCT(--($AR$2:$AR$3001&lt;$AR2166))+1,"")</f>
        <v/>
      </c>
      <c r="AP2166">
        <f>IF($E2166="","",IF(OR($U2166=TRUE(),$U2166="TRUE"),1,0))</f>
        <v/>
      </c>
      <c r="AQ2166">
        <f>IF($E2166="","",IF($AD2166="Yes",1,0))</f>
        <v/>
      </c>
      <c r="AR2166">
        <f>IF($AN2166=1,IFERROR(VALUE(MID($E2166,2,20)),1000000000)+ROW()/100000,"")</f>
        <v/>
      </c>
    </row>
    <row r="2167">
      <c r="G2167" s="11" t="n"/>
      <c r="Q2167" s="7">
        <f>IF($E2167="","",P2167*AB2167/100)</f>
        <v/>
      </c>
      <c r="R2167" s="7" t="n"/>
      <c r="X2167" s="7" t="n"/>
      <c r="Y2167" s="7">
        <f>IF($E2167="","",AB2167*AE2167/100)</f>
        <v/>
      </c>
      <c r="Z2167" s="7">
        <f>IF($E2167="","",AB2167-Y2167)</f>
        <v/>
      </c>
      <c r="AA2167" s="7">
        <f>IF($E2167="","",Z2167-Q2167)</f>
        <v/>
      </c>
      <c r="AB2167" s="7" t="n"/>
      <c r="AE2167">
        <f>IF($E2167="","",IF($AQ2167=1,0,IF($AP2167=1,Settings!$C$6,Settings!$C$7))*100)</f>
        <v/>
      </c>
      <c r="AI2167" s="7" t="n"/>
      <c r="AL2167" s="11" t="n"/>
      <c r="AN2167">
        <f>IF($E2167="","",IF(COUNTIF($E$2:$E2167,$E2167)=1,1,0))</f>
        <v/>
      </c>
      <c r="AO2167">
        <f>IF($AN2167=1,SUMPRODUCT(--($AR$2:$AR$3001&lt;$AR2167))+1,"")</f>
        <v/>
      </c>
      <c r="AP2167">
        <f>IF($E2167="","",IF(OR($U2167=TRUE(),$U2167="TRUE"),1,0))</f>
        <v/>
      </c>
      <c r="AQ2167">
        <f>IF($E2167="","",IF($AD2167="Yes",1,0))</f>
        <v/>
      </c>
      <c r="AR2167">
        <f>IF($AN2167=1,IFERROR(VALUE(MID($E2167,2,20)),1000000000)+ROW()/100000,"")</f>
        <v/>
      </c>
    </row>
    <row r="2168">
      <c r="G2168" s="11" t="n"/>
      <c r="Q2168" s="7">
        <f>IF($E2168="","",P2168*AB2168/100)</f>
        <v/>
      </c>
      <c r="R2168" s="7" t="n"/>
      <c r="X2168" s="7" t="n"/>
      <c r="Y2168" s="7">
        <f>IF($E2168="","",AB2168*AE2168/100)</f>
        <v/>
      </c>
      <c r="Z2168" s="7">
        <f>IF($E2168="","",AB2168-Y2168)</f>
        <v/>
      </c>
      <c r="AA2168" s="7">
        <f>IF($E2168="","",Z2168-Q2168)</f>
        <v/>
      </c>
      <c r="AB2168" s="7" t="n"/>
      <c r="AE2168">
        <f>IF($E2168="","",IF($AQ2168=1,0,IF($AP2168=1,Settings!$C$6,Settings!$C$7))*100)</f>
        <v/>
      </c>
      <c r="AI2168" s="7" t="n"/>
      <c r="AL2168" s="11" t="n"/>
      <c r="AN2168">
        <f>IF($E2168="","",IF(COUNTIF($E$2:$E2168,$E2168)=1,1,0))</f>
        <v/>
      </c>
      <c r="AO2168">
        <f>IF($AN2168=1,SUMPRODUCT(--($AR$2:$AR$3001&lt;$AR2168))+1,"")</f>
        <v/>
      </c>
      <c r="AP2168">
        <f>IF($E2168="","",IF(OR($U2168=TRUE(),$U2168="TRUE"),1,0))</f>
        <v/>
      </c>
      <c r="AQ2168">
        <f>IF($E2168="","",IF($AD2168="Yes",1,0))</f>
        <v/>
      </c>
      <c r="AR2168">
        <f>IF($AN2168=1,IFERROR(VALUE(MID($E2168,2,20)),1000000000)+ROW()/100000,"")</f>
        <v/>
      </c>
    </row>
    <row r="2169">
      <c r="G2169" s="11" t="n"/>
      <c r="Q2169" s="7">
        <f>IF($E2169="","",P2169*AB2169/100)</f>
        <v/>
      </c>
      <c r="R2169" s="7" t="n"/>
      <c r="X2169" s="7" t="n"/>
      <c r="Y2169" s="7">
        <f>IF($E2169="","",AB2169*AE2169/100)</f>
        <v/>
      </c>
      <c r="Z2169" s="7">
        <f>IF($E2169="","",AB2169-Y2169)</f>
        <v/>
      </c>
      <c r="AA2169" s="7">
        <f>IF($E2169="","",Z2169-Q2169)</f>
        <v/>
      </c>
      <c r="AB2169" s="7" t="n"/>
      <c r="AE2169">
        <f>IF($E2169="","",IF($AQ2169=1,0,IF($AP2169=1,Settings!$C$6,Settings!$C$7))*100)</f>
        <v/>
      </c>
      <c r="AI2169" s="7" t="n"/>
      <c r="AL2169" s="11" t="n"/>
      <c r="AN2169">
        <f>IF($E2169="","",IF(COUNTIF($E$2:$E2169,$E2169)=1,1,0))</f>
        <v/>
      </c>
      <c r="AO2169">
        <f>IF($AN2169=1,SUMPRODUCT(--($AR$2:$AR$3001&lt;$AR2169))+1,"")</f>
        <v/>
      </c>
      <c r="AP2169">
        <f>IF($E2169="","",IF(OR($U2169=TRUE(),$U2169="TRUE"),1,0))</f>
        <v/>
      </c>
      <c r="AQ2169">
        <f>IF($E2169="","",IF($AD2169="Yes",1,0))</f>
        <v/>
      </c>
      <c r="AR2169">
        <f>IF($AN2169=1,IFERROR(VALUE(MID($E2169,2,20)),1000000000)+ROW()/100000,"")</f>
        <v/>
      </c>
    </row>
    <row r="2170">
      <c r="G2170" s="11" t="n"/>
      <c r="Q2170" s="7">
        <f>IF($E2170="","",P2170*AB2170/100)</f>
        <v/>
      </c>
      <c r="R2170" s="7" t="n"/>
      <c r="X2170" s="7" t="n"/>
      <c r="Y2170" s="7">
        <f>IF($E2170="","",AB2170*AE2170/100)</f>
        <v/>
      </c>
      <c r="Z2170" s="7">
        <f>IF($E2170="","",AB2170-Y2170)</f>
        <v/>
      </c>
      <c r="AA2170" s="7">
        <f>IF($E2170="","",Z2170-Q2170)</f>
        <v/>
      </c>
      <c r="AB2170" s="7" t="n"/>
      <c r="AE2170">
        <f>IF($E2170="","",IF($AQ2170=1,0,IF($AP2170=1,Settings!$C$6,Settings!$C$7))*100)</f>
        <v/>
      </c>
      <c r="AI2170" s="7" t="n"/>
      <c r="AL2170" s="11" t="n"/>
      <c r="AN2170">
        <f>IF($E2170="","",IF(COUNTIF($E$2:$E2170,$E2170)=1,1,0))</f>
        <v/>
      </c>
      <c r="AO2170">
        <f>IF($AN2170=1,SUMPRODUCT(--($AR$2:$AR$3001&lt;$AR2170))+1,"")</f>
        <v/>
      </c>
      <c r="AP2170">
        <f>IF($E2170="","",IF(OR($U2170=TRUE(),$U2170="TRUE"),1,0))</f>
        <v/>
      </c>
      <c r="AQ2170">
        <f>IF($E2170="","",IF($AD2170="Yes",1,0))</f>
        <v/>
      </c>
      <c r="AR2170">
        <f>IF($AN2170=1,IFERROR(VALUE(MID($E2170,2,20)),1000000000)+ROW()/100000,"")</f>
        <v/>
      </c>
    </row>
    <row r="2171">
      <c r="G2171" s="11" t="n"/>
      <c r="Q2171" s="7">
        <f>IF($E2171="","",P2171*AB2171/100)</f>
        <v/>
      </c>
      <c r="R2171" s="7" t="n"/>
      <c r="X2171" s="7" t="n"/>
      <c r="Y2171" s="7">
        <f>IF($E2171="","",AB2171*AE2171/100)</f>
        <v/>
      </c>
      <c r="Z2171" s="7">
        <f>IF($E2171="","",AB2171-Y2171)</f>
        <v/>
      </c>
      <c r="AA2171" s="7">
        <f>IF($E2171="","",Z2171-Q2171)</f>
        <v/>
      </c>
      <c r="AB2171" s="7" t="n"/>
      <c r="AE2171">
        <f>IF($E2171="","",IF($AQ2171=1,0,IF($AP2171=1,Settings!$C$6,Settings!$C$7))*100)</f>
        <v/>
      </c>
      <c r="AI2171" s="7" t="n"/>
      <c r="AL2171" s="11" t="n"/>
      <c r="AN2171">
        <f>IF($E2171="","",IF(COUNTIF($E$2:$E2171,$E2171)=1,1,0))</f>
        <v/>
      </c>
      <c r="AO2171">
        <f>IF($AN2171=1,SUMPRODUCT(--($AR$2:$AR$3001&lt;$AR2171))+1,"")</f>
        <v/>
      </c>
      <c r="AP2171">
        <f>IF($E2171="","",IF(OR($U2171=TRUE(),$U2171="TRUE"),1,0))</f>
        <v/>
      </c>
      <c r="AQ2171">
        <f>IF($E2171="","",IF($AD2171="Yes",1,0))</f>
        <v/>
      </c>
      <c r="AR2171">
        <f>IF($AN2171=1,IFERROR(VALUE(MID($E2171,2,20)),1000000000)+ROW()/100000,"")</f>
        <v/>
      </c>
    </row>
    <row r="2172">
      <c r="G2172" s="11" t="n"/>
      <c r="Q2172" s="7">
        <f>IF($E2172="","",P2172*AB2172/100)</f>
        <v/>
      </c>
      <c r="R2172" s="7" t="n"/>
      <c r="X2172" s="7" t="n"/>
      <c r="Y2172" s="7">
        <f>IF($E2172="","",AB2172*AE2172/100)</f>
        <v/>
      </c>
      <c r="Z2172" s="7">
        <f>IF($E2172="","",AB2172-Y2172)</f>
        <v/>
      </c>
      <c r="AA2172" s="7">
        <f>IF($E2172="","",Z2172-Q2172)</f>
        <v/>
      </c>
      <c r="AB2172" s="7" t="n"/>
      <c r="AE2172">
        <f>IF($E2172="","",IF($AQ2172=1,0,IF($AP2172=1,Settings!$C$6,Settings!$C$7))*100)</f>
        <v/>
      </c>
      <c r="AI2172" s="7" t="n"/>
      <c r="AL2172" s="11" t="n"/>
      <c r="AN2172">
        <f>IF($E2172="","",IF(COUNTIF($E$2:$E2172,$E2172)=1,1,0))</f>
        <v/>
      </c>
      <c r="AO2172">
        <f>IF($AN2172=1,SUMPRODUCT(--($AR$2:$AR$3001&lt;$AR2172))+1,"")</f>
        <v/>
      </c>
      <c r="AP2172">
        <f>IF($E2172="","",IF(OR($U2172=TRUE(),$U2172="TRUE"),1,0))</f>
        <v/>
      </c>
      <c r="AQ2172">
        <f>IF($E2172="","",IF($AD2172="Yes",1,0))</f>
        <v/>
      </c>
      <c r="AR2172">
        <f>IF($AN2172=1,IFERROR(VALUE(MID($E2172,2,20)),1000000000)+ROW()/100000,"")</f>
        <v/>
      </c>
    </row>
    <row r="2173">
      <c r="G2173" s="11" t="n"/>
      <c r="Q2173" s="7">
        <f>IF($E2173="","",P2173*AB2173/100)</f>
        <v/>
      </c>
      <c r="R2173" s="7" t="n"/>
      <c r="X2173" s="7" t="n"/>
      <c r="Y2173" s="7">
        <f>IF($E2173="","",AB2173*AE2173/100)</f>
        <v/>
      </c>
      <c r="Z2173" s="7">
        <f>IF($E2173="","",AB2173-Y2173)</f>
        <v/>
      </c>
      <c r="AA2173" s="7">
        <f>IF($E2173="","",Z2173-Q2173)</f>
        <v/>
      </c>
      <c r="AB2173" s="7" t="n"/>
      <c r="AE2173">
        <f>IF($E2173="","",IF($AQ2173=1,0,IF($AP2173=1,Settings!$C$6,Settings!$C$7))*100)</f>
        <v/>
      </c>
      <c r="AI2173" s="7" t="n"/>
      <c r="AL2173" s="11" t="n"/>
      <c r="AN2173">
        <f>IF($E2173="","",IF(COUNTIF($E$2:$E2173,$E2173)=1,1,0))</f>
        <v/>
      </c>
      <c r="AO2173">
        <f>IF($AN2173=1,SUMPRODUCT(--($AR$2:$AR$3001&lt;$AR2173))+1,"")</f>
        <v/>
      </c>
      <c r="AP2173">
        <f>IF($E2173="","",IF(OR($U2173=TRUE(),$U2173="TRUE"),1,0))</f>
        <v/>
      </c>
      <c r="AQ2173">
        <f>IF($E2173="","",IF($AD2173="Yes",1,0))</f>
        <v/>
      </c>
      <c r="AR2173">
        <f>IF($AN2173=1,IFERROR(VALUE(MID($E2173,2,20)),1000000000)+ROW()/100000,"")</f>
        <v/>
      </c>
    </row>
    <row r="2174">
      <c r="G2174" s="11" t="n"/>
      <c r="Q2174" s="7">
        <f>IF($E2174="","",P2174*AB2174/100)</f>
        <v/>
      </c>
      <c r="R2174" s="7" t="n"/>
      <c r="X2174" s="7" t="n"/>
      <c r="Y2174" s="7">
        <f>IF($E2174="","",AB2174*AE2174/100)</f>
        <v/>
      </c>
      <c r="Z2174" s="7">
        <f>IF($E2174="","",AB2174-Y2174)</f>
        <v/>
      </c>
      <c r="AA2174" s="7">
        <f>IF($E2174="","",Z2174-Q2174)</f>
        <v/>
      </c>
      <c r="AB2174" s="7" t="n"/>
      <c r="AE2174">
        <f>IF($E2174="","",IF($AQ2174=1,0,IF($AP2174=1,Settings!$C$6,Settings!$C$7))*100)</f>
        <v/>
      </c>
      <c r="AI2174" s="7" t="n"/>
      <c r="AL2174" s="11" t="n"/>
      <c r="AN2174">
        <f>IF($E2174="","",IF(COUNTIF($E$2:$E2174,$E2174)=1,1,0))</f>
        <v/>
      </c>
      <c r="AO2174">
        <f>IF($AN2174=1,SUMPRODUCT(--($AR$2:$AR$3001&lt;$AR2174))+1,"")</f>
        <v/>
      </c>
      <c r="AP2174">
        <f>IF($E2174="","",IF(OR($U2174=TRUE(),$U2174="TRUE"),1,0))</f>
        <v/>
      </c>
      <c r="AQ2174">
        <f>IF($E2174="","",IF($AD2174="Yes",1,0))</f>
        <v/>
      </c>
      <c r="AR2174">
        <f>IF($AN2174=1,IFERROR(VALUE(MID($E2174,2,20)),1000000000)+ROW()/100000,"")</f>
        <v/>
      </c>
    </row>
    <row r="2175">
      <c r="G2175" s="11" t="n"/>
      <c r="Q2175" s="7">
        <f>IF($E2175="","",P2175*AB2175/100)</f>
        <v/>
      </c>
      <c r="R2175" s="7" t="n"/>
      <c r="X2175" s="7" t="n"/>
      <c r="Y2175" s="7">
        <f>IF($E2175="","",AB2175*AE2175/100)</f>
        <v/>
      </c>
      <c r="Z2175" s="7">
        <f>IF($E2175="","",AB2175-Y2175)</f>
        <v/>
      </c>
      <c r="AA2175" s="7">
        <f>IF($E2175="","",Z2175-Q2175)</f>
        <v/>
      </c>
      <c r="AB2175" s="7" t="n"/>
      <c r="AE2175">
        <f>IF($E2175="","",IF($AQ2175=1,0,IF($AP2175=1,Settings!$C$6,Settings!$C$7))*100)</f>
        <v/>
      </c>
      <c r="AI2175" s="7" t="n"/>
      <c r="AL2175" s="11" t="n"/>
      <c r="AN2175">
        <f>IF($E2175="","",IF(COUNTIF($E$2:$E2175,$E2175)=1,1,0))</f>
        <v/>
      </c>
      <c r="AO2175">
        <f>IF($AN2175=1,SUMPRODUCT(--($AR$2:$AR$3001&lt;$AR2175))+1,"")</f>
        <v/>
      </c>
      <c r="AP2175">
        <f>IF($E2175="","",IF(OR($U2175=TRUE(),$U2175="TRUE"),1,0))</f>
        <v/>
      </c>
      <c r="AQ2175">
        <f>IF($E2175="","",IF($AD2175="Yes",1,0))</f>
        <v/>
      </c>
      <c r="AR2175">
        <f>IF($AN2175=1,IFERROR(VALUE(MID($E2175,2,20)),1000000000)+ROW()/100000,"")</f>
        <v/>
      </c>
    </row>
    <row r="2176">
      <c r="G2176" s="11" t="n"/>
      <c r="Q2176" s="7">
        <f>IF($E2176="","",P2176*AB2176/100)</f>
        <v/>
      </c>
      <c r="R2176" s="7" t="n"/>
      <c r="X2176" s="7" t="n"/>
      <c r="Y2176" s="7">
        <f>IF($E2176="","",AB2176*AE2176/100)</f>
        <v/>
      </c>
      <c r="Z2176" s="7">
        <f>IF($E2176="","",AB2176-Y2176)</f>
        <v/>
      </c>
      <c r="AA2176" s="7">
        <f>IF($E2176="","",Z2176-Q2176)</f>
        <v/>
      </c>
      <c r="AB2176" s="7" t="n"/>
      <c r="AE2176">
        <f>IF($E2176="","",IF($AQ2176=1,0,IF($AP2176=1,Settings!$C$6,Settings!$C$7))*100)</f>
        <v/>
      </c>
      <c r="AI2176" s="7" t="n"/>
      <c r="AL2176" s="11" t="n"/>
      <c r="AN2176">
        <f>IF($E2176="","",IF(COUNTIF($E$2:$E2176,$E2176)=1,1,0))</f>
        <v/>
      </c>
      <c r="AO2176">
        <f>IF($AN2176=1,SUMPRODUCT(--($AR$2:$AR$3001&lt;$AR2176))+1,"")</f>
        <v/>
      </c>
      <c r="AP2176">
        <f>IF($E2176="","",IF(OR($U2176=TRUE(),$U2176="TRUE"),1,0))</f>
        <v/>
      </c>
      <c r="AQ2176">
        <f>IF($E2176="","",IF($AD2176="Yes",1,0))</f>
        <v/>
      </c>
      <c r="AR2176">
        <f>IF($AN2176=1,IFERROR(VALUE(MID($E2176,2,20)),1000000000)+ROW()/100000,"")</f>
        <v/>
      </c>
    </row>
    <row r="2177">
      <c r="G2177" s="11" t="n"/>
      <c r="Q2177" s="7">
        <f>IF($E2177="","",P2177*AB2177/100)</f>
        <v/>
      </c>
      <c r="R2177" s="7" t="n"/>
      <c r="X2177" s="7" t="n"/>
      <c r="Y2177" s="7">
        <f>IF($E2177="","",AB2177*AE2177/100)</f>
        <v/>
      </c>
      <c r="Z2177" s="7">
        <f>IF($E2177="","",AB2177-Y2177)</f>
        <v/>
      </c>
      <c r="AA2177" s="7">
        <f>IF($E2177="","",Z2177-Q2177)</f>
        <v/>
      </c>
      <c r="AB2177" s="7" t="n"/>
      <c r="AE2177">
        <f>IF($E2177="","",IF($AQ2177=1,0,IF($AP2177=1,Settings!$C$6,Settings!$C$7))*100)</f>
        <v/>
      </c>
      <c r="AI2177" s="7" t="n"/>
      <c r="AL2177" s="11" t="n"/>
      <c r="AN2177">
        <f>IF($E2177="","",IF(COUNTIF($E$2:$E2177,$E2177)=1,1,0))</f>
        <v/>
      </c>
      <c r="AO2177">
        <f>IF($AN2177=1,SUMPRODUCT(--($AR$2:$AR$3001&lt;$AR2177))+1,"")</f>
        <v/>
      </c>
      <c r="AP2177">
        <f>IF($E2177="","",IF(OR($U2177=TRUE(),$U2177="TRUE"),1,0))</f>
        <v/>
      </c>
      <c r="AQ2177">
        <f>IF($E2177="","",IF($AD2177="Yes",1,0))</f>
        <v/>
      </c>
      <c r="AR2177">
        <f>IF($AN2177=1,IFERROR(VALUE(MID($E2177,2,20)),1000000000)+ROW()/100000,"")</f>
        <v/>
      </c>
    </row>
    <row r="2178">
      <c r="G2178" s="11" t="n"/>
      <c r="Q2178" s="7">
        <f>IF($E2178="","",P2178*AB2178/100)</f>
        <v/>
      </c>
      <c r="R2178" s="7" t="n"/>
      <c r="X2178" s="7" t="n"/>
      <c r="Y2178" s="7">
        <f>IF($E2178="","",AB2178*AE2178/100)</f>
        <v/>
      </c>
      <c r="Z2178" s="7">
        <f>IF($E2178="","",AB2178-Y2178)</f>
        <v/>
      </c>
      <c r="AA2178" s="7">
        <f>IF($E2178="","",Z2178-Q2178)</f>
        <v/>
      </c>
      <c r="AB2178" s="7" t="n"/>
      <c r="AE2178">
        <f>IF($E2178="","",IF($AQ2178=1,0,IF($AP2178=1,Settings!$C$6,Settings!$C$7))*100)</f>
        <v/>
      </c>
      <c r="AI2178" s="7" t="n"/>
      <c r="AL2178" s="11" t="n"/>
      <c r="AN2178">
        <f>IF($E2178="","",IF(COUNTIF($E$2:$E2178,$E2178)=1,1,0))</f>
        <v/>
      </c>
      <c r="AO2178">
        <f>IF($AN2178=1,SUMPRODUCT(--($AR$2:$AR$3001&lt;$AR2178))+1,"")</f>
        <v/>
      </c>
      <c r="AP2178">
        <f>IF($E2178="","",IF(OR($U2178=TRUE(),$U2178="TRUE"),1,0))</f>
        <v/>
      </c>
      <c r="AQ2178">
        <f>IF($E2178="","",IF($AD2178="Yes",1,0))</f>
        <v/>
      </c>
      <c r="AR2178">
        <f>IF($AN2178=1,IFERROR(VALUE(MID($E2178,2,20)),1000000000)+ROW()/100000,"")</f>
        <v/>
      </c>
    </row>
    <row r="2179">
      <c r="G2179" s="11" t="n"/>
      <c r="Q2179" s="7">
        <f>IF($E2179="","",P2179*AB2179/100)</f>
        <v/>
      </c>
      <c r="R2179" s="7" t="n"/>
      <c r="X2179" s="7" t="n"/>
      <c r="Y2179" s="7">
        <f>IF($E2179="","",AB2179*AE2179/100)</f>
        <v/>
      </c>
      <c r="Z2179" s="7">
        <f>IF($E2179="","",AB2179-Y2179)</f>
        <v/>
      </c>
      <c r="AA2179" s="7">
        <f>IF($E2179="","",Z2179-Q2179)</f>
        <v/>
      </c>
      <c r="AB2179" s="7" t="n"/>
      <c r="AE2179">
        <f>IF($E2179="","",IF($AQ2179=1,0,IF($AP2179=1,Settings!$C$6,Settings!$C$7))*100)</f>
        <v/>
      </c>
      <c r="AI2179" s="7" t="n"/>
      <c r="AL2179" s="11" t="n"/>
      <c r="AN2179">
        <f>IF($E2179="","",IF(COUNTIF($E$2:$E2179,$E2179)=1,1,0))</f>
        <v/>
      </c>
      <c r="AO2179">
        <f>IF($AN2179=1,SUMPRODUCT(--($AR$2:$AR$3001&lt;$AR2179))+1,"")</f>
        <v/>
      </c>
      <c r="AP2179">
        <f>IF($E2179="","",IF(OR($U2179=TRUE(),$U2179="TRUE"),1,0))</f>
        <v/>
      </c>
      <c r="AQ2179">
        <f>IF($E2179="","",IF($AD2179="Yes",1,0))</f>
        <v/>
      </c>
      <c r="AR2179">
        <f>IF($AN2179=1,IFERROR(VALUE(MID($E2179,2,20)),1000000000)+ROW()/100000,"")</f>
        <v/>
      </c>
    </row>
    <row r="2180">
      <c r="G2180" s="11" t="n"/>
      <c r="Q2180" s="7">
        <f>IF($E2180="","",P2180*AB2180/100)</f>
        <v/>
      </c>
      <c r="R2180" s="7" t="n"/>
      <c r="X2180" s="7" t="n"/>
      <c r="Y2180" s="7">
        <f>IF($E2180="","",AB2180*AE2180/100)</f>
        <v/>
      </c>
      <c r="Z2180" s="7">
        <f>IF($E2180="","",AB2180-Y2180)</f>
        <v/>
      </c>
      <c r="AA2180" s="7">
        <f>IF($E2180="","",Z2180-Q2180)</f>
        <v/>
      </c>
      <c r="AB2180" s="7" t="n"/>
      <c r="AE2180">
        <f>IF($E2180="","",IF($AQ2180=1,0,IF($AP2180=1,Settings!$C$6,Settings!$C$7))*100)</f>
        <v/>
      </c>
      <c r="AI2180" s="7" t="n"/>
      <c r="AL2180" s="11" t="n"/>
      <c r="AN2180">
        <f>IF($E2180="","",IF(COUNTIF($E$2:$E2180,$E2180)=1,1,0))</f>
        <v/>
      </c>
      <c r="AO2180">
        <f>IF($AN2180=1,SUMPRODUCT(--($AR$2:$AR$3001&lt;$AR2180))+1,"")</f>
        <v/>
      </c>
      <c r="AP2180">
        <f>IF($E2180="","",IF(OR($U2180=TRUE(),$U2180="TRUE"),1,0))</f>
        <v/>
      </c>
      <c r="AQ2180">
        <f>IF($E2180="","",IF($AD2180="Yes",1,0))</f>
        <v/>
      </c>
      <c r="AR2180">
        <f>IF($AN2180=1,IFERROR(VALUE(MID($E2180,2,20)),1000000000)+ROW()/100000,"")</f>
        <v/>
      </c>
    </row>
    <row r="2181">
      <c r="G2181" s="11" t="n"/>
      <c r="Q2181" s="7">
        <f>IF($E2181="","",P2181*AB2181/100)</f>
        <v/>
      </c>
      <c r="R2181" s="7" t="n"/>
      <c r="X2181" s="7" t="n"/>
      <c r="Y2181" s="7">
        <f>IF($E2181="","",AB2181*AE2181/100)</f>
        <v/>
      </c>
      <c r="Z2181" s="7">
        <f>IF($E2181="","",AB2181-Y2181)</f>
        <v/>
      </c>
      <c r="AA2181" s="7">
        <f>IF($E2181="","",Z2181-Q2181)</f>
        <v/>
      </c>
      <c r="AB2181" s="7" t="n"/>
      <c r="AE2181">
        <f>IF($E2181="","",IF($AQ2181=1,0,IF($AP2181=1,Settings!$C$6,Settings!$C$7))*100)</f>
        <v/>
      </c>
      <c r="AI2181" s="7" t="n"/>
      <c r="AL2181" s="11" t="n"/>
      <c r="AN2181">
        <f>IF($E2181="","",IF(COUNTIF($E$2:$E2181,$E2181)=1,1,0))</f>
        <v/>
      </c>
      <c r="AO2181">
        <f>IF($AN2181=1,SUMPRODUCT(--($AR$2:$AR$3001&lt;$AR2181))+1,"")</f>
        <v/>
      </c>
      <c r="AP2181">
        <f>IF($E2181="","",IF(OR($U2181=TRUE(),$U2181="TRUE"),1,0))</f>
        <v/>
      </c>
      <c r="AQ2181">
        <f>IF($E2181="","",IF($AD2181="Yes",1,0))</f>
        <v/>
      </c>
      <c r="AR2181">
        <f>IF($AN2181=1,IFERROR(VALUE(MID($E2181,2,20)),1000000000)+ROW()/100000,"")</f>
        <v/>
      </c>
    </row>
    <row r="2182">
      <c r="G2182" s="11" t="n"/>
      <c r="Q2182" s="7">
        <f>IF($E2182="","",P2182*AB2182/100)</f>
        <v/>
      </c>
      <c r="R2182" s="7" t="n"/>
      <c r="X2182" s="7" t="n"/>
      <c r="Y2182" s="7">
        <f>IF($E2182="","",AB2182*AE2182/100)</f>
        <v/>
      </c>
      <c r="Z2182" s="7">
        <f>IF($E2182="","",AB2182-Y2182)</f>
        <v/>
      </c>
      <c r="AA2182" s="7">
        <f>IF($E2182="","",Z2182-Q2182)</f>
        <v/>
      </c>
      <c r="AB2182" s="7" t="n"/>
      <c r="AE2182">
        <f>IF($E2182="","",IF($AQ2182=1,0,IF($AP2182=1,Settings!$C$6,Settings!$C$7))*100)</f>
        <v/>
      </c>
      <c r="AI2182" s="7" t="n"/>
      <c r="AL2182" s="11" t="n"/>
      <c r="AN2182">
        <f>IF($E2182="","",IF(COUNTIF($E$2:$E2182,$E2182)=1,1,0))</f>
        <v/>
      </c>
      <c r="AO2182">
        <f>IF($AN2182=1,SUMPRODUCT(--($AR$2:$AR$3001&lt;$AR2182))+1,"")</f>
        <v/>
      </c>
      <c r="AP2182">
        <f>IF($E2182="","",IF(OR($U2182=TRUE(),$U2182="TRUE"),1,0))</f>
        <v/>
      </c>
      <c r="AQ2182">
        <f>IF($E2182="","",IF($AD2182="Yes",1,0))</f>
        <v/>
      </c>
      <c r="AR2182">
        <f>IF($AN2182=1,IFERROR(VALUE(MID($E2182,2,20)),1000000000)+ROW()/100000,"")</f>
        <v/>
      </c>
    </row>
    <row r="2183">
      <c r="G2183" s="11" t="n"/>
      <c r="Q2183" s="7">
        <f>IF($E2183="","",P2183*AB2183/100)</f>
        <v/>
      </c>
      <c r="R2183" s="7" t="n"/>
      <c r="X2183" s="7" t="n"/>
      <c r="Y2183" s="7">
        <f>IF($E2183="","",AB2183*AE2183/100)</f>
        <v/>
      </c>
      <c r="Z2183" s="7">
        <f>IF($E2183="","",AB2183-Y2183)</f>
        <v/>
      </c>
      <c r="AA2183" s="7">
        <f>IF($E2183="","",Z2183-Q2183)</f>
        <v/>
      </c>
      <c r="AB2183" s="7" t="n"/>
      <c r="AE2183">
        <f>IF($E2183="","",IF($AQ2183=1,0,IF($AP2183=1,Settings!$C$6,Settings!$C$7))*100)</f>
        <v/>
      </c>
      <c r="AI2183" s="7" t="n"/>
      <c r="AL2183" s="11" t="n"/>
      <c r="AN2183">
        <f>IF($E2183="","",IF(COUNTIF($E$2:$E2183,$E2183)=1,1,0))</f>
        <v/>
      </c>
      <c r="AO2183">
        <f>IF($AN2183=1,SUMPRODUCT(--($AR$2:$AR$3001&lt;$AR2183))+1,"")</f>
        <v/>
      </c>
      <c r="AP2183">
        <f>IF($E2183="","",IF(OR($U2183=TRUE(),$U2183="TRUE"),1,0))</f>
        <v/>
      </c>
      <c r="AQ2183">
        <f>IF($E2183="","",IF($AD2183="Yes",1,0))</f>
        <v/>
      </c>
      <c r="AR2183">
        <f>IF($AN2183=1,IFERROR(VALUE(MID($E2183,2,20)),1000000000)+ROW()/100000,"")</f>
        <v/>
      </c>
    </row>
    <row r="2184">
      <c r="G2184" s="11" t="n"/>
      <c r="Q2184" s="7">
        <f>IF($E2184="","",P2184*AB2184/100)</f>
        <v/>
      </c>
      <c r="R2184" s="7" t="n"/>
      <c r="X2184" s="7" t="n"/>
      <c r="Y2184" s="7">
        <f>IF($E2184="","",AB2184*AE2184/100)</f>
        <v/>
      </c>
      <c r="Z2184" s="7">
        <f>IF($E2184="","",AB2184-Y2184)</f>
        <v/>
      </c>
      <c r="AA2184" s="7">
        <f>IF($E2184="","",Z2184-Q2184)</f>
        <v/>
      </c>
      <c r="AB2184" s="7" t="n"/>
      <c r="AE2184">
        <f>IF($E2184="","",IF($AQ2184=1,0,IF($AP2184=1,Settings!$C$6,Settings!$C$7))*100)</f>
        <v/>
      </c>
      <c r="AI2184" s="7" t="n"/>
      <c r="AL2184" s="11" t="n"/>
      <c r="AN2184">
        <f>IF($E2184="","",IF(COUNTIF($E$2:$E2184,$E2184)=1,1,0))</f>
        <v/>
      </c>
      <c r="AO2184">
        <f>IF($AN2184=1,SUMPRODUCT(--($AR$2:$AR$3001&lt;$AR2184))+1,"")</f>
        <v/>
      </c>
      <c r="AP2184">
        <f>IF($E2184="","",IF(OR($U2184=TRUE(),$U2184="TRUE"),1,0))</f>
        <v/>
      </c>
      <c r="AQ2184">
        <f>IF($E2184="","",IF($AD2184="Yes",1,0))</f>
        <v/>
      </c>
      <c r="AR2184">
        <f>IF($AN2184=1,IFERROR(VALUE(MID($E2184,2,20)),1000000000)+ROW()/100000,"")</f>
        <v/>
      </c>
    </row>
    <row r="2185">
      <c r="G2185" s="11" t="n"/>
      <c r="Q2185" s="7">
        <f>IF($E2185="","",P2185*AB2185/100)</f>
        <v/>
      </c>
      <c r="R2185" s="7" t="n"/>
      <c r="X2185" s="7" t="n"/>
      <c r="Y2185" s="7">
        <f>IF($E2185="","",AB2185*AE2185/100)</f>
        <v/>
      </c>
      <c r="Z2185" s="7">
        <f>IF($E2185="","",AB2185-Y2185)</f>
        <v/>
      </c>
      <c r="AA2185" s="7">
        <f>IF($E2185="","",Z2185-Q2185)</f>
        <v/>
      </c>
      <c r="AB2185" s="7" t="n"/>
      <c r="AE2185">
        <f>IF($E2185="","",IF($AQ2185=1,0,IF($AP2185=1,Settings!$C$6,Settings!$C$7))*100)</f>
        <v/>
      </c>
      <c r="AI2185" s="7" t="n"/>
      <c r="AL2185" s="11" t="n"/>
      <c r="AN2185">
        <f>IF($E2185="","",IF(COUNTIF($E$2:$E2185,$E2185)=1,1,0))</f>
        <v/>
      </c>
      <c r="AO2185">
        <f>IF($AN2185=1,SUMPRODUCT(--($AR$2:$AR$3001&lt;$AR2185))+1,"")</f>
        <v/>
      </c>
      <c r="AP2185">
        <f>IF($E2185="","",IF(OR($U2185=TRUE(),$U2185="TRUE"),1,0))</f>
        <v/>
      </c>
      <c r="AQ2185">
        <f>IF($E2185="","",IF($AD2185="Yes",1,0))</f>
        <v/>
      </c>
      <c r="AR2185">
        <f>IF($AN2185=1,IFERROR(VALUE(MID($E2185,2,20)),1000000000)+ROW()/100000,"")</f>
        <v/>
      </c>
    </row>
    <row r="2186">
      <c r="G2186" s="11" t="n"/>
      <c r="Q2186" s="7">
        <f>IF($E2186="","",P2186*AB2186/100)</f>
        <v/>
      </c>
      <c r="R2186" s="7" t="n"/>
      <c r="X2186" s="7" t="n"/>
      <c r="Y2186" s="7">
        <f>IF($E2186="","",AB2186*AE2186/100)</f>
        <v/>
      </c>
      <c r="Z2186" s="7">
        <f>IF($E2186="","",AB2186-Y2186)</f>
        <v/>
      </c>
      <c r="AA2186" s="7">
        <f>IF($E2186="","",Z2186-Q2186)</f>
        <v/>
      </c>
      <c r="AB2186" s="7" t="n"/>
      <c r="AE2186">
        <f>IF($E2186="","",IF($AQ2186=1,0,IF($AP2186=1,Settings!$C$6,Settings!$C$7))*100)</f>
        <v/>
      </c>
      <c r="AI2186" s="7" t="n"/>
      <c r="AL2186" s="11" t="n"/>
      <c r="AN2186">
        <f>IF($E2186="","",IF(COUNTIF($E$2:$E2186,$E2186)=1,1,0))</f>
        <v/>
      </c>
      <c r="AO2186">
        <f>IF($AN2186=1,SUMPRODUCT(--($AR$2:$AR$3001&lt;$AR2186))+1,"")</f>
        <v/>
      </c>
      <c r="AP2186">
        <f>IF($E2186="","",IF(OR($U2186=TRUE(),$U2186="TRUE"),1,0))</f>
        <v/>
      </c>
      <c r="AQ2186">
        <f>IF($E2186="","",IF($AD2186="Yes",1,0))</f>
        <v/>
      </c>
      <c r="AR2186">
        <f>IF($AN2186=1,IFERROR(VALUE(MID($E2186,2,20)),1000000000)+ROW()/100000,"")</f>
        <v/>
      </c>
    </row>
    <row r="2187">
      <c r="G2187" s="11" t="n"/>
      <c r="Q2187" s="7">
        <f>IF($E2187="","",P2187*AB2187/100)</f>
        <v/>
      </c>
      <c r="R2187" s="7" t="n"/>
      <c r="X2187" s="7" t="n"/>
      <c r="Y2187" s="7">
        <f>IF($E2187="","",AB2187*AE2187/100)</f>
        <v/>
      </c>
      <c r="Z2187" s="7">
        <f>IF($E2187="","",AB2187-Y2187)</f>
        <v/>
      </c>
      <c r="AA2187" s="7">
        <f>IF($E2187="","",Z2187-Q2187)</f>
        <v/>
      </c>
      <c r="AB2187" s="7" t="n"/>
      <c r="AE2187">
        <f>IF($E2187="","",IF($AQ2187=1,0,IF($AP2187=1,Settings!$C$6,Settings!$C$7))*100)</f>
        <v/>
      </c>
      <c r="AI2187" s="7" t="n"/>
      <c r="AL2187" s="11" t="n"/>
      <c r="AN2187">
        <f>IF($E2187="","",IF(COUNTIF($E$2:$E2187,$E2187)=1,1,0))</f>
        <v/>
      </c>
      <c r="AO2187">
        <f>IF($AN2187=1,SUMPRODUCT(--($AR$2:$AR$3001&lt;$AR2187))+1,"")</f>
        <v/>
      </c>
      <c r="AP2187">
        <f>IF($E2187="","",IF(OR($U2187=TRUE(),$U2187="TRUE"),1,0))</f>
        <v/>
      </c>
      <c r="AQ2187">
        <f>IF($E2187="","",IF($AD2187="Yes",1,0))</f>
        <v/>
      </c>
      <c r="AR2187">
        <f>IF($AN2187=1,IFERROR(VALUE(MID($E2187,2,20)),1000000000)+ROW()/100000,"")</f>
        <v/>
      </c>
    </row>
    <row r="2188">
      <c r="G2188" s="11" t="n"/>
      <c r="Q2188" s="7">
        <f>IF($E2188="","",P2188*AB2188/100)</f>
        <v/>
      </c>
      <c r="R2188" s="7" t="n"/>
      <c r="X2188" s="7" t="n"/>
      <c r="Y2188" s="7">
        <f>IF($E2188="","",AB2188*AE2188/100)</f>
        <v/>
      </c>
      <c r="Z2188" s="7">
        <f>IF($E2188="","",AB2188-Y2188)</f>
        <v/>
      </c>
      <c r="AA2188" s="7">
        <f>IF($E2188="","",Z2188-Q2188)</f>
        <v/>
      </c>
      <c r="AB2188" s="7" t="n"/>
      <c r="AE2188">
        <f>IF($E2188="","",IF($AQ2188=1,0,IF($AP2188=1,Settings!$C$6,Settings!$C$7))*100)</f>
        <v/>
      </c>
      <c r="AI2188" s="7" t="n"/>
      <c r="AL2188" s="11" t="n"/>
      <c r="AN2188">
        <f>IF($E2188="","",IF(COUNTIF($E$2:$E2188,$E2188)=1,1,0))</f>
        <v/>
      </c>
      <c r="AO2188">
        <f>IF($AN2188=1,SUMPRODUCT(--($AR$2:$AR$3001&lt;$AR2188))+1,"")</f>
        <v/>
      </c>
      <c r="AP2188">
        <f>IF($E2188="","",IF(OR($U2188=TRUE(),$U2188="TRUE"),1,0))</f>
        <v/>
      </c>
      <c r="AQ2188">
        <f>IF($E2188="","",IF($AD2188="Yes",1,0))</f>
        <v/>
      </c>
      <c r="AR2188">
        <f>IF($AN2188=1,IFERROR(VALUE(MID($E2188,2,20)),1000000000)+ROW()/100000,"")</f>
        <v/>
      </c>
    </row>
    <row r="2189">
      <c r="G2189" s="11" t="n"/>
      <c r="Q2189" s="7">
        <f>IF($E2189="","",P2189*AB2189/100)</f>
        <v/>
      </c>
      <c r="R2189" s="7" t="n"/>
      <c r="X2189" s="7" t="n"/>
      <c r="Y2189" s="7">
        <f>IF($E2189="","",AB2189*AE2189/100)</f>
        <v/>
      </c>
      <c r="Z2189" s="7">
        <f>IF($E2189="","",AB2189-Y2189)</f>
        <v/>
      </c>
      <c r="AA2189" s="7">
        <f>IF($E2189="","",Z2189-Q2189)</f>
        <v/>
      </c>
      <c r="AB2189" s="7" t="n"/>
      <c r="AE2189">
        <f>IF($E2189="","",IF($AQ2189=1,0,IF($AP2189=1,Settings!$C$6,Settings!$C$7))*100)</f>
        <v/>
      </c>
      <c r="AI2189" s="7" t="n"/>
      <c r="AL2189" s="11" t="n"/>
      <c r="AN2189">
        <f>IF($E2189="","",IF(COUNTIF($E$2:$E2189,$E2189)=1,1,0))</f>
        <v/>
      </c>
      <c r="AO2189">
        <f>IF($AN2189=1,SUMPRODUCT(--($AR$2:$AR$3001&lt;$AR2189))+1,"")</f>
        <v/>
      </c>
      <c r="AP2189">
        <f>IF($E2189="","",IF(OR($U2189=TRUE(),$U2189="TRUE"),1,0))</f>
        <v/>
      </c>
      <c r="AQ2189">
        <f>IF($E2189="","",IF($AD2189="Yes",1,0))</f>
        <v/>
      </c>
      <c r="AR2189">
        <f>IF($AN2189=1,IFERROR(VALUE(MID($E2189,2,20)),1000000000)+ROW()/100000,"")</f>
        <v/>
      </c>
    </row>
    <row r="2190">
      <c r="G2190" s="11" t="n"/>
      <c r="Q2190" s="7">
        <f>IF($E2190="","",P2190*AB2190/100)</f>
        <v/>
      </c>
      <c r="R2190" s="7" t="n"/>
      <c r="X2190" s="7" t="n"/>
      <c r="Y2190" s="7">
        <f>IF($E2190="","",AB2190*AE2190/100)</f>
        <v/>
      </c>
      <c r="Z2190" s="7">
        <f>IF($E2190="","",AB2190-Y2190)</f>
        <v/>
      </c>
      <c r="AA2190" s="7">
        <f>IF($E2190="","",Z2190-Q2190)</f>
        <v/>
      </c>
      <c r="AB2190" s="7" t="n"/>
      <c r="AE2190">
        <f>IF($E2190="","",IF($AQ2190=1,0,IF($AP2190=1,Settings!$C$6,Settings!$C$7))*100)</f>
        <v/>
      </c>
      <c r="AI2190" s="7" t="n"/>
      <c r="AL2190" s="11" t="n"/>
      <c r="AN2190">
        <f>IF($E2190="","",IF(COUNTIF($E$2:$E2190,$E2190)=1,1,0))</f>
        <v/>
      </c>
      <c r="AO2190">
        <f>IF($AN2190=1,SUMPRODUCT(--($AR$2:$AR$3001&lt;$AR2190))+1,"")</f>
        <v/>
      </c>
      <c r="AP2190">
        <f>IF($E2190="","",IF(OR($U2190=TRUE(),$U2190="TRUE"),1,0))</f>
        <v/>
      </c>
      <c r="AQ2190">
        <f>IF($E2190="","",IF($AD2190="Yes",1,0))</f>
        <v/>
      </c>
      <c r="AR2190">
        <f>IF($AN2190=1,IFERROR(VALUE(MID($E2190,2,20)),1000000000)+ROW()/100000,"")</f>
        <v/>
      </c>
    </row>
    <row r="2191">
      <c r="G2191" s="11" t="n"/>
      <c r="Q2191" s="7">
        <f>IF($E2191="","",P2191*AB2191/100)</f>
        <v/>
      </c>
      <c r="R2191" s="7" t="n"/>
      <c r="X2191" s="7" t="n"/>
      <c r="Y2191" s="7">
        <f>IF($E2191="","",AB2191*AE2191/100)</f>
        <v/>
      </c>
      <c r="Z2191" s="7">
        <f>IF($E2191="","",AB2191-Y2191)</f>
        <v/>
      </c>
      <c r="AA2191" s="7">
        <f>IF($E2191="","",Z2191-Q2191)</f>
        <v/>
      </c>
      <c r="AB2191" s="7" t="n"/>
      <c r="AE2191">
        <f>IF($E2191="","",IF($AQ2191=1,0,IF($AP2191=1,Settings!$C$6,Settings!$C$7))*100)</f>
        <v/>
      </c>
      <c r="AI2191" s="7" t="n"/>
      <c r="AL2191" s="11" t="n"/>
      <c r="AN2191">
        <f>IF($E2191="","",IF(COUNTIF($E$2:$E2191,$E2191)=1,1,0))</f>
        <v/>
      </c>
      <c r="AO2191">
        <f>IF($AN2191=1,SUMPRODUCT(--($AR$2:$AR$3001&lt;$AR2191))+1,"")</f>
        <v/>
      </c>
      <c r="AP2191">
        <f>IF($E2191="","",IF(OR($U2191=TRUE(),$U2191="TRUE"),1,0))</f>
        <v/>
      </c>
      <c r="AQ2191">
        <f>IF($E2191="","",IF($AD2191="Yes",1,0))</f>
        <v/>
      </c>
      <c r="AR2191">
        <f>IF($AN2191=1,IFERROR(VALUE(MID($E2191,2,20)),1000000000)+ROW()/100000,"")</f>
        <v/>
      </c>
    </row>
    <row r="2192">
      <c r="G2192" s="11" t="n"/>
      <c r="Q2192" s="7">
        <f>IF($E2192="","",P2192*AB2192/100)</f>
        <v/>
      </c>
      <c r="R2192" s="7" t="n"/>
      <c r="X2192" s="7" t="n"/>
      <c r="Y2192" s="7">
        <f>IF($E2192="","",AB2192*AE2192/100)</f>
        <v/>
      </c>
      <c r="Z2192" s="7">
        <f>IF($E2192="","",AB2192-Y2192)</f>
        <v/>
      </c>
      <c r="AA2192" s="7">
        <f>IF($E2192="","",Z2192-Q2192)</f>
        <v/>
      </c>
      <c r="AB2192" s="7" t="n"/>
      <c r="AE2192">
        <f>IF($E2192="","",IF($AQ2192=1,0,IF($AP2192=1,Settings!$C$6,Settings!$C$7))*100)</f>
        <v/>
      </c>
      <c r="AI2192" s="7" t="n"/>
      <c r="AL2192" s="11" t="n"/>
      <c r="AN2192">
        <f>IF($E2192="","",IF(COUNTIF($E$2:$E2192,$E2192)=1,1,0))</f>
        <v/>
      </c>
      <c r="AO2192">
        <f>IF($AN2192=1,SUMPRODUCT(--($AR$2:$AR$3001&lt;$AR2192))+1,"")</f>
        <v/>
      </c>
      <c r="AP2192">
        <f>IF($E2192="","",IF(OR($U2192=TRUE(),$U2192="TRUE"),1,0))</f>
        <v/>
      </c>
      <c r="AQ2192">
        <f>IF($E2192="","",IF($AD2192="Yes",1,0))</f>
        <v/>
      </c>
      <c r="AR2192">
        <f>IF($AN2192=1,IFERROR(VALUE(MID($E2192,2,20)),1000000000)+ROW()/100000,"")</f>
        <v/>
      </c>
    </row>
    <row r="2193">
      <c r="G2193" s="11" t="n"/>
      <c r="Q2193" s="7">
        <f>IF($E2193="","",P2193*AB2193/100)</f>
        <v/>
      </c>
      <c r="R2193" s="7" t="n"/>
      <c r="X2193" s="7" t="n"/>
      <c r="Y2193" s="7">
        <f>IF($E2193="","",AB2193*AE2193/100)</f>
        <v/>
      </c>
      <c r="Z2193" s="7">
        <f>IF($E2193="","",AB2193-Y2193)</f>
        <v/>
      </c>
      <c r="AA2193" s="7">
        <f>IF($E2193="","",Z2193-Q2193)</f>
        <v/>
      </c>
      <c r="AB2193" s="7" t="n"/>
      <c r="AE2193">
        <f>IF($E2193="","",IF($AQ2193=1,0,IF($AP2193=1,Settings!$C$6,Settings!$C$7))*100)</f>
        <v/>
      </c>
      <c r="AI2193" s="7" t="n"/>
      <c r="AL2193" s="11" t="n"/>
      <c r="AN2193">
        <f>IF($E2193="","",IF(COUNTIF($E$2:$E2193,$E2193)=1,1,0))</f>
        <v/>
      </c>
      <c r="AO2193">
        <f>IF($AN2193=1,SUMPRODUCT(--($AR$2:$AR$3001&lt;$AR2193))+1,"")</f>
        <v/>
      </c>
      <c r="AP2193">
        <f>IF($E2193="","",IF(OR($U2193=TRUE(),$U2193="TRUE"),1,0))</f>
        <v/>
      </c>
      <c r="AQ2193">
        <f>IF($E2193="","",IF($AD2193="Yes",1,0))</f>
        <v/>
      </c>
      <c r="AR2193">
        <f>IF($AN2193=1,IFERROR(VALUE(MID($E2193,2,20)),1000000000)+ROW()/100000,"")</f>
        <v/>
      </c>
    </row>
    <row r="2194">
      <c r="G2194" s="11" t="n"/>
      <c r="Q2194" s="7">
        <f>IF($E2194="","",P2194*AB2194/100)</f>
        <v/>
      </c>
      <c r="R2194" s="7" t="n"/>
      <c r="X2194" s="7" t="n"/>
      <c r="Y2194" s="7">
        <f>IF($E2194="","",AB2194*AE2194/100)</f>
        <v/>
      </c>
      <c r="Z2194" s="7">
        <f>IF($E2194="","",AB2194-Y2194)</f>
        <v/>
      </c>
      <c r="AA2194" s="7">
        <f>IF($E2194="","",Z2194-Q2194)</f>
        <v/>
      </c>
      <c r="AB2194" s="7" t="n"/>
      <c r="AE2194">
        <f>IF($E2194="","",IF($AQ2194=1,0,IF($AP2194=1,Settings!$C$6,Settings!$C$7))*100)</f>
        <v/>
      </c>
      <c r="AI2194" s="7" t="n"/>
      <c r="AL2194" s="11" t="n"/>
      <c r="AN2194">
        <f>IF($E2194="","",IF(COUNTIF($E$2:$E2194,$E2194)=1,1,0))</f>
        <v/>
      </c>
      <c r="AO2194">
        <f>IF($AN2194=1,SUMPRODUCT(--($AR$2:$AR$3001&lt;$AR2194))+1,"")</f>
        <v/>
      </c>
      <c r="AP2194">
        <f>IF($E2194="","",IF(OR($U2194=TRUE(),$U2194="TRUE"),1,0))</f>
        <v/>
      </c>
      <c r="AQ2194">
        <f>IF($E2194="","",IF($AD2194="Yes",1,0))</f>
        <v/>
      </c>
      <c r="AR2194">
        <f>IF($AN2194=1,IFERROR(VALUE(MID($E2194,2,20)),1000000000)+ROW()/100000,"")</f>
        <v/>
      </c>
    </row>
    <row r="2195">
      <c r="G2195" s="11" t="n"/>
      <c r="Q2195" s="7">
        <f>IF($E2195="","",P2195*AB2195/100)</f>
        <v/>
      </c>
      <c r="R2195" s="7" t="n"/>
      <c r="X2195" s="7" t="n"/>
      <c r="Y2195" s="7">
        <f>IF($E2195="","",AB2195*AE2195/100)</f>
        <v/>
      </c>
      <c r="Z2195" s="7">
        <f>IF($E2195="","",AB2195-Y2195)</f>
        <v/>
      </c>
      <c r="AA2195" s="7">
        <f>IF($E2195="","",Z2195-Q2195)</f>
        <v/>
      </c>
      <c r="AB2195" s="7" t="n"/>
      <c r="AE2195">
        <f>IF($E2195="","",IF($AQ2195=1,0,IF($AP2195=1,Settings!$C$6,Settings!$C$7))*100)</f>
        <v/>
      </c>
      <c r="AI2195" s="7" t="n"/>
      <c r="AL2195" s="11" t="n"/>
      <c r="AN2195">
        <f>IF($E2195="","",IF(COUNTIF($E$2:$E2195,$E2195)=1,1,0))</f>
        <v/>
      </c>
      <c r="AO2195">
        <f>IF($AN2195=1,SUMPRODUCT(--($AR$2:$AR$3001&lt;$AR2195))+1,"")</f>
        <v/>
      </c>
      <c r="AP2195">
        <f>IF($E2195="","",IF(OR($U2195=TRUE(),$U2195="TRUE"),1,0))</f>
        <v/>
      </c>
      <c r="AQ2195">
        <f>IF($E2195="","",IF($AD2195="Yes",1,0))</f>
        <v/>
      </c>
      <c r="AR2195">
        <f>IF($AN2195=1,IFERROR(VALUE(MID($E2195,2,20)),1000000000)+ROW()/100000,"")</f>
        <v/>
      </c>
    </row>
    <row r="2196">
      <c r="G2196" s="11" t="n"/>
      <c r="Q2196" s="7">
        <f>IF($E2196="","",P2196*AB2196/100)</f>
        <v/>
      </c>
      <c r="R2196" s="7" t="n"/>
      <c r="X2196" s="7" t="n"/>
      <c r="Y2196" s="7">
        <f>IF($E2196="","",AB2196*AE2196/100)</f>
        <v/>
      </c>
      <c r="Z2196" s="7">
        <f>IF($E2196="","",AB2196-Y2196)</f>
        <v/>
      </c>
      <c r="AA2196" s="7">
        <f>IF($E2196="","",Z2196-Q2196)</f>
        <v/>
      </c>
      <c r="AB2196" s="7" t="n"/>
      <c r="AE2196">
        <f>IF($E2196="","",IF($AQ2196=1,0,IF($AP2196=1,Settings!$C$6,Settings!$C$7))*100)</f>
        <v/>
      </c>
      <c r="AI2196" s="7" t="n"/>
      <c r="AL2196" s="11" t="n"/>
      <c r="AN2196">
        <f>IF($E2196="","",IF(COUNTIF($E$2:$E2196,$E2196)=1,1,0))</f>
        <v/>
      </c>
      <c r="AO2196">
        <f>IF($AN2196=1,SUMPRODUCT(--($AR$2:$AR$3001&lt;$AR2196))+1,"")</f>
        <v/>
      </c>
      <c r="AP2196">
        <f>IF($E2196="","",IF(OR($U2196=TRUE(),$U2196="TRUE"),1,0))</f>
        <v/>
      </c>
      <c r="AQ2196">
        <f>IF($E2196="","",IF($AD2196="Yes",1,0))</f>
        <v/>
      </c>
      <c r="AR2196">
        <f>IF($AN2196=1,IFERROR(VALUE(MID($E2196,2,20)),1000000000)+ROW()/100000,"")</f>
        <v/>
      </c>
    </row>
    <row r="2197">
      <c r="G2197" s="11" t="n"/>
      <c r="Q2197" s="7">
        <f>IF($E2197="","",P2197*AB2197/100)</f>
        <v/>
      </c>
      <c r="R2197" s="7" t="n"/>
      <c r="X2197" s="7" t="n"/>
      <c r="Y2197" s="7">
        <f>IF($E2197="","",AB2197*AE2197/100)</f>
        <v/>
      </c>
      <c r="Z2197" s="7">
        <f>IF($E2197="","",AB2197-Y2197)</f>
        <v/>
      </c>
      <c r="AA2197" s="7">
        <f>IF($E2197="","",Z2197-Q2197)</f>
        <v/>
      </c>
      <c r="AB2197" s="7" t="n"/>
      <c r="AE2197">
        <f>IF($E2197="","",IF($AQ2197=1,0,IF($AP2197=1,Settings!$C$6,Settings!$C$7))*100)</f>
        <v/>
      </c>
      <c r="AI2197" s="7" t="n"/>
      <c r="AL2197" s="11" t="n"/>
      <c r="AN2197">
        <f>IF($E2197="","",IF(COUNTIF($E$2:$E2197,$E2197)=1,1,0))</f>
        <v/>
      </c>
      <c r="AO2197">
        <f>IF($AN2197=1,SUMPRODUCT(--($AR$2:$AR$3001&lt;$AR2197))+1,"")</f>
        <v/>
      </c>
      <c r="AP2197">
        <f>IF($E2197="","",IF(OR($U2197=TRUE(),$U2197="TRUE"),1,0))</f>
        <v/>
      </c>
      <c r="AQ2197">
        <f>IF($E2197="","",IF($AD2197="Yes",1,0))</f>
        <v/>
      </c>
      <c r="AR2197">
        <f>IF($AN2197=1,IFERROR(VALUE(MID($E2197,2,20)),1000000000)+ROW()/100000,"")</f>
        <v/>
      </c>
    </row>
    <row r="2198">
      <c r="G2198" s="11" t="n"/>
      <c r="Q2198" s="7">
        <f>IF($E2198="","",P2198*AB2198/100)</f>
        <v/>
      </c>
      <c r="R2198" s="7" t="n"/>
      <c r="X2198" s="7" t="n"/>
      <c r="Y2198" s="7">
        <f>IF($E2198="","",AB2198*AE2198/100)</f>
        <v/>
      </c>
      <c r="Z2198" s="7">
        <f>IF($E2198="","",AB2198-Y2198)</f>
        <v/>
      </c>
      <c r="AA2198" s="7">
        <f>IF($E2198="","",Z2198-Q2198)</f>
        <v/>
      </c>
      <c r="AB2198" s="7" t="n"/>
      <c r="AE2198">
        <f>IF($E2198="","",IF($AQ2198=1,0,IF($AP2198=1,Settings!$C$6,Settings!$C$7))*100)</f>
        <v/>
      </c>
      <c r="AI2198" s="7" t="n"/>
      <c r="AL2198" s="11" t="n"/>
      <c r="AN2198">
        <f>IF($E2198="","",IF(COUNTIF($E$2:$E2198,$E2198)=1,1,0))</f>
        <v/>
      </c>
      <c r="AO2198">
        <f>IF($AN2198=1,SUMPRODUCT(--($AR$2:$AR$3001&lt;$AR2198))+1,"")</f>
        <v/>
      </c>
      <c r="AP2198">
        <f>IF($E2198="","",IF(OR($U2198=TRUE(),$U2198="TRUE"),1,0))</f>
        <v/>
      </c>
      <c r="AQ2198">
        <f>IF($E2198="","",IF($AD2198="Yes",1,0))</f>
        <v/>
      </c>
      <c r="AR2198">
        <f>IF($AN2198=1,IFERROR(VALUE(MID($E2198,2,20)),1000000000)+ROW()/100000,"")</f>
        <v/>
      </c>
    </row>
    <row r="2199">
      <c r="G2199" s="11" t="n"/>
      <c r="Q2199" s="7">
        <f>IF($E2199="","",P2199*AB2199/100)</f>
        <v/>
      </c>
      <c r="R2199" s="7" t="n"/>
      <c r="X2199" s="7" t="n"/>
      <c r="Y2199" s="7">
        <f>IF($E2199="","",AB2199*AE2199/100)</f>
        <v/>
      </c>
      <c r="Z2199" s="7">
        <f>IF($E2199="","",AB2199-Y2199)</f>
        <v/>
      </c>
      <c r="AA2199" s="7">
        <f>IF($E2199="","",Z2199-Q2199)</f>
        <v/>
      </c>
      <c r="AB2199" s="7" t="n"/>
      <c r="AE2199">
        <f>IF($E2199="","",IF($AQ2199=1,0,IF($AP2199=1,Settings!$C$6,Settings!$C$7))*100)</f>
        <v/>
      </c>
      <c r="AI2199" s="7" t="n"/>
      <c r="AL2199" s="11" t="n"/>
      <c r="AN2199">
        <f>IF($E2199="","",IF(COUNTIF($E$2:$E2199,$E2199)=1,1,0))</f>
        <v/>
      </c>
      <c r="AO2199">
        <f>IF($AN2199=1,SUMPRODUCT(--($AR$2:$AR$3001&lt;$AR2199))+1,"")</f>
        <v/>
      </c>
      <c r="AP2199">
        <f>IF($E2199="","",IF(OR($U2199=TRUE(),$U2199="TRUE"),1,0))</f>
        <v/>
      </c>
      <c r="AQ2199">
        <f>IF($E2199="","",IF($AD2199="Yes",1,0))</f>
        <v/>
      </c>
      <c r="AR2199">
        <f>IF($AN2199=1,IFERROR(VALUE(MID($E2199,2,20)),1000000000)+ROW()/100000,"")</f>
        <v/>
      </c>
    </row>
    <row r="2200">
      <c r="G2200" s="11" t="n"/>
      <c r="Q2200" s="7">
        <f>IF($E2200="","",P2200*AB2200/100)</f>
        <v/>
      </c>
      <c r="R2200" s="7" t="n"/>
      <c r="X2200" s="7" t="n"/>
      <c r="Y2200" s="7">
        <f>IF($E2200="","",AB2200*AE2200/100)</f>
        <v/>
      </c>
      <c r="Z2200" s="7">
        <f>IF($E2200="","",AB2200-Y2200)</f>
        <v/>
      </c>
      <c r="AA2200" s="7">
        <f>IF($E2200="","",Z2200-Q2200)</f>
        <v/>
      </c>
      <c r="AB2200" s="7" t="n"/>
      <c r="AE2200">
        <f>IF($E2200="","",IF($AQ2200=1,0,IF($AP2200=1,Settings!$C$6,Settings!$C$7))*100)</f>
        <v/>
      </c>
      <c r="AI2200" s="7" t="n"/>
      <c r="AL2200" s="11" t="n"/>
      <c r="AN2200">
        <f>IF($E2200="","",IF(COUNTIF($E$2:$E2200,$E2200)=1,1,0))</f>
        <v/>
      </c>
      <c r="AO2200">
        <f>IF($AN2200=1,SUMPRODUCT(--($AR$2:$AR$3001&lt;$AR2200))+1,"")</f>
        <v/>
      </c>
      <c r="AP2200">
        <f>IF($E2200="","",IF(OR($U2200=TRUE(),$U2200="TRUE"),1,0))</f>
        <v/>
      </c>
      <c r="AQ2200">
        <f>IF($E2200="","",IF($AD2200="Yes",1,0))</f>
        <v/>
      </c>
      <c r="AR2200">
        <f>IF($AN2200=1,IFERROR(VALUE(MID($E2200,2,20)),1000000000)+ROW()/100000,"")</f>
        <v/>
      </c>
    </row>
    <row r="2201">
      <c r="G2201" s="11" t="n"/>
      <c r="Q2201" s="7">
        <f>IF($E2201="","",P2201*AB2201/100)</f>
        <v/>
      </c>
      <c r="R2201" s="7" t="n"/>
      <c r="X2201" s="7" t="n"/>
      <c r="Y2201" s="7">
        <f>IF($E2201="","",AB2201*AE2201/100)</f>
        <v/>
      </c>
      <c r="Z2201" s="7">
        <f>IF($E2201="","",AB2201-Y2201)</f>
        <v/>
      </c>
      <c r="AA2201" s="7">
        <f>IF($E2201="","",Z2201-Q2201)</f>
        <v/>
      </c>
      <c r="AB2201" s="7" t="n"/>
      <c r="AE2201">
        <f>IF($E2201="","",IF($AQ2201=1,0,IF($AP2201=1,Settings!$C$6,Settings!$C$7))*100)</f>
        <v/>
      </c>
      <c r="AI2201" s="7" t="n"/>
      <c r="AL2201" s="11" t="n"/>
      <c r="AN2201">
        <f>IF($E2201="","",IF(COUNTIF($E$2:$E2201,$E2201)=1,1,0))</f>
        <v/>
      </c>
      <c r="AO2201">
        <f>IF($AN2201=1,SUMPRODUCT(--($AR$2:$AR$3001&lt;$AR2201))+1,"")</f>
        <v/>
      </c>
      <c r="AP2201">
        <f>IF($E2201="","",IF(OR($U2201=TRUE(),$U2201="TRUE"),1,0))</f>
        <v/>
      </c>
      <c r="AQ2201">
        <f>IF($E2201="","",IF($AD2201="Yes",1,0))</f>
        <v/>
      </c>
      <c r="AR2201">
        <f>IF($AN2201=1,IFERROR(VALUE(MID($E2201,2,20)),1000000000)+ROW()/100000,"")</f>
        <v/>
      </c>
    </row>
    <row r="2202">
      <c r="G2202" s="11" t="n"/>
      <c r="Q2202" s="7">
        <f>IF($E2202="","",P2202*AB2202/100)</f>
        <v/>
      </c>
      <c r="R2202" s="7" t="n"/>
      <c r="X2202" s="7" t="n"/>
      <c r="Y2202" s="7">
        <f>IF($E2202="","",AB2202*AE2202/100)</f>
        <v/>
      </c>
      <c r="Z2202" s="7">
        <f>IF($E2202="","",AB2202-Y2202)</f>
        <v/>
      </c>
      <c r="AA2202" s="7">
        <f>IF($E2202="","",Z2202-Q2202)</f>
        <v/>
      </c>
      <c r="AB2202" s="7" t="n"/>
      <c r="AE2202">
        <f>IF($E2202="","",IF($AQ2202=1,0,IF($AP2202=1,Settings!$C$6,Settings!$C$7))*100)</f>
        <v/>
      </c>
      <c r="AI2202" s="7" t="n"/>
      <c r="AL2202" s="11" t="n"/>
      <c r="AN2202">
        <f>IF($E2202="","",IF(COUNTIF($E$2:$E2202,$E2202)=1,1,0))</f>
        <v/>
      </c>
      <c r="AO2202">
        <f>IF($AN2202=1,SUMPRODUCT(--($AR$2:$AR$3001&lt;$AR2202))+1,"")</f>
        <v/>
      </c>
      <c r="AP2202">
        <f>IF($E2202="","",IF(OR($U2202=TRUE(),$U2202="TRUE"),1,0))</f>
        <v/>
      </c>
      <c r="AQ2202">
        <f>IF($E2202="","",IF($AD2202="Yes",1,0))</f>
        <v/>
      </c>
      <c r="AR2202">
        <f>IF($AN2202=1,IFERROR(VALUE(MID($E2202,2,20)),1000000000)+ROW()/100000,"")</f>
        <v/>
      </c>
    </row>
    <row r="2203">
      <c r="G2203" s="11" t="n"/>
      <c r="Q2203" s="7">
        <f>IF($E2203="","",P2203*AB2203/100)</f>
        <v/>
      </c>
      <c r="R2203" s="7" t="n"/>
      <c r="X2203" s="7" t="n"/>
      <c r="Y2203" s="7">
        <f>IF($E2203="","",AB2203*AE2203/100)</f>
        <v/>
      </c>
      <c r="Z2203" s="7">
        <f>IF($E2203="","",AB2203-Y2203)</f>
        <v/>
      </c>
      <c r="AA2203" s="7">
        <f>IF($E2203="","",Z2203-Q2203)</f>
        <v/>
      </c>
      <c r="AB2203" s="7" t="n"/>
      <c r="AE2203">
        <f>IF($E2203="","",IF($AQ2203=1,0,IF($AP2203=1,Settings!$C$6,Settings!$C$7))*100)</f>
        <v/>
      </c>
      <c r="AI2203" s="7" t="n"/>
      <c r="AL2203" s="11" t="n"/>
      <c r="AN2203">
        <f>IF($E2203="","",IF(COUNTIF($E$2:$E2203,$E2203)=1,1,0))</f>
        <v/>
      </c>
      <c r="AO2203">
        <f>IF($AN2203=1,SUMPRODUCT(--($AR$2:$AR$3001&lt;$AR2203))+1,"")</f>
        <v/>
      </c>
      <c r="AP2203">
        <f>IF($E2203="","",IF(OR($U2203=TRUE(),$U2203="TRUE"),1,0))</f>
        <v/>
      </c>
      <c r="AQ2203">
        <f>IF($E2203="","",IF($AD2203="Yes",1,0))</f>
        <v/>
      </c>
      <c r="AR2203">
        <f>IF($AN2203=1,IFERROR(VALUE(MID($E2203,2,20)),1000000000)+ROW()/100000,"")</f>
        <v/>
      </c>
    </row>
    <row r="2204">
      <c r="G2204" s="11" t="n"/>
      <c r="Q2204" s="7">
        <f>IF($E2204="","",P2204*AB2204/100)</f>
        <v/>
      </c>
      <c r="R2204" s="7" t="n"/>
      <c r="X2204" s="7" t="n"/>
      <c r="Y2204" s="7">
        <f>IF($E2204="","",AB2204*AE2204/100)</f>
        <v/>
      </c>
      <c r="Z2204" s="7">
        <f>IF($E2204="","",AB2204-Y2204)</f>
        <v/>
      </c>
      <c r="AA2204" s="7">
        <f>IF($E2204="","",Z2204-Q2204)</f>
        <v/>
      </c>
      <c r="AB2204" s="7" t="n"/>
      <c r="AE2204">
        <f>IF($E2204="","",IF($AQ2204=1,0,IF($AP2204=1,Settings!$C$6,Settings!$C$7))*100)</f>
        <v/>
      </c>
      <c r="AI2204" s="7" t="n"/>
      <c r="AL2204" s="11" t="n"/>
      <c r="AN2204">
        <f>IF($E2204="","",IF(COUNTIF($E$2:$E2204,$E2204)=1,1,0))</f>
        <v/>
      </c>
      <c r="AO2204">
        <f>IF($AN2204=1,SUMPRODUCT(--($AR$2:$AR$3001&lt;$AR2204))+1,"")</f>
        <v/>
      </c>
      <c r="AP2204">
        <f>IF($E2204="","",IF(OR($U2204=TRUE(),$U2204="TRUE"),1,0))</f>
        <v/>
      </c>
      <c r="AQ2204">
        <f>IF($E2204="","",IF($AD2204="Yes",1,0))</f>
        <v/>
      </c>
      <c r="AR2204">
        <f>IF($AN2204=1,IFERROR(VALUE(MID($E2204,2,20)),1000000000)+ROW()/100000,"")</f>
        <v/>
      </c>
    </row>
    <row r="2205">
      <c r="G2205" s="11" t="n"/>
      <c r="Q2205" s="7">
        <f>IF($E2205="","",P2205*AB2205/100)</f>
        <v/>
      </c>
      <c r="R2205" s="7" t="n"/>
      <c r="X2205" s="7" t="n"/>
      <c r="Y2205" s="7">
        <f>IF($E2205="","",AB2205*AE2205/100)</f>
        <v/>
      </c>
      <c r="Z2205" s="7">
        <f>IF($E2205="","",AB2205-Y2205)</f>
        <v/>
      </c>
      <c r="AA2205" s="7">
        <f>IF($E2205="","",Z2205-Q2205)</f>
        <v/>
      </c>
      <c r="AB2205" s="7" t="n"/>
      <c r="AE2205">
        <f>IF($E2205="","",IF($AQ2205=1,0,IF($AP2205=1,Settings!$C$6,Settings!$C$7))*100)</f>
        <v/>
      </c>
      <c r="AI2205" s="7" t="n"/>
      <c r="AL2205" s="11" t="n"/>
      <c r="AN2205">
        <f>IF($E2205="","",IF(COUNTIF($E$2:$E2205,$E2205)=1,1,0))</f>
        <v/>
      </c>
      <c r="AO2205">
        <f>IF($AN2205=1,SUMPRODUCT(--($AR$2:$AR$3001&lt;$AR2205))+1,"")</f>
        <v/>
      </c>
      <c r="AP2205">
        <f>IF($E2205="","",IF(OR($U2205=TRUE(),$U2205="TRUE"),1,0))</f>
        <v/>
      </c>
      <c r="AQ2205">
        <f>IF($E2205="","",IF($AD2205="Yes",1,0))</f>
        <v/>
      </c>
      <c r="AR2205">
        <f>IF($AN2205=1,IFERROR(VALUE(MID($E2205,2,20)),1000000000)+ROW()/100000,"")</f>
        <v/>
      </c>
    </row>
    <row r="2206">
      <c r="G2206" s="11" t="n"/>
      <c r="Q2206" s="7">
        <f>IF($E2206="","",P2206*AB2206/100)</f>
        <v/>
      </c>
      <c r="R2206" s="7" t="n"/>
      <c r="X2206" s="7" t="n"/>
      <c r="Y2206" s="7">
        <f>IF($E2206="","",AB2206*AE2206/100)</f>
        <v/>
      </c>
      <c r="Z2206" s="7">
        <f>IF($E2206="","",AB2206-Y2206)</f>
        <v/>
      </c>
      <c r="AA2206" s="7">
        <f>IF($E2206="","",Z2206-Q2206)</f>
        <v/>
      </c>
      <c r="AB2206" s="7" t="n"/>
      <c r="AE2206">
        <f>IF($E2206="","",IF($AQ2206=1,0,IF($AP2206=1,Settings!$C$6,Settings!$C$7))*100)</f>
        <v/>
      </c>
      <c r="AI2206" s="7" t="n"/>
      <c r="AL2206" s="11" t="n"/>
      <c r="AN2206">
        <f>IF($E2206="","",IF(COUNTIF($E$2:$E2206,$E2206)=1,1,0))</f>
        <v/>
      </c>
      <c r="AO2206">
        <f>IF($AN2206=1,SUMPRODUCT(--($AR$2:$AR$3001&lt;$AR2206))+1,"")</f>
        <v/>
      </c>
      <c r="AP2206">
        <f>IF($E2206="","",IF(OR($U2206=TRUE(),$U2206="TRUE"),1,0))</f>
        <v/>
      </c>
      <c r="AQ2206">
        <f>IF($E2206="","",IF($AD2206="Yes",1,0))</f>
        <v/>
      </c>
      <c r="AR2206">
        <f>IF($AN2206=1,IFERROR(VALUE(MID($E2206,2,20)),1000000000)+ROW()/100000,"")</f>
        <v/>
      </c>
    </row>
    <row r="2207">
      <c r="G2207" s="11" t="n"/>
      <c r="Q2207" s="7">
        <f>IF($E2207="","",P2207*AB2207/100)</f>
        <v/>
      </c>
      <c r="R2207" s="7" t="n"/>
      <c r="X2207" s="7" t="n"/>
      <c r="Y2207" s="7">
        <f>IF($E2207="","",AB2207*AE2207/100)</f>
        <v/>
      </c>
      <c r="Z2207" s="7">
        <f>IF($E2207="","",AB2207-Y2207)</f>
        <v/>
      </c>
      <c r="AA2207" s="7">
        <f>IF($E2207="","",Z2207-Q2207)</f>
        <v/>
      </c>
      <c r="AB2207" s="7" t="n"/>
      <c r="AE2207">
        <f>IF($E2207="","",IF($AQ2207=1,0,IF($AP2207=1,Settings!$C$6,Settings!$C$7))*100)</f>
        <v/>
      </c>
      <c r="AI2207" s="7" t="n"/>
      <c r="AL2207" s="11" t="n"/>
      <c r="AN2207">
        <f>IF($E2207="","",IF(COUNTIF($E$2:$E2207,$E2207)=1,1,0))</f>
        <v/>
      </c>
      <c r="AO2207">
        <f>IF($AN2207=1,SUMPRODUCT(--($AR$2:$AR$3001&lt;$AR2207))+1,"")</f>
        <v/>
      </c>
      <c r="AP2207">
        <f>IF($E2207="","",IF(OR($U2207=TRUE(),$U2207="TRUE"),1,0))</f>
        <v/>
      </c>
      <c r="AQ2207">
        <f>IF($E2207="","",IF($AD2207="Yes",1,0))</f>
        <v/>
      </c>
      <c r="AR2207">
        <f>IF($AN2207=1,IFERROR(VALUE(MID($E2207,2,20)),1000000000)+ROW()/100000,"")</f>
        <v/>
      </c>
    </row>
    <row r="2208">
      <c r="G2208" s="11" t="n"/>
      <c r="Q2208" s="7">
        <f>IF($E2208="","",P2208*AB2208/100)</f>
        <v/>
      </c>
      <c r="R2208" s="7" t="n"/>
      <c r="X2208" s="7" t="n"/>
      <c r="Y2208" s="7">
        <f>IF($E2208="","",AB2208*AE2208/100)</f>
        <v/>
      </c>
      <c r="Z2208" s="7">
        <f>IF($E2208="","",AB2208-Y2208)</f>
        <v/>
      </c>
      <c r="AA2208" s="7">
        <f>IF($E2208="","",Z2208-Q2208)</f>
        <v/>
      </c>
      <c r="AB2208" s="7" t="n"/>
      <c r="AE2208">
        <f>IF($E2208="","",IF($AQ2208=1,0,IF($AP2208=1,Settings!$C$6,Settings!$C$7))*100)</f>
        <v/>
      </c>
      <c r="AI2208" s="7" t="n"/>
      <c r="AL2208" s="11" t="n"/>
      <c r="AN2208">
        <f>IF($E2208="","",IF(COUNTIF($E$2:$E2208,$E2208)=1,1,0))</f>
        <v/>
      </c>
      <c r="AO2208">
        <f>IF($AN2208=1,SUMPRODUCT(--($AR$2:$AR$3001&lt;$AR2208))+1,"")</f>
        <v/>
      </c>
      <c r="AP2208">
        <f>IF($E2208="","",IF(OR($U2208=TRUE(),$U2208="TRUE"),1,0))</f>
        <v/>
      </c>
      <c r="AQ2208">
        <f>IF($E2208="","",IF($AD2208="Yes",1,0))</f>
        <v/>
      </c>
      <c r="AR2208">
        <f>IF($AN2208=1,IFERROR(VALUE(MID($E2208,2,20)),1000000000)+ROW()/100000,"")</f>
        <v/>
      </c>
    </row>
    <row r="2209">
      <c r="G2209" s="11" t="n"/>
      <c r="Q2209" s="7">
        <f>IF($E2209="","",P2209*AB2209/100)</f>
        <v/>
      </c>
      <c r="R2209" s="7" t="n"/>
      <c r="X2209" s="7" t="n"/>
      <c r="Y2209" s="7">
        <f>IF($E2209="","",AB2209*AE2209/100)</f>
        <v/>
      </c>
      <c r="Z2209" s="7">
        <f>IF($E2209="","",AB2209-Y2209)</f>
        <v/>
      </c>
      <c r="AA2209" s="7">
        <f>IF($E2209="","",Z2209-Q2209)</f>
        <v/>
      </c>
      <c r="AB2209" s="7" t="n"/>
      <c r="AE2209">
        <f>IF($E2209="","",IF($AQ2209=1,0,IF($AP2209=1,Settings!$C$6,Settings!$C$7))*100)</f>
        <v/>
      </c>
      <c r="AI2209" s="7" t="n"/>
      <c r="AL2209" s="11" t="n"/>
      <c r="AN2209">
        <f>IF($E2209="","",IF(COUNTIF($E$2:$E2209,$E2209)=1,1,0))</f>
        <v/>
      </c>
      <c r="AO2209">
        <f>IF($AN2209=1,SUMPRODUCT(--($AR$2:$AR$3001&lt;$AR2209))+1,"")</f>
        <v/>
      </c>
      <c r="AP2209">
        <f>IF($E2209="","",IF(OR($U2209=TRUE(),$U2209="TRUE"),1,0))</f>
        <v/>
      </c>
      <c r="AQ2209">
        <f>IF($E2209="","",IF($AD2209="Yes",1,0))</f>
        <v/>
      </c>
      <c r="AR2209">
        <f>IF($AN2209=1,IFERROR(VALUE(MID($E2209,2,20)),1000000000)+ROW()/100000,"")</f>
        <v/>
      </c>
    </row>
    <row r="2210">
      <c r="G2210" s="11" t="n"/>
      <c r="Q2210" s="7">
        <f>IF($E2210="","",P2210*AB2210/100)</f>
        <v/>
      </c>
      <c r="R2210" s="7" t="n"/>
      <c r="X2210" s="7" t="n"/>
      <c r="Y2210" s="7">
        <f>IF($E2210="","",AB2210*AE2210/100)</f>
        <v/>
      </c>
      <c r="Z2210" s="7">
        <f>IF($E2210="","",AB2210-Y2210)</f>
        <v/>
      </c>
      <c r="AA2210" s="7">
        <f>IF($E2210="","",Z2210-Q2210)</f>
        <v/>
      </c>
      <c r="AB2210" s="7" t="n"/>
      <c r="AE2210">
        <f>IF($E2210="","",IF($AQ2210=1,0,IF($AP2210=1,Settings!$C$6,Settings!$C$7))*100)</f>
        <v/>
      </c>
      <c r="AI2210" s="7" t="n"/>
      <c r="AL2210" s="11" t="n"/>
      <c r="AN2210">
        <f>IF($E2210="","",IF(COUNTIF($E$2:$E2210,$E2210)=1,1,0))</f>
        <v/>
      </c>
      <c r="AO2210">
        <f>IF($AN2210=1,SUMPRODUCT(--($AR$2:$AR$3001&lt;$AR2210))+1,"")</f>
        <v/>
      </c>
      <c r="AP2210">
        <f>IF($E2210="","",IF(OR($U2210=TRUE(),$U2210="TRUE"),1,0))</f>
        <v/>
      </c>
      <c r="AQ2210">
        <f>IF($E2210="","",IF($AD2210="Yes",1,0))</f>
        <v/>
      </c>
      <c r="AR2210">
        <f>IF($AN2210=1,IFERROR(VALUE(MID($E2210,2,20)),1000000000)+ROW()/100000,"")</f>
        <v/>
      </c>
    </row>
    <row r="2211">
      <c r="G2211" s="11" t="n"/>
      <c r="Q2211" s="7">
        <f>IF($E2211="","",P2211*AB2211/100)</f>
        <v/>
      </c>
      <c r="R2211" s="7" t="n"/>
      <c r="X2211" s="7" t="n"/>
      <c r="Y2211" s="7">
        <f>IF($E2211="","",AB2211*AE2211/100)</f>
        <v/>
      </c>
      <c r="Z2211" s="7">
        <f>IF($E2211="","",AB2211-Y2211)</f>
        <v/>
      </c>
      <c r="AA2211" s="7">
        <f>IF($E2211="","",Z2211-Q2211)</f>
        <v/>
      </c>
      <c r="AB2211" s="7" t="n"/>
      <c r="AE2211">
        <f>IF($E2211="","",IF($AQ2211=1,0,IF($AP2211=1,Settings!$C$6,Settings!$C$7))*100)</f>
        <v/>
      </c>
      <c r="AI2211" s="7" t="n"/>
      <c r="AL2211" s="11" t="n"/>
      <c r="AN2211">
        <f>IF($E2211="","",IF(COUNTIF($E$2:$E2211,$E2211)=1,1,0))</f>
        <v/>
      </c>
      <c r="AO2211">
        <f>IF($AN2211=1,SUMPRODUCT(--($AR$2:$AR$3001&lt;$AR2211))+1,"")</f>
        <v/>
      </c>
      <c r="AP2211">
        <f>IF($E2211="","",IF(OR($U2211=TRUE(),$U2211="TRUE"),1,0))</f>
        <v/>
      </c>
      <c r="AQ2211">
        <f>IF($E2211="","",IF($AD2211="Yes",1,0))</f>
        <v/>
      </c>
      <c r="AR2211">
        <f>IF($AN2211=1,IFERROR(VALUE(MID($E2211,2,20)),1000000000)+ROW()/100000,"")</f>
        <v/>
      </c>
    </row>
    <row r="2212">
      <c r="G2212" s="11" t="n"/>
      <c r="Q2212" s="7">
        <f>IF($E2212="","",P2212*AB2212/100)</f>
        <v/>
      </c>
      <c r="R2212" s="7" t="n"/>
      <c r="X2212" s="7" t="n"/>
      <c r="Y2212" s="7">
        <f>IF($E2212="","",AB2212*AE2212/100)</f>
        <v/>
      </c>
      <c r="Z2212" s="7">
        <f>IF($E2212="","",AB2212-Y2212)</f>
        <v/>
      </c>
      <c r="AA2212" s="7">
        <f>IF($E2212="","",Z2212-Q2212)</f>
        <v/>
      </c>
      <c r="AB2212" s="7" t="n"/>
      <c r="AE2212">
        <f>IF($E2212="","",IF($AQ2212=1,0,IF($AP2212=1,Settings!$C$6,Settings!$C$7))*100)</f>
        <v/>
      </c>
      <c r="AI2212" s="7" t="n"/>
      <c r="AL2212" s="11" t="n"/>
      <c r="AN2212">
        <f>IF($E2212="","",IF(COUNTIF($E$2:$E2212,$E2212)=1,1,0))</f>
        <v/>
      </c>
      <c r="AO2212">
        <f>IF($AN2212=1,SUMPRODUCT(--($AR$2:$AR$3001&lt;$AR2212))+1,"")</f>
        <v/>
      </c>
      <c r="AP2212">
        <f>IF($E2212="","",IF(OR($U2212=TRUE(),$U2212="TRUE"),1,0))</f>
        <v/>
      </c>
      <c r="AQ2212">
        <f>IF($E2212="","",IF($AD2212="Yes",1,0))</f>
        <v/>
      </c>
      <c r="AR2212">
        <f>IF($AN2212=1,IFERROR(VALUE(MID($E2212,2,20)),1000000000)+ROW()/100000,"")</f>
        <v/>
      </c>
    </row>
    <row r="2213">
      <c r="G2213" s="11" t="n"/>
      <c r="Q2213" s="7">
        <f>IF($E2213="","",P2213*AB2213/100)</f>
        <v/>
      </c>
      <c r="R2213" s="7" t="n"/>
      <c r="X2213" s="7" t="n"/>
      <c r="Y2213" s="7">
        <f>IF($E2213="","",AB2213*AE2213/100)</f>
        <v/>
      </c>
      <c r="Z2213" s="7">
        <f>IF($E2213="","",AB2213-Y2213)</f>
        <v/>
      </c>
      <c r="AA2213" s="7">
        <f>IF($E2213="","",Z2213-Q2213)</f>
        <v/>
      </c>
      <c r="AB2213" s="7" t="n"/>
      <c r="AE2213">
        <f>IF($E2213="","",IF($AQ2213=1,0,IF($AP2213=1,Settings!$C$6,Settings!$C$7))*100)</f>
        <v/>
      </c>
      <c r="AI2213" s="7" t="n"/>
      <c r="AL2213" s="11" t="n"/>
      <c r="AN2213">
        <f>IF($E2213="","",IF(COUNTIF($E$2:$E2213,$E2213)=1,1,0))</f>
        <v/>
      </c>
      <c r="AO2213">
        <f>IF($AN2213=1,SUMPRODUCT(--($AR$2:$AR$3001&lt;$AR2213))+1,"")</f>
        <v/>
      </c>
      <c r="AP2213">
        <f>IF($E2213="","",IF(OR($U2213=TRUE(),$U2213="TRUE"),1,0))</f>
        <v/>
      </c>
      <c r="AQ2213">
        <f>IF($E2213="","",IF($AD2213="Yes",1,0))</f>
        <v/>
      </c>
      <c r="AR2213">
        <f>IF($AN2213=1,IFERROR(VALUE(MID($E2213,2,20)),1000000000)+ROW()/100000,"")</f>
        <v/>
      </c>
    </row>
    <row r="2214">
      <c r="G2214" s="11" t="n"/>
      <c r="Q2214" s="7">
        <f>IF($E2214="","",P2214*AB2214/100)</f>
        <v/>
      </c>
      <c r="R2214" s="7" t="n"/>
      <c r="X2214" s="7" t="n"/>
      <c r="Y2214" s="7">
        <f>IF($E2214="","",AB2214*AE2214/100)</f>
        <v/>
      </c>
      <c r="Z2214" s="7">
        <f>IF($E2214="","",AB2214-Y2214)</f>
        <v/>
      </c>
      <c r="AA2214" s="7">
        <f>IF($E2214="","",Z2214-Q2214)</f>
        <v/>
      </c>
      <c r="AB2214" s="7" t="n"/>
      <c r="AE2214">
        <f>IF($E2214="","",IF($AQ2214=1,0,IF($AP2214=1,Settings!$C$6,Settings!$C$7))*100)</f>
        <v/>
      </c>
      <c r="AI2214" s="7" t="n"/>
      <c r="AL2214" s="11" t="n"/>
      <c r="AN2214">
        <f>IF($E2214="","",IF(COUNTIF($E$2:$E2214,$E2214)=1,1,0))</f>
        <v/>
      </c>
      <c r="AO2214">
        <f>IF($AN2214=1,SUMPRODUCT(--($AR$2:$AR$3001&lt;$AR2214))+1,"")</f>
        <v/>
      </c>
      <c r="AP2214">
        <f>IF($E2214="","",IF(OR($U2214=TRUE(),$U2214="TRUE"),1,0))</f>
        <v/>
      </c>
      <c r="AQ2214">
        <f>IF($E2214="","",IF($AD2214="Yes",1,0))</f>
        <v/>
      </c>
      <c r="AR2214">
        <f>IF($AN2214=1,IFERROR(VALUE(MID($E2214,2,20)),1000000000)+ROW()/100000,"")</f>
        <v/>
      </c>
    </row>
    <row r="2215">
      <c r="G2215" s="11" t="n"/>
      <c r="Q2215" s="7">
        <f>IF($E2215="","",P2215*AB2215/100)</f>
        <v/>
      </c>
      <c r="R2215" s="7" t="n"/>
      <c r="X2215" s="7" t="n"/>
      <c r="Y2215" s="7">
        <f>IF($E2215="","",AB2215*AE2215/100)</f>
        <v/>
      </c>
      <c r="Z2215" s="7">
        <f>IF($E2215="","",AB2215-Y2215)</f>
        <v/>
      </c>
      <c r="AA2215" s="7">
        <f>IF($E2215="","",Z2215-Q2215)</f>
        <v/>
      </c>
      <c r="AB2215" s="7" t="n"/>
      <c r="AE2215">
        <f>IF($E2215="","",IF($AQ2215=1,0,IF($AP2215=1,Settings!$C$6,Settings!$C$7))*100)</f>
        <v/>
      </c>
      <c r="AI2215" s="7" t="n"/>
      <c r="AL2215" s="11" t="n"/>
      <c r="AN2215">
        <f>IF($E2215="","",IF(COUNTIF($E$2:$E2215,$E2215)=1,1,0))</f>
        <v/>
      </c>
      <c r="AO2215">
        <f>IF($AN2215=1,SUMPRODUCT(--($AR$2:$AR$3001&lt;$AR2215))+1,"")</f>
        <v/>
      </c>
      <c r="AP2215">
        <f>IF($E2215="","",IF(OR($U2215=TRUE(),$U2215="TRUE"),1,0))</f>
        <v/>
      </c>
      <c r="AQ2215">
        <f>IF($E2215="","",IF($AD2215="Yes",1,0))</f>
        <v/>
      </c>
      <c r="AR2215">
        <f>IF($AN2215=1,IFERROR(VALUE(MID($E2215,2,20)),1000000000)+ROW()/100000,"")</f>
        <v/>
      </c>
    </row>
    <row r="2216">
      <c r="G2216" s="11" t="n"/>
      <c r="Q2216" s="7">
        <f>IF($E2216="","",P2216*AB2216/100)</f>
        <v/>
      </c>
      <c r="R2216" s="7" t="n"/>
      <c r="X2216" s="7" t="n"/>
      <c r="Y2216" s="7">
        <f>IF($E2216="","",AB2216*AE2216/100)</f>
        <v/>
      </c>
      <c r="Z2216" s="7">
        <f>IF($E2216="","",AB2216-Y2216)</f>
        <v/>
      </c>
      <c r="AA2216" s="7">
        <f>IF($E2216="","",Z2216-Q2216)</f>
        <v/>
      </c>
      <c r="AB2216" s="7" t="n"/>
      <c r="AE2216">
        <f>IF($E2216="","",IF($AQ2216=1,0,IF($AP2216=1,Settings!$C$6,Settings!$C$7))*100)</f>
        <v/>
      </c>
      <c r="AI2216" s="7" t="n"/>
      <c r="AL2216" s="11" t="n"/>
      <c r="AN2216">
        <f>IF($E2216="","",IF(COUNTIF($E$2:$E2216,$E2216)=1,1,0))</f>
        <v/>
      </c>
      <c r="AO2216">
        <f>IF($AN2216=1,SUMPRODUCT(--($AR$2:$AR$3001&lt;$AR2216))+1,"")</f>
        <v/>
      </c>
      <c r="AP2216">
        <f>IF($E2216="","",IF(OR($U2216=TRUE(),$U2216="TRUE"),1,0))</f>
        <v/>
      </c>
      <c r="AQ2216">
        <f>IF($E2216="","",IF($AD2216="Yes",1,0))</f>
        <v/>
      </c>
      <c r="AR2216">
        <f>IF($AN2216=1,IFERROR(VALUE(MID($E2216,2,20)),1000000000)+ROW()/100000,"")</f>
        <v/>
      </c>
    </row>
    <row r="2217">
      <c r="G2217" s="11" t="n"/>
      <c r="Q2217" s="7">
        <f>IF($E2217="","",P2217*AB2217/100)</f>
        <v/>
      </c>
      <c r="R2217" s="7" t="n"/>
      <c r="X2217" s="7" t="n"/>
      <c r="Y2217" s="7">
        <f>IF($E2217="","",AB2217*AE2217/100)</f>
        <v/>
      </c>
      <c r="Z2217" s="7">
        <f>IF($E2217="","",AB2217-Y2217)</f>
        <v/>
      </c>
      <c r="AA2217" s="7">
        <f>IF($E2217="","",Z2217-Q2217)</f>
        <v/>
      </c>
      <c r="AB2217" s="7" t="n"/>
      <c r="AE2217">
        <f>IF($E2217="","",IF($AQ2217=1,0,IF($AP2217=1,Settings!$C$6,Settings!$C$7))*100)</f>
        <v/>
      </c>
      <c r="AI2217" s="7" t="n"/>
      <c r="AL2217" s="11" t="n"/>
      <c r="AN2217">
        <f>IF($E2217="","",IF(COUNTIF($E$2:$E2217,$E2217)=1,1,0))</f>
        <v/>
      </c>
      <c r="AO2217">
        <f>IF($AN2217=1,SUMPRODUCT(--($AR$2:$AR$3001&lt;$AR2217))+1,"")</f>
        <v/>
      </c>
      <c r="AP2217">
        <f>IF($E2217="","",IF(OR($U2217=TRUE(),$U2217="TRUE"),1,0))</f>
        <v/>
      </c>
      <c r="AQ2217">
        <f>IF($E2217="","",IF($AD2217="Yes",1,0))</f>
        <v/>
      </c>
      <c r="AR2217">
        <f>IF($AN2217=1,IFERROR(VALUE(MID($E2217,2,20)),1000000000)+ROW()/100000,"")</f>
        <v/>
      </c>
    </row>
    <row r="2218">
      <c r="G2218" s="11" t="n"/>
      <c r="Q2218" s="7">
        <f>IF($E2218="","",P2218*AB2218/100)</f>
        <v/>
      </c>
      <c r="R2218" s="7" t="n"/>
      <c r="X2218" s="7" t="n"/>
      <c r="Y2218" s="7">
        <f>IF($E2218="","",AB2218*AE2218/100)</f>
        <v/>
      </c>
      <c r="Z2218" s="7">
        <f>IF($E2218="","",AB2218-Y2218)</f>
        <v/>
      </c>
      <c r="AA2218" s="7">
        <f>IF($E2218="","",Z2218-Q2218)</f>
        <v/>
      </c>
      <c r="AB2218" s="7" t="n"/>
      <c r="AE2218">
        <f>IF($E2218="","",IF($AQ2218=1,0,IF($AP2218=1,Settings!$C$6,Settings!$C$7))*100)</f>
        <v/>
      </c>
      <c r="AI2218" s="7" t="n"/>
      <c r="AL2218" s="11" t="n"/>
      <c r="AN2218">
        <f>IF($E2218="","",IF(COUNTIF($E$2:$E2218,$E2218)=1,1,0))</f>
        <v/>
      </c>
      <c r="AO2218">
        <f>IF($AN2218=1,SUMPRODUCT(--($AR$2:$AR$3001&lt;$AR2218))+1,"")</f>
        <v/>
      </c>
      <c r="AP2218">
        <f>IF($E2218="","",IF(OR($U2218=TRUE(),$U2218="TRUE"),1,0))</f>
        <v/>
      </c>
      <c r="AQ2218">
        <f>IF($E2218="","",IF($AD2218="Yes",1,0))</f>
        <v/>
      </c>
      <c r="AR2218">
        <f>IF($AN2218=1,IFERROR(VALUE(MID($E2218,2,20)),1000000000)+ROW()/100000,"")</f>
        <v/>
      </c>
    </row>
    <row r="2219">
      <c r="G2219" s="11" t="n"/>
      <c r="Q2219" s="7">
        <f>IF($E2219="","",P2219*AB2219/100)</f>
        <v/>
      </c>
      <c r="R2219" s="7" t="n"/>
      <c r="X2219" s="7" t="n"/>
      <c r="Y2219" s="7">
        <f>IF($E2219="","",AB2219*AE2219/100)</f>
        <v/>
      </c>
      <c r="Z2219" s="7">
        <f>IF($E2219="","",AB2219-Y2219)</f>
        <v/>
      </c>
      <c r="AA2219" s="7">
        <f>IF($E2219="","",Z2219-Q2219)</f>
        <v/>
      </c>
      <c r="AB2219" s="7" t="n"/>
      <c r="AE2219">
        <f>IF($E2219="","",IF($AQ2219=1,0,IF($AP2219=1,Settings!$C$6,Settings!$C$7))*100)</f>
        <v/>
      </c>
      <c r="AI2219" s="7" t="n"/>
      <c r="AL2219" s="11" t="n"/>
      <c r="AN2219">
        <f>IF($E2219="","",IF(COUNTIF($E$2:$E2219,$E2219)=1,1,0))</f>
        <v/>
      </c>
      <c r="AO2219">
        <f>IF($AN2219=1,SUMPRODUCT(--($AR$2:$AR$3001&lt;$AR2219))+1,"")</f>
        <v/>
      </c>
      <c r="AP2219">
        <f>IF($E2219="","",IF(OR($U2219=TRUE(),$U2219="TRUE"),1,0))</f>
        <v/>
      </c>
      <c r="AQ2219">
        <f>IF($E2219="","",IF($AD2219="Yes",1,0))</f>
        <v/>
      </c>
      <c r="AR2219">
        <f>IF($AN2219=1,IFERROR(VALUE(MID($E2219,2,20)),1000000000)+ROW()/100000,"")</f>
        <v/>
      </c>
    </row>
    <row r="2220">
      <c r="G2220" s="11" t="n"/>
      <c r="Q2220" s="7">
        <f>IF($E2220="","",P2220*AB2220/100)</f>
        <v/>
      </c>
      <c r="R2220" s="7" t="n"/>
      <c r="X2220" s="7" t="n"/>
      <c r="Y2220" s="7">
        <f>IF($E2220="","",AB2220*AE2220/100)</f>
        <v/>
      </c>
      <c r="Z2220" s="7">
        <f>IF($E2220="","",AB2220-Y2220)</f>
        <v/>
      </c>
      <c r="AA2220" s="7">
        <f>IF($E2220="","",Z2220-Q2220)</f>
        <v/>
      </c>
      <c r="AB2220" s="7" t="n"/>
      <c r="AE2220">
        <f>IF($E2220="","",IF($AQ2220=1,0,IF($AP2220=1,Settings!$C$6,Settings!$C$7))*100)</f>
        <v/>
      </c>
      <c r="AI2220" s="7" t="n"/>
      <c r="AL2220" s="11" t="n"/>
      <c r="AN2220">
        <f>IF($E2220="","",IF(COUNTIF($E$2:$E2220,$E2220)=1,1,0))</f>
        <v/>
      </c>
      <c r="AO2220">
        <f>IF($AN2220=1,SUMPRODUCT(--($AR$2:$AR$3001&lt;$AR2220))+1,"")</f>
        <v/>
      </c>
      <c r="AP2220">
        <f>IF($E2220="","",IF(OR($U2220=TRUE(),$U2220="TRUE"),1,0))</f>
        <v/>
      </c>
      <c r="AQ2220">
        <f>IF($E2220="","",IF($AD2220="Yes",1,0))</f>
        <v/>
      </c>
      <c r="AR2220">
        <f>IF($AN2220=1,IFERROR(VALUE(MID($E2220,2,20)),1000000000)+ROW()/100000,"")</f>
        <v/>
      </c>
    </row>
    <row r="2221">
      <c r="G2221" s="11" t="n"/>
      <c r="Q2221" s="7">
        <f>IF($E2221="","",P2221*AB2221/100)</f>
        <v/>
      </c>
      <c r="R2221" s="7" t="n"/>
      <c r="X2221" s="7" t="n"/>
      <c r="Y2221" s="7">
        <f>IF($E2221="","",AB2221*AE2221/100)</f>
        <v/>
      </c>
      <c r="Z2221" s="7">
        <f>IF($E2221="","",AB2221-Y2221)</f>
        <v/>
      </c>
      <c r="AA2221" s="7">
        <f>IF($E2221="","",Z2221-Q2221)</f>
        <v/>
      </c>
      <c r="AB2221" s="7" t="n"/>
      <c r="AE2221">
        <f>IF($E2221="","",IF($AQ2221=1,0,IF($AP2221=1,Settings!$C$6,Settings!$C$7))*100)</f>
        <v/>
      </c>
      <c r="AI2221" s="7" t="n"/>
      <c r="AL2221" s="11" t="n"/>
      <c r="AN2221">
        <f>IF($E2221="","",IF(COUNTIF($E$2:$E2221,$E2221)=1,1,0))</f>
        <v/>
      </c>
      <c r="AO2221">
        <f>IF($AN2221=1,SUMPRODUCT(--($AR$2:$AR$3001&lt;$AR2221))+1,"")</f>
        <v/>
      </c>
      <c r="AP2221">
        <f>IF($E2221="","",IF(OR($U2221=TRUE(),$U2221="TRUE"),1,0))</f>
        <v/>
      </c>
      <c r="AQ2221">
        <f>IF($E2221="","",IF($AD2221="Yes",1,0))</f>
        <v/>
      </c>
      <c r="AR2221">
        <f>IF($AN2221=1,IFERROR(VALUE(MID($E2221,2,20)),1000000000)+ROW()/100000,"")</f>
        <v/>
      </c>
    </row>
    <row r="2222">
      <c r="G2222" s="11" t="n"/>
      <c r="Q2222" s="7">
        <f>IF($E2222="","",P2222*AB2222/100)</f>
        <v/>
      </c>
      <c r="R2222" s="7" t="n"/>
      <c r="X2222" s="7" t="n"/>
      <c r="Y2222" s="7">
        <f>IF($E2222="","",AB2222*AE2222/100)</f>
        <v/>
      </c>
      <c r="Z2222" s="7">
        <f>IF($E2222="","",AB2222-Y2222)</f>
        <v/>
      </c>
      <c r="AA2222" s="7">
        <f>IF($E2222="","",Z2222-Q2222)</f>
        <v/>
      </c>
      <c r="AB2222" s="7" t="n"/>
      <c r="AE2222">
        <f>IF($E2222="","",IF($AQ2222=1,0,IF($AP2222=1,Settings!$C$6,Settings!$C$7))*100)</f>
        <v/>
      </c>
      <c r="AI2222" s="7" t="n"/>
      <c r="AL2222" s="11" t="n"/>
      <c r="AN2222">
        <f>IF($E2222="","",IF(COUNTIF($E$2:$E2222,$E2222)=1,1,0))</f>
        <v/>
      </c>
      <c r="AO2222">
        <f>IF($AN2222=1,SUMPRODUCT(--($AR$2:$AR$3001&lt;$AR2222))+1,"")</f>
        <v/>
      </c>
      <c r="AP2222">
        <f>IF($E2222="","",IF(OR($U2222=TRUE(),$U2222="TRUE"),1,0))</f>
        <v/>
      </c>
      <c r="AQ2222">
        <f>IF($E2222="","",IF($AD2222="Yes",1,0))</f>
        <v/>
      </c>
      <c r="AR2222">
        <f>IF($AN2222=1,IFERROR(VALUE(MID($E2222,2,20)),1000000000)+ROW()/100000,"")</f>
        <v/>
      </c>
    </row>
    <row r="2223">
      <c r="G2223" s="11" t="n"/>
      <c r="Q2223" s="7">
        <f>IF($E2223="","",P2223*AB2223/100)</f>
        <v/>
      </c>
      <c r="R2223" s="7" t="n"/>
      <c r="X2223" s="7" t="n"/>
      <c r="Y2223" s="7">
        <f>IF($E2223="","",AB2223*AE2223/100)</f>
        <v/>
      </c>
      <c r="Z2223" s="7">
        <f>IF($E2223="","",AB2223-Y2223)</f>
        <v/>
      </c>
      <c r="AA2223" s="7">
        <f>IF($E2223="","",Z2223-Q2223)</f>
        <v/>
      </c>
      <c r="AB2223" s="7" t="n"/>
      <c r="AE2223">
        <f>IF($E2223="","",IF($AQ2223=1,0,IF($AP2223=1,Settings!$C$6,Settings!$C$7))*100)</f>
        <v/>
      </c>
      <c r="AI2223" s="7" t="n"/>
      <c r="AL2223" s="11" t="n"/>
      <c r="AN2223">
        <f>IF($E2223="","",IF(COUNTIF($E$2:$E2223,$E2223)=1,1,0))</f>
        <v/>
      </c>
      <c r="AO2223">
        <f>IF($AN2223=1,SUMPRODUCT(--($AR$2:$AR$3001&lt;$AR2223))+1,"")</f>
        <v/>
      </c>
      <c r="AP2223">
        <f>IF($E2223="","",IF(OR($U2223=TRUE(),$U2223="TRUE"),1,0))</f>
        <v/>
      </c>
      <c r="AQ2223">
        <f>IF($E2223="","",IF($AD2223="Yes",1,0))</f>
        <v/>
      </c>
      <c r="AR2223">
        <f>IF($AN2223=1,IFERROR(VALUE(MID($E2223,2,20)),1000000000)+ROW()/100000,"")</f>
        <v/>
      </c>
    </row>
    <row r="2224">
      <c r="G2224" s="11" t="n"/>
      <c r="Q2224" s="7">
        <f>IF($E2224="","",P2224*AB2224/100)</f>
        <v/>
      </c>
      <c r="R2224" s="7" t="n"/>
      <c r="X2224" s="7" t="n"/>
      <c r="Y2224" s="7">
        <f>IF($E2224="","",AB2224*AE2224/100)</f>
        <v/>
      </c>
      <c r="Z2224" s="7">
        <f>IF($E2224="","",AB2224-Y2224)</f>
        <v/>
      </c>
      <c r="AA2224" s="7">
        <f>IF($E2224="","",Z2224-Q2224)</f>
        <v/>
      </c>
      <c r="AB2224" s="7" t="n"/>
      <c r="AE2224">
        <f>IF($E2224="","",IF($AQ2224=1,0,IF($AP2224=1,Settings!$C$6,Settings!$C$7))*100)</f>
        <v/>
      </c>
      <c r="AI2224" s="7" t="n"/>
      <c r="AL2224" s="11" t="n"/>
      <c r="AN2224">
        <f>IF($E2224="","",IF(COUNTIF($E$2:$E2224,$E2224)=1,1,0))</f>
        <v/>
      </c>
      <c r="AO2224">
        <f>IF($AN2224=1,SUMPRODUCT(--($AR$2:$AR$3001&lt;$AR2224))+1,"")</f>
        <v/>
      </c>
      <c r="AP2224">
        <f>IF($E2224="","",IF(OR($U2224=TRUE(),$U2224="TRUE"),1,0))</f>
        <v/>
      </c>
      <c r="AQ2224">
        <f>IF($E2224="","",IF($AD2224="Yes",1,0))</f>
        <v/>
      </c>
      <c r="AR2224">
        <f>IF($AN2224=1,IFERROR(VALUE(MID($E2224,2,20)),1000000000)+ROW()/100000,"")</f>
        <v/>
      </c>
    </row>
    <row r="2225">
      <c r="G2225" s="11" t="n"/>
      <c r="Q2225" s="7">
        <f>IF($E2225="","",P2225*AB2225/100)</f>
        <v/>
      </c>
      <c r="R2225" s="7" t="n"/>
      <c r="X2225" s="7" t="n"/>
      <c r="Y2225" s="7">
        <f>IF($E2225="","",AB2225*AE2225/100)</f>
        <v/>
      </c>
      <c r="Z2225" s="7">
        <f>IF($E2225="","",AB2225-Y2225)</f>
        <v/>
      </c>
      <c r="AA2225" s="7">
        <f>IF($E2225="","",Z2225-Q2225)</f>
        <v/>
      </c>
      <c r="AB2225" s="7" t="n"/>
      <c r="AE2225">
        <f>IF($E2225="","",IF($AQ2225=1,0,IF($AP2225=1,Settings!$C$6,Settings!$C$7))*100)</f>
        <v/>
      </c>
      <c r="AI2225" s="7" t="n"/>
      <c r="AL2225" s="11" t="n"/>
      <c r="AN2225">
        <f>IF($E2225="","",IF(COUNTIF($E$2:$E2225,$E2225)=1,1,0))</f>
        <v/>
      </c>
      <c r="AO2225">
        <f>IF($AN2225=1,SUMPRODUCT(--($AR$2:$AR$3001&lt;$AR2225))+1,"")</f>
        <v/>
      </c>
      <c r="AP2225">
        <f>IF($E2225="","",IF(OR($U2225=TRUE(),$U2225="TRUE"),1,0))</f>
        <v/>
      </c>
      <c r="AQ2225">
        <f>IF($E2225="","",IF($AD2225="Yes",1,0))</f>
        <v/>
      </c>
      <c r="AR2225">
        <f>IF($AN2225=1,IFERROR(VALUE(MID($E2225,2,20)),1000000000)+ROW()/100000,"")</f>
        <v/>
      </c>
    </row>
    <row r="2226">
      <c r="G2226" s="11" t="n"/>
      <c r="Q2226" s="7">
        <f>IF($E2226="","",P2226*AB2226/100)</f>
        <v/>
      </c>
      <c r="R2226" s="7" t="n"/>
      <c r="X2226" s="7" t="n"/>
      <c r="Y2226" s="7">
        <f>IF($E2226="","",AB2226*AE2226/100)</f>
        <v/>
      </c>
      <c r="Z2226" s="7">
        <f>IF($E2226="","",AB2226-Y2226)</f>
        <v/>
      </c>
      <c r="AA2226" s="7">
        <f>IF($E2226="","",Z2226-Q2226)</f>
        <v/>
      </c>
      <c r="AB2226" s="7" t="n"/>
      <c r="AE2226">
        <f>IF($E2226="","",IF($AQ2226=1,0,IF($AP2226=1,Settings!$C$6,Settings!$C$7))*100)</f>
        <v/>
      </c>
      <c r="AI2226" s="7" t="n"/>
      <c r="AL2226" s="11" t="n"/>
      <c r="AN2226">
        <f>IF($E2226="","",IF(COUNTIF($E$2:$E2226,$E2226)=1,1,0))</f>
        <v/>
      </c>
      <c r="AO2226">
        <f>IF($AN2226=1,SUMPRODUCT(--($AR$2:$AR$3001&lt;$AR2226))+1,"")</f>
        <v/>
      </c>
      <c r="AP2226">
        <f>IF($E2226="","",IF(OR($U2226=TRUE(),$U2226="TRUE"),1,0))</f>
        <v/>
      </c>
      <c r="AQ2226">
        <f>IF($E2226="","",IF($AD2226="Yes",1,0))</f>
        <v/>
      </c>
      <c r="AR2226">
        <f>IF($AN2226=1,IFERROR(VALUE(MID($E2226,2,20)),1000000000)+ROW()/100000,"")</f>
        <v/>
      </c>
    </row>
    <row r="2227">
      <c r="G2227" s="11" t="n"/>
      <c r="Q2227" s="7">
        <f>IF($E2227="","",P2227*AB2227/100)</f>
        <v/>
      </c>
      <c r="R2227" s="7" t="n"/>
      <c r="X2227" s="7" t="n"/>
      <c r="Y2227" s="7">
        <f>IF($E2227="","",AB2227*AE2227/100)</f>
        <v/>
      </c>
      <c r="Z2227" s="7">
        <f>IF($E2227="","",AB2227-Y2227)</f>
        <v/>
      </c>
      <c r="AA2227" s="7">
        <f>IF($E2227="","",Z2227-Q2227)</f>
        <v/>
      </c>
      <c r="AB2227" s="7" t="n"/>
      <c r="AE2227">
        <f>IF($E2227="","",IF($AQ2227=1,0,IF($AP2227=1,Settings!$C$6,Settings!$C$7))*100)</f>
        <v/>
      </c>
      <c r="AI2227" s="7" t="n"/>
      <c r="AL2227" s="11" t="n"/>
      <c r="AN2227">
        <f>IF($E2227="","",IF(COUNTIF($E$2:$E2227,$E2227)=1,1,0))</f>
        <v/>
      </c>
      <c r="AO2227">
        <f>IF($AN2227=1,SUMPRODUCT(--($AR$2:$AR$3001&lt;$AR2227))+1,"")</f>
        <v/>
      </c>
      <c r="AP2227">
        <f>IF($E2227="","",IF(OR($U2227=TRUE(),$U2227="TRUE"),1,0))</f>
        <v/>
      </c>
      <c r="AQ2227">
        <f>IF($E2227="","",IF($AD2227="Yes",1,0))</f>
        <v/>
      </c>
      <c r="AR2227">
        <f>IF($AN2227=1,IFERROR(VALUE(MID($E2227,2,20)),1000000000)+ROW()/100000,"")</f>
        <v/>
      </c>
    </row>
    <row r="2228">
      <c r="G2228" s="11" t="n"/>
      <c r="Q2228" s="7">
        <f>IF($E2228="","",P2228*AB2228/100)</f>
        <v/>
      </c>
      <c r="R2228" s="7" t="n"/>
      <c r="X2228" s="7" t="n"/>
      <c r="Y2228" s="7">
        <f>IF($E2228="","",AB2228*AE2228/100)</f>
        <v/>
      </c>
      <c r="Z2228" s="7">
        <f>IF($E2228="","",AB2228-Y2228)</f>
        <v/>
      </c>
      <c r="AA2228" s="7">
        <f>IF($E2228="","",Z2228-Q2228)</f>
        <v/>
      </c>
      <c r="AB2228" s="7" t="n"/>
      <c r="AE2228">
        <f>IF($E2228="","",IF($AQ2228=1,0,IF($AP2228=1,Settings!$C$6,Settings!$C$7))*100)</f>
        <v/>
      </c>
      <c r="AI2228" s="7" t="n"/>
      <c r="AL2228" s="11" t="n"/>
      <c r="AN2228">
        <f>IF($E2228="","",IF(COUNTIF($E$2:$E2228,$E2228)=1,1,0))</f>
        <v/>
      </c>
      <c r="AO2228">
        <f>IF($AN2228=1,SUMPRODUCT(--($AR$2:$AR$3001&lt;$AR2228))+1,"")</f>
        <v/>
      </c>
      <c r="AP2228">
        <f>IF($E2228="","",IF(OR($U2228=TRUE(),$U2228="TRUE"),1,0))</f>
        <v/>
      </c>
      <c r="AQ2228">
        <f>IF($E2228="","",IF($AD2228="Yes",1,0))</f>
        <v/>
      </c>
      <c r="AR2228">
        <f>IF($AN2228=1,IFERROR(VALUE(MID($E2228,2,20)),1000000000)+ROW()/100000,"")</f>
        <v/>
      </c>
    </row>
    <row r="2229">
      <c r="G2229" s="11" t="n"/>
      <c r="Q2229" s="7">
        <f>IF($E2229="","",P2229*AB2229/100)</f>
        <v/>
      </c>
      <c r="R2229" s="7" t="n"/>
      <c r="X2229" s="7" t="n"/>
      <c r="Y2229" s="7">
        <f>IF($E2229="","",AB2229*AE2229/100)</f>
        <v/>
      </c>
      <c r="Z2229" s="7">
        <f>IF($E2229="","",AB2229-Y2229)</f>
        <v/>
      </c>
      <c r="AA2229" s="7">
        <f>IF($E2229="","",Z2229-Q2229)</f>
        <v/>
      </c>
      <c r="AB2229" s="7" t="n"/>
      <c r="AE2229">
        <f>IF($E2229="","",IF($AQ2229=1,0,IF($AP2229=1,Settings!$C$6,Settings!$C$7))*100)</f>
        <v/>
      </c>
      <c r="AI2229" s="7" t="n"/>
      <c r="AL2229" s="11" t="n"/>
      <c r="AN2229">
        <f>IF($E2229="","",IF(COUNTIF($E$2:$E2229,$E2229)=1,1,0))</f>
        <v/>
      </c>
      <c r="AO2229">
        <f>IF($AN2229=1,SUMPRODUCT(--($AR$2:$AR$3001&lt;$AR2229))+1,"")</f>
        <v/>
      </c>
      <c r="AP2229">
        <f>IF($E2229="","",IF(OR($U2229=TRUE(),$U2229="TRUE"),1,0))</f>
        <v/>
      </c>
      <c r="AQ2229">
        <f>IF($E2229="","",IF($AD2229="Yes",1,0))</f>
        <v/>
      </c>
      <c r="AR2229">
        <f>IF($AN2229=1,IFERROR(VALUE(MID($E2229,2,20)),1000000000)+ROW()/100000,"")</f>
        <v/>
      </c>
    </row>
    <row r="2230">
      <c r="G2230" s="11" t="n"/>
      <c r="Q2230" s="7">
        <f>IF($E2230="","",P2230*AB2230/100)</f>
        <v/>
      </c>
      <c r="R2230" s="7" t="n"/>
      <c r="X2230" s="7" t="n"/>
      <c r="Y2230" s="7">
        <f>IF($E2230="","",AB2230*AE2230/100)</f>
        <v/>
      </c>
      <c r="Z2230" s="7">
        <f>IF($E2230="","",AB2230-Y2230)</f>
        <v/>
      </c>
      <c r="AA2230" s="7">
        <f>IF($E2230="","",Z2230-Q2230)</f>
        <v/>
      </c>
      <c r="AB2230" s="7" t="n"/>
      <c r="AE2230">
        <f>IF($E2230="","",IF($AQ2230=1,0,IF($AP2230=1,Settings!$C$6,Settings!$C$7))*100)</f>
        <v/>
      </c>
      <c r="AI2230" s="7" t="n"/>
      <c r="AL2230" s="11" t="n"/>
      <c r="AN2230">
        <f>IF($E2230="","",IF(COUNTIF($E$2:$E2230,$E2230)=1,1,0))</f>
        <v/>
      </c>
      <c r="AO2230">
        <f>IF($AN2230=1,SUMPRODUCT(--($AR$2:$AR$3001&lt;$AR2230))+1,"")</f>
        <v/>
      </c>
      <c r="AP2230">
        <f>IF($E2230="","",IF(OR($U2230=TRUE(),$U2230="TRUE"),1,0))</f>
        <v/>
      </c>
      <c r="AQ2230">
        <f>IF($E2230="","",IF($AD2230="Yes",1,0))</f>
        <v/>
      </c>
      <c r="AR2230">
        <f>IF($AN2230=1,IFERROR(VALUE(MID($E2230,2,20)),1000000000)+ROW()/100000,"")</f>
        <v/>
      </c>
    </row>
    <row r="2231">
      <c r="G2231" s="11" t="n"/>
      <c r="Q2231" s="7">
        <f>IF($E2231="","",P2231*AB2231/100)</f>
        <v/>
      </c>
      <c r="R2231" s="7" t="n"/>
      <c r="X2231" s="7" t="n"/>
      <c r="Y2231" s="7">
        <f>IF($E2231="","",AB2231*AE2231/100)</f>
        <v/>
      </c>
      <c r="Z2231" s="7">
        <f>IF($E2231="","",AB2231-Y2231)</f>
        <v/>
      </c>
      <c r="AA2231" s="7">
        <f>IF($E2231="","",Z2231-Q2231)</f>
        <v/>
      </c>
      <c r="AB2231" s="7" t="n"/>
      <c r="AE2231">
        <f>IF($E2231="","",IF($AQ2231=1,0,IF($AP2231=1,Settings!$C$6,Settings!$C$7))*100)</f>
        <v/>
      </c>
      <c r="AI2231" s="7" t="n"/>
      <c r="AL2231" s="11" t="n"/>
      <c r="AN2231">
        <f>IF($E2231="","",IF(COUNTIF($E$2:$E2231,$E2231)=1,1,0))</f>
        <v/>
      </c>
      <c r="AO2231">
        <f>IF($AN2231=1,SUMPRODUCT(--($AR$2:$AR$3001&lt;$AR2231))+1,"")</f>
        <v/>
      </c>
      <c r="AP2231">
        <f>IF($E2231="","",IF(OR($U2231=TRUE(),$U2231="TRUE"),1,0))</f>
        <v/>
      </c>
      <c r="AQ2231">
        <f>IF($E2231="","",IF($AD2231="Yes",1,0))</f>
        <v/>
      </c>
      <c r="AR2231">
        <f>IF($AN2231=1,IFERROR(VALUE(MID($E2231,2,20)),1000000000)+ROW()/100000,"")</f>
        <v/>
      </c>
    </row>
    <row r="2232">
      <c r="G2232" s="11" t="n"/>
      <c r="Q2232" s="7">
        <f>IF($E2232="","",P2232*AB2232/100)</f>
        <v/>
      </c>
      <c r="R2232" s="7" t="n"/>
      <c r="X2232" s="7" t="n"/>
      <c r="Y2232" s="7">
        <f>IF($E2232="","",AB2232*AE2232/100)</f>
        <v/>
      </c>
      <c r="Z2232" s="7">
        <f>IF($E2232="","",AB2232-Y2232)</f>
        <v/>
      </c>
      <c r="AA2232" s="7">
        <f>IF($E2232="","",Z2232-Q2232)</f>
        <v/>
      </c>
      <c r="AB2232" s="7" t="n"/>
      <c r="AE2232">
        <f>IF($E2232="","",IF($AQ2232=1,0,IF($AP2232=1,Settings!$C$6,Settings!$C$7))*100)</f>
        <v/>
      </c>
      <c r="AI2232" s="7" t="n"/>
      <c r="AL2232" s="11" t="n"/>
      <c r="AN2232">
        <f>IF($E2232="","",IF(COUNTIF($E$2:$E2232,$E2232)=1,1,0))</f>
        <v/>
      </c>
      <c r="AO2232">
        <f>IF($AN2232=1,SUMPRODUCT(--($AR$2:$AR$3001&lt;$AR2232))+1,"")</f>
        <v/>
      </c>
      <c r="AP2232">
        <f>IF($E2232="","",IF(OR($U2232=TRUE(),$U2232="TRUE"),1,0))</f>
        <v/>
      </c>
      <c r="AQ2232">
        <f>IF($E2232="","",IF($AD2232="Yes",1,0))</f>
        <v/>
      </c>
      <c r="AR2232">
        <f>IF($AN2232=1,IFERROR(VALUE(MID($E2232,2,20)),1000000000)+ROW()/100000,"")</f>
        <v/>
      </c>
    </row>
    <row r="2233">
      <c r="G2233" s="11" t="n"/>
      <c r="Q2233" s="7">
        <f>IF($E2233="","",P2233*AB2233/100)</f>
        <v/>
      </c>
      <c r="R2233" s="7" t="n"/>
      <c r="X2233" s="7" t="n"/>
      <c r="Y2233" s="7">
        <f>IF($E2233="","",AB2233*AE2233/100)</f>
        <v/>
      </c>
      <c r="Z2233" s="7">
        <f>IF($E2233="","",AB2233-Y2233)</f>
        <v/>
      </c>
      <c r="AA2233" s="7">
        <f>IF($E2233="","",Z2233-Q2233)</f>
        <v/>
      </c>
      <c r="AB2233" s="7" t="n"/>
      <c r="AE2233">
        <f>IF($E2233="","",IF($AQ2233=1,0,IF($AP2233=1,Settings!$C$6,Settings!$C$7))*100)</f>
        <v/>
      </c>
      <c r="AI2233" s="7" t="n"/>
      <c r="AL2233" s="11" t="n"/>
      <c r="AN2233">
        <f>IF($E2233="","",IF(COUNTIF($E$2:$E2233,$E2233)=1,1,0))</f>
        <v/>
      </c>
      <c r="AO2233">
        <f>IF($AN2233=1,SUMPRODUCT(--($AR$2:$AR$3001&lt;$AR2233))+1,"")</f>
        <v/>
      </c>
      <c r="AP2233">
        <f>IF($E2233="","",IF(OR($U2233=TRUE(),$U2233="TRUE"),1,0))</f>
        <v/>
      </c>
      <c r="AQ2233">
        <f>IF($E2233="","",IF($AD2233="Yes",1,0))</f>
        <v/>
      </c>
      <c r="AR2233">
        <f>IF($AN2233=1,IFERROR(VALUE(MID($E2233,2,20)),1000000000)+ROW()/100000,"")</f>
        <v/>
      </c>
    </row>
    <row r="2234">
      <c r="G2234" s="11" t="n"/>
      <c r="Q2234" s="7">
        <f>IF($E2234="","",P2234*AB2234/100)</f>
        <v/>
      </c>
      <c r="R2234" s="7" t="n"/>
      <c r="X2234" s="7" t="n"/>
      <c r="Y2234" s="7">
        <f>IF($E2234="","",AB2234*AE2234/100)</f>
        <v/>
      </c>
      <c r="Z2234" s="7">
        <f>IF($E2234="","",AB2234-Y2234)</f>
        <v/>
      </c>
      <c r="AA2234" s="7">
        <f>IF($E2234="","",Z2234-Q2234)</f>
        <v/>
      </c>
      <c r="AB2234" s="7" t="n"/>
      <c r="AE2234">
        <f>IF($E2234="","",IF($AQ2234=1,0,IF($AP2234=1,Settings!$C$6,Settings!$C$7))*100)</f>
        <v/>
      </c>
      <c r="AI2234" s="7" t="n"/>
      <c r="AL2234" s="11" t="n"/>
      <c r="AN2234">
        <f>IF($E2234="","",IF(COUNTIF($E$2:$E2234,$E2234)=1,1,0))</f>
        <v/>
      </c>
      <c r="AO2234">
        <f>IF($AN2234=1,SUMPRODUCT(--($AR$2:$AR$3001&lt;$AR2234))+1,"")</f>
        <v/>
      </c>
      <c r="AP2234">
        <f>IF($E2234="","",IF(OR($U2234=TRUE(),$U2234="TRUE"),1,0))</f>
        <v/>
      </c>
      <c r="AQ2234">
        <f>IF($E2234="","",IF($AD2234="Yes",1,0))</f>
        <v/>
      </c>
      <c r="AR2234">
        <f>IF($AN2234=1,IFERROR(VALUE(MID($E2234,2,20)),1000000000)+ROW()/100000,"")</f>
        <v/>
      </c>
    </row>
    <row r="2235">
      <c r="G2235" s="11" t="n"/>
      <c r="Q2235" s="7">
        <f>IF($E2235="","",P2235*AB2235/100)</f>
        <v/>
      </c>
      <c r="R2235" s="7" t="n"/>
      <c r="X2235" s="7" t="n"/>
      <c r="Y2235" s="7">
        <f>IF($E2235="","",AB2235*AE2235/100)</f>
        <v/>
      </c>
      <c r="Z2235" s="7">
        <f>IF($E2235="","",AB2235-Y2235)</f>
        <v/>
      </c>
      <c r="AA2235" s="7">
        <f>IF($E2235="","",Z2235-Q2235)</f>
        <v/>
      </c>
      <c r="AB2235" s="7" t="n"/>
      <c r="AE2235">
        <f>IF($E2235="","",IF($AQ2235=1,0,IF($AP2235=1,Settings!$C$6,Settings!$C$7))*100)</f>
        <v/>
      </c>
      <c r="AI2235" s="7" t="n"/>
      <c r="AL2235" s="11" t="n"/>
      <c r="AN2235">
        <f>IF($E2235="","",IF(COUNTIF($E$2:$E2235,$E2235)=1,1,0))</f>
        <v/>
      </c>
      <c r="AO2235">
        <f>IF($AN2235=1,SUMPRODUCT(--($AR$2:$AR$3001&lt;$AR2235))+1,"")</f>
        <v/>
      </c>
      <c r="AP2235">
        <f>IF($E2235="","",IF(OR($U2235=TRUE(),$U2235="TRUE"),1,0))</f>
        <v/>
      </c>
      <c r="AQ2235">
        <f>IF($E2235="","",IF($AD2235="Yes",1,0))</f>
        <v/>
      </c>
      <c r="AR2235">
        <f>IF($AN2235=1,IFERROR(VALUE(MID($E2235,2,20)),1000000000)+ROW()/100000,"")</f>
        <v/>
      </c>
    </row>
    <row r="2236">
      <c r="G2236" s="11" t="n"/>
      <c r="Q2236" s="7">
        <f>IF($E2236="","",P2236*AB2236/100)</f>
        <v/>
      </c>
      <c r="R2236" s="7" t="n"/>
      <c r="X2236" s="7" t="n"/>
      <c r="Y2236" s="7">
        <f>IF($E2236="","",AB2236*AE2236/100)</f>
        <v/>
      </c>
      <c r="Z2236" s="7">
        <f>IF($E2236="","",AB2236-Y2236)</f>
        <v/>
      </c>
      <c r="AA2236" s="7">
        <f>IF($E2236="","",Z2236-Q2236)</f>
        <v/>
      </c>
      <c r="AB2236" s="7" t="n"/>
      <c r="AE2236">
        <f>IF($E2236="","",IF($AQ2236=1,0,IF($AP2236=1,Settings!$C$6,Settings!$C$7))*100)</f>
        <v/>
      </c>
      <c r="AI2236" s="7" t="n"/>
      <c r="AL2236" s="11" t="n"/>
      <c r="AN2236">
        <f>IF($E2236="","",IF(COUNTIF($E$2:$E2236,$E2236)=1,1,0))</f>
        <v/>
      </c>
      <c r="AO2236">
        <f>IF($AN2236=1,SUMPRODUCT(--($AR$2:$AR$3001&lt;$AR2236))+1,"")</f>
        <v/>
      </c>
      <c r="AP2236">
        <f>IF($E2236="","",IF(OR($U2236=TRUE(),$U2236="TRUE"),1,0))</f>
        <v/>
      </c>
      <c r="AQ2236">
        <f>IF($E2236="","",IF($AD2236="Yes",1,0))</f>
        <v/>
      </c>
      <c r="AR2236">
        <f>IF($AN2236=1,IFERROR(VALUE(MID($E2236,2,20)),1000000000)+ROW()/100000,"")</f>
        <v/>
      </c>
    </row>
    <row r="2237">
      <c r="G2237" s="11" t="n"/>
      <c r="Q2237" s="7">
        <f>IF($E2237="","",P2237*AB2237/100)</f>
        <v/>
      </c>
      <c r="R2237" s="7" t="n"/>
      <c r="X2237" s="7" t="n"/>
      <c r="Y2237" s="7">
        <f>IF($E2237="","",AB2237*AE2237/100)</f>
        <v/>
      </c>
      <c r="Z2237" s="7">
        <f>IF($E2237="","",AB2237-Y2237)</f>
        <v/>
      </c>
      <c r="AA2237" s="7">
        <f>IF($E2237="","",Z2237-Q2237)</f>
        <v/>
      </c>
      <c r="AB2237" s="7" t="n"/>
      <c r="AE2237">
        <f>IF($E2237="","",IF($AQ2237=1,0,IF($AP2237=1,Settings!$C$6,Settings!$C$7))*100)</f>
        <v/>
      </c>
      <c r="AI2237" s="7" t="n"/>
      <c r="AL2237" s="11" t="n"/>
      <c r="AN2237">
        <f>IF($E2237="","",IF(COUNTIF($E$2:$E2237,$E2237)=1,1,0))</f>
        <v/>
      </c>
      <c r="AO2237">
        <f>IF($AN2237=1,SUMPRODUCT(--($AR$2:$AR$3001&lt;$AR2237))+1,"")</f>
        <v/>
      </c>
      <c r="AP2237">
        <f>IF($E2237="","",IF(OR($U2237=TRUE(),$U2237="TRUE"),1,0))</f>
        <v/>
      </c>
      <c r="AQ2237">
        <f>IF($E2237="","",IF($AD2237="Yes",1,0))</f>
        <v/>
      </c>
      <c r="AR2237">
        <f>IF($AN2237=1,IFERROR(VALUE(MID($E2237,2,20)),1000000000)+ROW()/100000,"")</f>
        <v/>
      </c>
    </row>
    <row r="2238">
      <c r="G2238" s="11" t="n"/>
      <c r="Q2238" s="7">
        <f>IF($E2238="","",P2238*AB2238/100)</f>
        <v/>
      </c>
      <c r="R2238" s="7" t="n"/>
      <c r="X2238" s="7" t="n"/>
      <c r="Y2238" s="7">
        <f>IF($E2238="","",AB2238*AE2238/100)</f>
        <v/>
      </c>
      <c r="Z2238" s="7">
        <f>IF($E2238="","",AB2238-Y2238)</f>
        <v/>
      </c>
      <c r="AA2238" s="7">
        <f>IF($E2238="","",Z2238-Q2238)</f>
        <v/>
      </c>
      <c r="AB2238" s="7" t="n"/>
      <c r="AE2238">
        <f>IF($E2238="","",IF($AQ2238=1,0,IF($AP2238=1,Settings!$C$6,Settings!$C$7))*100)</f>
        <v/>
      </c>
      <c r="AI2238" s="7" t="n"/>
      <c r="AL2238" s="11" t="n"/>
      <c r="AN2238">
        <f>IF($E2238="","",IF(COUNTIF($E$2:$E2238,$E2238)=1,1,0))</f>
        <v/>
      </c>
      <c r="AO2238">
        <f>IF($AN2238=1,SUMPRODUCT(--($AR$2:$AR$3001&lt;$AR2238))+1,"")</f>
        <v/>
      </c>
      <c r="AP2238">
        <f>IF($E2238="","",IF(OR($U2238=TRUE(),$U2238="TRUE"),1,0))</f>
        <v/>
      </c>
      <c r="AQ2238">
        <f>IF($E2238="","",IF($AD2238="Yes",1,0))</f>
        <v/>
      </c>
      <c r="AR2238">
        <f>IF($AN2238=1,IFERROR(VALUE(MID($E2238,2,20)),1000000000)+ROW()/100000,"")</f>
        <v/>
      </c>
    </row>
    <row r="2239">
      <c r="G2239" s="11" t="n"/>
      <c r="Q2239" s="7">
        <f>IF($E2239="","",P2239*AB2239/100)</f>
        <v/>
      </c>
      <c r="R2239" s="7" t="n"/>
      <c r="X2239" s="7" t="n"/>
      <c r="Y2239" s="7">
        <f>IF($E2239="","",AB2239*AE2239/100)</f>
        <v/>
      </c>
      <c r="Z2239" s="7">
        <f>IF($E2239="","",AB2239-Y2239)</f>
        <v/>
      </c>
      <c r="AA2239" s="7">
        <f>IF($E2239="","",Z2239-Q2239)</f>
        <v/>
      </c>
      <c r="AB2239" s="7" t="n"/>
      <c r="AE2239">
        <f>IF($E2239="","",IF($AQ2239=1,0,IF($AP2239=1,Settings!$C$6,Settings!$C$7))*100)</f>
        <v/>
      </c>
      <c r="AI2239" s="7" t="n"/>
      <c r="AL2239" s="11" t="n"/>
      <c r="AN2239">
        <f>IF($E2239="","",IF(COUNTIF($E$2:$E2239,$E2239)=1,1,0))</f>
        <v/>
      </c>
      <c r="AO2239">
        <f>IF($AN2239=1,SUMPRODUCT(--($AR$2:$AR$3001&lt;$AR2239))+1,"")</f>
        <v/>
      </c>
      <c r="AP2239">
        <f>IF($E2239="","",IF(OR($U2239=TRUE(),$U2239="TRUE"),1,0))</f>
        <v/>
      </c>
      <c r="AQ2239">
        <f>IF($E2239="","",IF($AD2239="Yes",1,0))</f>
        <v/>
      </c>
      <c r="AR2239">
        <f>IF($AN2239=1,IFERROR(VALUE(MID($E2239,2,20)),1000000000)+ROW()/100000,"")</f>
        <v/>
      </c>
    </row>
    <row r="2240">
      <c r="G2240" s="11" t="n"/>
      <c r="Q2240" s="7">
        <f>IF($E2240="","",P2240*AB2240/100)</f>
        <v/>
      </c>
      <c r="R2240" s="7" t="n"/>
      <c r="X2240" s="7" t="n"/>
      <c r="Y2240" s="7">
        <f>IF($E2240="","",AB2240*AE2240/100)</f>
        <v/>
      </c>
      <c r="Z2240" s="7">
        <f>IF($E2240="","",AB2240-Y2240)</f>
        <v/>
      </c>
      <c r="AA2240" s="7">
        <f>IF($E2240="","",Z2240-Q2240)</f>
        <v/>
      </c>
      <c r="AB2240" s="7" t="n"/>
      <c r="AE2240">
        <f>IF($E2240="","",IF($AQ2240=1,0,IF($AP2240=1,Settings!$C$6,Settings!$C$7))*100)</f>
        <v/>
      </c>
      <c r="AI2240" s="7" t="n"/>
      <c r="AL2240" s="11" t="n"/>
      <c r="AN2240">
        <f>IF($E2240="","",IF(COUNTIF($E$2:$E2240,$E2240)=1,1,0))</f>
        <v/>
      </c>
      <c r="AO2240">
        <f>IF($AN2240=1,SUMPRODUCT(--($AR$2:$AR$3001&lt;$AR2240))+1,"")</f>
        <v/>
      </c>
      <c r="AP2240">
        <f>IF($E2240="","",IF(OR($U2240=TRUE(),$U2240="TRUE"),1,0))</f>
        <v/>
      </c>
      <c r="AQ2240">
        <f>IF($E2240="","",IF($AD2240="Yes",1,0))</f>
        <v/>
      </c>
      <c r="AR2240">
        <f>IF($AN2240=1,IFERROR(VALUE(MID($E2240,2,20)),1000000000)+ROW()/100000,"")</f>
        <v/>
      </c>
    </row>
    <row r="2241">
      <c r="G2241" s="11" t="n"/>
      <c r="Q2241" s="7">
        <f>IF($E2241="","",P2241*AB2241/100)</f>
        <v/>
      </c>
      <c r="R2241" s="7" t="n"/>
      <c r="X2241" s="7" t="n"/>
      <c r="Y2241" s="7">
        <f>IF($E2241="","",AB2241*AE2241/100)</f>
        <v/>
      </c>
      <c r="Z2241" s="7">
        <f>IF($E2241="","",AB2241-Y2241)</f>
        <v/>
      </c>
      <c r="AA2241" s="7">
        <f>IF($E2241="","",Z2241-Q2241)</f>
        <v/>
      </c>
      <c r="AB2241" s="7" t="n"/>
      <c r="AE2241">
        <f>IF($E2241="","",IF($AQ2241=1,0,IF($AP2241=1,Settings!$C$6,Settings!$C$7))*100)</f>
        <v/>
      </c>
      <c r="AI2241" s="7" t="n"/>
      <c r="AL2241" s="11" t="n"/>
      <c r="AN2241">
        <f>IF($E2241="","",IF(COUNTIF($E$2:$E2241,$E2241)=1,1,0))</f>
        <v/>
      </c>
      <c r="AO2241">
        <f>IF($AN2241=1,SUMPRODUCT(--($AR$2:$AR$3001&lt;$AR2241))+1,"")</f>
        <v/>
      </c>
      <c r="AP2241">
        <f>IF($E2241="","",IF(OR($U2241=TRUE(),$U2241="TRUE"),1,0))</f>
        <v/>
      </c>
      <c r="AQ2241">
        <f>IF($E2241="","",IF($AD2241="Yes",1,0))</f>
        <v/>
      </c>
      <c r="AR2241">
        <f>IF($AN2241=1,IFERROR(VALUE(MID($E2241,2,20)),1000000000)+ROW()/100000,"")</f>
        <v/>
      </c>
    </row>
    <row r="2242">
      <c r="G2242" s="11" t="n"/>
      <c r="Q2242" s="7">
        <f>IF($E2242="","",P2242*AB2242/100)</f>
        <v/>
      </c>
      <c r="R2242" s="7" t="n"/>
      <c r="X2242" s="7" t="n"/>
      <c r="Y2242" s="7">
        <f>IF($E2242="","",AB2242*AE2242/100)</f>
        <v/>
      </c>
      <c r="Z2242" s="7">
        <f>IF($E2242="","",AB2242-Y2242)</f>
        <v/>
      </c>
      <c r="AA2242" s="7">
        <f>IF($E2242="","",Z2242-Q2242)</f>
        <v/>
      </c>
      <c r="AB2242" s="7" t="n"/>
      <c r="AE2242">
        <f>IF($E2242="","",IF($AQ2242=1,0,IF($AP2242=1,Settings!$C$6,Settings!$C$7))*100)</f>
        <v/>
      </c>
      <c r="AI2242" s="7" t="n"/>
      <c r="AL2242" s="11" t="n"/>
      <c r="AN2242">
        <f>IF($E2242="","",IF(COUNTIF($E$2:$E2242,$E2242)=1,1,0))</f>
        <v/>
      </c>
      <c r="AO2242">
        <f>IF($AN2242=1,SUMPRODUCT(--($AR$2:$AR$3001&lt;$AR2242))+1,"")</f>
        <v/>
      </c>
      <c r="AP2242">
        <f>IF($E2242="","",IF(OR($U2242=TRUE(),$U2242="TRUE"),1,0))</f>
        <v/>
      </c>
      <c r="AQ2242">
        <f>IF($E2242="","",IF($AD2242="Yes",1,0))</f>
        <v/>
      </c>
      <c r="AR2242">
        <f>IF($AN2242=1,IFERROR(VALUE(MID($E2242,2,20)),1000000000)+ROW()/100000,"")</f>
        <v/>
      </c>
    </row>
    <row r="2243">
      <c r="G2243" s="11" t="n"/>
      <c r="Q2243" s="7">
        <f>IF($E2243="","",P2243*AB2243/100)</f>
        <v/>
      </c>
      <c r="R2243" s="7" t="n"/>
      <c r="X2243" s="7" t="n"/>
      <c r="Y2243" s="7">
        <f>IF($E2243="","",AB2243*AE2243/100)</f>
        <v/>
      </c>
      <c r="Z2243" s="7">
        <f>IF($E2243="","",AB2243-Y2243)</f>
        <v/>
      </c>
      <c r="AA2243" s="7">
        <f>IF($E2243="","",Z2243-Q2243)</f>
        <v/>
      </c>
      <c r="AB2243" s="7" t="n"/>
      <c r="AE2243">
        <f>IF($E2243="","",IF($AQ2243=1,0,IF($AP2243=1,Settings!$C$6,Settings!$C$7))*100)</f>
        <v/>
      </c>
      <c r="AI2243" s="7" t="n"/>
      <c r="AL2243" s="11" t="n"/>
      <c r="AN2243">
        <f>IF($E2243="","",IF(COUNTIF($E$2:$E2243,$E2243)=1,1,0))</f>
        <v/>
      </c>
      <c r="AO2243">
        <f>IF($AN2243=1,SUMPRODUCT(--($AR$2:$AR$3001&lt;$AR2243))+1,"")</f>
        <v/>
      </c>
      <c r="AP2243">
        <f>IF($E2243="","",IF(OR($U2243=TRUE(),$U2243="TRUE"),1,0))</f>
        <v/>
      </c>
      <c r="AQ2243">
        <f>IF($E2243="","",IF($AD2243="Yes",1,0))</f>
        <v/>
      </c>
      <c r="AR2243">
        <f>IF($AN2243=1,IFERROR(VALUE(MID($E2243,2,20)),1000000000)+ROW()/100000,"")</f>
        <v/>
      </c>
    </row>
    <row r="2244">
      <c r="G2244" s="11" t="n"/>
      <c r="Q2244" s="7">
        <f>IF($E2244="","",P2244*AB2244/100)</f>
        <v/>
      </c>
      <c r="R2244" s="7" t="n"/>
      <c r="X2244" s="7" t="n"/>
      <c r="Y2244" s="7">
        <f>IF($E2244="","",AB2244*AE2244/100)</f>
        <v/>
      </c>
      <c r="Z2244" s="7">
        <f>IF($E2244="","",AB2244-Y2244)</f>
        <v/>
      </c>
      <c r="AA2244" s="7">
        <f>IF($E2244="","",Z2244-Q2244)</f>
        <v/>
      </c>
      <c r="AB2244" s="7" t="n"/>
      <c r="AE2244">
        <f>IF($E2244="","",IF($AQ2244=1,0,IF($AP2244=1,Settings!$C$6,Settings!$C$7))*100)</f>
        <v/>
      </c>
      <c r="AI2244" s="7" t="n"/>
      <c r="AL2244" s="11" t="n"/>
      <c r="AN2244">
        <f>IF($E2244="","",IF(COUNTIF($E$2:$E2244,$E2244)=1,1,0))</f>
        <v/>
      </c>
      <c r="AO2244">
        <f>IF($AN2244=1,SUMPRODUCT(--($AR$2:$AR$3001&lt;$AR2244))+1,"")</f>
        <v/>
      </c>
      <c r="AP2244">
        <f>IF($E2244="","",IF(OR($U2244=TRUE(),$U2244="TRUE"),1,0))</f>
        <v/>
      </c>
      <c r="AQ2244">
        <f>IF($E2244="","",IF($AD2244="Yes",1,0))</f>
        <v/>
      </c>
      <c r="AR2244">
        <f>IF($AN2244=1,IFERROR(VALUE(MID($E2244,2,20)),1000000000)+ROW()/100000,"")</f>
        <v/>
      </c>
    </row>
    <row r="2245">
      <c r="G2245" s="11" t="n"/>
      <c r="Q2245" s="7">
        <f>IF($E2245="","",P2245*AB2245/100)</f>
        <v/>
      </c>
      <c r="R2245" s="7" t="n"/>
      <c r="X2245" s="7" t="n"/>
      <c r="Y2245" s="7">
        <f>IF($E2245="","",AB2245*AE2245/100)</f>
        <v/>
      </c>
      <c r="Z2245" s="7">
        <f>IF($E2245="","",AB2245-Y2245)</f>
        <v/>
      </c>
      <c r="AA2245" s="7">
        <f>IF($E2245="","",Z2245-Q2245)</f>
        <v/>
      </c>
      <c r="AB2245" s="7" t="n"/>
      <c r="AE2245">
        <f>IF($E2245="","",IF($AQ2245=1,0,IF($AP2245=1,Settings!$C$6,Settings!$C$7))*100)</f>
        <v/>
      </c>
      <c r="AI2245" s="7" t="n"/>
      <c r="AL2245" s="11" t="n"/>
      <c r="AN2245">
        <f>IF($E2245="","",IF(COUNTIF($E$2:$E2245,$E2245)=1,1,0))</f>
        <v/>
      </c>
      <c r="AO2245">
        <f>IF($AN2245=1,SUMPRODUCT(--($AR$2:$AR$3001&lt;$AR2245))+1,"")</f>
        <v/>
      </c>
      <c r="AP2245">
        <f>IF($E2245="","",IF(OR($U2245=TRUE(),$U2245="TRUE"),1,0))</f>
        <v/>
      </c>
      <c r="AQ2245">
        <f>IF($E2245="","",IF($AD2245="Yes",1,0))</f>
        <v/>
      </c>
      <c r="AR2245">
        <f>IF($AN2245=1,IFERROR(VALUE(MID($E2245,2,20)),1000000000)+ROW()/100000,"")</f>
        <v/>
      </c>
    </row>
    <row r="2246">
      <c r="G2246" s="11" t="n"/>
      <c r="Q2246" s="7">
        <f>IF($E2246="","",P2246*AB2246/100)</f>
        <v/>
      </c>
      <c r="R2246" s="7" t="n"/>
      <c r="X2246" s="7" t="n"/>
      <c r="Y2246" s="7">
        <f>IF($E2246="","",AB2246*AE2246/100)</f>
        <v/>
      </c>
      <c r="Z2246" s="7">
        <f>IF($E2246="","",AB2246-Y2246)</f>
        <v/>
      </c>
      <c r="AA2246" s="7">
        <f>IF($E2246="","",Z2246-Q2246)</f>
        <v/>
      </c>
      <c r="AB2246" s="7" t="n"/>
      <c r="AE2246">
        <f>IF($E2246="","",IF($AQ2246=1,0,IF($AP2246=1,Settings!$C$6,Settings!$C$7))*100)</f>
        <v/>
      </c>
      <c r="AI2246" s="7" t="n"/>
      <c r="AL2246" s="11" t="n"/>
      <c r="AN2246">
        <f>IF($E2246="","",IF(COUNTIF($E$2:$E2246,$E2246)=1,1,0))</f>
        <v/>
      </c>
      <c r="AO2246">
        <f>IF($AN2246=1,SUMPRODUCT(--($AR$2:$AR$3001&lt;$AR2246))+1,"")</f>
        <v/>
      </c>
      <c r="AP2246">
        <f>IF($E2246="","",IF(OR($U2246=TRUE(),$U2246="TRUE"),1,0))</f>
        <v/>
      </c>
      <c r="AQ2246">
        <f>IF($E2246="","",IF($AD2246="Yes",1,0))</f>
        <v/>
      </c>
      <c r="AR2246">
        <f>IF($AN2246=1,IFERROR(VALUE(MID($E2246,2,20)),1000000000)+ROW()/100000,"")</f>
        <v/>
      </c>
    </row>
    <row r="2247">
      <c r="G2247" s="11" t="n"/>
      <c r="Q2247" s="7">
        <f>IF($E2247="","",P2247*AB2247/100)</f>
        <v/>
      </c>
      <c r="R2247" s="7" t="n"/>
      <c r="X2247" s="7" t="n"/>
      <c r="Y2247" s="7">
        <f>IF($E2247="","",AB2247*AE2247/100)</f>
        <v/>
      </c>
      <c r="Z2247" s="7">
        <f>IF($E2247="","",AB2247-Y2247)</f>
        <v/>
      </c>
      <c r="AA2247" s="7">
        <f>IF($E2247="","",Z2247-Q2247)</f>
        <v/>
      </c>
      <c r="AB2247" s="7" t="n"/>
      <c r="AE2247">
        <f>IF($E2247="","",IF($AQ2247=1,0,IF($AP2247=1,Settings!$C$6,Settings!$C$7))*100)</f>
        <v/>
      </c>
      <c r="AI2247" s="7" t="n"/>
      <c r="AL2247" s="11" t="n"/>
      <c r="AN2247">
        <f>IF($E2247="","",IF(COUNTIF($E$2:$E2247,$E2247)=1,1,0))</f>
        <v/>
      </c>
      <c r="AO2247">
        <f>IF($AN2247=1,SUMPRODUCT(--($AR$2:$AR$3001&lt;$AR2247))+1,"")</f>
        <v/>
      </c>
      <c r="AP2247">
        <f>IF($E2247="","",IF(OR($U2247=TRUE(),$U2247="TRUE"),1,0))</f>
        <v/>
      </c>
      <c r="AQ2247">
        <f>IF($E2247="","",IF($AD2247="Yes",1,0))</f>
        <v/>
      </c>
      <c r="AR2247">
        <f>IF($AN2247=1,IFERROR(VALUE(MID($E2247,2,20)),1000000000)+ROW()/100000,"")</f>
        <v/>
      </c>
    </row>
    <row r="2248">
      <c r="G2248" s="11" t="n"/>
      <c r="Q2248" s="7">
        <f>IF($E2248="","",P2248*AB2248/100)</f>
        <v/>
      </c>
      <c r="R2248" s="7" t="n"/>
      <c r="X2248" s="7" t="n"/>
      <c r="Y2248" s="7">
        <f>IF($E2248="","",AB2248*AE2248/100)</f>
        <v/>
      </c>
      <c r="Z2248" s="7">
        <f>IF($E2248="","",AB2248-Y2248)</f>
        <v/>
      </c>
      <c r="AA2248" s="7">
        <f>IF($E2248="","",Z2248-Q2248)</f>
        <v/>
      </c>
      <c r="AB2248" s="7" t="n"/>
      <c r="AE2248">
        <f>IF($E2248="","",IF($AQ2248=1,0,IF($AP2248=1,Settings!$C$6,Settings!$C$7))*100)</f>
        <v/>
      </c>
      <c r="AI2248" s="7" t="n"/>
      <c r="AL2248" s="11" t="n"/>
      <c r="AN2248">
        <f>IF($E2248="","",IF(COUNTIF($E$2:$E2248,$E2248)=1,1,0))</f>
        <v/>
      </c>
      <c r="AO2248">
        <f>IF($AN2248=1,SUMPRODUCT(--($AR$2:$AR$3001&lt;$AR2248))+1,"")</f>
        <v/>
      </c>
      <c r="AP2248">
        <f>IF($E2248="","",IF(OR($U2248=TRUE(),$U2248="TRUE"),1,0))</f>
        <v/>
      </c>
      <c r="AQ2248">
        <f>IF($E2248="","",IF($AD2248="Yes",1,0))</f>
        <v/>
      </c>
      <c r="AR2248">
        <f>IF($AN2248=1,IFERROR(VALUE(MID($E2248,2,20)),1000000000)+ROW()/100000,"")</f>
        <v/>
      </c>
    </row>
    <row r="2249">
      <c r="G2249" s="11" t="n"/>
      <c r="Q2249" s="7">
        <f>IF($E2249="","",P2249*AB2249/100)</f>
        <v/>
      </c>
      <c r="R2249" s="7" t="n"/>
      <c r="X2249" s="7" t="n"/>
      <c r="Y2249" s="7">
        <f>IF($E2249="","",AB2249*AE2249/100)</f>
        <v/>
      </c>
      <c r="Z2249" s="7">
        <f>IF($E2249="","",AB2249-Y2249)</f>
        <v/>
      </c>
      <c r="AA2249" s="7">
        <f>IF($E2249="","",Z2249-Q2249)</f>
        <v/>
      </c>
      <c r="AB2249" s="7" t="n"/>
      <c r="AE2249">
        <f>IF($E2249="","",IF($AQ2249=1,0,IF($AP2249=1,Settings!$C$6,Settings!$C$7))*100)</f>
        <v/>
      </c>
      <c r="AI2249" s="7" t="n"/>
      <c r="AL2249" s="11" t="n"/>
      <c r="AN2249">
        <f>IF($E2249="","",IF(COUNTIF($E$2:$E2249,$E2249)=1,1,0))</f>
        <v/>
      </c>
      <c r="AO2249">
        <f>IF($AN2249=1,SUMPRODUCT(--($AR$2:$AR$3001&lt;$AR2249))+1,"")</f>
        <v/>
      </c>
      <c r="AP2249">
        <f>IF($E2249="","",IF(OR($U2249=TRUE(),$U2249="TRUE"),1,0))</f>
        <v/>
      </c>
      <c r="AQ2249">
        <f>IF($E2249="","",IF($AD2249="Yes",1,0))</f>
        <v/>
      </c>
      <c r="AR2249">
        <f>IF($AN2249=1,IFERROR(VALUE(MID($E2249,2,20)),1000000000)+ROW()/100000,"")</f>
        <v/>
      </c>
    </row>
    <row r="2250">
      <c r="G2250" s="11" t="n"/>
      <c r="Q2250" s="7">
        <f>IF($E2250="","",P2250*AB2250/100)</f>
        <v/>
      </c>
      <c r="R2250" s="7" t="n"/>
      <c r="X2250" s="7" t="n"/>
      <c r="Y2250" s="7">
        <f>IF($E2250="","",AB2250*AE2250/100)</f>
        <v/>
      </c>
      <c r="Z2250" s="7">
        <f>IF($E2250="","",AB2250-Y2250)</f>
        <v/>
      </c>
      <c r="AA2250" s="7">
        <f>IF($E2250="","",Z2250-Q2250)</f>
        <v/>
      </c>
      <c r="AB2250" s="7" t="n"/>
      <c r="AE2250">
        <f>IF($E2250="","",IF($AQ2250=1,0,IF($AP2250=1,Settings!$C$6,Settings!$C$7))*100)</f>
        <v/>
      </c>
      <c r="AI2250" s="7" t="n"/>
      <c r="AL2250" s="11" t="n"/>
      <c r="AN2250">
        <f>IF($E2250="","",IF(COUNTIF($E$2:$E2250,$E2250)=1,1,0))</f>
        <v/>
      </c>
      <c r="AO2250">
        <f>IF($AN2250=1,SUMPRODUCT(--($AR$2:$AR$3001&lt;$AR2250))+1,"")</f>
        <v/>
      </c>
      <c r="AP2250">
        <f>IF($E2250="","",IF(OR($U2250=TRUE(),$U2250="TRUE"),1,0))</f>
        <v/>
      </c>
      <c r="AQ2250">
        <f>IF($E2250="","",IF($AD2250="Yes",1,0))</f>
        <v/>
      </c>
      <c r="AR2250">
        <f>IF($AN2250=1,IFERROR(VALUE(MID($E2250,2,20)),1000000000)+ROW()/100000,"")</f>
        <v/>
      </c>
    </row>
    <row r="2251">
      <c r="G2251" s="11" t="n"/>
      <c r="Q2251" s="7">
        <f>IF($E2251="","",P2251*AB2251/100)</f>
        <v/>
      </c>
      <c r="R2251" s="7" t="n"/>
      <c r="X2251" s="7" t="n"/>
      <c r="Y2251" s="7">
        <f>IF($E2251="","",AB2251*AE2251/100)</f>
        <v/>
      </c>
      <c r="Z2251" s="7">
        <f>IF($E2251="","",AB2251-Y2251)</f>
        <v/>
      </c>
      <c r="AA2251" s="7">
        <f>IF($E2251="","",Z2251-Q2251)</f>
        <v/>
      </c>
      <c r="AB2251" s="7" t="n"/>
      <c r="AE2251">
        <f>IF($E2251="","",IF($AQ2251=1,0,IF($AP2251=1,Settings!$C$6,Settings!$C$7))*100)</f>
        <v/>
      </c>
      <c r="AI2251" s="7" t="n"/>
      <c r="AL2251" s="11" t="n"/>
      <c r="AN2251">
        <f>IF($E2251="","",IF(COUNTIF($E$2:$E2251,$E2251)=1,1,0))</f>
        <v/>
      </c>
      <c r="AO2251">
        <f>IF($AN2251=1,SUMPRODUCT(--($AR$2:$AR$3001&lt;$AR2251))+1,"")</f>
        <v/>
      </c>
      <c r="AP2251">
        <f>IF($E2251="","",IF(OR($U2251=TRUE(),$U2251="TRUE"),1,0))</f>
        <v/>
      </c>
      <c r="AQ2251">
        <f>IF($E2251="","",IF($AD2251="Yes",1,0))</f>
        <v/>
      </c>
      <c r="AR2251">
        <f>IF($AN2251=1,IFERROR(VALUE(MID($E2251,2,20)),1000000000)+ROW()/100000,"")</f>
        <v/>
      </c>
    </row>
    <row r="2252">
      <c r="G2252" s="11" t="n"/>
      <c r="Q2252" s="7">
        <f>IF($E2252="","",P2252*AB2252/100)</f>
        <v/>
      </c>
      <c r="R2252" s="7" t="n"/>
      <c r="X2252" s="7" t="n"/>
      <c r="Y2252" s="7">
        <f>IF($E2252="","",AB2252*AE2252/100)</f>
        <v/>
      </c>
      <c r="Z2252" s="7">
        <f>IF($E2252="","",AB2252-Y2252)</f>
        <v/>
      </c>
      <c r="AA2252" s="7">
        <f>IF($E2252="","",Z2252-Q2252)</f>
        <v/>
      </c>
      <c r="AB2252" s="7" t="n"/>
      <c r="AE2252">
        <f>IF($E2252="","",IF($AQ2252=1,0,IF($AP2252=1,Settings!$C$6,Settings!$C$7))*100)</f>
        <v/>
      </c>
      <c r="AI2252" s="7" t="n"/>
      <c r="AL2252" s="11" t="n"/>
      <c r="AN2252">
        <f>IF($E2252="","",IF(COUNTIF($E$2:$E2252,$E2252)=1,1,0))</f>
        <v/>
      </c>
      <c r="AO2252">
        <f>IF($AN2252=1,SUMPRODUCT(--($AR$2:$AR$3001&lt;$AR2252))+1,"")</f>
        <v/>
      </c>
      <c r="AP2252">
        <f>IF($E2252="","",IF(OR($U2252=TRUE(),$U2252="TRUE"),1,0))</f>
        <v/>
      </c>
      <c r="AQ2252">
        <f>IF($E2252="","",IF($AD2252="Yes",1,0))</f>
        <v/>
      </c>
      <c r="AR2252">
        <f>IF($AN2252=1,IFERROR(VALUE(MID($E2252,2,20)),1000000000)+ROW()/100000,"")</f>
        <v/>
      </c>
    </row>
    <row r="2253">
      <c r="G2253" s="11" t="n"/>
      <c r="Q2253" s="7">
        <f>IF($E2253="","",P2253*AB2253/100)</f>
        <v/>
      </c>
      <c r="R2253" s="7" t="n"/>
      <c r="X2253" s="7" t="n"/>
      <c r="Y2253" s="7">
        <f>IF($E2253="","",AB2253*AE2253/100)</f>
        <v/>
      </c>
      <c r="Z2253" s="7">
        <f>IF($E2253="","",AB2253-Y2253)</f>
        <v/>
      </c>
      <c r="AA2253" s="7">
        <f>IF($E2253="","",Z2253-Q2253)</f>
        <v/>
      </c>
      <c r="AB2253" s="7" t="n"/>
      <c r="AE2253">
        <f>IF($E2253="","",IF($AQ2253=1,0,IF($AP2253=1,Settings!$C$6,Settings!$C$7))*100)</f>
        <v/>
      </c>
      <c r="AI2253" s="7" t="n"/>
      <c r="AL2253" s="11" t="n"/>
      <c r="AN2253">
        <f>IF($E2253="","",IF(COUNTIF($E$2:$E2253,$E2253)=1,1,0))</f>
        <v/>
      </c>
      <c r="AO2253">
        <f>IF($AN2253=1,SUMPRODUCT(--($AR$2:$AR$3001&lt;$AR2253))+1,"")</f>
        <v/>
      </c>
      <c r="AP2253">
        <f>IF($E2253="","",IF(OR($U2253=TRUE(),$U2253="TRUE"),1,0))</f>
        <v/>
      </c>
      <c r="AQ2253">
        <f>IF($E2253="","",IF($AD2253="Yes",1,0))</f>
        <v/>
      </c>
      <c r="AR2253">
        <f>IF($AN2253=1,IFERROR(VALUE(MID($E2253,2,20)),1000000000)+ROW()/100000,"")</f>
        <v/>
      </c>
    </row>
    <row r="2254">
      <c r="G2254" s="11" t="n"/>
      <c r="Q2254" s="7">
        <f>IF($E2254="","",P2254*AB2254/100)</f>
        <v/>
      </c>
      <c r="R2254" s="7" t="n"/>
      <c r="X2254" s="7" t="n"/>
      <c r="Y2254" s="7">
        <f>IF($E2254="","",AB2254*AE2254/100)</f>
        <v/>
      </c>
      <c r="Z2254" s="7">
        <f>IF($E2254="","",AB2254-Y2254)</f>
        <v/>
      </c>
      <c r="AA2254" s="7">
        <f>IF($E2254="","",Z2254-Q2254)</f>
        <v/>
      </c>
      <c r="AB2254" s="7" t="n"/>
      <c r="AE2254">
        <f>IF($E2254="","",IF($AQ2254=1,0,IF($AP2254=1,Settings!$C$6,Settings!$C$7))*100)</f>
        <v/>
      </c>
      <c r="AI2254" s="7" t="n"/>
      <c r="AL2254" s="11" t="n"/>
      <c r="AN2254">
        <f>IF($E2254="","",IF(COUNTIF($E$2:$E2254,$E2254)=1,1,0))</f>
        <v/>
      </c>
      <c r="AO2254">
        <f>IF($AN2254=1,SUMPRODUCT(--($AR$2:$AR$3001&lt;$AR2254))+1,"")</f>
        <v/>
      </c>
      <c r="AP2254">
        <f>IF($E2254="","",IF(OR($U2254=TRUE(),$U2254="TRUE"),1,0))</f>
        <v/>
      </c>
      <c r="AQ2254">
        <f>IF($E2254="","",IF($AD2254="Yes",1,0))</f>
        <v/>
      </c>
      <c r="AR2254">
        <f>IF($AN2254=1,IFERROR(VALUE(MID($E2254,2,20)),1000000000)+ROW()/100000,"")</f>
        <v/>
      </c>
    </row>
    <row r="2255">
      <c r="G2255" s="11" t="n"/>
      <c r="Q2255" s="7">
        <f>IF($E2255="","",P2255*AB2255/100)</f>
        <v/>
      </c>
      <c r="R2255" s="7" t="n"/>
      <c r="X2255" s="7" t="n"/>
      <c r="Y2255" s="7">
        <f>IF($E2255="","",AB2255*AE2255/100)</f>
        <v/>
      </c>
      <c r="Z2255" s="7">
        <f>IF($E2255="","",AB2255-Y2255)</f>
        <v/>
      </c>
      <c r="AA2255" s="7">
        <f>IF($E2255="","",Z2255-Q2255)</f>
        <v/>
      </c>
      <c r="AB2255" s="7" t="n"/>
      <c r="AE2255">
        <f>IF($E2255="","",IF($AQ2255=1,0,IF($AP2255=1,Settings!$C$6,Settings!$C$7))*100)</f>
        <v/>
      </c>
      <c r="AI2255" s="7" t="n"/>
      <c r="AL2255" s="11" t="n"/>
      <c r="AN2255">
        <f>IF($E2255="","",IF(COUNTIF($E$2:$E2255,$E2255)=1,1,0))</f>
        <v/>
      </c>
      <c r="AO2255">
        <f>IF($AN2255=1,SUMPRODUCT(--($AR$2:$AR$3001&lt;$AR2255))+1,"")</f>
        <v/>
      </c>
      <c r="AP2255">
        <f>IF($E2255="","",IF(OR($U2255=TRUE(),$U2255="TRUE"),1,0))</f>
        <v/>
      </c>
      <c r="AQ2255">
        <f>IF($E2255="","",IF($AD2255="Yes",1,0))</f>
        <v/>
      </c>
      <c r="AR2255">
        <f>IF($AN2255=1,IFERROR(VALUE(MID($E2255,2,20)),1000000000)+ROW()/100000,"")</f>
        <v/>
      </c>
    </row>
    <row r="2256">
      <c r="G2256" s="11" t="n"/>
      <c r="Q2256" s="7">
        <f>IF($E2256="","",P2256*AB2256/100)</f>
        <v/>
      </c>
      <c r="R2256" s="7" t="n"/>
      <c r="X2256" s="7" t="n"/>
      <c r="Y2256" s="7">
        <f>IF($E2256="","",AB2256*AE2256/100)</f>
        <v/>
      </c>
      <c r="Z2256" s="7">
        <f>IF($E2256="","",AB2256-Y2256)</f>
        <v/>
      </c>
      <c r="AA2256" s="7">
        <f>IF($E2256="","",Z2256-Q2256)</f>
        <v/>
      </c>
      <c r="AB2256" s="7" t="n"/>
      <c r="AE2256">
        <f>IF($E2256="","",IF($AQ2256=1,0,IF($AP2256=1,Settings!$C$6,Settings!$C$7))*100)</f>
        <v/>
      </c>
      <c r="AI2256" s="7" t="n"/>
      <c r="AL2256" s="11" t="n"/>
      <c r="AN2256">
        <f>IF($E2256="","",IF(COUNTIF($E$2:$E2256,$E2256)=1,1,0))</f>
        <v/>
      </c>
      <c r="AO2256">
        <f>IF($AN2256=1,SUMPRODUCT(--($AR$2:$AR$3001&lt;$AR2256))+1,"")</f>
        <v/>
      </c>
      <c r="AP2256">
        <f>IF($E2256="","",IF(OR($U2256=TRUE(),$U2256="TRUE"),1,0))</f>
        <v/>
      </c>
      <c r="AQ2256">
        <f>IF($E2256="","",IF($AD2256="Yes",1,0))</f>
        <v/>
      </c>
      <c r="AR2256">
        <f>IF($AN2256=1,IFERROR(VALUE(MID($E2256,2,20)),1000000000)+ROW()/100000,"")</f>
        <v/>
      </c>
    </row>
    <row r="2257">
      <c r="G2257" s="11" t="n"/>
      <c r="Q2257" s="7">
        <f>IF($E2257="","",P2257*AB2257/100)</f>
        <v/>
      </c>
      <c r="R2257" s="7" t="n"/>
      <c r="X2257" s="7" t="n"/>
      <c r="Y2257" s="7">
        <f>IF($E2257="","",AB2257*AE2257/100)</f>
        <v/>
      </c>
      <c r="Z2257" s="7">
        <f>IF($E2257="","",AB2257-Y2257)</f>
        <v/>
      </c>
      <c r="AA2257" s="7">
        <f>IF($E2257="","",Z2257-Q2257)</f>
        <v/>
      </c>
      <c r="AB2257" s="7" t="n"/>
      <c r="AE2257">
        <f>IF($E2257="","",IF($AQ2257=1,0,IF($AP2257=1,Settings!$C$6,Settings!$C$7))*100)</f>
        <v/>
      </c>
      <c r="AI2257" s="7" t="n"/>
      <c r="AL2257" s="11" t="n"/>
      <c r="AN2257">
        <f>IF($E2257="","",IF(COUNTIF($E$2:$E2257,$E2257)=1,1,0))</f>
        <v/>
      </c>
      <c r="AO2257">
        <f>IF($AN2257=1,SUMPRODUCT(--($AR$2:$AR$3001&lt;$AR2257))+1,"")</f>
        <v/>
      </c>
      <c r="AP2257">
        <f>IF($E2257="","",IF(OR($U2257=TRUE(),$U2257="TRUE"),1,0))</f>
        <v/>
      </c>
      <c r="AQ2257">
        <f>IF($E2257="","",IF($AD2257="Yes",1,0))</f>
        <v/>
      </c>
      <c r="AR2257">
        <f>IF($AN2257=1,IFERROR(VALUE(MID($E2257,2,20)),1000000000)+ROW()/100000,"")</f>
        <v/>
      </c>
    </row>
    <row r="2258">
      <c r="G2258" s="11" t="n"/>
      <c r="Q2258" s="7">
        <f>IF($E2258="","",P2258*AB2258/100)</f>
        <v/>
      </c>
      <c r="R2258" s="7" t="n"/>
      <c r="X2258" s="7" t="n"/>
      <c r="Y2258" s="7">
        <f>IF($E2258="","",AB2258*AE2258/100)</f>
        <v/>
      </c>
      <c r="Z2258" s="7">
        <f>IF($E2258="","",AB2258-Y2258)</f>
        <v/>
      </c>
      <c r="AA2258" s="7">
        <f>IF($E2258="","",Z2258-Q2258)</f>
        <v/>
      </c>
      <c r="AB2258" s="7" t="n"/>
      <c r="AE2258">
        <f>IF($E2258="","",IF($AQ2258=1,0,IF($AP2258=1,Settings!$C$6,Settings!$C$7))*100)</f>
        <v/>
      </c>
      <c r="AI2258" s="7" t="n"/>
      <c r="AL2258" s="11" t="n"/>
      <c r="AN2258">
        <f>IF($E2258="","",IF(COUNTIF($E$2:$E2258,$E2258)=1,1,0))</f>
        <v/>
      </c>
      <c r="AO2258">
        <f>IF($AN2258=1,SUMPRODUCT(--($AR$2:$AR$3001&lt;$AR2258))+1,"")</f>
        <v/>
      </c>
      <c r="AP2258">
        <f>IF($E2258="","",IF(OR($U2258=TRUE(),$U2258="TRUE"),1,0))</f>
        <v/>
      </c>
      <c r="AQ2258">
        <f>IF($E2258="","",IF($AD2258="Yes",1,0))</f>
        <v/>
      </c>
      <c r="AR2258">
        <f>IF($AN2258=1,IFERROR(VALUE(MID($E2258,2,20)),1000000000)+ROW()/100000,"")</f>
        <v/>
      </c>
    </row>
    <row r="2259">
      <c r="G2259" s="11" t="n"/>
      <c r="Q2259" s="7">
        <f>IF($E2259="","",P2259*AB2259/100)</f>
        <v/>
      </c>
      <c r="R2259" s="7" t="n"/>
      <c r="X2259" s="7" t="n"/>
      <c r="Y2259" s="7">
        <f>IF($E2259="","",AB2259*AE2259/100)</f>
        <v/>
      </c>
      <c r="Z2259" s="7">
        <f>IF($E2259="","",AB2259-Y2259)</f>
        <v/>
      </c>
      <c r="AA2259" s="7">
        <f>IF($E2259="","",Z2259-Q2259)</f>
        <v/>
      </c>
      <c r="AB2259" s="7" t="n"/>
      <c r="AE2259">
        <f>IF($E2259="","",IF($AQ2259=1,0,IF($AP2259=1,Settings!$C$6,Settings!$C$7))*100)</f>
        <v/>
      </c>
      <c r="AI2259" s="7" t="n"/>
      <c r="AL2259" s="11" t="n"/>
      <c r="AN2259">
        <f>IF($E2259="","",IF(COUNTIF($E$2:$E2259,$E2259)=1,1,0))</f>
        <v/>
      </c>
      <c r="AO2259">
        <f>IF($AN2259=1,SUMPRODUCT(--($AR$2:$AR$3001&lt;$AR2259))+1,"")</f>
        <v/>
      </c>
      <c r="AP2259">
        <f>IF($E2259="","",IF(OR($U2259=TRUE(),$U2259="TRUE"),1,0))</f>
        <v/>
      </c>
      <c r="AQ2259">
        <f>IF($E2259="","",IF($AD2259="Yes",1,0))</f>
        <v/>
      </c>
      <c r="AR2259">
        <f>IF($AN2259=1,IFERROR(VALUE(MID($E2259,2,20)),1000000000)+ROW()/100000,"")</f>
        <v/>
      </c>
    </row>
    <row r="2260">
      <c r="G2260" s="11" t="n"/>
      <c r="Q2260" s="7">
        <f>IF($E2260="","",P2260*AB2260/100)</f>
        <v/>
      </c>
      <c r="R2260" s="7" t="n"/>
      <c r="X2260" s="7" t="n"/>
      <c r="Y2260" s="7">
        <f>IF($E2260="","",AB2260*AE2260/100)</f>
        <v/>
      </c>
      <c r="Z2260" s="7">
        <f>IF($E2260="","",AB2260-Y2260)</f>
        <v/>
      </c>
      <c r="AA2260" s="7">
        <f>IF($E2260="","",Z2260-Q2260)</f>
        <v/>
      </c>
      <c r="AB2260" s="7" t="n"/>
      <c r="AE2260">
        <f>IF($E2260="","",IF($AQ2260=1,0,IF($AP2260=1,Settings!$C$6,Settings!$C$7))*100)</f>
        <v/>
      </c>
      <c r="AI2260" s="7" t="n"/>
      <c r="AL2260" s="11" t="n"/>
      <c r="AN2260">
        <f>IF($E2260="","",IF(COUNTIF($E$2:$E2260,$E2260)=1,1,0))</f>
        <v/>
      </c>
      <c r="AO2260">
        <f>IF($AN2260=1,SUMPRODUCT(--($AR$2:$AR$3001&lt;$AR2260))+1,"")</f>
        <v/>
      </c>
      <c r="AP2260">
        <f>IF($E2260="","",IF(OR($U2260=TRUE(),$U2260="TRUE"),1,0))</f>
        <v/>
      </c>
      <c r="AQ2260">
        <f>IF($E2260="","",IF($AD2260="Yes",1,0))</f>
        <v/>
      </c>
      <c r="AR2260">
        <f>IF($AN2260=1,IFERROR(VALUE(MID($E2260,2,20)),1000000000)+ROW()/100000,"")</f>
        <v/>
      </c>
    </row>
    <row r="2261">
      <c r="G2261" s="11" t="n"/>
      <c r="Q2261" s="7">
        <f>IF($E2261="","",P2261*AB2261/100)</f>
        <v/>
      </c>
      <c r="R2261" s="7" t="n"/>
      <c r="X2261" s="7" t="n"/>
      <c r="Y2261" s="7">
        <f>IF($E2261="","",AB2261*AE2261/100)</f>
        <v/>
      </c>
      <c r="Z2261" s="7">
        <f>IF($E2261="","",AB2261-Y2261)</f>
        <v/>
      </c>
      <c r="AA2261" s="7">
        <f>IF($E2261="","",Z2261-Q2261)</f>
        <v/>
      </c>
      <c r="AB2261" s="7" t="n"/>
      <c r="AE2261">
        <f>IF($E2261="","",IF($AQ2261=1,0,IF($AP2261=1,Settings!$C$6,Settings!$C$7))*100)</f>
        <v/>
      </c>
      <c r="AI2261" s="7" t="n"/>
      <c r="AL2261" s="11" t="n"/>
      <c r="AN2261">
        <f>IF($E2261="","",IF(COUNTIF($E$2:$E2261,$E2261)=1,1,0))</f>
        <v/>
      </c>
      <c r="AO2261">
        <f>IF($AN2261=1,SUMPRODUCT(--($AR$2:$AR$3001&lt;$AR2261))+1,"")</f>
        <v/>
      </c>
      <c r="AP2261">
        <f>IF($E2261="","",IF(OR($U2261=TRUE(),$U2261="TRUE"),1,0))</f>
        <v/>
      </c>
      <c r="AQ2261">
        <f>IF($E2261="","",IF($AD2261="Yes",1,0))</f>
        <v/>
      </c>
      <c r="AR2261">
        <f>IF($AN2261=1,IFERROR(VALUE(MID($E2261,2,20)),1000000000)+ROW()/100000,"")</f>
        <v/>
      </c>
    </row>
    <row r="2262">
      <c r="G2262" s="11" t="n"/>
      <c r="Q2262" s="7">
        <f>IF($E2262="","",P2262*AB2262/100)</f>
        <v/>
      </c>
      <c r="R2262" s="7" t="n"/>
      <c r="X2262" s="7" t="n"/>
      <c r="Y2262" s="7">
        <f>IF($E2262="","",AB2262*AE2262/100)</f>
        <v/>
      </c>
      <c r="Z2262" s="7">
        <f>IF($E2262="","",AB2262-Y2262)</f>
        <v/>
      </c>
      <c r="AA2262" s="7">
        <f>IF($E2262="","",Z2262-Q2262)</f>
        <v/>
      </c>
      <c r="AB2262" s="7" t="n"/>
      <c r="AE2262">
        <f>IF($E2262="","",IF($AQ2262=1,0,IF($AP2262=1,Settings!$C$6,Settings!$C$7))*100)</f>
        <v/>
      </c>
      <c r="AI2262" s="7" t="n"/>
      <c r="AL2262" s="11" t="n"/>
      <c r="AN2262">
        <f>IF($E2262="","",IF(COUNTIF($E$2:$E2262,$E2262)=1,1,0))</f>
        <v/>
      </c>
      <c r="AO2262">
        <f>IF($AN2262=1,SUMPRODUCT(--($AR$2:$AR$3001&lt;$AR2262))+1,"")</f>
        <v/>
      </c>
      <c r="AP2262">
        <f>IF($E2262="","",IF(OR($U2262=TRUE(),$U2262="TRUE"),1,0))</f>
        <v/>
      </c>
      <c r="AQ2262">
        <f>IF($E2262="","",IF($AD2262="Yes",1,0))</f>
        <v/>
      </c>
      <c r="AR2262">
        <f>IF($AN2262=1,IFERROR(VALUE(MID($E2262,2,20)),1000000000)+ROW()/100000,"")</f>
        <v/>
      </c>
    </row>
    <row r="2263">
      <c r="G2263" s="11" t="n"/>
      <c r="Q2263" s="7">
        <f>IF($E2263="","",P2263*AB2263/100)</f>
        <v/>
      </c>
      <c r="R2263" s="7" t="n"/>
      <c r="X2263" s="7" t="n"/>
      <c r="Y2263" s="7">
        <f>IF($E2263="","",AB2263*AE2263/100)</f>
        <v/>
      </c>
      <c r="Z2263" s="7">
        <f>IF($E2263="","",AB2263-Y2263)</f>
        <v/>
      </c>
      <c r="AA2263" s="7">
        <f>IF($E2263="","",Z2263-Q2263)</f>
        <v/>
      </c>
      <c r="AB2263" s="7" t="n"/>
      <c r="AE2263">
        <f>IF($E2263="","",IF($AQ2263=1,0,IF($AP2263=1,Settings!$C$6,Settings!$C$7))*100)</f>
        <v/>
      </c>
      <c r="AI2263" s="7" t="n"/>
      <c r="AL2263" s="11" t="n"/>
      <c r="AN2263">
        <f>IF($E2263="","",IF(COUNTIF($E$2:$E2263,$E2263)=1,1,0))</f>
        <v/>
      </c>
      <c r="AO2263">
        <f>IF($AN2263=1,SUMPRODUCT(--($AR$2:$AR$3001&lt;$AR2263))+1,"")</f>
        <v/>
      </c>
      <c r="AP2263">
        <f>IF($E2263="","",IF(OR($U2263=TRUE(),$U2263="TRUE"),1,0))</f>
        <v/>
      </c>
      <c r="AQ2263">
        <f>IF($E2263="","",IF($AD2263="Yes",1,0))</f>
        <v/>
      </c>
      <c r="AR2263">
        <f>IF($AN2263=1,IFERROR(VALUE(MID($E2263,2,20)),1000000000)+ROW()/100000,"")</f>
        <v/>
      </c>
    </row>
    <row r="2264">
      <c r="G2264" s="11" t="n"/>
      <c r="Q2264" s="7">
        <f>IF($E2264="","",P2264*AB2264/100)</f>
        <v/>
      </c>
      <c r="R2264" s="7" t="n"/>
      <c r="X2264" s="7" t="n"/>
      <c r="Y2264" s="7">
        <f>IF($E2264="","",AB2264*AE2264/100)</f>
        <v/>
      </c>
      <c r="Z2264" s="7">
        <f>IF($E2264="","",AB2264-Y2264)</f>
        <v/>
      </c>
      <c r="AA2264" s="7">
        <f>IF($E2264="","",Z2264-Q2264)</f>
        <v/>
      </c>
      <c r="AB2264" s="7" t="n"/>
      <c r="AE2264">
        <f>IF($E2264="","",IF($AQ2264=1,0,IF($AP2264=1,Settings!$C$6,Settings!$C$7))*100)</f>
        <v/>
      </c>
      <c r="AI2264" s="7" t="n"/>
      <c r="AL2264" s="11" t="n"/>
      <c r="AN2264">
        <f>IF($E2264="","",IF(COUNTIF($E$2:$E2264,$E2264)=1,1,0))</f>
        <v/>
      </c>
      <c r="AO2264">
        <f>IF($AN2264=1,SUMPRODUCT(--($AR$2:$AR$3001&lt;$AR2264))+1,"")</f>
        <v/>
      </c>
      <c r="AP2264">
        <f>IF($E2264="","",IF(OR($U2264=TRUE(),$U2264="TRUE"),1,0))</f>
        <v/>
      </c>
      <c r="AQ2264">
        <f>IF($E2264="","",IF($AD2264="Yes",1,0))</f>
        <v/>
      </c>
      <c r="AR2264">
        <f>IF($AN2264=1,IFERROR(VALUE(MID($E2264,2,20)),1000000000)+ROW()/100000,"")</f>
        <v/>
      </c>
    </row>
    <row r="2265">
      <c r="G2265" s="11" t="n"/>
      <c r="Q2265" s="7">
        <f>IF($E2265="","",P2265*AB2265/100)</f>
        <v/>
      </c>
      <c r="R2265" s="7" t="n"/>
      <c r="X2265" s="7" t="n"/>
      <c r="Y2265" s="7">
        <f>IF($E2265="","",AB2265*AE2265/100)</f>
        <v/>
      </c>
      <c r="Z2265" s="7">
        <f>IF($E2265="","",AB2265-Y2265)</f>
        <v/>
      </c>
      <c r="AA2265" s="7">
        <f>IF($E2265="","",Z2265-Q2265)</f>
        <v/>
      </c>
      <c r="AB2265" s="7" t="n"/>
      <c r="AE2265">
        <f>IF($E2265="","",IF($AQ2265=1,0,IF($AP2265=1,Settings!$C$6,Settings!$C$7))*100)</f>
        <v/>
      </c>
      <c r="AI2265" s="7" t="n"/>
      <c r="AL2265" s="11" t="n"/>
      <c r="AN2265">
        <f>IF($E2265="","",IF(COUNTIF($E$2:$E2265,$E2265)=1,1,0))</f>
        <v/>
      </c>
      <c r="AO2265">
        <f>IF($AN2265=1,SUMPRODUCT(--($AR$2:$AR$3001&lt;$AR2265))+1,"")</f>
        <v/>
      </c>
      <c r="AP2265">
        <f>IF($E2265="","",IF(OR($U2265=TRUE(),$U2265="TRUE"),1,0))</f>
        <v/>
      </c>
      <c r="AQ2265">
        <f>IF($E2265="","",IF($AD2265="Yes",1,0))</f>
        <v/>
      </c>
      <c r="AR2265">
        <f>IF($AN2265=1,IFERROR(VALUE(MID($E2265,2,20)),1000000000)+ROW()/100000,"")</f>
        <v/>
      </c>
    </row>
    <row r="2266">
      <c r="G2266" s="11" t="n"/>
      <c r="Q2266" s="7">
        <f>IF($E2266="","",P2266*AB2266/100)</f>
        <v/>
      </c>
      <c r="R2266" s="7" t="n"/>
      <c r="X2266" s="7" t="n"/>
      <c r="Y2266" s="7">
        <f>IF($E2266="","",AB2266*AE2266/100)</f>
        <v/>
      </c>
      <c r="Z2266" s="7">
        <f>IF($E2266="","",AB2266-Y2266)</f>
        <v/>
      </c>
      <c r="AA2266" s="7">
        <f>IF($E2266="","",Z2266-Q2266)</f>
        <v/>
      </c>
      <c r="AB2266" s="7" t="n"/>
      <c r="AE2266">
        <f>IF($E2266="","",IF($AQ2266=1,0,IF($AP2266=1,Settings!$C$6,Settings!$C$7))*100)</f>
        <v/>
      </c>
      <c r="AI2266" s="7" t="n"/>
      <c r="AL2266" s="11" t="n"/>
      <c r="AN2266">
        <f>IF($E2266="","",IF(COUNTIF($E$2:$E2266,$E2266)=1,1,0))</f>
        <v/>
      </c>
      <c r="AO2266">
        <f>IF($AN2266=1,SUMPRODUCT(--($AR$2:$AR$3001&lt;$AR2266))+1,"")</f>
        <v/>
      </c>
      <c r="AP2266">
        <f>IF($E2266="","",IF(OR($U2266=TRUE(),$U2266="TRUE"),1,0))</f>
        <v/>
      </c>
      <c r="AQ2266">
        <f>IF($E2266="","",IF($AD2266="Yes",1,0))</f>
        <v/>
      </c>
      <c r="AR2266">
        <f>IF($AN2266=1,IFERROR(VALUE(MID($E2266,2,20)),1000000000)+ROW()/100000,"")</f>
        <v/>
      </c>
    </row>
    <row r="2267">
      <c r="G2267" s="11" t="n"/>
      <c r="Q2267" s="7">
        <f>IF($E2267="","",P2267*AB2267/100)</f>
        <v/>
      </c>
      <c r="R2267" s="7" t="n"/>
      <c r="X2267" s="7" t="n"/>
      <c r="Y2267" s="7">
        <f>IF($E2267="","",AB2267*AE2267/100)</f>
        <v/>
      </c>
      <c r="Z2267" s="7">
        <f>IF($E2267="","",AB2267-Y2267)</f>
        <v/>
      </c>
      <c r="AA2267" s="7">
        <f>IF($E2267="","",Z2267-Q2267)</f>
        <v/>
      </c>
      <c r="AB2267" s="7" t="n"/>
      <c r="AE2267">
        <f>IF($E2267="","",IF($AQ2267=1,0,IF($AP2267=1,Settings!$C$6,Settings!$C$7))*100)</f>
        <v/>
      </c>
      <c r="AI2267" s="7" t="n"/>
      <c r="AL2267" s="11" t="n"/>
      <c r="AN2267">
        <f>IF($E2267="","",IF(COUNTIF($E$2:$E2267,$E2267)=1,1,0))</f>
        <v/>
      </c>
      <c r="AO2267">
        <f>IF($AN2267=1,SUMPRODUCT(--($AR$2:$AR$3001&lt;$AR2267))+1,"")</f>
        <v/>
      </c>
      <c r="AP2267">
        <f>IF($E2267="","",IF(OR($U2267=TRUE(),$U2267="TRUE"),1,0))</f>
        <v/>
      </c>
      <c r="AQ2267">
        <f>IF($E2267="","",IF($AD2267="Yes",1,0))</f>
        <v/>
      </c>
      <c r="AR2267">
        <f>IF($AN2267=1,IFERROR(VALUE(MID($E2267,2,20)),1000000000)+ROW()/100000,"")</f>
        <v/>
      </c>
    </row>
    <row r="2268">
      <c r="G2268" s="11" t="n"/>
      <c r="Q2268" s="7">
        <f>IF($E2268="","",P2268*AB2268/100)</f>
        <v/>
      </c>
      <c r="R2268" s="7" t="n"/>
      <c r="X2268" s="7" t="n"/>
      <c r="Y2268" s="7">
        <f>IF($E2268="","",AB2268*AE2268/100)</f>
        <v/>
      </c>
      <c r="Z2268" s="7">
        <f>IF($E2268="","",AB2268-Y2268)</f>
        <v/>
      </c>
      <c r="AA2268" s="7">
        <f>IF($E2268="","",Z2268-Q2268)</f>
        <v/>
      </c>
      <c r="AB2268" s="7" t="n"/>
      <c r="AE2268">
        <f>IF($E2268="","",IF($AQ2268=1,0,IF($AP2268=1,Settings!$C$6,Settings!$C$7))*100)</f>
        <v/>
      </c>
      <c r="AI2268" s="7" t="n"/>
      <c r="AL2268" s="11" t="n"/>
      <c r="AN2268">
        <f>IF($E2268="","",IF(COUNTIF($E$2:$E2268,$E2268)=1,1,0))</f>
        <v/>
      </c>
      <c r="AO2268">
        <f>IF($AN2268=1,SUMPRODUCT(--($AR$2:$AR$3001&lt;$AR2268))+1,"")</f>
        <v/>
      </c>
      <c r="AP2268">
        <f>IF($E2268="","",IF(OR($U2268=TRUE(),$U2268="TRUE"),1,0))</f>
        <v/>
      </c>
      <c r="AQ2268">
        <f>IF($E2268="","",IF($AD2268="Yes",1,0))</f>
        <v/>
      </c>
      <c r="AR2268">
        <f>IF($AN2268=1,IFERROR(VALUE(MID($E2268,2,20)),1000000000)+ROW()/100000,"")</f>
        <v/>
      </c>
    </row>
    <row r="2269">
      <c r="G2269" s="11" t="n"/>
      <c r="Q2269" s="7">
        <f>IF($E2269="","",P2269*AB2269/100)</f>
        <v/>
      </c>
      <c r="R2269" s="7" t="n"/>
      <c r="X2269" s="7" t="n"/>
      <c r="Y2269" s="7">
        <f>IF($E2269="","",AB2269*AE2269/100)</f>
        <v/>
      </c>
      <c r="Z2269" s="7">
        <f>IF($E2269="","",AB2269-Y2269)</f>
        <v/>
      </c>
      <c r="AA2269" s="7">
        <f>IF($E2269="","",Z2269-Q2269)</f>
        <v/>
      </c>
      <c r="AB2269" s="7" t="n"/>
      <c r="AE2269">
        <f>IF($E2269="","",IF($AQ2269=1,0,IF($AP2269=1,Settings!$C$6,Settings!$C$7))*100)</f>
        <v/>
      </c>
      <c r="AI2269" s="7" t="n"/>
      <c r="AL2269" s="11" t="n"/>
      <c r="AN2269">
        <f>IF($E2269="","",IF(COUNTIF($E$2:$E2269,$E2269)=1,1,0))</f>
        <v/>
      </c>
      <c r="AO2269">
        <f>IF($AN2269=1,SUMPRODUCT(--($AR$2:$AR$3001&lt;$AR2269))+1,"")</f>
        <v/>
      </c>
      <c r="AP2269">
        <f>IF($E2269="","",IF(OR($U2269=TRUE(),$U2269="TRUE"),1,0))</f>
        <v/>
      </c>
      <c r="AQ2269">
        <f>IF($E2269="","",IF($AD2269="Yes",1,0))</f>
        <v/>
      </c>
      <c r="AR2269">
        <f>IF($AN2269=1,IFERROR(VALUE(MID($E2269,2,20)),1000000000)+ROW()/100000,"")</f>
        <v/>
      </c>
    </row>
    <row r="2270">
      <c r="G2270" s="11" t="n"/>
      <c r="Q2270" s="7">
        <f>IF($E2270="","",P2270*AB2270/100)</f>
        <v/>
      </c>
      <c r="R2270" s="7" t="n"/>
      <c r="X2270" s="7" t="n"/>
      <c r="Y2270" s="7">
        <f>IF($E2270="","",AB2270*AE2270/100)</f>
        <v/>
      </c>
      <c r="Z2270" s="7">
        <f>IF($E2270="","",AB2270-Y2270)</f>
        <v/>
      </c>
      <c r="AA2270" s="7">
        <f>IF($E2270="","",Z2270-Q2270)</f>
        <v/>
      </c>
      <c r="AB2270" s="7" t="n"/>
      <c r="AE2270">
        <f>IF($E2270="","",IF($AQ2270=1,0,IF($AP2270=1,Settings!$C$6,Settings!$C$7))*100)</f>
        <v/>
      </c>
      <c r="AI2270" s="7" t="n"/>
      <c r="AL2270" s="11" t="n"/>
      <c r="AN2270">
        <f>IF($E2270="","",IF(COUNTIF($E$2:$E2270,$E2270)=1,1,0))</f>
        <v/>
      </c>
      <c r="AO2270">
        <f>IF($AN2270=1,SUMPRODUCT(--($AR$2:$AR$3001&lt;$AR2270))+1,"")</f>
        <v/>
      </c>
      <c r="AP2270">
        <f>IF($E2270="","",IF(OR($U2270=TRUE(),$U2270="TRUE"),1,0))</f>
        <v/>
      </c>
      <c r="AQ2270">
        <f>IF($E2270="","",IF($AD2270="Yes",1,0))</f>
        <v/>
      </c>
      <c r="AR2270">
        <f>IF($AN2270=1,IFERROR(VALUE(MID($E2270,2,20)),1000000000)+ROW()/100000,"")</f>
        <v/>
      </c>
    </row>
    <row r="2271">
      <c r="G2271" s="11" t="n"/>
      <c r="Q2271" s="7">
        <f>IF($E2271="","",P2271*AB2271/100)</f>
        <v/>
      </c>
      <c r="R2271" s="7" t="n"/>
      <c r="X2271" s="7" t="n"/>
      <c r="Y2271" s="7">
        <f>IF($E2271="","",AB2271*AE2271/100)</f>
        <v/>
      </c>
      <c r="Z2271" s="7">
        <f>IF($E2271="","",AB2271-Y2271)</f>
        <v/>
      </c>
      <c r="AA2271" s="7">
        <f>IF($E2271="","",Z2271-Q2271)</f>
        <v/>
      </c>
      <c r="AB2271" s="7" t="n"/>
      <c r="AE2271">
        <f>IF($E2271="","",IF($AQ2271=1,0,IF($AP2271=1,Settings!$C$6,Settings!$C$7))*100)</f>
        <v/>
      </c>
      <c r="AI2271" s="7" t="n"/>
      <c r="AL2271" s="11" t="n"/>
      <c r="AN2271">
        <f>IF($E2271="","",IF(COUNTIF($E$2:$E2271,$E2271)=1,1,0))</f>
        <v/>
      </c>
      <c r="AO2271">
        <f>IF($AN2271=1,SUMPRODUCT(--($AR$2:$AR$3001&lt;$AR2271))+1,"")</f>
        <v/>
      </c>
      <c r="AP2271">
        <f>IF($E2271="","",IF(OR($U2271=TRUE(),$U2271="TRUE"),1,0))</f>
        <v/>
      </c>
      <c r="AQ2271">
        <f>IF($E2271="","",IF($AD2271="Yes",1,0))</f>
        <v/>
      </c>
      <c r="AR2271">
        <f>IF($AN2271=1,IFERROR(VALUE(MID($E2271,2,20)),1000000000)+ROW()/100000,"")</f>
        <v/>
      </c>
    </row>
    <row r="2272">
      <c r="G2272" s="11" t="n"/>
      <c r="Q2272" s="7">
        <f>IF($E2272="","",P2272*AB2272/100)</f>
        <v/>
      </c>
      <c r="R2272" s="7" t="n"/>
      <c r="X2272" s="7" t="n"/>
      <c r="Y2272" s="7">
        <f>IF($E2272="","",AB2272*AE2272/100)</f>
        <v/>
      </c>
      <c r="Z2272" s="7">
        <f>IF($E2272="","",AB2272-Y2272)</f>
        <v/>
      </c>
      <c r="AA2272" s="7">
        <f>IF($E2272="","",Z2272-Q2272)</f>
        <v/>
      </c>
      <c r="AB2272" s="7" t="n"/>
      <c r="AE2272">
        <f>IF($E2272="","",IF($AQ2272=1,0,IF($AP2272=1,Settings!$C$6,Settings!$C$7))*100)</f>
        <v/>
      </c>
      <c r="AI2272" s="7" t="n"/>
      <c r="AL2272" s="11" t="n"/>
      <c r="AN2272">
        <f>IF($E2272="","",IF(COUNTIF($E$2:$E2272,$E2272)=1,1,0))</f>
        <v/>
      </c>
      <c r="AO2272">
        <f>IF($AN2272=1,SUMPRODUCT(--($AR$2:$AR$3001&lt;$AR2272))+1,"")</f>
        <v/>
      </c>
      <c r="AP2272">
        <f>IF($E2272="","",IF(OR($U2272=TRUE(),$U2272="TRUE"),1,0))</f>
        <v/>
      </c>
      <c r="AQ2272">
        <f>IF($E2272="","",IF($AD2272="Yes",1,0))</f>
        <v/>
      </c>
      <c r="AR2272">
        <f>IF($AN2272=1,IFERROR(VALUE(MID($E2272,2,20)),1000000000)+ROW()/100000,"")</f>
        <v/>
      </c>
    </row>
    <row r="2273">
      <c r="G2273" s="11" t="n"/>
      <c r="Q2273" s="7">
        <f>IF($E2273="","",P2273*AB2273/100)</f>
        <v/>
      </c>
      <c r="R2273" s="7" t="n"/>
      <c r="X2273" s="7" t="n"/>
      <c r="Y2273" s="7">
        <f>IF($E2273="","",AB2273*AE2273/100)</f>
        <v/>
      </c>
      <c r="Z2273" s="7">
        <f>IF($E2273="","",AB2273-Y2273)</f>
        <v/>
      </c>
      <c r="AA2273" s="7">
        <f>IF($E2273="","",Z2273-Q2273)</f>
        <v/>
      </c>
      <c r="AB2273" s="7" t="n"/>
      <c r="AE2273">
        <f>IF($E2273="","",IF($AQ2273=1,0,IF($AP2273=1,Settings!$C$6,Settings!$C$7))*100)</f>
        <v/>
      </c>
      <c r="AI2273" s="7" t="n"/>
      <c r="AL2273" s="11" t="n"/>
      <c r="AN2273">
        <f>IF($E2273="","",IF(COUNTIF($E$2:$E2273,$E2273)=1,1,0))</f>
        <v/>
      </c>
      <c r="AO2273">
        <f>IF($AN2273=1,SUMPRODUCT(--($AR$2:$AR$3001&lt;$AR2273))+1,"")</f>
        <v/>
      </c>
      <c r="AP2273">
        <f>IF($E2273="","",IF(OR($U2273=TRUE(),$U2273="TRUE"),1,0))</f>
        <v/>
      </c>
      <c r="AQ2273">
        <f>IF($E2273="","",IF($AD2273="Yes",1,0))</f>
        <v/>
      </c>
      <c r="AR2273">
        <f>IF($AN2273=1,IFERROR(VALUE(MID($E2273,2,20)),1000000000)+ROW()/100000,"")</f>
        <v/>
      </c>
    </row>
    <row r="2274">
      <c r="G2274" s="11" t="n"/>
      <c r="Q2274" s="7">
        <f>IF($E2274="","",P2274*AB2274/100)</f>
        <v/>
      </c>
      <c r="R2274" s="7" t="n"/>
      <c r="X2274" s="7" t="n"/>
      <c r="Y2274" s="7">
        <f>IF($E2274="","",AB2274*AE2274/100)</f>
        <v/>
      </c>
      <c r="Z2274" s="7">
        <f>IF($E2274="","",AB2274-Y2274)</f>
        <v/>
      </c>
      <c r="AA2274" s="7">
        <f>IF($E2274="","",Z2274-Q2274)</f>
        <v/>
      </c>
      <c r="AB2274" s="7" t="n"/>
      <c r="AE2274">
        <f>IF($E2274="","",IF($AQ2274=1,0,IF($AP2274=1,Settings!$C$6,Settings!$C$7))*100)</f>
        <v/>
      </c>
      <c r="AI2274" s="7" t="n"/>
      <c r="AL2274" s="11" t="n"/>
      <c r="AN2274">
        <f>IF($E2274="","",IF(COUNTIF($E$2:$E2274,$E2274)=1,1,0))</f>
        <v/>
      </c>
      <c r="AO2274">
        <f>IF($AN2274=1,SUMPRODUCT(--($AR$2:$AR$3001&lt;$AR2274))+1,"")</f>
        <v/>
      </c>
      <c r="AP2274">
        <f>IF($E2274="","",IF(OR($U2274=TRUE(),$U2274="TRUE"),1,0))</f>
        <v/>
      </c>
      <c r="AQ2274">
        <f>IF($E2274="","",IF($AD2274="Yes",1,0))</f>
        <v/>
      </c>
      <c r="AR2274">
        <f>IF($AN2274=1,IFERROR(VALUE(MID($E2274,2,20)),1000000000)+ROW()/100000,"")</f>
        <v/>
      </c>
    </row>
    <row r="2275">
      <c r="G2275" s="11" t="n"/>
      <c r="Q2275" s="7">
        <f>IF($E2275="","",P2275*AB2275/100)</f>
        <v/>
      </c>
      <c r="R2275" s="7" t="n"/>
      <c r="X2275" s="7" t="n"/>
      <c r="Y2275" s="7">
        <f>IF($E2275="","",AB2275*AE2275/100)</f>
        <v/>
      </c>
      <c r="Z2275" s="7">
        <f>IF($E2275="","",AB2275-Y2275)</f>
        <v/>
      </c>
      <c r="AA2275" s="7">
        <f>IF($E2275="","",Z2275-Q2275)</f>
        <v/>
      </c>
      <c r="AB2275" s="7" t="n"/>
      <c r="AE2275">
        <f>IF($E2275="","",IF($AQ2275=1,0,IF($AP2275=1,Settings!$C$6,Settings!$C$7))*100)</f>
        <v/>
      </c>
      <c r="AI2275" s="7" t="n"/>
      <c r="AL2275" s="11" t="n"/>
      <c r="AN2275">
        <f>IF($E2275="","",IF(COUNTIF($E$2:$E2275,$E2275)=1,1,0))</f>
        <v/>
      </c>
      <c r="AO2275">
        <f>IF($AN2275=1,SUMPRODUCT(--($AR$2:$AR$3001&lt;$AR2275))+1,"")</f>
        <v/>
      </c>
      <c r="AP2275">
        <f>IF($E2275="","",IF(OR($U2275=TRUE(),$U2275="TRUE"),1,0))</f>
        <v/>
      </c>
      <c r="AQ2275">
        <f>IF($E2275="","",IF($AD2275="Yes",1,0))</f>
        <v/>
      </c>
      <c r="AR2275">
        <f>IF($AN2275=1,IFERROR(VALUE(MID($E2275,2,20)),1000000000)+ROW()/100000,"")</f>
        <v/>
      </c>
    </row>
    <row r="2276">
      <c r="G2276" s="11" t="n"/>
      <c r="Q2276" s="7">
        <f>IF($E2276="","",P2276*AB2276/100)</f>
        <v/>
      </c>
      <c r="R2276" s="7" t="n"/>
      <c r="X2276" s="7" t="n"/>
      <c r="Y2276" s="7">
        <f>IF($E2276="","",AB2276*AE2276/100)</f>
        <v/>
      </c>
      <c r="Z2276" s="7">
        <f>IF($E2276="","",AB2276-Y2276)</f>
        <v/>
      </c>
      <c r="AA2276" s="7">
        <f>IF($E2276="","",Z2276-Q2276)</f>
        <v/>
      </c>
      <c r="AB2276" s="7" t="n"/>
      <c r="AE2276">
        <f>IF($E2276="","",IF($AQ2276=1,0,IF($AP2276=1,Settings!$C$6,Settings!$C$7))*100)</f>
        <v/>
      </c>
      <c r="AI2276" s="7" t="n"/>
      <c r="AL2276" s="11" t="n"/>
      <c r="AN2276">
        <f>IF($E2276="","",IF(COUNTIF($E$2:$E2276,$E2276)=1,1,0))</f>
        <v/>
      </c>
      <c r="AO2276">
        <f>IF($AN2276=1,SUMPRODUCT(--($AR$2:$AR$3001&lt;$AR2276))+1,"")</f>
        <v/>
      </c>
      <c r="AP2276">
        <f>IF($E2276="","",IF(OR($U2276=TRUE(),$U2276="TRUE"),1,0))</f>
        <v/>
      </c>
      <c r="AQ2276">
        <f>IF($E2276="","",IF($AD2276="Yes",1,0))</f>
        <v/>
      </c>
      <c r="AR2276">
        <f>IF($AN2276=1,IFERROR(VALUE(MID($E2276,2,20)),1000000000)+ROW()/100000,"")</f>
        <v/>
      </c>
    </row>
    <row r="2277">
      <c r="G2277" s="11" t="n"/>
      <c r="Q2277" s="7">
        <f>IF($E2277="","",P2277*AB2277/100)</f>
        <v/>
      </c>
      <c r="R2277" s="7" t="n"/>
      <c r="X2277" s="7" t="n"/>
      <c r="Y2277" s="7">
        <f>IF($E2277="","",AB2277*AE2277/100)</f>
        <v/>
      </c>
      <c r="Z2277" s="7">
        <f>IF($E2277="","",AB2277-Y2277)</f>
        <v/>
      </c>
      <c r="AA2277" s="7">
        <f>IF($E2277="","",Z2277-Q2277)</f>
        <v/>
      </c>
      <c r="AB2277" s="7" t="n"/>
      <c r="AE2277">
        <f>IF($E2277="","",IF($AQ2277=1,0,IF($AP2277=1,Settings!$C$6,Settings!$C$7))*100)</f>
        <v/>
      </c>
      <c r="AI2277" s="7" t="n"/>
      <c r="AL2277" s="11" t="n"/>
      <c r="AN2277">
        <f>IF($E2277="","",IF(COUNTIF($E$2:$E2277,$E2277)=1,1,0))</f>
        <v/>
      </c>
      <c r="AO2277">
        <f>IF($AN2277=1,SUMPRODUCT(--($AR$2:$AR$3001&lt;$AR2277))+1,"")</f>
        <v/>
      </c>
      <c r="AP2277">
        <f>IF($E2277="","",IF(OR($U2277=TRUE(),$U2277="TRUE"),1,0))</f>
        <v/>
      </c>
      <c r="AQ2277">
        <f>IF($E2277="","",IF($AD2277="Yes",1,0))</f>
        <v/>
      </c>
      <c r="AR2277">
        <f>IF($AN2277=1,IFERROR(VALUE(MID($E2277,2,20)),1000000000)+ROW()/100000,"")</f>
        <v/>
      </c>
    </row>
    <row r="2278">
      <c r="G2278" s="11" t="n"/>
      <c r="Q2278" s="7">
        <f>IF($E2278="","",P2278*AB2278/100)</f>
        <v/>
      </c>
      <c r="R2278" s="7" t="n"/>
      <c r="X2278" s="7" t="n"/>
      <c r="Y2278" s="7">
        <f>IF($E2278="","",AB2278*AE2278/100)</f>
        <v/>
      </c>
      <c r="Z2278" s="7">
        <f>IF($E2278="","",AB2278-Y2278)</f>
        <v/>
      </c>
      <c r="AA2278" s="7">
        <f>IF($E2278="","",Z2278-Q2278)</f>
        <v/>
      </c>
      <c r="AB2278" s="7" t="n"/>
      <c r="AE2278">
        <f>IF($E2278="","",IF($AQ2278=1,0,IF($AP2278=1,Settings!$C$6,Settings!$C$7))*100)</f>
        <v/>
      </c>
      <c r="AI2278" s="7" t="n"/>
      <c r="AL2278" s="11" t="n"/>
      <c r="AN2278">
        <f>IF($E2278="","",IF(COUNTIF($E$2:$E2278,$E2278)=1,1,0))</f>
        <v/>
      </c>
      <c r="AO2278">
        <f>IF($AN2278=1,SUMPRODUCT(--($AR$2:$AR$3001&lt;$AR2278))+1,"")</f>
        <v/>
      </c>
      <c r="AP2278">
        <f>IF($E2278="","",IF(OR($U2278=TRUE(),$U2278="TRUE"),1,0))</f>
        <v/>
      </c>
      <c r="AQ2278">
        <f>IF($E2278="","",IF($AD2278="Yes",1,0))</f>
        <v/>
      </c>
      <c r="AR2278">
        <f>IF($AN2278=1,IFERROR(VALUE(MID($E2278,2,20)),1000000000)+ROW()/100000,"")</f>
        <v/>
      </c>
    </row>
    <row r="2279">
      <c r="G2279" s="11" t="n"/>
      <c r="Q2279" s="7">
        <f>IF($E2279="","",P2279*AB2279/100)</f>
        <v/>
      </c>
      <c r="R2279" s="7" t="n"/>
      <c r="X2279" s="7" t="n"/>
      <c r="Y2279" s="7">
        <f>IF($E2279="","",AB2279*AE2279/100)</f>
        <v/>
      </c>
      <c r="Z2279" s="7">
        <f>IF($E2279="","",AB2279-Y2279)</f>
        <v/>
      </c>
      <c r="AA2279" s="7">
        <f>IF($E2279="","",Z2279-Q2279)</f>
        <v/>
      </c>
      <c r="AB2279" s="7" t="n"/>
      <c r="AE2279">
        <f>IF($E2279="","",IF($AQ2279=1,0,IF($AP2279=1,Settings!$C$6,Settings!$C$7))*100)</f>
        <v/>
      </c>
      <c r="AI2279" s="7" t="n"/>
      <c r="AL2279" s="11" t="n"/>
      <c r="AN2279">
        <f>IF($E2279="","",IF(COUNTIF($E$2:$E2279,$E2279)=1,1,0))</f>
        <v/>
      </c>
      <c r="AO2279">
        <f>IF($AN2279=1,SUMPRODUCT(--($AR$2:$AR$3001&lt;$AR2279))+1,"")</f>
        <v/>
      </c>
      <c r="AP2279">
        <f>IF($E2279="","",IF(OR($U2279=TRUE(),$U2279="TRUE"),1,0))</f>
        <v/>
      </c>
      <c r="AQ2279">
        <f>IF($E2279="","",IF($AD2279="Yes",1,0))</f>
        <v/>
      </c>
      <c r="AR2279">
        <f>IF($AN2279=1,IFERROR(VALUE(MID($E2279,2,20)),1000000000)+ROW()/100000,"")</f>
        <v/>
      </c>
    </row>
    <row r="2280">
      <c r="G2280" s="11" t="n"/>
      <c r="Q2280" s="7">
        <f>IF($E2280="","",P2280*AB2280/100)</f>
        <v/>
      </c>
      <c r="R2280" s="7" t="n"/>
      <c r="X2280" s="7" t="n"/>
      <c r="Y2280" s="7">
        <f>IF($E2280="","",AB2280*AE2280/100)</f>
        <v/>
      </c>
      <c r="Z2280" s="7">
        <f>IF($E2280="","",AB2280-Y2280)</f>
        <v/>
      </c>
      <c r="AA2280" s="7">
        <f>IF($E2280="","",Z2280-Q2280)</f>
        <v/>
      </c>
      <c r="AB2280" s="7" t="n"/>
      <c r="AE2280">
        <f>IF($E2280="","",IF($AQ2280=1,0,IF($AP2280=1,Settings!$C$6,Settings!$C$7))*100)</f>
        <v/>
      </c>
      <c r="AI2280" s="7" t="n"/>
      <c r="AL2280" s="11" t="n"/>
      <c r="AN2280">
        <f>IF($E2280="","",IF(COUNTIF($E$2:$E2280,$E2280)=1,1,0))</f>
        <v/>
      </c>
      <c r="AO2280">
        <f>IF($AN2280=1,SUMPRODUCT(--($AR$2:$AR$3001&lt;$AR2280))+1,"")</f>
        <v/>
      </c>
      <c r="AP2280">
        <f>IF($E2280="","",IF(OR($U2280=TRUE(),$U2280="TRUE"),1,0))</f>
        <v/>
      </c>
      <c r="AQ2280">
        <f>IF($E2280="","",IF($AD2280="Yes",1,0))</f>
        <v/>
      </c>
      <c r="AR2280">
        <f>IF($AN2280=1,IFERROR(VALUE(MID($E2280,2,20)),1000000000)+ROW()/100000,"")</f>
        <v/>
      </c>
    </row>
    <row r="2281">
      <c r="G2281" s="11" t="n"/>
      <c r="Q2281" s="7">
        <f>IF($E2281="","",P2281*AB2281/100)</f>
        <v/>
      </c>
      <c r="R2281" s="7" t="n"/>
      <c r="X2281" s="7" t="n"/>
      <c r="Y2281" s="7">
        <f>IF($E2281="","",AB2281*AE2281/100)</f>
        <v/>
      </c>
      <c r="Z2281" s="7">
        <f>IF($E2281="","",AB2281-Y2281)</f>
        <v/>
      </c>
      <c r="AA2281" s="7">
        <f>IF($E2281="","",Z2281-Q2281)</f>
        <v/>
      </c>
      <c r="AB2281" s="7" t="n"/>
      <c r="AE2281">
        <f>IF($E2281="","",IF($AQ2281=1,0,IF($AP2281=1,Settings!$C$6,Settings!$C$7))*100)</f>
        <v/>
      </c>
      <c r="AI2281" s="7" t="n"/>
      <c r="AL2281" s="11" t="n"/>
      <c r="AN2281">
        <f>IF($E2281="","",IF(COUNTIF($E$2:$E2281,$E2281)=1,1,0))</f>
        <v/>
      </c>
      <c r="AO2281">
        <f>IF($AN2281=1,SUMPRODUCT(--($AR$2:$AR$3001&lt;$AR2281))+1,"")</f>
        <v/>
      </c>
      <c r="AP2281">
        <f>IF($E2281="","",IF(OR($U2281=TRUE(),$U2281="TRUE"),1,0))</f>
        <v/>
      </c>
      <c r="AQ2281">
        <f>IF($E2281="","",IF($AD2281="Yes",1,0))</f>
        <v/>
      </c>
      <c r="AR2281">
        <f>IF($AN2281=1,IFERROR(VALUE(MID($E2281,2,20)),1000000000)+ROW()/100000,"")</f>
        <v/>
      </c>
    </row>
    <row r="2282">
      <c r="G2282" s="11" t="n"/>
      <c r="Q2282" s="7">
        <f>IF($E2282="","",P2282*AB2282/100)</f>
        <v/>
      </c>
      <c r="R2282" s="7" t="n"/>
      <c r="X2282" s="7" t="n"/>
      <c r="Y2282" s="7">
        <f>IF($E2282="","",AB2282*AE2282/100)</f>
        <v/>
      </c>
      <c r="Z2282" s="7">
        <f>IF($E2282="","",AB2282-Y2282)</f>
        <v/>
      </c>
      <c r="AA2282" s="7">
        <f>IF($E2282="","",Z2282-Q2282)</f>
        <v/>
      </c>
      <c r="AB2282" s="7" t="n"/>
      <c r="AE2282">
        <f>IF($E2282="","",IF($AQ2282=1,0,IF($AP2282=1,Settings!$C$6,Settings!$C$7))*100)</f>
        <v/>
      </c>
      <c r="AI2282" s="7" t="n"/>
      <c r="AL2282" s="11" t="n"/>
      <c r="AN2282">
        <f>IF($E2282="","",IF(COUNTIF($E$2:$E2282,$E2282)=1,1,0))</f>
        <v/>
      </c>
      <c r="AO2282">
        <f>IF($AN2282=1,SUMPRODUCT(--($AR$2:$AR$3001&lt;$AR2282))+1,"")</f>
        <v/>
      </c>
      <c r="AP2282">
        <f>IF($E2282="","",IF(OR($U2282=TRUE(),$U2282="TRUE"),1,0))</f>
        <v/>
      </c>
      <c r="AQ2282">
        <f>IF($E2282="","",IF($AD2282="Yes",1,0))</f>
        <v/>
      </c>
      <c r="AR2282">
        <f>IF($AN2282=1,IFERROR(VALUE(MID($E2282,2,20)),1000000000)+ROW()/100000,"")</f>
        <v/>
      </c>
    </row>
    <row r="2283">
      <c r="G2283" s="11" t="n"/>
      <c r="Q2283" s="7">
        <f>IF($E2283="","",P2283*AB2283/100)</f>
        <v/>
      </c>
      <c r="R2283" s="7" t="n"/>
      <c r="X2283" s="7" t="n"/>
      <c r="Y2283" s="7">
        <f>IF($E2283="","",AB2283*AE2283/100)</f>
        <v/>
      </c>
      <c r="Z2283" s="7">
        <f>IF($E2283="","",AB2283-Y2283)</f>
        <v/>
      </c>
      <c r="AA2283" s="7">
        <f>IF($E2283="","",Z2283-Q2283)</f>
        <v/>
      </c>
      <c r="AB2283" s="7" t="n"/>
      <c r="AE2283">
        <f>IF($E2283="","",IF($AQ2283=1,0,IF($AP2283=1,Settings!$C$6,Settings!$C$7))*100)</f>
        <v/>
      </c>
      <c r="AI2283" s="7" t="n"/>
      <c r="AL2283" s="11" t="n"/>
      <c r="AN2283">
        <f>IF($E2283="","",IF(COUNTIF($E$2:$E2283,$E2283)=1,1,0))</f>
        <v/>
      </c>
      <c r="AO2283">
        <f>IF($AN2283=1,SUMPRODUCT(--($AR$2:$AR$3001&lt;$AR2283))+1,"")</f>
        <v/>
      </c>
      <c r="AP2283">
        <f>IF($E2283="","",IF(OR($U2283=TRUE(),$U2283="TRUE"),1,0))</f>
        <v/>
      </c>
      <c r="AQ2283">
        <f>IF($E2283="","",IF($AD2283="Yes",1,0))</f>
        <v/>
      </c>
      <c r="AR2283">
        <f>IF($AN2283=1,IFERROR(VALUE(MID($E2283,2,20)),1000000000)+ROW()/100000,"")</f>
        <v/>
      </c>
    </row>
    <row r="2284">
      <c r="G2284" s="11" t="n"/>
      <c r="Q2284" s="7">
        <f>IF($E2284="","",P2284*AB2284/100)</f>
        <v/>
      </c>
      <c r="R2284" s="7" t="n"/>
      <c r="X2284" s="7" t="n"/>
      <c r="Y2284" s="7">
        <f>IF($E2284="","",AB2284*AE2284/100)</f>
        <v/>
      </c>
      <c r="Z2284" s="7">
        <f>IF($E2284="","",AB2284-Y2284)</f>
        <v/>
      </c>
      <c r="AA2284" s="7">
        <f>IF($E2284="","",Z2284-Q2284)</f>
        <v/>
      </c>
      <c r="AB2284" s="7" t="n"/>
      <c r="AE2284">
        <f>IF($E2284="","",IF($AQ2284=1,0,IF($AP2284=1,Settings!$C$6,Settings!$C$7))*100)</f>
        <v/>
      </c>
      <c r="AI2284" s="7" t="n"/>
      <c r="AL2284" s="11" t="n"/>
      <c r="AN2284">
        <f>IF($E2284="","",IF(COUNTIF($E$2:$E2284,$E2284)=1,1,0))</f>
        <v/>
      </c>
      <c r="AO2284">
        <f>IF($AN2284=1,SUMPRODUCT(--($AR$2:$AR$3001&lt;$AR2284))+1,"")</f>
        <v/>
      </c>
      <c r="AP2284">
        <f>IF($E2284="","",IF(OR($U2284=TRUE(),$U2284="TRUE"),1,0))</f>
        <v/>
      </c>
      <c r="AQ2284">
        <f>IF($E2284="","",IF($AD2284="Yes",1,0))</f>
        <v/>
      </c>
      <c r="AR2284">
        <f>IF($AN2284=1,IFERROR(VALUE(MID($E2284,2,20)),1000000000)+ROW()/100000,"")</f>
        <v/>
      </c>
    </row>
    <row r="2285">
      <c r="G2285" s="11" t="n"/>
      <c r="Q2285" s="7">
        <f>IF($E2285="","",P2285*AB2285/100)</f>
        <v/>
      </c>
      <c r="R2285" s="7" t="n"/>
      <c r="X2285" s="7" t="n"/>
      <c r="Y2285" s="7">
        <f>IF($E2285="","",AB2285*AE2285/100)</f>
        <v/>
      </c>
      <c r="Z2285" s="7">
        <f>IF($E2285="","",AB2285-Y2285)</f>
        <v/>
      </c>
      <c r="AA2285" s="7">
        <f>IF($E2285="","",Z2285-Q2285)</f>
        <v/>
      </c>
      <c r="AB2285" s="7" t="n"/>
      <c r="AE2285">
        <f>IF($E2285="","",IF($AQ2285=1,0,IF($AP2285=1,Settings!$C$6,Settings!$C$7))*100)</f>
        <v/>
      </c>
      <c r="AI2285" s="7" t="n"/>
      <c r="AL2285" s="11" t="n"/>
      <c r="AN2285">
        <f>IF($E2285="","",IF(COUNTIF($E$2:$E2285,$E2285)=1,1,0))</f>
        <v/>
      </c>
      <c r="AO2285">
        <f>IF($AN2285=1,SUMPRODUCT(--($AR$2:$AR$3001&lt;$AR2285))+1,"")</f>
        <v/>
      </c>
      <c r="AP2285">
        <f>IF($E2285="","",IF(OR($U2285=TRUE(),$U2285="TRUE"),1,0))</f>
        <v/>
      </c>
      <c r="AQ2285">
        <f>IF($E2285="","",IF($AD2285="Yes",1,0))</f>
        <v/>
      </c>
      <c r="AR2285">
        <f>IF($AN2285=1,IFERROR(VALUE(MID($E2285,2,20)),1000000000)+ROW()/100000,"")</f>
        <v/>
      </c>
    </row>
    <row r="2286">
      <c r="G2286" s="11" t="n"/>
      <c r="Q2286" s="7">
        <f>IF($E2286="","",P2286*AB2286/100)</f>
        <v/>
      </c>
      <c r="R2286" s="7" t="n"/>
      <c r="X2286" s="7" t="n"/>
      <c r="Y2286" s="7">
        <f>IF($E2286="","",AB2286*AE2286/100)</f>
        <v/>
      </c>
      <c r="Z2286" s="7">
        <f>IF($E2286="","",AB2286-Y2286)</f>
        <v/>
      </c>
      <c r="AA2286" s="7">
        <f>IF($E2286="","",Z2286-Q2286)</f>
        <v/>
      </c>
      <c r="AB2286" s="7" t="n"/>
      <c r="AE2286">
        <f>IF($E2286="","",IF($AQ2286=1,0,IF($AP2286=1,Settings!$C$6,Settings!$C$7))*100)</f>
        <v/>
      </c>
      <c r="AI2286" s="7" t="n"/>
      <c r="AL2286" s="11" t="n"/>
      <c r="AN2286">
        <f>IF($E2286="","",IF(COUNTIF($E$2:$E2286,$E2286)=1,1,0))</f>
        <v/>
      </c>
      <c r="AO2286">
        <f>IF($AN2286=1,SUMPRODUCT(--($AR$2:$AR$3001&lt;$AR2286))+1,"")</f>
        <v/>
      </c>
      <c r="AP2286">
        <f>IF($E2286="","",IF(OR($U2286=TRUE(),$U2286="TRUE"),1,0))</f>
        <v/>
      </c>
      <c r="AQ2286">
        <f>IF($E2286="","",IF($AD2286="Yes",1,0))</f>
        <v/>
      </c>
      <c r="AR2286">
        <f>IF($AN2286=1,IFERROR(VALUE(MID($E2286,2,20)),1000000000)+ROW()/100000,"")</f>
        <v/>
      </c>
    </row>
    <row r="2287">
      <c r="G2287" s="11" t="n"/>
      <c r="Q2287" s="7">
        <f>IF($E2287="","",P2287*AB2287/100)</f>
        <v/>
      </c>
      <c r="R2287" s="7" t="n"/>
      <c r="X2287" s="7" t="n"/>
      <c r="Y2287" s="7">
        <f>IF($E2287="","",AB2287*AE2287/100)</f>
        <v/>
      </c>
      <c r="Z2287" s="7">
        <f>IF($E2287="","",AB2287-Y2287)</f>
        <v/>
      </c>
      <c r="AA2287" s="7">
        <f>IF($E2287="","",Z2287-Q2287)</f>
        <v/>
      </c>
      <c r="AB2287" s="7" t="n"/>
      <c r="AE2287">
        <f>IF($E2287="","",IF($AQ2287=1,0,IF($AP2287=1,Settings!$C$6,Settings!$C$7))*100)</f>
        <v/>
      </c>
      <c r="AI2287" s="7" t="n"/>
      <c r="AL2287" s="11" t="n"/>
      <c r="AN2287">
        <f>IF($E2287="","",IF(COUNTIF($E$2:$E2287,$E2287)=1,1,0))</f>
        <v/>
      </c>
      <c r="AO2287">
        <f>IF($AN2287=1,SUMPRODUCT(--($AR$2:$AR$3001&lt;$AR2287))+1,"")</f>
        <v/>
      </c>
      <c r="AP2287">
        <f>IF($E2287="","",IF(OR($U2287=TRUE(),$U2287="TRUE"),1,0))</f>
        <v/>
      </c>
      <c r="AQ2287">
        <f>IF($E2287="","",IF($AD2287="Yes",1,0))</f>
        <v/>
      </c>
      <c r="AR2287">
        <f>IF($AN2287=1,IFERROR(VALUE(MID($E2287,2,20)),1000000000)+ROW()/100000,"")</f>
        <v/>
      </c>
    </row>
    <row r="2288">
      <c r="G2288" s="11" t="n"/>
      <c r="Q2288" s="7">
        <f>IF($E2288="","",P2288*AB2288/100)</f>
        <v/>
      </c>
      <c r="R2288" s="7" t="n"/>
      <c r="X2288" s="7" t="n"/>
      <c r="Y2288" s="7">
        <f>IF($E2288="","",AB2288*AE2288/100)</f>
        <v/>
      </c>
      <c r="Z2288" s="7">
        <f>IF($E2288="","",AB2288-Y2288)</f>
        <v/>
      </c>
      <c r="AA2288" s="7">
        <f>IF($E2288="","",Z2288-Q2288)</f>
        <v/>
      </c>
      <c r="AB2288" s="7" t="n"/>
      <c r="AE2288">
        <f>IF($E2288="","",IF($AQ2288=1,0,IF($AP2288=1,Settings!$C$6,Settings!$C$7))*100)</f>
        <v/>
      </c>
      <c r="AI2288" s="7" t="n"/>
      <c r="AL2288" s="11" t="n"/>
      <c r="AN2288">
        <f>IF($E2288="","",IF(COUNTIF($E$2:$E2288,$E2288)=1,1,0))</f>
        <v/>
      </c>
      <c r="AO2288">
        <f>IF($AN2288=1,SUMPRODUCT(--($AR$2:$AR$3001&lt;$AR2288))+1,"")</f>
        <v/>
      </c>
      <c r="AP2288">
        <f>IF($E2288="","",IF(OR($U2288=TRUE(),$U2288="TRUE"),1,0))</f>
        <v/>
      </c>
      <c r="AQ2288">
        <f>IF($E2288="","",IF($AD2288="Yes",1,0))</f>
        <v/>
      </c>
      <c r="AR2288">
        <f>IF($AN2288=1,IFERROR(VALUE(MID($E2288,2,20)),1000000000)+ROW()/100000,"")</f>
        <v/>
      </c>
    </row>
    <row r="2289">
      <c r="G2289" s="11" t="n"/>
      <c r="Q2289" s="7">
        <f>IF($E2289="","",P2289*AB2289/100)</f>
        <v/>
      </c>
      <c r="R2289" s="7" t="n"/>
      <c r="X2289" s="7" t="n"/>
      <c r="Y2289" s="7">
        <f>IF($E2289="","",AB2289*AE2289/100)</f>
        <v/>
      </c>
      <c r="Z2289" s="7">
        <f>IF($E2289="","",AB2289-Y2289)</f>
        <v/>
      </c>
      <c r="AA2289" s="7">
        <f>IF($E2289="","",Z2289-Q2289)</f>
        <v/>
      </c>
      <c r="AB2289" s="7" t="n"/>
      <c r="AE2289">
        <f>IF($E2289="","",IF($AQ2289=1,0,IF($AP2289=1,Settings!$C$6,Settings!$C$7))*100)</f>
        <v/>
      </c>
      <c r="AI2289" s="7" t="n"/>
      <c r="AL2289" s="11" t="n"/>
      <c r="AN2289">
        <f>IF($E2289="","",IF(COUNTIF($E$2:$E2289,$E2289)=1,1,0))</f>
        <v/>
      </c>
      <c r="AO2289">
        <f>IF($AN2289=1,SUMPRODUCT(--($AR$2:$AR$3001&lt;$AR2289))+1,"")</f>
        <v/>
      </c>
      <c r="AP2289">
        <f>IF($E2289="","",IF(OR($U2289=TRUE(),$U2289="TRUE"),1,0))</f>
        <v/>
      </c>
      <c r="AQ2289">
        <f>IF($E2289="","",IF($AD2289="Yes",1,0))</f>
        <v/>
      </c>
      <c r="AR2289">
        <f>IF($AN2289=1,IFERROR(VALUE(MID($E2289,2,20)),1000000000)+ROW()/100000,"")</f>
        <v/>
      </c>
    </row>
    <row r="2290">
      <c r="G2290" s="11" t="n"/>
      <c r="Q2290" s="7">
        <f>IF($E2290="","",P2290*AB2290/100)</f>
        <v/>
      </c>
      <c r="R2290" s="7" t="n"/>
      <c r="X2290" s="7" t="n"/>
      <c r="Y2290" s="7">
        <f>IF($E2290="","",AB2290*AE2290/100)</f>
        <v/>
      </c>
      <c r="Z2290" s="7">
        <f>IF($E2290="","",AB2290-Y2290)</f>
        <v/>
      </c>
      <c r="AA2290" s="7">
        <f>IF($E2290="","",Z2290-Q2290)</f>
        <v/>
      </c>
      <c r="AB2290" s="7" t="n"/>
      <c r="AE2290">
        <f>IF($E2290="","",IF($AQ2290=1,0,IF($AP2290=1,Settings!$C$6,Settings!$C$7))*100)</f>
        <v/>
      </c>
      <c r="AI2290" s="7" t="n"/>
      <c r="AL2290" s="11" t="n"/>
      <c r="AN2290">
        <f>IF($E2290="","",IF(COUNTIF($E$2:$E2290,$E2290)=1,1,0))</f>
        <v/>
      </c>
      <c r="AO2290">
        <f>IF($AN2290=1,SUMPRODUCT(--($AR$2:$AR$3001&lt;$AR2290))+1,"")</f>
        <v/>
      </c>
      <c r="AP2290">
        <f>IF($E2290="","",IF(OR($U2290=TRUE(),$U2290="TRUE"),1,0))</f>
        <v/>
      </c>
      <c r="AQ2290">
        <f>IF($E2290="","",IF($AD2290="Yes",1,0))</f>
        <v/>
      </c>
      <c r="AR2290">
        <f>IF($AN2290=1,IFERROR(VALUE(MID($E2290,2,20)),1000000000)+ROW()/100000,"")</f>
        <v/>
      </c>
    </row>
    <row r="2291">
      <c r="G2291" s="11" t="n"/>
      <c r="Q2291" s="7">
        <f>IF($E2291="","",P2291*AB2291/100)</f>
        <v/>
      </c>
      <c r="R2291" s="7" t="n"/>
      <c r="X2291" s="7" t="n"/>
      <c r="Y2291" s="7">
        <f>IF($E2291="","",AB2291*AE2291/100)</f>
        <v/>
      </c>
      <c r="Z2291" s="7">
        <f>IF($E2291="","",AB2291-Y2291)</f>
        <v/>
      </c>
      <c r="AA2291" s="7">
        <f>IF($E2291="","",Z2291-Q2291)</f>
        <v/>
      </c>
      <c r="AB2291" s="7" t="n"/>
      <c r="AE2291">
        <f>IF($E2291="","",IF($AQ2291=1,0,IF($AP2291=1,Settings!$C$6,Settings!$C$7))*100)</f>
        <v/>
      </c>
      <c r="AI2291" s="7" t="n"/>
      <c r="AL2291" s="11" t="n"/>
      <c r="AN2291">
        <f>IF($E2291="","",IF(COUNTIF($E$2:$E2291,$E2291)=1,1,0))</f>
        <v/>
      </c>
      <c r="AO2291">
        <f>IF($AN2291=1,SUMPRODUCT(--($AR$2:$AR$3001&lt;$AR2291))+1,"")</f>
        <v/>
      </c>
      <c r="AP2291">
        <f>IF($E2291="","",IF(OR($U2291=TRUE(),$U2291="TRUE"),1,0))</f>
        <v/>
      </c>
      <c r="AQ2291">
        <f>IF($E2291="","",IF($AD2291="Yes",1,0))</f>
        <v/>
      </c>
      <c r="AR2291">
        <f>IF($AN2291=1,IFERROR(VALUE(MID($E2291,2,20)),1000000000)+ROW()/100000,"")</f>
        <v/>
      </c>
    </row>
    <row r="2292">
      <c r="G2292" s="11" t="n"/>
      <c r="Q2292" s="7">
        <f>IF($E2292="","",P2292*AB2292/100)</f>
        <v/>
      </c>
      <c r="R2292" s="7" t="n"/>
      <c r="X2292" s="7" t="n"/>
      <c r="Y2292" s="7">
        <f>IF($E2292="","",AB2292*AE2292/100)</f>
        <v/>
      </c>
      <c r="Z2292" s="7">
        <f>IF($E2292="","",AB2292-Y2292)</f>
        <v/>
      </c>
      <c r="AA2292" s="7">
        <f>IF($E2292="","",Z2292-Q2292)</f>
        <v/>
      </c>
      <c r="AB2292" s="7" t="n"/>
      <c r="AE2292">
        <f>IF($E2292="","",IF($AQ2292=1,0,IF($AP2292=1,Settings!$C$6,Settings!$C$7))*100)</f>
        <v/>
      </c>
      <c r="AI2292" s="7" t="n"/>
      <c r="AL2292" s="11" t="n"/>
      <c r="AN2292">
        <f>IF($E2292="","",IF(COUNTIF($E$2:$E2292,$E2292)=1,1,0))</f>
        <v/>
      </c>
      <c r="AO2292">
        <f>IF($AN2292=1,SUMPRODUCT(--($AR$2:$AR$3001&lt;$AR2292))+1,"")</f>
        <v/>
      </c>
      <c r="AP2292">
        <f>IF($E2292="","",IF(OR($U2292=TRUE(),$U2292="TRUE"),1,0))</f>
        <v/>
      </c>
      <c r="AQ2292">
        <f>IF($E2292="","",IF($AD2292="Yes",1,0))</f>
        <v/>
      </c>
      <c r="AR2292">
        <f>IF($AN2292=1,IFERROR(VALUE(MID($E2292,2,20)),1000000000)+ROW()/100000,"")</f>
        <v/>
      </c>
    </row>
    <row r="2293">
      <c r="G2293" s="11" t="n"/>
      <c r="Q2293" s="7">
        <f>IF($E2293="","",P2293*AB2293/100)</f>
        <v/>
      </c>
      <c r="R2293" s="7" t="n"/>
      <c r="X2293" s="7" t="n"/>
      <c r="Y2293" s="7">
        <f>IF($E2293="","",AB2293*AE2293/100)</f>
        <v/>
      </c>
      <c r="Z2293" s="7">
        <f>IF($E2293="","",AB2293-Y2293)</f>
        <v/>
      </c>
      <c r="AA2293" s="7">
        <f>IF($E2293="","",Z2293-Q2293)</f>
        <v/>
      </c>
      <c r="AB2293" s="7" t="n"/>
      <c r="AE2293">
        <f>IF($E2293="","",IF($AQ2293=1,0,IF($AP2293=1,Settings!$C$6,Settings!$C$7))*100)</f>
        <v/>
      </c>
      <c r="AI2293" s="7" t="n"/>
      <c r="AL2293" s="11" t="n"/>
      <c r="AN2293">
        <f>IF($E2293="","",IF(COUNTIF($E$2:$E2293,$E2293)=1,1,0))</f>
        <v/>
      </c>
      <c r="AO2293">
        <f>IF($AN2293=1,SUMPRODUCT(--($AR$2:$AR$3001&lt;$AR2293))+1,"")</f>
        <v/>
      </c>
      <c r="AP2293">
        <f>IF($E2293="","",IF(OR($U2293=TRUE(),$U2293="TRUE"),1,0))</f>
        <v/>
      </c>
      <c r="AQ2293">
        <f>IF($E2293="","",IF($AD2293="Yes",1,0))</f>
        <v/>
      </c>
      <c r="AR2293">
        <f>IF($AN2293=1,IFERROR(VALUE(MID($E2293,2,20)),1000000000)+ROW()/100000,"")</f>
        <v/>
      </c>
    </row>
    <row r="2294">
      <c r="G2294" s="11" t="n"/>
      <c r="Q2294" s="7">
        <f>IF($E2294="","",P2294*AB2294/100)</f>
        <v/>
      </c>
      <c r="R2294" s="7" t="n"/>
      <c r="X2294" s="7" t="n"/>
      <c r="Y2294" s="7">
        <f>IF($E2294="","",AB2294*AE2294/100)</f>
        <v/>
      </c>
      <c r="Z2294" s="7">
        <f>IF($E2294="","",AB2294-Y2294)</f>
        <v/>
      </c>
      <c r="AA2294" s="7">
        <f>IF($E2294="","",Z2294-Q2294)</f>
        <v/>
      </c>
      <c r="AB2294" s="7" t="n"/>
      <c r="AE2294">
        <f>IF($E2294="","",IF($AQ2294=1,0,IF($AP2294=1,Settings!$C$6,Settings!$C$7))*100)</f>
        <v/>
      </c>
      <c r="AI2294" s="7" t="n"/>
      <c r="AL2294" s="11" t="n"/>
      <c r="AN2294">
        <f>IF($E2294="","",IF(COUNTIF($E$2:$E2294,$E2294)=1,1,0))</f>
        <v/>
      </c>
      <c r="AO2294">
        <f>IF($AN2294=1,SUMPRODUCT(--($AR$2:$AR$3001&lt;$AR2294))+1,"")</f>
        <v/>
      </c>
      <c r="AP2294">
        <f>IF($E2294="","",IF(OR($U2294=TRUE(),$U2294="TRUE"),1,0))</f>
        <v/>
      </c>
      <c r="AQ2294">
        <f>IF($E2294="","",IF($AD2294="Yes",1,0))</f>
        <v/>
      </c>
      <c r="AR2294">
        <f>IF($AN2294=1,IFERROR(VALUE(MID($E2294,2,20)),1000000000)+ROW()/100000,"")</f>
        <v/>
      </c>
    </row>
    <row r="2295">
      <c r="G2295" s="11" t="n"/>
      <c r="Q2295" s="7">
        <f>IF($E2295="","",P2295*AB2295/100)</f>
        <v/>
      </c>
      <c r="R2295" s="7" t="n"/>
      <c r="X2295" s="7" t="n"/>
      <c r="Y2295" s="7">
        <f>IF($E2295="","",AB2295*AE2295/100)</f>
        <v/>
      </c>
      <c r="Z2295" s="7">
        <f>IF($E2295="","",AB2295-Y2295)</f>
        <v/>
      </c>
      <c r="AA2295" s="7">
        <f>IF($E2295="","",Z2295-Q2295)</f>
        <v/>
      </c>
      <c r="AB2295" s="7" t="n"/>
      <c r="AE2295">
        <f>IF($E2295="","",IF($AQ2295=1,0,IF($AP2295=1,Settings!$C$6,Settings!$C$7))*100)</f>
        <v/>
      </c>
      <c r="AI2295" s="7" t="n"/>
      <c r="AL2295" s="11" t="n"/>
      <c r="AN2295">
        <f>IF($E2295="","",IF(COUNTIF($E$2:$E2295,$E2295)=1,1,0))</f>
        <v/>
      </c>
      <c r="AO2295">
        <f>IF($AN2295=1,SUMPRODUCT(--($AR$2:$AR$3001&lt;$AR2295))+1,"")</f>
        <v/>
      </c>
      <c r="AP2295">
        <f>IF($E2295="","",IF(OR($U2295=TRUE(),$U2295="TRUE"),1,0))</f>
        <v/>
      </c>
      <c r="AQ2295">
        <f>IF($E2295="","",IF($AD2295="Yes",1,0))</f>
        <v/>
      </c>
      <c r="AR2295">
        <f>IF($AN2295=1,IFERROR(VALUE(MID($E2295,2,20)),1000000000)+ROW()/100000,"")</f>
        <v/>
      </c>
    </row>
    <row r="2296">
      <c r="G2296" s="11" t="n"/>
      <c r="Q2296" s="7">
        <f>IF($E2296="","",P2296*AB2296/100)</f>
        <v/>
      </c>
      <c r="R2296" s="7" t="n"/>
      <c r="X2296" s="7" t="n"/>
      <c r="Y2296" s="7">
        <f>IF($E2296="","",AB2296*AE2296/100)</f>
        <v/>
      </c>
      <c r="Z2296" s="7">
        <f>IF($E2296="","",AB2296-Y2296)</f>
        <v/>
      </c>
      <c r="AA2296" s="7">
        <f>IF($E2296="","",Z2296-Q2296)</f>
        <v/>
      </c>
      <c r="AB2296" s="7" t="n"/>
      <c r="AE2296">
        <f>IF($E2296="","",IF($AQ2296=1,0,IF($AP2296=1,Settings!$C$6,Settings!$C$7))*100)</f>
        <v/>
      </c>
      <c r="AI2296" s="7" t="n"/>
      <c r="AL2296" s="11" t="n"/>
      <c r="AN2296">
        <f>IF($E2296="","",IF(COUNTIF($E$2:$E2296,$E2296)=1,1,0))</f>
        <v/>
      </c>
      <c r="AO2296">
        <f>IF($AN2296=1,SUMPRODUCT(--($AR$2:$AR$3001&lt;$AR2296))+1,"")</f>
        <v/>
      </c>
      <c r="AP2296">
        <f>IF($E2296="","",IF(OR($U2296=TRUE(),$U2296="TRUE"),1,0))</f>
        <v/>
      </c>
      <c r="AQ2296">
        <f>IF($E2296="","",IF($AD2296="Yes",1,0))</f>
        <v/>
      </c>
      <c r="AR2296">
        <f>IF($AN2296=1,IFERROR(VALUE(MID($E2296,2,20)),1000000000)+ROW()/100000,"")</f>
        <v/>
      </c>
    </row>
    <row r="2297">
      <c r="G2297" s="11" t="n"/>
      <c r="Q2297" s="7">
        <f>IF($E2297="","",P2297*AB2297/100)</f>
        <v/>
      </c>
      <c r="R2297" s="7" t="n"/>
      <c r="X2297" s="7" t="n"/>
      <c r="Y2297" s="7">
        <f>IF($E2297="","",AB2297*AE2297/100)</f>
        <v/>
      </c>
      <c r="Z2297" s="7">
        <f>IF($E2297="","",AB2297-Y2297)</f>
        <v/>
      </c>
      <c r="AA2297" s="7">
        <f>IF($E2297="","",Z2297-Q2297)</f>
        <v/>
      </c>
      <c r="AB2297" s="7" t="n"/>
      <c r="AE2297">
        <f>IF($E2297="","",IF($AQ2297=1,0,IF($AP2297=1,Settings!$C$6,Settings!$C$7))*100)</f>
        <v/>
      </c>
      <c r="AI2297" s="7" t="n"/>
      <c r="AL2297" s="11" t="n"/>
      <c r="AN2297">
        <f>IF($E2297="","",IF(COUNTIF($E$2:$E2297,$E2297)=1,1,0))</f>
        <v/>
      </c>
      <c r="AO2297">
        <f>IF($AN2297=1,SUMPRODUCT(--($AR$2:$AR$3001&lt;$AR2297))+1,"")</f>
        <v/>
      </c>
      <c r="AP2297">
        <f>IF($E2297="","",IF(OR($U2297=TRUE(),$U2297="TRUE"),1,0))</f>
        <v/>
      </c>
      <c r="AQ2297">
        <f>IF($E2297="","",IF($AD2297="Yes",1,0))</f>
        <v/>
      </c>
      <c r="AR2297">
        <f>IF($AN2297=1,IFERROR(VALUE(MID($E2297,2,20)),1000000000)+ROW()/100000,"")</f>
        <v/>
      </c>
    </row>
    <row r="2298">
      <c r="G2298" s="11" t="n"/>
      <c r="Q2298" s="7">
        <f>IF($E2298="","",P2298*AB2298/100)</f>
        <v/>
      </c>
      <c r="R2298" s="7" t="n"/>
      <c r="X2298" s="7" t="n"/>
      <c r="Y2298" s="7">
        <f>IF($E2298="","",AB2298*AE2298/100)</f>
        <v/>
      </c>
      <c r="Z2298" s="7">
        <f>IF($E2298="","",AB2298-Y2298)</f>
        <v/>
      </c>
      <c r="AA2298" s="7">
        <f>IF($E2298="","",Z2298-Q2298)</f>
        <v/>
      </c>
      <c r="AB2298" s="7" t="n"/>
      <c r="AE2298">
        <f>IF($E2298="","",IF($AQ2298=1,0,IF($AP2298=1,Settings!$C$6,Settings!$C$7))*100)</f>
        <v/>
      </c>
      <c r="AI2298" s="7" t="n"/>
      <c r="AL2298" s="11" t="n"/>
      <c r="AN2298">
        <f>IF($E2298="","",IF(COUNTIF($E$2:$E2298,$E2298)=1,1,0))</f>
        <v/>
      </c>
      <c r="AO2298">
        <f>IF($AN2298=1,SUMPRODUCT(--($AR$2:$AR$3001&lt;$AR2298))+1,"")</f>
        <v/>
      </c>
      <c r="AP2298">
        <f>IF($E2298="","",IF(OR($U2298=TRUE(),$U2298="TRUE"),1,0))</f>
        <v/>
      </c>
      <c r="AQ2298">
        <f>IF($E2298="","",IF($AD2298="Yes",1,0))</f>
        <v/>
      </c>
      <c r="AR2298">
        <f>IF($AN2298=1,IFERROR(VALUE(MID($E2298,2,20)),1000000000)+ROW()/100000,"")</f>
        <v/>
      </c>
    </row>
    <row r="2299">
      <c r="G2299" s="11" t="n"/>
      <c r="Q2299" s="7">
        <f>IF($E2299="","",P2299*AB2299/100)</f>
        <v/>
      </c>
      <c r="R2299" s="7" t="n"/>
      <c r="X2299" s="7" t="n"/>
      <c r="Y2299" s="7">
        <f>IF($E2299="","",AB2299*AE2299/100)</f>
        <v/>
      </c>
      <c r="Z2299" s="7">
        <f>IF($E2299="","",AB2299-Y2299)</f>
        <v/>
      </c>
      <c r="AA2299" s="7">
        <f>IF($E2299="","",Z2299-Q2299)</f>
        <v/>
      </c>
      <c r="AB2299" s="7" t="n"/>
      <c r="AE2299">
        <f>IF($E2299="","",IF($AQ2299=1,0,IF($AP2299=1,Settings!$C$6,Settings!$C$7))*100)</f>
        <v/>
      </c>
      <c r="AI2299" s="7" t="n"/>
      <c r="AL2299" s="11" t="n"/>
      <c r="AN2299">
        <f>IF($E2299="","",IF(COUNTIF($E$2:$E2299,$E2299)=1,1,0))</f>
        <v/>
      </c>
      <c r="AO2299">
        <f>IF($AN2299=1,SUMPRODUCT(--($AR$2:$AR$3001&lt;$AR2299))+1,"")</f>
        <v/>
      </c>
      <c r="AP2299">
        <f>IF($E2299="","",IF(OR($U2299=TRUE(),$U2299="TRUE"),1,0))</f>
        <v/>
      </c>
      <c r="AQ2299">
        <f>IF($E2299="","",IF($AD2299="Yes",1,0))</f>
        <v/>
      </c>
      <c r="AR2299">
        <f>IF($AN2299=1,IFERROR(VALUE(MID($E2299,2,20)),1000000000)+ROW()/100000,"")</f>
        <v/>
      </c>
    </row>
    <row r="2300">
      <c r="G2300" s="11" t="n"/>
      <c r="Q2300" s="7">
        <f>IF($E2300="","",P2300*AB2300/100)</f>
        <v/>
      </c>
      <c r="R2300" s="7" t="n"/>
      <c r="X2300" s="7" t="n"/>
      <c r="Y2300" s="7">
        <f>IF($E2300="","",AB2300*AE2300/100)</f>
        <v/>
      </c>
      <c r="Z2300" s="7">
        <f>IF($E2300="","",AB2300-Y2300)</f>
        <v/>
      </c>
      <c r="AA2300" s="7">
        <f>IF($E2300="","",Z2300-Q2300)</f>
        <v/>
      </c>
      <c r="AB2300" s="7" t="n"/>
      <c r="AE2300">
        <f>IF($E2300="","",IF($AQ2300=1,0,IF($AP2300=1,Settings!$C$6,Settings!$C$7))*100)</f>
        <v/>
      </c>
      <c r="AI2300" s="7" t="n"/>
      <c r="AL2300" s="11" t="n"/>
      <c r="AN2300">
        <f>IF($E2300="","",IF(COUNTIF($E$2:$E2300,$E2300)=1,1,0))</f>
        <v/>
      </c>
      <c r="AO2300">
        <f>IF($AN2300=1,SUMPRODUCT(--($AR$2:$AR$3001&lt;$AR2300))+1,"")</f>
        <v/>
      </c>
      <c r="AP2300">
        <f>IF($E2300="","",IF(OR($U2300=TRUE(),$U2300="TRUE"),1,0))</f>
        <v/>
      </c>
      <c r="AQ2300">
        <f>IF($E2300="","",IF($AD2300="Yes",1,0))</f>
        <v/>
      </c>
      <c r="AR2300">
        <f>IF($AN2300=1,IFERROR(VALUE(MID($E2300,2,20)),1000000000)+ROW()/100000,"")</f>
        <v/>
      </c>
    </row>
    <row r="2301">
      <c r="G2301" s="11" t="n"/>
      <c r="Q2301" s="7">
        <f>IF($E2301="","",P2301*AB2301/100)</f>
        <v/>
      </c>
      <c r="R2301" s="7" t="n"/>
      <c r="X2301" s="7" t="n"/>
      <c r="Y2301" s="7">
        <f>IF($E2301="","",AB2301*AE2301/100)</f>
        <v/>
      </c>
      <c r="Z2301" s="7">
        <f>IF($E2301="","",AB2301-Y2301)</f>
        <v/>
      </c>
      <c r="AA2301" s="7">
        <f>IF($E2301="","",Z2301-Q2301)</f>
        <v/>
      </c>
      <c r="AB2301" s="7" t="n"/>
      <c r="AE2301">
        <f>IF($E2301="","",IF($AQ2301=1,0,IF($AP2301=1,Settings!$C$6,Settings!$C$7))*100)</f>
        <v/>
      </c>
      <c r="AI2301" s="7" t="n"/>
      <c r="AL2301" s="11" t="n"/>
      <c r="AN2301">
        <f>IF($E2301="","",IF(COUNTIF($E$2:$E2301,$E2301)=1,1,0))</f>
        <v/>
      </c>
      <c r="AO2301">
        <f>IF($AN2301=1,SUMPRODUCT(--($AR$2:$AR$3001&lt;$AR2301))+1,"")</f>
        <v/>
      </c>
      <c r="AP2301">
        <f>IF($E2301="","",IF(OR($U2301=TRUE(),$U2301="TRUE"),1,0))</f>
        <v/>
      </c>
      <c r="AQ2301">
        <f>IF($E2301="","",IF($AD2301="Yes",1,0))</f>
        <v/>
      </c>
      <c r="AR2301">
        <f>IF($AN2301=1,IFERROR(VALUE(MID($E2301,2,20)),1000000000)+ROW()/100000,"")</f>
        <v/>
      </c>
    </row>
    <row r="2302">
      <c r="G2302" s="11" t="n"/>
      <c r="Q2302" s="7">
        <f>IF($E2302="","",P2302*AB2302/100)</f>
        <v/>
      </c>
      <c r="R2302" s="7" t="n"/>
      <c r="X2302" s="7" t="n"/>
      <c r="Y2302" s="7">
        <f>IF($E2302="","",AB2302*AE2302/100)</f>
        <v/>
      </c>
      <c r="Z2302" s="7">
        <f>IF($E2302="","",AB2302-Y2302)</f>
        <v/>
      </c>
      <c r="AA2302" s="7">
        <f>IF($E2302="","",Z2302-Q2302)</f>
        <v/>
      </c>
      <c r="AB2302" s="7" t="n"/>
      <c r="AE2302">
        <f>IF($E2302="","",IF($AQ2302=1,0,IF($AP2302=1,Settings!$C$6,Settings!$C$7))*100)</f>
        <v/>
      </c>
      <c r="AI2302" s="7" t="n"/>
      <c r="AL2302" s="11" t="n"/>
      <c r="AN2302">
        <f>IF($E2302="","",IF(COUNTIF($E$2:$E2302,$E2302)=1,1,0))</f>
        <v/>
      </c>
      <c r="AO2302">
        <f>IF($AN2302=1,SUMPRODUCT(--($AR$2:$AR$3001&lt;$AR2302))+1,"")</f>
        <v/>
      </c>
      <c r="AP2302">
        <f>IF($E2302="","",IF(OR($U2302=TRUE(),$U2302="TRUE"),1,0))</f>
        <v/>
      </c>
      <c r="AQ2302">
        <f>IF($E2302="","",IF($AD2302="Yes",1,0))</f>
        <v/>
      </c>
      <c r="AR2302">
        <f>IF($AN2302=1,IFERROR(VALUE(MID($E2302,2,20)),1000000000)+ROW()/100000,"")</f>
        <v/>
      </c>
    </row>
    <row r="2303">
      <c r="G2303" s="11" t="n"/>
      <c r="Q2303" s="7">
        <f>IF($E2303="","",P2303*AB2303/100)</f>
        <v/>
      </c>
      <c r="R2303" s="7" t="n"/>
      <c r="X2303" s="7" t="n"/>
      <c r="Y2303" s="7">
        <f>IF($E2303="","",AB2303*AE2303/100)</f>
        <v/>
      </c>
      <c r="Z2303" s="7">
        <f>IF($E2303="","",AB2303-Y2303)</f>
        <v/>
      </c>
      <c r="AA2303" s="7">
        <f>IF($E2303="","",Z2303-Q2303)</f>
        <v/>
      </c>
      <c r="AB2303" s="7" t="n"/>
      <c r="AE2303">
        <f>IF($E2303="","",IF($AQ2303=1,0,IF($AP2303=1,Settings!$C$6,Settings!$C$7))*100)</f>
        <v/>
      </c>
      <c r="AI2303" s="7" t="n"/>
      <c r="AL2303" s="11" t="n"/>
      <c r="AN2303">
        <f>IF($E2303="","",IF(COUNTIF($E$2:$E2303,$E2303)=1,1,0))</f>
        <v/>
      </c>
      <c r="AO2303">
        <f>IF($AN2303=1,SUMPRODUCT(--($AR$2:$AR$3001&lt;$AR2303))+1,"")</f>
        <v/>
      </c>
      <c r="AP2303">
        <f>IF($E2303="","",IF(OR($U2303=TRUE(),$U2303="TRUE"),1,0))</f>
        <v/>
      </c>
      <c r="AQ2303">
        <f>IF($E2303="","",IF($AD2303="Yes",1,0))</f>
        <v/>
      </c>
      <c r="AR2303">
        <f>IF($AN2303=1,IFERROR(VALUE(MID($E2303,2,20)),1000000000)+ROW()/100000,"")</f>
        <v/>
      </c>
    </row>
    <row r="2304">
      <c r="G2304" s="11" t="n"/>
      <c r="Q2304" s="7">
        <f>IF($E2304="","",P2304*AB2304/100)</f>
        <v/>
      </c>
      <c r="R2304" s="7" t="n"/>
      <c r="X2304" s="7" t="n"/>
      <c r="Y2304" s="7">
        <f>IF($E2304="","",AB2304*AE2304/100)</f>
        <v/>
      </c>
      <c r="Z2304" s="7">
        <f>IF($E2304="","",AB2304-Y2304)</f>
        <v/>
      </c>
      <c r="AA2304" s="7">
        <f>IF($E2304="","",Z2304-Q2304)</f>
        <v/>
      </c>
      <c r="AB2304" s="7" t="n"/>
      <c r="AE2304">
        <f>IF($E2304="","",IF($AQ2304=1,0,IF($AP2304=1,Settings!$C$6,Settings!$C$7))*100)</f>
        <v/>
      </c>
      <c r="AI2304" s="7" t="n"/>
      <c r="AL2304" s="11" t="n"/>
      <c r="AN2304">
        <f>IF($E2304="","",IF(COUNTIF($E$2:$E2304,$E2304)=1,1,0))</f>
        <v/>
      </c>
      <c r="AO2304">
        <f>IF($AN2304=1,SUMPRODUCT(--($AR$2:$AR$3001&lt;$AR2304))+1,"")</f>
        <v/>
      </c>
      <c r="AP2304">
        <f>IF($E2304="","",IF(OR($U2304=TRUE(),$U2304="TRUE"),1,0))</f>
        <v/>
      </c>
      <c r="AQ2304">
        <f>IF($E2304="","",IF($AD2304="Yes",1,0))</f>
        <v/>
      </c>
      <c r="AR2304">
        <f>IF($AN2304=1,IFERROR(VALUE(MID($E2304,2,20)),1000000000)+ROW()/100000,"")</f>
        <v/>
      </c>
    </row>
    <row r="2305">
      <c r="G2305" s="11" t="n"/>
      <c r="Q2305" s="7">
        <f>IF($E2305="","",P2305*AB2305/100)</f>
        <v/>
      </c>
      <c r="R2305" s="7" t="n"/>
      <c r="X2305" s="7" t="n"/>
      <c r="Y2305" s="7">
        <f>IF($E2305="","",AB2305*AE2305/100)</f>
        <v/>
      </c>
      <c r="Z2305" s="7">
        <f>IF($E2305="","",AB2305-Y2305)</f>
        <v/>
      </c>
      <c r="AA2305" s="7">
        <f>IF($E2305="","",Z2305-Q2305)</f>
        <v/>
      </c>
      <c r="AB2305" s="7" t="n"/>
      <c r="AE2305">
        <f>IF($E2305="","",IF($AQ2305=1,0,IF($AP2305=1,Settings!$C$6,Settings!$C$7))*100)</f>
        <v/>
      </c>
      <c r="AI2305" s="7" t="n"/>
      <c r="AL2305" s="11" t="n"/>
      <c r="AN2305">
        <f>IF($E2305="","",IF(COUNTIF($E$2:$E2305,$E2305)=1,1,0))</f>
        <v/>
      </c>
      <c r="AO2305">
        <f>IF($AN2305=1,SUMPRODUCT(--($AR$2:$AR$3001&lt;$AR2305))+1,"")</f>
        <v/>
      </c>
      <c r="AP2305">
        <f>IF($E2305="","",IF(OR($U2305=TRUE(),$U2305="TRUE"),1,0))</f>
        <v/>
      </c>
      <c r="AQ2305">
        <f>IF($E2305="","",IF($AD2305="Yes",1,0))</f>
        <v/>
      </c>
      <c r="AR2305">
        <f>IF($AN2305=1,IFERROR(VALUE(MID($E2305,2,20)),1000000000)+ROW()/100000,"")</f>
        <v/>
      </c>
    </row>
    <row r="2306">
      <c r="G2306" s="11" t="n"/>
      <c r="Q2306" s="7">
        <f>IF($E2306="","",P2306*AB2306/100)</f>
        <v/>
      </c>
      <c r="R2306" s="7" t="n"/>
      <c r="X2306" s="7" t="n"/>
      <c r="Y2306" s="7">
        <f>IF($E2306="","",AB2306*AE2306/100)</f>
        <v/>
      </c>
      <c r="Z2306" s="7">
        <f>IF($E2306="","",AB2306-Y2306)</f>
        <v/>
      </c>
      <c r="AA2306" s="7">
        <f>IF($E2306="","",Z2306-Q2306)</f>
        <v/>
      </c>
      <c r="AB2306" s="7" t="n"/>
      <c r="AE2306">
        <f>IF($E2306="","",IF($AQ2306=1,0,IF($AP2306=1,Settings!$C$6,Settings!$C$7))*100)</f>
        <v/>
      </c>
      <c r="AI2306" s="7" t="n"/>
      <c r="AL2306" s="11" t="n"/>
      <c r="AN2306">
        <f>IF($E2306="","",IF(COUNTIF($E$2:$E2306,$E2306)=1,1,0))</f>
        <v/>
      </c>
      <c r="AO2306">
        <f>IF($AN2306=1,SUMPRODUCT(--($AR$2:$AR$3001&lt;$AR2306))+1,"")</f>
        <v/>
      </c>
      <c r="AP2306">
        <f>IF($E2306="","",IF(OR($U2306=TRUE(),$U2306="TRUE"),1,0))</f>
        <v/>
      </c>
      <c r="AQ2306">
        <f>IF($E2306="","",IF($AD2306="Yes",1,0))</f>
        <v/>
      </c>
      <c r="AR2306">
        <f>IF($AN2306=1,IFERROR(VALUE(MID($E2306,2,20)),1000000000)+ROW()/100000,"")</f>
        <v/>
      </c>
    </row>
    <row r="2307">
      <c r="G2307" s="11" t="n"/>
      <c r="Q2307" s="7">
        <f>IF($E2307="","",P2307*AB2307/100)</f>
        <v/>
      </c>
      <c r="R2307" s="7" t="n"/>
      <c r="X2307" s="7" t="n"/>
      <c r="Y2307" s="7">
        <f>IF($E2307="","",AB2307*AE2307/100)</f>
        <v/>
      </c>
      <c r="Z2307" s="7">
        <f>IF($E2307="","",AB2307-Y2307)</f>
        <v/>
      </c>
      <c r="AA2307" s="7">
        <f>IF($E2307="","",Z2307-Q2307)</f>
        <v/>
      </c>
      <c r="AB2307" s="7" t="n"/>
      <c r="AE2307">
        <f>IF($E2307="","",IF($AQ2307=1,0,IF($AP2307=1,Settings!$C$6,Settings!$C$7))*100)</f>
        <v/>
      </c>
      <c r="AI2307" s="7" t="n"/>
      <c r="AL2307" s="11" t="n"/>
      <c r="AN2307">
        <f>IF($E2307="","",IF(COUNTIF($E$2:$E2307,$E2307)=1,1,0))</f>
        <v/>
      </c>
      <c r="AO2307">
        <f>IF($AN2307=1,SUMPRODUCT(--($AR$2:$AR$3001&lt;$AR2307))+1,"")</f>
        <v/>
      </c>
      <c r="AP2307">
        <f>IF($E2307="","",IF(OR($U2307=TRUE(),$U2307="TRUE"),1,0))</f>
        <v/>
      </c>
      <c r="AQ2307">
        <f>IF($E2307="","",IF($AD2307="Yes",1,0))</f>
        <v/>
      </c>
      <c r="AR2307">
        <f>IF($AN2307=1,IFERROR(VALUE(MID($E2307,2,20)),1000000000)+ROW()/100000,"")</f>
        <v/>
      </c>
    </row>
    <row r="2308">
      <c r="G2308" s="11" t="n"/>
      <c r="Q2308" s="7">
        <f>IF($E2308="","",P2308*AB2308/100)</f>
        <v/>
      </c>
      <c r="R2308" s="7" t="n"/>
      <c r="X2308" s="7" t="n"/>
      <c r="Y2308" s="7">
        <f>IF($E2308="","",AB2308*AE2308/100)</f>
        <v/>
      </c>
      <c r="Z2308" s="7">
        <f>IF($E2308="","",AB2308-Y2308)</f>
        <v/>
      </c>
      <c r="AA2308" s="7">
        <f>IF($E2308="","",Z2308-Q2308)</f>
        <v/>
      </c>
      <c r="AB2308" s="7" t="n"/>
      <c r="AE2308">
        <f>IF($E2308="","",IF($AQ2308=1,0,IF($AP2308=1,Settings!$C$6,Settings!$C$7))*100)</f>
        <v/>
      </c>
      <c r="AI2308" s="7" t="n"/>
      <c r="AL2308" s="11" t="n"/>
      <c r="AN2308">
        <f>IF($E2308="","",IF(COUNTIF($E$2:$E2308,$E2308)=1,1,0))</f>
        <v/>
      </c>
      <c r="AO2308">
        <f>IF($AN2308=1,SUMPRODUCT(--($AR$2:$AR$3001&lt;$AR2308))+1,"")</f>
        <v/>
      </c>
      <c r="AP2308">
        <f>IF($E2308="","",IF(OR($U2308=TRUE(),$U2308="TRUE"),1,0))</f>
        <v/>
      </c>
      <c r="AQ2308">
        <f>IF($E2308="","",IF($AD2308="Yes",1,0))</f>
        <v/>
      </c>
      <c r="AR2308">
        <f>IF($AN2308=1,IFERROR(VALUE(MID($E2308,2,20)),1000000000)+ROW()/100000,"")</f>
        <v/>
      </c>
    </row>
    <row r="2309">
      <c r="G2309" s="11" t="n"/>
      <c r="Q2309" s="7">
        <f>IF($E2309="","",P2309*AB2309/100)</f>
        <v/>
      </c>
      <c r="R2309" s="7" t="n"/>
      <c r="X2309" s="7" t="n"/>
      <c r="Y2309" s="7">
        <f>IF($E2309="","",AB2309*AE2309/100)</f>
        <v/>
      </c>
      <c r="Z2309" s="7">
        <f>IF($E2309="","",AB2309-Y2309)</f>
        <v/>
      </c>
      <c r="AA2309" s="7">
        <f>IF($E2309="","",Z2309-Q2309)</f>
        <v/>
      </c>
      <c r="AB2309" s="7" t="n"/>
      <c r="AE2309">
        <f>IF($E2309="","",IF($AQ2309=1,0,IF($AP2309=1,Settings!$C$6,Settings!$C$7))*100)</f>
        <v/>
      </c>
      <c r="AI2309" s="7" t="n"/>
      <c r="AL2309" s="11" t="n"/>
      <c r="AN2309">
        <f>IF($E2309="","",IF(COUNTIF($E$2:$E2309,$E2309)=1,1,0))</f>
        <v/>
      </c>
      <c r="AO2309">
        <f>IF($AN2309=1,SUMPRODUCT(--($AR$2:$AR$3001&lt;$AR2309))+1,"")</f>
        <v/>
      </c>
      <c r="AP2309">
        <f>IF($E2309="","",IF(OR($U2309=TRUE(),$U2309="TRUE"),1,0))</f>
        <v/>
      </c>
      <c r="AQ2309">
        <f>IF($E2309="","",IF($AD2309="Yes",1,0))</f>
        <v/>
      </c>
      <c r="AR2309">
        <f>IF($AN2309=1,IFERROR(VALUE(MID($E2309,2,20)),1000000000)+ROW()/100000,"")</f>
        <v/>
      </c>
    </row>
    <row r="2310">
      <c r="G2310" s="11" t="n"/>
      <c r="Q2310" s="7">
        <f>IF($E2310="","",P2310*AB2310/100)</f>
        <v/>
      </c>
      <c r="R2310" s="7" t="n"/>
      <c r="X2310" s="7" t="n"/>
      <c r="Y2310" s="7">
        <f>IF($E2310="","",AB2310*AE2310/100)</f>
        <v/>
      </c>
      <c r="Z2310" s="7">
        <f>IF($E2310="","",AB2310-Y2310)</f>
        <v/>
      </c>
      <c r="AA2310" s="7">
        <f>IF($E2310="","",Z2310-Q2310)</f>
        <v/>
      </c>
      <c r="AB2310" s="7" t="n"/>
      <c r="AE2310">
        <f>IF($E2310="","",IF($AQ2310=1,0,IF($AP2310=1,Settings!$C$6,Settings!$C$7))*100)</f>
        <v/>
      </c>
      <c r="AI2310" s="7" t="n"/>
      <c r="AL2310" s="11" t="n"/>
      <c r="AN2310">
        <f>IF($E2310="","",IF(COUNTIF($E$2:$E2310,$E2310)=1,1,0))</f>
        <v/>
      </c>
      <c r="AO2310">
        <f>IF($AN2310=1,SUMPRODUCT(--($AR$2:$AR$3001&lt;$AR2310))+1,"")</f>
        <v/>
      </c>
      <c r="AP2310">
        <f>IF($E2310="","",IF(OR($U2310=TRUE(),$U2310="TRUE"),1,0))</f>
        <v/>
      </c>
      <c r="AQ2310">
        <f>IF($E2310="","",IF($AD2310="Yes",1,0))</f>
        <v/>
      </c>
      <c r="AR2310">
        <f>IF($AN2310=1,IFERROR(VALUE(MID($E2310,2,20)),1000000000)+ROW()/100000,"")</f>
        <v/>
      </c>
    </row>
    <row r="2311">
      <c r="G2311" s="11" t="n"/>
      <c r="Q2311" s="7">
        <f>IF($E2311="","",P2311*AB2311/100)</f>
        <v/>
      </c>
      <c r="R2311" s="7" t="n"/>
      <c r="X2311" s="7" t="n"/>
      <c r="Y2311" s="7">
        <f>IF($E2311="","",AB2311*AE2311/100)</f>
        <v/>
      </c>
      <c r="Z2311" s="7">
        <f>IF($E2311="","",AB2311-Y2311)</f>
        <v/>
      </c>
      <c r="AA2311" s="7">
        <f>IF($E2311="","",Z2311-Q2311)</f>
        <v/>
      </c>
      <c r="AB2311" s="7" t="n"/>
      <c r="AE2311">
        <f>IF($E2311="","",IF($AQ2311=1,0,IF($AP2311=1,Settings!$C$6,Settings!$C$7))*100)</f>
        <v/>
      </c>
      <c r="AI2311" s="7" t="n"/>
      <c r="AL2311" s="11" t="n"/>
      <c r="AN2311">
        <f>IF($E2311="","",IF(COUNTIF($E$2:$E2311,$E2311)=1,1,0))</f>
        <v/>
      </c>
      <c r="AO2311">
        <f>IF($AN2311=1,SUMPRODUCT(--($AR$2:$AR$3001&lt;$AR2311))+1,"")</f>
        <v/>
      </c>
      <c r="AP2311">
        <f>IF($E2311="","",IF(OR($U2311=TRUE(),$U2311="TRUE"),1,0))</f>
        <v/>
      </c>
      <c r="AQ2311">
        <f>IF($E2311="","",IF($AD2311="Yes",1,0))</f>
        <v/>
      </c>
      <c r="AR2311">
        <f>IF($AN2311=1,IFERROR(VALUE(MID($E2311,2,20)),1000000000)+ROW()/100000,"")</f>
        <v/>
      </c>
    </row>
    <row r="2312">
      <c r="G2312" s="11" t="n"/>
      <c r="Q2312" s="7">
        <f>IF($E2312="","",P2312*AB2312/100)</f>
        <v/>
      </c>
      <c r="R2312" s="7" t="n"/>
      <c r="X2312" s="7" t="n"/>
      <c r="Y2312" s="7">
        <f>IF($E2312="","",AB2312*AE2312/100)</f>
        <v/>
      </c>
      <c r="Z2312" s="7">
        <f>IF($E2312="","",AB2312-Y2312)</f>
        <v/>
      </c>
      <c r="AA2312" s="7">
        <f>IF($E2312="","",Z2312-Q2312)</f>
        <v/>
      </c>
      <c r="AB2312" s="7" t="n"/>
      <c r="AE2312">
        <f>IF($E2312="","",IF($AQ2312=1,0,IF($AP2312=1,Settings!$C$6,Settings!$C$7))*100)</f>
        <v/>
      </c>
      <c r="AI2312" s="7" t="n"/>
      <c r="AL2312" s="11" t="n"/>
      <c r="AN2312">
        <f>IF($E2312="","",IF(COUNTIF($E$2:$E2312,$E2312)=1,1,0))</f>
        <v/>
      </c>
      <c r="AO2312">
        <f>IF($AN2312=1,SUMPRODUCT(--($AR$2:$AR$3001&lt;$AR2312))+1,"")</f>
        <v/>
      </c>
      <c r="AP2312">
        <f>IF($E2312="","",IF(OR($U2312=TRUE(),$U2312="TRUE"),1,0))</f>
        <v/>
      </c>
      <c r="AQ2312">
        <f>IF($E2312="","",IF($AD2312="Yes",1,0))</f>
        <v/>
      </c>
      <c r="AR2312">
        <f>IF($AN2312=1,IFERROR(VALUE(MID($E2312,2,20)),1000000000)+ROW()/100000,"")</f>
        <v/>
      </c>
    </row>
    <row r="2313">
      <c r="G2313" s="11" t="n"/>
      <c r="Q2313" s="7">
        <f>IF($E2313="","",P2313*AB2313/100)</f>
        <v/>
      </c>
      <c r="R2313" s="7" t="n"/>
      <c r="X2313" s="7" t="n"/>
      <c r="Y2313" s="7">
        <f>IF($E2313="","",AB2313*AE2313/100)</f>
        <v/>
      </c>
      <c r="Z2313" s="7">
        <f>IF($E2313="","",AB2313-Y2313)</f>
        <v/>
      </c>
      <c r="AA2313" s="7">
        <f>IF($E2313="","",Z2313-Q2313)</f>
        <v/>
      </c>
      <c r="AB2313" s="7" t="n"/>
      <c r="AE2313">
        <f>IF($E2313="","",IF($AQ2313=1,0,IF($AP2313=1,Settings!$C$6,Settings!$C$7))*100)</f>
        <v/>
      </c>
      <c r="AI2313" s="7" t="n"/>
      <c r="AL2313" s="11" t="n"/>
      <c r="AN2313">
        <f>IF($E2313="","",IF(COUNTIF($E$2:$E2313,$E2313)=1,1,0))</f>
        <v/>
      </c>
      <c r="AO2313">
        <f>IF($AN2313=1,SUMPRODUCT(--($AR$2:$AR$3001&lt;$AR2313))+1,"")</f>
        <v/>
      </c>
      <c r="AP2313">
        <f>IF($E2313="","",IF(OR($U2313=TRUE(),$U2313="TRUE"),1,0))</f>
        <v/>
      </c>
      <c r="AQ2313">
        <f>IF($E2313="","",IF($AD2313="Yes",1,0))</f>
        <v/>
      </c>
      <c r="AR2313">
        <f>IF($AN2313=1,IFERROR(VALUE(MID($E2313,2,20)),1000000000)+ROW()/100000,"")</f>
        <v/>
      </c>
    </row>
    <row r="2314">
      <c r="G2314" s="11" t="n"/>
      <c r="Q2314" s="7">
        <f>IF($E2314="","",P2314*AB2314/100)</f>
        <v/>
      </c>
      <c r="R2314" s="7" t="n"/>
      <c r="X2314" s="7" t="n"/>
      <c r="Y2314" s="7">
        <f>IF($E2314="","",AB2314*AE2314/100)</f>
        <v/>
      </c>
      <c r="Z2314" s="7">
        <f>IF($E2314="","",AB2314-Y2314)</f>
        <v/>
      </c>
      <c r="AA2314" s="7">
        <f>IF($E2314="","",Z2314-Q2314)</f>
        <v/>
      </c>
      <c r="AB2314" s="7" t="n"/>
      <c r="AE2314">
        <f>IF($E2314="","",IF($AQ2314=1,0,IF($AP2314=1,Settings!$C$6,Settings!$C$7))*100)</f>
        <v/>
      </c>
      <c r="AI2314" s="7" t="n"/>
      <c r="AL2314" s="11" t="n"/>
      <c r="AN2314">
        <f>IF($E2314="","",IF(COUNTIF($E$2:$E2314,$E2314)=1,1,0))</f>
        <v/>
      </c>
      <c r="AO2314">
        <f>IF($AN2314=1,SUMPRODUCT(--($AR$2:$AR$3001&lt;$AR2314))+1,"")</f>
        <v/>
      </c>
      <c r="AP2314">
        <f>IF($E2314="","",IF(OR($U2314=TRUE(),$U2314="TRUE"),1,0))</f>
        <v/>
      </c>
      <c r="AQ2314">
        <f>IF($E2314="","",IF($AD2314="Yes",1,0))</f>
        <v/>
      </c>
      <c r="AR2314">
        <f>IF($AN2314=1,IFERROR(VALUE(MID($E2314,2,20)),1000000000)+ROW()/100000,"")</f>
        <v/>
      </c>
    </row>
    <row r="2315">
      <c r="G2315" s="11" t="n"/>
      <c r="Q2315" s="7">
        <f>IF($E2315="","",P2315*AB2315/100)</f>
        <v/>
      </c>
      <c r="R2315" s="7" t="n"/>
      <c r="X2315" s="7" t="n"/>
      <c r="Y2315" s="7">
        <f>IF($E2315="","",AB2315*AE2315/100)</f>
        <v/>
      </c>
      <c r="Z2315" s="7">
        <f>IF($E2315="","",AB2315-Y2315)</f>
        <v/>
      </c>
      <c r="AA2315" s="7">
        <f>IF($E2315="","",Z2315-Q2315)</f>
        <v/>
      </c>
      <c r="AB2315" s="7" t="n"/>
      <c r="AE2315">
        <f>IF($E2315="","",IF($AQ2315=1,0,IF($AP2315=1,Settings!$C$6,Settings!$C$7))*100)</f>
        <v/>
      </c>
      <c r="AI2315" s="7" t="n"/>
      <c r="AL2315" s="11" t="n"/>
      <c r="AN2315">
        <f>IF($E2315="","",IF(COUNTIF($E$2:$E2315,$E2315)=1,1,0))</f>
        <v/>
      </c>
      <c r="AO2315">
        <f>IF($AN2315=1,SUMPRODUCT(--($AR$2:$AR$3001&lt;$AR2315))+1,"")</f>
        <v/>
      </c>
      <c r="AP2315">
        <f>IF($E2315="","",IF(OR($U2315=TRUE(),$U2315="TRUE"),1,0))</f>
        <v/>
      </c>
      <c r="AQ2315">
        <f>IF($E2315="","",IF($AD2315="Yes",1,0))</f>
        <v/>
      </c>
      <c r="AR2315">
        <f>IF($AN2315=1,IFERROR(VALUE(MID($E2315,2,20)),1000000000)+ROW()/100000,"")</f>
        <v/>
      </c>
    </row>
    <row r="2316">
      <c r="G2316" s="11" t="n"/>
      <c r="Q2316" s="7">
        <f>IF($E2316="","",P2316*AB2316/100)</f>
        <v/>
      </c>
      <c r="R2316" s="7" t="n"/>
      <c r="X2316" s="7" t="n"/>
      <c r="Y2316" s="7">
        <f>IF($E2316="","",AB2316*AE2316/100)</f>
        <v/>
      </c>
      <c r="Z2316" s="7">
        <f>IF($E2316="","",AB2316-Y2316)</f>
        <v/>
      </c>
      <c r="AA2316" s="7">
        <f>IF($E2316="","",Z2316-Q2316)</f>
        <v/>
      </c>
      <c r="AB2316" s="7" t="n"/>
      <c r="AE2316">
        <f>IF($E2316="","",IF($AQ2316=1,0,IF($AP2316=1,Settings!$C$6,Settings!$C$7))*100)</f>
        <v/>
      </c>
      <c r="AI2316" s="7" t="n"/>
      <c r="AL2316" s="11" t="n"/>
      <c r="AN2316">
        <f>IF($E2316="","",IF(COUNTIF($E$2:$E2316,$E2316)=1,1,0))</f>
        <v/>
      </c>
      <c r="AO2316">
        <f>IF($AN2316=1,SUMPRODUCT(--($AR$2:$AR$3001&lt;$AR2316))+1,"")</f>
        <v/>
      </c>
      <c r="AP2316">
        <f>IF($E2316="","",IF(OR($U2316=TRUE(),$U2316="TRUE"),1,0))</f>
        <v/>
      </c>
      <c r="AQ2316">
        <f>IF($E2316="","",IF($AD2316="Yes",1,0))</f>
        <v/>
      </c>
      <c r="AR2316">
        <f>IF($AN2316=1,IFERROR(VALUE(MID($E2316,2,20)),1000000000)+ROW()/100000,"")</f>
        <v/>
      </c>
    </row>
    <row r="2317">
      <c r="G2317" s="11" t="n"/>
      <c r="Q2317" s="7">
        <f>IF($E2317="","",P2317*AB2317/100)</f>
        <v/>
      </c>
      <c r="R2317" s="7" t="n"/>
      <c r="X2317" s="7" t="n"/>
      <c r="Y2317" s="7">
        <f>IF($E2317="","",AB2317*AE2317/100)</f>
        <v/>
      </c>
      <c r="Z2317" s="7">
        <f>IF($E2317="","",AB2317-Y2317)</f>
        <v/>
      </c>
      <c r="AA2317" s="7">
        <f>IF($E2317="","",Z2317-Q2317)</f>
        <v/>
      </c>
      <c r="AB2317" s="7" t="n"/>
      <c r="AE2317">
        <f>IF($E2317="","",IF($AQ2317=1,0,IF($AP2317=1,Settings!$C$6,Settings!$C$7))*100)</f>
        <v/>
      </c>
      <c r="AI2317" s="7" t="n"/>
      <c r="AL2317" s="11" t="n"/>
      <c r="AN2317">
        <f>IF($E2317="","",IF(COUNTIF($E$2:$E2317,$E2317)=1,1,0))</f>
        <v/>
      </c>
      <c r="AO2317">
        <f>IF($AN2317=1,SUMPRODUCT(--($AR$2:$AR$3001&lt;$AR2317))+1,"")</f>
        <v/>
      </c>
      <c r="AP2317">
        <f>IF($E2317="","",IF(OR($U2317=TRUE(),$U2317="TRUE"),1,0))</f>
        <v/>
      </c>
      <c r="AQ2317">
        <f>IF($E2317="","",IF($AD2317="Yes",1,0))</f>
        <v/>
      </c>
      <c r="AR2317">
        <f>IF($AN2317=1,IFERROR(VALUE(MID($E2317,2,20)),1000000000)+ROW()/100000,"")</f>
        <v/>
      </c>
    </row>
    <row r="2318">
      <c r="G2318" s="11" t="n"/>
      <c r="Q2318" s="7">
        <f>IF($E2318="","",P2318*AB2318/100)</f>
        <v/>
      </c>
      <c r="R2318" s="7" t="n"/>
      <c r="X2318" s="7" t="n"/>
      <c r="Y2318" s="7">
        <f>IF($E2318="","",AB2318*AE2318/100)</f>
        <v/>
      </c>
      <c r="Z2318" s="7">
        <f>IF($E2318="","",AB2318-Y2318)</f>
        <v/>
      </c>
      <c r="AA2318" s="7">
        <f>IF($E2318="","",Z2318-Q2318)</f>
        <v/>
      </c>
      <c r="AB2318" s="7" t="n"/>
      <c r="AE2318">
        <f>IF($E2318="","",IF($AQ2318=1,0,IF($AP2318=1,Settings!$C$6,Settings!$C$7))*100)</f>
        <v/>
      </c>
      <c r="AI2318" s="7" t="n"/>
      <c r="AL2318" s="11" t="n"/>
      <c r="AN2318">
        <f>IF($E2318="","",IF(COUNTIF($E$2:$E2318,$E2318)=1,1,0))</f>
        <v/>
      </c>
      <c r="AO2318">
        <f>IF($AN2318=1,SUMPRODUCT(--($AR$2:$AR$3001&lt;$AR2318))+1,"")</f>
        <v/>
      </c>
      <c r="AP2318">
        <f>IF($E2318="","",IF(OR($U2318=TRUE(),$U2318="TRUE"),1,0))</f>
        <v/>
      </c>
      <c r="AQ2318">
        <f>IF($E2318="","",IF($AD2318="Yes",1,0))</f>
        <v/>
      </c>
      <c r="AR2318">
        <f>IF($AN2318=1,IFERROR(VALUE(MID($E2318,2,20)),1000000000)+ROW()/100000,"")</f>
        <v/>
      </c>
    </row>
    <row r="2319">
      <c r="G2319" s="11" t="n"/>
      <c r="Q2319" s="7">
        <f>IF($E2319="","",P2319*AB2319/100)</f>
        <v/>
      </c>
      <c r="R2319" s="7" t="n"/>
      <c r="X2319" s="7" t="n"/>
      <c r="Y2319" s="7">
        <f>IF($E2319="","",AB2319*AE2319/100)</f>
        <v/>
      </c>
      <c r="Z2319" s="7">
        <f>IF($E2319="","",AB2319-Y2319)</f>
        <v/>
      </c>
      <c r="AA2319" s="7">
        <f>IF($E2319="","",Z2319-Q2319)</f>
        <v/>
      </c>
      <c r="AB2319" s="7" t="n"/>
      <c r="AE2319">
        <f>IF($E2319="","",IF($AQ2319=1,0,IF($AP2319=1,Settings!$C$6,Settings!$C$7))*100)</f>
        <v/>
      </c>
      <c r="AI2319" s="7" t="n"/>
      <c r="AL2319" s="11" t="n"/>
      <c r="AN2319">
        <f>IF($E2319="","",IF(COUNTIF($E$2:$E2319,$E2319)=1,1,0))</f>
        <v/>
      </c>
      <c r="AO2319">
        <f>IF($AN2319=1,SUMPRODUCT(--($AR$2:$AR$3001&lt;$AR2319))+1,"")</f>
        <v/>
      </c>
      <c r="AP2319">
        <f>IF($E2319="","",IF(OR($U2319=TRUE(),$U2319="TRUE"),1,0))</f>
        <v/>
      </c>
      <c r="AQ2319">
        <f>IF($E2319="","",IF($AD2319="Yes",1,0))</f>
        <v/>
      </c>
      <c r="AR2319">
        <f>IF($AN2319=1,IFERROR(VALUE(MID($E2319,2,20)),1000000000)+ROW()/100000,"")</f>
        <v/>
      </c>
    </row>
    <row r="2320">
      <c r="G2320" s="11" t="n"/>
      <c r="Q2320" s="7">
        <f>IF($E2320="","",P2320*AB2320/100)</f>
        <v/>
      </c>
      <c r="R2320" s="7" t="n"/>
      <c r="X2320" s="7" t="n"/>
      <c r="Y2320" s="7">
        <f>IF($E2320="","",AB2320*AE2320/100)</f>
        <v/>
      </c>
      <c r="Z2320" s="7">
        <f>IF($E2320="","",AB2320-Y2320)</f>
        <v/>
      </c>
      <c r="AA2320" s="7">
        <f>IF($E2320="","",Z2320-Q2320)</f>
        <v/>
      </c>
      <c r="AB2320" s="7" t="n"/>
      <c r="AE2320">
        <f>IF($E2320="","",IF($AQ2320=1,0,IF($AP2320=1,Settings!$C$6,Settings!$C$7))*100)</f>
        <v/>
      </c>
      <c r="AI2320" s="7" t="n"/>
      <c r="AL2320" s="11" t="n"/>
      <c r="AN2320">
        <f>IF($E2320="","",IF(COUNTIF($E$2:$E2320,$E2320)=1,1,0))</f>
        <v/>
      </c>
      <c r="AO2320">
        <f>IF($AN2320=1,SUMPRODUCT(--($AR$2:$AR$3001&lt;$AR2320))+1,"")</f>
        <v/>
      </c>
      <c r="AP2320">
        <f>IF($E2320="","",IF(OR($U2320=TRUE(),$U2320="TRUE"),1,0))</f>
        <v/>
      </c>
      <c r="AQ2320">
        <f>IF($E2320="","",IF($AD2320="Yes",1,0))</f>
        <v/>
      </c>
      <c r="AR2320">
        <f>IF($AN2320=1,IFERROR(VALUE(MID($E2320,2,20)),1000000000)+ROW()/100000,"")</f>
        <v/>
      </c>
    </row>
    <row r="2321">
      <c r="G2321" s="11" t="n"/>
      <c r="Q2321" s="7">
        <f>IF($E2321="","",P2321*AB2321/100)</f>
        <v/>
      </c>
      <c r="R2321" s="7" t="n"/>
      <c r="X2321" s="7" t="n"/>
      <c r="Y2321" s="7">
        <f>IF($E2321="","",AB2321*AE2321/100)</f>
        <v/>
      </c>
      <c r="Z2321" s="7">
        <f>IF($E2321="","",AB2321-Y2321)</f>
        <v/>
      </c>
      <c r="AA2321" s="7">
        <f>IF($E2321="","",Z2321-Q2321)</f>
        <v/>
      </c>
      <c r="AB2321" s="7" t="n"/>
      <c r="AE2321">
        <f>IF($E2321="","",IF($AQ2321=1,0,IF($AP2321=1,Settings!$C$6,Settings!$C$7))*100)</f>
        <v/>
      </c>
      <c r="AI2321" s="7" t="n"/>
      <c r="AL2321" s="11" t="n"/>
      <c r="AN2321">
        <f>IF($E2321="","",IF(COUNTIF($E$2:$E2321,$E2321)=1,1,0))</f>
        <v/>
      </c>
      <c r="AO2321">
        <f>IF($AN2321=1,SUMPRODUCT(--($AR$2:$AR$3001&lt;$AR2321))+1,"")</f>
        <v/>
      </c>
      <c r="AP2321">
        <f>IF($E2321="","",IF(OR($U2321=TRUE(),$U2321="TRUE"),1,0))</f>
        <v/>
      </c>
      <c r="AQ2321">
        <f>IF($E2321="","",IF($AD2321="Yes",1,0))</f>
        <v/>
      </c>
      <c r="AR2321">
        <f>IF($AN2321=1,IFERROR(VALUE(MID($E2321,2,20)),1000000000)+ROW()/100000,"")</f>
        <v/>
      </c>
    </row>
    <row r="2322">
      <c r="G2322" s="11" t="n"/>
      <c r="Q2322" s="7">
        <f>IF($E2322="","",P2322*AB2322/100)</f>
        <v/>
      </c>
      <c r="R2322" s="7" t="n"/>
      <c r="X2322" s="7" t="n"/>
      <c r="Y2322" s="7">
        <f>IF($E2322="","",AB2322*AE2322/100)</f>
        <v/>
      </c>
      <c r="Z2322" s="7">
        <f>IF($E2322="","",AB2322-Y2322)</f>
        <v/>
      </c>
      <c r="AA2322" s="7">
        <f>IF($E2322="","",Z2322-Q2322)</f>
        <v/>
      </c>
      <c r="AB2322" s="7" t="n"/>
      <c r="AE2322">
        <f>IF($E2322="","",IF($AQ2322=1,0,IF($AP2322=1,Settings!$C$6,Settings!$C$7))*100)</f>
        <v/>
      </c>
      <c r="AI2322" s="7" t="n"/>
      <c r="AL2322" s="11" t="n"/>
      <c r="AN2322">
        <f>IF($E2322="","",IF(COUNTIF($E$2:$E2322,$E2322)=1,1,0))</f>
        <v/>
      </c>
      <c r="AO2322">
        <f>IF($AN2322=1,SUMPRODUCT(--($AR$2:$AR$3001&lt;$AR2322))+1,"")</f>
        <v/>
      </c>
      <c r="AP2322">
        <f>IF($E2322="","",IF(OR($U2322=TRUE(),$U2322="TRUE"),1,0))</f>
        <v/>
      </c>
      <c r="AQ2322">
        <f>IF($E2322="","",IF($AD2322="Yes",1,0))</f>
        <v/>
      </c>
      <c r="AR2322">
        <f>IF($AN2322=1,IFERROR(VALUE(MID($E2322,2,20)),1000000000)+ROW()/100000,"")</f>
        <v/>
      </c>
    </row>
    <row r="2323">
      <c r="G2323" s="11" t="n"/>
      <c r="Q2323" s="7">
        <f>IF($E2323="","",P2323*AB2323/100)</f>
        <v/>
      </c>
      <c r="R2323" s="7" t="n"/>
      <c r="X2323" s="7" t="n"/>
      <c r="Y2323" s="7">
        <f>IF($E2323="","",AB2323*AE2323/100)</f>
        <v/>
      </c>
      <c r="Z2323" s="7">
        <f>IF($E2323="","",AB2323-Y2323)</f>
        <v/>
      </c>
      <c r="AA2323" s="7">
        <f>IF($E2323="","",Z2323-Q2323)</f>
        <v/>
      </c>
      <c r="AB2323" s="7" t="n"/>
      <c r="AE2323">
        <f>IF($E2323="","",IF($AQ2323=1,0,IF($AP2323=1,Settings!$C$6,Settings!$C$7))*100)</f>
        <v/>
      </c>
      <c r="AI2323" s="7" t="n"/>
      <c r="AL2323" s="11" t="n"/>
      <c r="AN2323">
        <f>IF($E2323="","",IF(COUNTIF($E$2:$E2323,$E2323)=1,1,0))</f>
        <v/>
      </c>
      <c r="AO2323">
        <f>IF($AN2323=1,SUMPRODUCT(--($AR$2:$AR$3001&lt;$AR2323))+1,"")</f>
        <v/>
      </c>
      <c r="AP2323">
        <f>IF($E2323="","",IF(OR($U2323=TRUE(),$U2323="TRUE"),1,0))</f>
        <v/>
      </c>
      <c r="AQ2323">
        <f>IF($E2323="","",IF($AD2323="Yes",1,0))</f>
        <v/>
      </c>
      <c r="AR2323">
        <f>IF($AN2323=1,IFERROR(VALUE(MID($E2323,2,20)),1000000000)+ROW()/100000,"")</f>
        <v/>
      </c>
    </row>
    <row r="2324">
      <c r="G2324" s="11" t="n"/>
      <c r="Q2324" s="7">
        <f>IF($E2324="","",P2324*AB2324/100)</f>
        <v/>
      </c>
      <c r="R2324" s="7" t="n"/>
      <c r="X2324" s="7" t="n"/>
      <c r="Y2324" s="7">
        <f>IF($E2324="","",AB2324*AE2324/100)</f>
        <v/>
      </c>
      <c r="Z2324" s="7">
        <f>IF($E2324="","",AB2324-Y2324)</f>
        <v/>
      </c>
      <c r="AA2324" s="7">
        <f>IF($E2324="","",Z2324-Q2324)</f>
        <v/>
      </c>
      <c r="AB2324" s="7" t="n"/>
      <c r="AE2324">
        <f>IF($E2324="","",IF($AQ2324=1,0,IF($AP2324=1,Settings!$C$6,Settings!$C$7))*100)</f>
        <v/>
      </c>
      <c r="AI2324" s="7" t="n"/>
      <c r="AL2324" s="11" t="n"/>
      <c r="AN2324">
        <f>IF($E2324="","",IF(COUNTIF($E$2:$E2324,$E2324)=1,1,0))</f>
        <v/>
      </c>
      <c r="AO2324">
        <f>IF($AN2324=1,SUMPRODUCT(--($AR$2:$AR$3001&lt;$AR2324))+1,"")</f>
        <v/>
      </c>
      <c r="AP2324">
        <f>IF($E2324="","",IF(OR($U2324=TRUE(),$U2324="TRUE"),1,0))</f>
        <v/>
      </c>
      <c r="AQ2324">
        <f>IF($E2324="","",IF($AD2324="Yes",1,0))</f>
        <v/>
      </c>
      <c r="AR2324">
        <f>IF($AN2324=1,IFERROR(VALUE(MID($E2324,2,20)),1000000000)+ROW()/100000,"")</f>
        <v/>
      </c>
    </row>
    <row r="2325">
      <c r="G2325" s="11" t="n"/>
      <c r="Q2325" s="7">
        <f>IF($E2325="","",P2325*AB2325/100)</f>
        <v/>
      </c>
      <c r="R2325" s="7" t="n"/>
      <c r="X2325" s="7" t="n"/>
      <c r="Y2325" s="7">
        <f>IF($E2325="","",AB2325*AE2325/100)</f>
        <v/>
      </c>
      <c r="Z2325" s="7">
        <f>IF($E2325="","",AB2325-Y2325)</f>
        <v/>
      </c>
      <c r="AA2325" s="7">
        <f>IF($E2325="","",Z2325-Q2325)</f>
        <v/>
      </c>
      <c r="AB2325" s="7" t="n"/>
      <c r="AE2325">
        <f>IF($E2325="","",IF($AQ2325=1,0,IF($AP2325=1,Settings!$C$6,Settings!$C$7))*100)</f>
        <v/>
      </c>
      <c r="AI2325" s="7" t="n"/>
      <c r="AL2325" s="11" t="n"/>
      <c r="AN2325">
        <f>IF($E2325="","",IF(COUNTIF($E$2:$E2325,$E2325)=1,1,0))</f>
        <v/>
      </c>
      <c r="AO2325">
        <f>IF($AN2325=1,SUMPRODUCT(--($AR$2:$AR$3001&lt;$AR2325))+1,"")</f>
        <v/>
      </c>
      <c r="AP2325">
        <f>IF($E2325="","",IF(OR($U2325=TRUE(),$U2325="TRUE"),1,0))</f>
        <v/>
      </c>
      <c r="AQ2325">
        <f>IF($E2325="","",IF($AD2325="Yes",1,0))</f>
        <v/>
      </c>
      <c r="AR2325">
        <f>IF($AN2325=1,IFERROR(VALUE(MID($E2325,2,20)),1000000000)+ROW()/100000,"")</f>
        <v/>
      </c>
    </row>
    <row r="2326">
      <c r="G2326" s="11" t="n"/>
      <c r="Q2326" s="7">
        <f>IF($E2326="","",P2326*AB2326/100)</f>
        <v/>
      </c>
      <c r="R2326" s="7" t="n"/>
      <c r="X2326" s="7" t="n"/>
      <c r="Y2326" s="7">
        <f>IF($E2326="","",AB2326*AE2326/100)</f>
        <v/>
      </c>
      <c r="Z2326" s="7">
        <f>IF($E2326="","",AB2326-Y2326)</f>
        <v/>
      </c>
      <c r="AA2326" s="7">
        <f>IF($E2326="","",Z2326-Q2326)</f>
        <v/>
      </c>
      <c r="AB2326" s="7" t="n"/>
      <c r="AE2326">
        <f>IF($E2326="","",IF($AQ2326=1,0,IF($AP2326=1,Settings!$C$6,Settings!$C$7))*100)</f>
        <v/>
      </c>
      <c r="AI2326" s="7" t="n"/>
      <c r="AL2326" s="11" t="n"/>
      <c r="AN2326">
        <f>IF($E2326="","",IF(COUNTIF($E$2:$E2326,$E2326)=1,1,0))</f>
        <v/>
      </c>
      <c r="AO2326">
        <f>IF($AN2326=1,SUMPRODUCT(--($AR$2:$AR$3001&lt;$AR2326))+1,"")</f>
        <v/>
      </c>
      <c r="AP2326">
        <f>IF($E2326="","",IF(OR($U2326=TRUE(),$U2326="TRUE"),1,0))</f>
        <v/>
      </c>
      <c r="AQ2326">
        <f>IF($E2326="","",IF($AD2326="Yes",1,0))</f>
        <v/>
      </c>
      <c r="AR2326">
        <f>IF($AN2326=1,IFERROR(VALUE(MID($E2326,2,20)),1000000000)+ROW()/100000,"")</f>
        <v/>
      </c>
    </row>
    <row r="2327">
      <c r="G2327" s="11" t="n"/>
      <c r="Q2327" s="7">
        <f>IF($E2327="","",P2327*AB2327/100)</f>
        <v/>
      </c>
      <c r="R2327" s="7" t="n"/>
      <c r="X2327" s="7" t="n"/>
      <c r="Y2327" s="7">
        <f>IF($E2327="","",AB2327*AE2327/100)</f>
        <v/>
      </c>
      <c r="Z2327" s="7">
        <f>IF($E2327="","",AB2327-Y2327)</f>
        <v/>
      </c>
      <c r="AA2327" s="7">
        <f>IF($E2327="","",Z2327-Q2327)</f>
        <v/>
      </c>
      <c r="AB2327" s="7" t="n"/>
      <c r="AE2327">
        <f>IF($E2327="","",IF($AQ2327=1,0,IF($AP2327=1,Settings!$C$6,Settings!$C$7))*100)</f>
        <v/>
      </c>
      <c r="AI2327" s="7" t="n"/>
      <c r="AL2327" s="11" t="n"/>
      <c r="AN2327">
        <f>IF($E2327="","",IF(COUNTIF($E$2:$E2327,$E2327)=1,1,0))</f>
        <v/>
      </c>
      <c r="AO2327">
        <f>IF($AN2327=1,SUMPRODUCT(--($AR$2:$AR$3001&lt;$AR2327))+1,"")</f>
        <v/>
      </c>
      <c r="AP2327">
        <f>IF($E2327="","",IF(OR($U2327=TRUE(),$U2327="TRUE"),1,0))</f>
        <v/>
      </c>
      <c r="AQ2327">
        <f>IF($E2327="","",IF($AD2327="Yes",1,0))</f>
        <v/>
      </c>
      <c r="AR2327">
        <f>IF($AN2327=1,IFERROR(VALUE(MID($E2327,2,20)),1000000000)+ROW()/100000,"")</f>
        <v/>
      </c>
    </row>
    <row r="2328">
      <c r="G2328" s="11" t="n"/>
      <c r="Q2328" s="7">
        <f>IF($E2328="","",P2328*AB2328/100)</f>
        <v/>
      </c>
      <c r="R2328" s="7" t="n"/>
      <c r="X2328" s="7" t="n"/>
      <c r="Y2328" s="7">
        <f>IF($E2328="","",AB2328*AE2328/100)</f>
        <v/>
      </c>
      <c r="Z2328" s="7">
        <f>IF($E2328="","",AB2328-Y2328)</f>
        <v/>
      </c>
      <c r="AA2328" s="7">
        <f>IF($E2328="","",Z2328-Q2328)</f>
        <v/>
      </c>
      <c r="AB2328" s="7" t="n"/>
      <c r="AE2328">
        <f>IF($E2328="","",IF($AQ2328=1,0,IF($AP2328=1,Settings!$C$6,Settings!$C$7))*100)</f>
        <v/>
      </c>
      <c r="AI2328" s="7" t="n"/>
      <c r="AL2328" s="11" t="n"/>
      <c r="AN2328">
        <f>IF($E2328="","",IF(COUNTIF($E$2:$E2328,$E2328)=1,1,0))</f>
        <v/>
      </c>
      <c r="AO2328">
        <f>IF($AN2328=1,SUMPRODUCT(--($AR$2:$AR$3001&lt;$AR2328))+1,"")</f>
        <v/>
      </c>
      <c r="AP2328">
        <f>IF($E2328="","",IF(OR($U2328=TRUE(),$U2328="TRUE"),1,0))</f>
        <v/>
      </c>
      <c r="AQ2328">
        <f>IF($E2328="","",IF($AD2328="Yes",1,0))</f>
        <v/>
      </c>
      <c r="AR2328">
        <f>IF($AN2328=1,IFERROR(VALUE(MID($E2328,2,20)),1000000000)+ROW()/100000,"")</f>
        <v/>
      </c>
    </row>
    <row r="2329">
      <c r="G2329" s="11" t="n"/>
      <c r="Q2329" s="7">
        <f>IF($E2329="","",P2329*AB2329/100)</f>
        <v/>
      </c>
      <c r="R2329" s="7" t="n"/>
      <c r="X2329" s="7" t="n"/>
      <c r="Y2329" s="7">
        <f>IF($E2329="","",AB2329*AE2329/100)</f>
        <v/>
      </c>
      <c r="Z2329" s="7">
        <f>IF($E2329="","",AB2329-Y2329)</f>
        <v/>
      </c>
      <c r="AA2329" s="7">
        <f>IF($E2329="","",Z2329-Q2329)</f>
        <v/>
      </c>
      <c r="AB2329" s="7" t="n"/>
      <c r="AE2329">
        <f>IF($E2329="","",IF($AQ2329=1,0,IF($AP2329=1,Settings!$C$6,Settings!$C$7))*100)</f>
        <v/>
      </c>
      <c r="AI2329" s="7" t="n"/>
      <c r="AL2329" s="11" t="n"/>
      <c r="AN2329">
        <f>IF($E2329="","",IF(COUNTIF($E$2:$E2329,$E2329)=1,1,0))</f>
        <v/>
      </c>
      <c r="AO2329">
        <f>IF($AN2329=1,SUMPRODUCT(--($AR$2:$AR$3001&lt;$AR2329))+1,"")</f>
        <v/>
      </c>
      <c r="AP2329">
        <f>IF($E2329="","",IF(OR($U2329=TRUE(),$U2329="TRUE"),1,0))</f>
        <v/>
      </c>
      <c r="AQ2329">
        <f>IF($E2329="","",IF($AD2329="Yes",1,0))</f>
        <v/>
      </c>
      <c r="AR2329">
        <f>IF($AN2329=1,IFERROR(VALUE(MID($E2329,2,20)),1000000000)+ROW()/100000,"")</f>
        <v/>
      </c>
    </row>
    <row r="2330">
      <c r="G2330" s="11" t="n"/>
      <c r="Q2330" s="7">
        <f>IF($E2330="","",P2330*AB2330/100)</f>
        <v/>
      </c>
      <c r="R2330" s="7" t="n"/>
      <c r="X2330" s="7" t="n"/>
      <c r="Y2330" s="7">
        <f>IF($E2330="","",AB2330*AE2330/100)</f>
        <v/>
      </c>
      <c r="Z2330" s="7">
        <f>IF($E2330="","",AB2330-Y2330)</f>
        <v/>
      </c>
      <c r="AA2330" s="7">
        <f>IF($E2330="","",Z2330-Q2330)</f>
        <v/>
      </c>
      <c r="AB2330" s="7" t="n"/>
      <c r="AE2330">
        <f>IF($E2330="","",IF($AQ2330=1,0,IF($AP2330=1,Settings!$C$6,Settings!$C$7))*100)</f>
        <v/>
      </c>
      <c r="AI2330" s="7" t="n"/>
      <c r="AL2330" s="11" t="n"/>
      <c r="AN2330">
        <f>IF($E2330="","",IF(COUNTIF($E$2:$E2330,$E2330)=1,1,0))</f>
        <v/>
      </c>
      <c r="AO2330">
        <f>IF($AN2330=1,SUMPRODUCT(--($AR$2:$AR$3001&lt;$AR2330))+1,"")</f>
        <v/>
      </c>
      <c r="AP2330">
        <f>IF($E2330="","",IF(OR($U2330=TRUE(),$U2330="TRUE"),1,0))</f>
        <v/>
      </c>
      <c r="AQ2330">
        <f>IF($E2330="","",IF($AD2330="Yes",1,0))</f>
        <v/>
      </c>
      <c r="AR2330">
        <f>IF($AN2330=1,IFERROR(VALUE(MID($E2330,2,20)),1000000000)+ROW()/100000,"")</f>
        <v/>
      </c>
    </row>
    <row r="2331">
      <c r="G2331" s="11" t="n"/>
      <c r="Q2331" s="7">
        <f>IF($E2331="","",P2331*AB2331/100)</f>
        <v/>
      </c>
      <c r="R2331" s="7" t="n"/>
      <c r="X2331" s="7" t="n"/>
      <c r="Y2331" s="7">
        <f>IF($E2331="","",AB2331*AE2331/100)</f>
        <v/>
      </c>
      <c r="Z2331" s="7">
        <f>IF($E2331="","",AB2331-Y2331)</f>
        <v/>
      </c>
      <c r="AA2331" s="7">
        <f>IF($E2331="","",Z2331-Q2331)</f>
        <v/>
      </c>
      <c r="AB2331" s="7" t="n"/>
      <c r="AE2331">
        <f>IF($E2331="","",IF($AQ2331=1,0,IF($AP2331=1,Settings!$C$6,Settings!$C$7))*100)</f>
        <v/>
      </c>
      <c r="AI2331" s="7" t="n"/>
      <c r="AL2331" s="11" t="n"/>
      <c r="AN2331">
        <f>IF($E2331="","",IF(COUNTIF($E$2:$E2331,$E2331)=1,1,0))</f>
        <v/>
      </c>
      <c r="AO2331">
        <f>IF($AN2331=1,SUMPRODUCT(--($AR$2:$AR$3001&lt;$AR2331))+1,"")</f>
        <v/>
      </c>
      <c r="AP2331">
        <f>IF($E2331="","",IF(OR($U2331=TRUE(),$U2331="TRUE"),1,0))</f>
        <v/>
      </c>
      <c r="AQ2331">
        <f>IF($E2331="","",IF($AD2331="Yes",1,0))</f>
        <v/>
      </c>
      <c r="AR2331">
        <f>IF($AN2331=1,IFERROR(VALUE(MID($E2331,2,20)),1000000000)+ROW()/100000,"")</f>
        <v/>
      </c>
    </row>
    <row r="2332">
      <c r="G2332" s="11" t="n"/>
      <c r="Q2332" s="7">
        <f>IF($E2332="","",P2332*AB2332/100)</f>
        <v/>
      </c>
      <c r="R2332" s="7" t="n"/>
      <c r="X2332" s="7" t="n"/>
      <c r="Y2332" s="7">
        <f>IF($E2332="","",AB2332*AE2332/100)</f>
        <v/>
      </c>
      <c r="Z2332" s="7">
        <f>IF($E2332="","",AB2332-Y2332)</f>
        <v/>
      </c>
      <c r="AA2332" s="7">
        <f>IF($E2332="","",Z2332-Q2332)</f>
        <v/>
      </c>
      <c r="AB2332" s="7" t="n"/>
      <c r="AE2332">
        <f>IF($E2332="","",IF($AQ2332=1,0,IF($AP2332=1,Settings!$C$6,Settings!$C$7))*100)</f>
        <v/>
      </c>
      <c r="AI2332" s="7" t="n"/>
      <c r="AL2332" s="11" t="n"/>
      <c r="AN2332">
        <f>IF($E2332="","",IF(COUNTIF($E$2:$E2332,$E2332)=1,1,0))</f>
        <v/>
      </c>
      <c r="AO2332">
        <f>IF($AN2332=1,SUMPRODUCT(--($AR$2:$AR$3001&lt;$AR2332))+1,"")</f>
        <v/>
      </c>
      <c r="AP2332">
        <f>IF($E2332="","",IF(OR($U2332=TRUE(),$U2332="TRUE"),1,0))</f>
        <v/>
      </c>
      <c r="AQ2332">
        <f>IF($E2332="","",IF($AD2332="Yes",1,0))</f>
        <v/>
      </c>
      <c r="AR2332">
        <f>IF($AN2332=1,IFERROR(VALUE(MID($E2332,2,20)),1000000000)+ROW()/100000,"")</f>
        <v/>
      </c>
    </row>
    <row r="2333">
      <c r="G2333" s="11" t="n"/>
      <c r="Q2333" s="7">
        <f>IF($E2333="","",P2333*AB2333/100)</f>
        <v/>
      </c>
      <c r="R2333" s="7" t="n"/>
      <c r="X2333" s="7" t="n"/>
      <c r="Y2333" s="7">
        <f>IF($E2333="","",AB2333*AE2333/100)</f>
        <v/>
      </c>
      <c r="Z2333" s="7">
        <f>IF($E2333="","",AB2333-Y2333)</f>
        <v/>
      </c>
      <c r="AA2333" s="7">
        <f>IF($E2333="","",Z2333-Q2333)</f>
        <v/>
      </c>
      <c r="AB2333" s="7" t="n"/>
      <c r="AE2333">
        <f>IF($E2333="","",IF($AQ2333=1,0,IF($AP2333=1,Settings!$C$6,Settings!$C$7))*100)</f>
        <v/>
      </c>
      <c r="AI2333" s="7" t="n"/>
      <c r="AL2333" s="11" t="n"/>
      <c r="AN2333">
        <f>IF($E2333="","",IF(COUNTIF($E$2:$E2333,$E2333)=1,1,0))</f>
        <v/>
      </c>
      <c r="AO2333">
        <f>IF($AN2333=1,SUMPRODUCT(--($AR$2:$AR$3001&lt;$AR2333))+1,"")</f>
        <v/>
      </c>
      <c r="AP2333">
        <f>IF($E2333="","",IF(OR($U2333=TRUE(),$U2333="TRUE"),1,0))</f>
        <v/>
      </c>
      <c r="AQ2333">
        <f>IF($E2333="","",IF($AD2333="Yes",1,0))</f>
        <v/>
      </c>
      <c r="AR2333">
        <f>IF($AN2333=1,IFERROR(VALUE(MID($E2333,2,20)),1000000000)+ROW()/100000,"")</f>
        <v/>
      </c>
    </row>
    <row r="2334">
      <c r="G2334" s="11" t="n"/>
      <c r="Q2334" s="7">
        <f>IF($E2334="","",P2334*AB2334/100)</f>
        <v/>
      </c>
      <c r="R2334" s="7" t="n"/>
      <c r="X2334" s="7" t="n"/>
      <c r="Y2334" s="7">
        <f>IF($E2334="","",AB2334*AE2334/100)</f>
        <v/>
      </c>
      <c r="Z2334" s="7">
        <f>IF($E2334="","",AB2334-Y2334)</f>
        <v/>
      </c>
      <c r="AA2334" s="7">
        <f>IF($E2334="","",Z2334-Q2334)</f>
        <v/>
      </c>
      <c r="AB2334" s="7" t="n"/>
      <c r="AE2334">
        <f>IF($E2334="","",IF($AQ2334=1,0,IF($AP2334=1,Settings!$C$6,Settings!$C$7))*100)</f>
        <v/>
      </c>
      <c r="AI2334" s="7" t="n"/>
      <c r="AL2334" s="11" t="n"/>
      <c r="AN2334">
        <f>IF($E2334="","",IF(COUNTIF($E$2:$E2334,$E2334)=1,1,0))</f>
        <v/>
      </c>
      <c r="AO2334">
        <f>IF($AN2334=1,SUMPRODUCT(--($AR$2:$AR$3001&lt;$AR2334))+1,"")</f>
        <v/>
      </c>
      <c r="AP2334">
        <f>IF($E2334="","",IF(OR($U2334=TRUE(),$U2334="TRUE"),1,0))</f>
        <v/>
      </c>
      <c r="AQ2334">
        <f>IF($E2334="","",IF($AD2334="Yes",1,0))</f>
        <v/>
      </c>
      <c r="AR2334">
        <f>IF($AN2334=1,IFERROR(VALUE(MID($E2334,2,20)),1000000000)+ROW()/100000,"")</f>
        <v/>
      </c>
    </row>
    <row r="2335">
      <c r="G2335" s="11" t="n"/>
      <c r="Q2335" s="7">
        <f>IF($E2335="","",P2335*AB2335/100)</f>
        <v/>
      </c>
      <c r="R2335" s="7" t="n"/>
      <c r="X2335" s="7" t="n"/>
      <c r="Y2335" s="7">
        <f>IF($E2335="","",AB2335*AE2335/100)</f>
        <v/>
      </c>
      <c r="Z2335" s="7">
        <f>IF($E2335="","",AB2335-Y2335)</f>
        <v/>
      </c>
      <c r="AA2335" s="7">
        <f>IF($E2335="","",Z2335-Q2335)</f>
        <v/>
      </c>
      <c r="AB2335" s="7" t="n"/>
      <c r="AE2335">
        <f>IF($E2335="","",IF($AQ2335=1,0,IF($AP2335=1,Settings!$C$6,Settings!$C$7))*100)</f>
        <v/>
      </c>
      <c r="AI2335" s="7" t="n"/>
      <c r="AL2335" s="11" t="n"/>
      <c r="AN2335">
        <f>IF($E2335="","",IF(COUNTIF($E$2:$E2335,$E2335)=1,1,0))</f>
        <v/>
      </c>
      <c r="AO2335">
        <f>IF($AN2335=1,SUMPRODUCT(--($AR$2:$AR$3001&lt;$AR2335))+1,"")</f>
        <v/>
      </c>
      <c r="AP2335">
        <f>IF($E2335="","",IF(OR($U2335=TRUE(),$U2335="TRUE"),1,0))</f>
        <v/>
      </c>
      <c r="AQ2335">
        <f>IF($E2335="","",IF($AD2335="Yes",1,0))</f>
        <v/>
      </c>
      <c r="AR2335">
        <f>IF($AN2335=1,IFERROR(VALUE(MID($E2335,2,20)),1000000000)+ROW()/100000,"")</f>
        <v/>
      </c>
    </row>
    <row r="2336">
      <c r="G2336" s="11" t="n"/>
      <c r="Q2336" s="7">
        <f>IF($E2336="","",P2336*AB2336/100)</f>
        <v/>
      </c>
      <c r="R2336" s="7" t="n"/>
      <c r="X2336" s="7" t="n"/>
      <c r="Y2336" s="7">
        <f>IF($E2336="","",AB2336*AE2336/100)</f>
        <v/>
      </c>
      <c r="Z2336" s="7">
        <f>IF($E2336="","",AB2336-Y2336)</f>
        <v/>
      </c>
      <c r="AA2336" s="7">
        <f>IF($E2336="","",Z2336-Q2336)</f>
        <v/>
      </c>
      <c r="AB2336" s="7" t="n"/>
      <c r="AE2336">
        <f>IF($E2336="","",IF($AQ2336=1,0,IF($AP2336=1,Settings!$C$6,Settings!$C$7))*100)</f>
        <v/>
      </c>
      <c r="AI2336" s="7" t="n"/>
      <c r="AL2336" s="11" t="n"/>
      <c r="AN2336">
        <f>IF($E2336="","",IF(COUNTIF($E$2:$E2336,$E2336)=1,1,0))</f>
        <v/>
      </c>
      <c r="AO2336">
        <f>IF($AN2336=1,SUMPRODUCT(--($AR$2:$AR$3001&lt;$AR2336))+1,"")</f>
        <v/>
      </c>
      <c r="AP2336">
        <f>IF($E2336="","",IF(OR($U2336=TRUE(),$U2336="TRUE"),1,0))</f>
        <v/>
      </c>
      <c r="AQ2336">
        <f>IF($E2336="","",IF($AD2336="Yes",1,0))</f>
        <v/>
      </c>
      <c r="AR2336">
        <f>IF($AN2336=1,IFERROR(VALUE(MID($E2336,2,20)),1000000000)+ROW()/100000,"")</f>
        <v/>
      </c>
    </row>
    <row r="2337">
      <c r="G2337" s="11" t="n"/>
      <c r="Q2337" s="7">
        <f>IF($E2337="","",P2337*AB2337/100)</f>
        <v/>
      </c>
      <c r="R2337" s="7" t="n"/>
      <c r="X2337" s="7" t="n"/>
      <c r="Y2337" s="7">
        <f>IF($E2337="","",AB2337*AE2337/100)</f>
        <v/>
      </c>
      <c r="Z2337" s="7">
        <f>IF($E2337="","",AB2337-Y2337)</f>
        <v/>
      </c>
      <c r="AA2337" s="7">
        <f>IF($E2337="","",Z2337-Q2337)</f>
        <v/>
      </c>
      <c r="AB2337" s="7" t="n"/>
      <c r="AE2337">
        <f>IF($E2337="","",IF($AQ2337=1,0,IF($AP2337=1,Settings!$C$6,Settings!$C$7))*100)</f>
        <v/>
      </c>
      <c r="AI2337" s="7" t="n"/>
      <c r="AL2337" s="11" t="n"/>
      <c r="AN2337">
        <f>IF($E2337="","",IF(COUNTIF($E$2:$E2337,$E2337)=1,1,0))</f>
        <v/>
      </c>
      <c r="AO2337">
        <f>IF($AN2337=1,SUMPRODUCT(--($AR$2:$AR$3001&lt;$AR2337))+1,"")</f>
        <v/>
      </c>
      <c r="AP2337">
        <f>IF($E2337="","",IF(OR($U2337=TRUE(),$U2337="TRUE"),1,0))</f>
        <v/>
      </c>
      <c r="AQ2337">
        <f>IF($E2337="","",IF($AD2337="Yes",1,0))</f>
        <v/>
      </c>
      <c r="AR2337">
        <f>IF($AN2337=1,IFERROR(VALUE(MID($E2337,2,20)),1000000000)+ROW()/100000,"")</f>
        <v/>
      </c>
    </row>
    <row r="2338">
      <c r="G2338" s="11" t="n"/>
      <c r="Q2338" s="7">
        <f>IF($E2338="","",P2338*AB2338/100)</f>
        <v/>
      </c>
      <c r="R2338" s="7" t="n"/>
      <c r="X2338" s="7" t="n"/>
      <c r="Y2338" s="7">
        <f>IF($E2338="","",AB2338*AE2338/100)</f>
        <v/>
      </c>
      <c r="Z2338" s="7">
        <f>IF($E2338="","",AB2338-Y2338)</f>
        <v/>
      </c>
      <c r="AA2338" s="7">
        <f>IF($E2338="","",Z2338-Q2338)</f>
        <v/>
      </c>
      <c r="AB2338" s="7" t="n"/>
      <c r="AE2338">
        <f>IF($E2338="","",IF($AQ2338=1,0,IF($AP2338=1,Settings!$C$6,Settings!$C$7))*100)</f>
        <v/>
      </c>
      <c r="AI2338" s="7" t="n"/>
      <c r="AL2338" s="11" t="n"/>
      <c r="AN2338">
        <f>IF($E2338="","",IF(COUNTIF($E$2:$E2338,$E2338)=1,1,0))</f>
        <v/>
      </c>
      <c r="AO2338">
        <f>IF($AN2338=1,SUMPRODUCT(--($AR$2:$AR$3001&lt;$AR2338))+1,"")</f>
        <v/>
      </c>
      <c r="AP2338">
        <f>IF($E2338="","",IF(OR($U2338=TRUE(),$U2338="TRUE"),1,0))</f>
        <v/>
      </c>
      <c r="AQ2338">
        <f>IF($E2338="","",IF($AD2338="Yes",1,0))</f>
        <v/>
      </c>
      <c r="AR2338">
        <f>IF($AN2338=1,IFERROR(VALUE(MID($E2338,2,20)),1000000000)+ROW()/100000,"")</f>
        <v/>
      </c>
    </row>
    <row r="2339">
      <c r="G2339" s="11" t="n"/>
      <c r="Q2339" s="7">
        <f>IF($E2339="","",P2339*AB2339/100)</f>
        <v/>
      </c>
      <c r="R2339" s="7" t="n"/>
      <c r="X2339" s="7" t="n"/>
      <c r="Y2339" s="7">
        <f>IF($E2339="","",AB2339*AE2339/100)</f>
        <v/>
      </c>
      <c r="Z2339" s="7">
        <f>IF($E2339="","",AB2339-Y2339)</f>
        <v/>
      </c>
      <c r="AA2339" s="7">
        <f>IF($E2339="","",Z2339-Q2339)</f>
        <v/>
      </c>
      <c r="AB2339" s="7" t="n"/>
      <c r="AE2339">
        <f>IF($E2339="","",IF($AQ2339=1,0,IF($AP2339=1,Settings!$C$6,Settings!$C$7))*100)</f>
        <v/>
      </c>
      <c r="AI2339" s="7" t="n"/>
      <c r="AL2339" s="11" t="n"/>
      <c r="AN2339">
        <f>IF($E2339="","",IF(COUNTIF($E$2:$E2339,$E2339)=1,1,0))</f>
        <v/>
      </c>
      <c r="AO2339">
        <f>IF($AN2339=1,SUMPRODUCT(--($AR$2:$AR$3001&lt;$AR2339))+1,"")</f>
        <v/>
      </c>
      <c r="AP2339">
        <f>IF($E2339="","",IF(OR($U2339=TRUE(),$U2339="TRUE"),1,0))</f>
        <v/>
      </c>
      <c r="AQ2339">
        <f>IF($E2339="","",IF($AD2339="Yes",1,0))</f>
        <v/>
      </c>
      <c r="AR2339">
        <f>IF($AN2339=1,IFERROR(VALUE(MID($E2339,2,20)),1000000000)+ROW()/100000,"")</f>
        <v/>
      </c>
    </row>
    <row r="2340">
      <c r="G2340" s="11" t="n"/>
      <c r="Q2340" s="7">
        <f>IF($E2340="","",P2340*AB2340/100)</f>
        <v/>
      </c>
      <c r="R2340" s="7" t="n"/>
      <c r="X2340" s="7" t="n"/>
      <c r="Y2340" s="7">
        <f>IF($E2340="","",AB2340*AE2340/100)</f>
        <v/>
      </c>
      <c r="Z2340" s="7">
        <f>IF($E2340="","",AB2340-Y2340)</f>
        <v/>
      </c>
      <c r="AA2340" s="7">
        <f>IF($E2340="","",Z2340-Q2340)</f>
        <v/>
      </c>
      <c r="AB2340" s="7" t="n"/>
      <c r="AE2340">
        <f>IF($E2340="","",IF($AQ2340=1,0,IF($AP2340=1,Settings!$C$6,Settings!$C$7))*100)</f>
        <v/>
      </c>
      <c r="AI2340" s="7" t="n"/>
      <c r="AL2340" s="11" t="n"/>
      <c r="AN2340">
        <f>IF($E2340="","",IF(COUNTIF($E$2:$E2340,$E2340)=1,1,0))</f>
        <v/>
      </c>
      <c r="AO2340">
        <f>IF($AN2340=1,SUMPRODUCT(--($AR$2:$AR$3001&lt;$AR2340))+1,"")</f>
        <v/>
      </c>
      <c r="AP2340">
        <f>IF($E2340="","",IF(OR($U2340=TRUE(),$U2340="TRUE"),1,0))</f>
        <v/>
      </c>
      <c r="AQ2340">
        <f>IF($E2340="","",IF($AD2340="Yes",1,0))</f>
        <v/>
      </c>
      <c r="AR2340">
        <f>IF($AN2340=1,IFERROR(VALUE(MID($E2340,2,20)),1000000000)+ROW()/100000,"")</f>
        <v/>
      </c>
    </row>
    <row r="2341">
      <c r="G2341" s="11" t="n"/>
      <c r="Q2341" s="7">
        <f>IF($E2341="","",P2341*AB2341/100)</f>
        <v/>
      </c>
      <c r="R2341" s="7" t="n"/>
      <c r="X2341" s="7" t="n"/>
      <c r="Y2341" s="7">
        <f>IF($E2341="","",AB2341*AE2341/100)</f>
        <v/>
      </c>
      <c r="Z2341" s="7">
        <f>IF($E2341="","",AB2341-Y2341)</f>
        <v/>
      </c>
      <c r="AA2341" s="7">
        <f>IF($E2341="","",Z2341-Q2341)</f>
        <v/>
      </c>
      <c r="AB2341" s="7" t="n"/>
      <c r="AE2341">
        <f>IF($E2341="","",IF($AQ2341=1,0,IF($AP2341=1,Settings!$C$6,Settings!$C$7))*100)</f>
        <v/>
      </c>
      <c r="AI2341" s="7" t="n"/>
      <c r="AL2341" s="11" t="n"/>
      <c r="AN2341">
        <f>IF($E2341="","",IF(COUNTIF($E$2:$E2341,$E2341)=1,1,0))</f>
        <v/>
      </c>
      <c r="AO2341">
        <f>IF($AN2341=1,SUMPRODUCT(--($AR$2:$AR$3001&lt;$AR2341))+1,"")</f>
        <v/>
      </c>
      <c r="AP2341">
        <f>IF($E2341="","",IF(OR($U2341=TRUE(),$U2341="TRUE"),1,0))</f>
        <v/>
      </c>
      <c r="AQ2341">
        <f>IF($E2341="","",IF($AD2341="Yes",1,0))</f>
        <v/>
      </c>
      <c r="AR2341">
        <f>IF($AN2341=1,IFERROR(VALUE(MID($E2341,2,20)),1000000000)+ROW()/100000,"")</f>
        <v/>
      </c>
    </row>
    <row r="2342">
      <c r="G2342" s="11" t="n"/>
      <c r="Q2342" s="7">
        <f>IF($E2342="","",P2342*AB2342/100)</f>
        <v/>
      </c>
      <c r="R2342" s="7" t="n"/>
      <c r="X2342" s="7" t="n"/>
      <c r="Y2342" s="7">
        <f>IF($E2342="","",AB2342*AE2342/100)</f>
        <v/>
      </c>
      <c r="Z2342" s="7">
        <f>IF($E2342="","",AB2342-Y2342)</f>
        <v/>
      </c>
      <c r="AA2342" s="7">
        <f>IF($E2342="","",Z2342-Q2342)</f>
        <v/>
      </c>
      <c r="AB2342" s="7" t="n"/>
      <c r="AE2342">
        <f>IF($E2342="","",IF($AQ2342=1,0,IF($AP2342=1,Settings!$C$6,Settings!$C$7))*100)</f>
        <v/>
      </c>
      <c r="AI2342" s="7" t="n"/>
      <c r="AL2342" s="11" t="n"/>
      <c r="AN2342">
        <f>IF($E2342="","",IF(COUNTIF($E$2:$E2342,$E2342)=1,1,0))</f>
        <v/>
      </c>
      <c r="AO2342">
        <f>IF($AN2342=1,SUMPRODUCT(--($AR$2:$AR$3001&lt;$AR2342))+1,"")</f>
        <v/>
      </c>
      <c r="AP2342">
        <f>IF($E2342="","",IF(OR($U2342=TRUE(),$U2342="TRUE"),1,0))</f>
        <v/>
      </c>
      <c r="AQ2342">
        <f>IF($E2342="","",IF($AD2342="Yes",1,0))</f>
        <v/>
      </c>
      <c r="AR2342">
        <f>IF($AN2342=1,IFERROR(VALUE(MID($E2342,2,20)),1000000000)+ROW()/100000,"")</f>
        <v/>
      </c>
    </row>
    <row r="2343">
      <c r="G2343" s="11" t="n"/>
      <c r="Q2343" s="7">
        <f>IF($E2343="","",P2343*AB2343/100)</f>
        <v/>
      </c>
      <c r="R2343" s="7" t="n"/>
      <c r="X2343" s="7" t="n"/>
      <c r="Y2343" s="7">
        <f>IF($E2343="","",AB2343*AE2343/100)</f>
        <v/>
      </c>
      <c r="Z2343" s="7">
        <f>IF($E2343="","",AB2343-Y2343)</f>
        <v/>
      </c>
      <c r="AA2343" s="7">
        <f>IF($E2343="","",Z2343-Q2343)</f>
        <v/>
      </c>
      <c r="AB2343" s="7" t="n"/>
      <c r="AE2343">
        <f>IF($E2343="","",IF($AQ2343=1,0,IF($AP2343=1,Settings!$C$6,Settings!$C$7))*100)</f>
        <v/>
      </c>
      <c r="AI2343" s="7" t="n"/>
      <c r="AL2343" s="11" t="n"/>
      <c r="AN2343">
        <f>IF($E2343="","",IF(COUNTIF($E$2:$E2343,$E2343)=1,1,0))</f>
        <v/>
      </c>
      <c r="AO2343">
        <f>IF($AN2343=1,SUMPRODUCT(--($AR$2:$AR$3001&lt;$AR2343))+1,"")</f>
        <v/>
      </c>
      <c r="AP2343">
        <f>IF($E2343="","",IF(OR($U2343=TRUE(),$U2343="TRUE"),1,0))</f>
        <v/>
      </c>
      <c r="AQ2343">
        <f>IF($E2343="","",IF($AD2343="Yes",1,0))</f>
        <v/>
      </c>
      <c r="AR2343">
        <f>IF($AN2343=1,IFERROR(VALUE(MID($E2343,2,20)),1000000000)+ROW()/100000,"")</f>
        <v/>
      </c>
    </row>
    <row r="2344">
      <c r="G2344" s="11" t="n"/>
      <c r="Q2344" s="7">
        <f>IF($E2344="","",P2344*AB2344/100)</f>
        <v/>
      </c>
      <c r="R2344" s="7" t="n"/>
      <c r="X2344" s="7" t="n"/>
      <c r="Y2344" s="7">
        <f>IF($E2344="","",AB2344*AE2344/100)</f>
        <v/>
      </c>
      <c r="Z2344" s="7">
        <f>IF($E2344="","",AB2344-Y2344)</f>
        <v/>
      </c>
      <c r="AA2344" s="7">
        <f>IF($E2344="","",Z2344-Q2344)</f>
        <v/>
      </c>
      <c r="AB2344" s="7" t="n"/>
      <c r="AE2344">
        <f>IF($E2344="","",IF($AQ2344=1,0,IF($AP2344=1,Settings!$C$6,Settings!$C$7))*100)</f>
        <v/>
      </c>
      <c r="AI2344" s="7" t="n"/>
      <c r="AL2344" s="11" t="n"/>
      <c r="AN2344">
        <f>IF($E2344="","",IF(COUNTIF($E$2:$E2344,$E2344)=1,1,0))</f>
        <v/>
      </c>
      <c r="AO2344">
        <f>IF($AN2344=1,SUMPRODUCT(--($AR$2:$AR$3001&lt;$AR2344))+1,"")</f>
        <v/>
      </c>
      <c r="AP2344">
        <f>IF($E2344="","",IF(OR($U2344=TRUE(),$U2344="TRUE"),1,0))</f>
        <v/>
      </c>
      <c r="AQ2344">
        <f>IF($E2344="","",IF($AD2344="Yes",1,0))</f>
        <v/>
      </c>
      <c r="AR2344">
        <f>IF($AN2344=1,IFERROR(VALUE(MID($E2344,2,20)),1000000000)+ROW()/100000,"")</f>
        <v/>
      </c>
    </row>
    <row r="2345">
      <c r="G2345" s="11" t="n"/>
      <c r="Q2345" s="7">
        <f>IF($E2345="","",P2345*AB2345/100)</f>
        <v/>
      </c>
      <c r="R2345" s="7" t="n"/>
      <c r="X2345" s="7" t="n"/>
      <c r="Y2345" s="7">
        <f>IF($E2345="","",AB2345*AE2345/100)</f>
        <v/>
      </c>
      <c r="Z2345" s="7">
        <f>IF($E2345="","",AB2345-Y2345)</f>
        <v/>
      </c>
      <c r="AA2345" s="7">
        <f>IF($E2345="","",Z2345-Q2345)</f>
        <v/>
      </c>
      <c r="AB2345" s="7" t="n"/>
      <c r="AE2345">
        <f>IF($E2345="","",IF($AQ2345=1,0,IF($AP2345=1,Settings!$C$6,Settings!$C$7))*100)</f>
        <v/>
      </c>
      <c r="AI2345" s="7" t="n"/>
      <c r="AL2345" s="11" t="n"/>
      <c r="AN2345">
        <f>IF($E2345="","",IF(COUNTIF($E$2:$E2345,$E2345)=1,1,0))</f>
        <v/>
      </c>
      <c r="AO2345">
        <f>IF($AN2345=1,SUMPRODUCT(--($AR$2:$AR$3001&lt;$AR2345))+1,"")</f>
        <v/>
      </c>
      <c r="AP2345">
        <f>IF($E2345="","",IF(OR($U2345=TRUE(),$U2345="TRUE"),1,0))</f>
        <v/>
      </c>
      <c r="AQ2345">
        <f>IF($E2345="","",IF($AD2345="Yes",1,0))</f>
        <v/>
      </c>
      <c r="AR2345">
        <f>IF($AN2345=1,IFERROR(VALUE(MID($E2345,2,20)),1000000000)+ROW()/100000,"")</f>
        <v/>
      </c>
    </row>
    <row r="2346">
      <c r="G2346" s="11" t="n"/>
      <c r="Q2346" s="7">
        <f>IF($E2346="","",P2346*AB2346/100)</f>
        <v/>
      </c>
      <c r="R2346" s="7" t="n"/>
      <c r="X2346" s="7" t="n"/>
      <c r="Y2346" s="7">
        <f>IF($E2346="","",AB2346*AE2346/100)</f>
        <v/>
      </c>
      <c r="Z2346" s="7">
        <f>IF($E2346="","",AB2346-Y2346)</f>
        <v/>
      </c>
      <c r="AA2346" s="7">
        <f>IF($E2346="","",Z2346-Q2346)</f>
        <v/>
      </c>
      <c r="AB2346" s="7" t="n"/>
      <c r="AE2346">
        <f>IF($E2346="","",IF($AQ2346=1,0,IF($AP2346=1,Settings!$C$6,Settings!$C$7))*100)</f>
        <v/>
      </c>
      <c r="AI2346" s="7" t="n"/>
      <c r="AL2346" s="11" t="n"/>
      <c r="AN2346">
        <f>IF($E2346="","",IF(COUNTIF($E$2:$E2346,$E2346)=1,1,0))</f>
        <v/>
      </c>
      <c r="AO2346">
        <f>IF($AN2346=1,SUMPRODUCT(--($AR$2:$AR$3001&lt;$AR2346))+1,"")</f>
        <v/>
      </c>
      <c r="AP2346">
        <f>IF($E2346="","",IF(OR($U2346=TRUE(),$U2346="TRUE"),1,0))</f>
        <v/>
      </c>
      <c r="AQ2346">
        <f>IF($E2346="","",IF($AD2346="Yes",1,0))</f>
        <v/>
      </c>
      <c r="AR2346">
        <f>IF($AN2346=1,IFERROR(VALUE(MID($E2346,2,20)),1000000000)+ROW()/100000,"")</f>
        <v/>
      </c>
    </row>
    <row r="2347">
      <c r="G2347" s="11" t="n"/>
      <c r="Q2347" s="7">
        <f>IF($E2347="","",P2347*AB2347/100)</f>
        <v/>
      </c>
      <c r="R2347" s="7" t="n"/>
      <c r="X2347" s="7" t="n"/>
      <c r="Y2347" s="7">
        <f>IF($E2347="","",AB2347*AE2347/100)</f>
        <v/>
      </c>
      <c r="Z2347" s="7">
        <f>IF($E2347="","",AB2347-Y2347)</f>
        <v/>
      </c>
      <c r="AA2347" s="7">
        <f>IF($E2347="","",Z2347-Q2347)</f>
        <v/>
      </c>
      <c r="AB2347" s="7" t="n"/>
      <c r="AE2347">
        <f>IF($E2347="","",IF($AQ2347=1,0,IF($AP2347=1,Settings!$C$6,Settings!$C$7))*100)</f>
        <v/>
      </c>
      <c r="AI2347" s="7" t="n"/>
      <c r="AL2347" s="11" t="n"/>
      <c r="AN2347">
        <f>IF($E2347="","",IF(COUNTIF($E$2:$E2347,$E2347)=1,1,0))</f>
        <v/>
      </c>
      <c r="AO2347">
        <f>IF($AN2347=1,SUMPRODUCT(--($AR$2:$AR$3001&lt;$AR2347))+1,"")</f>
        <v/>
      </c>
      <c r="AP2347">
        <f>IF($E2347="","",IF(OR($U2347=TRUE(),$U2347="TRUE"),1,0))</f>
        <v/>
      </c>
      <c r="AQ2347">
        <f>IF($E2347="","",IF($AD2347="Yes",1,0))</f>
        <v/>
      </c>
      <c r="AR2347">
        <f>IF($AN2347=1,IFERROR(VALUE(MID($E2347,2,20)),1000000000)+ROW()/100000,"")</f>
        <v/>
      </c>
    </row>
    <row r="2348">
      <c r="G2348" s="11" t="n"/>
      <c r="Q2348" s="7">
        <f>IF($E2348="","",P2348*AB2348/100)</f>
        <v/>
      </c>
      <c r="R2348" s="7" t="n"/>
      <c r="X2348" s="7" t="n"/>
      <c r="Y2348" s="7">
        <f>IF($E2348="","",AB2348*AE2348/100)</f>
        <v/>
      </c>
      <c r="Z2348" s="7">
        <f>IF($E2348="","",AB2348-Y2348)</f>
        <v/>
      </c>
      <c r="AA2348" s="7">
        <f>IF($E2348="","",Z2348-Q2348)</f>
        <v/>
      </c>
      <c r="AB2348" s="7" t="n"/>
      <c r="AE2348">
        <f>IF($E2348="","",IF($AQ2348=1,0,IF($AP2348=1,Settings!$C$6,Settings!$C$7))*100)</f>
        <v/>
      </c>
      <c r="AI2348" s="7" t="n"/>
      <c r="AL2348" s="11" t="n"/>
      <c r="AN2348">
        <f>IF($E2348="","",IF(COUNTIF($E$2:$E2348,$E2348)=1,1,0))</f>
        <v/>
      </c>
      <c r="AO2348">
        <f>IF($AN2348=1,SUMPRODUCT(--($AR$2:$AR$3001&lt;$AR2348))+1,"")</f>
        <v/>
      </c>
      <c r="AP2348">
        <f>IF($E2348="","",IF(OR($U2348=TRUE(),$U2348="TRUE"),1,0))</f>
        <v/>
      </c>
      <c r="AQ2348">
        <f>IF($E2348="","",IF($AD2348="Yes",1,0))</f>
        <v/>
      </c>
      <c r="AR2348">
        <f>IF($AN2348=1,IFERROR(VALUE(MID($E2348,2,20)),1000000000)+ROW()/100000,"")</f>
        <v/>
      </c>
    </row>
    <row r="2349">
      <c r="G2349" s="11" t="n"/>
      <c r="Q2349" s="7">
        <f>IF($E2349="","",P2349*AB2349/100)</f>
        <v/>
      </c>
      <c r="R2349" s="7" t="n"/>
      <c r="X2349" s="7" t="n"/>
      <c r="Y2349" s="7">
        <f>IF($E2349="","",AB2349*AE2349/100)</f>
        <v/>
      </c>
      <c r="Z2349" s="7">
        <f>IF($E2349="","",AB2349-Y2349)</f>
        <v/>
      </c>
      <c r="AA2349" s="7">
        <f>IF($E2349="","",Z2349-Q2349)</f>
        <v/>
      </c>
      <c r="AB2349" s="7" t="n"/>
      <c r="AE2349">
        <f>IF($E2349="","",IF($AQ2349=1,0,IF($AP2349=1,Settings!$C$6,Settings!$C$7))*100)</f>
        <v/>
      </c>
      <c r="AI2349" s="7" t="n"/>
      <c r="AL2349" s="11" t="n"/>
      <c r="AN2349">
        <f>IF($E2349="","",IF(COUNTIF($E$2:$E2349,$E2349)=1,1,0))</f>
        <v/>
      </c>
      <c r="AO2349">
        <f>IF($AN2349=1,SUMPRODUCT(--($AR$2:$AR$3001&lt;$AR2349))+1,"")</f>
        <v/>
      </c>
      <c r="AP2349">
        <f>IF($E2349="","",IF(OR($U2349=TRUE(),$U2349="TRUE"),1,0))</f>
        <v/>
      </c>
      <c r="AQ2349">
        <f>IF($E2349="","",IF($AD2349="Yes",1,0))</f>
        <v/>
      </c>
      <c r="AR2349">
        <f>IF($AN2349=1,IFERROR(VALUE(MID($E2349,2,20)),1000000000)+ROW()/100000,"")</f>
        <v/>
      </c>
    </row>
    <row r="2350">
      <c r="G2350" s="11" t="n"/>
      <c r="Q2350" s="7">
        <f>IF($E2350="","",P2350*AB2350/100)</f>
        <v/>
      </c>
      <c r="R2350" s="7" t="n"/>
      <c r="X2350" s="7" t="n"/>
      <c r="Y2350" s="7">
        <f>IF($E2350="","",AB2350*AE2350/100)</f>
        <v/>
      </c>
      <c r="Z2350" s="7">
        <f>IF($E2350="","",AB2350-Y2350)</f>
        <v/>
      </c>
      <c r="AA2350" s="7">
        <f>IF($E2350="","",Z2350-Q2350)</f>
        <v/>
      </c>
      <c r="AB2350" s="7" t="n"/>
      <c r="AE2350">
        <f>IF($E2350="","",IF($AQ2350=1,0,IF($AP2350=1,Settings!$C$6,Settings!$C$7))*100)</f>
        <v/>
      </c>
      <c r="AI2350" s="7" t="n"/>
      <c r="AL2350" s="11" t="n"/>
      <c r="AN2350">
        <f>IF($E2350="","",IF(COUNTIF($E$2:$E2350,$E2350)=1,1,0))</f>
        <v/>
      </c>
      <c r="AO2350">
        <f>IF($AN2350=1,SUMPRODUCT(--($AR$2:$AR$3001&lt;$AR2350))+1,"")</f>
        <v/>
      </c>
      <c r="AP2350">
        <f>IF($E2350="","",IF(OR($U2350=TRUE(),$U2350="TRUE"),1,0))</f>
        <v/>
      </c>
      <c r="AQ2350">
        <f>IF($E2350="","",IF($AD2350="Yes",1,0))</f>
        <v/>
      </c>
      <c r="AR2350">
        <f>IF($AN2350=1,IFERROR(VALUE(MID($E2350,2,20)),1000000000)+ROW()/100000,"")</f>
        <v/>
      </c>
    </row>
    <row r="2351">
      <c r="G2351" s="11" t="n"/>
      <c r="Q2351" s="7">
        <f>IF($E2351="","",P2351*AB2351/100)</f>
        <v/>
      </c>
      <c r="R2351" s="7" t="n"/>
      <c r="X2351" s="7" t="n"/>
      <c r="Y2351" s="7">
        <f>IF($E2351="","",AB2351*AE2351/100)</f>
        <v/>
      </c>
      <c r="Z2351" s="7">
        <f>IF($E2351="","",AB2351-Y2351)</f>
        <v/>
      </c>
      <c r="AA2351" s="7">
        <f>IF($E2351="","",Z2351-Q2351)</f>
        <v/>
      </c>
      <c r="AB2351" s="7" t="n"/>
      <c r="AE2351">
        <f>IF($E2351="","",IF($AQ2351=1,0,IF($AP2351=1,Settings!$C$6,Settings!$C$7))*100)</f>
        <v/>
      </c>
      <c r="AI2351" s="7" t="n"/>
      <c r="AL2351" s="11" t="n"/>
      <c r="AN2351">
        <f>IF($E2351="","",IF(COUNTIF($E$2:$E2351,$E2351)=1,1,0))</f>
        <v/>
      </c>
      <c r="AO2351">
        <f>IF($AN2351=1,SUMPRODUCT(--($AR$2:$AR$3001&lt;$AR2351))+1,"")</f>
        <v/>
      </c>
      <c r="AP2351">
        <f>IF($E2351="","",IF(OR($U2351=TRUE(),$U2351="TRUE"),1,0))</f>
        <v/>
      </c>
      <c r="AQ2351">
        <f>IF($E2351="","",IF($AD2351="Yes",1,0))</f>
        <v/>
      </c>
      <c r="AR2351">
        <f>IF($AN2351=1,IFERROR(VALUE(MID($E2351,2,20)),1000000000)+ROW()/100000,"")</f>
        <v/>
      </c>
    </row>
    <row r="2352">
      <c r="G2352" s="11" t="n"/>
      <c r="Q2352" s="7">
        <f>IF($E2352="","",P2352*AB2352/100)</f>
        <v/>
      </c>
      <c r="R2352" s="7" t="n"/>
      <c r="X2352" s="7" t="n"/>
      <c r="Y2352" s="7">
        <f>IF($E2352="","",AB2352*AE2352/100)</f>
        <v/>
      </c>
      <c r="Z2352" s="7">
        <f>IF($E2352="","",AB2352-Y2352)</f>
        <v/>
      </c>
      <c r="AA2352" s="7">
        <f>IF($E2352="","",Z2352-Q2352)</f>
        <v/>
      </c>
      <c r="AB2352" s="7" t="n"/>
      <c r="AE2352">
        <f>IF($E2352="","",IF($AQ2352=1,0,IF($AP2352=1,Settings!$C$6,Settings!$C$7))*100)</f>
        <v/>
      </c>
      <c r="AI2352" s="7" t="n"/>
      <c r="AL2352" s="11" t="n"/>
      <c r="AN2352">
        <f>IF($E2352="","",IF(COUNTIF($E$2:$E2352,$E2352)=1,1,0))</f>
        <v/>
      </c>
      <c r="AO2352">
        <f>IF($AN2352=1,SUMPRODUCT(--($AR$2:$AR$3001&lt;$AR2352))+1,"")</f>
        <v/>
      </c>
      <c r="AP2352">
        <f>IF($E2352="","",IF(OR($U2352=TRUE(),$U2352="TRUE"),1,0))</f>
        <v/>
      </c>
      <c r="AQ2352">
        <f>IF($E2352="","",IF($AD2352="Yes",1,0))</f>
        <v/>
      </c>
      <c r="AR2352">
        <f>IF($AN2352=1,IFERROR(VALUE(MID($E2352,2,20)),1000000000)+ROW()/100000,"")</f>
        <v/>
      </c>
    </row>
    <row r="2353">
      <c r="G2353" s="11" t="n"/>
      <c r="Q2353" s="7">
        <f>IF($E2353="","",P2353*AB2353/100)</f>
        <v/>
      </c>
      <c r="R2353" s="7" t="n"/>
      <c r="X2353" s="7" t="n"/>
      <c r="Y2353" s="7">
        <f>IF($E2353="","",AB2353*AE2353/100)</f>
        <v/>
      </c>
      <c r="Z2353" s="7">
        <f>IF($E2353="","",AB2353-Y2353)</f>
        <v/>
      </c>
      <c r="AA2353" s="7">
        <f>IF($E2353="","",Z2353-Q2353)</f>
        <v/>
      </c>
      <c r="AB2353" s="7" t="n"/>
      <c r="AE2353">
        <f>IF($E2353="","",IF($AQ2353=1,0,IF($AP2353=1,Settings!$C$6,Settings!$C$7))*100)</f>
        <v/>
      </c>
      <c r="AI2353" s="7" t="n"/>
      <c r="AL2353" s="11" t="n"/>
      <c r="AN2353">
        <f>IF($E2353="","",IF(COUNTIF($E$2:$E2353,$E2353)=1,1,0))</f>
        <v/>
      </c>
      <c r="AO2353">
        <f>IF($AN2353=1,SUMPRODUCT(--($AR$2:$AR$3001&lt;$AR2353))+1,"")</f>
        <v/>
      </c>
      <c r="AP2353">
        <f>IF($E2353="","",IF(OR($U2353=TRUE(),$U2353="TRUE"),1,0))</f>
        <v/>
      </c>
      <c r="AQ2353">
        <f>IF($E2353="","",IF($AD2353="Yes",1,0))</f>
        <v/>
      </c>
      <c r="AR2353">
        <f>IF($AN2353=1,IFERROR(VALUE(MID($E2353,2,20)),1000000000)+ROW()/100000,"")</f>
        <v/>
      </c>
    </row>
    <row r="2354">
      <c r="G2354" s="11" t="n"/>
      <c r="Q2354" s="7">
        <f>IF($E2354="","",P2354*AB2354/100)</f>
        <v/>
      </c>
      <c r="R2354" s="7" t="n"/>
      <c r="X2354" s="7" t="n"/>
      <c r="Y2354" s="7">
        <f>IF($E2354="","",AB2354*AE2354/100)</f>
        <v/>
      </c>
      <c r="Z2354" s="7">
        <f>IF($E2354="","",AB2354-Y2354)</f>
        <v/>
      </c>
      <c r="AA2354" s="7">
        <f>IF($E2354="","",Z2354-Q2354)</f>
        <v/>
      </c>
      <c r="AB2354" s="7" t="n"/>
      <c r="AE2354">
        <f>IF($E2354="","",IF($AQ2354=1,0,IF($AP2354=1,Settings!$C$6,Settings!$C$7))*100)</f>
        <v/>
      </c>
      <c r="AI2354" s="7" t="n"/>
      <c r="AL2354" s="11" t="n"/>
      <c r="AN2354">
        <f>IF($E2354="","",IF(COUNTIF($E$2:$E2354,$E2354)=1,1,0))</f>
        <v/>
      </c>
      <c r="AO2354">
        <f>IF($AN2354=1,SUMPRODUCT(--($AR$2:$AR$3001&lt;$AR2354))+1,"")</f>
        <v/>
      </c>
      <c r="AP2354">
        <f>IF($E2354="","",IF(OR($U2354=TRUE(),$U2354="TRUE"),1,0))</f>
        <v/>
      </c>
      <c r="AQ2354">
        <f>IF($E2354="","",IF($AD2354="Yes",1,0))</f>
        <v/>
      </c>
      <c r="AR2354">
        <f>IF($AN2354=1,IFERROR(VALUE(MID($E2354,2,20)),1000000000)+ROW()/100000,"")</f>
        <v/>
      </c>
    </row>
    <row r="2355">
      <c r="G2355" s="11" t="n"/>
      <c r="Q2355" s="7">
        <f>IF($E2355="","",P2355*AB2355/100)</f>
        <v/>
      </c>
      <c r="R2355" s="7" t="n"/>
      <c r="X2355" s="7" t="n"/>
      <c r="Y2355" s="7">
        <f>IF($E2355="","",AB2355*AE2355/100)</f>
        <v/>
      </c>
      <c r="Z2355" s="7">
        <f>IF($E2355="","",AB2355-Y2355)</f>
        <v/>
      </c>
      <c r="AA2355" s="7">
        <f>IF($E2355="","",Z2355-Q2355)</f>
        <v/>
      </c>
      <c r="AB2355" s="7" t="n"/>
      <c r="AE2355">
        <f>IF($E2355="","",IF($AQ2355=1,0,IF($AP2355=1,Settings!$C$6,Settings!$C$7))*100)</f>
        <v/>
      </c>
      <c r="AI2355" s="7" t="n"/>
      <c r="AL2355" s="11" t="n"/>
      <c r="AN2355">
        <f>IF($E2355="","",IF(COUNTIF($E$2:$E2355,$E2355)=1,1,0))</f>
        <v/>
      </c>
      <c r="AO2355">
        <f>IF($AN2355=1,SUMPRODUCT(--($AR$2:$AR$3001&lt;$AR2355))+1,"")</f>
        <v/>
      </c>
      <c r="AP2355">
        <f>IF($E2355="","",IF(OR($U2355=TRUE(),$U2355="TRUE"),1,0))</f>
        <v/>
      </c>
      <c r="AQ2355">
        <f>IF($E2355="","",IF($AD2355="Yes",1,0))</f>
        <v/>
      </c>
      <c r="AR2355">
        <f>IF($AN2355=1,IFERROR(VALUE(MID($E2355,2,20)),1000000000)+ROW()/100000,"")</f>
        <v/>
      </c>
    </row>
    <row r="2356">
      <c r="G2356" s="11" t="n"/>
      <c r="Q2356" s="7">
        <f>IF($E2356="","",P2356*AB2356/100)</f>
        <v/>
      </c>
      <c r="R2356" s="7" t="n"/>
      <c r="X2356" s="7" t="n"/>
      <c r="Y2356" s="7">
        <f>IF($E2356="","",AB2356*AE2356/100)</f>
        <v/>
      </c>
      <c r="Z2356" s="7">
        <f>IF($E2356="","",AB2356-Y2356)</f>
        <v/>
      </c>
      <c r="AA2356" s="7">
        <f>IF($E2356="","",Z2356-Q2356)</f>
        <v/>
      </c>
      <c r="AB2356" s="7" t="n"/>
      <c r="AE2356">
        <f>IF($E2356="","",IF($AQ2356=1,0,IF($AP2356=1,Settings!$C$6,Settings!$C$7))*100)</f>
        <v/>
      </c>
      <c r="AI2356" s="7" t="n"/>
      <c r="AL2356" s="11" t="n"/>
      <c r="AN2356">
        <f>IF($E2356="","",IF(COUNTIF($E$2:$E2356,$E2356)=1,1,0))</f>
        <v/>
      </c>
      <c r="AO2356">
        <f>IF($AN2356=1,SUMPRODUCT(--($AR$2:$AR$3001&lt;$AR2356))+1,"")</f>
        <v/>
      </c>
      <c r="AP2356">
        <f>IF($E2356="","",IF(OR($U2356=TRUE(),$U2356="TRUE"),1,0))</f>
        <v/>
      </c>
      <c r="AQ2356">
        <f>IF($E2356="","",IF($AD2356="Yes",1,0))</f>
        <v/>
      </c>
      <c r="AR2356">
        <f>IF($AN2356=1,IFERROR(VALUE(MID($E2356,2,20)),1000000000)+ROW()/100000,"")</f>
        <v/>
      </c>
    </row>
    <row r="2357">
      <c r="G2357" s="11" t="n"/>
      <c r="Q2357" s="7">
        <f>IF($E2357="","",P2357*AB2357/100)</f>
        <v/>
      </c>
      <c r="R2357" s="7" t="n"/>
      <c r="X2357" s="7" t="n"/>
      <c r="Y2357" s="7">
        <f>IF($E2357="","",AB2357*AE2357/100)</f>
        <v/>
      </c>
      <c r="Z2357" s="7">
        <f>IF($E2357="","",AB2357-Y2357)</f>
        <v/>
      </c>
      <c r="AA2357" s="7">
        <f>IF($E2357="","",Z2357-Q2357)</f>
        <v/>
      </c>
      <c r="AB2357" s="7" t="n"/>
      <c r="AE2357">
        <f>IF($E2357="","",IF($AQ2357=1,0,IF($AP2357=1,Settings!$C$6,Settings!$C$7))*100)</f>
        <v/>
      </c>
      <c r="AI2357" s="7" t="n"/>
      <c r="AL2357" s="11" t="n"/>
      <c r="AN2357">
        <f>IF($E2357="","",IF(COUNTIF($E$2:$E2357,$E2357)=1,1,0))</f>
        <v/>
      </c>
      <c r="AO2357">
        <f>IF($AN2357=1,SUMPRODUCT(--($AR$2:$AR$3001&lt;$AR2357))+1,"")</f>
        <v/>
      </c>
      <c r="AP2357">
        <f>IF($E2357="","",IF(OR($U2357=TRUE(),$U2357="TRUE"),1,0))</f>
        <v/>
      </c>
      <c r="AQ2357">
        <f>IF($E2357="","",IF($AD2357="Yes",1,0))</f>
        <v/>
      </c>
      <c r="AR2357">
        <f>IF($AN2357=1,IFERROR(VALUE(MID($E2357,2,20)),1000000000)+ROW()/100000,"")</f>
        <v/>
      </c>
    </row>
    <row r="2358">
      <c r="G2358" s="11" t="n"/>
      <c r="Q2358" s="7">
        <f>IF($E2358="","",P2358*AB2358/100)</f>
        <v/>
      </c>
      <c r="R2358" s="7" t="n"/>
      <c r="X2358" s="7" t="n"/>
      <c r="Y2358" s="7">
        <f>IF($E2358="","",AB2358*AE2358/100)</f>
        <v/>
      </c>
      <c r="Z2358" s="7">
        <f>IF($E2358="","",AB2358-Y2358)</f>
        <v/>
      </c>
      <c r="AA2358" s="7">
        <f>IF($E2358="","",Z2358-Q2358)</f>
        <v/>
      </c>
      <c r="AB2358" s="7" t="n"/>
      <c r="AE2358">
        <f>IF($E2358="","",IF($AQ2358=1,0,IF($AP2358=1,Settings!$C$6,Settings!$C$7))*100)</f>
        <v/>
      </c>
      <c r="AI2358" s="7" t="n"/>
      <c r="AL2358" s="11" t="n"/>
      <c r="AN2358">
        <f>IF($E2358="","",IF(COUNTIF($E$2:$E2358,$E2358)=1,1,0))</f>
        <v/>
      </c>
      <c r="AO2358">
        <f>IF($AN2358=1,SUMPRODUCT(--($AR$2:$AR$3001&lt;$AR2358))+1,"")</f>
        <v/>
      </c>
      <c r="AP2358">
        <f>IF($E2358="","",IF(OR($U2358=TRUE(),$U2358="TRUE"),1,0))</f>
        <v/>
      </c>
      <c r="AQ2358">
        <f>IF($E2358="","",IF($AD2358="Yes",1,0))</f>
        <v/>
      </c>
      <c r="AR2358">
        <f>IF($AN2358=1,IFERROR(VALUE(MID($E2358,2,20)),1000000000)+ROW()/100000,"")</f>
        <v/>
      </c>
    </row>
    <row r="2359">
      <c r="G2359" s="11" t="n"/>
      <c r="Q2359" s="7">
        <f>IF($E2359="","",P2359*AB2359/100)</f>
        <v/>
      </c>
      <c r="R2359" s="7" t="n"/>
      <c r="X2359" s="7" t="n"/>
      <c r="Y2359" s="7">
        <f>IF($E2359="","",AB2359*AE2359/100)</f>
        <v/>
      </c>
      <c r="Z2359" s="7">
        <f>IF($E2359="","",AB2359-Y2359)</f>
        <v/>
      </c>
      <c r="AA2359" s="7">
        <f>IF($E2359="","",Z2359-Q2359)</f>
        <v/>
      </c>
      <c r="AB2359" s="7" t="n"/>
      <c r="AE2359">
        <f>IF($E2359="","",IF($AQ2359=1,0,IF($AP2359=1,Settings!$C$6,Settings!$C$7))*100)</f>
        <v/>
      </c>
      <c r="AI2359" s="7" t="n"/>
      <c r="AL2359" s="11" t="n"/>
      <c r="AN2359">
        <f>IF($E2359="","",IF(COUNTIF($E$2:$E2359,$E2359)=1,1,0))</f>
        <v/>
      </c>
      <c r="AO2359">
        <f>IF($AN2359=1,SUMPRODUCT(--($AR$2:$AR$3001&lt;$AR2359))+1,"")</f>
        <v/>
      </c>
      <c r="AP2359">
        <f>IF($E2359="","",IF(OR($U2359=TRUE(),$U2359="TRUE"),1,0))</f>
        <v/>
      </c>
      <c r="AQ2359">
        <f>IF($E2359="","",IF($AD2359="Yes",1,0))</f>
        <v/>
      </c>
      <c r="AR2359">
        <f>IF($AN2359=1,IFERROR(VALUE(MID($E2359,2,20)),1000000000)+ROW()/100000,"")</f>
        <v/>
      </c>
    </row>
    <row r="2360">
      <c r="G2360" s="11" t="n"/>
      <c r="Q2360" s="7">
        <f>IF($E2360="","",P2360*AB2360/100)</f>
        <v/>
      </c>
      <c r="R2360" s="7" t="n"/>
      <c r="X2360" s="7" t="n"/>
      <c r="Y2360" s="7">
        <f>IF($E2360="","",AB2360*AE2360/100)</f>
        <v/>
      </c>
      <c r="Z2360" s="7">
        <f>IF($E2360="","",AB2360-Y2360)</f>
        <v/>
      </c>
      <c r="AA2360" s="7">
        <f>IF($E2360="","",Z2360-Q2360)</f>
        <v/>
      </c>
      <c r="AB2360" s="7" t="n"/>
      <c r="AE2360">
        <f>IF($E2360="","",IF($AQ2360=1,0,IF($AP2360=1,Settings!$C$6,Settings!$C$7))*100)</f>
        <v/>
      </c>
      <c r="AI2360" s="7" t="n"/>
      <c r="AL2360" s="11" t="n"/>
      <c r="AN2360">
        <f>IF($E2360="","",IF(COUNTIF($E$2:$E2360,$E2360)=1,1,0))</f>
        <v/>
      </c>
      <c r="AO2360">
        <f>IF($AN2360=1,SUMPRODUCT(--($AR$2:$AR$3001&lt;$AR2360))+1,"")</f>
        <v/>
      </c>
      <c r="AP2360">
        <f>IF($E2360="","",IF(OR($U2360=TRUE(),$U2360="TRUE"),1,0))</f>
        <v/>
      </c>
      <c r="AQ2360">
        <f>IF($E2360="","",IF($AD2360="Yes",1,0))</f>
        <v/>
      </c>
      <c r="AR2360">
        <f>IF($AN2360=1,IFERROR(VALUE(MID($E2360,2,20)),1000000000)+ROW()/100000,"")</f>
        <v/>
      </c>
    </row>
    <row r="2361">
      <c r="G2361" s="11" t="n"/>
      <c r="Q2361" s="7">
        <f>IF($E2361="","",P2361*AB2361/100)</f>
        <v/>
      </c>
      <c r="R2361" s="7" t="n"/>
      <c r="X2361" s="7" t="n"/>
      <c r="Y2361" s="7">
        <f>IF($E2361="","",AB2361*AE2361/100)</f>
        <v/>
      </c>
      <c r="Z2361" s="7">
        <f>IF($E2361="","",AB2361-Y2361)</f>
        <v/>
      </c>
      <c r="AA2361" s="7">
        <f>IF($E2361="","",Z2361-Q2361)</f>
        <v/>
      </c>
      <c r="AB2361" s="7" t="n"/>
      <c r="AE2361">
        <f>IF($E2361="","",IF($AQ2361=1,0,IF($AP2361=1,Settings!$C$6,Settings!$C$7))*100)</f>
        <v/>
      </c>
      <c r="AI2361" s="7" t="n"/>
      <c r="AL2361" s="11" t="n"/>
      <c r="AN2361">
        <f>IF($E2361="","",IF(COUNTIF($E$2:$E2361,$E2361)=1,1,0))</f>
        <v/>
      </c>
      <c r="AO2361">
        <f>IF($AN2361=1,SUMPRODUCT(--($AR$2:$AR$3001&lt;$AR2361))+1,"")</f>
        <v/>
      </c>
      <c r="AP2361">
        <f>IF($E2361="","",IF(OR($U2361=TRUE(),$U2361="TRUE"),1,0))</f>
        <v/>
      </c>
      <c r="AQ2361">
        <f>IF($E2361="","",IF($AD2361="Yes",1,0))</f>
        <v/>
      </c>
      <c r="AR2361">
        <f>IF($AN2361=1,IFERROR(VALUE(MID($E2361,2,20)),1000000000)+ROW()/100000,"")</f>
        <v/>
      </c>
    </row>
    <row r="2362">
      <c r="G2362" s="11" t="n"/>
      <c r="Q2362" s="7">
        <f>IF($E2362="","",P2362*AB2362/100)</f>
        <v/>
      </c>
      <c r="R2362" s="7" t="n"/>
      <c r="X2362" s="7" t="n"/>
      <c r="Y2362" s="7">
        <f>IF($E2362="","",AB2362*AE2362/100)</f>
        <v/>
      </c>
      <c r="Z2362" s="7">
        <f>IF($E2362="","",AB2362-Y2362)</f>
        <v/>
      </c>
      <c r="AA2362" s="7">
        <f>IF($E2362="","",Z2362-Q2362)</f>
        <v/>
      </c>
      <c r="AB2362" s="7" t="n"/>
      <c r="AE2362">
        <f>IF($E2362="","",IF($AQ2362=1,0,IF($AP2362=1,Settings!$C$6,Settings!$C$7))*100)</f>
        <v/>
      </c>
      <c r="AI2362" s="7" t="n"/>
      <c r="AL2362" s="11" t="n"/>
      <c r="AN2362">
        <f>IF($E2362="","",IF(COUNTIF($E$2:$E2362,$E2362)=1,1,0))</f>
        <v/>
      </c>
      <c r="AO2362">
        <f>IF($AN2362=1,SUMPRODUCT(--($AR$2:$AR$3001&lt;$AR2362))+1,"")</f>
        <v/>
      </c>
      <c r="AP2362">
        <f>IF($E2362="","",IF(OR($U2362=TRUE(),$U2362="TRUE"),1,0))</f>
        <v/>
      </c>
      <c r="AQ2362">
        <f>IF($E2362="","",IF($AD2362="Yes",1,0))</f>
        <v/>
      </c>
      <c r="AR2362">
        <f>IF($AN2362=1,IFERROR(VALUE(MID($E2362,2,20)),1000000000)+ROW()/100000,"")</f>
        <v/>
      </c>
    </row>
    <row r="2363">
      <c r="G2363" s="11" t="n"/>
      <c r="Q2363" s="7">
        <f>IF($E2363="","",P2363*AB2363/100)</f>
        <v/>
      </c>
      <c r="R2363" s="7" t="n"/>
      <c r="X2363" s="7" t="n"/>
      <c r="Y2363" s="7">
        <f>IF($E2363="","",AB2363*AE2363/100)</f>
        <v/>
      </c>
      <c r="Z2363" s="7">
        <f>IF($E2363="","",AB2363-Y2363)</f>
        <v/>
      </c>
      <c r="AA2363" s="7">
        <f>IF($E2363="","",Z2363-Q2363)</f>
        <v/>
      </c>
      <c r="AB2363" s="7" t="n"/>
      <c r="AE2363">
        <f>IF($E2363="","",IF($AQ2363=1,0,IF($AP2363=1,Settings!$C$6,Settings!$C$7))*100)</f>
        <v/>
      </c>
      <c r="AI2363" s="7" t="n"/>
      <c r="AL2363" s="11" t="n"/>
      <c r="AN2363">
        <f>IF($E2363="","",IF(COUNTIF($E$2:$E2363,$E2363)=1,1,0))</f>
        <v/>
      </c>
      <c r="AO2363">
        <f>IF($AN2363=1,SUMPRODUCT(--($AR$2:$AR$3001&lt;$AR2363))+1,"")</f>
        <v/>
      </c>
      <c r="AP2363">
        <f>IF($E2363="","",IF(OR($U2363=TRUE(),$U2363="TRUE"),1,0))</f>
        <v/>
      </c>
      <c r="AQ2363">
        <f>IF($E2363="","",IF($AD2363="Yes",1,0))</f>
        <v/>
      </c>
      <c r="AR2363">
        <f>IF($AN2363=1,IFERROR(VALUE(MID($E2363,2,20)),1000000000)+ROW()/100000,"")</f>
        <v/>
      </c>
    </row>
    <row r="2364">
      <c r="G2364" s="11" t="n"/>
      <c r="Q2364" s="7">
        <f>IF($E2364="","",P2364*AB2364/100)</f>
        <v/>
      </c>
      <c r="R2364" s="7" t="n"/>
      <c r="X2364" s="7" t="n"/>
      <c r="Y2364" s="7">
        <f>IF($E2364="","",AB2364*AE2364/100)</f>
        <v/>
      </c>
      <c r="Z2364" s="7">
        <f>IF($E2364="","",AB2364-Y2364)</f>
        <v/>
      </c>
      <c r="AA2364" s="7">
        <f>IF($E2364="","",Z2364-Q2364)</f>
        <v/>
      </c>
      <c r="AB2364" s="7" t="n"/>
      <c r="AE2364">
        <f>IF($E2364="","",IF($AQ2364=1,0,IF($AP2364=1,Settings!$C$6,Settings!$C$7))*100)</f>
        <v/>
      </c>
      <c r="AI2364" s="7" t="n"/>
      <c r="AL2364" s="11" t="n"/>
      <c r="AN2364">
        <f>IF($E2364="","",IF(COUNTIF($E$2:$E2364,$E2364)=1,1,0))</f>
        <v/>
      </c>
      <c r="AO2364">
        <f>IF($AN2364=1,SUMPRODUCT(--($AR$2:$AR$3001&lt;$AR2364))+1,"")</f>
        <v/>
      </c>
      <c r="AP2364">
        <f>IF($E2364="","",IF(OR($U2364=TRUE(),$U2364="TRUE"),1,0))</f>
        <v/>
      </c>
      <c r="AQ2364">
        <f>IF($E2364="","",IF($AD2364="Yes",1,0))</f>
        <v/>
      </c>
      <c r="AR2364">
        <f>IF($AN2364=1,IFERROR(VALUE(MID($E2364,2,20)),1000000000)+ROW()/100000,"")</f>
        <v/>
      </c>
    </row>
    <row r="2365">
      <c r="G2365" s="11" t="n"/>
      <c r="Q2365" s="7">
        <f>IF($E2365="","",P2365*AB2365/100)</f>
        <v/>
      </c>
      <c r="R2365" s="7" t="n"/>
      <c r="X2365" s="7" t="n"/>
      <c r="Y2365" s="7">
        <f>IF($E2365="","",AB2365*AE2365/100)</f>
        <v/>
      </c>
      <c r="Z2365" s="7">
        <f>IF($E2365="","",AB2365-Y2365)</f>
        <v/>
      </c>
      <c r="AA2365" s="7">
        <f>IF($E2365="","",Z2365-Q2365)</f>
        <v/>
      </c>
      <c r="AB2365" s="7" t="n"/>
      <c r="AE2365">
        <f>IF($E2365="","",IF($AQ2365=1,0,IF($AP2365=1,Settings!$C$6,Settings!$C$7))*100)</f>
        <v/>
      </c>
      <c r="AI2365" s="7" t="n"/>
      <c r="AL2365" s="11" t="n"/>
      <c r="AN2365">
        <f>IF($E2365="","",IF(COUNTIF($E$2:$E2365,$E2365)=1,1,0))</f>
        <v/>
      </c>
      <c r="AO2365">
        <f>IF($AN2365=1,SUMPRODUCT(--($AR$2:$AR$3001&lt;$AR2365))+1,"")</f>
        <v/>
      </c>
      <c r="AP2365">
        <f>IF($E2365="","",IF(OR($U2365=TRUE(),$U2365="TRUE"),1,0))</f>
        <v/>
      </c>
      <c r="AQ2365">
        <f>IF($E2365="","",IF($AD2365="Yes",1,0))</f>
        <v/>
      </c>
      <c r="AR2365">
        <f>IF($AN2365=1,IFERROR(VALUE(MID($E2365,2,20)),1000000000)+ROW()/100000,"")</f>
        <v/>
      </c>
    </row>
    <row r="2366">
      <c r="G2366" s="11" t="n"/>
      <c r="Q2366" s="7">
        <f>IF($E2366="","",P2366*AB2366/100)</f>
        <v/>
      </c>
      <c r="R2366" s="7" t="n"/>
      <c r="X2366" s="7" t="n"/>
      <c r="Y2366" s="7">
        <f>IF($E2366="","",AB2366*AE2366/100)</f>
        <v/>
      </c>
      <c r="Z2366" s="7">
        <f>IF($E2366="","",AB2366-Y2366)</f>
        <v/>
      </c>
      <c r="AA2366" s="7">
        <f>IF($E2366="","",Z2366-Q2366)</f>
        <v/>
      </c>
      <c r="AB2366" s="7" t="n"/>
      <c r="AE2366">
        <f>IF($E2366="","",IF($AQ2366=1,0,IF($AP2366=1,Settings!$C$6,Settings!$C$7))*100)</f>
        <v/>
      </c>
      <c r="AI2366" s="7" t="n"/>
      <c r="AL2366" s="11" t="n"/>
      <c r="AN2366">
        <f>IF($E2366="","",IF(COUNTIF($E$2:$E2366,$E2366)=1,1,0))</f>
        <v/>
      </c>
      <c r="AO2366">
        <f>IF($AN2366=1,SUMPRODUCT(--($AR$2:$AR$3001&lt;$AR2366))+1,"")</f>
        <v/>
      </c>
      <c r="AP2366">
        <f>IF($E2366="","",IF(OR($U2366=TRUE(),$U2366="TRUE"),1,0))</f>
        <v/>
      </c>
      <c r="AQ2366">
        <f>IF($E2366="","",IF($AD2366="Yes",1,0))</f>
        <v/>
      </c>
      <c r="AR2366">
        <f>IF($AN2366=1,IFERROR(VALUE(MID($E2366,2,20)),1000000000)+ROW()/100000,"")</f>
        <v/>
      </c>
    </row>
    <row r="2367">
      <c r="G2367" s="11" t="n"/>
      <c r="Q2367" s="7">
        <f>IF($E2367="","",P2367*AB2367/100)</f>
        <v/>
      </c>
      <c r="R2367" s="7" t="n"/>
      <c r="X2367" s="7" t="n"/>
      <c r="Y2367" s="7">
        <f>IF($E2367="","",AB2367*AE2367/100)</f>
        <v/>
      </c>
      <c r="Z2367" s="7">
        <f>IF($E2367="","",AB2367-Y2367)</f>
        <v/>
      </c>
      <c r="AA2367" s="7">
        <f>IF($E2367="","",Z2367-Q2367)</f>
        <v/>
      </c>
      <c r="AB2367" s="7" t="n"/>
      <c r="AE2367">
        <f>IF($E2367="","",IF($AQ2367=1,0,IF($AP2367=1,Settings!$C$6,Settings!$C$7))*100)</f>
        <v/>
      </c>
      <c r="AI2367" s="7" t="n"/>
      <c r="AL2367" s="11" t="n"/>
      <c r="AN2367">
        <f>IF($E2367="","",IF(COUNTIF($E$2:$E2367,$E2367)=1,1,0))</f>
        <v/>
      </c>
      <c r="AO2367">
        <f>IF($AN2367=1,SUMPRODUCT(--($AR$2:$AR$3001&lt;$AR2367))+1,"")</f>
        <v/>
      </c>
      <c r="AP2367">
        <f>IF($E2367="","",IF(OR($U2367=TRUE(),$U2367="TRUE"),1,0))</f>
        <v/>
      </c>
      <c r="AQ2367">
        <f>IF($E2367="","",IF($AD2367="Yes",1,0))</f>
        <v/>
      </c>
      <c r="AR2367">
        <f>IF($AN2367=1,IFERROR(VALUE(MID($E2367,2,20)),1000000000)+ROW()/100000,"")</f>
        <v/>
      </c>
    </row>
    <row r="2368">
      <c r="G2368" s="11" t="n"/>
      <c r="Q2368" s="7">
        <f>IF($E2368="","",P2368*AB2368/100)</f>
        <v/>
      </c>
      <c r="R2368" s="7" t="n"/>
      <c r="X2368" s="7" t="n"/>
      <c r="Y2368" s="7">
        <f>IF($E2368="","",AB2368*AE2368/100)</f>
        <v/>
      </c>
      <c r="Z2368" s="7">
        <f>IF($E2368="","",AB2368-Y2368)</f>
        <v/>
      </c>
      <c r="AA2368" s="7">
        <f>IF($E2368="","",Z2368-Q2368)</f>
        <v/>
      </c>
      <c r="AB2368" s="7" t="n"/>
      <c r="AE2368">
        <f>IF($E2368="","",IF($AQ2368=1,0,IF($AP2368=1,Settings!$C$6,Settings!$C$7))*100)</f>
        <v/>
      </c>
      <c r="AI2368" s="7" t="n"/>
      <c r="AL2368" s="11" t="n"/>
      <c r="AN2368">
        <f>IF($E2368="","",IF(COUNTIF($E$2:$E2368,$E2368)=1,1,0))</f>
        <v/>
      </c>
      <c r="AO2368">
        <f>IF($AN2368=1,SUMPRODUCT(--($AR$2:$AR$3001&lt;$AR2368))+1,"")</f>
        <v/>
      </c>
      <c r="AP2368">
        <f>IF($E2368="","",IF(OR($U2368=TRUE(),$U2368="TRUE"),1,0))</f>
        <v/>
      </c>
      <c r="AQ2368">
        <f>IF($E2368="","",IF($AD2368="Yes",1,0))</f>
        <v/>
      </c>
      <c r="AR2368">
        <f>IF($AN2368=1,IFERROR(VALUE(MID($E2368,2,20)),1000000000)+ROW()/100000,"")</f>
        <v/>
      </c>
    </row>
    <row r="2369">
      <c r="G2369" s="11" t="n"/>
      <c r="Q2369" s="7">
        <f>IF($E2369="","",P2369*AB2369/100)</f>
        <v/>
      </c>
      <c r="R2369" s="7" t="n"/>
      <c r="X2369" s="7" t="n"/>
      <c r="Y2369" s="7">
        <f>IF($E2369="","",AB2369*AE2369/100)</f>
        <v/>
      </c>
      <c r="Z2369" s="7">
        <f>IF($E2369="","",AB2369-Y2369)</f>
        <v/>
      </c>
      <c r="AA2369" s="7">
        <f>IF($E2369="","",Z2369-Q2369)</f>
        <v/>
      </c>
      <c r="AB2369" s="7" t="n"/>
      <c r="AE2369">
        <f>IF($E2369="","",IF($AQ2369=1,0,IF($AP2369=1,Settings!$C$6,Settings!$C$7))*100)</f>
        <v/>
      </c>
      <c r="AI2369" s="7" t="n"/>
      <c r="AL2369" s="11" t="n"/>
      <c r="AN2369">
        <f>IF($E2369="","",IF(COUNTIF($E$2:$E2369,$E2369)=1,1,0))</f>
        <v/>
      </c>
      <c r="AO2369">
        <f>IF($AN2369=1,SUMPRODUCT(--($AR$2:$AR$3001&lt;$AR2369))+1,"")</f>
        <v/>
      </c>
      <c r="AP2369">
        <f>IF($E2369="","",IF(OR($U2369=TRUE(),$U2369="TRUE"),1,0))</f>
        <v/>
      </c>
      <c r="AQ2369">
        <f>IF($E2369="","",IF($AD2369="Yes",1,0))</f>
        <v/>
      </c>
      <c r="AR2369">
        <f>IF($AN2369=1,IFERROR(VALUE(MID($E2369,2,20)),1000000000)+ROW()/100000,"")</f>
        <v/>
      </c>
    </row>
    <row r="2370">
      <c r="G2370" s="11" t="n"/>
      <c r="Q2370" s="7">
        <f>IF($E2370="","",P2370*AB2370/100)</f>
        <v/>
      </c>
      <c r="R2370" s="7" t="n"/>
      <c r="X2370" s="7" t="n"/>
      <c r="Y2370" s="7">
        <f>IF($E2370="","",AB2370*AE2370/100)</f>
        <v/>
      </c>
      <c r="Z2370" s="7">
        <f>IF($E2370="","",AB2370-Y2370)</f>
        <v/>
      </c>
      <c r="AA2370" s="7">
        <f>IF($E2370="","",Z2370-Q2370)</f>
        <v/>
      </c>
      <c r="AB2370" s="7" t="n"/>
      <c r="AE2370">
        <f>IF($E2370="","",IF($AQ2370=1,0,IF($AP2370=1,Settings!$C$6,Settings!$C$7))*100)</f>
        <v/>
      </c>
      <c r="AI2370" s="7" t="n"/>
      <c r="AL2370" s="11" t="n"/>
      <c r="AN2370">
        <f>IF($E2370="","",IF(COUNTIF($E$2:$E2370,$E2370)=1,1,0))</f>
        <v/>
      </c>
      <c r="AO2370">
        <f>IF($AN2370=1,SUMPRODUCT(--($AR$2:$AR$3001&lt;$AR2370))+1,"")</f>
        <v/>
      </c>
      <c r="AP2370">
        <f>IF($E2370="","",IF(OR($U2370=TRUE(),$U2370="TRUE"),1,0))</f>
        <v/>
      </c>
      <c r="AQ2370">
        <f>IF($E2370="","",IF($AD2370="Yes",1,0))</f>
        <v/>
      </c>
      <c r="AR2370">
        <f>IF($AN2370=1,IFERROR(VALUE(MID($E2370,2,20)),1000000000)+ROW()/100000,"")</f>
        <v/>
      </c>
    </row>
    <row r="2371">
      <c r="G2371" s="11" t="n"/>
      <c r="Q2371" s="7">
        <f>IF($E2371="","",P2371*AB2371/100)</f>
        <v/>
      </c>
      <c r="R2371" s="7" t="n"/>
      <c r="X2371" s="7" t="n"/>
      <c r="Y2371" s="7">
        <f>IF($E2371="","",AB2371*AE2371/100)</f>
        <v/>
      </c>
      <c r="Z2371" s="7">
        <f>IF($E2371="","",AB2371-Y2371)</f>
        <v/>
      </c>
      <c r="AA2371" s="7">
        <f>IF($E2371="","",Z2371-Q2371)</f>
        <v/>
      </c>
      <c r="AB2371" s="7" t="n"/>
      <c r="AE2371">
        <f>IF($E2371="","",IF($AQ2371=1,0,IF($AP2371=1,Settings!$C$6,Settings!$C$7))*100)</f>
        <v/>
      </c>
      <c r="AI2371" s="7" t="n"/>
      <c r="AL2371" s="11" t="n"/>
      <c r="AN2371">
        <f>IF($E2371="","",IF(COUNTIF($E$2:$E2371,$E2371)=1,1,0))</f>
        <v/>
      </c>
      <c r="AO2371">
        <f>IF($AN2371=1,SUMPRODUCT(--($AR$2:$AR$3001&lt;$AR2371))+1,"")</f>
        <v/>
      </c>
      <c r="AP2371">
        <f>IF($E2371="","",IF(OR($U2371=TRUE(),$U2371="TRUE"),1,0))</f>
        <v/>
      </c>
      <c r="AQ2371">
        <f>IF($E2371="","",IF($AD2371="Yes",1,0))</f>
        <v/>
      </c>
      <c r="AR2371">
        <f>IF($AN2371=1,IFERROR(VALUE(MID($E2371,2,20)),1000000000)+ROW()/100000,"")</f>
        <v/>
      </c>
    </row>
    <row r="2372">
      <c r="G2372" s="11" t="n"/>
      <c r="Q2372" s="7">
        <f>IF($E2372="","",P2372*AB2372/100)</f>
        <v/>
      </c>
      <c r="R2372" s="7" t="n"/>
      <c r="X2372" s="7" t="n"/>
      <c r="Y2372" s="7">
        <f>IF($E2372="","",AB2372*AE2372/100)</f>
        <v/>
      </c>
      <c r="Z2372" s="7">
        <f>IF($E2372="","",AB2372-Y2372)</f>
        <v/>
      </c>
      <c r="AA2372" s="7">
        <f>IF($E2372="","",Z2372-Q2372)</f>
        <v/>
      </c>
      <c r="AB2372" s="7" t="n"/>
      <c r="AE2372">
        <f>IF($E2372="","",IF($AQ2372=1,0,IF($AP2372=1,Settings!$C$6,Settings!$C$7))*100)</f>
        <v/>
      </c>
      <c r="AI2372" s="7" t="n"/>
      <c r="AL2372" s="11" t="n"/>
      <c r="AN2372">
        <f>IF($E2372="","",IF(COUNTIF($E$2:$E2372,$E2372)=1,1,0))</f>
        <v/>
      </c>
      <c r="AO2372">
        <f>IF($AN2372=1,SUMPRODUCT(--($AR$2:$AR$3001&lt;$AR2372))+1,"")</f>
        <v/>
      </c>
      <c r="AP2372">
        <f>IF($E2372="","",IF(OR($U2372=TRUE(),$U2372="TRUE"),1,0))</f>
        <v/>
      </c>
      <c r="AQ2372">
        <f>IF($E2372="","",IF($AD2372="Yes",1,0))</f>
        <v/>
      </c>
      <c r="AR2372">
        <f>IF($AN2372=1,IFERROR(VALUE(MID($E2372,2,20)),1000000000)+ROW()/100000,"")</f>
        <v/>
      </c>
    </row>
    <row r="2373">
      <c r="G2373" s="11" t="n"/>
      <c r="Q2373" s="7">
        <f>IF($E2373="","",P2373*AB2373/100)</f>
        <v/>
      </c>
      <c r="R2373" s="7" t="n"/>
      <c r="X2373" s="7" t="n"/>
      <c r="Y2373" s="7">
        <f>IF($E2373="","",AB2373*AE2373/100)</f>
        <v/>
      </c>
      <c r="Z2373" s="7">
        <f>IF($E2373="","",AB2373-Y2373)</f>
        <v/>
      </c>
      <c r="AA2373" s="7">
        <f>IF($E2373="","",Z2373-Q2373)</f>
        <v/>
      </c>
      <c r="AB2373" s="7" t="n"/>
      <c r="AE2373">
        <f>IF($E2373="","",IF($AQ2373=1,0,IF($AP2373=1,Settings!$C$6,Settings!$C$7))*100)</f>
        <v/>
      </c>
      <c r="AI2373" s="7" t="n"/>
      <c r="AL2373" s="11" t="n"/>
      <c r="AN2373">
        <f>IF($E2373="","",IF(COUNTIF($E$2:$E2373,$E2373)=1,1,0))</f>
        <v/>
      </c>
      <c r="AO2373">
        <f>IF($AN2373=1,SUMPRODUCT(--($AR$2:$AR$3001&lt;$AR2373))+1,"")</f>
        <v/>
      </c>
      <c r="AP2373">
        <f>IF($E2373="","",IF(OR($U2373=TRUE(),$U2373="TRUE"),1,0))</f>
        <v/>
      </c>
      <c r="AQ2373">
        <f>IF($E2373="","",IF($AD2373="Yes",1,0))</f>
        <v/>
      </c>
      <c r="AR2373">
        <f>IF($AN2373=1,IFERROR(VALUE(MID($E2373,2,20)),1000000000)+ROW()/100000,"")</f>
        <v/>
      </c>
    </row>
    <row r="2374">
      <c r="G2374" s="11" t="n"/>
      <c r="Q2374" s="7">
        <f>IF($E2374="","",P2374*AB2374/100)</f>
        <v/>
      </c>
      <c r="R2374" s="7" t="n"/>
      <c r="X2374" s="7" t="n"/>
      <c r="Y2374" s="7">
        <f>IF($E2374="","",AB2374*AE2374/100)</f>
        <v/>
      </c>
      <c r="Z2374" s="7">
        <f>IF($E2374="","",AB2374-Y2374)</f>
        <v/>
      </c>
      <c r="AA2374" s="7">
        <f>IF($E2374="","",Z2374-Q2374)</f>
        <v/>
      </c>
      <c r="AB2374" s="7" t="n"/>
      <c r="AE2374">
        <f>IF($E2374="","",IF($AQ2374=1,0,IF($AP2374=1,Settings!$C$6,Settings!$C$7))*100)</f>
        <v/>
      </c>
      <c r="AI2374" s="7" t="n"/>
      <c r="AL2374" s="11" t="n"/>
      <c r="AN2374">
        <f>IF($E2374="","",IF(COUNTIF($E$2:$E2374,$E2374)=1,1,0))</f>
        <v/>
      </c>
      <c r="AO2374">
        <f>IF($AN2374=1,SUMPRODUCT(--($AR$2:$AR$3001&lt;$AR2374))+1,"")</f>
        <v/>
      </c>
      <c r="AP2374">
        <f>IF($E2374="","",IF(OR($U2374=TRUE(),$U2374="TRUE"),1,0))</f>
        <v/>
      </c>
      <c r="AQ2374">
        <f>IF($E2374="","",IF($AD2374="Yes",1,0))</f>
        <v/>
      </c>
      <c r="AR2374">
        <f>IF($AN2374=1,IFERROR(VALUE(MID($E2374,2,20)),1000000000)+ROW()/100000,"")</f>
        <v/>
      </c>
    </row>
    <row r="2375">
      <c r="G2375" s="11" t="n"/>
      <c r="Q2375" s="7">
        <f>IF($E2375="","",P2375*AB2375/100)</f>
        <v/>
      </c>
      <c r="R2375" s="7" t="n"/>
      <c r="X2375" s="7" t="n"/>
      <c r="Y2375" s="7">
        <f>IF($E2375="","",AB2375*AE2375/100)</f>
        <v/>
      </c>
      <c r="Z2375" s="7">
        <f>IF($E2375="","",AB2375-Y2375)</f>
        <v/>
      </c>
      <c r="AA2375" s="7">
        <f>IF($E2375="","",Z2375-Q2375)</f>
        <v/>
      </c>
      <c r="AB2375" s="7" t="n"/>
      <c r="AE2375">
        <f>IF($E2375="","",IF($AQ2375=1,0,IF($AP2375=1,Settings!$C$6,Settings!$C$7))*100)</f>
        <v/>
      </c>
      <c r="AI2375" s="7" t="n"/>
      <c r="AL2375" s="11" t="n"/>
      <c r="AN2375">
        <f>IF($E2375="","",IF(COUNTIF($E$2:$E2375,$E2375)=1,1,0))</f>
        <v/>
      </c>
      <c r="AO2375">
        <f>IF($AN2375=1,SUMPRODUCT(--($AR$2:$AR$3001&lt;$AR2375))+1,"")</f>
        <v/>
      </c>
      <c r="AP2375">
        <f>IF($E2375="","",IF(OR($U2375=TRUE(),$U2375="TRUE"),1,0))</f>
        <v/>
      </c>
      <c r="AQ2375">
        <f>IF($E2375="","",IF($AD2375="Yes",1,0))</f>
        <v/>
      </c>
      <c r="AR2375">
        <f>IF($AN2375=1,IFERROR(VALUE(MID($E2375,2,20)),1000000000)+ROW()/100000,"")</f>
        <v/>
      </c>
    </row>
    <row r="2376">
      <c r="G2376" s="11" t="n"/>
      <c r="Q2376" s="7">
        <f>IF($E2376="","",P2376*AB2376/100)</f>
        <v/>
      </c>
      <c r="R2376" s="7" t="n"/>
      <c r="X2376" s="7" t="n"/>
      <c r="Y2376" s="7">
        <f>IF($E2376="","",AB2376*AE2376/100)</f>
        <v/>
      </c>
      <c r="Z2376" s="7">
        <f>IF($E2376="","",AB2376-Y2376)</f>
        <v/>
      </c>
      <c r="AA2376" s="7">
        <f>IF($E2376="","",Z2376-Q2376)</f>
        <v/>
      </c>
      <c r="AB2376" s="7" t="n"/>
      <c r="AE2376">
        <f>IF($E2376="","",IF($AQ2376=1,0,IF($AP2376=1,Settings!$C$6,Settings!$C$7))*100)</f>
        <v/>
      </c>
      <c r="AI2376" s="7" t="n"/>
      <c r="AL2376" s="11" t="n"/>
      <c r="AN2376">
        <f>IF($E2376="","",IF(COUNTIF($E$2:$E2376,$E2376)=1,1,0))</f>
        <v/>
      </c>
      <c r="AO2376">
        <f>IF($AN2376=1,SUMPRODUCT(--($AR$2:$AR$3001&lt;$AR2376))+1,"")</f>
        <v/>
      </c>
      <c r="AP2376">
        <f>IF($E2376="","",IF(OR($U2376=TRUE(),$U2376="TRUE"),1,0))</f>
        <v/>
      </c>
      <c r="AQ2376">
        <f>IF($E2376="","",IF($AD2376="Yes",1,0))</f>
        <v/>
      </c>
      <c r="AR2376">
        <f>IF($AN2376=1,IFERROR(VALUE(MID($E2376,2,20)),1000000000)+ROW()/100000,"")</f>
        <v/>
      </c>
    </row>
    <row r="2377">
      <c r="G2377" s="11" t="n"/>
      <c r="Q2377" s="7">
        <f>IF($E2377="","",P2377*AB2377/100)</f>
        <v/>
      </c>
      <c r="R2377" s="7" t="n"/>
      <c r="X2377" s="7" t="n"/>
      <c r="Y2377" s="7">
        <f>IF($E2377="","",AB2377*AE2377/100)</f>
        <v/>
      </c>
      <c r="Z2377" s="7">
        <f>IF($E2377="","",AB2377-Y2377)</f>
        <v/>
      </c>
      <c r="AA2377" s="7">
        <f>IF($E2377="","",Z2377-Q2377)</f>
        <v/>
      </c>
      <c r="AB2377" s="7" t="n"/>
      <c r="AE2377">
        <f>IF($E2377="","",IF($AQ2377=1,0,IF($AP2377=1,Settings!$C$6,Settings!$C$7))*100)</f>
        <v/>
      </c>
      <c r="AI2377" s="7" t="n"/>
      <c r="AL2377" s="11" t="n"/>
      <c r="AN2377">
        <f>IF($E2377="","",IF(COUNTIF($E$2:$E2377,$E2377)=1,1,0))</f>
        <v/>
      </c>
      <c r="AO2377">
        <f>IF($AN2377=1,SUMPRODUCT(--($AR$2:$AR$3001&lt;$AR2377))+1,"")</f>
        <v/>
      </c>
      <c r="AP2377">
        <f>IF($E2377="","",IF(OR($U2377=TRUE(),$U2377="TRUE"),1,0))</f>
        <v/>
      </c>
      <c r="AQ2377">
        <f>IF($E2377="","",IF($AD2377="Yes",1,0))</f>
        <v/>
      </c>
      <c r="AR2377">
        <f>IF($AN2377=1,IFERROR(VALUE(MID($E2377,2,20)),1000000000)+ROW()/100000,"")</f>
        <v/>
      </c>
    </row>
    <row r="2378">
      <c r="G2378" s="11" t="n"/>
      <c r="Q2378" s="7">
        <f>IF($E2378="","",P2378*AB2378/100)</f>
        <v/>
      </c>
      <c r="R2378" s="7" t="n"/>
      <c r="X2378" s="7" t="n"/>
      <c r="Y2378" s="7">
        <f>IF($E2378="","",AB2378*AE2378/100)</f>
        <v/>
      </c>
      <c r="Z2378" s="7">
        <f>IF($E2378="","",AB2378-Y2378)</f>
        <v/>
      </c>
      <c r="AA2378" s="7">
        <f>IF($E2378="","",Z2378-Q2378)</f>
        <v/>
      </c>
      <c r="AB2378" s="7" t="n"/>
      <c r="AE2378">
        <f>IF($E2378="","",IF($AQ2378=1,0,IF($AP2378=1,Settings!$C$6,Settings!$C$7))*100)</f>
        <v/>
      </c>
      <c r="AI2378" s="7" t="n"/>
      <c r="AL2378" s="11" t="n"/>
      <c r="AN2378">
        <f>IF($E2378="","",IF(COUNTIF($E$2:$E2378,$E2378)=1,1,0))</f>
        <v/>
      </c>
      <c r="AO2378">
        <f>IF($AN2378=1,SUMPRODUCT(--($AR$2:$AR$3001&lt;$AR2378))+1,"")</f>
        <v/>
      </c>
      <c r="AP2378">
        <f>IF($E2378="","",IF(OR($U2378=TRUE(),$U2378="TRUE"),1,0))</f>
        <v/>
      </c>
      <c r="AQ2378">
        <f>IF($E2378="","",IF($AD2378="Yes",1,0))</f>
        <v/>
      </c>
      <c r="AR2378">
        <f>IF($AN2378=1,IFERROR(VALUE(MID($E2378,2,20)),1000000000)+ROW()/100000,"")</f>
        <v/>
      </c>
    </row>
    <row r="2379">
      <c r="G2379" s="11" t="n"/>
      <c r="Q2379" s="7">
        <f>IF($E2379="","",P2379*AB2379/100)</f>
        <v/>
      </c>
      <c r="R2379" s="7" t="n"/>
      <c r="X2379" s="7" t="n"/>
      <c r="Y2379" s="7">
        <f>IF($E2379="","",AB2379*AE2379/100)</f>
        <v/>
      </c>
      <c r="Z2379" s="7">
        <f>IF($E2379="","",AB2379-Y2379)</f>
        <v/>
      </c>
      <c r="AA2379" s="7">
        <f>IF($E2379="","",Z2379-Q2379)</f>
        <v/>
      </c>
      <c r="AB2379" s="7" t="n"/>
      <c r="AE2379">
        <f>IF($E2379="","",IF($AQ2379=1,0,IF($AP2379=1,Settings!$C$6,Settings!$C$7))*100)</f>
        <v/>
      </c>
      <c r="AI2379" s="7" t="n"/>
      <c r="AL2379" s="11" t="n"/>
      <c r="AN2379">
        <f>IF($E2379="","",IF(COUNTIF($E$2:$E2379,$E2379)=1,1,0))</f>
        <v/>
      </c>
      <c r="AO2379">
        <f>IF($AN2379=1,SUMPRODUCT(--($AR$2:$AR$3001&lt;$AR2379))+1,"")</f>
        <v/>
      </c>
      <c r="AP2379">
        <f>IF($E2379="","",IF(OR($U2379=TRUE(),$U2379="TRUE"),1,0))</f>
        <v/>
      </c>
      <c r="AQ2379">
        <f>IF($E2379="","",IF($AD2379="Yes",1,0))</f>
        <v/>
      </c>
      <c r="AR2379">
        <f>IF($AN2379=1,IFERROR(VALUE(MID($E2379,2,20)),1000000000)+ROW()/100000,"")</f>
        <v/>
      </c>
    </row>
    <row r="2380">
      <c r="G2380" s="11" t="n"/>
      <c r="Q2380" s="7">
        <f>IF($E2380="","",P2380*AB2380/100)</f>
        <v/>
      </c>
      <c r="R2380" s="7" t="n"/>
      <c r="X2380" s="7" t="n"/>
      <c r="Y2380" s="7">
        <f>IF($E2380="","",AB2380*AE2380/100)</f>
        <v/>
      </c>
      <c r="Z2380" s="7">
        <f>IF($E2380="","",AB2380-Y2380)</f>
        <v/>
      </c>
      <c r="AA2380" s="7">
        <f>IF($E2380="","",Z2380-Q2380)</f>
        <v/>
      </c>
      <c r="AB2380" s="7" t="n"/>
      <c r="AE2380">
        <f>IF($E2380="","",IF($AQ2380=1,0,IF($AP2380=1,Settings!$C$6,Settings!$C$7))*100)</f>
        <v/>
      </c>
      <c r="AI2380" s="7" t="n"/>
      <c r="AL2380" s="11" t="n"/>
      <c r="AN2380">
        <f>IF($E2380="","",IF(COUNTIF($E$2:$E2380,$E2380)=1,1,0))</f>
        <v/>
      </c>
      <c r="AO2380">
        <f>IF($AN2380=1,SUMPRODUCT(--($AR$2:$AR$3001&lt;$AR2380))+1,"")</f>
        <v/>
      </c>
      <c r="AP2380">
        <f>IF($E2380="","",IF(OR($U2380=TRUE(),$U2380="TRUE"),1,0))</f>
        <v/>
      </c>
      <c r="AQ2380">
        <f>IF($E2380="","",IF($AD2380="Yes",1,0))</f>
        <v/>
      </c>
      <c r="AR2380">
        <f>IF($AN2380=1,IFERROR(VALUE(MID($E2380,2,20)),1000000000)+ROW()/100000,"")</f>
        <v/>
      </c>
    </row>
    <row r="2381">
      <c r="G2381" s="11" t="n"/>
      <c r="Q2381" s="7">
        <f>IF($E2381="","",P2381*AB2381/100)</f>
        <v/>
      </c>
      <c r="R2381" s="7" t="n"/>
      <c r="X2381" s="7" t="n"/>
      <c r="Y2381" s="7">
        <f>IF($E2381="","",AB2381*AE2381/100)</f>
        <v/>
      </c>
      <c r="Z2381" s="7">
        <f>IF($E2381="","",AB2381-Y2381)</f>
        <v/>
      </c>
      <c r="AA2381" s="7">
        <f>IF($E2381="","",Z2381-Q2381)</f>
        <v/>
      </c>
      <c r="AB2381" s="7" t="n"/>
      <c r="AE2381">
        <f>IF($E2381="","",IF($AQ2381=1,0,IF($AP2381=1,Settings!$C$6,Settings!$C$7))*100)</f>
        <v/>
      </c>
      <c r="AI2381" s="7" t="n"/>
      <c r="AL2381" s="11" t="n"/>
      <c r="AN2381">
        <f>IF($E2381="","",IF(COUNTIF($E$2:$E2381,$E2381)=1,1,0))</f>
        <v/>
      </c>
      <c r="AO2381">
        <f>IF($AN2381=1,SUMPRODUCT(--($AR$2:$AR$3001&lt;$AR2381))+1,"")</f>
        <v/>
      </c>
      <c r="AP2381">
        <f>IF($E2381="","",IF(OR($U2381=TRUE(),$U2381="TRUE"),1,0))</f>
        <v/>
      </c>
      <c r="AQ2381">
        <f>IF($E2381="","",IF($AD2381="Yes",1,0))</f>
        <v/>
      </c>
      <c r="AR2381">
        <f>IF($AN2381=1,IFERROR(VALUE(MID($E2381,2,20)),1000000000)+ROW()/100000,"")</f>
        <v/>
      </c>
    </row>
    <row r="2382">
      <c r="G2382" s="11" t="n"/>
      <c r="Q2382" s="7">
        <f>IF($E2382="","",P2382*AB2382/100)</f>
        <v/>
      </c>
      <c r="R2382" s="7" t="n"/>
      <c r="X2382" s="7" t="n"/>
      <c r="Y2382" s="7">
        <f>IF($E2382="","",AB2382*AE2382/100)</f>
        <v/>
      </c>
      <c r="Z2382" s="7">
        <f>IF($E2382="","",AB2382-Y2382)</f>
        <v/>
      </c>
      <c r="AA2382" s="7">
        <f>IF($E2382="","",Z2382-Q2382)</f>
        <v/>
      </c>
      <c r="AB2382" s="7" t="n"/>
      <c r="AE2382">
        <f>IF($E2382="","",IF($AQ2382=1,0,IF($AP2382=1,Settings!$C$6,Settings!$C$7))*100)</f>
        <v/>
      </c>
      <c r="AI2382" s="7" t="n"/>
      <c r="AL2382" s="11" t="n"/>
      <c r="AN2382">
        <f>IF($E2382="","",IF(COUNTIF($E$2:$E2382,$E2382)=1,1,0))</f>
        <v/>
      </c>
      <c r="AO2382">
        <f>IF($AN2382=1,SUMPRODUCT(--($AR$2:$AR$3001&lt;$AR2382))+1,"")</f>
        <v/>
      </c>
      <c r="AP2382">
        <f>IF($E2382="","",IF(OR($U2382=TRUE(),$U2382="TRUE"),1,0))</f>
        <v/>
      </c>
      <c r="AQ2382">
        <f>IF($E2382="","",IF($AD2382="Yes",1,0))</f>
        <v/>
      </c>
      <c r="AR2382">
        <f>IF($AN2382=1,IFERROR(VALUE(MID($E2382,2,20)),1000000000)+ROW()/100000,"")</f>
        <v/>
      </c>
    </row>
    <row r="2383">
      <c r="G2383" s="11" t="n"/>
      <c r="Q2383" s="7">
        <f>IF($E2383="","",P2383*AB2383/100)</f>
        <v/>
      </c>
      <c r="R2383" s="7" t="n"/>
      <c r="X2383" s="7" t="n"/>
      <c r="Y2383" s="7">
        <f>IF($E2383="","",AB2383*AE2383/100)</f>
        <v/>
      </c>
      <c r="Z2383" s="7">
        <f>IF($E2383="","",AB2383-Y2383)</f>
        <v/>
      </c>
      <c r="AA2383" s="7">
        <f>IF($E2383="","",Z2383-Q2383)</f>
        <v/>
      </c>
      <c r="AB2383" s="7" t="n"/>
      <c r="AE2383">
        <f>IF($E2383="","",IF($AQ2383=1,0,IF($AP2383=1,Settings!$C$6,Settings!$C$7))*100)</f>
        <v/>
      </c>
      <c r="AI2383" s="7" t="n"/>
      <c r="AL2383" s="11" t="n"/>
      <c r="AN2383">
        <f>IF($E2383="","",IF(COUNTIF($E$2:$E2383,$E2383)=1,1,0))</f>
        <v/>
      </c>
      <c r="AO2383">
        <f>IF($AN2383=1,SUMPRODUCT(--($AR$2:$AR$3001&lt;$AR2383))+1,"")</f>
        <v/>
      </c>
      <c r="AP2383">
        <f>IF($E2383="","",IF(OR($U2383=TRUE(),$U2383="TRUE"),1,0))</f>
        <v/>
      </c>
      <c r="AQ2383">
        <f>IF($E2383="","",IF($AD2383="Yes",1,0))</f>
        <v/>
      </c>
      <c r="AR2383">
        <f>IF($AN2383=1,IFERROR(VALUE(MID($E2383,2,20)),1000000000)+ROW()/100000,"")</f>
        <v/>
      </c>
    </row>
    <row r="2384">
      <c r="G2384" s="11" t="n"/>
      <c r="Q2384" s="7">
        <f>IF($E2384="","",P2384*AB2384/100)</f>
        <v/>
      </c>
      <c r="R2384" s="7" t="n"/>
      <c r="X2384" s="7" t="n"/>
      <c r="Y2384" s="7">
        <f>IF($E2384="","",AB2384*AE2384/100)</f>
        <v/>
      </c>
      <c r="Z2384" s="7">
        <f>IF($E2384="","",AB2384-Y2384)</f>
        <v/>
      </c>
      <c r="AA2384" s="7">
        <f>IF($E2384="","",Z2384-Q2384)</f>
        <v/>
      </c>
      <c r="AB2384" s="7" t="n"/>
      <c r="AE2384">
        <f>IF($E2384="","",IF($AQ2384=1,0,IF($AP2384=1,Settings!$C$6,Settings!$C$7))*100)</f>
        <v/>
      </c>
      <c r="AI2384" s="7" t="n"/>
      <c r="AL2384" s="11" t="n"/>
      <c r="AN2384">
        <f>IF($E2384="","",IF(COUNTIF($E$2:$E2384,$E2384)=1,1,0))</f>
        <v/>
      </c>
      <c r="AO2384">
        <f>IF($AN2384=1,SUMPRODUCT(--($AR$2:$AR$3001&lt;$AR2384))+1,"")</f>
        <v/>
      </c>
      <c r="AP2384">
        <f>IF($E2384="","",IF(OR($U2384=TRUE(),$U2384="TRUE"),1,0))</f>
        <v/>
      </c>
      <c r="AQ2384">
        <f>IF($E2384="","",IF($AD2384="Yes",1,0))</f>
        <v/>
      </c>
      <c r="AR2384">
        <f>IF($AN2384=1,IFERROR(VALUE(MID($E2384,2,20)),1000000000)+ROW()/100000,"")</f>
        <v/>
      </c>
    </row>
    <row r="2385">
      <c r="G2385" s="11" t="n"/>
      <c r="Q2385" s="7">
        <f>IF($E2385="","",P2385*AB2385/100)</f>
        <v/>
      </c>
      <c r="R2385" s="7" t="n"/>
      <c r="X2385" s="7" t="n"/>
      <c r="Y2385" s="7">
        <f>IF($E2385="","",AB2385*AE2385/100)</f>
        <v/>
      </c>
      <c r="Z2385" s="7">
        <f>IF($E2385="","",AB2385-Y2385)</f>
        <v/>
      </c>
      <c r="AA2385" s="7">
        <f>IF($E2385="","",Z2385-Q2385)</f>
        <v/>
      </c>
      <c r="AB2385" s="7" t="n"/>
      <c r="AE2385">
        <f>IF($E2385="","",IF($AQ2385=1,0,IF($AP2385=1,Settings!$C$6,Settings!$C$7))*100)</f>
        <v/>
      </c>
      <c r="AI2385" s="7" t="n"/>
      <c r="AL2385" s="11" t="n"/>
      <c r="AN2385">
        <f>IF($E2385="","",IF(COUNTIF($E$2:$E2385,$E2385)=1,1,0))</f>
        <v/>
      </c>
      <c r="AO2385">
        <f>IF($AN2385=1,SUMPRODUCT(--($AR$2:$AR$3001&lt;$AR2385))+1,"")</f>
        <v/>
      </c>
      <c r="AP2385">
        <f>IF($E2385="","",IF(OR($U2385=TRUE(),$U2385="TRUE"),1,0))</f>
        <v/>
      </c>
      <c r="AQ2385">
        <f>IF($E2385="","",IF($AD2385="Yes",1,0))</f>
        <v/>
      </c>
      <c r="AR2385">
        <f>IF($AN2385=1,IFERROR(VALUE(MID($E2385,2,20)),1000000000)+ROW()/100000,"")</f>
        <v/>
      </c>
    </row>
    <row r="2386">
      <c r="G2386" s="11" t="n"/>
      <c r="Q2386" s="7">
        <f>IF($E2386="","",P2386*AB2386/100)</f>
        <v/>
      </c>
      <c r="R2386" s="7" t="n"/>
      <c r="X2386" s="7" t="n"/>
      <c r="Y2386" s="7">
        <f>IF($E2386="","",AB2386*AE2386/100)</f>
        <v/>
      </c>
      <c r="Z2386" s="7">
        <f>IF($E2386="","",AB2386-Y2386)</f>
        <v/>
      </c>
      <c r="AA2386" s="7">
        <f>IF($E2386="","",Z2386-Q2386)</f>
        <v/>
      </c>
      <c r="AB2386" s="7" t="n"/>
      <c r="AE2386">
        <f>IF($E2386="","",IF($AQ2386=1,0,IF($AP2386=1,Settings!$C$6,Settings!$C$7))*100)</f>
        <v/>
      </c>
      <c r="AI2386" s="7" t="n"/>
      <c r="AL2386" s="11" t="n"/>
      <c r="AN2386">
        <f>IF($E2386="","",IF(COUNTIF($E$2:$E2386,$E2386)=1,1,0))</f>
        <v/>
      </c>
      <c r="AO2386">
        <f>IF($AN2386=1,SUMPRODUCT(--($AR$2:$AR$3001&lt;$AR2386))+1,"")</f>
        <v/>
      </c>
      <c r="AP2386">
        <f>IF($E2386="","",IF(OR($U2386=TRUE(),$U2386="TRUE"),1,0))</f>
        <v/>
      </c>
      <c r="AQ2386">
        <f>IF($E2386="","",IF($AD2386="Yes",1,0))</f>
        <v/>
      </c>
      <c r="AR2386">
        <f>IF($AN2386=1,IFERROR(VALUE(MID($E2386,2,20)),1000000000)+ROW()/100000,"")</f>
        <v/>
      </c>
    </row>
    <row r="2387">
      <c r="G2387" s="11" t="n"/>
      <c r="Q2387" s="7">
        <f>IF($E2387="","",P2387*AB2387/100)</f>
        <v/>
      </c>
      <c r="R2387" s="7" t="n"/>
      <c r="X2387" s="7" t="n"/>
      <c r="Y2387" s="7">
        <f>IF($E2387="","",AB2387*AE2387/100)</f>
        <v/>
      </c>
      <c r="Z2387" s="7">
        <f>IF($E2387="","",AB2387-Y2387)</f>
        <v/>
      </c>
      <c r="AA2387" s="7">
        <f>IF($E2387="","",Z2387-Q2387)</f>
        <v/>
      </c>
      <c r="AB2387" s="7" t="n"/>
      <c r="AE2387">
        <f>IF($E2387="","",IF($AQ2387=1,0,IF($AP2387=1,Settings!$C$6,Settings!$C$7))*100)</f>
        <v/>
      </c>
      <c r="AI2387" s="7" t="n"/>
      <c r="AL2387" s="11" t="n"/>
      <c r="AN2387">
        <f>IF($E2387="","",IF(COUNTIF($E$2:$E2387,$E2387)=1,1,0))</f>
        <v/>
      </c>
      <c r="AO2387">
        <f>IF($AN2387=1,SUMPRODUCT(--($AR$2:$AR$3001&lt;$AR2387))+1,"")</f>
        <v/>
      </c>
      <c r="AP2387">
        <f>IF($E2387="","",IF(OR($U2387=TRUE(),$U2387="TRUE"),1,0))</f>
        <v/>
      </c>
      <c r="AQ2387">
        <f>IF($E2387="","",IF($AD2387="Yes",1,0))</f>
        <v/>
      </c>
      <c r="AR2387">
        <f>IF($AN2387=1,IFERROR(VALUE(MID($E2387,2,20)),1000000000)+ROW()/100000,"")</f>
        <v/>
      </c>
    </row>
    <row r="2388">
      <c r="G2388" s="11" t="n"/>
      <c r="Q2388" s="7">
        <f>IF($E2388="","",P2388*AB2388/100)</f>
        <v/>
      </c>
      <c r="R2388" s="7" t="n"/>
      <c r="X2388" s="7" t="n"/>
      <c r="Y2388" s="7">
        <f>IF($E2388="","",AB2388*AE2388/100)</f>
        <v/>
      </c>
      <c r="Z2388" s="7">
        <f>IF($E2388="","",AB2388-Y2388)</f>
        <v/>
      </c>
      <c r="AA2388" s="7">
        <f>IF($E2388="","",Z2388-Q2388)</f>
        <v/>
      </c>
      <c r="AB2388" s="7" t="n"/>
      <c r="AE2388">
        <f>IF($E2388="","",IF($AQ2388=1,0,IF($AP2388=1,Settings!$C$6,Settings!$C$7))*100)</f>
        <v/>
      </c>
      <c r="AI2388" s="7" t="n"/>
      <c r="AL2388" s="11" t="n"/>
      <c r="AN2388">
        <f>IF($E2388="","",IF(COUNTIF($E$2:$E2388,$E2388)=1,1,0))</f>
        <v/>
      </c>
      <c r="AO2388">
        <f>IF($AN2388=1,SUMPRODUCT(--($AR$2:$AR$3001&lt;$AR2388))+1,"")</f>
        <v/>
      </c>
      <c r="AP2388">
        <f>IF($E2388="","",IF(OR($U2388=TRUE(),$U2388="TRUE"),1,0))</f>
        <v/>
      </c>
      <c r="AQ2388">
        <f>IF($E2388="","",IF($AD2388="Yes",1,0))</f>
        <v/>
      </c>
      <c r="AR2388">
        <f>IF($AN2388=1,IFERROR(VALUE(MID($E2388,2,20)),1000000000)+ROW()/100000,"")</f>
        <v/>
      </c>
    </row>
    <row r="2389">
      <c r="G2389" s="11" t="n"/>
      <c r="Q2389" s="7">
        <f>IF($E2389="","",P2389*AB2389/100)</f>
        <v/>
      </c>
      <c r="R2389" s="7" t="n"/>
      <c r="X2389" s="7" t="n"/>
      <c r="Y2389" s="7">
        <f>IF($E2389="","",AB2389*AE2389/100)</f>
        <v/>
      </c>
      <c r="Z2389" s="7">
        <f>IF($E2389="","",AB2389-Y2389)</f>
        <v/>
      </c>
      <c r="AA2389" s="7">
        <f>IF($E2389="","",Z2389-Q2389)</f>
        <v/>
      </c>
      <c r="AB2389" s="7" t="n"/>
      <c r="AE2389">
        <f>IF($E2389="","",IF($AQ2389=1,0,IF($AP2389=1,Settings!$C$6,Settings!$C$7))*100)</f>
        <v/>
      </c>
      <c r="AI2389" s="7" t="n"/>
      <c r="AL2389" s="11" t="n"/>
      <c r="AN2389">
        <f>IF($E2389="","",IF(COUNTIF($E$2:$E2389,$E2389)=1,1,0))</f>
        <v/>
      </c>
      <c r="AO2389">
        <f>IF($AN2389=1,SUMPRODUCT(--($AR$2:$AR$3001&lt;$AR2389))+1,"")</f>
        <v/>
      </c>
      <c r="AP2389">
        <f>IF($E2389="","",IF(OR($U2389=TRUE(),$U2389="TRUE"),1,0))</f>
        <v/>
      </c>
      <c r="AQ2389">
        <f>IF($E2389="","",IF($AD2389="Yes",1,0))</f>
        <v/>
      </c>
      <c r="AR2389">
        <f>IF($AN2389=1,IFERROR(VALUE(MID($E2389,2,20)),1000000000)+ROW()/100000,"")</f>
        <v/>
      </c>
    </row>
    <row r="2390">
      <c r="G2390" s="11" t="n"/>
      <c r="Q2390" s="7">
        <f>IF($E2390="","",P2390*AB2390/100)</f>
        <v/>
      </c>
      <c r="R2390" s="7" t="n"/>
      <c r="X2390" s="7" t="n"/>
      <c r="Y2390" s="7">
        <f>IF($E2390="","",AB2390*AE2390/100)</f>
        <v/>
      </c>
      <c r="Z2390" s="7">
        <f>IF($E2390="","",AB2390-Y2390)</f>
        <v/>
      </c>
      <c r="AA2390" s="7">
        <f>IF($E2390="","",Z2390-Q2390)</f>
        <v/>
      </c>
      <c r="AB2390" s="7" t="n"/>
      <c r="AE2390">
        <f>IF($E2390="","",IF($AQ2390=1,0,IF($AP2390=1,Settings!$C$6,Settings!$C$7))*100)</f>
        <v/>
      </c>
      <c r="AI2390" s="7" t="n"/>
      <c r="AL2390" s="11" t="n"/>
      <c r="AN2390">
        <f>IF($E2390="","",IF(COUNTIF($E$2:$E2390,$E2390)=1,1,0))</f>
        <v/>
      </c>
      <c r="AO2390">
        <f>IF($AN2390=1,SUMPRODUCT(--($AR$2:$AR$3001&lt;$AR2390))+1,"")</f>
        <v/>
      </c>
      <c r="AP2390">
        <f>IF($E2390="","",IF(OR($U2390=TRUE(),$U2390="TRUE"),1,0))</f>
        <v/>
      </c>
      <c r="AQ2390">
        <f>IF($E2390="","",IF($AD2390="Yes",1,0))</f>
        <v/>
      </c>
      <c r="AR2390">
        <f>IF($AN2390=1,IFERROR(VALUE(MID($E2390,2,20)),1000000000)+ROW()/100000,"")</f>
        <v/>
      </c>
    </row>
    <row r="2391">
      <c r="G2391" s="11" t="n"/>
      <c r="Q2391" s="7">
        <f>IF($E2391="","",P2391*AB2391/100)</f>
        <v/>
      </c>
      <c r="R2391" s="7" t="n"/>
      <c r="X2391" s="7" t="n"/>
      <c r="Y2391" s="7">
        <f>IF($E2391="","",AB2391*AE2391/100)</f>
        <v/>
      </c>
      <c r="Z2391" s="7">
        <f>IF($E2391="","",AB2391-Y2391)</f>
        <v/>
      </c>
      <c r="AA2391" s="7">
        <f>IF($E2391="","",Z2391-Q2391)</f>
        <v/>
      </c>
      <c r="AB2391" s="7" t="n"/>
      <c r="AE2391">
        <f>IF($E2391="","",IF($AQ2391=1,0,IF($AP2391=1,Settings!$C$6,Settings!$C$7))*100)</f>
        <v/>
      </c>
      <c r="AI2391" s="7" t="n"/>
      <c r="AL2391" s="11" t="n"/>
      <c r="AN2391">
        <f>IF($E2391="","",IF(COUNTIF($E$2:$E2391,$E2391)=1,1,0))</f>
        <v/>
      </c>
      <c r="AO2391">
        <f>IF($AN2391=1,SUMPRODUCT(--($AR$2:$AR$3001&lt;$AR2391))+1,"")</f>
        <v/>
      </c>
      <c r="AP2391">
        <f>IF($E2391="","",IF(OR($U2391=TRUE(),$U2391="TRUE"),1,0))</f>
        <v/>
      </c>
      <c r="AQ2391">
        <f>IF($E2391="","",IF($AD2391="Yes",1,0))</f>
        <v/>
      </c>
      <c r="AR2391">
        <f>IF($AN2391=1,IFERROR(VALUE(MID($E2391,2,20)),1000000000)+ROW()/100000,"")</f>
        <v/>
      </c>
    </row>
    <row r="2392">
      <c r="G2392" s="11" t="n"/>
      <c r="Q2392" s="7">
        <f>IF($E2392="","",P2392*AB2392/100)</f>
        <v/>
      </c>
      <c r="R2392" s="7" t="n"/>
      <c r="X2392" s="7" t="n"/>
      <c r="Y2392" s="7">
        <f>IF($E2392="","",AB2392*AE2392/100)</f>
        <v/>
      </c>
      <c r="Z2392" s="7">
        <f>IF($E2392="","",AB2392-Y2392)</f>
        <v/>
      </c>
      <c r="AA2392" s="7">
        <f>IF($E2392="","",Z2392-Q2392)</f>
        <v/>
      </c>
      <c r="AB2392" s="7" t="n"/>
      <c r="AE2392">
        <f>IF($E2392="","",IF($AQ2392=1,0,IF($AP2392=1,Settings!$C$6,Settings!$C$7))*100)</f>
        <v/>
      </c>
      <c r="AI2392" s="7" t="n"/>
      <c r="AL2392" s="11" t="n"/>
      <c r="AN2392">
        <f>IF($E2392="","",IF(COUNTIF($E$2:$E2392,$E2392)=1,1,0))</f>
        <v/>
      </c>
      <c r="AO2392">
        <f>IF($AN2392=1,SUMPRODUCT(--($AR$2:$AR$3001&lt;$AR2392))+1,"")</f>
        <v/>
      </c>
      <c r="AP2392">
        <f>IF($E2392="","",IF(OR($U2392=TRUE(),$U2392="TRUE"),1,0))</f>
        <v/>
      </c>
      <c r="AQ2392">
        <f>IF($E2392="","",IF($AD2392="Yes",1,0))</f>
        <v/>
      </c>
      <c r="AR2392">
        <f>IF($AN2392=1,IFERROR(VALUE(MID($E2392,2,20)),1000000000)+ROW()/100000,"")</f>
        <v/>
      </c>
    </row>
    <row r="2393">
      <c r="G2393" s="11" t="n"/>
      <c r="Q2393" s="7">
        <f>IF($E2393="","",P2393*AB2393/100)</f>
        <v/>
      </c>
      <c r="R2393" s="7" t="n"/>
      <c r="X2393" s="7" t="n"/>
      <c r="Y2393" s="7">
        <f>IF($E2393="","",AB2393*AE2393/100)</f>
        <v/>
      </c>
      <c r="Z2393" s="7">
        <f>IF($E2393="","",AB2393-Y2393)</f>
        <v/>
      </c>
      <c r="AA2393" s="7">
        <f>IF($E2393="","",Z2393-Q2393)</f>
        <v/>
      </c>
      <c r="AB2393" s="7" t="n"/>
      <c r="AE2393">
        <f>IF($E2393="","",IF($AQ2393=1,0,IF($AP2393=1,Settings!$C$6,Settings!$C$7))*100)</f>
        <v/>
      </c>
      <c r="AI2393" s="7" t="n"/>
      <c r="AL2393" s="11" t="n"/>
      <c r="AN2393">
        <f>IF($E2393="","",IF(COUNTIF($E$2:$E2393,$E2393)=1,1,0))</f>
        <v/>
      </c>
      <c r="AO2393">
        <f>IF($AN2393=1,SUMPRODUCT(--($AR$2:$AR$3001&lt;$AR2393))+1,"")</f>
        <v/>
      </c>
      <c r="AP2393">
        <f>IF($E2393="","",IF(OR($U2393=TRUE(),$U2393="TRUE"),1,0))</f>
        <v/>
      </c>
      <c r="AQ2393">
        <f>IF($E2393="","",IF($AD2393="Yes",1,0))</f>
        <v/>
      </c>
      <c r="AR2393">
        <f>IF($AN2393=1,IFERROR(VALUE(MID($E2393,2,20)),1000000000)+ROW()/100000,"")</f>
        <v/>
      </c>
    </row>
    <row r="2394">
      <c r="G2394" s="11" t="n"/>
      <c r="Q2394" s="7">
        <f>IF($E2394="","",P2394*AB2394/100)</f>
        <v/>
      </c>
      <c r="R2394" s="7" t="n"/>
      <c r="X2394" s="7" t="n"/>
      <c r="Y2394" s="7">
        <f>IF($E2394="","",AB2394*AE2394/100)</f>
        <v/>
      </c>
      <c r="Z2394" s="7">
        <f>IF($E2394="","",AB2394-Y2394)</f>
        <v/>
      </c>
      <c r="AA2394" s="7">
        <f>IF($E2394="","",Z2394-Q2394)</f>
        <v/>
      </c>
      <c r="AB2394" s="7" t="n"/>
      <c r="AE2394">
        <f>IF($E2394="","",IF($AQ2394=1,0,IF($AP2394=1,Settings!$C$6,Settings!$C$7))*100)</f>
        <v/>
      </c>
      <c r="AI2394" s="7" t="n"/>
      <c r="AL2394" s="11" t="n"/>
      <c r="AN2394">
        <f>IF($E2394="","",IF(COUNTIF($E$2:$E2394,$E2394)=1,1,0))</f>
        <v/>
      </c>
      <c r="AO2394">
        <f>IF($AN2394=1,SUMPRODUCT(--($AR$2:$AR$3001&lt;$AR2394))+1,"")</f>
        <v/>
      </c>
      <c r="AP2394">
        <f>IF($E2394="","",IF(OR($U2394=TRUE(),$U2394="TRUE"),1,0))</f>
        <v/>
      </c>
      <c r="AQ2394">
        <f>IF($E2394="","",IF($AD2394="Yes",1,0))</f>
        <v/>
      </c>
      <c r="AR2394">
        <f>IF($AN2394=1,IFERROR(VALUE(MID($E2394,2,20)),1000000000)+ROW()/100000,"")</f>
        <v/>
      </c>
    </row>
    <row r="2395">
      <c r="G2395" s="11" t="n"/>
      <c r="Q2395" s="7">
        <f>IF($E2395="","",P2395*AB2395/100)</f>
        <v/>
      </c>
      <c r="R2395" s="7" t="n"/>
      <c r="X2395" s="7" t="n"/>
      <c r="Y2395" s="7">
        <f>IF($E2395="","",AB2395*AE2395/100)</f>
        <v/>
      </c>
      <c r="Z2395" s="7">
        <f>IF($E2395="","",AB2395-Y2395)</f>
        <v/>
      </c>
      <c r="AA2395" s="7">
        <f>IF($E2395="","",Z2395-Q2395)</f>
        <v/>
      </c>
      <c r="AB2395" s="7" t="n"/>
      <c r="AE2395">
        <f>IF($E2395="","",IF($AQ2395=1,0,IF($AP2395=1,Settings!$C$6,Settings!$C$7))*100)</f>
        <v/>
      </c>
      <c r="AI2395" s="7" t="n"/>
      <c r="AL2395" s="11" t="n"/>
      <c r="AN2395">
        <f>IF($E2395="","",IF(COUNTIF($E$2:$E2395,$E2395)=1,1,0))</f>
        <v/>
      </c>
      <c r="AO2395">
        <f>IF($AN2395=1,SUMPRODUCT(--($AR$2:$AR$3001&lt;$AR2395))+1,"")</f>
        <v/>
      </c>
      <c r="AP2395">
        <f>IF($E2395="","",IF(OR($U2395=TRUE(),$U2395="TRUE"),1,0))</f>
        <v/>
      </c>
      <c r="AQ2395">
        <f>IF($E2395="","",IF($AD2395="Yes",1,0))</f>
        <v/>
      </c>
      <c r="AR2395">
        <f>IF($AN2395=1,IFERROR(VALUE(MID($E2395,2,20)),1000000000)+ROW()/100000,"")</f>
        <v/>
      </c>
    </row>
    <row r="2396">
      <c r="G2396" s="11" t="n"/>
      <c r="Q2396" s="7">
        <f>IF($E2396="","",P2396*AB2396/100)</f>
        <v/>
      </c>
      <c r="R2396" s="7" t="n"/>
      <c r="X2396" s="7" t="n"/>
      <c r="Y2396" s="7">
        <f>IF($E2396="","",AB2396*AE2396/100)</f>
        <v/>
      </c>
      <c r="Z2396" s="7">
        <f>IF($E2396="","",AB2396-Y2396)</f>
        <v/>
      </c>
      <c r="AA2396" s="7">
        <f>IF($E2396="","",Z2396-Q2396)</f>
        <v/>
      </c>
      <c r="AB2396" s="7" t="n"/>
      <c r="AE2396">
        <f>IF($E2396="","",IF($AQ2396=1,0,IF($AP2396=1,Settings!$C$6,Settings!$C$7))*100)</f>
        <v/>
      </c>
      <c r="AI2396" s="7" t="n"/>
      <c r="AL2396" s="11" t="n"/>
      <c r="AN2396">
        <f>IF($E2396="","",IF(COUNTIF($E$2:$E2396,$E2396)=1,1,0))</f>
        <v/>
      </c>
      <c r="AO2396">
        <f>IF($AN2396=1,SUMPRODUCT(--($AR$2:$AR$3001&lt;$AR2396))+1,"")</f>
        <v/>
      </c>
      <c r="AP2396">
        <f>IF($E2396="","",IF(OR($U2396=TRUE(),$U2396="TRUE"),1,0))</f>
        <v/>
      </c>
      <c r="AQ2396">
        <f>IF($E2396="","",IF($AD2396="Yes",1,0))</f>
        <v/>
      </c>
      <c r="AR2396">
        <f>IF($AN2396=1,IFERROR(VALUE(MID($E2396,2,20)),1000000000)+ROW()/100000,"")</f>
        <v/>
      </c>
    </row>
    <row r="2397">
      <c r="G2397" s="11" t="n"/>
      <c r="Q2397" s="7">
        <f>IF($E2397="","",P2397*AB2397/100)</f>
        <v/>
      </c>
      <c r="R2397" s="7" t="n"/>
      <c r="X2397" s="7" t="n"/>
      <c r="Y2397" s="7">
        <f>IF($E2397="","",AB2397*AE2397/100)</f>
        <v/>
      </c>
      <c r="Z2397" s="7">
        <f>IF($E2397="","",AB2397-Y2397)</f>
        <v/>
      </c>
      <c r="AA2397" s="7">
        <f>IF($E2397="","",Z2397-Q2397)</f>
        <v/>
      </c>
      <c r="AB2397" s="7" t="n"/>
      <c r="AE2397">
        <f>IF($E2397="","",IF($AQ2397=1,0,IF($AP2397=1,Settings!$C$6,Settings!$C$7))*100)</f>
        <v/>
      </c>
      <c r="AI2397" s="7" t="n"/>
      <c r="AL2397" s="11" t="n"/>
      <c r="AN2397">
        <f>IF($E2397="","",IF(COUNTIF($E$2:$E2397,$E2397)=1,1,0))</f>
        <v/>
      </c>
      <c r="AO2397">
        <f>IF($AN2397=1,SUMPRODUCT(--($AR$2:$AR$3001&lt;$AR2397))+1,"")</f>
        <v/>
      </c>
      <c r="AP2397">
        <f>IF($E2397="","",IF(OR($U2397=TRUE(),$U2397="TRUE"),1,0))</f>
        <v/>
      </c>
      <c r="AQ2397">
        <f>IF($E2397="","",IF($AD2397="Yes",1,0))</f>
        <v/>
      </c>
      <c r="AR2397">
        <f>IF($AN2397=1,IFERROR(VALUE(MID($E2397,2,20)),1000000000)+ROW()/100000,"")</f>
        <v/>
      </c>
    </row>
    <row r="2398">
      <c r="G2398" s="11" t="n"/>
      <c r="Q2398" s="7">
        <f>IF($E2398="","",P2398*AB2398/100)</f>
        <v/>
      </c>
      <c r="R2398" s="7" t="n"/>
      <c r="X2398" s="7" t="n"/>
      <c r="Y2398" s="7">
        <f>IF($E2398="","",AB2398*AE2398/100)</f>
        <v/>
      </c>
      <c r="Z2398" s="7">
        <f>IF($E2398="","",AB2398-Y2398)</f>
        <v/>
      </c>
      <c r="AA2398" s="7">
        <f>IF($E2398="","",Z2398-Q2398)</f>
        <v/>
      </c>
      <c r="AB2398" s="7" t="n"/>
      <c r="AE2398">
        <f>IF($E2398="","",IF($AQ2398=1,0,IF($AP2398=1,Settings!$C$6,Settings!$C$7))*100)</f>
        <v/>
      </c>
      <c r="AI2398" s="7" t="n"/>
      <c r="AL2398" s="11" t="n"/>
      <c r="AN2398">
        <f>IF($E2398="","",IF(COUNTIF($E$2:$E2398,$E2398)=1,1,0))</f>
        <v/>
      </c>
      <c r="AO2398">
        <f>IF($AN2398=1,SUMPRODUCT(--($AR$2:$AR$3001&lt;$AR2398))+1,"")</f>
        <v/>
      </c>
      <c r="AP2398">
        <f>IF($E2398="","",IF(OR($U2398=TRUE(),$U2398="TRUE"),1,0))</f>
        <v/>
      </c>
      <c r="AQ2398">
        <f>IF($E2398="","",IF($AD2398="Yes",1,0))</f>
        <v/>
      </c>
      <c r="AR2398">
        <f>IF($AN2398=1,IFERROR(VALUE(MID($E2398,2,20)),1000000000)+ROW()/100000,"")</f>
        <v/>
      </c>
    </row>
    <row r="2399">
      <c r="G2399" s="11" t="n"/>
      <c r="Q2399" s="7">
        <f>IF($E2399="","",P2399*AB2399/100)</f>
        <v/>
      </c>
      <c r="R2399" s="7" t="n"/>
      <c r="X2399" s="7" t="n"/>
      <c r="Y2399" s="7">
        <f>IF($E2399="","",AB2399*AE2399/100)</f>
        <v/>
      </c>
      <c r="Z2399" s="7">
        <f>IF($E2399="","",AB2399-Y2399)</f>
        <v/>
      </c>
      <c r="AA2399" s="7">
        <f>IF($E2399="","",Z2399-Q2399)</f>
        <v/>
      </c>
      <c r="AB2399" s="7" t="n"/>
      <c r="AE2399">
        <f>IF($E2399="","",IF($AQ2399=1,0,IF($AP2399=1,Settings!$C$6,Settings!$C$7))*100)</f>
        <v/>
      </c>
      <c r="AI2399" s="7" t="n"/>
      <c r="AL2399" s="11" t="n"/>
      <c r="AN2399">
        <f>IF($E2399="","",IF(COUNTIF($E$2:$E2399,$E2399)=1,1,0))</f>
        <v/>
      </c>
      <c r="AO2399">
        <f>IF($AN2399=1,SUMPRODUCT(--($AR$2:$AR$3001&lt;$AR2399))+1,"")</f>
        <v/>
      </c>
      <c r="AP2399">
        <f>IF($E2399="","",IF(OR($U2399=TRUE(),$U2399="TRUE"),1,0))</f>
        <v/>
      </c>
      <c r="AQ2399">
        <f>IF($E2399="","",IF($AD2399="Yes",1,0))</f>
        <v/>
      </c>
      <c r="AR2399">
        <f>IF($AN2399=1,IFERROR(VALUE(MID($E2399,2,20)),1000000000)+ROW()/100000,"")</f>
        <v/>
      </c>
    </row>
    <row r="2400">
      <c r="G2400" s="11" t="n"/>
      <c r="Q2400" s="7">
        <f>IF($E2400="","",P2400*AB2400/100)</f>
        <v/>
      </c>
      <c r="R2400" s="7" t="n"/>
      <c r="X2400" s="7" t="n"/>
      <c r="Y2400" s="7">
        <f>IF($E2400="","",AB2400*AE2400/100)</f>
        <v/>
      </c>
      <c r="Z2400" s="7">
        <f>IF($E2400="","",AB2400-Y2400)</f>
        <v/>
      </c>
      <c r="AA2400" s="7">
        <f>IF($E2400="","",Z2400-Q2400)</f>
        <v/>
      </c>
      <c r="AB2400" s="7" t="n"/>
      <c r="AE2400">
        <f>IF($E2400="","",IF($AQ2400=1,0,IF($AP2400=1,Settings!$C$6,Settings!$C$7))*100)</f>
        <v/>
      </c>
      <c r="AI2400" s="7" t="n"/>
      <c r="AL2400" s="11" t="n"/>
      <c r="AN2400">
        <f>IF($E2400="","",IF(COUNTIF($E$2:$E2400,$E2400)=1,1,0))</f>
        <v/>
      </c>
      <c r="AO2400">
        <f>IF($AN2400=1,SUMPRODUCT(--($AR$2:$AR$3001&lt;$AR2400))+1,"")</f>
        <v/>
      </c>
      <c r="AP2400">
        <f>IF($E2400="","",IF(OR($U2400=TRUE(),$U2400="TRUE"),1,0))</f>
        <v/>
      </c>
      <c r="AQ2400">
        <f>IF($E2400="","",IF($AD2400="Yes",1,0))</f>
        <v/>
      </c>
      <c r="AR2400">
        <f>IF($AN2400=1,IFERROR(VALUE(MID($E2400,2,20)),1000000000)+ROW()/100000,"")</f>
        <v/>
      </c>
    </row>
    <row r="2401">
      <c r="G2401" s="11" t="n"/>
      <c r="Q2401" s="7">
        <f>IF($E2401="","",P2401*AB2401/100)</f>
        <v/>
      </c>
      <c r="R2401" s="7" t="n"/>
      <c r="X2401" s="7" t="n"/>
      <c r="Y2401" s="7">
        <f>IF($E2401="","",AB2401*AE2401/100)</f>
        <v/>
      </c>
      <c r="Z2401" s="7">
        <f>IF($E2401="","",AB2401-Y2401)</f>
        <v/>
      </c>
      <c r="AA2401" s="7">
        <f>IF($E2401="","",Z2401-Q2401)</f>
        <v/>
      </c>
      <c r="AB2401" s="7" t="n"/>
      <c r="AE2401">
        <f>IF($E2401="","",IF($AQ2401=1,0,IF($AP2401=1,Settings!$C$6,Settings!$C$7))*100)</f>
        <v/>
      </c>
      <c r="AI2401" s="7" t="n"/>
      <c r="AL2401" s="11" t="n"/>
      <c r="AN2401">
        <f>IF($E2401="","",IF(COUNTIF($E$2:$E2401,$E2401)=1,1,0))</f>
        <v/>
      </c>
      <c r="AO2401">
        <f>IF($AN2401=1,SUMPRODUCT(--($AR$2:$AR$3001&lt;$AR2401))+1,"")</f>
        <v/>
      </c>
      <c r="AP2401">
        <f>IF($E2401="","",IF(OR($U2401=TRUE(),$U2401="TRUE"),1,0))</f>
        <v/>
      </c>
      <c r="AQ2401">
        <f>IF($E2401="","",IF($AD2401="Yes",1,0))</f>
        <v/>
      </c>
      <c r="AR2401">
        <f>IF($AN2401=1,IFERROR(VALUE(MID($E2401,2,20)),1000000000)+ROW()/100000,"")</f>
        <v/>
      </c>
    </row>
    <row r="2402">
      <c r="G2402" s="11" t="n"/>
      <c r="Q2402" s="7">
        <f>IF($E2402="","",P2402*AB2402/100)</f>
        <v/>
      </c>
      <c r="R2402" s="7" t="n"/>
      <c r="X2402" s="7" t="n"/>
      <c r="Y2402" s="7">
        <f>IF($E2402="","",AB2402*AE2402/100)</f>
        <v/>
      </c>
      <c r="Z2402" s="7">
        <f>IF($E2402="","",AB2402-Y2402)</f>
        <v/>
      </c>
      <c r="AA2402" s="7">
        <f>IF($E2402="","",Z2402-Q2402)</f>
        <v/>
      </c>
      <c r="AB2402" s="7" t="n"/>
      <c r="AE2402">
        <f>IF($E2402="","",IF($AQ2402=1,0,IF($AP2402=1,Settings!$C$6,Settings!$C$7))*100)</f>
        <v/>
      </c>
      <c r="AI2402" s="7" t="n"/>
      <c r="AL2402" s="11" t="n"/>
      <c r="AN2402">
        <f>IF($E2402="","",IF(COUNTIF($E$2:$E2402,$E2402)=1,1,0))</f>
        <v/>
      </c>
      <c r="AO2402">
        <f>IF($AN2402=1,SUMPRODUCT(--($AR$2:$AR$3001&lt;$AR2402))+1,"")</f>
        <v/>
      </c>
      <c r="AP2402">
        <f>IF($E2402="","",IF(OR($U2402=TRUE(),$U2402="TRUE"),1,0))</f>
        <v/>
      </c>
      <c r="AQ2402">
        <f>IF($E2402="","",IF($AD2402="Yes",1,0))</f>
        <v/>
      </c>
      <c r="AR2402">
        <f>IF($AN2402=1,IFERROR(VALUE(MID($E2402,2,20)),1000000000)+ROW()/100000,"")</f>
        <v/>
      </c>
    </row>
    <row r="2403">
      <c r="G2403" s="11" t="n"/>
      <c r="Q2403" s="7">
        <f>IF($E2403="","",P2403*AB2403/100)</f>
        <v/>
      </c>
      <c r="R2403" s="7" t="n"/>
      <c r="X2403" s="7" t="n"/>
      <c r="Y2403" s="7">
        <f>IF($E2403="","",AB2403*AE2403/100)</f>
        <v/>
      </c>
      <c r="Z2403" s="7">
        <f>IF($E2403="","",AB2403-Y2403)</f>
        <v/>
      </c>
      <c r="AA2403" s="7">
        <f>IF($E2403="","",Z2403-Q2403)</f>
        <v/>
      </c>
      <c r="AB2403" s="7" t="n"/>
      <c r="AE2403">
        <f>IF($E2403="","",IF($AQ2403=1,0,IF($AP2403=1,Settings!$C$6,Settings!$C$7))*100)</f>
        <v/>
      </c>
      <c r="AI2403" s="7" t="n"/>
      <c r="AL2403" s="11" t="n"/>
      <c r="AN2403">
        <f>IF($E2403="","",IF(COUNTIF($E$2:$E2403,$E2403)=1,1,0))</f>
        <v/>
      </c>
      <c r="AO2403">
        <f>IF($AN2403=1,SUMPRODUCT(--($AR$2:$AR$3001&lt;$AR2403))+1,"")</f>
        <v/>
      </c>
      <c r="AP2403">
        <f>IF($E2403="","",IF(OR($U2403=TRUE(),$U2403="TRUE"),1,0))</f>
        <v/>
      </c>
      <c r="AQ2403">
        <f>IF($E2403="","",IF($AD2403="Yes",1,0))</f>
        <v/>
      </c>
      <c r="AR2403">
        <f>IF($AN2403=1,IFERROR(VALUE(MID($E2403,2,20)),1000000000)+ROW()/100000,"")</f>
        <v/>
      </c>
    </row>
    <row r="2404">
      <c r="G2404" s="11" t="n"/>
      <c r="Q2404" s="7">
        <f>IF($E2404="","",P2404*AB2404/100)</f>
        <v/>
      </c>
      <c r="R2404" s="7" t="n"/>
      <c r="X2404" s="7" t="n"/>
      <c r="Y2404" s="7">
        <f>IF($E2404="","",AB2404*AE2404/100)</f>
        <v/>
      </c>
      <c r="Z2404" s="7">
        <f>IF($E2404="","",AB2404-Y2404)</f>
        <v/>
      </c>
      <c r="AA2404" s="7">
        <f>IF($E2404="","",Z2404-Q2404)</f>
        <v/>
      </c>
      <c r="AB2404" s="7" t="n"/>
      <c r="AE2404">
        <f>IF($E2404="","",IF($AQ2404=1,0,IF($AP2404=1,Settings!$C$6,Settings!$C$7))*100)</f>
        <v/>
      </c>
      <c r="AI2404" s="7" t="n"/>
      <c r="AL2404" s="11" t="n"/>
      <c r="AN2404">
        <f>IF($E2404="","",IF(COUNTIF($E$2:$E2404,$E2404)=1,1,0))</f>
        <v/>
      </c>
      <c r="AO2404">
        <f>IF($AN2404=1,SUMPRODUCT(--($AR$2:$AR$3001&lt;$AR2404))+1,"")</f>
        <v/>
      </c>
      <c r="AP2404">
        <f>IF($E2404="","",IF(OR($U2404=TRUE(),$U2404="TRUE"),1,0))</f>
        <v/>
      </c>
      <c r="AQ2404">
        <f>IF($E2404="","",IF($AD2404="Yes",1,0))</f>
        <v/>
      </c>
      <c r="AR2404">
        <f>IF($AN2404=1,IFERROR(VALUE(MID($E2404,2,20)),1000000000)+ROW()/100000,"")</f>
        <v/>
      </c>
    </row>
    <row r="2405">
      <c r="G2405" s="11" t="n"/>
      <c r="Q2405" s="7">
        <f>IF($E2405="","",P2405*AB2405/100)</f>
        <v/>
      </c>
      <c r="R2405" s="7" t="n"/>
      <c r="X2405" s="7" t="n"/>
      <c r="Y2405" s="7">
        <f>IF($E2405="","",AB2405*AE2405/100)</f>
        <v/>
      </c>
      <c r="Z2405" s="7">
        <f>IF($E2405="","",AB2405-Y2405)</f>
        <v/>
      </c>
      <c r="AA2405" s="7">
        <f>IF($E2405="","",Z2405-Q2405)</f>
        <v/>
      </c>
      <c r="AB2405" s="7" t="n"/>
      <c r="AE2405">
        <f>IF($E2405="","",IF($AQ2405=1,0,IF($AP2405=1,Settings!$C$6,Settings!$C$7))*100)</f>
        <v/>
      </c>
      <c r="AI2405" s="7" t="n"/>
      <c r="AL2405" s="11" t="n"/>
      <c r="AN2405">
        <f>IF($E2405="","",IF(COUNTIF($E$2:$E2405,$E2405)=1,1,0))</f>
        <v/>
      </c>
      <c r="AO2405">
        <f>IF($AN2405=1,SUMPRODUCT(--($AR$2:$AR$3001&lt;$AR2405))+1,"")</f>
        <v/>
      </c>
      <c r="AP2405">
        <f>IF($E2405="","",IF(OR($U2405=TRUE(),$U2405="TRUE"),1,0))</f>
        <v/>
      </c>
      <c r="AQ2405">
        <f>IF($E2405="","",IF($AD2405="Yes",1,0))</f>
        <v/>
      </c>
      <c r="AR2405">
        <f>IF($AN2405=1,IFERROR(VALUE(MID($E2405,2,20)),1000000000)+ROW()/100000,"")</f>
        <v/>
      </c>
    </row>
    <row r="2406">
      <c r="G2406" s="11" t="n"/>
      <c r="Q2406" s="7">
        <f>IF($E2406="","",P2406*AB2406/100)</f>
        <v/>
      </c>
      <c r="R2406" s="7" t="n"/>
      <c r="X2406" s="7" t="n"/>
      <c r="Y2406" s="7">
        <f>IF($E2406="","",AB2406*AE2406/100)</f>
        <v/>
      </c>
      <c r="Z2406" s="7">
        <f>IF($E2406="","",AB2406-Y2406)</f>
        <v/>
      </c>
      <c r="AA2406" s="7">
        <f>IF($E2406="","",Z2406-Q2406)</f>
        <v/>
      </c>
      <c r="AB2406" s="7" t="n"/>
      <c r="AE2406">
        <f>IF($E2406="","",IF($AQ2406=1,0,IF($AP2406=1,Settings!$C$6,Settings!$C$7))*100)</f>
        <v/>
      </c>
      <c r="AI2406" s="7" t="n"/>
      <c r="AL2406" s="11" t="n"/>
      <c r="AN2406">
        <f>IF($E2406="","",IF(COUNTIF($E$2:$E2406,$E2406)=1,1,0))</f>
        <v/>
      </c>
      <c r="AO2406">
        <f>IF($AN2406=1,SUMPRODUCT(--($AR$2:$AR$3001&lt;$AR2406))+1,"")</f>
        <v/>
      </c>
      <c r="AP2406">
        <f>IF($E2406="","",IF(OR($U2406=TRUE(),$U2406="TRUE"),1,0))</f>
        <v/>
      </c>
      <c r="AQ2406">
        <f>IF($E2406="","",IF($AD2406="Yes",1,0))</f>
        <v/>
      </c>
      <c r="AR2406">
        <f>IF($AN2406=1,IFERROR(VALUE(MID($E2406,2,20)),1000000000)+ROW()/100000,"")</f>
        <v/>
      </c>
    </row>
    <row r="2407">
      <c r="G2407" s="11" t="n"/>
      <c r="Q2407" s="7">
        <f>IF($E2407="","",P2407*AB2407/100)</f>
        <v/>
      </c>
      <c r="R2407" s="7" t="n"/>
      <c r="X2407" s="7" t="n"/>
      <c r="Y2407" s="7">
        <f>IF($E2407="","",AB2407*AE2407/100)</f>
        <v/>
      </c>
      <c r="Z2407" s="7">
        <f>IF($E2407="","",AB2407-Y2407)</f>
        <v/>
      </c>
      <c r="AA2407" s="7">
        <f>IF($E2407="","",Z2407-Q2407)</f>
        <v/>
      </c>
      <c r="AB2407" s="7" t="n"/>
      <c r="AE2407">
        <f>IF($E2407="","",IF($AQ2407=1,0,IF($AP2407=1,Settings!$C$6,Settings!$C$7))*100)</f>
        <v/>
      </c>
      <c r="AI2407" s="7" t="n"/>
      <c r="AL2407" s="11" t="n"/>
      <c r="AN2407">
        <f>IF($E2407="","",IF(COUNTIF($E$2:$E2407,$E2407)=1,1,0))</f>
        <v/>
      </c>
      <c r="AO2407">
        <f>IF($AN2407=1,SUMPRODUCT(--($AR$2:$AR$3001&lt;$AR2407))+1,"")</f>
        <v/>
      </c>
      <c r="AP2407">
        <f>IF($E2407="","",IF(OR($U2407=TRUE(),$U2407="TRUE"),1,0))</f>
        <v/>
      </c>
      <c r="AQ2407">
        <f>IF($E2407="","",IF($AD2407="Yes",1,0))</f>
        <v/>
      </c>
      <c r="AR2407">
        <f>IF($AN2407=1,IFERROR(VALUE(MID($E2407,2,20)),1000000000)+ROW()/100000,"")</f>
        <v/>
      </c>
    </row>
    <row r="2408">
      <c r="G2408" s="11" t="n"/>
      <c r="Q2408" s="7">
        <f>IF($E2408="","",P2408*AB2408/100)</f>
        <v/>
      </c>
      <c r="R2408" s="7" t="n"/>
      <c r="X2408" s="7" t="n"/>
      <c r="Y2408" s="7">
        <f>IF($E2408="","",AB2408*AE2408/100)</f>
        <v/>
      </c>
      <c r="Z2408" s="7">
        <f>IF($E2408="","",AB2408-Y2408)</f>
        <v/>
      </c>
      <c r="AA2408" s="7">
        <f>IF($E2408="","",Z2408-Q2408)</f>
        <v/>
      </c>
      <c r="AB2408" s="7" t="n"/>
      <c r="AE2408">
        <f>IF($E2408="","",IF($AQ2408=1,0,IF($AP2408=1,Settings!$C$6,Settings!$C$7))*100)</f>
        <v/>
      </c>
      <c r="AI2408" s="7" t="n"/>
      <c r="AL2408" s="11" t="n"/>
      <c r="AN2408">
        <f>IF($E2408="","",IF(COUNTIF($E$2:$E2408,$E2408)=1,1,0))</f>
        <v/>
      </c>
      <c r="AO2408">
        <f>IF($AN2408=1,SUMPRODUCT(--($AR$2:$AR$3001&lt;$AR2408))+1,"")</f>
        <v/>
      </c>
      <c r="AP2408">
        <f>IF($E2408="","",IF(OR($U2408=TRUE(),$U2408="TRUE"),1,0))</f>
        <v/>
      </c>
      <c r="AQ2408">
        <f>IF($E2408="","",IF($AD2408="Yes",1,0))</f>
        <v/>
      </c>
      <c r="AR2408">
        <f>IF($AN2408=1,IFERROR(VALUE(MID($E2408,2,20)),1000000000)+ROW()/100000,"")</f>
        <v/>
      </c>
    </row>
    <row r="2409">
      <c r="G2409" s="11" t="n"/>
      <c r="Q2409" s="7">
        <f>IF($E2409="","",P2409*AB2409/100)</f>
        <v/>
      </c>
      <c r="R2409" s="7" t="n"/>
      <c r="X2409" s="7" t="n"/>
      <c r="Y2409" s="7">
        <f>IF($E2409="","",AB2409*AE2409/100)</f>
        <v/>
      </c>
      <c r="Z2409" s="7">
        <f>IF($E2409="","",AB2409-Y2409)</f>
        <v/>
      </c>
      <c r="AA2409" s="7">
        <f>IF($E2409="","",Z2409-Q2409)</f>
        <v/>
      </c>
      <c r="AB2409" s="7" t="n"/>
      <c r="AE2409">
        <f>IF($E2409="","",IF($AQ2409=1,0,IF($AP2409=1,Settings!$C$6,Settings!$C$7))*100)</f>
        <v/>
      </c>
      <c r="AI2409" s="7" t="n"/>
      <c r="AL2409" s="11" t="n"/>
      <c r="AN2409">
        <f>IF($E2409="","",IF(COUNTIF($E$2:$E2409,$E2409)=1,1,0))</f>
        <v/>
      </c>
      <c r="AO2409">
        <f>IF($AN2409=1,SUMPRODUCT(--($AR$2:$AR$3001&lt;$AR2409))+1,"")</f>
        <v/>
      </c>
      <c r="AP2409">
        <f>IF($E2409="","",IF(OR($U2409=TRUE(),$U2409="TRUE"),1,0))</f>
        <v/>
      </c>
      <c r="AQ2409">
        <f>IF($E2409="","",IF($AD2409="Yes",1,0))</f>
        <v/>
      </c>
      <c r="AR2409">
        <f>IF($AN2409=1,IFERROR(VALUE(MID($E2409,2,20)),1000000000)+ROW()/100000,"")</f>
        <v/>
      </c>
    </row>
    <row r="2410">
      <c r="G2410" s="11" t="n"/>
      <c r="Q2410" s="7">
        <f>IF($E2410="","",P2410*AB2410/100)</f>
        <v/>
      </c>
      <c r="R2410" s="7" t="n"/>
      <c r="X2410" s="7" t="n"/>
      <c r="Y2410" s="7">
        <f>IF($E2410="","",AB2410*AE2410/100)</f>
        <v/>
      </c>
      <c r="Z2410" s="7">
        <f>IF($E2410="","",AB2410-Y2410)</f>
        <v/>
      </c>
      <c r="AA2410" s="7">
        <f>IF($E2410="","",Z2410-Q2410)</f>
        <v/>
      </c>
      <c r="AB2410" s="7" t="n"/>
      <c r="AE2410">
        <f>IF($E2410="","",IF($AQ2410=1,0,IF($AP2410=1,Settings!$C$6,Settings!$C$7))*100)</f>
        <v/>
      </c>
      <c r="AI2410" s="7" t="n"/>
      <c r="AL2410" s="11" t="n"/>
      <c r="AN2410">
        <f>IF($E2410="","",IF(COUNTIF($E$2:$E2410,$E2410)=1,1,0))</f>
        <v/>
      </c>
      <c r="AO2410">
        <f>IF($AN2410=1,SUMPRODUCT(--($AR$2:$AR$3001&lt;$AR2410))+1,"")</f>
        <v/>
      </c>
      <c r="AP2410">
        <f>IF($E2410="","",IF(OR($U2410=TRUE(),$U2410="TRUE"),1,0))</f>
        <v/>
      </c>
      <c r="AQ2410">
        <f>IF($E2410="","",IF($AD2410="Yes",1,0))</f>
        <v/>
      </c>
      <c r="AR2410">
        <f>IF($AN2410=1,IFERROR(VALUE(MID($E2410,2,20)),1000000000)+ROW()/100000,"")</f>
        <v/>
      </c>
    </row>
    <row r="2411">
      <c r="G2411" s="11" t="n"/>
      <c r="Q2411" s="7">
        <f>IF($E2411="","",P2411*AB2411/100)</f>
        <v/>
      </c>
      <c r="R2411" s="7" t="n"/>
      <c r="X2411" s="7" t="n"/>
      <c r="Y2411" s="7">
        <f>IF($E2411="","",AB2411*AE2411/100)</f>
        <v/>
      </c>
      <c r="Z2411" s="7">
        <f>IF($E2411="","",AB2411-Y2411)</f>
        <v/>
      </c>
      <c r="AA2411" s="7">
        <f>IF($E2411="","",Z2411-Q2411)</f>
        <v/>
      </c>
      <c r="AB2411" s="7" t="n"/>
      <c r="AE2411">
        <f>IF($E2411="","",IF($AQ2411=1,0,IF($AP2411=1,Settings!$C$6,Settings!$C$7))*100)</f>
        <v/>
      </c>
      <c r="AI2411" s="7" t="n"/>
      <c r="AL2411" s="11" t="n"/>
      <c r="AN2411">
        <f>IF($E2411="","",IF(COUNTIF($E$2:$E2411,$E2411)=1,1,0))</f>
        <v/>
      </c>
      <c r="AO2411">
        <f>IF($AN2411=1,SUMPRODUCT(--($AR$2:$AR$3001&lt;$AR2411))+1,"")</f>
        <v/>
      </c>
      <c r="AP2411">
        <f>IF($E2411="","",IF(OR($U2411=TRUE(),$U2411="TRUE"),1,0))</f>
        <v/>
      </c>
      <c r="AQ2411">
        <f>IF($E2411="","",IF($AD2411="Yes",1,0))</f>
        <v/>
      </c>
      <c r="AR2411">
        <f>IF($AN2411=1,IFERROR(VALUE(MID($E2411,2,20)),1000000000)+ROW()/100000,"")</f>
        <v/>
      </c>
    </row>
    <row r="2412">
      <c r="G2412" s="11" t="n"/>
      <c r="Q2412" s="7">
        <f>IF($E2412="","",P2412*AB2412/100)</f>
        <v/>
      </c>
      <c r="R2412" s="7" t="n"/>
      <c r="X2412" s="7" t="n"/>
      <c r="Y2412" s="7">
        <f>IF($E2412="","",AB2412*AE2412/100)</f>
        <v/>
      </c>
      <c r="Z2412" s="7">
        <f>IF($E2412="","",AB2412-Y2412)</f>
        <v/>
      </c>
      <c r="AA2412" s="7">
        <f>IF($E2412="","",Z2412-Q2412)</f>
        <v/>
      </c>
      <c r="AB2412" s="7" t="n"/>
      <c r="AE2412">
        <f>IF($E2412="","",IF($AQ2412=1,0,IF($AP2412=1,Settings!$C$6,Settings!$C$7))*100)</f>
        <v/>
      </c>
      <c r="AI2412" s="7" t="n"/>
      <c r="AL2412" s="11" t="n"/>
      <c r="AN2412">
        <f>IF($E2412="","",IF(COUNTIF($E$2:$E2412,$E2412)=1,1,0))</f>
        <v/>
      </c>
      <c r="AO2412">
        <f>IF($AN2412=1,SUMPRODUCT(--($AR$2:$AR$3001&lt;$AR2412))+1,"")</f>
        <v/>
      </c>
      <c r="AP2412">
        <f>IF($E2412="","",IF(OR($U2412=TRUE(),$U2412="TRUE"),1,0))</f>
        <v/>
      </c>
      <c r="AQ2412">
        <f>IF($E2412="","",IF($AD2412="Yes",1,0))</f>
        <v/>
      </c>
      <c r="AR2412">
        <f>IF($AN2412=1,IFERROR(VALUE(MID($E2412,2,20)),1000000000)+ROW()/100000,"")</f>
        <v/>
      </c>
    </row>
    <row r="2413">
      <c r="G2413" s="11" t="n"/>
      <c r="Q2413" s="7">
        <f>IF($E2413="","",P2413*AB2413/100)</f>
        <v/>
      </c>
      <c r="R2413" s="7" t="n"/>
      <c r="X2413" s="7" t="n"/>
      <c r="Y2413" s="7">
        <f>IF($E2413="","",AB2413*AE2413/100)</f>
        <v/>
      </c>
      <c r="Z2413" s="7">
        <f>IF($E2413="","",AB2413-Y2413)</f>
        <v/>
      </c>
      <c r="AA2413" s="7">
        <f>IF($E2413="","",Z2413-Q2413)</f>
        <v/>
      </c>
      <c r="AB2413" s="7" t="n"/>
      <c r="AE2413">
        <f>IF($E2413="","",IF($AQ2413=1,0,IF($AP2413=1,Settings!$C$6,Settings!$C$7))*100)</f>
        <v/>
      </c>
      <c r="AI2413" s="7" t="n"/>
      <c r="AL2413" s="11" t="n"/>
      <c r="AN2413">
        <f>IF($E2413="","",IF(COUNTIF($E$2:$E2413,$E2413)=1,1,0))</f>
        <v/>
      </c>
      <c r="AO2413">
        <f>IF($AN2413=1,SUMPRODUCT(--($AR$2:$AR$3001&lt;$AR2413))+1,"")</f>
        <v/>
      </c>
      <c r="AP2413">
        <f>IF($E2413="","",IF(OR($U2413=TRUE(),$U2413="TRUE"),1,0))</f>
        <v/>
      </c>
      <c r="AQ2413">
        <f>IF($E2413="","",IF($AD2413="Yes",1,0))</f>
        <v/>
      </c>
      <c r="AR2413">
        <f>IF($AN2413=1,IFERROR(VALUE(MID($E2413,2,20)),1000000000)+ROW()/100000,"")</f>
        <v/>
      </c>
    </row>
    <row r="2414">
      <c r="G2414" s="11" t="n"/>
      <c r="Q2414" s="7">
        <f>IF($E2414="","",P2414*AB2414/100)</f>
        <v/>
      </c>
      <c r="R2414" s="7" t="n"/>
      <c r="X2414" s="7" t="n"/>
      <c r="Y2414" s="7">
        <f>IF($E2414="","",AB2414*AE2414/100)</f>
        <v/>
      </c>
      <c r="Z2414" s="7">
        <f>IF($E2414="","",AB2414-Y2414)</f>
        <v/>
      </c>
      <c r="AA2414" s="7">
        <f>IF($E2414="","",Z2414-Q2414)</f>
        <v/>
      </c>
      <c r="AB2414" s="7" t="n"/>
      <c r="AE2414">
        <f>IF($E2414="","",IF($AQ2414=1,0,IF($AP2414=1,Settings!$C$6,Settings!$C$7))*100)</f>
        <v/>
      </c>
      <c r="AI2414" s="7" t="n"/>
      <c r="AL2414" s="11" t="n"/>
      <c r="AN2414">
        <f>IF($E2414="","",IF(COUNTIF($E$2:$E2414,$E2414)=1,1,0))</f>
        <v/>
      </c>
      <c r="AO2414">
        <f>IF($AN2414=1,SUMPRODUCT(--($AR$2:$AR$3001&lt;$AR2414))+1,"")</f>
        <v/>
      </c>
      <c r="AP2414">
        <f>IF($E2414="","",IF(OR($U2414=TRUE(),$U2414="TRUE"),1,0))</f>
        <v/>
      </c>
      <c r="AQ2414">
        <f>IF($E2414="","",IF($AD2414="Yes",1,0))</f>
        <v/>
      </c>
      <c r="AR2414">
        <f>IF($AN2414=1,IFERROR(VALUE(MID($E2414,2,20)),1000000000)+ROW()/100000,"")</f>
        <v/>
      </c>
    </row>
    <row r="2415">
      <c r="G2415" s="11" t="n"/>
      <c r="Q2415" s="7">
        <f>IF($E2415="","",P2415*AB2415/100)</f>
        <v/>
      </c>
      <c r="R2415" s="7" t="n"/>
      <c r="X2415" s="7" t="n"/>
      <c r="Y2415" s="7">
        <f>IF($E2415="","",AB2415*AE2415/100)</f>
        <v/>
      </c>
      <c r="Z2415" s="7">
        <f>IF($E2415="","",AB2415-Y2415)</f>
        <v/>
      </c>
      <c r="AA2415" s="7">
        <f>IF($E2415="","",Z2415-Q2415)</f>
        <v/>
      </c>
      <c r="AB2415" s="7" t="n"/>
      <c r="AE2415">
        <f>IF($E2415="","",IF($AQ2415=1,0,IF($AP2415=1,Settings!$C$6,Settings!$C$7))*100)</f>
        <v/>
      </c>
      <c r="AI2415" s="7" t="n"/>
      <c r="AL2415" s="11" t="n"/>
      <c r="AN2415">
        <f>IF($E2415="","",IF(COUNTIF($E$2:$E2415,$E2415)=1,1,0))</f>
        <v/>
      </c>
      <c r="AO2415">
        <f>IF($AN2415=1,SUMPRODUCT(--($AR$2:$AR$3001&lt;$AR2415))+1,"")</f>
        <v/>
      </c>
      <c r="AP2415">
        <f>IF($E2415="","",IF(OR($U2415=TRUE(),$U2415="TRUE"),1,0))</f>
        <v/>
      </c>
      <c r="AQ2415">
        <f>IF($E2415="","",IF($AD2415="Yes",1,0))</f>
        <v/>
      </c>
      <c r="AR2415">
        <f>IF($AN2415=1,IFERROR(VALUE(MID($E2415,2,20)),1000000000)+ROW()/100000,"")</f>
        <v/>
      </c>
    </row>
    <row r="2416">
      <c r="G2416" s="11" t="n"/>
      <c r="Q2416" s="7">
        <f>IF($E2416="","",P2416*AB2416/100)</f>
        <v/>
      </c>
      <c r="R2416" s="7" t="n"/>
      <c r="X2416" s="7" t="n"/>
      <c r="Y2416" s="7">
        <f>IF($E2416="","",AB2416*AE2416/100)</f>
        <v/>
      </c>
      <c r="Z2416" s="7">
        <f>IF($E2416="","",AB2416-Y2416)</f>
        <v/>
      </c>
      <c r="AA2416" s="7">
        <f>IF($E2416="","",Z2416-Q2416)</f>
        <v/>
      </c>
      <c r="AB2416" s="7" t="n"/>
      <c r="AE2416">
        <f>IF($E2416="","",IF($AQ2416=1,0,IF($AP2416=1,Settings!$C$6,Settings!$C$7))*100)</f>
        <v/>
      </c>
      <c r="AI2416" s="7" t="n"/>
      <c r="AL2416" s="11" t="n"/>
      <c r="AN2416">
        <f>IF($E2416="","",IF(COUNTIF($E$2:$E2416,$E2416)=1,1,0))</f>
        <v/>
      </c>
      <c r="AO2416">
        <f>IF($AN2416=1,SUMPRODUCT(--($AR$2:$AR$3001&lt;$AR2416))+1,"")</f>
        <v/>
      </c>
      <c r="AP2416">
        <f>IF($E2416="","",IF(OR($U2416=TRUE(),$U2416="TRUE"),1,0))</f>
        <v/>
      </c>
      <c r="AQ2416">
        <f>IF($E2416="","",IF($AD2416="Yes",1,0))</f>
        <v/>
      </c>
      <c r="AR2416">
        <f>IF($AN2416=1,IFERROR(VALUE(MID($E2416,2,20)),1000000000)+ROW()/100000,"")</f>
        <v/>
      </c>
    </row>
    <row r="2417">
      <c r="G2417" s="11" t="n"/>
      <c r="Q2417" s="7">
        <f>IF($E2417="","",P2417*AB2417/100)</f>
        <v/>
      </c>
      <c r="R2417" s="7" t="n"/>
      <c r="X2417" s="7" t="n"/>
      <c r="Y2417" s="7">
        <f>IF($E2417="","",AB2417*AE2417/100)</f>
        <v/>
      </c>
      <c r="Z2417" s="7">
        <f>IF($E2417="","",AB2417-Y2417)</f>
        <v/>
      </c>
      <c r="AA2417" s="7">
        <f>IF($E2417="","",Z2417-Q2417)</f>
        <v/>
      </c>
      <c r="AB2417" s="7" t="n"/>
      <c r="AE2417">
        <f>IF($E2417="","",IF($AQ2417=1,0,IF($AP2417=1,Settings!$C$6,Settings!$C$7))*100)</f>
        <v/>
      </c>
      <c r="AI2417" s="7" t="n"/>
      <c r="AL2417" s="11" t="n"/>
      <c r="AN2417">
        <f>IF($E2417="","",IF(COUNTIF($E$2:$E2417,$E2417)=1,1,0))</f>
        <v/>
      </c>
      <c r="AO2417">
        <f>IF($AN2417=1,SUMPRODUCT(--($AR$2:$AR$3001&lt;$AR2417))+1,"")</f>
        <v/>
      </c>
      <c r="AP2417">
        <f>IF($E2417="","",IF(OR($U2417=TRUE(),$U2417="TRUE"),1,0))</f>
        <v/>
      </c>
      <c r="AQ2417">
        <f>IF($E2417="","",IF($AD2417="Yes",1,0))</f>
        <v/>
      </c>
      <c r="AR2417">
        <f>IF($AN2417=1,IFERROR(VALUE(MID($E2417,2,20)),1000000000)+ROW()/100000,"")</f>
        <v/>
      </c>
    </row>
    <row r="2418">
      <c r="G2418" s="11" t="n"/>
      <c r="Q2418" s="7">
        <f>IF($E2418="","",P2418*AB2418/100)</f>
        <v/>
      </c>
      <c r="R2418" s="7" t="n"/>
      <c r="X2418" s="7" t="n"/>
      <c r="Y2418" s="7">
        <f>IF($E2418="","",AB2418*AE2418/100)</f>
        <v/>
      </c>
      <c r="Z2418" s="7">
        <f>IF($E2418="","",AB2418-Y2418)</f>
        <v/>
      </c>
      <c r="AA2418" s="7">
        <f>IF($E2418="","",Z2418-Q2418)</f>
        <v/>
      </c>
      <c r="AB2418" s="7" t="n"/>
      <c r="AE2418">
        <f>IF($E2418="","",IF($AQ2418=1,0,IF($AP2418=1,Settings!$C$6,Settings!$C$7))*100)</f>
        <v/>
      </c>
      <c r="AI2418" s="7" t="n"/>
      <c r="AL2418" s="11" t="n"/>
      <c r="AN2418">
        <f>IF($E2418="","",IF(COUNTIF($E$2:$E2418,$E2418)=1,1,0))</f>
        <v/>
      </c>
      <c r="AO2418">
        <f>IF($AN2418=1,SUMPRODUCT(--($AR$2:$AR$3001&lt;$AR2418))+1,"")</f>
        <v/>
      </c>
      <c r="AP2418">
        <f>IF($E2418="","",IF(OR($U2418=TRUE(),$U2418="TRUE"),1,0))</f>
        <v/>
      </c>
      <c r="AQ2418">
        <f>IF($E2418="","",IF($AD2418="Yes",1,0))</f>
        <v/>
      </c>
      <c r="AR2418">
        <f>IF($AN2418=1,IFERROR(VALUE(MID($E2418,2,20)),1000000000)+ROW()/100000,"")</f>
        <v/>
      </c>
    </row>
    <row r="2419">
      <c r="G2419" s="11" t="n"/>
      <c r="Q2419" s="7">
        <f>IF($E2419="","",P2419*AB2419/100)</f>
        <v/>
      </c>
      <c r="R2419" s="7" t="n"/>
      <c r="X2419" s="7" t="n"/>
      <c r="Y2419" s="7">
        <f>IF($E2419="","",AB2419*AE2419/100)</f>
        <v/>
      </c>
      <c r="Z2419" s="7">
        <f>IF($E2419="","",AB2419-Y2419)</f>
        <v/>
      </c>
      <c r="AA2419" s="7">
        <f>IF($E2419="","",Z2419-Q2419)</f>
        <v/>
      </c>
      <c r="AB2419" s="7" t="n"/>
      <c r="AE2419">
        <f>IF($E2419="","",IF($AQ2419=1,0,IF($AP2419=1,Settings!$C$6,Settings!$C$7))*100)</f>
        <v/>
      </c>
      <c r="AI2419" s="7" t="n"/>
      <c r="AL2419" s="11" t="n"/>
      <c r="AN2419">
        <f>IF($E2419="","",IF(COUNTIF($E$2:$E2419,$E2419)=1,1,0))</f>
        <v/>
      </c>
      <c r="AO2419">
        <f>IF($AN2419=1,SUMPRODUCT(--($AR$2:$AR$3001&lt;$AR2419))+1,"")</f>
        <v/>
      </c>
      <c r="AP2419">
        <f>IF($E2419="","",IF(OR($U2419=TRUE(),$U2419="TRUE"),1,0))</f>
        <v/>
      </c>
      <c r="AQ2419">
        <f>IF($E2419="","",IF($AD2419="Yes",1,0))</f>
        <v/>
      </c>
      <c r="AR2419">
        <f>IF($AN2419=1,IFERROR(VALUE(MID($E2419,2,20)),1000000000)+ROW()/100000,"")</f>
        <v/>
      </c>
    </row>
    <row r="2420">
      <c r="G2420" s="11" t="n"/>
      <c r="Q2420" s="7">
        <f>IF($E2420="","",P2420*AB2420/100)</f>
        <v/>
      </c>
      <c r="R2420" s="7" t="n"/>
      <c r="X2420" s="7" t="n"/>
      <c r="Y2420" s="7">
        <f>IF($E2420="","",AB2420*AE2420/100)</f>
        <v/>
      </c>
      <c r="Z2420" s="7">
        <f>IF($E2420="","",AB2420-Y2420)</f>
        <v/>
      </c>
      <c r="AA2420" s="7">
        <f>IF($E2420="","",Z2420-Q2420)</f>
        <v/>
      </c>
      <c r="AB2420" s="7" t="n"/>
      <c r="AE2420">
        <f>IF($E2420="","",IF($AQ2420=1,0,IF($AP2420=1,Settings!$C$6,Settings!$C$7))*100)</f>
        <v/>
      </c>
      <c r="AI2420" s="7" t="n"/>
      <c r="AL2420" s="11" t="n"/>
      <c r="AN2420">
        <f>IF($E2420="","",IF(COUNTIF($E$2:$E2420,$E2420)=1,1,0))</f>
        <v/>
      </c>
      <c r="AO2420">
        <f>IF($AN2420=1,SUMPRODUCT(--($AR$2:$AR$3001&lt;$AR2420))+1,"")</f>
        <v/>
      </c>
      <c r="AP2420">
        <f>IF($E2420="","",IF(OR($U2420=TRUE(),$U2420="TRUE"),1,0))</f>
        <v/>
      </c>
      <c r="AQ2420">
        <f>IF($E2420="","",IF($AD2420="Yes",1,0))</f>
        <v/>
      </c>
      <c r="AR2420">
        <f>IF($AN2420=1,IFERROR(VALUE(MID($E2420,2,20)),1000000000)+ROW()/100000,"")</f>
        <v/>
      </c>
    </row>
    <row r="2421">
      <c r="G2421" s="11" t="n"/>
      <c r="Q2421" s="7">
        <f>IF($E2421="","",P2421*AB2421/100)</f>
        <v/>
      </c>
      <c r="R2421" s="7" t="n"/>
      <c r="X2421" s="7" t="n"/>
      <c r="Y2421" s="7">
        <f>IF($E2421="","",AB2421*AE2421/100)</f>
        <v/>
      </c>
      <c r="Z2421" s="7">
        <f>IF($E2421="","",AB2421-Y2421)</f>
        <v/>
      </c>
      <c r="AA2421" s="7">
        <f>IF($E2421="","",Z2421-Q2421)</f>
        <v/>
      </c>
      <c r="AB2421" s="7" t="n"/>
      <c r="AE2421">
        <f>IF($E2421="","",IF($AQ2421=1,0,IF($AP2421=1,Settings!$C$6,Settings!$C$7))*100)</f>
        <v/>
      </c>
      <c r="AI2421" s="7" t="n"/>
      <c r="AL2421" s="11" t="n"/>
      <c r="AN2421">
        <f>IF($E2421="","",IF(COUNTIF($E$2:$E2421,$E2421)=1,1,0))</f>
        <v/>
      </c>
      <c r="AO2421">
        <f>IF($AN2421=1,SUMPRODUCT(--($AR$2:$AR$3001&lt;$AR2421))+1,"")</f>
        <v/>
      </c>
      <c r="AP2421">
        <f>IF($E2421="","",IF(OR($U2421=TRUE(),$U2421="TRUE"),1,0))</f>
        <v/>
      </c>
      <c r="AQ2421">
        <f>IF($E2421="","",IF($AD2421="Yes",1,0))</f>
        <v/>
      </c>
      <c r="AR2421">
        <f>IF($AN2421=1,IFERROR(VALUE(MID($E2421,2,20)),1000000000)+ROW()/100000,"")</f>
        <v/>
      </c>
    </row>
    <row r="2422">
      <c r="G2422" s="11" t="n"/>
      <c r="Q2422" s="7">
        <f>IF($E2422="","",P2422*AB2422/100)</f>
        <v/>
      </c>
      <c r="R2422" s="7" t="n"/>
      <c r="X2422" s="7" t="n"/>
      <c r="Y2422" s="7">
        <f>IF($E2422="","",AB2422*AE2422/100)</f>
        <v/>
      </c>
      <c r="Z2422" s="7">
        <f>IF($E2422="","",AB2422-Y2422)</f>
        <v/>
      </c>
      <c r="AA2422" s="7">
        <f>IF($E2422="","",Z2422-Q2422)</f>
        <v/>
      </c>
      <c r="AB2422" s="7" t="n"/>
      <c r="AE2422">
        <f>IF($E2422="","",IF($AQ2422=1,0,IF($AP2422=1,Settings!$C$6,Settings!$C$7))*100)</f>
        <v/>
      </c>
      <c r="AI2422" s="7" t="n"/>
      <c r="AL2422" s="11" t="n"/>
      <c r="AN2422">
        <f>IF($E2422="","",IF(COUNTIF($E$2:$E2422,$E2422)=1,1,0))</f>
        <v/>
      </c>
      <c r="AO2422">
        <f>IF($AN2422=1,SUMPRODUCT(--($AR$2:$AR$3001&lt;$AR2422))+1,"")</f>
        <v/>
      </c>
      <c r="AP2422">
        <f>IF($E2422="","",IF(OR($U2422=TRUE(),$U2422="TRUE"),1,0))</f>
        <v/>
      </c>
      <c r="AQ2422">
        <f>IF($E2422="","",IF($AD2422="Yes",1,0))</f>
        <v/>
      </c>
      <c r="AR2422">
        <f>IF($AN2422=1,IFERROR(VALUE(MID($E2422,2,20)),1000000000)+ROW()/100000,"")</f>
        <v/>
      </c>
    </row>
    <row r="2423">
      <c r="G2423" s="11" t="n"/>
      <c r="Q2423" s="7">
        <f>IF($E2423="","",P2423*AB2423/100)</f>
        <v/>
      </c>
      <c r="R2423" s="7" t="n"/>
      <c r="X2423" s="7" t="n"/>
      <c r="Y2423" s="7">
        <f>IF($E2423="","",AB2423*AE2423/100)</f>
        <v/>
      </c>
      <c r="Z2423" s="7">
        <f>IF($E2423="","",AB2423-Y2423)</f>
        <v/>
      </c>
      <c r="AA2423" s="7">
        <f>IF($E2423="","",Z2423-Q2423)</f>
        <v/>
      </c>
      <c r="AB2423" s="7" t="n"/>
      <c r="AE2423">
        <f>IF($E2423="","",IF($AQ2423=1,0,IF($AP2423=1,Settings!$C$6,Settings!$C$7))*100)</f>
        <v/>
      </c>
      <c r="AI2423" s="7" t="n"/>
      <c r="AL2423" s="11" t="n"/>
      <c r="AN2423">
        <f>IF($E2423="","",IF(COUNTIF($E$2:$E2423,$E2423)=1,1,0))</f>
        <v/>
      </c>
      <c r="AO2423">
        <f>IF($AN2423=1,SUMPRODUCT(--($AR$2:$AR$3001&lt;$AR2423))+1,"")</f>
        <v/>
      </c>
      <c r="AP2423">
        <f>IF($E2423="","",IF(OR($U2423=TRUE(),$U2423="TRUE"),1,0))</f>
        <v/>
      </c>
      <c r="AQ2423">
        <f>IF($E2423="","",IF($AD2423="Yes",1,0))</f>
        <v/>
      </c>
      <c r="AR2423">
        <f>IF($AN2423=1,IFERROR(VALUE(MID($E2423,2,20)),1000000000)+ROW()/100000,"")</f>
        <v/>
      </c>
    </row>
    <row r="2424">
      <c r="G2424" s="11" t="n"/>
      <c r="Q2424" s="7">
        <f>IF($E2424="","",P2424*AB2424/100)</f>
        <v/>
      </c>
      <c r="R2424" s="7" t="n"/>
      <c r="X2424" s="7" t="n"/>
      <c r="Y2424" s="7">
        <f>IF($E2424="","",AB2424*AE2424/100)</f>
        <v/>
      </c>
      <c r="Z2424" s="7">
        <f>IF($E2424="","",AB2424-Y2424)</f>
        <v/>
      </c>
      <c r="AA2424" s="7">
        <f>IF($E2424="","",Z2424-Q2424)</f>
        <v/>
      </c>
      <c r="AB2424" s="7" t="n"/>
      <c r="AE2424">
        <f>IF($E2424="","",IF($AQ2424=1,0,IF($AP2424=1,Settings!$C$6,Settings!$C$7))*100)</f>
        <v/>
      </c>
      <c r="AI2424" s="7" t="n"/>
      <c r="AL2424" s="11" t="n"/>
      <c r="AN2424">
        <f>IF($E2424="","",IF(COUNTIF($E$2:$E2424,$E2424)=1,1,0))</f>
        <v/>
      </c>
      <c r="AO2424">
        <f>IF($AN2424=1,SUMPRODUCT(--($AR$2:$AR$3001&lt;$AR2424))+1,"")</f>
        <v/>
      </c>
      <c r="AP2424">
        <f>IF($E2424="","",IF(OR($U2424=TRUE(),$U2424="TRUE"),1,0))</f>
        <v/>
      </c>
      <c r="AQ2424">
        <f>IF($E2424="","",IF($AD2424="Yes",1,0))</f>
        <v/>
      </c>
      <c r="AR2424">
        <f>IF($AN2424=1,IFERROR(VALUE(MID($E2424,2,20)),1000000000)+ROW()/100000,"")</f>
        <v/>
      </c>
    </row>
    <row r="2425">
      <c r="G2425" s="11" t="n"/>
      <c r="Q2425" s="7">
        <f>IF($E2425="","",P2425*AB2425/100)</f>
        <v/>
      </c>
      <c r="R2425" s="7" t="n"/>
      <c r="X2425" s="7" t="n"/>
      <c r="Y2425" s="7">
        <f>IF($E2425="","",AB2425*AE2425/100)</f>
        <v/>
      </c>
      <c r="Z2425" s="7">
        <f>IF($E2425="","",AB2425-Y2425)</f>
        <v/>
      </c>
      <c r="AA2425" s="7">
        <f>IF($E2425="","",Z2425-Q2425)</f>
        <v/>
      </c>
      <c r="AB2425" s="7" t="n"/>
      <c r="AE2425">
        <f>IF($E2425="","",IF($AQ2425=1,0,IF($AP2425=1,Settings!$C$6,Settings!$C$7))*100)</f>
        <v/>
      </c>
      <c r="AI2425" s="7" t="n"/>
      <c r="AL2425" s="11" t="n"/>
      <c r="AN2425">
        <f>IF($E2425="","",IF(COUNTIF($E$2:$E2425,$E2425)=1,1,0))</f>
        <v/>
      </c>
      <c r="AO2425">
        <f>IF($AN2425=1,SUMPRODUCT(--($AR$2:$AR$3001&lt;$AR2425))+1,"")</f>
        <v/>
      </c>
      <c r="AP2425">
        <f>IF($E2425="","",IF(OR($U2425=TRUE(),$U2425="TRUE"),1,0))</f>
        <v/>
      </c>
      <c r="AQ2425">
        <f>IF($E2425="","",IF($AD2425="Yes",1,0))</f>
        <v/>
      </c>
      <c r="AR2425">
        <f>IF($AN2425=1,IFERROR(VALUE(MID($E2425,2,20)),1000000000)+ROW()/100000,"")</f>
        <v/>
      </c>
    </row>
    <row r="2426">
      <c r="G2426" s="11" t="n"/>
      <c r="Q2426" s="7">
        <f>IF($E2426="","",P2426*AB2426/100)</f>
        <v/>
      </c>
      <c r="R2426" s="7" t="n"/>
      <c r="X2426" s="7" t="n"/>
      <c r="Y2426" s="7">
        <f>IF($E2426="","",AB2426*AE2426/100)</f>
        <v/>
      </c>
      <c r="Z2426" s="7">
        <f>IF($E2426="","",AB2426-Y2426)</f>
        <v/>
      </c>
      <c r="AA2426" s="7">
        <f>IF($E2426="","",Z2426-Q2426)</f>
        <v/>
      </c>
      <c r="AB2426" s="7" t="n"/>
      <c r="AE2426">
        <f>IF($E2426="","",IF($AQ2426=1,0,IF($AP2426=1,Settings!$C$6,Settings!$C$7))*100)</f>
        <v/>
      </c>
      <c r="AI2426" s="7" t="n"/>
      <c r="AL2426" s="11" t="n"/>
      <c r="AN2426">
        <f>IF($E2426="","",IF(COUNTIF($E$2:$E2426,$E2426)=1,1,0))</f>
        <v/>
      </c>
      <c r="AO2426">
        <f>IF($AN2426=1,SUMPRODUCT(--($AR$2:$AR$3001&lt;$AR2426))+1,"")</f>
        <v/>
      </c>
      <c r="AP2426">
        <f>IF($E2426="","",IF(OR($U2426=TRUE(),$U2426="TRUE"),1,0))</f>
        <v/>
      </c>
      <c r="AQ2426">
        <f>IF($E2426="","",IF($AD2426="Yes",1,0))</f>
        <v/>
      </c>
      <c r="AR2426">
        <f>IF($AN2426=1,IFERROR(VALUE(MID($E2426,2,20)),1000000000)+ROW()/100000,"")</f>
        <v/>
      </c>
    </row>
    <row r="2427">
      <c r="G2427" s="11" t="n"/>
      <c r="Q2427" s="7">
        <f>IF($E2427="","",P2427*AB2427/100)</f>
        <v/>
      </c>
      <c r="R2427" s="7" t="n"/>
      <c r="X2427" s="7" t="n"/>
      <c r="Y2427" s="7">
        <f>IF($E2427="","",AB2427*AE2427/100)</f>
        <v/>
      </c>
      <c r="Z2427" s="7">
        <f>IF($E2427="","",AB2427-Y2427)</f>
        <v/>
      </c>
      <c r="AA2427" s="7">
        <f>IF($E2427="","",Z2427-Q2427)</f>
        <v/>
      </c>
      <c r="AB2427" s="7" t="n"/>
      <c r="AE2427">
        <f>IF($E2427="","",IF($AQ2427=1,0,IF($AP2427=1,Settings!$C$6,Settings!$C$7))*100)</f>
        <v/>
      </c>
      <c r="AI2427" s="7" t="n"/>
      <c r="AL2427" s="11" t="n"/>
      <c r="AN2427">
        <f>IF($E2427="","",IF(COUNTIF($E$2:$E2427,$E2427)=1,1,0))</f>
        <v/>
      </c>
      <c r="AO2427">
        <f>IF($AN2427=1,SUMPRODUCT(--($AR$2:$AR$3001&lt;$AR2427))+1,"")</f>
        <v/>
      </c>
      <c r="AP2427">
        <f>IF($E2427="","",IF(OR($U2427=TRUE(),$U2427="TRUE"),1,0))</f>
        <v/>
      </c>
      <c r="AQ2427">
        <f>IF($E2427="","",IF($AD2427="Yes",1,0))</f>
        <v/>
      </c>
      <c r="AR2427">
        <f>IF($AN2427=1,IFERROR(VALUE(MID($E2427,2,20)),1000000000)+ROW()/100000,"")</f>
        <v/>
      </c>
    </row>
    <row r="2428">
      <c r="G2428" s="11" t="n"/>
      <c r="Q2428" s="7">
        <f>IF($E2428="","",P2428*AB2428/100)</f>
        <v/>
      </c>
      <c r="R2428" s="7" t="n"/>
      <c r="X2428" s="7" t="n"/>
      <c r="Y2428" s="7">
        <f>IF($E2428="","",AB2428*AE2428/100)</f>
        <v/>
      </c>
      <c r="Z2428" s="7">
        <f>IF($E2428="","",AB2428-Y2428)</f>
        <v/>
      </c>
      <c r="AA2428" s="7">
        <f>IF($E2428="","",Z2428-Q2428)</f>
        <v/>
      </c>
      <c r="AB2428" s="7" t="n"/>
      <c r="AE2428">
        <f>IF($E2428="","",IF($AQ2428=1,0,IF($AP2428=1,Settings!$C$6,Settings!$C$7))*100)</f>
        <v/>
      </c>
      <c r="AI2428" s="7" t="n"/>
      <c r="AL2428" s="11" t="n"/>
      <c r="AN2428">
        <f>IF($E2428="","",IF(COUNTIF($E$2:$E2428,$E2428)=1,1,0))</f>
        <v/>
      </c>
      <c r="AO2428">
        <f>IF($AN2428=1,SUMPRODUCT(--($AR$2:$AR$3001&lt;$AR2428))+1,"")</f>
        <v/>
      </c>
      <c r="AP2428">
        <f>IF($E2428="","",IF(OR($U2428=TRUE(),$U2428="TRUE"),1,0))</f>
        <v/>
      </c>
      <c r="AQ2428">
        <f>IF($E2428="","",IF($AD2428="Yes",1,0))</f>
        <v/>
      </c>
      <c r="AR2428">
        <f>IF($AN2428=1,IFERROR(VALUE(MID($E2428,2,20)),1000000000)+ROW()/100000,"")</f>
        <v/>
      </c>
    </row>
    <row r="2429">
      <c r="G2429" s="11" t="n"/>
      <c r="Q2429" s="7">
        <f>IF($E2429="","",P2429*AB2429/100)</f>
        <v/>
      </c>
      <c r="R2429" s="7" t="n"/>
      <c r="X2429" s="7" t="n"/>
      <c r="Y2429" s="7">
        <f>IF($E2429="","",AB2429*AE2429/100)</f>
        <v/>
      </c>
      <c r="Z2429" s="7">
        <f>IF($E2429="","",AB2429-Y2429)</f>
        <v/>
      </c>
      <c r="AA2429" s="7">
        <f>IF($E2429="","",Z2429-Q2429)</f>
        <v/>
      </c>
      <c r="AB2429" s="7" t="n"/>
      <c r="AE2429">
        <f>IF($E2429="","",IF($AQ2429=1,0,IF($AP2429=1,Settings!$C$6,Settings!$C$7))*100)</f>
        <v/>
      </c>
      <c r="AI2429" s="7" t="n"/>
      <c r="AL2429" s="11" t="n"/>
      <c r="AN2429">
        <f>IF($E2429="","",IF(COUNTIF($E$2:$E2429,$E2429)=1,1,0))</f>
        <v/>
      </c>
      <c r="AO2429">
        <f>IF($AN2429=1,SUMPRODUCT(--($AR$2:$AR$3001&lt;$AR2429))+1,"")</f>
        <v/>
      </c>
      <c r="AP2429">
        <f>IF($E2429="","",IF(OR($U2429=TRUE(),$U2429="TRUE"),1,0))</f>
        <v/>
      </c>
      <c r="AQ2429">
        <f>IF($E2429="","",IF($AD2429="Yes",1,0))</f>
        <v/>
      </c>
      <c r="AR2429">
        <f>IF($AN2429=1,IFERROR(VALUE(MID($E2429,2,20)),1000000000)+ROW()/100000,"")</f>
        <v/>
      </c>
    </row>
    <row r="2430">
      <c r="G2430" s="11" t="n"/>
      <c r="Q2430" s="7">
        <f>IF($E2430="","",P2430*AB2430/100)</f>
        <v/>
      </c>
      <c r="R2430" s="7" t="n"/>
      <c r="X2430" s="7" t="n"/>
      <c r="Y2430" s="7">
        <f>IF($E2430="","",AB2430*AE2430/100)</f>
        <v/>
      </c>
      <c r="Z2430" s="7">
        <f>IF($E2430="","",AB2430-Y2430)</f>
        <v/>
      </c>
      <c r="AA2430" s="7">
        <f>IF($E2430="","",Z2430-Q2430)</f>
        <v/>
      </c>
      <c r="AB2430" s="7" t="n"/>
      <c r="AE2430">
        <f>IF($E2430="","",IF($AQ2430=1,0,IF($AP2430=1,Settings!$C$6,Settings!$C$7))*100)</f>
        <v/>
      </c>
      <c r="AI2430" s="7" t="n"/>
      <c r="AL2430" s="11" t="n"/>
      <c r="AN2430">
        <f>IF($E2430="","",IF(COUNTIF($E$2:$E2430,$E2430)=1,1,0))</f>
        <v/>
      </c>
      <c r="AO2430">
        <f>IF($AN2430=1,SUMPRODUCT(--($AR$2:$AR$3001&lt;$AR2430))+1,"")</f>
        <v/>
      </c>
      <c r="AP2430">
        <f>IF($E2430="","",IF(OR($U2430=TRUE(),$U2430="TRUE"),1,0))</f>
        <v/>
      </c>
      <c r="AQ2430">
        <f>IF($E2430="","",IF($AD2430="Yes",1,0))</f>
        <v/>
      </c>
      <c r="AR2430">
        <f>IF($AN2430=1,IFERROR(VALUE(MID($E2430,2,20)),1000000000)+ROW()/100000,"")</f>
        <v/>
      </c>
    </row>
    <row r="2431">
      <c r="G2431" s="11" t="n"/>
      <c r="Q2431" s="7">
        <f>IF($E2431="","",P2431*AB2431/100)</f>
        <v/>
      </c>
      <c r="R2431" s="7" t="n"/>
      <c r="X2431" s="7" t="n"/>
      <c r="Y2431" s="7">
        <f>IF($E2431="","",AB2431*AE2431/100)</f>
        <v/>
      </c>
      <c r="Z2431" s="7">
        <f>IF($E2431="","",AB2431-Y2431)</f>
        <v/>
      </c>
      <c r="AA2431" s="7">
        <f>IF($E2431="","",Z2431-Q2431)</f>
        <v/>
      </c>
      <c r="AB2431" s="7" t="n"/>
      <c r="AE2431">
        <f>IF($E2431="","",IF($AQ2431=1,0,IF($AP2431=1,Settings!$C$6,Settings!$C$7))*100)</f>
        <v/>
      </c>
      <c r="AI2431" s="7" t="n"/>
      <c r="AL2431" s="11" t="n"/>
      <c r="AN2431">
        <f>IF($E2431="","",IF(COUNTIF($E$2:$E2431,$E2431)=1,1,0))</f>
        <v/>
      </c>
      <c r="AO2431">
        <f>IF($AN2431=1,SUMPRODUCT(--($AR$2:$AR$3001&lt;$AR2431))+1,"")</f>
        <v/>
      </c>
      <c r="AP2431">
        <f>IF($E2431="","",IF(OR($U2431=TRUE(),$U2431="TRUE"),1,0))</f>
        <v/>
      </c>
      <c r="AQ2431">
        <f>IF($E2431="","",IF($AD2431="Yes",1,0))</f>
        <v/>
      </c>
      <c r="AR2431">
        <f>IF($AN2431=1,IFERROR(VALUE(MID($E2431,2,20)),1000000000)+ROW()/100000,"")</f>
        <v/>
      </c>
    </row>
    <row r="2432">
      <c r="G2432" s="11" t="n"/>
      <c r="Q2432" s="7">
        <f>IF($E2432="","",P2432*AB2432/100)</f>
        <v/>
      </c>
      <c r="R2432" s="7" t="n"/>
      <c r="X2432" s="7" t="n"/>
      <c r="Y2432" s="7">
        <f>IF($E2432="","",AB2432*AE2432/100)</f>
        <v/>
      </c>
      <c r="Z2432" s="7">
        <f>IF($E2432="","",AB2432-Y2432)</f>
        <v/>
      </c>
      <c r="AA2432" s="7">
        <f>IF($E2432="","",Z2432-Q2432)</f>
        <v/>
      </c>
      <c r="AB2432" s="7" t="n"/>
      <c r="AE2432">
        <f>IF($E2432="","",IF($AQ2432=1,0,IF($AP2432=1,Settings!$C$6,Settings!$C$7))*100)</f>
        <v/>
      </c>
      <c r="AI2432" s="7" t="n"/>
      <c r="AL2432" s="11" t="n"/>
      <c r="AN2432">
        <f>IF($E2432="","",IF(COUNTIF($E$2:$E2432,$E2432)=1,1,0))</f>
        <v/>
      </c>
      <c r="AO2432">
        <f>IF($AN2432=1,SUMPRODUCT(--($AR$2:$AR$3001&lt;$AR2432))+1,"")</f>
        <v/>
      </c>
      <c r="AP2432">
        <f>IF($E2432="","",IF(OR($U2432=TRUE(),$U2432="TRUE"),1,0))</f>
        <v/>
      </c>
      <c r="AQ2432">
        <f>IF($E2432="","",IF($AD2432="Yes",1,0))</f>
        <v/>
      </c>
      <c r="AR2432">
        <f>IF($AN2432=1,IFERROR(VALUE(MID($E2432,2,20)),1000000000)+ROW()/100000,"")</f>
        <v/>
      </c>
    </row>
    <row r="2433">
      <c r="G2433" s="11" t="n"/>
      <c r="Q2433" s="7">
        <f>IF($E2433="","",P2433*AB2433/100)</f>
        <v/>
      </c>
      <c r="R2433" s="7" t="n"/>
      <c r="X2433" s="7" t="n"/>
      <c r="Y2433" s="7">
        <f>IF($E2433="","",AB2433*AE2433/100)</f>
        <v/>
      </c>
      <c r="Z2433" s="7">
        <f>IF($E2433="","",AB2433-Y2433)</f>
        <v/>
      </c>
      <c r="AA2433" s="7">
        <f>IF($E2433="","",Z2433-Q2433)</f>
        <v/>
      </c>
      <c r="AB2433" s="7" t="n"/>
      <c r="AE2433">
        <f>IF($E2433="","",IF($AQ2433=1,0,IF($AP2433=1,Settings!$C$6,Settings!$C$7))*100)</f>
        <v/>
      </c>
      <c r="AI2433" s="7" t="n"/>
      <c r="AL2433" s="11" t="n"/>
      <c r="AN2433">
        <f>IF($E2433="","",IF(COUNTIF($E$2:$E2433,$E2433)=1,1,0))</f>
        <v/>
      </c>
      <c r="AO2433">
        <f>IF($AN2433=1,SUMPRODUCT(--($AR$2:$AR$3001&lt;$AR2433))+1,"")</f>
        <v/>
      </c>
      <c r="AP2433">
        <f>IF($E2433="","",IF(OR($U2433=TRUE(),$U2433="TRUE"),1,0))</f>
        <v/>
      </c>
      <c r="AQ2433">
        <f>IF($E2433="","",IF($AD2433="Yes",1,0))</f>
        <v/>
      </c>
      <c r="AR2433">
        <f>IF($AN2433=1,IFERROR(VALUE(MID($E2433,2,20)),1000000000)+ROW()/100000,"")</f>
        <v/>
      </c>
    </row>
    <row r="2434">
      <c r="G2434" s="11" t="n"/>
      <c r="Q2434" s="7">
        <f>IF($E2434="","",P2434*AB2434/100)</f>
        <v/>
      </c>
      <c r="R2434" s="7" t="n"/>
      <c r="X2434" s="7" t="n"/>
      <c r="Y2434" s="7">
        <f>IF($E2434="","",AB2434*AE2434/100)</f>
        <v/>
      </c>
      <c r="Z2434" s="7">
        <f>IF($E2434="","",AB2434-Y2434)</f>
        <v/>
      </c>
      <c r="AA2434" s="7">
        <f>IF($E2434="","",Z2434-Q2434)</f>
        <v/>
      </c>
      <c r="AB2434" s="7" t="n"/>
      <c r="AE2434">
        <f>IF($E2434="","",IF($AQ2434=1,0,IF($AP2434=1,Settings!$C$6,Settings!$C$7))*100)</f>
        <v/>
      </c>
      <c r="AI2434" s="7" t="n"/>
      <c r="AL2434" s="11" t="n"/>
      <c r="AN2434">
        <f>IF($E2434="","",IF(COUNTIF($E$2:$E2434,$E2434)=1,1,0))</f>
        <v/>
      </c>
      <c r="AO2434">
        <f>IF($AN2434=1,SUMPRODUCT(--($AR$2:$AR$3001&lt;$AR2434))+1,"")</f>
        <v/>
      </c>
      <c r="AP2434">
        <f>IF($E2434="","",IF(OR($U2434=TRUE(),$U2434="TRUE"),1,0))</f>
        <v/>
      </c>
      <c r="AQ2434">
        <f>IF($E2434="","",IF($AD2434="Yes",1,0))</f>
        <v/>
      </c>
      <c r="AR2434">
        <f>IF($AN2434=1,IFERROR(VALUE(MID($E2434,2,20)),1000000000)+ROW()/100000,"")</f>
        <v/>
      </c>
    </row>
    <row r="2435">
      <c r="G2435" s="11" t="n"/>
      <c r="Q2435" s="7">
        <f>IF($E2435="","",P2435*AB2435/100)</f>
        <v/>
      </c>
      <c r="R2435" s="7" t="n"/>
      <c r="X2435" s="7" t="n"/>
      <c r="Y2435" s="7">
        <f>IF($E2435="","",AB2435*AE2435/100)</f>
        <v/>
      </c>
      <c r="Z2435" s="7">
        <f>IF($E2435="","",AB2435-Y2435)</f>
        <v/>
      </c>
      <c r="AA2435" s="7">
        <f>IF($E2435="","",Z2435-Q2435)</f>
        <v/>
      </c>
      <c r="AB2435" s="7" t="n"/>
      <c r="AE2435">
        <f>IF($E2435="","",IF($AQ2435=1,0,IF($AP2435=1,Settings!$C$6,Settings!$C$7))*100)</f>
        <v/>
      </c>
      <c r="AI2435" s="7" t="n"/>
      <c r="AL2435" s="11" t="n"/>
      <c r="AN2435">
        <f>IF($E2435="","",IF(COUNTIF($E$2:$E2435,$E2435)=1,1,0))</f>
        <v/>
      </c>
      <c r="AO2435">
        <f>IF($AN2435=1,SUMPRODUCT(--($AR$2:$AR$3001&lt;$AR2435))+1,"")</f>
        <v/>
      </c>
      <c r="AP2435">
        <f>IF($E2435="","",IF(OR($U2435=TRUE(),$U2435="TRUE"),1,0))</f>
        <v/>
      </c>
      <c r="AQ2435">
        <f>IF($E2435="","",IF($AD2435="Yes",1,0))</f>
        <v/>
      </c>
      <c r="AR2435">
        <f>IF($AN2435=1,IFERROR(VALUE(MID($E2435,2,20)),1000000000)+ROW()/100000,"")</f>
        <v/>
      </c>
    </row>
    <row r="2436">
      <c r="G2436" s="11" t="n"/>
      <c r="Q2436" s="7">
        <f>IF($E2436="","",P2436*AB2436/100)</f>
        <v/>
      </c>
      <c r="R2436" s="7" t="n"/>
      <c r="X2436" s="7" t="n"/>
      <c r="Y2436" s="7">
        <f>IF($E2436="","",AB2436*AE2436/100)</f>
        <v/>
      </c>
      <c r="Z2436" s="7">
        <f>IF($E2436="","",AB2436-Y2436)</f>
        <v/>
      </c>
      <c r="AA2436" s="7">
        <f>IF($E2436="","",Z2436-Q2436)</f>
        <v/>
      </c>
      <c r="AB2436" s="7" t="n"/>
      <c r="AE2436">
        <f>IF($E2436="","",IF($AQ2436=1,0,IF($AP2436=1,Settings!$C$6,Settings!$C$7))*100)</f>
        <v/>
      </c>
      <c r="AI2436" s="7" t="n"/>
      <c r="AL2436" s="11" t="n"/>
      <c r="AN2436">
        <f>IF($E2436="","",IF(COUNTIF($E$2:$E2436,$E2436)=1,1,0))</f>
        <v/>
      </c>
      <c r="AO2436">
        <f>IF($AN2436=1,SUMPRODUCT(--($AR$2:$AR$3001&lt;$AR2436))+1,"")</f>
        <v/>
      </c>
      <c r="AP2436">
        <f>IF($E2436="","",IF(OR($U2436=TRUE(),$U2436="TRUE"),1,0))</f>
        <v/>
      </c>
      <c r="AQ2436">
        <f>IF($E2436="","",IF($AD2436="Yes",1,0))</f>
        <v/>
      </c>
      <c r="AR2436">
        <f>IF($AN2436=1,IFERROR(VALUE(MID($E2436,2,20)),1000000000)+ROW()/100000,"")</f>
        <v/>
      </c>
    </row>
    <row r="2437">
      <c r="G2437" s="11" t="n"/>
      <c r="Q2437" s="7">
        <f>IF($E2437="","",P2437*AB2437/100)</f>
        <v/>
      </c>
      <c r="R2437" s="7" t="n"/>
      <c r="X2437" s="7" t="n"/>
      <c r="Y2437" s="7">
        <f>IF($E2437="","",AB2437*AE2437/100)</f>
        <v/>
      </c>
      <c r="Z2437" s="7">
        <f>IF($E2437="","",AB2437-Y2437)</f>
        <v/>
      </c>
      <c r="AA2437" s="7">
        <f>IF($E2437="","",Z2437-Q2437)</f>
        <v/>
      </c>
      <c r="AB2437" s="7" t="n"/>
      <c r="AE2437">
        <f>IF($E2437="","",IF($AQ2437=1,0,IF($AP2437=1,Settings!$C$6,Settings!$C$7))*100)</f>
        <v/>
      </c>
      <c r="AI2437" s="7" t="n"/>
      <c r="AL2437" s="11" t="n"/>
      <c r="AN2437">
        <f>IF($E2437="","",IF(COUNTIF($E$2:$E2437,$E2437)=1,1,0))</f>
        <v/>
      </c>
      <c r="AO2437">
        <f>IF($AN2437=1,SUMPRODUCT(--($AR$2:$AR$3001&lt;$AR2437))+1,"")</f>
        <v/>
      </c>
      <c r="AP2437">
        <f>IF($E2437="","",IF(OR($U2437=TRUE(),$U2437="TRUE"),1,0))</f>
        <v/>
      </c>
      <c r="AQ2437">
        <f>IF($E2437="","",IF($AD2437="Yes",1,0))</f>
        <v/>
      </c>
      <c r="AR2437">
        <f>IF($AN2437=1,IFERROR(VALUE(MID($E2437,2,20)),1000000000)+ROW()/100000,"")</f>
        <v/>
      </c>
    </row>
    <row r="2438">
      <c r="G2438" s="11" t="n"/>
      <c r="Q2438" s="7">
        <f>IF($E2438="","",P2438*AB2438/100)</f>
        <v/>
      </c>
      <c r="R2438" s="7" t="n"/>
      <c r="X2438" s="7" t="n"/>
      <c r="Y2438" s="7">
        <f>IF($E2438="","",AB2438*AE2438/100)</f>
        <v/>
      </c>
      <c r="Z2438" s="7">
        <f>IF($E2438="","",AB2438-Y2438)</f>
        <v/>
      </c>
      <c r="AA2438" s="7">
        <f>IF($E2438="","",Z2438-Q2438)</f>
        <v/>
      </c>
      <c r="AB2438" s="7" t="n"/>
      <c r="AE2438">
        <f>IF($E2438="","",IF($AQ2438=1,0,IF($AP2438=1,Settings!$C$6,Settings!$C$7))*100)</f>
        <v/>
      </c>
      <c r="AI2438" s="7" t="n"/>
      <c r="AL2438" s="11" t="n"/>
      <c r="AN2438">
        <f>IF($E2438="","",IF(COUNTIF($E$2:$E2438,$E2438)=1,1,0))</f>
        <v/>
      </c>
      <c r="AO2438">
        <f>IF($AN2438=1,SUMPRODUCT(--($AR$2:$AR$3001&lt;$AR2438))+1,"")</f>
        <v/>
      </c>
      <c r="AP2438">
        <f>IF($E2438="","",IF(OR($U2438=TRUE(),$U2438="TRUE"),1,0))</f>
        <v/>
      </c>
      <c r="AQ2438">
        <f>IF($E2438="","",IF($AD2438="Yes",1,0))</f>
        <v/>
      </c>
      <c r="AR2438">
        <f>IF($AN2438=1,IFERROR(VALUE(MID($E2438,2,20)),1000000000)+ROW()/100000,"")</f>
        <v/>
      </c>
    </row>
    <row r="2439">
      <c r="G2439" s="11" t="n"/>
      <c r="Q2439" s="7">
        <f>IF($E2439="","",P2439*AB2439/100)</f>
        <v/>
      </c>
      <c r="R2439" s="7" t="n"/>
      <c r="X2439" s="7" t="n"/>
      <c r="Y2439" s="7">
        <f>IF($E2439="","",AB2439*AE2439/100)</f>
        <v/>
      </c>
      <c r="Z2439" s="7">
        <f>IF($E2439="","",AB2439-Y2439)</f>
        <v/>
      </c>
      <c r="AA2439" s="7">
        <f>IF($E2439="","",Z2439-Q2439)</f>
        <v/>
      </c>
      <c r="AB2439" s="7" t="n"/>
      <c r="AE2439">
        <f>IF($E2439="","",IF($AQ2439=1,0,IF($AP2439=1,Settings!$C$6,Settings!$C$7))*100)</f>
        <v/>
      </c>
      <c r="AI2439" s="7" t="n"/>
      <c r="AL2439" s="11" t="n"/>
      <c r="AN2439">
        <f>IF($E2439="","",IF(COUNTIF($E$2:$E2439,$E2439)=1,1,0))</f>
        <v/>
      </c>
      <c r="AO2439">
        <f>IF($AN2439=1,SUMPRODUCT(--($AR$2:$AR$3001&lt;$AR2439))+1,"")</f>
        <v/>
      </c>
      <c r="AP2439">
        <f>IF($E2439="","",IF(OR($U2439=TRUE(),$U2439="TRUE"),1,0))</f>
        <v/>
      </c>
      <c r="AQ2439">
        <f>IF($E2439="","",IF($AD2439="Yes",1,0))</f>
        <v/>
      </c>
      <c r="AR2439">
        <f>IF($AN2439=1,IFERROR(VALUE(MID($E2439,2,20)),1000000000)+ROW()/100000,"")</f>
        <v/>
      </c>
    </row>
    <row r="2440">
      <c r="G2440" s="11" t="n"/>
      <c r="Q2440" s="7">
        <f>IF($E2440="","",P2440*AB2440/100)</f>
        <v/>
      </c>
      <c r="R2440" s="7" t="n"/>
      <c r="X2440" s="7" t="n"/>
      <c r="Y2440" s="7">
        <f>IF($E2440="","",AB2440*AE2440/100)</f>
        <v/>
      </c>
      <c r="Z2440" s="7">
        <f>IF($E2440="","",AB2440-Y2440)</f>
        <v/>
      </c>
      <c r="AA2440" s="7">
        <f>IF($E2440="","",Z2440-Q2440)</f>
        <v/>
      </c>
      <c r="AB2440" s="7" t="n"/>
      <c r="AE2440">
        <f>IF($E2440="","",IF($AQ2440=1,0,IF($AP2440=1,Settings!$C$6,Settings!$C$7))*100)</f>
        <v/>
      </c>
      <c r="AI2440" s="7" t="n"/>
      <c r="AL2440" s="11" t="n"/>
      <c r="AN2440">
        <f>IF($E2440="","",IF(COUNTIF($E$2:$E2440,$E2440)=1,1,0))</f>
        <v/>
      </c>
      <c r="AO2440">
        <f>IF($AN2440=1,SUMPRODUCT(--($AR$2:$AR$3001&lt;$AR2440))+1,"")</f>
        <v/>
      </c>
      <c r="AP2440">
        <f>IF($E2440="","",IF(OR($U2440=TRUE(),$U2440="TRUE"),1,0))</f>
        <v/>
      </c>
      <c r="AQ2440">
        <f>IF($E2440="","",IF($AD2440="Yes",1,0))</f>
        <v/>
      </c>
      <c r="AR2440">
        <f>IF($AN2440=1,IFERROR(VALUE(MID($E2440,2,20)),1000000000)+ROW()/100000,"")</f>
        <v/>
      </c>
    </row>
    <row r="2441">
      <c r="G2441" s="11" t="n"/>
      <c r="Q2441" s="7">
        <f>IF($E2441="","",P2441*AB2441/100)</f>
        <v/>
      </c>
      <c r="R2441" s="7" t="n"/>
      <c r="X2441" s="7" t="n"/>
      <c r="Y2441" s="7">
        <f>IF($E2441="","",AB2441*AE2441/100)</f>
        <v/>
      </c>
      <c r="Z2441" s="7">
        <f>IF($E2441="","",AB2441-Y2441)</f>
        <v/>
      </c>
      <c r="AA2441" s="7">
        <f>IF($E2441="","",Z2441-Q2441)</f>
        <v/>
      </c>
      <c r="AB2441" s="7" t="n"/>
      <c r="AE2441">
        <f>IF($E2441="","",IF($AQ2441=1,0,IF($AP2441=1,Settings!$C$6,Settings!$C$7))*100)</f>
        <v/>
      </c>
      <c r="AI2441" s="7" t="n"/>
      <c r="AL2441" s="11" t="n"/>
      <c r="AN2441">
        <f>IF($E2441="","",IF(COUNTIF($E$2:$E2441,$E2441)=1,1,0))</f>
        <v/>
      </c>
      <c r="AO2441">
        <f>IF($AN2441=1,SUMPRODUCT(--($AR$2:$AR$3001&lt;$AR2441))+1,"")</f>
        <v/>
      </c>
      <c r="AP2441">
        <f>IF($E2441="","",IF(OR($U2441=TRUE(),$U2441="TRUE"),1,0))</f>
        <v/>
      </c>
      <c r="AQ2441">
        <f>IF($E2441="","",IF($AD2441="Yes",1,0))</f>
        <v/>
      </c>
      <c r="AR2441">
        <f>IF($AN2441=1,IFERROR(VALUE(MID($E2441,2,20)),1000000000)+ROW()/100000,"")</f>
        <v/>
      </c>
    </row>
    <row r="2442">
      <c r="G2442" s="11" t="n"/>
      <c r="Q2442" s="7">
        <f>IF($E2442="","",P2442*AB2442/100)</f>
        <v/>
      </c>
      <c r="R2442" s="7" t="n"/>
      <c r="X2442" s="7" t="n"/>
      <c r="Y2442" s="7">
        <f>IF($E2442="","",AB2442*AE2442/100)</f>
        <v/>
      </c>
      <c r="Z2442" s="7">
        <f>IF($E2442="","",AB2442-Y2442)</f>
        <v/>
      </c>
      <c r="AA2442" s="7">
        <f>IF($E2442="","",Z2442-Q2442)</f>
        <v/>
      </c>
      <c r="AB2442" s="7" t="n"/>
      <c r="AE2442">
        <f>IF($E2442="","",IF($AQ2442=1,0,IF($AP2442=1,Settings!$C$6,Settings!$C$7))*100)</f>
        <v/>
      </c>
      <c r="AI2442" s="7" t="n"/>
      <c r="AL2442" s="11" t="n"/>
      <c r="AN2442">
        <f>IF($E2442="","",IF(COUNTIF($E$2:$E2442,$E2442)=1,1,0))</f>
        <v/>
      </c>
      <c r="AO2442">
        <f>IF($AN2442=1,SUMPRODUCT(--($AR$2:$AR$3001&lt;$AR2442))+1,"")</f>
        <v/>
      </c>
      <c r="AP2442">
        <f>IF($E2442="","",IF(OR($U2442=TRUE(),$U2442="TRUE"),1,0))</f>
        <v/>
      </c>
      <c r="AQ2442">
        <f>IF($E2442="","",IF($AD2442="Yes",1,0))</f>
        <v/>
      </c>
      <c r="AR2442">
        <f>IF($AN2442=1,IFERROR(VALUE(MID($E2442,2,20)),1000000000)+ROW()/100000,"")</f>
        <v/>
      </c>
    </row>
    <row r="2443">
      <c r="G2443" s="11" t="n"/>
      <c r="Q2443" s="7">
        <f>IF($E2443="","",P2443*AB2443/100)</f>
        <v/>
      </c>
      <c r="R2443" s="7" t="n"/>
      <c r="X2443" s="7" t="n"/>
      <c r="Y2443" s="7">
        <f>IF($E2443="","",AB2443*AE2443/100)</f>
        <v/>
      </c>
      <c r="Z2443" s="7">
        <f>IF($E2443="","",AB2443-Y2443)</f>
        <v/>
      </c>
      <c r="AA2443" s="7">
        <f>IF($E2443="","",Z2443-Q2443)</f>
        <v/>
      </c>
      <c r="AB2443" s="7" t="n"/>
      <c r="AE2443">
        <f>IF($E2443="","",IF($AQ2443=1,0,IF($AP2443=1,Settings!$C$6,Settings!$C$7))*100)</f>
        <v/>
      </c>
      <c r="AI2443" s="7" t="n"/>
      <c r="AL2443" s="11" t="n"/>
      <c r="AN2443">
        <f>IF($E2443="","",IF(COUNTIF($E$2:$E2443,$E2443)=1,1,0))</f>
        <v/>
      </c>
      <c r="AO2443">
        <f>IF($AN2443=1,SUMPRODUCT(--($AR$2:$AR$3001&lt;$AR2443))+1,"")</f>
        <v/>
      </c>
      <c r="AP2443">
        <f>IF($E2443="","",IF(OR($U2443=TRUE(),$U2443="TRUE"),1,0))</f>
        <v/>
      </c>
      <c r="AQ2443">
        <f>IF($E2443="","",IF($AD2443="Yes",1,0))</f>
        <v/>
      </c>
      <c r="AR2443">
        <f>IF($AN2443=1,IFERROR(VALUE(MID($E2443,2,20)),1000000000)+ROW()/100000,"")</f>
        <v/>
      </c>
    </row>
    <row r="2444">
      <c r="G2444" s="11" t="n"/>
      <c r="Q2444" s="7">
        <f>IF($E2444="","",P2444*AB2444/100)</f>
        <v/>
      </c>
      <c r="R2444" s="7" t="n"/>
      <c r="X2444" s="7" t="n"/>
      <c r="Y2444" s="7">
        <f>IF($E2444="","",AB2444*AE2444/100)</f>
        <v/>
      </c>
      <c r="Z2444" s="7">
        <f>IF($E2444="","",AB2444-Y2444)</f>
        <v/>
      </c>
      <c r="AA2444" s="7">
        <f>IF($E2444="","",Z2444-Q2444)</f>
        <v/>
      </c>
      <c r="AB2444" s="7" t="n"/>
      <c r="AE2444">
        <f>IF($E2444="","",IF($AQ2444=1,0,IF($AP2444=1,Settings!$C$6,Settings!$C$7))*100)</f>
        <v/>
      </c>
      <c r="AI2444" s="7" t="n"/>
      <c r="AL2444" s="11" t="n"/>
      <c r="AN2444">
        <f>IF($E2444="","",IF(COUNTIF($E$2:$E2444,$E2444)=1,1,0))</f>
        <v/>
      </c>
      <c r="AO2444">
        <f>IF($AN2444=1,SUMPRODUCT(--($AR$2:$AR$3001&lt;$AR2444))+1,"")</f>
        <v/>
      </c>
      <c r="AP2444">
        <f>IF($E2444="","",IF(OR($U2444=TRUE(),$U2444="TRUE"),1,0))</f>
        <v/>
      </c>
      <c r="AQ2444">
        <f>IF($E2444="","",IF($AD2444="Yes",1,0))</f>
        <v/>
      </c>
      <c r="AR2444">
        <f>IF($AN2444=1,IFERROR(VALUE(MID($E2444,2,20)),1000000000)+ROW()/100000,"")</f>
        <v/>
      </c>
    </row>
    <row r="2445">
      <c r="G2445" s="11" t="n"/>
      <c r="Q2445" s="7">
        <f>IF($E2445="","",P2445*AB2445/100)</f>
        <v/>
      </c>
      <c r="R2445" s="7" t="n"/>
      <c r="X2445" s="7" t="n"/>
      <c r="Y2445" s="7">
        <f>IF($E2445="","",AB2445*AE2445/100)</f>
        <v/>
      </c>
      <c r="Z2445" s="7">
        <f>IF($E2445="","",AB2445-Y2445)</f>
        <v/>
      </c>
      <c r="AA2445" s="7">
        <f>IF($E2445="","",Z2445-Q2445)</f>
        <v/>
      </c>
      <c r="AB2445" s="7" t="n"/>
      <c r="AE2445">
        <f>IF($E2445="","",IF($AQ2445=1,0,IF($AP2445=1,Settings!$C$6,Settings!$C$7))*100)</f>
        <v/>
      </c>
      <c r="AI2445" s="7" t="n"/>
      <c r="AL2445" s="11" t="n"/>
      <c r="AN2445">
        <f>IF($E2445="","",IF(COUNTIF($E$2:$E2445,$E2445)=1,1,0))</f>
        <v/>
      </c>
      <c r="AO2445">
        <f>IF($AN2445=1,SUMPRODUCT(--($AR$2:$AR$3001&lt;$AR2445))+1,"")</f>
        <v/>
      </c>
      <c r="AP2445">
        <f>IF($E2445="","",IF(OR($U2445=TRUE(),$U2445="TRUE"),1,0))</f>
        <v/>
      </c>
      <c r="AQ2445">
        <f>IF($E2445="","",IF($AD2445="Yes",1,0))</f>
        <v/>
      </c>
      <c r="AR2445">
        <f>IF($AN2445=1,IFERROR(VALUE(MID($E2445,2,20)),1000000000)+ROW()/100000,"")</f>
        <v/>
      </c>
    </row>
    <row r="2446">
      <c r="G2446" s="11" t="n"/>
      <c r="Q2446" s="7">
        <f>IF($E2446="","",P2446*AB2446/100)</f>
        <v/>
      </c>
      <c r="R2446" s="7" t="n"/>
      <c r="X2446" s="7" t="n"/>
      <c r="Y2446" s="7">
        <f>IF($E2446="","",AB2446*AE2446/100)</f>
        <v/>
      </c>
      <c r="Z2446" s="7">
        <f>IF($E2446="","",AB2446-Y2446)</f>
        <v/>
      </c>
      <c r="AA2446" s="7">
        <f>IF($E2446="","",Z2446-Q2446)</f>
        <v/>
      </c>
      <c r="AB2446" s="7" t="n"/>
      <c r="AE2446">
        <f>IF($E2446="","",IF($AQ2446=1,0,IF($AP2446=1,Settings!$C$6,Settings!$C$7))*100)</f>
        <v/>
      </c>
      <c r="AI2446" s="7" t="n"/>
      <c r="AL2446" s="11" t="n"/>
      <c r="AN2446">
        <f>IF($E2446="","",IF(COUNTIF($E$2:$E2446,$E2446)=1,1,0))</f>
        <v/>
      </c>
      <c r="AO2446">
        <f>IF($AN2446=1,SUMPRODUCT(--($AR$2:$AR$3001&lt;$AR2446))+1,"")</f>
        <v/>
      </c>
      <c r="AP2446">
        <f>IF($E2446="","",IF(OR($U2446=TRUE(),$U2446="TRUE"),1,0))</f>
        <v/>
      </c>
      <c r="AQ2446">
        <f>IF($E2446="","",IF($AD2446="Yes",1,0))</f>
        <v/>
      </c>
      <c r="AR2446">
        <f>IF($AN2446=1,IFERROR(VALUE(MID($E2446,2,20)),1000000000)+ROW()/100000,"")</f>
        <v/>
      </c>
    </row>
    <row r="2447">
      <c r="G2447" s="11" t="n"/>
      <c r="Q2447" s="7">
        <f>IF($E2447="","",P2447*AB2447/100)</f>
        <v/>
      </c>
      <c r="R2447" s="7" t="n"/>
      <c r="X2447" s="7" t="n"/>
      <c r="Y2447" s="7">
        <f>IF($E2447="","",AB2447*AE2447/100)</f>
        <v/>
      </c>
      <c r="Z2447" s="7">
        <f>IF($E2447="","",AB2447-Y2447)</f>
        <v/>
      </c>
      <c r="AA2447" s="7">
        <f>IF($E2447="","",Z2447-Q2447)</f>
        <v/>
      </c>
      <c r="AB2447" s="7" t="n"/>
      <c r="AE2447">
        <f>IF($E2447="","",IF($AQ2447=1,0,IF($AP2447=1,Settings!$C$6,Settings!$C$7))*100)</f>
        <v/>
      </c>
      <c r="AI2447" s="7" t="n"/>
      <c r="AL2447" s="11" t="n"/>
      <c r="AN2447">
        <f>IF($E2447="","",IF(COUNTIF($E$2:$E2447,$E2447)=1,1,0))</f>
        <v/>
      </c>
      <c r="AO2447">
        <f>IF($AN2447=1,SUMPRODUCT(--($AR$2:$AR$3001&lt;$AR2447))+1,"")</f>
        <v/>
      </c>
      <c r="AP2447">
        <f>IF($E2447="","",IF(OR($U2447=TRUE(),$U2447="TRUE"),1,0))</f>
        <v/>
      </c>
      <c r="AQ2447">
        <f>IF($E2447="","",IF($AD2447="Yes",1,0))</f>
        <v/>
      </c>
      <c r="AR2447">
        <f>IF($AN2447=1,IFERROR(VALUE(MID($E2447,2,20)),1000000000)+ROW()/100000,"")</f>
        <v/>
      </c>
    </row>
    <row r="2448">
      <c r="G2448" s="11" t="n"/>
      <c r="Q2448" s="7">
        <f>IF($E2448="","",P2448*AB2448/100)</f>
        <v/>
      </c>
      <c r="R2448" s="7" t="n"/>
      <c r="X2448" s="7" t="n"/>
      <c r="Y2448" s="7">
        <f>IF($E2448="","",AB2448*AE2448/100)</f>
        <v/>
      </c>
      <c r="Z2448" s="7">
        <f>IF($E2448="","",AB2448-Y2448)</f>
        <v/>
      </c>
      <c r="AA2448" s="7">
        <f>IF($E2448="","",Z2448-Q2448)</f>
        <v/>
      </c>
      <c r="AB2448" s="7" t="n"/>
      <c r="AE2448">
        <f>IF($E2448="","",IF($AQ2448=1,0,IF($AP2448=1,Settings!$C$6,Settings!$C$7))*100)</f>
        <v/>
      </c>
      <c r="AI2448" s="7" t="n"/>
      <c r="AL2448" s="11" t="n"/>
      <c r="AN2448">
        <f>IF($E2448="","",IF(COUNTIF($E$2:$E2448,$E2448)=1,1,0))</f>
        <v/>
      </c>
      <c r="AO2448">
        <f>IF($AN2448=1,SUMPRODUCT(--($AR$2:$AR$3001&lt;$AR2448))+1,"")</f>
        <v/>
      </c>
      <c r="AP2448">
        <f>IF($E2448="","",IF(OR($U2448=TRUE(),$U2448="TRUE"),1,0))</f>
        <v/>
      </c>
      <c r="AQ2448">
        <f>IF($E2448="","",IF($AD2448="Yes",1,0))</f>
        <v/>
      </c>
      <c r="AR2448">
        <f>IF($AN2448=1,IFERROR(VALUE(MID($E2448,2,20)),1000000000)+ROW()/100000,"")</f>
        <v/>
      </c>
    </row>
    <row r="2449">
      <c r="G2449" s="11" t="n"/>
      <c r="Q2449" s="7">
        <f>IF($E2449="","",P2449*AB2449/100)</f>
        <v/>
      </c>
      <c r="R2449" s="7" t="n"/>
      <c r="X2449" s="7" t="n"/>
      <c r="Y2449" s="7">
        <f>IF($E2449="","",AB2449*AE2449/100)</f>
        <v/>
      </c>
      <c r="Z2449" s="7">
        <f>IF($E2449="","",AB2449-Y2449)</f>
        <v/>
      </c>
      <c r="AA2449" s="7">
        <f>IF($E2449="","",Z2449-Q2449)</f>
        <v/>
      </c>
      <c r="AB2449" s="7" t="n"/>
      <c r="AE2449">
        <f>IF($E2449="","",IF($AQ2449=1,0,IF($AP2449=1,Settings!$C$6,Settings!$C$7))*100)</f>
        <v/>
      </c>
      <c r="AI2449" s="7" t="n"/>
      <c r="AL2449" s="11" t="n"/>
      <c r="AN2449">
        <f>IF($E2449="","",IF(COUNTIF($E$2:$E2449,$E2449)=1,1,0))</f>
        <v/>
      </c>
      <c r="AO2449">
        <f>IF($AN2449=1,SUMPRODUCT(--($AR$2:$AR$3001&lt;$AR2449))+1,"")</f>
        <v/>
      </c>
      <c r="AP2449">
        <f>IF($E2449="","",IF(OR($U2449=TRUE(),$U2449="TRUE"),1,0))</f>
        <v/>
      </c>
      <c r="AQ2449">
        <f>IF($E2449="","",IF($AD2449="Yes",1,0))</f>
        <v/>
      </c>
      <c r="AR2449">
        <f>IF($AN2449=1,IFERROR(VALUE(MID($E2449,2,20)),1000000000)+ROW()/100000,"")</f>
        <v/>
      </c>
    </row>
    <row r="2450">
      <c r="G2450" s="11" t="n"/>
      <c r="Q2450" s="7">
        <f>IF($E2450="","",P2450*AB2450/100)</f>
        <v/>
      </c>
      <c r="R2450" s="7" t="n"/>
      <c r="X2450" s="7" t="n"/>
      <c r="Y2450" s="7">
        <f>IF($E2450="","",AB2450*AE2450/100)</f>
        <v/>
      </c>
      <c r="Z2450" s="7">
        <f>IF($E2450="","",AB2450-Y2450)</f>
        <v/>
      </c>
      <c r="AA2450" s="7">
        <f>IF($E2450="","",Z2450-Q2450)</f>
        <v/>
      </c>
      <c r="AB2450" s="7" t="n"/>
      <c r="AE2450">
        <f>IF($E2450="","",IF($AQ2450=1,0,IF($AP2450=1,Settings!$C$6,Settings!$C$7))*100)</f>
        <v/>
      </c>
      <c r="AI2450" s="7" t="n"/>
      <c r="AL2450" s="11" t="n"/>
      <c r="AN2450">
        <f>IF($E2450="","",IF(COUNTIF($E$2:$E2450,$E2450)=1,1,0))</f>
        <v/>
      </c>
      <c r="AO2450">
        <f>IF($AN2450=1,SUMPRODUCT(--($AR$2:$AR$3001&lt;$AR2450))+1,"")</f>
        <v/>
      </c>
      <c r="AP2450">
        <f>IF($E2450="","",IF(OR($U2450=TRUE(),$U2450="TRUE"),1,0))</f>
        <v/>
      </c>
      <c r="AQ2450">
        <f>IF($E2450="","",IF($AD2450="Yes",1,0))</f>
        <v/>
      </c>
      <c r="AR2450">
        <f>IF($AN2450=1,IFERROR(VALUE(MID($E2450,2,20)),1000000000)+ROW()/100000,"")</f>
        <v/>
      </c>
    </row>
    <row r="2451">
      <c r="G2451" s="11" t="n"/>
      <c r="Q2451" s="7">
        <f>IF($E2451="","",P2451*AB2451/100)</f>
        <v/>
      </c>
      <c r="R2451" s="7" t="n"/>
      <c r="X2451" s="7" t="n"/>
      <c r="Y2451" s="7">
        <f>IF($E2451="","",AB2451*AE2451/100)</f>
        <v/>
      </c>
      <c r="Z2451" s="7">
        <f>IF($E2451="","",AB2451-Y2451)</f>
        <v/>
      </c>
      <c r="AA2451" s="7">
        <f>IF($E2451="","",Z2451-Q2451)</f>
        <v/>
      </c>
      <c r="AB2451" s="7" t="n"/>
      <c r="AE2451">
        <f>IF($E2451="","",IF($AQ2451=1,0,IF($AP2451=1,Settings!$C$6,Settings!$C$7))*100)</f>
        <v/>
      </c>
      <c r="AI2451" s="7" t="n"/>
      <c r="AL2451" s="11" t="n"/>
      <c r="AN2451">
        <f>IF($E2451="","",IF(COUNTIF($E$2:$E2451,$E2451)=1,1,0))</f>
        <v/>
      </c>
      <c r="AO2451">
        <f>IF($AN2451=1,SUMPRODUCT(--($AR$2:$AR$3001&lt;$AR2451))+1,"")</f>
        <v/>
      </c>
      <c r="AP2451">
        <f>IF($E2451="","",IF(OR($U2451=TRUE(),$U2451="TRUE"),1,0))</f>
        <v/>
      </c>
      <c r="AQ2451">
        <f>IF($E2451="","",IF($AD2451="Yes",1,0))</f>
        <v/>
      </c>
      <c r="AR2451">
        <f>IF($AN2451=1,IFERROR(VALUE(MID($E2451,2,20)),1000000000)+ROW()/100000,"")</f>
        <v/>
      </c>
    </row>
    <row r="2452">
      <c r="G2452" s="11" t="n"/>
      <c r="Q2452" s="7">
        <f>IF($E2452="","",P2452*AB2452/100)</f>
        <v/>
      </c>
      <c r="R2452" s="7" t="n"/>
      <c r="X2452" s="7" t="n"/>
      <c r="Y2452" s="7">
        <f>IF($E2452="","",AB2452*AE2452/100)</f>
        <v/>
      </c>
      <c r="Z2452" s="7">
        <f>IF($E2452="","",AB2452-Y2452)</f>
        <v/>
      </c>
      <c r="AA2452" s="7">
        <f>IF($E2452="","",Z2452-Q2452)</f>
        <v/>
      </c>
      <c r="AB2452" s="7" t="n"/>
      <c r="AE2452">
        <f>IF($E2452="","",IF($AQ2452=1,0,IF($AP2452=1,Settings!$C$6,Settings!$C$7))*100)</f>
        <v/>
      </c>
      <c r="AI2452" s="7" t="n"/>
      <c r="AL2452" s="11" t="n"/>
      <c r="AN2452">
        <f>IF($E2452="","",IF(COUNTIF($E$2:$E2452,$E2452)=1,1,0))</f>
        <v/>
      </c>
      <c r="AO2452">
        <f>IF($AN2452=1,SUMPRODUCT(--($AR$2:$AR$3001&lt;$AR2452))+1,"")</f>
        <v/>
      </c>
      <c r="AP2452">
        <f>IF($E2452="","",IF(OR($U2452=TRUE(),$U2452="TRUE"),1,0))</f>
        <v/>
      </c>
      <c r="AQ2452">
        <f>IF($E2452="","",IF($AD2452="Yes",1,0))</f>
        <v/>
      </c>
      <c r="AR2452">
        <f>IF($AN2452=1,IFERROR(VALUE(MID($E2452,2,20)),1000000000)+ROW()/100000,"")</f>
        <v/>
      </c>
    </row>
    <row r="2453">
      <c r="G2453" s="11" t="n"/>
      <c r="Q2453" s="7">
        <f>IF($E2453="","",P2453*AB2453/100)</f>
        <v/>
      </c>
      <c r="R2453" s="7" t="n"/>
      <c r="X2453" s="7" t="n"/>
      <c r="Y2453" s="7">
        <f>IF($E2453="","",AB2453*AE2453/100)</f>
        <v/>
      </c>
      <c r="Z2453" s="7">
        <f>IF($E2453="","",AB2453-Y2453)</f>
        <v/>
      </c>
      <c r="AA2453" s="7">
        <f>IF($E2453="","",Z2453-Q2453)</f>
        <v/>
      </c>
      <c r="AB2453" s="7" t="n"/>
      <c r="AE2453">
        <f>IF($E2453="","",IF($AQ2453=1,0,IF($AP2453=1,Settings!$C$6,Settings!$C$7))*100)</f>
        <v/>
      </c>
      <c r="AI2453" s="7" t="n"/>
      <c r="AL2453" s="11" t="n"/>
      <c r="AN2453">
        <f>IF($E2453="","",IF(COUNTIF($E$2:$E2453,$E2453)=1,1,0))</f>
        <v/>
      </c>
      <c r="AO2453">
        <f>IF($AN2453=1,SUMPRODUCT(--($AR$2:$AR$3001&lt;$AR2453))+1,"")</f>
        <v/>
      </c>
      <c r="AP2453">
        <f>IF($E2453="","",IF(OR($U2453=TRUE(),$U2453="TRUE"),1,0))</f>
        <v/>
      </c>
      <c r="AQ2453">
        <f>IF($E2453="","",IF($AD2453="Yes",1,0))</f>
        <v/>
      </c>
      <c r="AR2453">
        <f>IF($AN2453=1,IFERROR(VALUE(MID($E2453,2,20)),1000000000)+ROW()/100000,"")</f>
        <v/>
      </c>
    </row>
    <row r="2454">
      <c r="G2454" s="11" t="n"/>
      <c r="Q2454" s="7">
        <f>IF($E2454="","",P2454*AB2454/100)</f>
        <v/>
      </c>
      <c r="R2454" s="7" t="n"/>
      <c r="X2454" s="7" t="n"/>
      <c r="Y2454" s="7">
        <f>IF($E2454="","",AB2454*AE2454/100)</f>
        <v/>
      </c>
      <c r="Z2454" s="7">
        <f>IF($E2454="","",AB2454-Y2454)</f>
        <v/>
      </c>
      <c r="AA2454" s="7">
        <f>IF($E2454="","",Z2454-Q2454)</f>
        <v/>
      </c>
      <c r="AB2454" s="7" t="n"/>
      <c r="AE2454">
        <f>IF($E2454="","",IF($AQ2454=1,0,IF($AP2454=1,Settings!$C$6,Settings!$C$7))*100)</f>
        <v/>
      </c>
      <c r="AI2454" s="7" t="n"/>
      <c r="AL2454" s="11" t="n"/>
      <c r="AN2454">
        <f>IF($E2454="","",IF(COUNTIF($E$2:$E2454,$E2454)=1,1,0))</f>
        <v/>
      </c>
      <c r="AO2454">
        <f>IF($AN2454=1,SUMPRODUCT(--($AR$2:$AR$3001&lt;$AR2454))+1,"")</f>
        <v/>
      </c>
      <c r="AP2454">
        <f>IF($E2454="","",IF(OR($U2454=TRUE(),$U2454="TRUE"),1,0))</f>
        <v/>
      </c>
      <c r="AQ2454">
        <f>IF($E2454="","",IF($AD2454="Yes",1,0))</f>
        <v/>
      </c>
      <c r="AR2454">
        <f>IF($AN2454=1,IFERROR(VALUE(MID($E2454,2,20)),1000000000)+ROW()/100000,"")</f>
        <v/>
      </c>
    </row>
    <row r="2455">
      <c r="G2455" s="11" t="n"/>
      <c r="Q2455" s="7">
        <f>IF($E2455="","",P2455*AB2455/100)</f>
        <v/>
      </c>
      <c r="R2455" s="7" t="n"/>
      <c r="X2455" s="7" t="n"/>
      <c r="Y2455" s="7">
        <f>IF($E2455="","",AB2455*AE2455/100)</f>
        <v/>
      </c>
      <c r="Z2455" s="7">
        <f>IF($E2455="","",AB2455-Y2455)</f>
        <v/>
      </c>
      <c r="AA2455" s="7">
        <f>IF($E2455="","",Z2455-Q2455)</f>
        <v/>
      </c>
      <c r="AB2455" s="7" t="n"/>
      <c r="AE2455">
        <f>IF($E2455="","",IF($AQ2455=1,0,IF($AP2455=1,Settings!$C$6,Settings!$C$7))*100)</f>
        <v/>
      </c>
      <c r="AI2455" s="7" t="n"/>
      <c r="AL2455" s="11" t="n"/>
      <c r="AN2455">
        <f>IF($E2455="","",IF(COUNTIF($E$2:$E2455,$E2455)=1,1,0))</f>
        <v/>
      </c>
      <c r="AO2455">
        <f>IF($AN2455=1,SUMPRODUCT(--($AR$2:$AR$3001&lt;$AR2455))+1,"")</f>
        <v/>
      </c>
      <c r="AP2455">
        <f>IF($E2455="","",IF(OR($U2455=TRUE(),$U2455="TRUE"),1,0))</f>
        <v/>
      </c>
      <c r="AQ2455">
        <f>IF($E2455="","",IF($AD2455="Yes",1,0))</f>
        <v/>
      </c>
      <c r="AR2455">
        <f>IF($AN2455=1,IFERROR(VALUE(MID($E2455,2,20)),1000000000)+ROW()/100000,"")</f>
        <v/>
      </c>
    </row>
    <row r="2456">
      <c r="G2456" s="11" t="n"/>
      <c r="Q2456" s="7">
        <f>IF($E2456="","",P2456*AB2456/100)</f>
        <v/>
      </c>
      <c r="R2456" s="7" t="n"/>
      <c r="X2456" s="7" t="n"/>
      <c r="Y2456" s="7">
        <f>IF($E2456="","",AB2456*AE2456/100)</f>
        <v/>
      </c>
      <c r="Z2456" s="7">
        <f>IF($E2456="","",AB2456-Y2456)</f>
        <v/>
      </c>
      <c r="AA2456" s="7">
        <f>IF($E2456="","",Z2456-Q2456)</f>
        <v/>
      </c>
      <c r="AB2456" s="7" t="n"/>
      <c r="AE2456">
        <f>IF($E2456="","",IF($AQ2456=1,0,IF($AP2456=1,Settings!$C$6,Settings!$C$7))*100)</f>
        <v/>
      </c>
      <c r="AI2456" s="7" t="n"/>
      <c r="AL2456" s="11" t="n"/>
      <c r="AN2456">
        <f>IF($E2456="","",IF(COUNTIF($E$2:$E2456,$E2456)=1,1,0))</f>
        <v/>
      </c>
      <c r="AO2456">
        <f>IF($AN2456=1,SUMPRODUCT(--($AR$2:$AR$3001&lt;$AR2456))+1,"")</f>
        <v/>
      </c>
      <c r="AP2456">
        <f>IF($E2456="","",IF(OR($U2456=TRUE(),$U2456="TRUE"),1,0))</f>
        <v/>
      </c>
      <c r="AQ2456">
        <f>IF($E2456="","",IF($AD2456="Yes",1,0))</f>
        <v/>
      </c>
      <c r="AR2456">
        <f>IF($AN2456=1,IFERROR(VALUE(MID($E2456,2,20)),1000000000)+ROW()/100000,"")</f>
        <v/>
      </c>
    </row>
    <row r="2457">
      <c r="G2457" s="11" t="n"/>
      <c r="Q2457" s="7">
        <f>IF($E2457="","",P2457*AB2457/100)</f>
        <v/>
      </c>
      <c r="R2457" s="7" t="n"/>
      <c r="X2457" s="7" t="n"/>
      <c r="Y2457" s="7">
        <f>IF($E2457="","",AB2457*AE2457/100)</f>
        <v/>
      </c>
      <c r="Z2457" s="7">
        <f>IF($E2457="","",AB2457-Y2457)</f>
        <v/>
      </c>
      <c r="AA2457" s="7">
        <f>IF($E2457="","",Z2457-Q2457)</f>
        <v/>
      </c>
      <c r="AB2457" s="7" t="n"/>
      <c r="AE2457">
        <f>IF($E2457="","",IF($AQ2457=1,0,IF($AP2457=1,Settings!$C$6,Settings!$C$7))*100)</f>
        <v/>
      </c>
      <c r="AI2457" s="7" t="n"/>
      <c r="AL2457" s="11" t="n"/>
      <c r="AN2457">
        <f>IF($E2457="","",IF(COUNTIF($E$2:$E2457,$E2457)=1,1,0))</f>
        <v/>
      </c>
      <c r="AO2457">
        <f>IF($AN2457=1,SUMPRODUCT(--($AR$2:$AR$3001&lt;$AR2457))+1,"")</f>
        <v/>
      </c>
      <c r="AP2457">
        <f>IF($E2457="","",IF(OR($U2457=TRUE(),$U2457="TRUE"),1,0))</f>
        <v/>
      </c>
      <c r="AQ2457">
        <f>IF($E2457="","",IF($AD2457="Yes",1,0))</f>
        <v/>
      </c>
      <c r="AR2457">
        <f>IF($AN2457=1,IFERROR(VALUE(MID($E2457,2,20)),1000000000)+ROW()/100000,"")</f>
        <v/>
      </c>
    </row>
    <row r="2458">
      <c r="G2458" s="11" t="n"/>
      <c r="Q2458" s="7">
        <f>IF($E2458="","",P2458*AB2458/100)</f>
        <v/>
      </c>
      <c r="R2458" s="7" t="n"/>
      <c r="X2458" s="7" t="n"/>
      <c r="Y2458" s="7">
        <f>IF($E2458="","",AB2458*AE2458/100)</f>
        <v/>
      </c>
      <c r="Z2458" s="7">
        <f>IF($E2458="","",AB2458-Y2458)</f>
        <v/>
      </c>
      <c r="AA2458" s="7">
        <f>IF($E2458="","",Z2458-Q2458)</f>
        <v/>
      </c>
      <c r="AB2458" s="7" t="n"/>
      <c r="AE2458">
        <f>IF($E2458="","",IF($AQ2458=1,0,IF($AP2458=1,Settings!$C$6,Settings!$C$7))*100)</f>
        <v/>
      </c>
      <c r="AI2458" s="7" t="n"/>
      <c r="AL2458" s="11" t="n"/>
      <c r="AN2458">
        <f>IF($E2458="","",IF(COUNTIF($E$2:$E2458,$E2458)=1,1,0))</f>
        <v/>
      </c>
      <c r="AO2458">
        <f>IF($AN2458=1,SUMPRODUCT(--($AR$2:$AR$3001&lt;$AR2458))+1,"")</f>
        <v/>
      </c>
      <c r="AP2458">
        <f>IF($E2458="","",IF(OR($U2458=TRUE(),$U2458="TRUE"),1,0))</f>
        <v/>
      </c>
      <c r="AQ2458">
        <f>IF($E2458="","",IF($AD2458="Yes",1,0))</f>
        <v/>
      </c>
      <c r="AR2458">
        <f>IF($AN2458=1,IFERROR(VALUE(MID($E2458,2,20)),1000000000)+ROW()/100000,"")</f>
        <v/>
      </c>
    </row>
    <row r="2459">
      <c r="G2459" s="11" t="n"/>
      <c r="Q2459" s="7">
        <f>IF($E2459="","",P2459*AB2459/100)</f>
        <v/>
      </c>
      <c r="R2459" s="7" t="n"/>
      <c r="X2459" s="7" t="n"/>
      <c r="Y2459" s="7">
        <f>IF($E2459="","",AB2459*AE2459/100)</f>
        <v/>
      </c>
      <c r="Z2459" s="7">
        <f>IF($E2459="","",AB2459-Y2459)</f>
        <v/>
      </c>
      <c r="AA2459" s="7">
        <f>IF($E2459="","",Z2459-Q2459)</f>
        <v/>
      </c>
      <c r="AB2459" s="7" t="n"/>
      <c r="AE2459">
        <f>IF($E2459="","",IF($AQ2459=1,0,IF($AP2459=1,Settings!$C$6,Settings!$C$7))*100)</f>
        <v/>
      </c>
      <c r="AI2459" s="7" t="n"/>
      <c r="AL2459" s="11" t="n"/>
      <c r="AN2459">
        <f>IF($E2459="","",IF(COUNTIF($E$2:$E2459,$E2459)=1,1,0))</f>
        <v/>
      </c>
      <c r="AO2459">
        <f>IF($AN2459=1,SUMPRODUCT(--($AR$2:$AR$3001&lt;$AR2459))+1,"")</f>
        <v/>
      </c>
      <c r="AP2459">
        <f>IF($E2459="","",IF(OR($U2459=TRUE(),$U2459="TRUE"),1,0))</f>
        <v/>
      </c>
      <c r="AQ2459">
        <f>IF($E2459="","",IF($AD2459="Yes",1,0))</f>
        <v/>
      </c>
      <c r="AR2459">
        <f>IF($AN2459=1,IFERROR(VALUE(MID($E2459,2,20)),1000000000)+ROW()/100000,"")</f>
        <v/>
      </c>
    </row>
    <row r="2460">
      <c r="G2460" s="11" t="n"/>
      <c r="Q2460" s="7">
        <f>IF($E2460="","",P2460*AB2460/100)</f>
        <v/>
      </c>
      <c r="R2460" s="7" t="n"/>
      <c r="X2460" s="7" t="n"/>
      <c r="Y2460" s="7">
        <f>IF($E2460="","",AB2460*AE2460/100)</f>
        <v/>
      </c>
      <c r="Z2460" s="7">
        <f>IF($E2460="","",AB2460-Y2460)</f>
        <v/>
      </c>
      <c r="AA2460" s="7">
        <f>IF($E2460="","",Z2460-Q2460)</f>
        <v/>
      </c>
      <c r="AB2460" s="7" t="n"/>
      <c r="AE2460">
        <f>IF($E2460="","",IF($AQ2460=1,0,IF($AP2460=1,Settings!$C$6,Settings!$C$7))*100)</f>
        <v/>
      </c>
      <c r="AI2460" s="7" t="n"/>
      <c r="AL2460" s="11" t="n"/>
      <c r="AN2460">
        <f>IF($E2460="","",IF(COUNTIF($E$2:$E2460,$E2460)=1,1,0))</f>
        <v/>
      </c>
      <c r="AO2460">
        <f>IF($AN2460=1,SUMPRODUCT(--($AR$2:$AR$3001&lt;$AR2460))+1,"")</f>
        <v/>
      </c>
      <c r="AP2460">
        <f>IF($E2460="","",IF(OR($U2460=TRUE(),$U2460="TRUE"),1,0))</f>
        <v/>
      </c>
      <c r="AQ2460">
        <f>IF($E2460="","",IF($AD2460="Yes",1,0))</f>
        <v/>
      </c>
      <c r="AR2460">
        <f>IF($AN2460=1,IFERROR(VALUE(MID($E2460,2,20)),1000000000)+ROW()/100000,"")</f>
        <v/>
      </c>
    </row>
    <row r="2461">
      <c r="G2461" s="11" t="n"/>
      <c r="Q2461" s="7">
        <f>IF($E2461="","",P2461*AB2461/100)</f>
        <v/>
      </c>
      <c r="R2461" s="7" t="n"/>
      <c r="X2461" s="7" t="n"/>
      <c r="Y2461" s="7">
        <f>IF($E2461="","",AB2461*AE2461/100)</f>
        <v/>
      </c>
      <c r="Z2461" s="7">
        <f>IF($E2461="","",AB2461-Y2461)</f>
        <v/>
      </c>
      <c r="AA2461" s="7">
        <f>IF($E2461="","",Z2461-Q2461)</f>
        <v/>
      </c>
      <c r="AB2461" s="7" t="n"/>
      <c r="AE2461">
        <f>IF($E2461="","",IF($AQ2461=1,0,IF($AP2461=1,Settings!$C$6,Settings!$C$7))*100)</f>
        <v/>
      </c>
      <c r="AI2461" s="7" t="n"/>
      <c r="AL2461" s="11" t="n"/>
      <c r="AN2461">
        <f>IF($E2461="","",IF(COUNTIF($E$2:$E2461,$E2461)=1,1,0))</f>
        <v/>
      </c>
      <c r="AO2461">
        <f>IF($AN2461=1,SUMPRODUCT(--($AR$2:$AR$3001&lt;$AR2461))+1,"")</f>
        <v/>
      </c>
      <c r="AP2461">
        <f>IF($E2461="","",IF(OR($U2461=TRUE(),$U2461="TRUE"),1,0))</f>
        <v/>
      </c>
      <c r="AQ2461">
        <f>IF($E2461="","",IF($AD2461="Yes",1,0))</f>
        <v/>
      </c>
      <c r="AR2461">
        <f>IF($AN2461=1,IFERROR(VALUE(MID($E2461,2,20)),1000000000)+ROW()/100000,"")</f>
        <v/>
      </c>
    </row>
    <row r="2462">
      <c r="G2462" s="11" t="n"/>
      <c r="Q2462" s="7">
        <f>IF($E2462="","",P2462*AB2462/100)</f>
        <v/>
      </c>
      <c r="R2462" s="7" t="n"/>
      <c r="X2462" s="7" t="n"/>
      <c r="Y2462" s="7">
        <f>IF($E2462="","",AB2462*AE2462/100)</f>
        <v/>
      </c>
      <c r="Z2462" s="7">
        <f>IF($E2462="","",AB2462-Y2462)</f>
        <v/>
      </c>
      <c r="AA2462" s="7">
        <f>IF($E2462="","",Z2462-Q2462)</f>
        <v/>
      </c>
      <c r="AB2462" s="7" t="n"/>
      <c r="AE2462">
        <f>IF($E2462="","",IF($AQ2462=1,0,IF($AP2462=1,Settings!$C$6,Settings!$C$7))*100)</f>
        <v/>
      </c>
      <c r="AI2462" s="7" t="n"/>
      <c r="AL2462" s="11" t="n"/>
      <c r="AN2462">
        <f>IF($E2462="","",IF(COUNTIF($E$2:$E2462,$E2462)=1,1,0))</f>
        <v/>
      </c>
      <c r="AO2462">
        <f>IF($AN2462=1,SUMPRODUCT(--($AR$2:$AR$3001&lt;$AR2462))+1,"")</f>
        <v/>
      </c>
      <c r="AP2462">
        <f>IF($E2462="","",IF(OR($U2462=TRUE(),$U2462="TRUE"),1,0))</f>
        <v/>
      </c>
      <c r="AQ2462">
        <f>IF($E2462="","",IF($AD2462="Yes",1,0))</f>
        <v/>
      </c>
      <c r="AR2462">
        <f>IF($AN2462=1,IFERROR(VALUE(MID($E2462,2,20)),1000000000)+ROW()/100000,"")</f>
        <v/>
      </c>
    </row>
    <row r="2463">
      <c r="G2463" s="11" t="n"/>
      <c r="Q2463" s="7">
        <f>IF($E2463="","",P2463*AB2463/100)</f>
        <v/>
      </c>
      <c r="R2463" s="7" t="n"/>
      <c r="X2463" s="7" t="n"/>
      <c r="Y2463" s="7">
        <f>IF($E2463="","",AB2463*AE2463/100)</f>
        <v/>
      </c>
      <c r="Z2463" s="7">
        <f>IF($E2463="","",AB2463-Y2463)</f>
        <v/>
      </c>
      <c r="AA2463" s="7">
        <f>IF($E2463="","",Z2463-Q2463)</f>
        <v/>
      </c>
      <c r="AB2463" s="7" t="n"/>
      <c r="AE2463">
        <f>IF($E2463="","",IF($AQ2463=1,0,IF($AP2463=1,Settings!$C$6,Settings!$C$7))*100)</f>
        <v/>
      </c>
      <c r="AI2463" s="7" t="n"/>
      <c r="AL2463" s="11" t="n"/>
      <c r="AN2463">
        <f>IF($E2463="","",IF(COUNTIF($E$2:$E2463,$E2463)=1,1,0))</f>
        <v/>
      </c>
      <c r="AO2463">
        <f>IF($AN2463=1,SUMPRODUCT(--($AR$2:$AR$3001&lt;$AR2463))+1,"")</f>
        <v/>
      </c>
      <c r="AP2463">
        <f>IF($E2463="","",IF(OR($U2463=TRUE(),$U2463="TRUE"),1,0))</f>
        <v/>
      </c>
      <c r="AQ2463">
        <f>IF($E2463="","",IF($AD2463="Yes",1,0))</f>
        <v/>
      </c>
      <c r="AR2463">
        <f>IF($AN2463=1,IFERROR(VALUE(MID($E2463,2,20)),1000000000)+ROW()/100000,"")</f>
        <v/>
      </c>
    </row>
    <row r="2464">
      <c r="G2464" s="11" t="n"/>
      <c r="Q2464" s="7">
        <f>IF($E2464="","",P2464*AB2464/100)</f>
        <v/>
      </c>
      <c r="R2464" s="7" t="n"/>
      <c r="X2464" s="7" t="n"/>
      <c r="Y2464" s="7">
        <f>IF($E2464="","",AB2464*AE2464/100)</f>
        <v/>
      </c>
      <c r="Z2464" s="7">
        <f>IF($E2464="","",AB2464-Y2464)</f>
        <v/>
      </c>
      <c r="AA2464" s="7">
        <f>IF($E2464="","",Z2464-Q2464)</f>
        <v/>
      </c>
      <c r="AB2464" s="7" t="n"/>
      <c r="AE2464">
        <f>IF($E2464="","",IF($AQ2464=1,0,IF($AP2464=1,Settings!$C$6,Settings!$C$7))*100)</f>
        <v/>
      </c>
      <c r="AI2464" s="7" t="n"/>
      <c r="AL2464" s="11" t="n"/>
      <c r="AN2464">
        <f>IF($E2464="","",IF(COUNTIF($E$2:$E2464,$E2464)=1,1,0))</f>
        <v/>
      </c>
      <c r="AO2464">
        <f>IF($AN2464=1,SUMPRODUCT(--($AR$2:$AR$3001&lt;$AR2464))+1,"")</f>
        <v/>
      </c>
      <c r="AP2464">
        <f>IF($E2464="","",IF(OR($U2464=TRUE(),$U2464="TRUE"),1,0))</f>
        <v/>
      </c>
      <c r="AQ2464">
        <f>IF($E2464="","",IF($AD2464="Yes",1,0))</f>
        <v/>
      </c>
      <c r="AR2464">
        <f>IF($AN2464=1,IFERROR(VALUE(MID($E2464,2,20)),1000000000)+ROW()/100000,"")</f>
        <v/>
      </c>
    </row>
    <row r="2465">
      <c r="G2465" s="11" t="n"/>
      <c r="Q2465" s="7">
        <f>IF($E2465="","",P2465*AB2465/100)</f>
        <v/>
      </c>
      <c r="R2465" s="7" t="n"/>
      <c r="X2465" s="7" t="n"/>
      <c r="Y2465" s="7">
        <f>IF($E2465="","",AB2465*AE2465/100)</f>
        <v/>
      </c>
      <c r="Z2465" s="7">
        <f>IF($E2465="","",AB2465-Y2465)</f>
        <v/>
      </c>
      <c r="AA2465" s="7">
        <f>IF($E2465="","",Z2465-Q2465)</f>
        <v/>
      </c>
      <c r="AB2465" s="7" t="n"/>
      <c r="AE2465">
        <f>IF($E2465="","",IF($AQ2465=1,0,IF($AP2465=1,Settings!$C$6,Settings!$C$7))*100)</f>
        <v/>
      </c>
      <c r="AI2465" s="7" t="n"/>
      <c r="AL2465" s="11" t="n"/>
      <c r="AN2465">
        <f>IF($E2465="","",IF(COUNTIF($E$2:$E2465,$E2465)=1,1,0))</f>
        <v/>
      </c>
      <c r="AO2465">
        <f>IF($AN2465=1,SUMPRODUCT(--($AR$2:$AR$3001&lt;$AR2465))+1,"")</f>
        <v/>
      </c>
      <c r="AP2465">
        <f>IF($E2465="","",IF(OR($U2465=TRUE(),$U2465="TRUE"),1,0))</f>
        <v/>
      </c>
      <c r="AQ2465">
        <f>IF($E2465="","",IF($AD2465="Yes",1,0))</f>
        <v/>
      </c>
      <c r="AR2465">
        <f>IF($AN2465=1,IFERROR(VALUE(MID($E2465,2,20)),1000000000)+ROW()/100000,"")</f>
        <v/>
      </c>
    </row>
    <row r="2466">
      <c r="G2466" s="11" t="n"/>
      <c r="Q2466" s="7">
        <f>IF($E2466="","",P2466*AB2466/100)</f>
        <v/>
      </c>
      <c r="R2466" s="7" t="n"/>
      <c r="X2466" s="7" t="n"/>
      <c r="Y2466" s="7">
        <f>IF($E2466="","",AB2466*AE2466/100)</f>
        <v/>
      </c>
      <c r="Z2466" s="7">
        <f>IF($E2466="","",AB2466-Y2466)</f>
        <v/>
      </c>
      <c r="AA2466" s="7">
        <f>IF($E2466="","",Z2466-Q2466)</f>
        <v/>
      </c>
      <c r="AB2466" s="7" t="n"/>
      <c r="AE2466">
        <f>IF($E2466="","",IF($AQ2466=1,0,IF($AP2466=1,Settings!$C$6,Settings!$C$7))*100)</f>
        <v/>
      </c>
      <c r="AI2466" s="7" t="n"/>
      <c r="AL2466" s="11" t="n"/>
      <c r="AN2466">
        <f>IF($E2466="","",IF(COUNTIF($E$2:$E2466,$E2466)=1,1,0))</f>
        <v/>
      </c>
      <c r="AO2466">
        <f>IF($AN2466=1,SUMPRODUCT(--($AR$2:$AR$3001&lt;$AR2466))+1,"")</f>
        <v/>
      </c>
      <c r="AP2466">
        <f>IF($E2466="","",IF(OR($U2466=TRUE(),$U2466="TRUE"),1,0))</f>
        <v/>
      </c>
      <c r="AQ2466">
        <f>IF($E2466="","",IF($AD2466="Yes",1,0))</f>
        <v/>
      </c>
      <c r="AR2466">
        <f>IF($AN2466=1,IFERROR(VALUE(MID($E2466,2,20)),1000000000)+ROW()/100000,"")</f>
        <v/>
      </c>
    </row>
    <row r="2467">
      <c r="G2467" s="11" t="n"/>
      <c r="Q2467" s="7">
        <f>IF($E2467="","",P2467*AB2467/100)</f>
        <v/>
      </c>
      <c r="R2467" s="7" t="n"/>
      <c r="X2467" s="7" t="n"/>
      <c r="Y2467" s="7">
        <f>IF($E2467="","",AB2467*AE2467/100)</f>
        <v/>
      </c>
      <c r="Z2467" s="7">
        <f>IF($E2467="","",AB2467-Y2467)</f>
        <v/>
      </c>
      <c r="AA2467" s="7">
        <f>IF($E2467="","",Z2467-Q2467)</f>
        <v/>
      </c>
      <c r="AB2467" s="7" t="n"/>
      <c r="AE2467">
        <f>IF($E2467="","",IF($AQ2467=1,0,IF($AP2467=1,Settings!$C$6,Settings!$C$7))*100)</f>
        <v/>
      </c>
      <c r="AI2467" s="7" t="n"/>
      <c r="AL2467" s="11" t="n"/>
      <c r="AN2467">
        <f>IF($E2467="","",IF(COUNTIF($E$2:$E2467,$E2467)=1,1,0))</f>
        <v/>
      </c>
      <c r="AO2467">
        <f>IF($AN2467=1,SUMPRODUCT(--($AR$2:$AR$3001&lt;$AR2467))+1,"")</f>
        <v/>
      </c>
      <c r="AP2467">
        <f>IF($E2467="","",IF(OR($U2467=TRUE(),$U2467="TRUE"),1,0))</f>
        <v/>
      </c>
      <c r="AQ2467">
        <f>IF($E2467="","",IF($AD2467="Yes",1,0))</f>
        <v/>
      </c>
      <c r="AR2467">
        <f>IF($AN2467=1,IFERROR(VALUE(MID($E2467,2,20)),1000000000)+ROW()/100000,"")</f>
        <v/>
      </c>
    </row>
    <row r="2468">
      <c r="G2468" s="11" t="n"/>
      <c r="Q2468" s="7">
        <f>IF($E2468="","",P2468*AB2468/100)</f>
        <v/>
      </c>
      <c r="R2468" s="7" t="n"/>
      <c r="X2468" s="7" t="n"/>
      <c r="Y2468" s="7">
        <f>IF($E2468="","",AB2468*AE2468/100)</f>
        <v/>
      </c>
      <c r="Z2468" s="7">
        <f>IF($E2468="","",AB2468-Y2468)</f>
        <v/>
      </c>
      <c r="AA2468" s="7">
        <f>IF($E2468="","",Z2468-Q2468)</f>
        <v/>
      </c>
      <c r="AB2468" s="7" t="n"/>
      <c r="AE2468">
        <f>IF($E2468="","",IF($AQ2468=1,0,IF($AP2468=1,Settings!$C$6,Settings!$C$7))*100)</f>
        <v/>
      </c>
      <c r="AI2468" s="7" t="n"/>
      <c r="AL2468" s="11" t="n"/>
      <c r="AN2468">
        <f>IF($E2468="","",IF(COUNTIF($E$2:$E2468,$E2468)=1,1,0))</f>
        <v/>
      </c>
      <c r="AO2468">
        <f>IF($AN2468=1,SUMPRODUCT(--($AR$2:$AR$3001&lt;$AR2468))+1,"")</f>
        <v/>
      </c>
      <c r="AP2468">
        <f>IF($E2468="","",IF(OR($U2468=TRUE(),$U2468="TRUE"),1,0))</f>
        <v/>
      </c>
      <c r="AQ2468">
        <f>IF($E2468="","",IF($AD2468="Yes",1,0))</f>
        <v/>
      </c>
      <c r="AR2468">
        <f>IF($AN2468=1,IFERROR(VALUE(MID($E2468,2,20)),1000000000)+ROW()/100000,"")</f>
        <v/>
      </c>
    </row>
    <row r="2469">
      <c r="G2469" s="11" t="n"/>
      <c r="Q2469" s="7">
        <f>IF($E2469="","",P2469*AB2469/100)</f>
        <v/>
      </c>
      <c r="R2469" s="7" t="n"/>
      <c r="X2469" s="7" t="n"/>
      <c r="Y2469" s="7">
        <f>IF($E2469="","",AB2469*AE2469/100)</f>
        <v/>
      </c>
      <c r="Z2469" s="7">
        <f>IF($E2469="","",AB2469-Y2469)</f>
        <v/>
      </c>
      <c r="AA2469" s="7">
        <f>IF($E2469="","",Z2469-Q2469)</f>
        <v/>
      </c>
      <c r="AB2469" s="7" t="n"/>
      <c r="AE2469">
        <f>IF($E2469="","",IF($AQ2469=1,0,IF($AP2469=1,Settings!$C$6,Settings!$C$7))*100)</f>
        <v/>
      </c>
      <c r="AI2469" s="7" t="n"/>
      <c r="AL2469" s="11" t="n"/>
      <c r="AN2469">
        <f>IF($E2469="","",IF(COUNTIF($E$2:$E2469,$E2469)=1,1,0))</f>
        <v/>
      </c>
      <c r="AO2469">
        <f>IF($AN2469=1,SUMPRODUCT(--($AR$2:$AR$3001&lt;$AR2469))+1,"")</f>
        <v/>
      </c>
      <c r="AP2469">
        <f>IF($E2469="","",IF(OR($U2469=TRUE(),$U2469="TRUE"),1,0))</f>
        <v/>
      </c>
      <c r="AQ2469">
        <f>IF($E2469="","",IF($AD2469="Yes",1,0))</f>
        <v/>
      </c>
      <c r="AR2469">
        <f>IF($AN2469=1,IFERROR(VALUE(MID($E2469,2,20)),1000000000)+ROW()/100000,"")</f>
        <v/>
      </c>
    </row>
    <row r="2470">
      <c r="G2470" s="11" t="n"/>
      <c r="Q2470" s="7">
        <f>IF($E2470="","",P2470*AB2470/100)</f>
        <v/>
      </c>
      <c r="R2470" s="7" t="n"/>
      <c r="X2470" s="7" t="n"/>
      <c r="Y2470" s="7">
        <f>IF($E2470="","",AB2470*AE2470/100)</f>
        <v/>
      </c>
      <c r="Z2470" s="7">
        <f>IF($E2470="","",AB2470-Y2470)</f>
        <v/>
      </c>
      <c r="AA2470" s="7">
        <f>IF($E2470="","",Z2470-Q2470)</f>
        <v/>
      </c>
      <c r="AB2470" s="7" t="n"/>
      <c r="AE2470">
        <f>IF($E2470="","",IF($AQ2470=1,0,IF($AP2470=1,Settings!$C$6,Settings!$C$7))*100)</f>
        <v/>
      </c>
      <c r="AI2470" s="7" t="n"/>
      <c r="AL2470" s="11" t="n"/>
      <c r="AN2470">
        <f>IF($E2470="","",IF(COUNTIF($E$2:$E2470,$E2470)=1,1,0))</f>
        <v/>
      </c>
      <c r="AO2470">
        <f>IF($AN2470=1,SUMPRODUCT(--($AR$2:$AR$3001&lt;$AR2470))+1,"")</f>
        <v/>
      </c>
      <c r="AP2470">
        <f>IF($E2470="","",IF(OR($U2470=TRUE(),$U2470="TRUE"),1,0))</f>
        <v/>
      </c>
      <c r="AQ2470">
        <f>IF($E2470="","",IF($AD2470="Yes",1,0))</f>
        <v/>
      </c>
      <c r="AR2470">
        <f>IF($AN2470=1,IFERROR(VALUE(MID($E2470,2,20)),1000000000)+ROW()/100000,"")</f>
        <v/>
      </c>
    </row>
    <row r="2471">
      <c r="G2471" s="11" t="n"/>
      <c r="Q2471" s="7">
        <f>IF($E2471="","",P2471*AB2471/100)</f>
        <v/>
      </c>
      <c r="R2471" s="7" t="n"/>
      <c r="X2471" s="7" t="n"/>
      <c r="Y2471" s="7">
        <f>IF($E2471="","",AB2471*AE2471/100)</f>
        <v/>
      </c>
      <c r="Z2471" s="7">
        <f>IF($E2471="","",AB2471-Y2471)</f>
        <v/>
      </c>
      <c r="AA2471" s="7">
        <f>IF($E2471="","",Z2471-Q2471)</f>
        <v/>
      </c>
      <c r="AB2471" s="7" t="n"/>
      <c r="AE2471">
        <f>IF($E2471="","",IF($AQ2471=1,0,IF($AP2471=1,Settings!$C$6,Settings!$C$7))*100)</f>
        <v/>
      </c>
      <c r="AI2471" s="7" t="n"/>
      <c r="AL2471" s="11" t="n"/>
      <c r="AN2471">
        <f>IF($E2471="","",IF(COUNTIF($E$2:$E2471,$E2471)=1,1,0))</f>
        <v/>
      </c>
      <c r="AO2471">
        <f>IF($AN2471=1,SUMPRODUCT(--($AR$2:$AR$3001&lt;$AR2471))+1,"")</f>
        <v/>
      </c>
      <c r="AP2471">
        <f>IF($E2471="","",IF(OR($U2471=TRUE(),$U2471="TRUE"),1,0))</f>
        <v/>
      </c>
      <c r="AQ2471">
        <f>IF($E2471="","",IF($AD2471="Yes",1,0))</f>
        <v/>
      </c>
      <c r="AR2471">
        <f>IF($AN2471=1,IFERROR(VALUE(MID($E2471,2,20)),1000000000)+ROW()/100000,"")</f>
        <v/>
      </c>
    </row>
    <row r="2472">
      <c r="G2472" s="11" t="n"/>
      <c r="Q2472" s="7">
        <f>IF($E2472="","",P2472*AB2472/100)</f>
        <v/>
      </c>
      <c r="R2472" s="7" t="n"/>
      <c r="X2472" s="7" t="n"/>
      <c r="Y2472" s="7">
        <f>IF($E2472="","",AB2472*AE2472/100)</f>
        <v/>
      </c>
      <c r="Z2472" s="7">
        <f>IF($E2472="","",AB2472-Y2472)</f>
        <v/>
      </c>
      <c r="AA2472" s="7">
        <f>IF($E2472="","",Z2472-Q2472)</f>
        <v/>
      </c>
      <c r="AB2472" s="7" t="n"/>
      <c r="AE2472">
        <f>IF($E2472="","",IF($AQ2472=1,0,IF($AP2472=1,Settings!$C$6,Settings!$C$7))*100)</f>
        <v/>
      </c>
      <c r="AI2472" s="7" t="n"/>
      <c r="AL2472" s="11" t="n"/>
      <c r="AN2472">
        <f>IF($E2472="","",IF(COUNTIF($E$2:$E2472,$E2472)=1,1,0))</f>
        <v/>
      </c>
      <c r="AO2472">
        <f>IF($AN2472=1,SUMPRODUCT(--($AR$2:$AR$3001&lt;$AR2472))+1,"")</f>
        <v/>
      </c>
      <c r="AP2472">
        <f>IF($E2472="","",IF(OR($U2472=TRUE(),$U2472="TRUE"),1,0))</f>
        <v/>
      </c>
      <c r="AQ2472">
        <f>IF($E2472="","",IF($AD2472="Yes",1,0))</f>
        <v/>
      </c>
      <c r="AR2472">
        <f>IF($AN2472=1,IFERROR(VALUE(MID($E2472,2,20)),1000000000)+ROW()/100000,"")</f>
        <v/>
      </c>
    </row>
    <row r="2473">
      <c r="G2473" s="11" t="n"/>
      <c r="Q2473" s="7">
        <f>IF($E2473="","",P2473*AB2473/100)</f>
        <v/>
      </c>
      <c r="R2473" s="7" t="n"/>
      <c r="X2473" s="7" t="n"/>
      <c r="Y2473" s="7">
        <f>IF($E2473="","",AB2473*AE2473/100)</f>
        <v/>
      </c>
      <c r="Z2473" s="7">
        <f>IF($E2473="","",AB2473-Y2473)</f>
        <v/>
      </c>
      <c r="AA2473" s="7">
        <f>IF($E2473="","",Z2473-Q2473)</f>
        <v/>
      </c>
      <c r="AB2473" s="7" t="n"/>
      <c r="AE2473">
        <f>IF($E2473="","",IF($AQ2473=1,0,IF($AP2473=1,Settings!$C$6,Settings!$C$7))*100)</f>
        <v/>
      </c>
      <c r="AI2473" s="7" t="n"/>
      <c r="AL2473" s="11" t="n"/>
      <c r="AN2473">
        <f>IF($E2473="","",IF(COUNTIF($E$2:$E2473,$E2473)=1,1,0))</f>
        <v/>
      </c>
      <c r="AO2473">
        <f>IF($AN2473=1,SUMPRODUCT(--($AR$2:$AR$3001&lt;$AR2473))+1,"")</f>
        <v/>
      </c>
      <c r="AP2473">
        <f>IF($E2473="","",IF(OR($U2473=TRUE(),$U2473="TRUE"),1,0))</f>
        <v/>
      </c>
      <c r="AQ2473">
        <f>IF($E2473="","",IF($AD2473="Yes",1,0))</f>
        <v/>
      </c>
      <c r="AR2473">
        <f>IF($AN2473=1,IFERROR(VALUE(MID($E2473,2,20)),1000000000)+ROW()/100000,"")</f>
        <v/>
      </c>
    </row>
    <row r="2474">
      <c r="G2474" s="11" t="n"/>
      <c r="Q2474" s="7">
        <f>IF($E2474="","",P2474*AB2474/100)</f>
        <v/>
      </c>
      <c r="R2474" s="7" t="n"/>
      <c r="X2474" s="7" t="n"/>
      <c r="Y2474" s="7">
        <f>IF($E2474="","",AB2474*AE2474/100)</f>
        <v/>
      </c>
      <c r="Z2474" s="7">
        <f>IF($E2474="","",AB2474-Y2474)</f>
        <v/>
      </c>
      <c r="AA2474" s="7">
        <f>IF($E2474="","",Z2474-Q2474)</f>
        <v/>
      </c>
      <c r="AB2474" s="7" t="n"/>
      <c r="AE2474">
        <f>IF($E2474="","",IF($AQ2474=1,0,IF($AP2474=1,Settings!$C$6,Settings!$C$7))*100)</f>
        <v/>
      </c>
      <c r="AI2474" s="7" t="n"/>
      <c r="AL2474" s="11" t="n"/>
      <c r="AN2474">
        <f>IF($E2474="","",IF(COUNTIF($E$2:$E2474,$E2474)=1,1,0))</f>
        <v/>
      </c>
      <c r="AO2474">
        <f>IF($AN2474=1,SUMPRODUCT(--($AR$2:$AR$3001&lt;$AR2474))+1,"")</f>
        <v/>
      </c>
      <c r="AP2474">
        <f>IF($E2474="","",IF(OR($U2474=TRUE(),$U2474="TRUE"),1,0))</f>
        <v/>
      </c>
      <c r="AQ2474">
        <f>IF($E2474="","",IF($AD2474="Yes",1,0))</f>
        <v/>
      </c>
      <c r="AR2474">
        <f>IF($AN2474=1,IFERROR(VALUE(MID($E2474,2,20)),1000000000)+ROW()/100000,"")</f>
        <v/>
      </c>
    </row>
    <row r="2475">
      <c r="G2475" s="11" t="n"/>
      <c r="Q2475" s="7">
        <f>IF($E2475="","",P2475*AB2475/100)</f>
        <v/>
      </c>
      <c r="R2475" s="7" t="n"/>
      <c r="X2475" s="7" t="n"/>
      <c r="Y2475" s="7">
        <f>IF($E2475="","",AB2475*AE2475/100)</f>
        <v/>
      </c>
      <c r="Z2475" s="7">
        <f>IF($E2475="","",AB2475-Y2475)</f>
        <v/>
      </c>
      <c r="AA2475" s="7">
        <f>IF($E2475="","",Z2475-Q2475)</f>
        <v/>
      </c>
      <c r="AB2475" s="7" t="n"/>
      <c r="AE2475">
        <f>IF($E2475="","",IF($AQ2475=1,0,IF($AP2475=1,Settings!$C$6,Settings!$C$7))*100)</f>
        <v/>
      </c>
      <c r="AI2475" s="7" t="n"/>
      <c r="AL2475" s="11" t="n"/>
      <c r="AN2475">
        <f>IF($E2475="","",IF(COUNTIF($E$2:$E2475,$E2475)=1,1,0))</f>
        <v/>
      </c>
      <c r="AO2475">
        <f>IF($AN2475=1,SUMPRODUCT(--($AR$2:$AR$3001&lt;$AR2475))+1,"")</f>
        <v/>
      </c>
      <c r="AP2475">
        <f>IF($E2475="","",IF(OR($U2475=TRUE(),$U2475="TRUE"),1,0))</f>
        <v/>
      </c>
      <c r="AQ2475">
        <f>IF($E2475="","",IF($AD2475="Yes",1,0))</f>
        <v/>
      </c>
      <c r="AR2475">
        <f>IF($AN2475=1,IFERROR(VALUE(MID($E2475,2,20)),1000000000)+ROW()/100000,"")</f>
        <v/>
      </c>
    </row>
    <row r="2476">
      <c r="G2476" s="11" t="n"/>
      <c r="Q2476" s="7">
        <f>IF($E2476="","",P2476*AB2476/100)</f>
        <v/>
      </c>
      <c r="R2476" s="7" t="n"/>
      <c r="X2476" s="7" t="n"/>
      <c r="Y2476" s="7">
        <f>IF($E2476="","",AB2476*AE2476/100)</f>
        <v/>
      </c>
      <c r="Z2476" s="7">
        <f>IF($E2476="","",AB2476-Y2476)</f>
        <v/>
      </c>
      <c r="AA2476" s="7">
        <f>IF($E2476="","",Z2476-Q2476)</f>
        <v/>
      </c>
      <c r="AB2476" s="7" t="n"/>
      <c r="AE2476">
        <f>IF($E2476="","",IF($AQ2476=1,0,IF($AP2476=1,Settings!$C$6,Settings!$C$7))*100)</f>
        <v/>
      </c>
      <c r="AI2476" s="7" t="n"/>
      <c r="AL2476" s="11" t="n"/>
      <c r="AN2476">
        <f>IF($E2476="","",IF(COUNTIF($E$2:$E2476,$E2476)=1,1,0))</f>
        <v/>
      </c>
      <c r="AO2476">
        <f>IF($AN2476=1,SUMPRODUCT(--($AR$2:$AR$3001&lt;$AR2476))+1,"")</f>
        <v/>
      </c>
      <c r="AP2476">
        <f>IF($E2476="","",IF(OR($U2476=TRUE(),$U2476="TRUE"),1,0))</f>
        <v/>
      </c>
      <c r="AQ2476">
        <f>IF($E2476="","",IF($AD2476="Yes",1,0))</f>
        <v/>
      </c>
      <c r="AR2476">
        <f>IF($AN2476=1,IFERROR(VALUE(MID($E2476,2,20)),1000000000)+ROW()/100000,"")</f>
        <v/>
      </c>
    </row>
    <row r="2477">
      <c r="G2477" s="11" t="n"/>
      <c r="Q2477" s="7">
        <f>IF($E2477="","",P2477*AB2477/100)</f>
        <v/>
      </c>
      <c r="R2477" s="7" t="n"/>
      <c r="X2477" s="7" t="n"/>
      <c r="Y2477" s="7">
        <f>IF($E2477="","",AB2477*AE2477/100)</f>
        <v/>
      </c>
      <c r="Z2477" s="7">
        <f>IF($E2477="","",AB2477-Y2477)</f>
        <v/>
      </c>
      <c r="AA2477" s="7">
        <f>IF($E2477="","",Z2477-Q2477)</f>
        <v/>
      </c>
      <c r="AB2477" s="7" t="n"/>
      <c r="AE2477">
        <f>IF($E2477="","",IF($AQ2477=1,0,IF($AP2477=1,Settings!$C$6,Settings!$C$7))*100)</f>
        <v/>
      </c>
      <c r="AI2477" s="7" t="n"/>
      <c r="AL2477" s="11" t="n"/>
      <c r="AN2477">
        <f>IF($E2477="","",IF(COUNTIF($E$2:$E2477,$E2477)=1,1,0))</f>
        <v/>
      </c>
      <c r="AO2477">
        <f>IF($AN2477=1,SUMPRODUCT(--($AR$2:$AR$3001&lt;$AR2477))+1,"")</f>
        <v/>
      </c>
      <c r="AP2477">
        <f>IF($E2477="","",IF(OR($U2477=TRUE(),$U2477="TRUE"),1,0))</f>
        <v/>
      </c>
      <c r="AQ2477">
        <f>IF($E2477="","",IF($AD2477="Yes",1,0))</f>
        <v/>
      </c>
      <c r="AR2477">
        <f>IF($AN2477=1,IFERROR(VALUE(MID($E2477,2,20)),1000000000)+ROW()/100000,"")</f>
        <v/>
      </c>
    </row>
    <row r="2478">
      <c r="G2478" s="11" t="n"/>
      <c r="Q2478" s="7">
        <f>IF($E2478="","",P2478*AB2478/100)</f>
        <v/>
      </c>
      <c r="R2478" s="7" t="n"/>
      <c r="X2478" s="7" t="n"/>
      <c r="Y2478" s="7">
        <f>IF($E2478="","",AB2478*AE2478/100)</f>
        <v/>
      </c>
      <c r="Z2478" s="7">
        <f>IF($E2478="","",AB2478-Y2478)</f>
        <v/>
      </c>
      <c r="AA2478" s="7">
        <f>IF($E2478="","",Z2478-Q2478)</f>
        <v/>
      </c>
      <c r="AB2478" s="7" t="n"/>
      <c r="AE2478">
        <f>IF($E2478="","",IF($AQ2478=1,0,IF($AP2478=1,Settings!$C$6,Settings!$C$7))*100)</f>
        <v/>
      </c>
      <c r="AI2478" s="7" t="n"/>
      <c r="AL2478" s="11" t="n"/>
      <c r="AN2478">
        <f>IF($E2478="","",IF(COUNTIF($E$2:$E2478,$E2478)=1,1,0))</f>
        <v/>
      </c>
      <c r="AO2478">
        <f>IF($AN2478=1,SUMPRODUCT(--($AR$2:$AR$3001&lt;$AR2478))+1,"")</f>
        <v/>
      </c>
      <c r="AP2478">
        <f>IF($E2478="","",IF(OR($U2478=TRUE(),$U2478="TRUE"),1,0))</f>
        <v/>
      </c>
      <c r="AQ2478">
        <f>IF($E2478="","",IF($AD2478="Yes",1,0))</f>
        <v/>
      </c>
      <c r="AR2478">
        <f>IF($AN2478=1,IFERROR(VALUE(MID($E2478,2,20)),1000000000)+ROW()/100000,"")</f>
        <v/>
      </c>
    </row>
    <row r="2479">
      <c r="G2479" s="11" t="n"/>
      <c r="Q2479" s="7">
        <f>IF($E2479="","",P2479*AB2479/100)</f>
        <v/>
      </c>
      <c r="R2479" s="7" t="n"/>
      <c r="X2479" s="7" t="n"/>
      <c r="Y2479" s="7">
        <f>IF($E2479="","",AB2479*AE2479/100)</f>
        <v/>
      </c>
      <c r="Z2479" s="7">
        <f>IF($E2479="","",AB2479-Y2479)</f>
        <v/>
      </c>
      <c r="AA2479" s="7">
        <f>IF($E2479="","",Z2479-Q2479)</f>
        <v/>
      </c>
      <c r="AB2479" s="7" t="n"/>
      <c r="AE2479">
        <f>IF($E2479="","",IF($AQ2479=1,0,IF($AP2479=1,Settings!$C$6,Settings!$C$7))*100)</f>
        <v/>
      </c>
      <c r="AI2479" s="7" t="n"/>
      <c r="AL2479" s="11" t="n"/>
      <c r="AN2479">
        <f>IF($E2479="","",IF(COUNTIF($E$2:$E2479,$E2479)=1,1,0))</f>
        <v/>
      </c>
      <c r="AO2479">
        <f>IF($AN2479=1,SUMPRODUCT(--($AR$2:$AR$3001&lt;$AR2479))+1,"")</f>
        <v/>
      </c>
      <c r="AP2479">
        <f>IF($E2479="","",IF(OR($U2479=TRUE(),$U2479="TRUE"),1,0))</f>
        <v/>
      </c>
      <c r="AQ2479">
        <f>IF($E2479="","",IF($AD2479="Yes",1,0))</f>
        <v/>
      </c>
      <c r="AR2479">
        <f>IF($AN2479=1,IFERROR(VALUE(MID($E2479,2,20)),1000000000)+ROW()/100000,"")</f>
        <v/>
      </c>
    </row>
    <row r="2480">
      <c r="G2480" s="11" t="n"/>
      <c r="Q2480" s="7">
        <f>IF($E2480="","",P2480*AB2480/100)</f>
        <v/>
      </c>
      <c r="R2480" s="7" t="n"/>
      <c r="X2480" s="7" t="n"/>
      <c r="Y2480" s="7">
        <f>IF($E2480="","",AB2480*AE2480/100)</f>
        <v/>
      </c>
      <c r="Z2480" s="7">
        <f>IF($E2480="","",AB2480-Y2480)</f>
        <v/>
      </c>
      <c r="AA2480" s="7">
        <f>IF($E2480="","",Z2480-Q2480)</f>
        <v/>
      </c>
      <c r="AB2480" s="7" t="n"/>
      <c r="AE2480">
        <f>IF($E2480="","",IF($AQ2480=1,0,IF($AP2480=1,Settings!$C$6,Settings!$C$7))*100)</f>
        <v/>
      </c>
      <c r="AI2480" s="7" t="n"/>
      <c r="AL2480" s="11" t="n"/>
      <c r="AN2480">
        <f>IF($E2480="","",IF(COUNTIF($E$2:$E2480,$E2480)=1,1,0))</f>
        <v/>
      </c>
      <c r="AO2480">
        <f>IF($AN2480=1,SUMPRODUCT(--($AR$2:$AR$3001&lt;$AR2480))+1,"")</f>
        <v/>
      </c>
      <c r="AP2480">
        <f>IF($E2480="","",IF(OR($U2480=TRUE(),$U2480="TRUE"),1,0))</f>
        <v/>
      </c>
      <c r="AQ2480">
        <f>IF($E2480="","",IF($AD2480="Yes",1,0))</f>
        <v/>
      </c>
      <c r="AR2480">
        <f>IF($AN2480=1,IFERROR(VALUE(MID($E2480,2,20)),1000000000)+ROW()/100000,"")</f>
        <v/>
      </c>
    </row>
    <row r="2481">
      <c r="G2481" s="11" t="n"/>
      <c r="Q2481" s="7">
        <f>IF($E2481="","",P2481*AB2481/100)</f>
        <v/>
      </c>
      <c r="R2481" s="7" t="n"/>
      <c r="X2481" s="7" t="n"/>
      <c r="Y2481" s="7">
        <f>IF($E2481="","",AB2481*AE2481/100)</f>
        <v/>
      </c>
      <c r="Z2481" s="7">
        <f>IF($E2481="","",AB2481-Y2481)</f>
        <v/>
      </c>
      <c r="AA2481" s="7">
        <f>IF($E2481="","",Z2481-Q2481)</f>
        <v/>
      </c>
      <c r="AB2481" s="7" t="n"/>
      <c r="AE2481">
        <f>IF($E2481="","",IF($AQ2481=1,0,IF($AP2481=1,Settings!$C$6,Settings!$C$7))*100)</f>
        <v/>
      </c>
      <c r="AI2481" s="7" t="n"/>
      <c r="AL2481" s="11" t="n"/>
      <c r="AN2481">
        <f>IF($E2481="","",IF(COUNTIF($E$2:$E2481,$E2481)=1,1,0))</f>
        <v/>
      </c>
      <c r="AO2481">
        <f>IF($AN2481=1,SUMPRODUCT(--($AR$2:$AR$3001&lt;$AR2481))+1,"")</f>
        <v/>
      </c>
      <c r="AP2481">
        <f>IF($E2481="","",IF(OR($U2481=TRUE(),$U2481="TRUE"),1,0))</f>
        <v/>
      </c>
      <c r="AQ2481">
        <f>IF($E2481="","",IF($AD2481="Yes",1,0))</f>
        <v/>
      </c>
      <c r="AR2481">
        <f>IF($AN2481=1,IFERROR(VALUE(MID($E2481,2,20)),1000000000)+ROW()/100000,"")</f>
        <v/>
      </c>
    </row>
    <row r="2482">
      <c r="G2482" s="11" t="n"/>
      <c r="Q2482" s="7">
        <f>IF($E2482="","",P2482*AB2482/100)</f>
        <v/>
      </c>
      <c r="R2482" s="7" t="n"/>
      <c r="X2482" s="7" t="n"/>
      <c r="Y2482" s="7">
        <f>IF($E2482="","",AB2482*AE2482/100)</f>
        <v/>
      </c>
      <c r="Z2482" s="7">
        <f>IF($E2482="","",AB2482-Y2482)</f>
        <v/>
      </c>
      <c r="AA2482" s="7">
        <f>IF($E2482="","",Z2482-Q2482)</f>
        <v/>
      </c>
      <c r="AB2482" s="7" t="n"/>
      <c r="AE2482">
        <f>IF($E2482="","",IF($AQ2482=1,0,IF($AP2482=1,Settings!$C$6,Settings!$C$7))*100)</f>
        <v/>
      </c>
      <c r="AI2482" s="7" t="n"/>
      <c r="AL2482" s="11" t="n"/>
      <c r="AN2482">
        <f>IF($E2482="","",IF(COUNTIF($E$2:$E2482,$E2482)=1,1,0))</f>
        <v/>
      </c>
      <c r="AO2482">
        <f>IF($AN2482=1,SUMPRODUCT(--($AR$2:$AR$3001&lt;$AR2482))+1,"")</f>
        <v/>
      </c>
      <c r="AP2482">
        <f>IF($E2482="","",IF(OR($U2482=TRUE(),$U2482="TRUE"),1,0))</f>
        <v/>
      </c>
      <c r="AQ2482">
        <f>IF($E2482="","",IF($AD2482="Yes",1,0))</f>
        <v/>
      </c>
      <c r="AR2482">
        <f>IF($AN2482=1,IFERROR(VALUE(MID($E2482,2,20)),1000000000)+ROW()/100000,"")</f>
        <v/>
      </c>
    </row>
    <row r="2483">
      <c r="G2483" s="11" t="n"/>
      <c r="Q2483" s="7">
        <f>IF($E2483="","",P2483*AB2483/100)</f>
        <v/>
      </c>
      <c r="R2483" s="7" t="n"/>
      <c r="X2483" s="7" t="n"/>
      <c r="Y2483" s="7">
        <f>IF($E2483="","",AB2483*AE2483/100)</f>
        <v/>
      </c>
      <c r="Z2483" s="7">
        <f>IF($E2483="","",AB2483-Y2483)</f>
        <v/>
      </c>
      <c r="AA2483" s="7">
        <f>IF($E2483="","",Z2483-Q2483)</f>
        <v/>
      </c>
      <c r="AB2483" s="7" t="n"/>
      <c r="AE2483">
        <f>IF($E2483="","",IF($AQ2483=1,0,IF($AP2483=1,Settings!$C$6,Settings!$C$7))*100)</f>
        <v/>
      </c>
      <c r="AI2483" s="7" t="n"/>
      <c r="AL2483" s="11" t="n"/>
      <c r="AN2483">
        <f>IF($E2483="","",IF(COUNTIF($E$2:$E2483,$E2483)=1,1,0))</f>
        <v/>
      </c>
      <c r="AO2483">
        <f>IF($AN2483=1,SUMPRODUCT(--($AR$2:$AR$3001&lt;$AR2483))+1,"")</f>
        <v/>
      </c>
      <c r="AP2483">
        <f>IF($E2483="","",IF(OR($U2483=TRUE(),$U2483="TRUE"),1,0))</f>
        <v/>
      </c>
      <c r="AQ2483">
        <f>IF($E2483="","",IF($AD2483="Yes",1,0))</f>
        <v/>
      </c>
      <c r="AR2483">
        <f>IF($AN2483=1,IFERROR(VALUE(MID($E2483,2,20)),1000000000)+ROW()/100000,"")</f>
        <v/>
      </c>
    </row>
    <row r="2484">
      <c r="G2484" s="11" t="n"/>
      <c r="Q2484" s="7">
        <f>IF($E2484="","",P2484*AB2484/100)</f>
        <v/>
      </c>
      <c r="R2484" s="7" t="n"/>
      <c r="X2484" s="7" t="n"/>
      <c r="Y2484" s="7">
        <f>IF($E2484="","",AB2484*AE2484/100)</f>
        <v/>
      </c>
      <c r="Z2484" s="7">
        <f>IF($E2484="","",AB2484-Y2484)</f>
        <v/>
      </c>
      <c r="AA2484" s="7">
        <f>IF($E2484="","",Z2484-Q2484)</f>
        <v/>
      </c>
      <c r="AB2484" s="7" t="n"/>
      <c r="AE2484">
        <f>IF($E2484="","",IF($AQ2484=1,0,IF($AP2484=1,Settings!$C$6,Settings!$C$7))*100)</f>
        <v/>
      </c>
      <c r="AI2484" s="7" t="n"/>
      <c r="AL2484" s="11" t="n"/>
      <c r="AN2484">
        <f>IF($E2484="","",IF(COUNTIF($E$2:$E2484,$E2484)=1,1,0))</f>
        <v/>
      </c>
      <c r="AO2484">
        <f>IF($AN2484=1,SUMPRODUCT(--($AR$2:$AR$3001&lt;$AR2484))+1,"")</f>
        <v/>
      </c>
      <c r="AP2484">
        <f>IF($E2484="","",IF(OR($U2484=TRUE(),$U2484="TRUE"),1,0))</f>
        <v/>
      </c>
      <c r="AQ2484">
        <f>IF($E2484="","",IF($AD2484="Yes",1,0))</f>
        <v/>
      </c>
      <c r="AR2484">
        <f>IF($AN2484=1,IFERROR(VALUE(MID($E2484,2,20)),1000000000)+ROW()/100000,"")</f>
        <v/>
      </c>
    </row>
    <row r="2485">
      <c r="G2485" s="11" t="n"/>
      <c r="Q2485" s="7">
        <f>IF($E2485="","",P2485*AB2485/100)</f>
        <v/>
      </c>
      <c r="R2485" s="7" t="n"/>
      <c r="X2485" s="7" t="n"/>
      <c r="Y2485" s="7">
        <f>IF($E2485="","",AB2485*AE2485/100)</f>
        <v/>
      </c>
      <c r="Z2485" s="7">
        <f>IF($E2485="","",AB2485-Y2485)</f>
        <v/>
      </c>
      <c r="AA2485" s="7">
        <f>IF($E2485="","",Z2485-Q2485)</f>
        <v/>
      </c>
      <c r="AB2485" s="7" t="n"/>
      <c r="AE2485">
        <f>IF($E2485="","",IF($AQ2485=1,0,IF($AP2485=1,Settings!$C$6,Settings!$C$7))*100)</f>
        <v/>
      </c>
      <c r="AI2485" s="7" t="n"/>
      <c r="AL2485" s="11" t="n"/>
      <c r="AN2485">
        <f>IF($E2485="","",IF(COUNTIF($E$2:$E2485,$E2485)=1,1,0))</f>
        <v/>
      </c>
      <c r="AO2485">
        <f>IF($AN2485=1,SUMPRODUCT(--($AR$2:$AR$3001&lt;$AR2485))+1,"")</f>
        <v/>
      </c>
      <c r="AP2485">
        <f>IF($E2485="","",IF(OR($U2485=TRUE(),$U2485="TRUE"),1,0))</f>
        <v/>
      </c>
      <c r="AQ2485">
        <f>IF($E2485="","",IF($AD2485="Yes",1,0))</f>
        <v/>
      </c>
      <c r="AR2485">
        <f>IF($AN2485=1,IFERROR(VALUE(MID($E2485,2,20)),1000000000)+ROW()/100000,"")</f>
        <v/>
      </c>
    </row>
    <row r="2486">
      <c r="G2486" s="11" t="n"/>
      <c r="Q2486" s="7">
        <f>IF($E2486="","",P2486*AB2486/100)</f>
        <v/>
      </c>
      <c r="R2486" s="7" t="n"/>
      <c r="X2486" s="7" t="n"/>
      <c r="Y2486" s="7">
        <f>IF($E2486="","",AB2486*AE2486/100)</f>
        <v/>
      </c>
      <c r="Z2486" s="7">
        <f>IF($E2486="","",AB2486-Y2486)</f>
        <v/>
      </c>
      <c r="AA2486" s="7">
        <f>IF($E2486="","",Z2486-Q2486)</f>
        <v/>
      </c>
      <c r="AB2486" s="7" t="n"/>
      <c r="AE2486">
        <f>IF($E2486="","",IF($AQ2486=1,0,IF($AP2486=1,Settings!$C$6,Settings!$C$7))*100)</f>
        <v/>
      </c>
      <c r="AI2486" s="7" t="n"/>
      <c r="AL2486" s="11" t="n"/>
      <c r="AN2486">
        <f>IF($E2486="","",IF(COUNTIF($E$2:$E2486,$E2486)=1,1,0))</f>
        <v/>
      </c>
      <c r="AO2486">
        <f>IF($AN2486=1,SUMPRODUCT(--($AR$2:$AR$3001&lt;$AR2486))+1,"")</f>
        <v/>
      </c>
      <c r="AP2486">
        <f>IF($E2486="","",IF(OR($U2486=TRUE(),$U2486="TRUE"),1,0))</f>
        <v/>
      </c>
      <c r="AQ2486">
        <f>IF($E2486="","",IF($AD2486="Yes",1,0))</f>
        <v/>
      </c>
      <c r="AR2486">
        <f>IF($AN2486=1,IFERROR(VALUE(MID($E2486,2,20)),1000000000)+ROW()/100000,"")</f>
        <v/>
      </c>
    </row>
    <row r="2487">
      <c r="G2487" s="11" t="n"/>
      <c r="Q2487" s="7">
        <f>IF($E2487="","",P2487*AB2487/100)</f>
        <v/>
      </c>
      <c r="R2487" s="7" t="n"/>
      <c r="X2487" s="7" t="n"/>
      <c r="Y2487" s="7">
        <f>IF($E2487="","",AB2487*AE2487/100)</f>
        <v/>
      </c>
      <c r="Z2487" s="7">
        <f>IF($E2487="","",AB2487-Y2487)</f>
        <v/>
      </c>
      <c r="AA2487" s="7">
        <f>IF($E2487="","",Z2487-Q2487)</f>
        <v/>
      </c>
      <c r="AB2487" s="7" t="n"/>
      <c r="AE2487">
        <f>IF($E2487="","",IF($AQ2487=1,0,IF($AP2487=1,Settings!$C$6,Settings!$C$7))*100)</f>
        <v/>
      </c>
      <c r="AI2487" s="7" t="n"/>
      <c r="AL2487" s="11" t="n"/>
      <c r="AN2487">
        <f>IF($E2487="","",IF(COUNTIF($E$2:$E2487,$E2487)=1,1,0))</f>
        <v/>
      </c>
      <c r="AO2487">
        <f>IF($AN2487=1,SUMPRODUCT(--($AR$2:$AR$3001&lt;$AR2487))+1,"")</f>
        <v/>
      </c>
      <c r="AP2487">
        <f>IF($E2487="","",IF(OR($U2487=TRUE(),$U2487="TRUE"),1,0))</f>
        <v/>
      </c>
      <c r="AQ2487">
        <f>IF($E2487="","",IF($AD2487="Yes",1,0))</f>
        <v/>
      </c>
      <c r="AR2487">
        <f>IF($AN2487=1,IFERROR(VALUE(MID($E2487,2,20)),1000000000)+ROW()/100000,"")</f>
        <v/>
      </c>
    </row>
    <row r="2488">
      <c r="G2488" s="11" t="n"/>
      <c r="Q2488" s="7">
        <f>IF($E2488="","",P2488*AB2488/100)</f>
        <v/>
      </c>
      <c r="R2488" s="7" t="n"/>
      <c r="X2488" s="7" t="n"/>
      <c r="Y2488" s="7">
        <f>IF($E2488="","",AB2488*AE2488/100)</f>
        <v/>
      </c>
      <c r="Z2488" s="7">
        <f>IF($E2488="","",AB2488-Y2488)</f>
        <v/>
      </c>
      <c r="AA2488" s="7">
        <f>IF($E2488="","",Z2488-Q2488)</f>
        <v/>
      </c>
      <c r="AB2488" s="7" t="n"/>
      <c r="AE2488">
        <f>IF($E2488="","",IF($AQ2488=1,0,IF($AP2488=1,Settings!$C$6,Settings!$C$7))*100)</f>
        <v/>
      </c>
      <c r="AI2488" s="7" t="n"/>
      <c r="AL2488" s="11" t="n"/>
      <c r="AN2488">
        <f>IF($E2488="","",IF(COUNTIF($E$2:$E2488,$E2488)=1,1,0))</f>
        <v/>
      </c>
      <c r="AO2488">
        <f>IF($AN2488=1,SUMPRODUCT(--($AR$2:$AR$3001&lt;$AR2488))+1,"")</f>
        <v/>
      </c>
      <c r="AP2488">
        <f>IF($E2488="","",IF(OR($U2488=TRUE(),$U2488="TRUE"),1,0))</f>
        <v/>
      </c>
      <c r="AQ2488">
        <f>IF($E2488="","",IF($AD2488="Yes",1,0))</f>
        <v/>
      </c>
      <c r="AR2488">
        <f>IF($AN2488=1,IFERROR(VALUE(MID($E2488,2,20)),1000000000)+ROW()/100000,"")</f>
        <v/>
      </c>
    </row>
    <row r="2489">
      <c r="G2489" s="11" t="n"/>
      <c r="Q2489" s="7">
        <f>IF($E2489="","",P2489*AB2489/100)</f>
        <v/>
      </c>
      <c r="R2489" s="7" t="n"/>
      <c r="X2489" s="7" t="n"/>
      <c r="Y2489" s="7">
        <f>IF($E2489="","",AB2489*AE2489/100)</f>
        <v/>
      </c>
      <c r="Z2489" s="7">
        <f>IF($E2489="","",AB2489-Y2489)</f>
        <v/>
      </c>
      <c r="AA2489" s="7">
        <f>IF($E2489="","",Z2489-Q2489)</f>
        <v/>
      </c>
      <c r="AB2489" s="7" t="n"/>
      <c r="AE2489">
        <f>IF($E2489="","",IF($AQ2489=1,0,IF($AP2489=1,Settings!$C$6,Settings!$C$7))*100)</f>
        <v/>
      </c>
      <c r="AI2489" s="7" t="n"/>
      <c r="AL2489" s="11" t="n"/>
      <c r="AN2489">
        <f>IF($E2489="","",IF(COUNTIF($E$2:$E2489,$E2489)=1,1,0))</f>
        <v/>
      </c>
      <c r="AO2489">
        <f>IF($AN2489=1,SUMPRODUCT(--($AR$2:$AR$3001&lt;$AR2489))+1,"")</f>
        <v/>
      </c>
      <c r="AP2489">
        <f>IF($E2489="","",IF(OR($U2489=TRUE(),$U2489="TRUE"),1,0))</f>
        <v/>
      </c>
      <c r="AQ2489">
        <f>IF($E2489="","",IF($AD2489="Yes",1,0))</f>
        <v/>
      </c>
      <c r="AR2489">
        <f>IF($AN2489=1,IFERROR(VALUE(MID($E2489,2,20)),1000000000)+ROW()/100000,"")</f>
        <v/>
      </c>
    </row>
    <row r="2490">
      <c r="G2490" s="11" t="n"/>
      <c r="Q2490" s="7">
        <f>IF($E2490="","",P2490*AB2490/100)</f>
        <v/>
      </c>
      <c r="R2490" s="7" t="n"/>
      <c r="X2490" s="7" t="n"/>
      <c r="Y2490" s="7">
        <f>IF($E2490="","",AB2490*AE2490/100)</f>
        <v/>
      </c>
      <c r="Z2490" s="7">
        <f>IF($E2490="","",AB2490-Y2490)</f>
        <v/>
      </c>
      <c r="AA2490" s="7">
        <f>IF($E2490="","",Z2490-Q2490)</f>
        <v/>
      </c>
      <c r="AB2490" s="7" t="n"/>
      <c r="AE2490">
        <f>IF($E2490="","",IF($AQ2490=1,0,IF($AP2490=1,Settings!$C$6,Settings!$C$7))*100)</f>
        <v/>
      </c>
      <c r="AI2490" s="7" t="n"/>
      <c r="AL2490" s="11" t="n"/>
      <c r="AN2490">
        <f>IF($E2490="","",IF(COUNTIF($E$2:$E2490,$E2490)=1,1,0))</f>
        <v/>
      </c>
      <c r="AO2490">
        <f>IF($AN2490=1,SUMPRODUCT(--($AR$2:$AR$3001&lt;$AR2490))+1,"")</f>
        <v/>
      </c>
      <c r="AP2490">
        <f>IF($E2490="","",IF(OR($U2490=TRUE(),$U2490="TRUE"),1,0))</f>
        <v/>
      </c>
      <c r="AQ2490">
        <f>IF($E2490="","",IF($AD2490="Yes",1,0))</f>
        <v/>
      </c>
      <c r="AR2490">
        <f>IF($AN2490=1,IFERROR(VALUE(MID($E2490,2,20)),1000000000)+ROW()/100000,"")</f>
        <v/>
      </c>
    </row>
    <row r="2491">
      <c r="G2491" s="11" t="n"/>
      <c r="Q2491" s="7">
        <f>IF($E2491="","",P2491*AB2491/100)</f>
        <v/>
      </c>
      <c r="R2491" s="7" t="n"/>
      <c r="X2491" s="7" t="n"/>
      <c r="Y2491" s="7">
        <f>IF($E2491="","",AB2491*AE2491/100)</f>
        <v/>
      </c>
      <c r="Z2491" s="7">
        <f>IF($E2491="","",AB2491-Y2491)</f>
        <v/>
      </c>
      <c r="AA2491" s="7">
        <f>IF($E2491="","",Z2491-Q2491)</f>
        <v/>
      </c>
      <c r="AB2491" s="7" t="n"/>
      <c r="AE2491">
        <f>IF($E2491="","",IF($AQ2491=1,0,IF($AP2491=1,Settings!$C$6,Settings!$C$7))*100)</f>
        <v/>
      </c>
      <c r="AI2491" s="7" t="n"/>
      <c r="AL2491" s="11" t="n"/>
      <c r="AN2491">
        <f>IF($E2491="","",IF(COUNTIF($E$2:$E2491,$E2491)=1,1,0))</f>
        <v/>
      </c>
      <c r="AO2491">
        <f>IF($AN2491=1,SUMPRODUCT(--($AR$2:$AR$3001&lt;$AR2491))+1,"")</f>
        <v/>
      </c>
      <c r="AP2491">
        <f>IF($E2491="","",IF(OR($U2491=TRUE(),$U2491="TRUE"),1,0))</f>
        <v/>
      </c>
      <c r="AQ2491">
        <f>IF($E2491="","",IF($AD2491="Yes",1,0))</f>
        <v/>
      </c>
      <c r="AR2491">
        <f>IF($AN2491=1,IFERROR(VALUE(MID($E2491,2,20)),1000000000)+ROW()/100000,"")</f>
        <v/>
      </c>
    </row>
    <row r="2492">
      <c r="G2492" s="11" t="n"/>
      <c r="Q2492" s="7">
        <f>IF($E2492="","",P2492*AB2492/100)</f>
        <v/>
      </c>
      <c r="R2492" s="7" t="n"/>
      <c r="X2492" s="7" t="n"/>
      <c r="Y2492" s="7">
        <f>IF($E2492="","",AB2492*AE2492/100)</f>
        <v/>
      </c>
      <c r="Z2492" s="7">
        <f>IF($E2492="","",AB2492-Y2492)</f>
        <v/>
      </c>
      <c r="AA2492" s="7">
        <f>IF($E2492="","",Z2492-Q2492)</f>
        <v/>
      </c>
      <c r="AB2492" s="7" t="n"/>
      <c r="AE2492">
        <f>IF($E2492="","",IF($AQ2492=1,0,IF($AP2492=1,Settings!$C$6,Settings!$C$7))*100)</f>
        <v/>
      </c>
      <c r="AI2492" s="7" t="n"/>
      <c r="AL2492" s="11" t="n"/>
      <c r="AN2492">
        <f>IF($E2492="","",IF(COUNTIF($E$2:$E2492,$E2492)=1,1,0))</f>
        <v/>
      </c>
      <c r="AO2492">
        <f>IF($AN2492=1,SUMPRODUCT(--($AR$2:$AR$3001&lt;$AR2492))+1,"")</f>
        <v/>
      </c>
      <c r="AP2492">
        <f>IF($E2492="","",IF(OR($U2492=TRUE(),$U2492="TRUE"),1,0))</f>
        <v/>
      </c>
      <c r="AQ2492">
        <f>IF($E2492="","",IF($AD2492="Yes",1,0))</f>
        <v/>
      </c>
      <c r="AR2492">
        <f>IF($AN2492=1,IFERROR(VALUE(MID($E2492,2,20)),1000000000)+ROW()/100000,"")</f>
        <v/>
      </c>
    </row>
    <row r="2493">
      <c r="G2493" s="11" t="n"/>
      <c r="Q2493" s="7">
        <f>IF($E2493="","",P2493*AB2493/100)</f>
        <v/>
      </c>
      <c r="R2493" s="7" t="n"/>
      <c r="X2493" s="7" t="n"/>
      <c r="Y2493" s="7">
        <f>IF($E2493="","",AB2493*AE2493/100)</f>
        <v/>
      </c>
      <c r="Z2493" s="7">
        <f>IF($E2493="","",AB2493-Y2493)</f>
        <v/>
      </c>
      <c r="AA2493" s="7">
        <f>IF($E2493="","",Z2493-Q2493)</f>
        <v/>
      </c>
      <c r="AB2493" s="7" t="n"/>
      <c r="AE2493">
        <f>IF($E2493="","",IF($AQ2493=1,0,IF($AP2493=1,Settings!$C$6,Settings!$C$7))*100)</f>
        <v/>
      </c>
      <c r="AI2493" s="7" t="n"/>
      <c r="AL2493" s="11" t="n"/>
      <c r="AN2493">
        <f>IF($E2493="","",IF(COUNTIF($E$2:$E2493,$E2493)=1,1,0))</f>
        <v/>
      </c>
      <c r="AO2493">
        <f>IF($AN2493=1,SUMPRODUCT(--($AR$2:$AR$3001&lt;$AR2493))+1,"")</f>
        <v/>
      </c>
      <c r="AP2493">
        <f>IF($E2493="","",IF(OR($U2493=TRUE(),$U2493="TRUE"),1,0))</f>
        <v/>
      </c>
      <c r="AQ2493">
        <f>IF($E2493="","",IF($AD2493="Yes",1,0))</f>
        <v/>
      </c>
      <c r="AR2493">
        <f>IF($AN2493=1,IFERROR(VALUE(MID($E2493,2,20)),1000000000)+ROW()/100000,"")</f>
        <v/>
      </c>
    </row>
    <row r="2494">
      <c r="G2494" s="11" t="n"/>
      <c r="Q2494" s="7">
        <f>IF($E2494="","",P2494*AB2494/100)</f>
        <v/>
      </c>
      <c r="R2494" s="7" t="n"/>
      <c r="X2494" s="7" t="n"/>
      <c r="Y2494" s="7">
        <f>IF($E2494="","",AB2494*AE2494/100)</f>
        <v/>
      </c>
      <c r="Z2494" s="7">
        <f>IF($E2494="","",AB2494-Y2494)</f>
        <v/>
      </c>
      <c r="AA2494" s="7">
        <f>IF($E2494="","",Z2494-Q2494)</f>
        <v/>
      </c>
      <c r="AB2494" s="7" t="n"/>
      <c r="AE2494">
        <f>IF($E2494="","",IF($AQ2494=1,0,IF($AP2494=1,Settings!$C$6,Settings!$C$7))*100)</f>
        <v/>
      </c>
      <c r="AI2494" s="7" t="n"/>
      <c r="AL2494" s="11" t="n"/>
      <c r="AN2494">
        <f>IF($E2494="","",IF(COUNTIF($E$2:$E2494,$E2494)=1,1,0))</f>
        <v/>
      </c>
      <c r="AO2494">
        <f>IF($AN2494=1,SUMPRODUCT(--($AR$2:$AR$3001&lt;$AR2494))+1,"")</f>
        <v/>
      </c>
      <c r="AP2494">
        <f>IF($E2494="","",IF(OR($U2494=TRUE(),$U2494="TRUE"),1,0))</f>
        <v/>
      </c>
      <c r="AQ2494">
        <f>IF($E2494="","",IF($AD2494="Yes",1,0))</f>
        <v/>
      </c>
      <c r="AR2494">
        <f>IF($AN2494=1,IFERROR(VALUE(MID($E2494,2,20)),1000000000)+ROW()/100000,"")</f>
        <v/>
      </c>
    </row>
    <row r="2495">
      <c r="G2495" s="11" t="n"/>
      <c r="Q2495" s="7">
        <f>IF($E2495="","",P2495*AB2495/100)</f>
        <v/>
      </c>
      <c r="R2495" s="7" t="n"/>
      <c r="X2495" s="7" t="n"/>
      <c r="Y2495" s="7">
        <f>IF($E2495="","",AB2495*AE2495/100)</f>
        <v/>
      </c>
      <c r="Z2495" s="7">
        <f>IF($E2495="","",AB2495-Y2495)</f>
        <v/>
      </c>
      <c r="AA2495" s="7">
        <f>IF($E2495="","",Z2495-Q2495)</f>
        <v/>
      </c>
      <c r="AB2495" s="7" t="n"/>
      <c r="AE2495">
        <f>IF($E2495="","",IF($AQ2495=1,0,IF($AP2495=1,Settings!$C$6,Settings!$C$7))*100)</f>
        <v/>
      </c>
      <c r="AI2495" s="7" t="n"/>
      <c r="AL2495" s="11" t="n"/>
      <c r="AN2495">
        <f>IF($E2495="","",IF(COUNTIF($E$2:$E2495,$E2495)=1,1,0))</f>
        <v/>
      </c>
      <c r="AO2495">
        <f>IF($AN2495=1,SUMPRODUCT(--($AR$2:$AR$3001&lt;$AR2495))+1,"")</f>
        <v/>
      </c>
      <c r="AP2495">
        <f>IF($E2495="","",IF(OR($U2495=TRUE(),$U2495="TRUE"),1,0))</f>
        <v/>
      </c>
      <c r="AQ2495">
        <f>IF($E2495="","",IF($AD2495="Yes",1,0))</f>
        <v/>
      </c>
      <c r="AR2495">
        <f>IF($AN2495=1,IFERROR(VALUE(MID($E2495,2,20)),1000000000)+ROW()/100000,"")</f>
        <v/>
      </c>
    </row>
    <row r="2496">
      <c r="G2496" s="11" t="n"/>
      <c r="Q2496" s="7">
        <f>IF($E2496="","",P2496*AB2496/100)</f>
        <v/>
      </c>
      <c r="R2496" s="7" t="n"/>
      <c r="X2496" s="7" t="n"/>
      <c r="Y2496" s="7">
        <f>IF($E2496="","",AB2496*AE2496/100)</f>
        <v/>
      </c>
      <c r="Z2496" s="7">
        <f>IF($E2496="","",AB2496-Y2496)</f>
        <v/>
      </c>
      <c r="AA2496" s="7">
        <f>IF($E2496="","",Z2496-Q2496)</f>
        <v/>
      </c>
      <c r="AB2496" s="7" t="n"/>
      <c r="AE2496">
        <f>IF($E2496="","",IF($AQ2496=1,0,IF($AP2496=1,Settings!$C$6,Settings!$C$7))*100)</f>
        <v/>
      </c>
      <c r="AI2496" s="7" t="n"/>
      <c r="AL2496" s="11" t="n"/>
      <c r="AN2496">
        <f>IF($E2496="","",IF(COUNTIF($E$2:$E2496,$E2496)=1,1,0))</f>
        <v/>
      </c>
      <c r="AO2496">
        <f>IF($AN2496=1,SUMPRODUCT(--($AR$2:$AR$3001&lt;$AR2496))+1,"")</f>
        <v/>
      </c>
      <c r="AP2496">
        <f>IF($E2496="","",IF(OR($U2496=TRUE(),$U2496="TRUE"),1,0))</f>
        <v/>
      </c>
      <c r="AQ2496">
        <f>IF($E2496="","",IF($AD2496="Yes",1,0))</f>
        <v/>
      </c>
      <c r="AR2496">
        <f>IF($AN2496=1,IFERROR(VALUE(MID($E2496,2,20)),1000000000)+ROW()/100000,"")</f>
        <v/>
      </c>
    </row>
    <row r="2497">
      <c r="G2497" s="11" t="n"/>
      <c r="Q2497" s="7">
        <f>IF($E2497="","",P2497*AB2497/100)</f>
        <v/>
      </c>
      <c r="R2497" s="7" t="n"/>
      <c r="X2497" s="7" t="n"/>
      <c r="Y2497" s="7">
        <f>IF($E2497="","",AB2497*AE2497/100)</f>
        <v/>
      </c>
      <c r="Z2497" s="7">
        <f>IF($E2497="","",AB2497-Y2497)</f>
        <v/>
      </c>
      <c r="AA2497" s="7">
        <f>IF($E2497="","",Z2497-Q2497)</f>
        <v/>
      </c>
      <c r="AB2497" s="7" t="n"/>
      <c r="AE2497">
        <f>IF($E2497="","",IF($AQ2497=1,0,IF($AP2497=1,Settings!$C$6,Settings!$C$7))*100)</f>
        <v/>
      </c>
      <c r="AI2497" s="7" t="n"/>
      <c r="AL2497" s="11" t="n"/>
      <c r="AN2497">
        <f>IF($E2497="","",IF(COUNTIF($E$2:$E2497,$E2497)=1,1,0))</f>
        <v/>
      </c>
      <c r="AO2497">
        <f>IF($AN2497=1,SUMPRODUCT(--($AR$2:$AR$3001&lt;$AR2497))+1,"")</f>
        <v/>
      </c>
      <c r="AP2497">
        <f>IF($E2497="","",IF(OR($U2497=TRUE(),$U2497="TRUE"),1,0))</f>
        <v/>
      </c>
      <c r="AQ2497">
        <f>IF($E2497="","",IF($AD2497="Yes",1,0))</f>
        <v/>
      </c>
      <c r="AR2497">
        <f>IF($AN2497=1,IFERROR(VALUE(MID($E2497,2,20)),1000000000)+ROW()/100000,"")</f>
        <v/>
      </c>
    </row>
    <row r="2498">
      <c r="G2498" s="11" t="n"/>
      <c r="Q2498" s="7">
        <f>IF($E2498="","",P2498*AB2498/100)</f>
        <v/>
      </c>
      <c r="R2498" s="7" t="n"/>
      <c r="X2498" s="7" t="n"/>
      <c r="Y2498" s="7">
        <f>IF($E2498="","",AB2498*AE2498/100)</f>
        <v/>
      </c>
      <c r="Z2498" s="7">
        <f>IF($E2498="","",AB2498-Y2498)</f>
        <v/>
      </c>
      <c r="AA2498" s="7">
        <f>IF($E2498="","",Z2498-Q2498)</f>
        <v/>
      </c>
      <c r="AB2498" s="7" t="n"/>
      <c r="AE2498">
        <f>IF($E2498="","",IF($AQ2498=1,0,IF($AP2498=1,Settings!$C$6,Settings!$C$7))*100)</f>
        <v/>
      </c>
      <c r="AI2498" s="7" t="n"/>
      <c r="AL2498" s="11" t="n"/>
      <c r="AN2498">
        <f>IF($E2498="","",IF(COUNTIF($E$2:$E2498,$E2498)=1,1,0))</f>
        <v/>
      </c>
      <c r="AO2498">
        <f>IF($AN2498=1,SUMPRODUCT(--($AR$2:$AR$3001&lt;$AR2498))+1,"")</f>
        <v/>
      </c>
      <c r="AP2498">
        <f>IF($E2498="","",IF(OR($U2498=TRUE(),$U2498="TRUE"),1,0))</f>
        <v/>
      </c>
      <c r="AQ2498">
        <f>IF($E2498="","",IF($AD2498="Yes",1,0))</f>
        <v/>
      </c>
      <c r="AR2498">
        <f>IF($AN2498=1,IFERROR(VALUE(MID($E2498,2,20)),1000000000)+ROW()/100000,"")</f>
        <v/>
      </c>
    </row>
    <row r="2499">
      <c r="G2499" s="11" t="n"/>
      <c r="Q2499" s="7">
        <f>IF($E2499="","",P2499*AB2499/100)</f>
        <v/>
      </c>
      <c r="R2499" s="7" t="n"/>
      <c r="X2499" s="7" t="n"/>
      <c r="Y2499" s="7">
        <f>IF($E2499="","",AB2499*AE2499/100)</f>
        <v/>
      </c>
      <c r="Z2499" s="7">
        <f>IF($E2499="","",AB2499-Y2499)</f>
        <v/>
      </c>
      <c r="AA2499" s="7">
        <f>IF($E2499="","",Z2499-Q2499)</f>
        <v/>
      </c>
      <c r="AB2499" s="7" t="n"/>
      <c r="AE2499">
        <f>IF($E2499="","",IF($AQ2499=1,0,IF($AP2499=1,Settings!$C$6,Settings!$C$7))*100)</f>
        <v/>
      </c>
      <c r="AI2499" s="7" t="n"/>
      <c r="AL2499" s="11" t="n"/>
      <c r="AN2499">
        <f>IF($E2499="","",IF(COUNTIF($E$2:$E2499,$E2499)=1,1,0))</f>
        <v/>
      </c>
      <c r="AO2499">
        <f>IF($AN2499=1,SUMPRODUCT(--($AR$2:$AR$3001&lt;$AR2499))+1,"")</f>
        <v/>
      </c>
      <c r="AP2499">
        <f>IF($E2499="","",IF(OR($U2499=TRUE(),$U2499="TRUE"),1,0))</f>
        <v/>
      </c>
      <c r="AQ2499">
        <f>IF($E2499="","",IF($AD2499="Yes",1,0))</f>
        <v/>
      </c>
      <c r="AR2499">
        <f>IF($AN2499=1,IFERROR(VALUE(MID($E2499,2,20)),1000000000)+ROW()/100000,"")</f>
        <v/>
      </c>
    </row>
    <row r="2500">
      <c r="G2500" s="11" t="n"/>
      <c r="Q2500" s="7">
        <f>IF($E2500="","",P2500*AB2500/100)</f>
        <v/>
      </c>
      <c r="R2500" s="7" t="n"/>
      <c r="X2500" s="7" t="n"/>
      <c r="Y2500" s="7">
        <f>IF($E2500="","",AB2500*AE2500/100)</f>
        <v/>
      </c>
      <c r="Z2500" s="7">
        <f>IF($E2500="","",AB2500-Y2500)</f>
        <v/>
      </c>
      <c r="AA2500" s="7">
        <f>IF($E2500="","",Z2500-Q2500)</f>
        <v/>
      </c>
      <c r="AB2500" s="7" t="n"/>
      <c r="AE2500">
        <f>IF($E2500="","",IF($AQ2500=1,0,IF($AP2500=1,Settings!$C$6,Settings!$C$7))*100)</f>
        <v/>
      </c>
      <c r="AI2500" s="7" t="n"/>
      <c r="AL2500" s="11" t="n"/>
      <c r="AN2500">
        <f>IF($E2500="","",IF(COUNTIF($E$2:$E2500,$E2500)=1,1,0))</f>
        <v/>
      </c>
      <c r="AO2500">
        <f>IF($AN2500=1,SUMPRODUCT(--($AR$2:$AR$3001&lt;$AR2500))+1,"")</f>
        <v/>
      </c>
      <c r="AP2500">
        <f>IF($E2500="","",IF(OR($U2500=TRUE(),$U2500="TRUE"),1,0))</f>
        <v/>
      </c>
      <c r="AQ2500">
        <f>IF($E2500="","",IF($AD2500="Yes",1,0))</f>
        <v/>
      </c>
      <c r="AR2500">
        <f>IF($AN2500=1,IFERROR(VALUE(MID($E2500,2,20)),1000000000)+ROW()/100000,"")</f>
        <v/>
      </c>
    </row>
    <row r="2501">
      <c r="G2501" s="11" t="n"/>
      <c r="Q2501" s="7">
        <f>IF($E2501="","",P2501*AB2501/100)</f>
        <v/>
      </c>
      <c r="R2501" s="7" t="n"/>
      <c r="X2501" s="7" t="n"/>
      <c r="Y2501" s="7">
        <f>IF($E2501="","",AB2501*AE2501/100)</f>
        <v/>
      </c>
      <c r="Z2501" s="7">
        <f>IF($E2501="","",AB2501-Y2501)</f>
        <v/>
      </c>
      <c r="AA2501" s="7">
        <f>IF($E2501="","",Z2501-Q2501)</f>
        <v/>
      </c>
      <c r="AB2501" s="7" t="n"/>
      <c r="AE2501">
        <f>IF($E2501="","",IF($AQ2501=1,0,IF($AP2501=1,Settings!$C$6,Settings!$C$7))*100)</f>
        <v/>
      </c>
      <c r="AI2501" s="7" t="n"/>
      <c r="AL2501" s="11" t="n"/>
      <c r="AN2501">
        <f>IF($E2501="","",IF(COUNTIF($E$2:$E2501,$E2501)=1,1,0))</f>
        <v/>
      </c>
      <c r="AO2501">
        <f>IF($AN2501=1,SUMPRODUCT(--($AR$2:$AR$3001&lt;$AR2501))+1,"")</f>
        <v/>
      </c>
      <c r="AP2501">
        <f>IF($E2501="","",IF(OR($U2501=TRUE(),$U2501="TRUE"),1,0))</f>
        <v/>
      </c>
      <c r="AQ2501">
        <f>IF($E2501="","",IF($AD2501="Yes",1,0))</f>
        <v/>
      </c>
      <c r="AR2501">
        <f>IF($AN2501=1,IFERROR(VALUE(MID($E2501,2,20)),1000000000)+ROW()/100000,"")</f>
        <v/>
      </c>
    </row>
    <row r="2502">
      <c r="G2502" s="11" t="n"/>
      <c r="Q2502" s="7">
        <f>IF($E2502="","",P2502*AB2502/100)</f>
        <v/>
      </c>
      <c r="R2502" s="7" t="n"/>
      <c r="X2502" s="7" t="n"/>
      <c r="Y2502" s="7">
        <f>IF($E2502="","",AB2502*AE2502/100)</f>
        <v/>
      </c>
      <c r="Z2502" s="7">
        <f>IF($E2502="","",AB2502-Y2502)</f>
        <v/>
      </c>
      <c r="AA2502" s="7">
        <f>IF($E2502="","",Z2502-Q2502)</f>
        <v/>
      </c>
      <c r="AB2502" s="7" t="n"/>
      <c r="AE2502">
        <f>IF($E2502="","",IF($AQ2502=1,0,IF($AP2502=1,Settings!$C$6,Settings!$C$7))*100)</f>
        <v/>
      </c>
      <c r="AI2502" s="7" t="n"/>
      <c r="AL2502" s="11" t="n"/>
      <c r="AN2502">
        <f>IF($E2502="","",IF(COUNTIF($E$2:$E2502,$E2502)=1,1,0))</f>
        <v/>
      </c>
      <c r="AO2502">
        <f>IF($AN2502=1,SUMPRODUCT(--($AR$2:$AR$3001&lt;$AR2502))+1,"")</f>
        <v/>
      </c>
      <c r="AP2502">
        <f>IF($E2502="","",IF(OR($U2502=TRUE(),$U2502="TRUE"),1,0))</f>
        <v/>
      </c>
      <c r="AQ2502">
        <f>IF($E2502="","",IF($AD2502="Yes",1,0))</f>
        <v/>
      </c>
      <c r="AR2502">
        <f>IF($AN2502=1,IFERROR(VALUE(MID($E2502,2,20)),1000000000)+ROW()/100000,"")</f>
        <v/>
      </c>
    </row>
    <row r="2503">
      <c r="G2503" s="11" t="n"/>
      <c r="Q2503" s="7">
        <f>IF($E2503="","",P2503*AB2503/100)</f>
        <v/>
      </c>
      <c r="R2503" s="7" t="n"/>
      <c r="X2503" s="7" t="n"/>
      <c r="Y2503" s="7">
        <f>IF($E2503="","",AB2503*AE2503/100)</f>
        <v/>
      </c>
      <c r="Z2503" s="7">
        <f>IF($E2503="","",AB2503-Y2503)</f>
        <v/>
      </c>
      <c r="AA2503" s="7">
        <f>IF($E2503="","",Z2503-Q2503)</f>
        <v/>
      </c>
      <c r="AB2503" s="7" t="n"/>
      <c r="AE2503">
        <f>IF($E2503="","",IF($AQ2503=1,0,IF($AP2503=1,Settings!$C$6,Settings!$C$7))*100)</f>
        <v/>
      </c>
      <c r="AI2503" s="7" t="n"/>
      <c r="AL2503" s="11" t="n"/>
      <c r="AN2503">
        <f>IF($E2503="","",IF(COUNTIF($E$2:$E2503,$E2503)=1,1,0))</f>
        <v/>
      </c>
      <c r="AO2503">
        <f>IF($AN2503=1,SUMPRODUCT(--($AR$2:$AR$3001&lt;$AR2503))+1,"")</f>
        <v/>
      </c>
      <c r="AP2503">
        <f>IF($E2503="","",IF(OR($U2503=TRUE(),$U2503="TRUE"),1,0))</f>
        <v/>
      </c>
      <c r="AQ2503">
        <f>IF($E2503="","",IF($AD2503="Yes",1,0))</f>
        <v/>
      </c>
      <c r="AR2503">
        <f>IF($AN2503=1,IFERROR(VALUE(MID($E2503,2,20)),1000000000)+ROW()/100000,"")</f>
        <v/>
      </c>
    </row>
    <row r="2504">
      <c r="G2504" s="11" t="n"/>
      <c r="Q2504" s="7">
        <f>IF($E2504="","",P2504*AB2504/100)</f>
        <v/>
      </c>
      <c r="R2504" s="7" t="n"/>
      <c r="X2504" s="7" t="n"/>
      <c r="Y2504" s="7">
        <f>IF($E2504="","",AB2504*AE2504/100)</f>
        <v/>
      </c>
      <c r="Z2504" s="7">
        <f>IF($E2504="","",AB2504-Y2504)</f>
        <v/>
      </c>
      <c r="AA2504" s="7">
        <f>IF($E2504="","",Z2504-Q2504)</f>
        <v/>
      </c>
      <c r="AB2504" s="7" t="n"/>
      <c r="AE2504">
        <f>IF($E2504="","",IF($AQ2504=1,0,IF($AP2504=1,Settings!$C$6,Settings!$C$7))*100)</f>
        <v/>
      </c>
      <c r="AI2504" s="7" t="n"/>
      <c r="AL2504" s="11" t="n"/>
      <c r="AN2504">
        <f>IF($E2504="","",IF(COUNTIF($E$2:$E2504,$E2504)=1,1,0))</f>
        <v/>
      </c>
      <c r="AO2504">
        <f>IF($AN2504=1,SUMPRODUCT(--($AR$2:$AR$3001&lt;$AR2504))+1,"")</f>
        <v/>
      </c>
      <c r="AP2504">
        <f>IF($E2504="","",IF(OR($U2504=TRUE(),$U2504="TRUE"),1,0))</f>
        <v/>
      </c>
      <c r="AQ2504">
        <f>IF($E2504="","",IF($AD2504="Yes",1,0))</f>
        <v/>
      </c>
      <c r="AR2504">
        <f>IF($AN2504=1,IFERROR(VALUE(MID($E2504,2,20)),1000000000)+ROW()/100000,"")</f>
        <v/>
      </c>
    </row>
    <row r="2505">
      <c r="G2505" s="11" t="n"/>
      <c r="Q2505" s="7">
        <f>IF($E2505="","",P2505*AB2505/100)</f>
        <v/>
      </c>
      <c r="R2505" s="7" t="n"/>
      <c r="X2505" s="7" t="n"/>
      <c r="Y2505" s="7">
        <f>IF($E2505="","",AB2505*AE2505/100)</f>
        <v/>
      </c>
      <c r="Z2505" s="7">
        <f>IF($E2505="","",AB2505-Y2505)</f>
        <v/>
      </c>
      <c r="AA2505" s="7">
        <f>IF($E2505="","",Z2505-Q2505)</f>
        <v/>
      </c>
      <c r="AB2505" s="7" t="n"/>
      <c r="AE2505">
        <f>IF($E2505="","",IF($AQ2505=1,0,IF($AP2505=1,Settings!$C$6,Settings!$C$7))*100)</f>
        <v/>
      </c>
      <c r="AI2505" s="7" t="n"/>
      <c r="AL2505" s="11" t="n"/>
      <c r="AN2505">
        <f>IF($E2505="","",IF(COUNTIF($E$2:$E2505,$E2505)=1,1,0))</f>
        <v/>
      </c>
      <c r="AO2505">
        <f>IF($AN2505=1,SUMPRODUCT(--($AR$2:$AR$3001&lt;$AR2505))+1,"")</f>
        <v/>
      </c>
      <c r="AP2505">
        <f>IF($E2505="","",IF(OR($U2505=TRUE(),$U2505="TRUE"),1,0))</f>
        <v/>
      </c>
      <c r="AQ2505">
        <f>IF($E2505="","",IF($AD2505="Yes",1,0))</f>
        <v/>
      </c>
      <c r="AR2505">
        <f>IF($AN2505=1,IFERROR(VALUE(MID($E2505,2,20)),1000000000)+ROW()/100000,"")</f>
        <v/>
      </c>
    </row>
    <row r="2506">
      <c r="G2506" s="11" t="n"/>
      <c r="Q2506" s="7">
        <f>IF($E2506="","",P2506*AB2506/100)</f>
        <v/>
      </c>
      <c r="R2506" s="7" t="n"/>
      <c r="X2506" s="7" t="n"/>
      <c r="Y2506" s="7">
        <f>IF($E2506="","",AB2506*AE2506/100)</f>
        <v/>
      </c>
      <c r="Z2506" s="7">
        <f>IF($E2506="","",AB2506-Y2506)</f>
        <v/>
      </c>
      <c r="AA2506" s="7">
        <f>IF($E2506="","",Z2506-Q2506)</f>
        <v/>
      </c>
      <c r="AB2506" s="7" t="n"/>
      <c r="AE2506">
        <f>IF($E2506="","",IF($AQ2506=1,0,IF($AP2506=1,Settings!$C$6,Settings!$C$7))*100)</f>
        <v/>
      </c>
      <c r="AI2506" s="7" t="n"/>
      <c r="AL2506" s="11" t="n"/>
      <c r="AN2506">
        <f>IF($E2506="","",IF(COUNTIF($E$2:$E2506,$E2506)=1,1,0))</f>
        <v/>
      </c>
      <c r="AO2506">
        <f>IF($AN2506=1,SUMPRODUCT(--($AR$2:$AR$3001&lt;$AR2506))+1,"")</f>
        <v/>
      </c>
      <c r="AP2506">
        <f>IF($E2506="","",IF(OR($U2506=TRUE(),$U2506="TRUE"),1,0))</f>
        <v/>
      </c>
      <c r="AQ2506">
        <f>IF($E2506="","",IF($AD2506="Yes",1,0))</f>
        <v/>
      </c>
      <c r="AR2506">
        <f>IF($AN2506=1,IFERROR(VALUE(MID($E2506,2,20)),1000000000)+ROW()/100000,"")</f>
        <v/>
      </c>
    </row>
    <row r="2507">
      <c r="G2507" s="11" t="n"/>
      <c r="Q2507" s="7">
        <f>IF($E2507="","",P2507*AB2507/100)</f>
        <v/>
      </c>
      <c r="R2507" s="7" t="n"/>
      <c r="X2507" s="7" t="n"/>
      <c r="Y2507" s="7">
        <f>IF($E2507="","",AB2507*AE2507/100)</f>
        <v/>
      </c>
      <c r="Z2507" s="7">
        <f>IF($E2507="","",AB2507-Y2507)</f>
        <v/>
      </c>
      <c r="AA2507" s="7">
        <f>IF($E2507="","",Z2507-Q2507)</f>
        <v/>
      </c>
      <c r="AB2507" s="7" t="n"/>
      <c r="AE2507">
        <f>IF($E2507="","",IF($AQ2507=1,0,IF($AP2507=1,Settings!$C$6,Settings!$C$7))*100)</f>
        <v/>
      </c>
      <c r="AI2507" s="7" t="n"/>
      <c r="AL2507" s="11" t="n"/>
      <c r="AN2507">
        <f>IF($E2507="","",IF(COUNTIF($E$2:$E2507,$E2507)=1,1,0))</f>
        <v/>
      </c>
      <c r="AO2507">
        <f>IF($AN2507=1,SUMPRODUCT(--($AR$2:$AR$3001&lt;$AR2507))+1,"")</f>
        <v/>
      </c>
      <c r="AP2507">
        <f>IF($E2507="","",IF(OR($U2507=TRUE(),$U2507="TRUE"),1,0))</f>
        <v/>
      </c>
      <c r="AQ2507">
        <f>IF($E2507="","",IF($AD2507="Yes",1,0))</f>
        <v/>
      </c>
      <c r="AR2507">
        <f>IF($AN2507=1,IFERROR(VALUE(MID($E2507,2,20)),1000000000)+ROW()/100000,"")</f>
        <v/>
      </c>
    </row>
    <row r="2508">
      <c r="G2508" s="11" t="n"/>
      <c r="Q2508" s="7">
        <f>IF($E2508="","",P2508*AB2508/100)</f>
        <v/>
      </c>
      <c r="R2508" s="7" t="n"/>
      <c r="X2508" s="7" t="n"/>
      <c r="Y2508" s="7">
        <f>IF($E2508="","",AB2508*AE2508/100)</f>
        <v/>
      </c>
      <c r="Z2508" s="7">
        <f>IF($E2508="","",AB2508-Y2508)</f>
        <v/>
      </c>
      <c r="AA2508" s="7">
        <f>IF($E2508="","",Z2508-Q2508)</f>
        <v/>
      </c>
      <c r="AB2508" s="7" t="n"/>
      <c r="AE2508">
        <f>IF($E2508="","",IF($AQ2508=1,0,IF($AP2508=1,Settings!$C$6,Settings!$C$7))*100)</f>
        <v/>
      </c>
      <c r="AI2508" s="7" t="n"/>
      <c r="AL2508" s="11" t="n"/>
      <c r="AN2508">
        <f>IF($E2508="","",IF(COUNTIF($E$2:$E2508,$E2508)=1,1,0))</f>
        <v/>
      </c>
      <c r="AO2508">
        <f>IF($AN2508=1,SUMPRODUCT(--($AR$2:$AR$3001&lt;$AR2508))+1,"")</f>
        <v/>
      </c>
      <c r="AP2508">
        <f>IF($E2508="","",IF(OR($U2508=TRUE(),$U2508="TRUE"),1,0))</f>
        <v/>
      </c>
      <c r="AQ2508">
        <f>IF($E2508="","",IF($AD2508="Yes",1,0))</f>
        <v/>
      </c>
      <c r="AR2508">
        <f>IF($AN2508=1,IFERROR(VALUE(MID($E2508,2,20)),1000000000)+ROW()/100000,"")</f>
        <v/>
      </c>
    </row>
    <row r="2509">
      <c r="G2509" s="11" t="n"/>
      <c r="Q2509" s="7">
        <f>IF($E2509="","",P2509*AB2509/100)</f>
        <v/>
      </c>
      <c r="R2509" s="7" t="n"/>
      <c r="X2509" s="7" t="n"/>
      <c r="Y2509" s="7">
        <f>IF($E2509="","",AB2509*AE2509/100)</f>
        <v/>
      </c>
      <c r="Z2509" s="7">
        <f>IF($E2509="","",AB2509-Y2509)</f>
        <v/>
      </c>
      <c r="AA2509" s="7">
        <f>IF($E2509="","",Z2509-Q2509)</f>
        <v/>
      </c>
      <c r="AB2509" s="7" t="n"/>
      <c r="AE2509">
        <f>IF($E2509="","",IF($AQ2509=1,0,IF($AP2509=1,Settings!$C$6,Settings!$C$7))*100)</f>
        <v/>
      </c>
      <c r="AI2509" s="7" t="n"/>
      <c r="AL2509" s="11" t="n"/>
      <c r="AN2509">
        <f>IF($E2509="","",IF(COUNTIF($E$2:$E2509,$E2509)=1,1,0))</f>
        <v/>
      </c>
      <c r="AO2509">
        <f>IF($AN2509=1,SUMPRODUCT(--($AR$2:$AR$3001&lt;$AR2509))+1,"")</f>
        <v/>
      </c>
      <c r="AP2509">
        <f>IF($E2509="","",IF(OR($U2509=TRUE(),$U2509="TRUE"),1,0))</f>
        <v/>
      </c>
      <c r="AQ2509">
        <f>IF($E2509="","",IF($AD2509="Yes",1,0))</f>
        <v/>
      </c>
      <c r="AR2509">
        <f>IF($AN2509=1,IFERROR(VALUE(MID($E2509,2,20)),1000000000)+ROW()/100000,"")</f>
        <v/>
      </c>
    </row>
    <row r="2510">
      <c r="G2510" s="11" t="n"/>
      <c r="Q2510" s="7">
        <f>IF($E2510="","",P2510*AB2510/100)</f>
        <v/>
      </c>
      <c r="R2510" s="7" t="n"/>
      <c r="X2510" s="7" t="n"/>
      <c r="Y2510" s="7">
        <f>IF($E2510="","",AB2510*AE2510/100)</f>
        <v/>
      </c>
      <c r="Z2510" s="7">
        <f>IF($E2510="","",AB2510-Y2510)</f>
        <v/>
      </c>
      <c r="AA2510" s="7">
        <f>IF($E2510="","",Z2510-Q2510)</f>
        <v/>
      </c>
      <c r="AB2510" s="7" t="n"/>
      <c r="AE2510">
        <f>IF($E2510="","",IF($AQ2510=1,0,IF($AP2510=1,Settings!$C$6,Settings!$C$7))*100)</f>
        <v/>
      </c>
      <c r="AI2510" s="7" t="n"/>
      <c r="AL2510" s="11" t="n"/>
      <c r="AN2510">
        <f>IF($E2510="","",IF(COUNTIF($E$2:$E2510,$E2510)=1,1,0))</f>
        <v/>
      </c>
      <c r="AO2510">
        <f>IF($AN2510=1,SUMPRODUCT(--($AR$2:$AR$3001&lt;$AR2510))+1,"")</f>
        <v/>
      </c>
      <c r="AP2510">
        <f>IF($E2510="","",IF(OR($U2510=TRUE(),$U2510="TRUE"),1,0))</f>
        <v/>
      </c>
      <c r="AQ2510">
        <f>IF($E2510="","",IF($AD2510="Yes",1,0))</f>
        <v/>
      </c>
      <c r="AR2510">
        <f>IF($AN2510=1,IFERROR(VALUE(MID($E2510,2,20)),1000000000)+ROW()/100000,"")</f>
        <v/>
      </c>
    </row>
    <row r="2511">
      <c r="G2511" s="11" t="n"/>
      <c r="Q2511" s="7">
        <f>IF($E2511="","",P2511*AB2511/100)</f>
        <v/>
      </c>
      <c r="R2511" s="7" t="n"/>
      <c r="X2511" s="7" t="n"/>
      <c r="Y2511" s="7">
        <f>IF($E2511="","",AB2511*AE2511/100)</f>
        <v/>
      </c>
      <c r="Z2511" s="7">
        <f>IF($E2511="","",AB2511-Y2511)</f>
        <v/>
      </c>
      <c r="AA2511" s="7">
        <f>IF($E2511="","",Z2511-Q2511)</f>
        <v/>
      </c>
      <c r="AB2511" s="7" t="n"/>
      <c r="AE2511">
        <f>IF($E2511="","",IF($AQ2511=1,0,IF($AP2511=1,Settings!$C$6,Settings!$C$7))*100)</f>
        <v/>
      </c>
      <c r="AI2511" s="7" t="n"/>
      <c r="AL2511" s="11" t="n"/>
      <c r="AN2511">
        <f>IF($E2511="","",IF(COUNTIF($E$2:$E2511,$E2511)=1,1,0))</f>
        <v/>
      </c>
      <c r="AO2511">
        <f>IF($AN2511=1,SUMPRODUCT(--($AR$2:$AR$3001&lt;$AR2511))+1,"")</f>
        <v/>
      </c>
      <c r="AP2511">
        <f>IF($E2511="","",IF(OR($U2511=TRUE(),$U2511="TRUE"),1,0))</f>
        <v/>
      </c>
      <c r="AQ2511">
        <f>IF($E2511="","",IF($AD2511="Yes",1,0))</f>
        <v/>
      </c>
      <c r="AR2511">
        <f>IF($AN2511=1,IFERROR(VALUE(MID($E2511,2,20)),1000000000)+ROW()/100000,"")</f>
        <v/>
      </c>
    </row>
    <row r="2512">
      <c r="G2512" s="11" t="n"/>
      <c r="Q2512" s="7">
        <f>IF($E2512="","",P2512*AB2512/100)</f>
        <v/>
      </c>
      <c r="R2512" s="7" t="n"/>
      <c r="X2512" s="7" t="n"/>
      <c r="Y2512" s="7">
        <f>IF($E2512="","",AB2512*AE2512/100)</f>
        <v/>
      </c>
      <c r="Z2512" s="7">
        <f>IF($E2512="","",AB2512-Y2512)</f>
        <v/>
      </c>
      <c r="AA2512" s="7">
        <f>IF($E2512="","",Z2512-Q2512)</f>
        <v/>
      </c>
      <c r="AB2512" s="7" t="n"/>
      <c r="AE2512">
        <f>IF($E2512="","",IF($AQ2512=1,0,IF($AP2512=1,Settings!$C$6,Settings!$C$7))*100)</f>
        <v/>
      </c>
      <c r="AI2512" s="7" t="n"/>
      <c r="AL2512" s="11" t="n"/>
      <c r="AN2512">
        <f>IF($E2512="","",IF(COUNTIF($E$2:$E2512,$E2512)=1,1,0))</f>
        <v/>
      </c>
      <c r="AO2512">
        <f>IF($AN2512=1,SUMPRODUCT(--($AR$2:$AR$3001&lt;$AR2512))+1,"")</f>
        <v/>
      </c>
      <c r="AP2512">
        <f>IF($E2512="","",IF(OR($U2512=TRUE(),$U2512="TRUE"),1,0))</f>
        <v/>
      </c>
      <c r="AQ2512">
        <f>IF($E2512="","",IF($AD2512="Yes",1,0))</f>
        <v/>
      </c>
      <c r="AR2512">
        <f>IF($AN2512=1,IFERROR(VALUE(MID($E2512,2,20)),1000000000)+ROW()/100000,"")</f>
        <v/>
      </c>
    </row>
    <row r="2513">
      <c r="G2513" s="11" t="n"/>
      <c r="Q2513" s="7">
        <f>IF($E2513="","",P2513*AB2513/100)</f>
        <v/>
      </c>
      <c r="R2513" s="7" t="n"/>
      <c r="X2513" s="7" t="n"/>
      <c r="Y2513" s="7">
        <f>IF($E2513="","",AB2513*AE2513/100)</f>
        <v/>
      </c>
      <c r="Z2513" s="7">
        <f>IF($E2513="","",AB2513-Y2513)</f>
        <v/>
      </c>
      <c r="AA2513" s="7">
        <f>IF($E2513="","",Z2513-Q2513)</f>
        <v/>
      </c>
      <c r="AB2513" s="7" t="n"/>
      <c r="AE2513">
        <f>IF($E2513="","",IF($AQ2513=1,0,IF($AP2513=1,Settings!$C$6,Settings!$C$7))*100)</f>
        <v/>
      </c>
      <c r="AI2513" s="7" t="n"/>
      <c r="AL2513" s="11" t="n"/>
      <c r="AN2513">
        <f>IF($E2513="","",IF(COUNTIF($E$2:$E2513,$E2513)=1,1,0))</f>
        <v/>
      </c>
      <c r="AO2513">
        <f>IF($AN2513=1,SUMPRODUCT(--($AR$2:$AR$3001&lt;$AR2513))+1,"")</f>
        <v/>
      </c>
      <c r="AP2513">
        <f>IF($E2513="","",IF(OR($U2513=TRUE(),$U2513="TRUE"),1,0))</f>
        <v/>
      </c>
      <c r="AQ2513">
        <f>IF($E2513="","",IF($AD2513="Yes",1,0))</f>
        <v/>
      </c>
      <c r="AR2513">
        <f>IF($AN2513=1,IFERROR(VALUE(MID($E2513,2,20)),1000000000)+ROW()/100000,"")</f>
        <v/>
      </c>
    </row>
    <row r="2514">
      <c r="G2514" s="11" t="n"/>
      <c r="Q2514" s="7">
        <f>IF($E2514="","",P2514*AB2514/100)</f>
        <v/>
      </c>
      <c r="R2514" s="7" t="n"/>
      <c r="X2514" s="7" t="n"/>
      <c r="Y2514" s="7">
        <f>IF($E2514="","",AB2514*AE2514/100)</f>
        <v/>
      </c>
      <c r="Z2514" s="7">
        <f>IF($E2514="","",AB2514-Y2514)</f>
        <v/>
      </c>
      <c r="AA2514" s="7">
        <f>IF($E2514="","",Z2514-Q2514)</f>
        <v/>
      </c>
      <c r="AB2514" s="7" t="n"/>
      <c r="AE2514">
        <f>IF($E2514="","",IF($AQ2514=1,0,IF($AP2514=1,Settings!$C$6,Settings!$C$7))*100)</f>
        <v/>
      </c>
      <c r="AI2514" s="7" t="n"/>
      <c r="AL2514" s="11" t="n"/>
      <c r="AN2514">
        <f>IF($E2514="","",IF(COUNTIF($E$2:$E2514,$E2514)=1,1,0))</f>
        <v/>
      </c>
      <c r="AO2514">
        <f>IF($AN2514=1,SUMPRODUCT(--($AR$2:$AR$3001&lt;$AR2514))+1,"")</f>
        <v/>
      </c>
      <c r="AP2514">
        <f>IF($E2514="","",IF(OR($U2514=TRUE(),$U2514="TRUE"),1,0))</f>
        <v/>
      </c>
      <c r="AQ2514">
        <f>IF($E2514="","",IF($AD2514="Yes",1,0))</f>
        <v/>
      </c>
      <c r="AR2514">
        <f>IF($AN2514=1,IFERROR(VALUE(MID($E2514,2,20)),1000000000)+ROW()/100000,"")</f>
        <v/>
      </c>
    </row>
    <row r="2515">
      <c r="G2515" s="11" t="n"/>
      <c r="Q2515" s="7">
        <f>IF($E2515="","",P2515*AB2515/100)</f>
        <v/>
      </c>
      <c r="R2515" s="7" t="n"/>
      <c r="X2515" s="7" t="n"/>
      <c r="Y2515" s="7">
        <f>IF($E2515="","",AB2515*AE2515/100)</f>
        <v/>
      </c>
      <c r="Z2515" s="7">
        <f>IF($E2515="","",AB2515-Y2515)</f>
        <v/>
      </c>
      <c r="AA2515" s="7">
        <f>IF($E2515="","",Z2515-Q2515)</f>
        <v/>
      </c>
      <c r="AB2515" s="7" t="n"/>
      <c r="AE2515">
        <f>IF($E2515="","",IF($AQ2515=1,0,IF($AP2515=1,Settings!$C$6,Settings!$C$7))*100)</f>
        <v/>
      </c>
      <c r="AI2515" s="7" t="n"/>
      <c r="AL2515" s="11" t="n"/>
      <c r="AN2515">
        <f>IF($E2515="","",IF(COUNTIF($E$2:$E2515,$E2515)=1,1,0))</f>
        <v/>
      </c>
      <c r="AO2515">
        <f>IF($AN2515=1,SUMPRODUCT(--($AR$2:$AR$3001&lt;$AR2515))+1,"")</f>
        <v/>
      </c>
      <c r="AP2515">
        <f>IF($E2515="","",IF(OR($U2515=TRUE(),$U2515="TRUE"),1,0))</f>
        <v/>
      </c>
      <c r="AQ2515">
        <f>IF($E2515="","",IF($AD2515="Yes",1,0))</f>
        <v/>
      </c>
      <c r="AR2515">
        <f>IF($AN2515=1,IFERROR(VALUE(MID($E2515,2,20)),1000000000)+ROW()/100000,"")</f>
        <v/>
      </c>
    </row>
    <row r="2516">
      <c r="G2516" s="11" t="n"/>
      <c r="Q2516" s="7">
        <f>IF($E2516="","",P2516*AB2516/100)</f>
        <v/>
      </c>
      <c r="R2516" s="7" t="n"/>
      <c r="X2516" s="7" t="n"/>
      <c r="Y2516" s="7">
        <f>IF($E2516="","",AB2516*AE2516/100)</f>
        <v/>
      </c>
      <c r="Z2516" s="7">
        <f>IF($E2516="","",AB2516-Y2516)</f>
        <v/>
      </c>
      <c r="AA2516" s="7">
        <f>IF($E2516="","",Z2516-Q2516)</f>
        <v/>
      </c>
      <c r="AB2516" s="7" t="n"/>
      <c r="AE2516">
        <f>IF($E2516="","",IF($AQ2516=1,0,IF($AP2516=1,Settings!$C$6,Settings!$C$7))*100)</f>
        <v/>
      </c>
      <c r="AI2516" s="7" t="n"/>
      <c r="AL2516" s="11" t="n"/>
      <c r="AN2516">
        <f>IF($E2516="","",IF(COUNTIF($E$2:$E2516,$E2516)=1,1,0))</f>
        <v/>
      </c>
      <c r="AO2516">
        <f>IF($AN2516=1,SUMPRODUCT(--($AR$2:$AR$3001&lt;$AR2516))+1,"")</f>
        <v/>
      </c>
      <c r="AP2516">
        <f>IF($E2516="","",IF(OR($U2516=TRUE(),$U2516="TRUE"),1,0))</f>
        <v/>
      </c>
      <c r="AQ2516">
        <f>IF($E2516="","",IF($AD2516="Yes",1,0))</f>
        <v/>
      </c>
      <c r="AR2516">
        <f>IF($AN2516=1,IFERROR(VALUE(MID($E2516,2,20)),1000000000)+ROW()/100000,"")</f>
        <v/>
      </c>
    </row>
    <row r="2517">
      <c r="G2517" s="11" t="n"/>
      <c r="Q2517" s="7">
        <f>IF($E2517="","",P2517*AB2517/100)</f>
        <v/>
      </c>
      <c r="R2517" s="7" t="n"/>
      <c r="X2517" s="7" t="n"/>
      <c r="Y2517" s="7">
        <f>IF($E2517="","",AB2517*AE2517/100)</f>
        <v/>
      </c>
      <c r="Z2517" s="7">
        <f>IF($E2517="","",AB2517-Y2517)</f>
        <v/>
      </c>
      <c r="AA2517" s="7">
        <f>IF($E2517="","",Z2517-Q2517)</f>
        <v/>
      </c>
      <c r="AB2517" s="7" t="n"/>
      <c r="AE2517">
        <f>IF($E2517="","",IF($AQ2517=1,0,IF($AP2517=1,Settings!$C$6,Settings!$C$7))*100)</f>
        <v/>
      </c>
      <c r="AI2517" s="7" t="n"/>
      <c r="AL2517" s="11" t="n"/>
      <c r="AN2517">
        <f>IF($E2517="","",IF(COUNTIF($E$2:$E2517,$E2517)=1,1,0))</f>
        <v/>
      </c>
      <c r="AO2517">
        <f>IF($AN2517=1,SUMPRODUCT(--($AR$2:$AR$3001&lt;$AR2517))+1,"")</f>
        <v/>
      </c>
      <c r="AP2517">
        <f>IF($E2517="","",IF(OR($U2517=TRUE(),$U2517="TRUE"),1,0))</f>
        <v/>
      </c>
      <c r="AQ2517">
        <f>IF($E2517="","",IF($AD2517="Yes",1,0))</f>
        <v/>
      </c>
      <c r="AR2517">
        <f>IF($AN2517=1,IFERROR(VALUE(MID($E2517,2,20)),1000000000)+ROW()/100000,"")</f>
        <v/>
      </c>
    </row>
    <row r="2518">
      <c r="G2518" s="11" t="n"/>
      <c r="Q2518" s="7">
        <f>IF($E2518="","",P2518*AB2518/100)</f>
        <v/>
      </c>
      <c r="R2518" s="7" t="n"/>
      <c r="X2518" s="7" t="n"/>
      <c r="Y2518" s="7">
        <f>IF($E2518="","",AB2518*AE2518/100)</f>
        <v/>
      </c>
      <c r="Z2518" s="7">
        <f>IF($E2518="","",AB2518-Y2518)</f>
        <v/>
      </c>
      <c r="AA2518" s="7">
        <f>IF($E2518="","",Z2518-Q2518)</f>
        <v/>
      </c>
      <c r="AB2518" s="7" t="n"/>
      <c r="AE2518">
        <f>IF($E2518="","",IF($AQ2518=1,0,IF($AP2518=1,Settings!$C$6,Settings!$C$7))*100)</f>
        <v/>
      </c>
      <c r="AI2518" s="7" t="n"/>
      <c r="AL2518" s="11" t="n"/>
      <c r="AN2518">
        <f>IF($E2518="","",IF(COUNTIF($E$2:$E2518,$E2518)=1,1,0))</f>
        <v/>
      </c>
      <c r="AO2518">
        <f>IF($AN2518=1,SUMPRODUCT(--($AR$2:$AR$3001&lt;$AR2518))+1,"")</f>
        <v/>
      </c>
      <c r="AP2518">
        <f>IF($E2518="","",IF(OR($U2518=TRUE(),$U2518="TRUE"),1,0))</f>
        <v/>
      </c>
      <c r="AQ2518">
        <f>IF($E2518="","",IF($AD2518="Yes",1,0))</f>
        <v/>
      </c>
      <c r="AR2518">
        <f>IF($AN2518=1,IFERROR(VALUE(MID($E2518,2,20)),1000000000)+ROW()/100000,"")</f>
        <v/>
      </c>
    </row>
    <row r="2519">
      <c r="G2519" s="11" t="n"/>
      <c r="Q2519" s="7">
        <f>IF($E2519="","",P2519*AB2519/100)</f>
        <v/>
      </c>
      <c r="R2519" s="7" t="n"/>
      <c r="X2519" s="7" t="n"/>
      <c r="Y2519" s="7">
        <f>IF($E2519="","",AB2519*AE2519/100)</f>
        <v/>
      </c>
      <c r="Z2519" s="7">
        <f>IF($E2519="","",AB2519-Y2519)</f>
        <v/>
      </c>
      <c r="AA2519" s="7">
        <f>IF($E2519="","",Z2519-Q2519)</f>
        <v/>
      </c>
      <c r="AB2519" s="7" t="n"/>
      <c r="AE2519">
        <f>IF($E2519="","",IF($AQ2519=1,0,IF($AP2519=1,Settings!$C$6,Settings!$C$7))*100)</f>
        <v/>
      </c>
      <c r="AI2519" s="7" t="n"/>
      <c r="AL2519" s="11" t="n"/>
      <c r="AN2519">
        <f>IF($E2519="","",IF(COUNTIF($E$2:$E2519,$E2519)=1,1,0))</f>
        <v/>
      </c>
      <c r="AO2519">
        <f>IF($AN2519=1,SUMPRODUCT(--($AR$2:$AR$3001&lt;$AR2519))+1,"")</f>
        <v/>
      </c>
      <c r="AP2519">
        <f>IF($E2519="","",IF(OR($U2519=TRUE(),$U2519="TRUE"),1,0))</f>
        <v/>
      </c>
      <c r="AQ2519">
        <f>IF($E2519="","",IF($AD2519="Yes",1,0))</f>
        <v/>
      </c>
      <c r="AR2519">
        <f>IF($AN2519=1,IFERROR(VALUE(MID($E2519,2,20)),1000000000)+ROW()/100000,"")</f>
        <v/>
      </c>
    </row>
    <row r="2520">
      <c r="G2520" s="11" t="n"/>
      <c r="Q2520" s="7">
        <f>IF($E2520="","",P2520*AB2520/100)</f>
        <v/>
      </c>
      <c r="R2520" s="7" t="n"/>
      <c r="X2520" s="7" t="n"/>
      <c r="Y2520" s="7">
        <f>IF($E2520="","",AB2520*AE2520/100)</f>
        <v/>
      </c>
      <c r="Z2520" s="7">
        <f>IF($E2520="","",AB2520-Y2520)</f>
        <v/>
      </c>
      <c r="AA2520" s="7">
        <f>IF($E2520="","",Z2520-Q2520)</f>
        <v/>
      </c>
      <c r="AB2520" s="7" t="n"/>
      <c r="AE2520">
        <f>IF($E2520="","",IF($AQ2520=1,0,IF($AP2520=1,Settings!$C$6,Settings!$C$7))*100)</f>
        <v/>
      </c>
      <c r="AI2520" s="7" t="n"/>
      <c r="AL2520" s="11" t="n"/>
      <c r="AN2520">
        <f>IF($E2520="","",IF(COUNTIF($E$2:$E2520,$E2520)=1,1,0))</f>
        <v/>
      </c>
      <c r="AO2520">
        <f>IF($AN2520=1,SUMPRODUCT(--($AR$2:$AR$3001&lt;$AR2520))+1,"")</f>
        <v/>
      </c>
      <c r="AP2520">
        <f>IF($E2520="","",IF(OR($U2520=TRUE(),$U2520="TRUE"),1,0))</f>
        <v/>
      </c>
      <c r="AQ2520">
        <f>IF($E2520="","",IF($AD2520="Yes",1,0))</f>
        <v/>
      </c>
      <c r="AR2520">
        <f>IF($AN2520=1,IFERROR(VALUE(MID($E2520,2,20)),1000000000)+ROW()/100000,"")</f>
        <v/>
      </c>
    </row>
    <row r="2521">
      <c r="G2521" s="11" t="n"/>
      <c r="Q2521" s="7">
        <f>IF($E2521="","",P2521*AB2521/100)</f>
        <v/>
      </c>
      <c r="R2521" s="7" t="n"/>
      <c r="X2521" s="7" t="n"/>
      <c r="Y2521" s="7">
        <f>IF($E2521="","",AB2521*AE2521/100)</f>
        <v/>
      </c>
      <c r="Z2521" s="7">
        <f>IF($E2521="","",AB2521-Y2521)</f>
        <v/>
      </c>
      <c r="AA2521" s="7">
        <f>IF($E2521="","",Z2521-Q2521)</f>
        <v/>
      </c>
      <c r="AB2521" s="7" t="n"/>
      <c r="AE2521">
        <f>IF($E2521="","",IF($AQ2521=1,0,IF($AP2521=1,Settings!$C$6,Settings!$C$7))*100)</f>
        <v/>
      </c>
      <c r="AI2521" s="7" t="n"/>
      <c r="AL2521" s="11" t="n"/>
      <c r="AN2521">
        <f>IF($E2521="","",IF(COUNTIF($E$2:$E2521,$E2521)=1,1,0))</f>
        <v/>
      </c>
      <c r="AO2521">
        <f>IF($AN2521=1,SUMPRODUCT(--($AR$2:$AR$3001&lt;$AR2521))+1,"")</f>
        <v/>
      </c>
      <c r="AP2521">
        <f>IF($E2521="","",IF(OR($U2521=TRUE(),$U2521="TRUE"),1,0))</f>
        <v/>
      </c>
      <c r="AQ2521">
        <f>IF($E2521="","",IF($AD2521="Yes",1,0))</f>
        <v/>
      </c>
      <c r="AR2521">
        <f>IF($AN2521=1,IFERROR(VALUE(MID($E2521,2,20)),1000000000)+ROW()/100000,"")</f>
        <v/>
      </c>
    </row>
    <row r="2522">
      <c r="G2522" s="11" t="n"/>
      <c r="Q2522" s="7">
        <f>IF($E2522="","",P2522*AB2522/100)</f>
        <v/>
      </c>
      <c r="R2522" s="7" t="n"/>
      <c r="X2522" s="7" t="n"/>
      <c r="Y2522" s="7">
        <f>IF($E2522="","",AB2522*AE2522/100)</f>
        <v/>
      </c>
      <c r="Z2522" s="7">
        <f>IF($E2522="","",AB2522-Y2522)</f>
        <v/>
      </c>
      <c r="AA2522" s="7">
        <f>IF($E2522="","",Z2522-Q2522)</f>
        <v/>
      </c>
      <c r="AB2522" s="7" t="n"/>
      <c r="AE2522">
        <f>IF($E2522="","",IF($AQ2522=1,0,IF($AP2522=1,Settings!$C$6,Settings!$C$7))*100)</f>
        <v/>
      </c>
      <c r="AI2522" s="7" t="n"/>
      <c r="AL2522" s="11" t="n"/>
      <c r="AN2522">
        <f>IF($E2522="","",IF(COUNTIF($E$2:$E2522,$E2522)=1,1,0))</f>
        <v/>
      </c>
      <c r="AO2522">
        <f>IF($AN2522=1,SUMPRODUCT(--($AR$2:$AR$3001&lt;$AR2522))+1,"")</f>
        <v/>
      </c>
      <c r="AP2522">
        <f>IF($E2522="","",IF(OR($U2522=TRUE(),$U2522="TRUE"),1,0))</f>
        <v/>
      </c>
      <c r="AQ2522">
        <f>IF($E2522="","",IF($AD2522="Yes",1,0))</f>
        <v/>
      </c>
      <c r="AR2522">
        <f>IF($AN2522=1,IFERROR(VALUE(MID($E2522,2,20)),1000000000)+ROW()/100000,"")</f>
        <v/>
      </c>
    </row>
    <row r="2523">
      <c r="G2523" s="11" t="n"/>
      <c r="Q2523" s="7">
        <f>IF($E2523="","",P2523*AB2523/100)</f>
        <v/>
      </c>
      <c r="R2523" s="7" t="n"/>
      <c r="X2523" s="7" t="n"/>
      <c r="Y2523" s="7">
        <f>IF($E2523="","",AB2523*AE2523/100)</f>
        <v/>
      </c>
      <c r="Z2523" s="7">
        <f>IF($E2523="","",AB2523-Y2523)</f>
        <v/>
      </c>
      <c r="AA2523" s="7">
        <f>IF($E2523="","",Z2523-Q2523)</f>
        <v/>
      </c>
      <c r="AB2523" s="7" t="n"/>
      <c r="AE2523">
        <f>IF($E2523="","",IF($AQ2523=1,0,IF($AP2523=1,Settings!$C$6,Settings!$C$7))*100)</f>
        <v/>
      </c>
      <c r="AI2523" s="7" t="n"/>
      <c r="AL2523" s="11" t="n"/>
      <c r="AN2523">
        <f>IF($E2523="","",IF(COUNTIF($E$2:$E2523,$E2523)=1,1,0))</f>
        <v/>
      </c>
      <c r="AO2523">
        <f>IF($AN2523=1,SUMPRODUCT(--($AR$2:$AR$3001&lt;$AR2523))+1,"")</f>
        <v/>
      </c>
      <c r="AP2523">
        <f>IF($E2523="","",IF(OR($U2523=TRUE(),$U2523="TRUE"),1,0))</f>
        <v/>
      </c>
      <c r="AQ2523">
        <f>IF($E2523="","",IF($AD2523="Yes",1,0))</f>
        <v/>
      </c>
      <c r="AR2523">
        <f>IF($AN2523=1,IFERROR(VALUE(MID($E2523,2,20)),1000000000)+ROW()/100000,"")</f>
        <v/>
      </c>
    </row>
    <row r="2524">
      <c r="G2524" s="11" t="n"/>
      <c r="Q2524" s="7">
        <f>IF($E2524="","",P2524*AB2524/100)</f>
        <v/>
      </c>
      <c r="R2524" s="7" t="n"/>
      <c r="X2524" s="7" t="n"/>
      <c r="Y2524" s="7">
        <f>IF($E2524="","",AB2524*AE2524/100)</f>
        <v/>
      </c>
      <c r="Z2524" s="7">
        <f>IF($E2524="","",AB2524-Y2524)</f>
        <v/>
      </c>
      <c r="AA2524" s="7">
        <f>IF($E2524="","",Z2524-Q2524)</f>
        <v/>
      </c>
      <c r="AB2524" s="7" t="n"/>
      <c r="AE2524">
        <f>IF($E2524="","",IF($AQ2524=1,0,IF($AP2524=1,Settings!$C$6,Settings!$C$7))*100)</f>
        <v/>
      </c>
      <c r="AI2524" s="7" t="n"/>
      <c r="AL2524" s="11" t="n"/>
      <c r="AN2524">
        <f>IF($E2524="","",IF(COUNTIF($E$2:$E2524,$E2524)=1,1,0))</f>
        <v/>
      </c>
      <c r="AO2524">
        <f>IF($AN2524=1,SUMPRODUCT(--($AR$2:$AR$3001&lt;$AR2524))+1,"")</f>
        <v/>
      </c>
      <c r="AP2524">
        <f>IF($E2524="","",IF(OR($U2524=TRUE(),$U2524="TRUE"),1,0))</f>
        <v/>
      </c>
      <c r="AQ2524">
        <f>IF($E2524="","",IF($AD2524="Yes",1,0))</f>
        <v/>
      </c>
      <c r="AR2524">
        <f>IF($AN2524=1,IFERROR(VALUE(MID($E2524,2,20)),1000000000)+ROW()/100000,"")</f>
        <v/>
      </c>
    </row>
    <row r="2525">
      <c r="G2525" s="11" t="n"/>
      <c r="Q2525" s="7">
        <f>IF($E2525="","",P2525*AB2525/100)</f>
        <v/>
      </c>
      <c r="R2525" s="7" t="n"/>
      <c r="X2525" s="7" t="n"/>
      <c r="Y2525" s="7">
        <f>IF($E2525="","",AB2525*AE2525/100)</f>
        <v/>
      </c>
      <c r="Z2525" s="7">
        <f>IF($E2525="","",AB2525-Y2525)</f>
        <v/>
      </c>
      <c r="AA2525" s="7">
        <f>IF($E2525="","",Z2525-Q2525)</f>
        <v/>
      </c>
      <c r="AB2525" s="7" t="n"/>
      <c r="AE2525">
        <f>IF($E2525="","",IF($AQ2525=1,0,IF($AP2525=1,Settings!$C$6,Settings!$C$7))*100)</f>
        <v/>
      </c>
      <c r="AI2525" s="7" t="n"/>
      <c r="AL2525" s="11" t="n"/>
      <c r="AN2525">
        <f>IF($E2525="","",IF(COUNTIF($E$2:$E2525,$E2525)=1,1,0))</f>
        <v/>
      </c>
      <c r="AO2525">
        <f>IF($AN2525=1,SUMPRODUCT(--($AR$2:$AR$3001&lt;$AR2525))+1,"")</f>
        <v/>
      </c>
      <c r="AP2525">
        <f>IF($E2525="","",IF(OR($U2525=TRUE(),$U2525="TRUE"),1,0))</f>
        <v/>
      </c>
      <c r="AQ2525">
        <f>IF($E2525="","",IF($AD2525="Yes",1,0))</f>
        <v/>
      </c>
      <c r="AR2525">
        <f>IF($AN2525=1,IFERROR(VALUE(MID($E2525,2,20)),1000000000)+ROW()/100000,"")</f>
        <v/>
      </c>
    </row>
    <row r="2526">
      <c r="G2526" s="11" t="n"/>
      <c r="Q2526" s="7">
        <f>IF($E2526="","",P2526*AB2526/100)</f>
        <v/>
      </c>
      <c r="R2526" s="7" t="n"/>
      <c r="X2526" s="7" t="n"/>
      <c r="Y2526" s="7">
        <f>IF($E2526="","",AB2526*AE2526/100)</f>
        <v/>
      </c>
      <c r="Z2526" s="7">
        <f>IF($E2526="","",AB2526-Y2526)</f>
        <v/>
      </c>
      <c r="AA2526" s="7">
        <f>IF($E2526="","",Z2526-Q2526)</f>
        <v/>
      </c>
      <c r="AB2526" s="7" t="n"/>
      <c r="AE2526">
        <f>IF($E2526="","",IF($AQ2526=1,0,IF($AP2526=1,Settings!$C$6,Settings!$C$7))*100)</f>
        <v/>
      </c>
      <c r="AI2526" s="7" t="n"/>
      <c r="AL2526" s="11" t="n"/>
      <c r="AN2526">
        <f>IF($E2526="","",IF(COUNTIF($E$2:$E2526,$E2526)=1,1,0))</f>
        <v/>
      </c>
      <c r="AO2526">
        <f>IF($AN2526=1,SUMPRODUCT(--($AR$2:$AR$3001&lt;$AR2526))+1,"")</f>
        <v/>
      </c>
      <c r="AP2526">
        <f>IF($E2526="","",IF(OR($U2526=TRUE(),$U2526="TRUE"),1,0))</f>
        <v/>
      </c>
      <c r="AQ2526">
        <f>IF($E2526="","",IF($AD2526="Yes",1,0))</f>
        <v/>
      </c>
      <c r="AR2526">
        <f>IF($AN2526=1,IFERROR(VALUE(MID($E2526,2,20)),1000000000)+ROW()/100000,"")</f>
        <v/>
      </c>
    </row>
    <row r="2527">
      <c r="G2527" s="11" t="n"/>
      <c r="Q2527" s="7">
        <f>IF($E2527="","",P2527*AB2527/100)</f>
        <v/>
      </c>
      <c r="R2527" s="7" t="n"/>
      <c r="X2527" s="7" t="n"/>
      <c r="Y2527" s="7">
        <f>IF($E2527="","",AB2527*AE2527/100)</f>
        <v/>
      </c>
      <c r="Z2527" s="7">
        <f>IF($E2527="","",AB2527-Y2527)</f>
        <v/>
      </c>
      <c r="AA2527" s="7">
        <f>IF($E2527="","",Z2527-Q2527)</f>
        <v/>
      </c>
      <c r="AB2527" s="7" t="n"/>
      <c r="AE2527">
        <f>IF($E2527="","",IF($AQ2527=1,0,IF($AP2527=1,Settings!$C$6,Settings!$C$7))*100)</f>
        <v/>
      </c>
      <c r="AI2527" s="7" t="n"/>
      <c r="AL2527" s="11" t="n"/>
      <c r="AN2527">
        <f>IF($E2527="","",IF(COUNTIF($E$2:$E2527,$E2527)=1,1,0))</f>
        <v/>
      </c>
      <c r="AO2527">
        <f>IF($AN2527=1,SUMPRODUCT(--($AR$2:$AR$3001&lt;$AR2527))+1,"")</f>
        <v/>
      </c>
      <c r="AP2527">
        <f>IF($E2527="","",IF(OR($U2527=TRUE(),$U2527="TRUE"),1,0))</f>
        <v/>
      </c>
      <c r="AQ2527">
        <f>IF($E2527="","",IF($AD2527="Yes",1,0))</f>
        <v/>
      </c>
      <c r="AR2527">
        <f>IF($AN2527=1,IFERROR(VALUE(MID($E2527,2,20)),1000000000)+ROW()/100000,"")</f>
        <v/>
      </c>
    </row>
    <row r="2528">
      <c r="G2528" s="11" t="n"/>
      <c r="Q2528" s="7">
        <f>IF($E2528="","",P2528*AB2528/100)</f>
        <v/>
      </c>
      <c r="R2528" s="7" t="n"/>
      <c r="X2528" s="7" t="n"/>
      <c r="Y2528" s="7">
        <f>IF($E2528="","",AB2528*AE2528/100)</f>
        <v/>
      </c>
      <c r="Z2528" s="7">
        <f>IF($E2528="","",AB2528-Y2528)</f>
        <v/>
      </c>
      <c r="AA2528" s="7">
        <f>IF($E2528="","",Z2528-Q2528)</f>
        <v/>
      </c>
      <c r="AB2528" s="7" t="n"/>
      <c r="AE2528">
        <f>IF($E2528="","",IF($AQ2528=1,0,IF($AP2528=1,Settings!$C$6,Settings!$C$7))*100)</f>
        <v/>
      </c>
      <c r="AI2528" s="7" t="n"/>
      <c r="AL2528" s="11" t="n"/>
      <c r="AN2528">
        <f>IF($E2528="","",IF(COUNTIF($E$2:$E2528,$E2528)=1,1,0))</f>
        <v/>
      </c>
      <c r="AO2528">
        <f>IF($AN2528=1,SUMPRODUCT(--($AR$2:$AR$3001&lt;$AR2528))+1,"")</f>
        <v/>
      </c>
      <c r="AP2528">
        <f>IF($E2528="","",IF(OR($U2528=TRUE(),$U2528="TRUE"),1,0))</f>
        <v/>
      </c>
      <c r="AQ2528">
        <f>IF($E2528="","",IF($AD2528="Yes",1,0))</f>
        <v/>
      </c>
      <c r="AR2528">
        <f>IF($AN2528=1,IFERROR(VALUE(MID($E2528,2,20)),1000000000)+ROW()/100000,"")</f>
        <v/>
      </c>
    </row>
    <row r="2529">
      <c r="G2529" s="11" t="n"/>
      <c r="Q2529" s="7">
        <f>IF($E2529="","",P2529*AB2529/100)</f>
        <v/>
      </c>
      <c r="R2529" s="7" t="n"/>
      <c r="X2529" s="7" t="n"/>
      <c r="Y2529" s="7">
        <f>IF($E2529="","",AB2529*AE2529/100)</f>
        <v/>
      </c>
      <c r="Z2529" s="7">
        <f>IF($E2529="","",AB2529-Y2529)</f>
        <v/>
      </c>
      <c r="AA2529" s="7">
        <f>IF($E2529="","",Z2529-Q2529)</f>
        <v/>
      </c>
      <c r="AB2529" s="7" t="n"/>
      <c r="AE2529">
        <f>IF($E2529="","",IF($AQ2529=1,0,IF($AP2529=1,Settings!$C$6,Settings!$C$7))*100)</f>
        <v/>
      </c>
      <c r="AI2529" s="7" t="n"/>
      <c r="AL2529" s="11" t="n"/>
      <c r="AN2529">
        <f>IF($E2529="","",IF(COUNTIF($E$2:$E2529,$E2529)=1,1,0))</f>
        <v/>
      </c>
      <c r="AO2529">
        <f>IF($AN2529=1,SUMPRODUCT(--($AR$2:$AR$3001&lt;$AR2529))+1,"")</f>
        <v/>
      </c>
      <c r="AP2529">
        <f>IF($E2529="","",IF(OR($U2529=TRUE(),$U2529="TRUE"),1,0))</f>
        <v/>
      </c>
      <c r="AQ2529">
        <f>IF($E2529="","",IF($AD2529="Yes",1,0))</f>
        <v/>
      </c>
      <c r="AR2529">
        <f>IF($AN2529=1,IFERROR(VALUE(MID($E2529,2,20)),1000000000)+ROW()/100000,"")</f>
        <v/>
      </c>
    </row>
    <row r="2530">
      <c r="G2530" s="11" t="n"/>
      <c r="Q2530" s="7">
        <f>IF($E2530="","",P2530*AB2530/100)</f>
        <v/>
      </c>
      <c r="R2530" s="7" t="n"/>
      <c r="X2530" s="7" t="n"/>
      <c r="Y2530" s="7">
        <f>IF($E2530="","",AB2530*AE2530/100)</f>
        <v/>
      </c>
      <c r="Z2530" s="7">
        <f>IF($E2530="","",AB2530-Y2530)</f>
        <v/>
      </c>
      <c r="AA2530" s="7">
        <f>IF($E2530="","",Z2530-Q2530)</f>
        <v/>
      </c>
      <c r="AB2530" s="7" t="n"/>
      <c r="AE2530">
        <f>IF($E2530="","",IF($AQ2530=1,0,IF($AP2530=1,Settings!$C$6,Settings!$C$7))*100)</f>
        <v/>
      </c>
      <c r="AI2530" s="7" t="n"/>
      <c r="AL2530" s="11" t="n"/>
      <c r="AN2530">
        <f>IF($E2530="","",IF(COUNTIF($E$2:$E2530,$E2530)=1,1,0))</f>
        <v/>
      </c>
      <c r="AO2530">
        <f>IF($AN2530=1,SUMPRODUCT(--($AR$2:$AR$3001&lt;$AR2530))+1,"")</f>
        <v/>
      </c>
      <c r="AP2530">
        <f>IF($E2530="","",IF(OR($U2530=TRUE(),$U2530="TRUE"),1,0))</f>
        <v/>
      </c>
      <c r="AQ2530">
        <f>IF($E2530="","",IF($AD2530="Yes",1,0))</f>
        <v/>
      </c>
      <c r="AR2530">
        <f>IF($AN2530=1,IFERROR(VALUE(MID($E2530,2,20)),1000000000)+ROW()/100000,"")</f>
        <v/>
      </c>
    </row>
    <row r="2531">
      <c r="G2531" s="11" t="n"/>
      <c r="Q2531" s="7">
        <f>IF($E2531="","",P2531*AB2531/100)</f>
        <v/>
      </c>
      <c r="R2531" s="7" t="n"/>
      <c r="X2531" s="7" t="n"/>
      <c r="Y2531" s="7">
        <f>IF($E2531="","",AB2531*AE2531/100)</f>
        <v/>
      </c>
      <c r="Z2531" s="7">
        <f>IF($E2531="","",AB2531-Y2531)</f>
        <v/>
      </c>
      <c r="AA2531" s="7">
        <f>IF($E2531="","",Z2531-Q2531)</f>
        <v/>
      </c>
      <c r="AB2531" s="7" t="n"/>
      <c r="AE2531">
        <f>IF($E2531="","",IF($AQ2531=1,0,IF($AP2531=1,Settings!$C$6,Settings!$C$7))*100)</f>
        <v/>
      </c>
      <c r="AI2531" s="7" t="n"/>
      <c r="AL2531" s="11" t="n"/>
      <c r="AN2531">
        <f>IF($E2531="","",IF(COUNTIF($E$2:$E2531,$E2531)=1,1,0))</f>
        <v/>
      </c>
      <c r="AO2531">
        <f>IF($AN2531=1,SUMPRODUCT(--($AR$2:$AR$3001&lt;$AR2531))+1,"")</f>
        <v/>
      </c>
      <c r="AP2531">
        <f>IF($E2531="","",IF(OR($U2531=TRUE(),$U2531="TRUE"),1,0))</f>
        <v/>
      </c>
      <c r="AQ2531">
        <f>IF($E2531="","",IF($AD2531="Yes",1,0))</f>
        <v/>
      </c>
      <c r="AR2531">
        <f>IF($AN2531=1,IFERROR(VALUE(MID($E2531,2,20)),1000000000)+ROW()/100000,"")</f>
        <v/>
      </c>
    </row>
    <row r="2532">
      <c r="G2532" s="11" t="n"/>
      <c r="Q2532" s="7">
        <f>IF($E2532="","",P2532*AB2532/100)</f>
        <v/>
      </c>
      <c r="R2532" s="7" t="n"/>
      <c r="X2532" s="7" t="n"/>
      <c r="Y2532" s="7">
        <f>IF($E2532="","",AB2532*AE2532/100)</f>
        <v/>
      </c>
      <c r="Z2532" s="7">
        <f>IF($E2532="","",AB2532-Y2532)</f>
        <v/>
      </c>
      <c r="AA2532" s="7">
        <f>IF($E2532="","",Z2532-Q2532)</f>
        <v/>
      </c>
      <c r="AB2532" s="7" t="n"/>
      <c r="AE2532">
        <f>IF($E2532="","",IF($AQ2532=1,0,IF($AP2532=1,Settings!$C$6,Settings!$C$7))*100)</f>
        <v/>
      </c>
      <c r="AI2532" s="7" t="n"/>
      <c r="AL2532" s="11" t="n"/>
      <c r="AN2532">
        <f>IF($E2532="","",IF(COUNTIF($E$2:$E2532,$E2532)=1,1,0))</f>
        <v/>
      </c>
      <c r="AO2532">
        <f>IF($AN2532=1,SUMPRODUCT(--($AR$2:$AR$3001&lt;$AR2532))+1,"")</f>
        <v/>
      </c>
      <c r="AP2532">
        <f>IF($E2532="","",IF(OR($U2532=TRUE(),$U2532="TRUE"),1,0))</f>
        <v/>
      </c>
      <c r="AQ2532">
        <f>IF($E2532="","",IF($AD2532="Yes",1,0))</f>
        <v/>
      </c>
      <c r="AR2532">
        <f>IF($AN2532=1,IFERROR(VALUE(MID($E2532,2,20)),1000000000)+ROW()/100000,"")</f>
        <v/>
      </c>
    </row>
    <row r="2533">
      <c r="G2533" s="11" t="n"/>
      <c r="Q2533" s="7">
        <f>IF($E2533="","",P2533*AB2533/100)</f>
        <v/>
      </c>
      <c r="R2533" s="7" t="n"/>
      <c r="X2533" s="7" t="n"/>
      <c r="Y2533" s="7">
        <f>IF($E2533="","",AB2533*AE2533/100)</f>
        <v/>
      </c>
      <c r="Z2533" s="7">
        <f>IF($E2533="","",AB2533-Y2533)</f>
        <v/>
      </c>
      <c r="AA2533" s="7">
        <f>IF($E2533="","",Z2533-Q2533)</f>
        <v/>
      </c>
      <c r="AB2533" s="7" t="n"/>
      <c r="AE2533">
        <f>IF($E2533="","",IF($AQ2533=1,0,IF($AP2533=1,Settings!$C$6,Settings!$C$7))*100)</f>
        <v/>
      </c>
      <c r="AI2533" s="7" t="n"/>
      <c r="AL2533" s="11" t="n"/>
      <c r="AN2533">
        <f>IF($E2533="","",IF(COUNTIF($E$2:$E2533,$E2533)=1,1,0))</f>
        <v/>
      </c>
      <c r="AO2533">
        <f>IF($AN2533=1,SUMPRODUCT(--($AR$2:$AR$3001&lt;$AR2533))+1,"")</f>
        <v/>
      </c>
      <c r="AP2533">
        <f>IF($E2533="","",IF(OR($U2533=TRUE(),$U2533="TRUE"),1,0))</f>
        <v/>
      </c>
      <c r="AQ2533">
        <f>IF($E2533="","",IF($AD2533="Yes",1,0))</f>
        <v/>
      </c>
      <c r="AR2533">
        <f>IF($AN2533=1,IFERROR(VALUE(MID($E2533,2,20)),1000000000)+ROW()/100000,"")</f>
        <v/>
      </c>
    </row>
    <row r="2534">
      <c r="G2534" s="11" t="n"/>
      <c r="Q2534" s="7">
        <f>IF($E2534="","",P2534*AB2534/100)</f>
        <v/>
      </c>
      <c r="R2534" s="7" t="n"/>
      <c r="X2534" s="7" t="n"/>
      <c r="Y2534" s="7">
        <f>IF($E2534="","",AB2534*AE2534/100)</f>
        <v/>
      </c>
      <c r="Z2534" s="7">
        <f>IF($E2534="","",AB2534-Y2534)</f>
        <v/>
      </c>
      <c r="AA2534" s="7">
        <f>IF($E2534="","",Z2534-Q2534)</f>
        <v/>
      </c>
      <c r="AB2534" s="7" t="n"/>
      <c r="AE2534">
        <f>IF($E2534="","",IF($AQ2534=1,0,IF($AP2534=1,Settings!$C$6,Settings!$C$7))*100)</f>
        <v/>
      </c>
      <c r="AI2534" s="7" t="n"/>
      <c r="AL2534" s="11" t="n"/>
      <c r="AN2534">
        <f>IF($E2534="","",IF(COUNTIF($E$2:$E2534,$E2534)=1,1,0))</f>
        <v/>
      </c>
      <c r="AO2534">
        <f>IF($AN2534=1,SUMPRODUCT(--($AR$2:$AR$3001&lt;$AR2534))+1,"")</f>
        <v/>
      </c>
      <c r="AP2534">
        <f>IF($E2534="","",IF(OR($U2534=TRUE(),$U2534="TRUE"),1,0))</f>
        <v/>
      </c>
      <c r="AQ2534">
        <f>IF($E2534="","",IF($AD2534="Yes",1,0))</f>
        <v/>
      </c>
      <c r="AR2534">
        <f>IF($AN2534=1,IFERROR(VALUE(MID($E2534,2,20)),1000000000)+ROW()/100000,"")</f>
        <v/>
      </c>
    </row>
    <row r="2535">
      <c r="G2535" s="11" t="n"/>
      <c r="Q2535" s="7">
        <f>IF($E2535="","",P2535*AB2535/100)</f>
        <v/>
      </c>
      <c r="R2535" s="7" t="n"/>
      <c r="X2535" s="7" t="n"/>
      <c r="Y2535" s="7">
        <f>IF($E2535="","",AB2535*AE2535/100)</f>
        <v/>
      </c>
      <c r="Z2535" s="7">
        <f>IF($E2535="","",AB2535-Y2535)</f>
        <v/>
      </c>
      <c r="AA2535" s="7">
        <f>IF($E2535="","",Z2535-Q2535)</f>
        <v/>
      </c>
      <c r="AB2535" s="7" t="n"/>
      <c r="AE2535">
        <f>IF($E2535="","",IF($AQ2535=1,0,IF($AP2535=1,Settings!$C$6,Settings!$C$7))*100)</f>
        <v/>
      </c>
      <c r="AI2535" s="7" t="n"/>
      <c r="AL2535" s="11" t="n"/>
      <c r="AN2535">
        <f>IF($E2535="","",IF(COUNTIF($E$2:$E2535,$E2535)=1,1,0))</f>
        <v/>
      </c>
      <c r="AO2535">
        <f>IF($AN2535=1,SUMPRODUCT(--($AR$2:$AR$3001&lt;$AR2535))+1,"")</f>
        <v/>
      </c>
      <c r="AP2535">
        <f>IF($E2535="","",IF(OR($U2535=TRUE(),$U2535="TRUE"),1,0))</f>
        <v/>
      </c>
      <c r="AQ2535">
        <f>IF($E2535="","",IF($AD2535="Yes",1,0))</f>
        <v/>
      </c>
      <c r="AR2535">
        <f>IF($AN2535=1,IFERROR(VALUE(MID($E2535,2,20)),1000000000)+ROW()/100000,"")</f>
        <v/>
      </c>
    </row>
    <row r="2536">
      <c r="G2536" s="11" t="n"/>
      <c r="Q2536" s="7">
        <f>IF($E2536="","",P2536*AB2536/100)</f>
        <v/>
      </c>
      <c r="R2536" s="7" t="n"/>
      <c r="X2536" s="7" t="n"/>
      <c r="Y2536" s="7">
        <f>IF($E2536="","",AB2536*AE2536/100)</f>
        <v/>
      </c>
      <c r="Z2536" s="7">
        <f>IF($E2536="","",AB2536-Y2536)</f>
        <v/>
      </c>
      <c r="AA2536" s="7">
        <f>IF($E2536="","",Z2536-Q2536)</f>
        <v/>
      </c>
      <c r="AB2536" s="7" t="n"/>
      <c r="AE2536">
        <f>IF($E2536="","",IF($AQ2536=1,0,IF($AP2536=1,Settings!$C$6,Settings!$C$7))*100)</f>
        <v/>
      </c>
      <c r="AI2536" s="7" t="n"/>
      <c r="AL2536" s="11" t="n"/>
      <c r="AN2536">
        <f>IF($E2536="","",IF(COUNTIF($E$2:$E2536,$E2536)=1,1,0))</f>
        <v/>
      </c>
      <c r="AO2536">
        <f>IF($AN2536=1,SUMPRODUCT(--($AR$2:$AR$3001&lt;$AR2536))+1,"")</f>
        <v/>
      </c>
      <c r="AP2536">
        <f>IF($E2536="","",IF(OR($U2536=TRUE(),$U2536="TRUE"),1,0))</f>
        <v/>
      </c>
      <c r="AQ2536">
        <f>IF($E2536="","",IF($AD2536="Yes",1,0))</f>
        <v/>
      </c>
      <c r="AR2536">
        <f>IF($AN2536=1,IFERROR(VALUE(MID($E2536,2,20)),1000000000)+ROW()/100000,"")</f>
        <v/>
      </c>
    </row>
    <row r="2537">
      <c r="G2537" s="11" t="n"/>
      <c r="Q2537" s="7">
        <f>IF($E2537="","",P2537*AB2537/100)</f>
        <v/>
      </c>
      <c r="R2537" s="7" t="n"/>
      <c r="X2537" s="7" t="n"/>
      <c r="Y2537" s="7">
        <f>IF($E2537="","",AB2537*AE2537/100)</f>
        <v/>
      </c>
      <c r="Z2537" s="7">
        <f>IF($E2537="","",AB2537-Y2537)</f>
        <v/>
      </c>
      <c r="AA2537" s="7">
        <f>IF($E2537="","",Z2537-Q2537)</f>
        <v/>
      </c>
      <c r="AB2537" s="7" t="n"/>
      <c r="AE2537">
        <f>IF($E2537="","",IF($AQ2537=1,0,IF($AP2537=1,Settings!$C$6,Settings!$C$7))*100)</f>
        <v/>
      </c>
      <c r="AI2537" s="7" t="n"/>
      <c r="AL2537" s="11" t="n"/>
      <c r="AN2537">
        <f>IF($E2537="","",IF(COUNTIF($E$2:$E2537,$E2537)=1,1,0))</f>
        <v/>
      </c>
      <c r="AO2537">
        <f>IF($AN2537=1,SUMPRODUCT(--($AR$2:$AR$3001&lt;$AR2537))+1,"")</f>
        <v/>
      </c>
      <c r="AP2537">
        <f>IF($E2537="","",IF(OR($U2537=TRUE(),$U2537="TRUE"),1,0))</f>
        <v/>
      </c>
      <c r="AQ2537">
        <f>IF($E2537="","",IF($AD2537="Yes",1,0))</f>
        <v/>
      </c>
      <c r="AR2537">
        <f>IF($AN2537=1,IFERROR(VALUE(MID($E2537,2,20)),1000000000)+ROW()/100000,"")</f>
        <v/>
      </c>
    </row>
    <row r="2538">
      <c r="G2538" s="11" t="n"/>
      <c r="Q2538" s="7">
        <f>IF($E2538="","",P2538*AB2538/100)</f>
        <v/>
      </c>
      <c r="R2538" s="7" t="n"/>
      <c r="X2538" s="7" t="n"/>
      <c r="Y2538" s="7">
        <f>IF($E2538="","",AB2538*AE2538/100)</f>
        <v/>
      </c>
      <c r="Z2538" s="7">
        <f>IF($E2538="","",AB2538-Y2538)</f>
        <v/>
      </c>
      <c r="AA2538" s="7">
        <f>IF($E2538="","",Z2538-Q2538)</f>
        <v/>
      </c>
      <c r="AB2538" s="7" t="n"/>
      <c r="AE2538">
        <f>IF($E2538="","",IF($AQ2538=1,0,IF($AP2538=1,Settings!$C$6,Settings!$C$7))*100)</f>
        <v/>
      </c>
      <c r="AI2538" s="7" t="n"/>
      <c r="AL2538" s="11" t="n"/>
      <c r="AN2538">
        <f>IF($E2538="","",IF(COUNTIF($E$2:$E2538,$E2538)=1,1,0))</f>
        <v/>
      </c>
      <c r="AO2538">
        <f>IF($AN2538=1,SUMPRODUCT(--($AR$2:$AR$3001&lt;$AR2538))+1,"")</f>
        <v/>
      </c>
      <c r="AP2538">
        <f>IF($E2538="","",IF(OR($U2538=TRUE(),$U2538="TRUE"),1,0))</f>
        <v/>
      </c>
      <c r="AQ2538">
        <f>IF($E2538="","",IF($AD2538="Yes",1,0))</f>
        <v/>
      </c>
      <c r="AR2538">
        <f>IF($AN2538=1,IFERROR(VALUE(MID($E2538,2,20)),1000000000)+ROW()/100000,"")</f>
        <v/>
      </c>
    </row>
    <row r="2539">
      <c r="G2539" s="11" t="n"/>
      <c r="Q2539" s="7">
        <f>IF($E2539="","",P2539*AB2539/100)</f>
        <v/>
      </c>
      <c r="R2539" s="7" t="n"/>
      <c r="X2539" s="7" t="n"/>
      <c r="Y2539" s="7">
        <f>IF($E2539="","",AB2539*AE2539/100)</f>
        <v/>
      </c>
      <c r="Z2539" s="7">
        <f>IF($E2539="","",AB2539-Y2539)</f>
        <v/>
      </c>
      <c r="AA2539" s="7">
        <f>IF($E2539="","",Z2539-Q2539)</f>
        <v/>
      </c>
      <c r="AB2539" s="7" t="n"/>
      <c r="AE2539">
        <f>IF($E2539="","",IF($AQ2539=1,0,IF($AP2539=1,Settings!$C$6,Settings!$C$7))*100)</f>
        <v/>
      </c>
      <c r="AI2539" s="7" t="n"/>
      <c r="AL2539" s="11" t="n"/>
      <c r="AN2539">
        <f>IF($E2539="","",IF(COUNTIF($E$2:$E2539,$E2539)=1,1,0))</f>
        <v/>
      </c>
      <c r="AO2539">
        <f>IF($AN2539=1,SUMPRODUCT(--($AR$2:$AR$3001&lt;$AR2539))+1,"")</f>
        <v/>
      </c>
      <c r="AP2539">
        <f>IF($E2539="","",IF(OR($U2539=TRUE(),$U2539="TRUE"),1,0))</f>
        <v/>
      </c>
      <c r="AQ2539">
        <f>IF($E2539="","",IF($AD2539="Yes",1,0))</f>
        <v/>
      </c>
      <c r="AR2539">
        <f>IF($AN2539=1,IFERROR(VALUE(MID($E2539,2,20)),1000000000)+ROW()/100000,"")</f>
        <v/>
      </c>
    </row>
    <row r="2540">
      <c r="G2540" s="11" t="n"/>
      <c r="Q2540" s="7">
        <f>IF($E2540="","",P2540*AB2540/100)</f>
        <v/>
      </c>
      <c r="R2540" s="7" t="n"/>
      <c r="X2540" s="7" t="n"/>
      <c r="Y2540" s="7">
        <f>IF($E2540="","",AB2540*AE2540/100)</f>
        <v/>
      </c>
      <c r="Z2540" s="7">
        <f>IF($E2540="","",AB2540-Y2540)</f>
        <v/>
      </c>
      <c r="AA2540" s="7">
        <f>IF($E2540="","",Z2540-Q2540)</f>
        <v/>
      </c>
      <c r="AB2540" s="7" t="n"/>
      <c r="AE2540">
        <f>IF($E2540="","",IF($AQ2540=1,0,IF($AP2540=1,Settings!$C$6,Settings!$C$7))*100)</f>
        <v/>
      </c>
      <c r="AI2540" s="7" t="n"/>
      <c r="AL2540" s="11" t="n"/>
      <c r="AN2540">
        <f>IF($E2540="","",IF(COUNTIF($E$2:$E2540,$E2540)=1,1,0))</f>
        <v/>
      </c>
      <c r="AO2540">
        <f>IF($AN2540=1,SUMPRODUCT(--($AR$2:$AR$3001&lt;$AR2540))+1,"")</f>
        <v/>
      </c>
      <c r="AP2540">
        <f>IF($E2540="","",IF(OR($U2540=TRUE(),$U2540="TRUE"),1,0))</f>
        <v/>
      </c>
      <c r="AQ2540">
        <f>IF($E2540="","",IF($AD2540="Yes",1,0))</f>
        <v/>
      </c>
      <c r="AR2540">
        <f>IF($AN2540=1,IFERROR(VALUE(MID($E2540,2,20)),1000000000)+ROW()/100000,"")</f>
        <v/>
      </c>
    </row>
    <row r="2541">
      <c r="G2541" s="11" t="n"/>
      <c r="Q2541" s="7">
        <f>IF($E2541="","",P2541*AB2541/100)</f>
        <v/>
      </c>
      <c r="R2541" s="7" t="n"/>
      <c r="X2541" s="7" t="n"/>
      <c r="Y2541" s="7">
        <f>IF($E2541="","",AB2541*AE2541/100)</f>
        <v/>
      </c>
      <c r="Z2541" s="7">
        <f>IF($E2541="","",AB2541-Y2541)</f>
        <v/>
      </c>
      <c r="AA2541" s="7">
        <f>IF($E2541="","",Z2541-Q2541)</f>
        <v/>
      </c>
      <c r="AB2541" s="7" t="n"/>
      <c r="AE2541">
        <f>IF($E2541="","",IF($AQ2541=1,0,IF($AP2541=1,Settings!$C$6,Settings!$C$7))*100)</f>
        <v/>
      </c>
      <c r="AI2541" s="7" t="n"/>
      <c r="AL2541" s="11" t="n"/>
      <c r="AN2541">
        <f>IF($E2541="","",IF(COUNTIF($E$2:$E2541,$E2541)=1,1,0))</f>
        <v/>
      </c>
      <c r="AO2541">
        <f>IF($AN2541=1,SUMPRODUCT(--($AR$2:$AR$3001&lt;$AR2541))+1,"")</f>
        <v/>
      </c>
      <c r="AP2541">
        <f>IF($E2541="","",IF(OR($U2541=TRUE(),$U2541="TRUE"),1,0))</f>
        <v/>
      </c>
      <c r="AQ2541">
        <f>IF($E2541="","",IF($AD2541="Yes",1,0))</f>
        <v/>
      </c>
      <c r="AR2541">
        <f>IF($AN2541=1,IFERROR(VALUE(MID($E2541,2,20)),1000000000)+ROW()/100000,"")</f>
        <v/>
      </c>
    </row>
    <row r="2542">
      <c r="G2542" s="11" t="n"/>
      <c r="Q2542" s="7">
        <f>IF($E2542="","",P2542*AB2542/100)</f>
        <v/>
      </c>
      <c r="R2542" s="7" t="n"/>
      <c r="X2542" s="7" t="n"/>
      <c r="Y2542" s="7">
        <f>IF($E2542="","",AB2542*AE2542/100)</f>
        <v/>
      </c>
      <c r="Z2542" s="7">
        <f>IF($E2542="","",AB2542-Y2542)</f>
        <v/>
      </c>
      <c r="AA2542" s="7">
        <f>IF($E2542="","",Z2542-Q2542)</f>
        <v/>
      </c>
      <c r="AB2542" s="7" t="n"/>
      <c r="AE2542">
        <f>IF($E2542="","",IF($AQ2542=1,0,IF($AP2542=1,Settings!$C$6,Settings!$C$7))*100)</f>
        <v/>
      </c>
      <c r="AI2542" s="7" t="n"/>
      <c r="AL2542" s="11" t="n"/>
      <c r="AN2542">
        <f>IF($E2542="","",IF(COUNTIF($E$2:$E2542,$E2542)=1,1,0))</f>
        <v/>
      </c>
      <c r="AO2542">
        <f>IF($AN2542=1,SUMPRODUCT(--($AR$2:$AR$3001&lt;$AR2542))+1,"")</f>
        <v/>
      </c>
      <c r="AP2542">
        <f>IF($E2542="","",IF(OR($U2542=TRUE(),$U2542="TRUE"),1,0))</f>
        <v/>
      </c>
      <c r="AQ2542">
        <f>IF($E2542="","",IF($AD2542="Yes",1,0))</f>
        <v/>
      </c>
      <c r="AR2542">
        <f>IF($AN2542=1,IFERROR(VALUE(MID($E2542,2,20)),1000000000)+ROW()/100000,"")</f>
        <v/>
      </c>
    </row>
    <row r="2543">
      <c r="G2543" s="11" t="n"/>
      <c r="Q2543" s="7">
        <f>IF($E2543="","",P2543*AB2543/100)</f>
        <v/>
      </c>
      <c r="R2543" s="7" t="n"/>
      <c r="X2543" s="7" t="n"/>
      <c r="Y2543" s="7">
        <f>IF($E2543="","",AB2543*AE2543/100)</f>
        <v/>
      </c>
      <c r="Z2543" s="7">
        <f>IF($E2543="","",AB2543-Y2543)</f>
        <v/>
      </c>
      <c r="AA2543" s="7">
        <f>IF($E2543="","",Z2543-Q2543)</f>
        <v/>
      </c>
      <c r="AB2543" s="7" t="n"/>
      <c r="AE2543">
        <f>IF($E2543="","",IF($AQ2543=1,0,IF($AP2543=1,Settings!$C$6,Settings!$C$7))*100)</f>
        <v/>
      </c>
      <c r="AI2543" s="7" t="n"/>
      <c r="AL2543" s="11" t="n"/>
      <c r="AN2543">
        <f>IF($E2543="","",IF(COUNTIF($E$2:$E2543,$E2543)=1,1,0))</f>
        <v/>
      </c>
      <c r="AO2543">
        <f>IF($AN2543=1,SUMPRODUCT(--($AR$2:$AR$3001&lt;$AR2543))+1,"")</f>
        <v/>
      </c>
      <c r="AP2543">
        <f>IF($E2543="","",IF(OR($U2543=TRUE(),$U2543="TRUE"),1,0))</f>
        <v/>
      </c>
      <c r="AQ2543">
        <f>IF($E2543="","",IF($AD2543="Yes",1,0))</f>
        <v/>
      </c>
      <c r="AR2543">
        <f>IF($AN2543=1,IFERROR(VALUE(MID($E2543,2,20)),1000000000)+ROW()/100000,"")</f>
        <v/>
      </c>
    </row>
    <row r="2544">
      <c r="G2544" s="11" t="n"/>
      <c r="Q2544" s="7">
        <f>IF($E2544="","",P2544*AB2544/100)</f>
        <v/>
      </c>
      <c r="R2544" s="7" t="n"/>
      <c r="X2544" s="7" t="n"/>
      <c r="Y2544" s="7">
        <f>IF($E2544="","",AB2544*AE2544/100)</f>
        <v/>
      </c>
      <c r="Z2544" s="7">
        <f>IF($E2544="","",AB2544-Y2544)</f>
        <v/>
      </c>
      <c r="AA2544" s="7">
        <f>IF($E2544="","",Z2544-Q2544)</f>
        <v/>
      </c>
      <c r="AB2544" s="7" t="n"/>
      <c r="AE2544">
        <f>IF($E2544="","",IF($AQ2544=1,0,IF($AP2544=1,Settings!$C$6,Settings!$C$7))*100)</f>
        <v/>
      </c>
      <c r="AI2544" s="7" t="n"/>
      <c r="AL2544" s="11" t="n"/>
      <c r="AN2544">
        <f>IF($E2544="","",IF(COUNTIF($E$2:$E2544,$E2544)=1,1,0))</f>
        <v/>
      </c>
      <c r="AO2544">
        <f>IF($AN2544=1,SUMPRODUCT(--($AR$2:$AR$3001&lt;$AR2544))+1,"")</f>
        <v/>
      </c>
      <c r="AP2544">
        <f>IF($E2544="","",IF(OR($U2544=TRUE(),$U2544="TRUE"),1,0))</f>
        <v/>
      </c>
      <c r="AQ2544">
        <f>IF($E2544="","",IF($AD2544="Yes",1,0))</f>
        <v/>
      </c>
      <c r="AR2544">
        <f>IF($AN2544=1,IFERROR(VALUE(MID($E2544,2,20)),1000000000)+ROW()/100000,"")</f>
        <v/>
      </c>
    </row>
    <row r="2545">
      <c r="G2545" s="11" t="n"/>
      <c r="Q2545" s="7">
        <f>IF($E2545="","",P2545*AB2545/100)</f>
        <v/>
      </c>
      <c r="R2545" s="7" t="n"/>
      <c r="X2545" s="7" t="n"/>
      <c r="Y2545" s="7">
        <f>IF($E2545="","",AB2545*AE2545/100)</f>
        <v/>
      </c>
      <c r="Z2545" s="7">
        <f>IF($E2545="","",AB2545-Y2545)</f>
        <v/>
      </c>
      <c r="AA2545" s="7">
        <f>IF($E2545="","",Z2545-Q2545)</f>
        <v/>
      </c>
      <c r="AB2545" s="7" t="n"/>
      <c r="AE2545">
        <f>IF($E2545="","",IF($AQ2545=1,0,IF($AP2545=1,Settings!$C$6,Settings!$C$7))*100)</f>
        <v/>
      </c>
      <c r="AI2545" s="7" t="n"/>
      <c r="AL2545" s="11" t="n"/>
      <c r="AN2545">
        <f>IF($E2545="","",IF(COUNTIF($E$2:$E2545,$E2545)=1,1,0))</f>
        <v/>
      </c>
      <c r="AO2545">
        <f>IF($AN2545=1,SUMPRODUCT(--($AR$2:$AR$3001&lt;$AR2545))+1,"")</f>
        <v/>
      </c>
      <c r="AP2545">
        <f>IF($E2545="","",IF(OR($U2545=TRUE(),$U2545="TRUE"),1,0))</f>
        <v/>
      </c>
      <c r="AQ2545">
        <f>IF($E2545="","",IF($AD2545="Yes",1,0))</f>
        <v/>
      </c>
      <c r="AR2545">
        <f>IF($AN2545=1,IFERROR(VALUE(MID($E2545,2,20)),1000000000)+ROW()/100000,"")</f>
        <v/>
      </c>
    </row>
    <row r="2546">
      <c r="G2546" s="11" t="n"/>
      <c r="Q2546" s="7">
        <f>IF($E2546="","",P2546*AB2546/100)</f>
        <v/>
      </c>
      <c r="R2546" s="7" t="n"/>
      <c r="X2546" s="7" t="n"/>
      <c r="Y2546" s="7">
        <f>IF($E2546="","",AB2546*AE2546/100)</f>
        <v/>
      </c>
      <c r="Z2546" s="7">
        <f>IF($E2546="","",AB2546-Y2546)</f>
        <v/>
      </c>
      <c r="AA2546" s="7">
        <f>IF($E2546="","",Z2546-Q2546)</f>
        <v/>
      </c>
      <c r="AB2546" s="7" t="n"/>
      <c r="AE2546">
        <f>IF($E2546="","",IF($AQ2546=1,0,IF($AP2546=1,Settings!$C$6,Settings!$C$7))*100)</f>
        <v/>
      </c>
      <c r="AI2546" s="7" t="n"/>
      <c r="AL2546" s="11" t="n"/>
      <c r="AN2546">
        <f>IF($E2546="","",IF(COUNTIF($E$2:$E2546,$E2546)=1,1,0))</f>
        <v/>
      </c>
      <c r="AO2546">
        <f>IF($AN2546=1,SUMPRODUCT(--($AR$2:$AR$3001&lt;$AR2546))+1,"")</f>
        <v/>
      </c>
      <c r="AP2546">
        <f>IF($E2546="","",IF(OR($U2546=TRUE(),$U2546="TRUE"),1,0))</f>
        <v/>
      </c>
      <c r="AQ2546">
        <f>IF($E2546="","",IF($AD2546="Yes",1,0))</f>
        <v/>
      </c>
      <c r="AR2546">
        <f>IF($AN2546=1,IFERROR(VALUE(MID($E2546,2,20)),1000000000)+ROW()/100000,"")</f>
        <v/>
      </c>
    </row>
    <row r="2547">
      <c r="G2547" s="11" t="n"/>
      <c r="Q2547" s="7">
        <f>IF($E2547="","",P2547*AB2547/100)</f>
        <v/>
      </c>
      <c r="R2547" s="7" t="n"/>
      <c r="X2547" s="7" t="n"/>
      <c r="Y2547" s="7">
        <f>IF($E2547="","",AB2547*AE2547/100)</f>
        <v/>
      </c>
      <c r="Z2547" s="7">
        <f>IF($E2547="","",AB2547-Y2547)</f>
        <v/>
      </c>
      <c r="AA2547" s="7">
        <f>IF($E2547="","",Z2547-Q2547)</f>
        <v/>
      </c>
      <c r="AB2547" s="7" t="n"/>
      <c r="AE2547">
        <f>IF($E2547="","",IF($AQ2547=1,0,IF($AP2547=1,Settings!$C$6,Settings!$C$7))*100)</f>
        <v/>
      </c>
      <c r="AI2547" s="7" t="n"/>
      <c r="AL2547" s="11" t="n"/>
      <c r="AN2547">
        <f>IF($E2547="","",IF(COUNTIF($E$2:$E2547,$E2547)=1,1,0))</f>
        <v/>
      </c>
      <c r="AO2547">
        <f>IF($AN2547=1,SUMPRODUCT(--($AR$2:$AR$3001&lt;$AR2547))+1,"")</f>
        <v/>
      </c>
      <c r="AP2547">
        <f>IF($E2547="","",IF(OR($U2547=TRUE(),$U2547="TRUE"),1,0))</f>
        <v/>
      </c>
      <c r="AQ2547">
        <f>IF($E2547="","",IF($AD2547="Yes",1,0))</f>
        <v/>
      </c>
      <c r="AR2547">
        <f>IF($AN2547=1,IFERROR(VALUE(MID($E2547,2,20)),1000000000)+ROW()/100000,"")</f>
        <v/>
      </c>
    </row>
    <row r="2548">
      <c r="G2548" s="11" t="n"/>
      <c r="Q2548" s="7">
        <f>IF($E2548="","",P2548*AB2548/100)</f>
        <v/>
      </c>
      <c r="R2548" s="7" t="n"/>
      <c r="X2548" s="7" t="n"/>
      <c r="Y2548" s="7">
        <f>IF($E2548="","",AB2548*AE2548/100)</f>
        <v/>
      </c>
      <c r="Z2548" s="7">
        <f>IF($E2548="","",AB2548-Y2548)</f>
        <v/>
      </c>
      <c r="AA2548" s="7">
        <f>IF($E2548="","",Z2548-Q2548)</f>
        <v/>
      </c>
      <c r="AB2548" s="7" t="n"/>
      <c r="AE2548">
        <f>IF($E2548="","",IF($AQ2548=1,0,IF($AP2548=1,Settings!$C$6,Settings!$C$7))*100)</f>
        <v/>
      </c>
      <c r="AI2548" s="7" t="n"/>
      <c r="AL2548" s="11" t="n"/>
      <c r="AN2548">
        <f>IF($E2548="","",IF(COUNTIF($E$2:$E2548,$E2548)=1,1,0))</f>
        <v/>
      </c>
      <c r="AO2548">
        <f>IF($AN2548=1,SUMPRODUCT(--($AR$2:$AR$3001&lt;$AR2548))+1,"")</f>
        <v/>
      </c>
      <c r="AP2548">
        <f>IF($E2548="","",IF(OR($U2548=TRUE(),$U2548="TRUE"),1,0))</f>
        <v/>
      </c>
      <c r="AQ2548">
        <f>IF($E2548="","",IF($AD2548="Yes",1,0))</f>
        <v/>
      </c>
      <c r="AR2548">
        <f>IF($AN2548=1,IFERROR(VALUE(MID($E2548,2,20)),1000000000)+ROW()/100000,"")</f>
        <v/>
      </c>
    </row>
    <row r="2549">
      <c r="G2549" s="11" t="n"/>
      <c r="Q2549" s="7">
        <f>IF($E2549="","",P2549*AB2549/100)</f>
        <v/>
      </c>
      <c r="R2549" s="7" t="n"/>
      <c r="X2549" s="7" t="n"/>
      <c r="Y2549" s="7">
        <f>IF($E2549="","",AB2549*AE2549/100)</f>
        <v/>
      </c>
      <c r="Z2549" s="7">
        <f>IF($E2549="","",AB2549-Y2549)</f>
        <v/>
      </c>
      <c r="AA2549" s="7">
        <f>IF($E2549="","",Z2549-Q2549)</f>
        <v/>
      </c>
      <c r="AB2549" s="7" t="n"/>
      <c r="AE2549">
        <f>IF($E2549="","",IF($AQ2549=1,0,IF($AP2549=1,Settings!$C$6,Settings!$C$7))*100)</f>
        <v/>
      </c>
      <c r="AI2549" s="7" t="n"/>
      <c r="AL2549" s="11" t="n"/>
      <c r="AN2549">
        <f>IF($E2549="","",IF(COUNTIF($E$2:$E2549,$E2549)=1,1,0))</f>
        <v/>
      </c>
      <c r="AO2549">
        <f>IF($AN2549=1,SUMPRODUCT(--($AR$2:$AR$3001&lt;$AR2549))+1,"")</f>
        <v/>
      </c>
      <c r="AP2549">
        <f>IF($E2549="","",IF(OR($U2549=TRUE(),$U2549="TRUE"),1,0))</f>
        <v/>
      </c>
      <c r="AQ2549">
        <f>IF($E2549="","",IF($AD2549="Yes",1,0))</f>
        <v/>
      </c>
      <c r="AR2549">
        <f>IF($AN2549=1,IFERROR(VALUE(MID($E2549,2,20)),1000000000)+ROW()/100000,"")</f>
        <v/>
      </c>
    </row>
    <row r="2550">
      <c r="G2550" s="11" t="n"/>
      <c r="Q2550" s="7">
        <f>IF($E2550="","",P2550*AB2550/100)</f>
        <v/>
      </c>
      <c r="R2550" s="7" t="n"/>
      <c r="X2550" s="7" t="n"/>
      <c r="Y2550" s="7">
        <f>IF($E2550="","",AB2550*AE2550/100)</f>
        <v/>
      </c>
      <c r="Z2550" s="7">
        <f>IF($E2550="","",AB2550-Y2550)</f>
        <v/>
      </c>
      <c r="AA2550" s="7">
        <f>IF($E2550="","",Z2550-Q2550)</f>
        <v/>
      </c>
      <c r="AB2550" s="7" t="n"/>
      <c r="AE2550">
        <f>IF($E2550="","",IF($AQ2550=1,0,IF($AP2550=1,Settings!$C$6,Settings!$C$7))*100)</f>
        <v/>
      </c>
      <c r="AI2550" s="7" t="n"/>
      <c r="AL2550" s="11" t="n"/>
      <c r="AN2550">
        <f>IF($E2550="","",IF(COUNTIF($E$2:$E2550,$E2550)=1,1,0))</f>
        <v/>
      </c>
      <c r="AO2550">
        <f>IF($AN2550=1,SUMPRODUCT(--($AR$2:$AR$3001&lt;$AR2550))+1,"")</f>
        <v/>
      </c>
      <c r="AP2550">
        <f>IF($E2550="","",IF(OR($U2550=TRUE(),$U2550="TRUE"),1,0))</f>
        <v/>
      </c>
      <c r="AQ2550">
        <f>IF($E2550="","",IF($AD2550="Yes",1,0))</f>
        <v/>
      </c>
      <c r="AR2550">
        <f>IF($AN2550=1,IFERROR(VALUE(MID($E2550,2,20)),1000000000)+ROW()/100000,"")</f>
        <v/>
      </c>
    </row>
    <row r="2551">
      <c r="G2551" s="11" t="n"/>
      <c r="Q2551" s="7">
        <f>IF($E2551="","",P2551*AB2551/100)</f>
        <v/>
      </c>
      <c r="R2551" s="7" t="n"/>
      <c r="X2551" s="7" t="n"/>
      <c r="Y2551" s="7">
        <f>IF($E2551="","",AB2551*AE2551/100)</f>
        <v/>
      </c>
      <c r="Z2551" s="7">
        <f>IF($E2551="","",AB2551-Y2551)</f>
        <v/>
      </c>
      <c r="AA2551" s="7">
        <f>IF($E2551="","",Z2551-Q2551)</f>
        <v/>
      </c>
      <c r="AB2551" s="7" t="n"/>
      <c r="AE2551">
        <f>IF($E2551="","",IF($AQ2551=1,0,IF($AP2551=1,Settings!$C$6,Settings!$C$7))*100)</f>
        <v/>
      </c>
      <c r="AI2551" s="7" t="n"/>
      <c r="AL2551" s="11" t="n"/>
      <c r="AN2551">
        <f>IF($E2551="","",IF(COUNTIF($E$2:$E2551,$E2551)=1,1,0))</f>
        <v/>
      </c>
      <c r="AO2551">
        <f>IF($AN2551=1,SUMPRODUCT(--($AR$2:$AR$3001&lt;$AR2551))+1,"")</f>
        <v/>
      </c>
      <c r="AP2551">
        <f>IF($E2551="","",IF(OR($U2551=TRUE(),$U2551="TRUE"),1,0))</f>
        <v/>
      </c>
      <c r="AQ2551">
        <f>IF($E2551="","",IF($AD2551="Yes",1,0))</f>
        <v/>
      </c>
      <c r="AR2551">
        <f>IF($AN2551=1,IFERROR(VALUE(MID($E2551,2,20)),1000000000)+ROW()/100000,"")</f>
        <v/>
      </c>
    </row>
    <row r="2552">
      <c r="G2552" s="11" t="n"/>
      <c r="Q2552" s="7">
        <f>IF($E2552="","",P2552*AB2552/100)</f>
        <v/>
      </c>
      <c r="R2552" s="7" t="n"/>
      <c r="X2552" s="7" t="n"/>
      <c r="Y2552" s="7">
        <f>IF($E2552="","",AB2552*AE2552/100)</f>
        <v/>
      </c>
      <c r="Z2552" s="7">
        <f>IF($E2552="","",AB2552-Y2552)</f>
        <v/>
      </c>
      <c r="AA2552" s="7">
        <f>IF($E2552="","",Z2552-Q2552)</f>
        <v/>
      </c>
      <c r="AB2552" s="7" t="n"/>
      <c r="AE2552">
        <f>IF($E2552="","",IF($AQ2552=1,0,IF($AP2552=1,Settings!$C$6,Settings!$C$7))*100)</f>
        <v/>
      </c>
      <c r="AI2552" s="7" t="n"/>
      <c r="AL2552" s="11" t="n"/>
      <c r="AN2552">
        <f>IF($E2552="","",IF(COUNTIF($E$2:$E2552,$E2552)=1,1,0))</f>
        <v/>
      </c>
      <c r="AO2552">
        <f>IF($AN2552=1,SUMPRODUCT(--($AR$2:$AR$3001&lt;$AR2552))+1,"")</f>
        <v/>
      </c>
      <c r="AP2552">
        <f>IF($E2552="","",IF(OR($U2552=TRUE(),$U2552="TRUE"),1,0))</f>
        <v/>
      </c>
      <c r="AQ2552">
        <f>IF($E2552="","",IF($AD2552="Yes",1,0))</f>
        <v/>
      </c>
      <c r="AR2552">
        <f>IF($AN2552=1,IFERROR(VALUE(MID($E2552,2,20)),1000000000)+ROW()/100000,"")</f>
        <v/>
      </c>
    </row>
    <row r="2553">
      <c r="G2553" s="11" t="n"/>
      <c r="Q2553" s="7">
        <f>IF($E2553="","",P2553*AB2553/100)</f>
        <v/>
      </c>
      <c r="R2553" s="7" t="n"/>
      <c r="X2553" s="7" t="n"/>
      <c r="Y2553" s="7">
        <f>IF($E2553="","",AB2553*AE2553/100)</f>
        <v/>
      </c>
      <c r="Z2553" s="7">
        <f>IF($E2553="","",AB2553-Y2553)</f>
        <v/>
      </c>
      <c r="AA2553" s="7">
        <f>IF($E2553="","",Z2553-Q2553)</f>
        <v/>
      </c>
      <c r="AB2553" s="7" t="n"/>
      <c r="AE2553">
        <f>IF($E2553="","",IF($AQ2553=1,0,IF($AP2553=1,Settings!$C$6,Settings!$C$7))*100)</f>
        <v/>
      </c>
      <c r="AI2553" s="7" t="n"/>
      <c r="AL2553" s="11" t="n"/>
      <c r="AN2553">
        <f>IF($E2553="","",IF(COUNTIF($E$2:$E2553,$E2553)=1,1,0))</f>
        <v/>
      </c>
      <c r="AO2553">
        <f>IF($AN2553=1,SUMPRODUCT(--($AR$2:$AR$3001&lt;$AR2553))+1,"")</f>
        <v/>
      </c>
      <c r="AP2553">
        <f>IF($E2553="","",IF(OR($U2553=TRUE(),$U2553="TRUE"),1,0))</f>
        <v/>
      </c>
      <c r="AQ2553">
        <f>IF($E2553="","",IF($AD2553="Yes",1,0))</f>
        <v/>
      </c>
      <c r="AR2553">
        <f>IF($AN2553=1,IFERROR(VALUE(MID($E2553,2,20)),1000000000)+ROW()/100000,"")</f>
        <v/>
      </c>
    </row>
    <row r="2554">
      <c r="G2554" s="11" t="n"/>
      <c r="Q2554" s="7">
        <f>IF($E2554="","",P2554*AB2554/100)</f>
        <v/>
      </c>
      <c r="R2554" s="7" t="n"/>
      <c r="X2554" s="7" t="n"/>
      <c r="Y2554" s="7">
        <f>IF($E2554="","",AB2554*AE2554/100)</f>
        <v/>
      </c>
      <c r="Z2554" s="7">
        <f>IF($E2554="","",AB2554-Y2554)</f>
        <v/>
      </c>
      <c r="AA2554" s="7">
        <f>IF($E2554="","",Z2554-Q2554)</f>
        <v/>
      </c>
      <c r="AB2554" s="7" t="n"/>
      <c r="AE2554">
        <f>IF($E2554="","",IF($AQ2554=1,0,IF($AP2554=1,Settings!$C$6,Settings!$C$7))*100)</f>
        <v/>
      </c>
      <c r="AI2554" s="7" t="n"/>
      <c r="AL2554" s="11" t="n"/>
      <c r="AN2554">
        <f>IF($E2554="","",IF(COUNTIF($E$2:$E2554,$E2554)=1,1,0))</f>
        <v/>
      </c>
      <c r="AO2554">
        <f>IF($AN2554=1,SUMPRODUCT(--($AR$2:$AR$3001&lt;$AR2554))+1,"")</f>
        <v/>
      </c>
      <c r="AP2554">
        <f>IF($E2554="","",IF(OR($U2554=TRUE(),$U2554="TRUE"),1,0))</f>
        <v/>
      </c>
      <c r="AQ2554">
        <f>IF($E2554="","",IF($AD2554="Yes",1,0))</f>
        <v/>
      </c>
      <c r="AR2554">
        <f>IF($AN2554=1,IFERROR(VALUE(MID($E2554,2,20)),1000000000)+ROW()/100000,"")</f>
        <v/>
      </c>
    </row>
    <row r="2555">
      <c r="G2555" s="11" t="n"/>
      <c r="Q2555" s="7">
        <f>IF($E2555="","",P2555*AB2555/100)</f>
        <v/>
      </c>
      <c r="R2555" s="7" t="n"/>
      <c r="X2555" s="7" t="n"/>
      <c r="Y2555" s="7">
        <f>IF($E2555="","",AB2555*AE2555/100)</f>
        <v/>
      </c>
      <c r="Z2555" s="7">
        <f>IF($E2555="","",AB2555-Y2555)</f>
        <v/>
      </c>
      <c r="AA2555" s="7">
        <f>IF($E2555="","",Z2555-Q2555)</f>
        <v/>
      </c>
      <c r="AB2555" s="7" t="n"/>
      <c r="AE2555">
        <f>IF($E2555="","",IF($AQ2555=1,0,IF($AP2555=1,Settings!$C$6,Settings!$C$7))*100)</f>
        <v/>
      </c>
      <c r="AI2555" s="7" t="n"/>
      <c r="AL2555" s="11" t="n"/>
      <c r="AN2555">
        <f>IF($E2555="","",IF(COUNTIF($E$2:$E2555,$E2555)=1,1,0))</f>
        <v/>
      </c>
      <c r="AO2555">
        <f>IF($AN2555=1,SUMPRODUCT(--($AR$2:$AR$3001&lt;$AR2555))+1,"")</f>
        <v/>
      </c>
      <c r="AP2555">
        <f>IF($E2555="","",IF(OR($U2555=TRUE(),$U2555="TRUE"),1,0))</f>
        <v/>
      </c>
      <c r="AQ2555">
        <f>IF($E2555="","",IF($AD2555="Yes",1,0))</f>
        <v/>
      </c>
      <c r="AR2555">
        <f>IF($AN2555=1,IFERROR(VALUE(MID($E2555,2,20)),1000000000)+ROW()/100000,"")</f>
        <v/>
      </c>
    </row>
    <row r="2556">
      <c r="G2556" s="11" t="n"/>
      <c r="Q2556" s="7">
        <f>IF($E2556="","",P2556*AB2556/100)</f>
        <v/>
      </c>
      <c r="R2556" s="7" t="n"/>
      <c r="X2556" s="7" t="n"/>
      <c r="Y2556" s="7">
        <f>IF($E2556="","",AB2556*AE2556/100)</f>
        <v/>
      </c>
      <c r="Z2556" s="7">
        <f>IF($E2556="","",AB2556-Y2556)</f>
        <v/>
      </c>
      <c r="AA2556" s="7">
        <f>IF($E2556="","",Z2556-Q2556)</f>
        <v/>
      </c>
      <c r="AB2556" s="7" t="n"/>
      <c r="AE2556">
        <f>IF($E2556="","",IF($AQ2556=1,0,IF($AP2556=1,Settings!$C$6,Settings!$C$7))*100)</f>
        <v/>
      </c>
      <c r="AI2556" s="7" t="n"/>
      <c r="AL2556" s="11" t="n"/>
      <c r="AN2556">
        <f>IF($E2556="","",IF(COUNTIF($E$2:$E2556,$E2556)=1,1,0))</f>
        <v/>
      </c>
      <c r="AO2556">
        <f>IF($AN2556=1,SUMPRODUCT(--($AR$2:$AR$3001&lt;$AR2556))+1,"")</f>
        <v/>
      </c>
      <c r="AP2556">
        <f>IF($E2556="","",IF(OR($U2556=TRUE(),$U2556="TRUE"),1,0))</f>
        <v/>
      </c>
      <c r="AQ2556">
        <f>IF($E2556="","",IF($AD2556="Yes",1,0))</f>
        <v/>
      </c>
      <c r="AR2556">
        <f>IF($AN2556=1,IFERROR(VALUE(MID($E2556,2,20)),1000000000)+ROW()/100000,"")</f>
        <v/>
      </c>
    </row>
    <row r="2557">
      <c r="G2557" s="11" t="n"/>
      <c r="Q2557" s="7">
        <f>IF($E2557="","",P2557*AB2557/100)</f>
        <v/>
      </c>
      <c r="R2557" s="7" t="n"/>
      <c r="X2557" s="7" t="n"/>
      <c r="Y2557" s="7">
        <f>IF($E2557="","",AB2557*AE2557/100)</f>
        <v/>
      </c>
      <c r="Z2557" s="7">
        <f>IF($E2557="","",AB2557-Y2557)</f>
        <v/>
      </c>
      <c r="AA2557" s="7">
        <f>IF($E2557="","",Z2557-Q2557)</f>
        <v/>
      </c>
      <c r="AB2557" s="7" t="n"/>
      <c r="AE2557">
        <f>IF($E2557="","",IF($AQ2557=1,0,IF($AP2557=1,Settings!$C$6,Settings!$C$7))*100)</f>
        <v/>
      </c>
      <c r="AI2557" s="7" t="n"/>
      <c r="AL2557" s="11" t="n"/>
      <c r="AN2557">
        <f>IF($E2557="","",IF(COUNTIF($E$2:$E2557,$E2557)=1,1,0))</f>
        <v/>
      </c>
      <c r="AO2557">
        <f>IF($AN2557=1,SUMPRODUCT(--($AR$2:$AR$3001&lt;$AR2557))+1,"")</f>
        <v/>
      </c>
      <c r="AP2557">
        <f>IF($E2557="","",IF(OR($U2557=TRUE(),$U2557="TRUE"),1,0))</f>
        <v/>
      </c>
      <c r="AQ2557">
        <f>IF($E2557="","",IF($AD2557="Yes",1,0))</f>
        <v/>
      </c>
      <c r="AR2557">
        <f>IF($AN2557=1,IFERROR(VALUE(MID($E2557,2,20)),1000000000)+ROW()/100000,"")</f>
        <v/>
      </c>
    </row>
    <row r="2558">
      <c r="G2558" s="11" t="n"/>
      <c r="Q2558" s="7">
        <f>IF($E2558="","",P2558*AB2558/100)</f>
        <v/>
      </c>
      <c r="R2558" s="7" t="n"/>
      <c r="X2558" s="7" t="n"/>
      <c r="Y2558" s="7">
        <f>IF($E2558="","",AB2558*AE2558/100)</f>
        <v/>
      </c>
      <c r="Z2558" s="7">
        <f>IF($E2558="","",AB2558-Y2558)</f>
        <v/>
      </c>
      <c r="AA2558" s="7">
        <f>IF($E2558="","",Z2558-Q2558)</f>
        <v/>
      </c>
      <c r="AB2558" s="7" t="n"/>
      <c r="AE2558">
        <f>IF($E2558="","",IF($AQ2558=1,0,IF($AP2558=1,Settings!$C$6,Settings!$C$7))*100)</f>
        <v/>
      </c>
      <c r="AI2558" s="7" t="n"/>
      <c r="AL2558" s="11" t="n"/>
      <c r="AN2558">
        <f>IF($E2558="","",IF(COUNTIF($E$2:$E2558,$E2558)=1,1,0))</f>
        <v/>
      </c>
      <c r="AO2558">
        <f>IF($AN2558=1,SUMPRODUCT(--($AR$2:$AR$3001&lt;$AR2558))+1,"")</f>
        <v/>
      </c>
      <c r="AP2558">
        <f>IF($E2558="","",IF(OR($U2558=TRUE(),$U2558="TRUE"),1,0))</f>
        <v/>
      </c>
      <c r="AQ2558">
        <f>IF($E2558="","",IF($AD2558="Yes",1,0))</f>
        <v/>
      </c>
      <c r="AR2558">
        <f>IF($AN2558=1,IFERROR(VALUE(MID($E2558,2,20)),1000000000)+ROW()/100000,"")</f>
        <v/>
      </c>
    </row>
    <row r="2559">
      <c r="G2559" s="11" t="n"/>
      <c r="Q2559" s="7">
        <f>IF($E2559="","",P2559*AB2559/100)</f>
        <v/>
      </c>
      <c r="R2559" s="7" t="n"/>
      <c r="X2559" s="7" t="n"/>
      <c r="Y2559" s="7">
        <f>IF($E2559="","",AB2559*AE2559/100)</f>
        <v/>
      </c>
      <c r="Z2559" s="7">
        <f>IF($E2559="","",AB2559-Y2559)</f>
        <v/>
      </c>
      <c r="AA2559" s="7">
        <f>IF($E2559="","",Z2559-Q2559)</f>
        <v/>
      </c>
      <c r="AB2559" s="7" t="n"/>
      <c r="AE2559">
        <f>IF($E2559="","",IF($AQ2559=1,0,IF($AP2559=1,Settings!$C$6,Settings!$C$7))*100)</f>
        <v/>
      </c>
      <c r="AI2559" s="7" t="n"/>
      <c r="AL2559" s="11" t="n"/>
      <c r="AN2559">
        <f>IF($E2559="","",IF(COUNTIF($E$2:$E2559,$E2559)=1,1,0))</f>
        <v/>
      </c>
      <c r="AO2559">
        <f>IF($AN2559=1,SUMPRODUCT(--($AR$2:$AR$3001&lt;$AR2559))+1,"")</f>
        <v/>
      </c>
      <c r="AP2559">
        <f>IF($E2559="","",IF(OR($U2559=TRUE(),$U2559="TRUE"),1,0))</f>
        <v/>
      </c>
      <c r="AQ2559">
        <f>IF($E2559="","",IF($AD2559="Yes",1,0))</f>
        <v/>
      </c>
      <c r="AR2559">
        <f>IF($AN2559=1,IFERROR(VALUE(MID($E2559,2,20)),1000000000)+ROW()/100000,"")</f>
        <v/>
      </c>
    </row>
    <row r="2560">
      <c r="G2560" s="11" t="n"/>
      <c r="Q2560" s="7">
        <f>IF($E2560="","",P2560*AB2560/100)</f>
        <v/>
      </c>
      <c r="R2560" s="7" t="n"/>
      <c r="X2560" s="7" t="n"/>
      <c r="Y2560" s="7">
        <f>IF($E2560="","",AB2560*AE2560/100)</f>
        <v/>
      </c>
      <c r="Z2560" s="7">
        <f>IF($E2560="","",AB2560-Y2560)</f>
        <v/>
      </c>
      <c r="AA2560" s="7">
        <f>IF($E2560="","",Z2560-Q2560)</f>
        <v/>
      </c>
      <c r="AB2560" s="7" t="n"/>
      <c r="AE2560">
        <f>IF($E2560="","",IF($AQ2560=1,0,IF($AP2560=1,Settings!$C$6,Settings!$C$7))*100)</f>
        <v/>
      </c>
      <c r="AI2560" s="7" t="n"/>
      <c r="AL2560" s="11" t="n"/>
      <c r="AN2560">
        <f>IF($E2560="","",IF(COUNTIF($E$2:$E2560,$E2560)=1,1,0))</f>
        <v/>
      </c>
      <c r="AO2560">
        <f>IF($AN2560=1,SUMPRODUCT(--($AR$2:$AR$3001&lt;$AR2560))+1,"")</f>
        <v/>
      </c>
      <c r="AP2560">
        <f>IF($E2560="","",IF(OR($U2560=TRUE(),$U2560="TRUE"),1,0))</f>
        <v/>
      </c>
      <c r="AQ2560">
        <f>IF($E2560="","",IF($AD2560="Yes",1,0))</f>
        <v/>
      </c>
      <c r="AR2560">
        <f>IF($AN2560=1,IFERROR(VALUE(MID($E2560,2,20)),1000000000)+ROW()/100000,"")</f>
        <v/>
      </c>
    </row>
    <row r="2561">
      <c r="G2561" s="11" t="n"/>
      <c r="Q2561" s="7">
        <f>IF($E2561="","",P2561*AB2561/100)</f>
        <v/>
      </c>
      <c r="R2561" s="7" t="n"/>
      <c r="X2561" s="7" t="n"/>
      <c r="Y2561" s="7">
        <f>IF($E2561="","",AB2561*AE2561/100)</f>
        <v/>
      </c>
      <c r="Z2561" s="7">
        <f>IF($E2561="","",AB2561-Y2561)</f>
        <v/>
      </c>
      <c r="AA2561" s="7">
        <f>IF($E2561="","",Z2561-Q2561)</f>
        <v/>
      </c>
      <c r="AB2561" s="7" t="n"/>
      <c r="AE2561">
        <f>IF($E2561="","",IF($AQ2561=1,0,IF($AP2561=1,Settings!$C$6,Settings!$C$7))*100)</f>
        <v/>
      </c>
      <c r="AI2561" s="7" t="n"/>
      <c r="AL2561" s="11" t="n"/>
      <c r="AN2561">
        <f>IF($E2561="","",IF(COUNTIF($E$2:$E2561,$E2561)=1,1,0))</f>
        <v/>
      </c>
      <c r="AO2561">
        <f>IF($AN2561=1,SUMPRODUCT(--($AR$2:$AR$3001&lt;$AR2561))+1,"")</f>
        <v/>
      </c>
      <c r="AP2561">
        <f>IF($E2561="","",IF(OR($U2561=TRUE(),$U2561="TRUE"),1,0))</f>
        <v/>
      </c>
      <c r="AQ2561">
        <f>IF($E2561="","",IF($AD2561="Yes",1,0))</f>
        <v/>
      </c>
      <c r="AR2561">
        <f>IF($AN2561=1,IFERROR(VALUE(MID($E2561,2,20)),1000000000)+ROW()/100000,"")</f>
        <v/>
      </c>
    </row>
    <row r="2562">
      <c r="G2562" s="11" t="n"/>
      <c r="Q2562" s="7">
        <f>IF($E2562="","",P2562*AB2562/100)</f>
        <v/>
      </c>
      <c r="R2562" s="7" t="n"/>
      <c r="X2562" s="7" t="n"/>
      <c r="Y2562" s="7">
        <f>IF($E2562="","",AB2562*AE2562/100)</f>
        <v/>
      </c>
      <c r="Z2562" s="7">
        <f>IF($E2562="","",AB2562-Y2562)</f>
        <v/>
      </c>
      <c r="AA2562" s="7">
        <f>IF($E2562="","",Z2562-Q2562)</f>
        <v/>
      </c>
      <c r="AB2562" s="7" t="n"/>
      <c r="AE2562">
        <f>IF($E2562="","",IF($AQ2562=1,0,IF($AP2562=1,Settings!$C$6,Settings!$C$7))*100)</f>
        <v/>
      </c>
      <c r="AI2562" s="7" t="n"/>
      <c r="AL2562" s="11" t="n"/>
      <c r="AN2562">
        <f>IF($E2562="","",IF(COUNTIF($E$2:$E2562,$E2562)=1,1,0))</f>
        <v/>
      </c>
      <c r="AO2562">
        <f>IF($AN2562=1,SUMPRODUCT(--($AR$2:$AR$3001&lt;$AR2562))+1,"")</f>
        <v/>
      </c>
      <c r="AP2562">
        <f>IF($E2562="","",IF(OR($U2562=TRUE(),$U2562="TRUE"),1,0))</f>
        <v/>
      </c>
      <c r="AQ2562">
        <f>IF($E2562="","",IF($AD2562="Yes",1,0))</f>
        <v/>
      </c>
      <c r="AR2562">
        <f>IF($AN2562=1,IFERROR(VALUE(MID($E2562,2,20)),1000000000)+ROW()/100000,"")</f>
        <v/>
      </c>
    </row>
    <row r="2563">
      <c r="G2563" s="11" t="n"/>
      <c r="Q2563" s="7">
        <f>IF($E2563="","",P2563*AB2563/100)</f>
        <v/>
      </c>
      <c r="R2563" s="7" t="n"/>
      <c r="X2563" s="7" t="n"/>
      <c r="Y2563" s="7">
        <f>IF($E2563="","",AB2563*AE2563/100)</f>
        <v/>
      </c>
      <c r="Z2563" s="7">
        <f>IF($E2563="","",AB2563-Y2563)</f>
        <v/>
      </c>
      <c r="AA2563" s="7">
        <f>IF($E2563="","",Z2563-Q2563)</f>
        <v/>
      </c>
      <c r="AB2563" s="7" t="n"/>
      <c r="AE2563">
        <f>IF($E2563="","",IF($AQ2563=1,0,IF($AP2563=1,Settings!$C$6,Settings!$C$7))*100)</f>
        <v/>
      </c>
      <c r="AI2563" s="7" t="n"/>
      <c r="AL2563" s="11" t="n"/>
      <c r="AN2563">
        <f>IF($E2563="","",IF(COUNTIF($E$2:$E2563,$E2563)=1,1,0))</f>
        <v/>
      </c>
      <c r="AO2563">
        <f>IF($AN2563=1,SUMPRODUCT(--($AR$2:$AR$3001&lt;$AR2563))+1,"")</f>
        <v/>
      </c>
      <c r="AP2563">
        <f>IF($E2563="","",IF(OR($U2563=TRUE(),$U2563="TRUE"),1,0))</f>
        <v/>
      </c>
      <c r="AQ2563">
        <f>IF($E2563="","",IF($AD2563="Yes",1,0))</f>
        <v/>
      </c>
      <c r="AR2563">
        <f>IF($AN2563=1,IFERROR(VALUE(MID($E2563,2,20)),1000000000)+ROW()/100000,"")</f>
        <v/>
      </c>
    </row>
    <row r="2564">
      <c r="G2564" s="11" t="n"/>
      <c r="Q2564" s="7">
        <f>IF($E2564="","",P2564*AB2564/100)</f>
        <v/>
      </c>
      <c r="R2564" s="7" t="n"/>
      <c r="X2564" s="7" t="n"/>
      <c r="Y2564" s="7">
        <f>IF($E2564="","",AB2564*AE2564/100)</f>
        <v/>
      </c>
      <c r="Z2564" s="7">
        <f>IF($E2564="","",AB2564-Y2564)</f>
        <v/>
      </c>
      <c r="AA2564" s="7">
        <f>IF($E2564="","",Z2564-Q2564)</f>
        <v/>
      </c>
      <c r="AB2564" s="7" t="n"/>
      <c r="AE2564">
        <f>IF($E2564="","",IF($AQ2564=1,0,IF($AP2564=1,Settings!$C$6,Settings!$C$7))*100)</f>
        <v/>
      </c>
      <c r="AI2564" s="7" t="n"/>
      <c r="AL2564" s="11" t="n"/>
      <c r="AN2564">
        <f>IF($E2564="","",IF(COUNTIF($E$2:$E2564,$E2564)=1,1,0))</f>
        <v/>
      </c>
      <c r="AO2564">
        <f>IF($AN2564=1,SUMPRODUCT(--($AR$2:$AR$3001&lt;$AR2564))+1,"")</f>
        <v/>
      </c>
      <c r="AP2564">
        <f>IF($E2564="","",IF(OR($U2564=TRUE(),$U2564="TRUE"),1,0))</f>
        <v/>
      </c>
      <c r="AQ2564">
        <f>IF($E2564="","",IF($AD2564="Yes",1,0))</f>
        <v/>
      </c>
      <c r="AR2564">
        <f>IF($AN2564=1,IFERROR(VALUE(MID($E2564,2,20)),1000000000)+ROW()/100000,"")</f>
        <v/>
      </c>
    </row>
    <row r="2565">
      <c r="G2565" s="11" t="n"/>
      <c r="Q2565" s="7">
        <f>IF($E2565="","",P2565*AB2565/100)</f>
        <v/>
      </c>
      <c r="R2565" s="7" t="n"/>
      <c r="X2565" s="7" t="n"/>
      <c r="Y2565" s="7">
        <f>IF($E2565="","",AB2565*AE2565/100)</f>
        <v/>
      </c>
      <c r="Z2565" s="7">
        <f>IF($E2565="","",AB2565-Y2565)</f>
        <v/>
      </c>
      <c r="AA2565" s="7">
        <f>IF($E2565="","",Z2565-Q2565)</f>
        <v/>
      </c>
      <c r="AB2565" s="7" t="n"/>
      <c r="AE2565">
        <f>IF($E2565="","",IF($AQ2565=1,0,IF($AP2565=1,Settings!$C$6,Settings!$C$7))*100)</f>
        <v/>
      </c>
      <c r="AI2565" s="7" t="n"/>
      <c r="AL2565" s="11" t="n"/>
      <c r="AN2565">
        <f>IF($E2565="","",IF(COUNTIF($E$2:$E2565,$E2565)=1,1,0))</f>
        <v/>
      </c>
      <c r="AO2565">
        <f>IF($AN2565=1,SUMPRODUCT(--($AR$2:$AR$3001&lt;$AR2565))+1,"")</f>
        <v/>
      </c>
      <c r="AP2565">
        <f>IF($E2565="","",IF(OR($U2565=TRUE(),$U2565="TRUE"),1,0))</f>
        <v/>
      </c>
      <c r="AQ2565">
        <f>IF($E2565="","",IF($AD2565="Yes",1,0))</f>
        <v/>
      </c>
      <c r="AR2565">
        <f>IF($AN2565=1,IFERROR(VALUE(MID($E2565,2,20)),1000000000)+ROW()/100000,"")</f>
        <v/>
      </c>
    </row>
    <row r="2566">
      <c r="G2566" s="11" t="n"/>
      <c r="Q2566" s="7">
        <f>IF($E2566="","",P2566*AB2566/100)</f>
        <v/>
      </c>
      <c r="R2566" s="7" t="n"/>
      <c r="X2566" s="7" t="n"/>
      <c r="Y2566" s="7">
        <f>IF($E2566="","",AB2566*AE2566/100)</f>
        <v/>
      </c>
      <c r="Z2566" s="7">
        <f>IF($E2566="","",AB2566-Y2566)</f>
        <v/>
      </c>
      <c r="AA2566" s="7">
        <f>IF($E2566="","",Z2566-Q2566)</f>
        <v/>
      </c>
      <c r="AB2566" s="7" t="n"/>
      <c r="AE2566">
        <f>IF($E2566="","",IF($AQ2566=1,0,IF($AP2566=1,Settings!$C$6,Settings!$C$7))*100)</f>
        <v/>
      </c>
      <c r="AI2566" s="7" t="n"/>
      <c r="AL2566" s="11" t="n"/>
      <c r="AN2566">
        <f>IF($E2566="","",IF(COUNTIF($E$2:$E2566,$E2566)=1,1,0))</f>
        <v/>
      </c>
      <c r="AO2566">
        <f>IF($AN2566=1,SUMPRODUCT(--($AR$2:$AR$3001&lt;$AR2566))+1,"")</f>
        <v/>
      </c>
      <c r="AP2566">
        <f>IF($E2566="","",IF(OR($U2566=TRUE(),$U2566="TRUE"),1,0))</f>
        <v/>
      </c>
      <c r="AQ2566">
        <f>IF($E2566="","",IF($AD2566="Yes",1,0))</f>
        <v/>
      </c>
      <c r="AR2566">
        <f>IF($AN2566=1,IFERROR(VALUE(MID($E2566,2,20)),1000000000)+ROW()/100000,"")</f>
        <v/>
      </c>
    </row>
    <row r="2567">
      <c r="G2567" s="11" t="n"/>
      <c r="Q2567" s="7">
        <f>IF($E2567="","",P2567*AB2567/100)</f>
        <v/>
      </c>
      <c r="R2567" s="7" t="n"/>
      <c r="X2567" s="7" t="n"/>
      <c r="Y2567" s="7">
        <f>IF($E2567="","",AB2567*AE2567/100)</f>
        <v/>
      </c>
      <c r="Z2567" s="7">
        <f>IF($E2567="","",AB2567-Y2567)</f>
        <v/>
      </c>
      <c r="AA2567" s="7">
        <f>IF($E2567="","",Z2567-Q2567)</f>
        <v/>
      </c>
      <c r="AB2567" s="7" t="n"/>
      <c r="AE2567">
        <f>IF($E2567="","",IF($AQ2567=1,0,IF($AP2567=1,Settings!$C$6,Settings!$C$7))*100)</f>
        <v/>
      </c>
      <c r="AI2567" s="7" t="n"/>
      <c r="AL2567" s="11" t="n"/>
      <c r="AN2567">
        <f>IF($E2567="","",IF(COUNTIF($E$2:$E2567,$E2567)=1,1,0))</f>
        <v/>
      </c>
      <c r="AO2567">
        <f>IF($AN2567=1,SUMPRODUCT(--($AR$2:$AR$3001&lt;$AR2567))+1,"")</f>
        <v/>
      </c>
      <c r="AP2567">
        <f>IF($E2567="","",IF(OR($U2567=TRUE(),$U2567="TRUE"),1,0))</f>
        <v/>
      </c>
      <c r="AQ2567">
        <f>IF($E2567="","",IF($AD2567="Yes",1,0))</f>
        <v/>
      </c>
      <c r="AR2567">
        <f>IF($AN2567=1,IFERROR(VALUE(MID($E2567,2,20)),1000000000)+ROW()/100000,"")</f>
        <v/>
      </c>
    </row>
    <row r="2568">
      <c r="G2568" s="11" t="n"/>
      <c r="Q2568" s="7">
        <f>IF($E2568="","",P2568*AB2568/100)</f>
        <v/>
      </c>
      <c r="R2568" s="7" t="n"/>
      <c r="X2568" s="7" t="n"/>
      <c r="Y2568" s="7">
        <f>IF($E2568="","",AB2568*AE2568/100)</f>
        <v/>
      </c>
      <c r="Z2568" s="7">
        <f>IF($E2568="","",AB2568-Y2568)</f>
        <v/>
      </c>
      <c r="AA2568" s="7">
        <f>IF($E2568="","",Z2568-Q2568)</f>
        <v/>
      </c>
      <c r="AB2568" s="7" t="n"/>
      <c r="AE2568">
        <f>IF($E2568="","",IF($AQ2568=1,0,IF($AP2568=1,Settings!$C$6,Settings!$C$7))*100)</f>
        <v/>
      </c>
      <c r="AI2568" s="7" t="n"/>
      <c r="AL2568" s="11" t="n"/>
      <c r="AN2568">
        <f>IF($E2568="","",IF(COUNTIF($E$2:$E2568,$E2568)=1,1,0))</f>
        <v/>
      </c>
      <c r="AO2568">
        <f>IF($AN2568=1,SUMPRODUCT(--($AR$2:$AR$3001&lt;$AR2568))+1,"")</f>
        <v/>
      </c>
      <c r="AP2568">
        <f>IF($E2568="","",IF(OR($U2568=TRUE(),$U2568="TRUE"),1,0))</f>
        <v/>
      </c>
      <c r="AQ2568">
        <f>IF($E2568="","",IF($AD2568="Yes",1,0))</f>
        <v/>
      </c>
      <c r="AR2568">
        <f>IF($AN2568=1,IFERROR(VALUE(MID($E2568,2,20)),1000000000)+ROW()/100000,"")</f>
        <v/>
      </c>
    </row>
    <row r="2569">
      <c r="G2569" s="11" t="n"/>
      <c r="Q2569" s="7">
        <f>IF($E2569="","",P2569*AB2569/100)</f>
        <v/>
      </c>
      <c r="R2569" s="7" t="n"/>
      <c r="X2569" s="7" t="n"/>
      <c r="Y2569" s="7">
        <f>IF($E2569="","",AB2569*AE2569/100)</f>
        <v/>
      </c>
      <c r="Z2569" s="7">
        <f>IF($E2569="","",AB2569-Y2569)</f>
        <v/>
      </c>
      <c r="AA2569" s="7">
        <f>IF($E2569="","",Z2569-Q2569)</f>
        <v/>
      </c>
      <c r="AB2569" s="7" t="n"/>
      <c r="AE2569">
        <f>IF($E2569="","",IF($AQ2569=1,0,IF($AP2569=1,Settings!$C$6,Settings!$C$7))*100)</f>
        <v/>
      </c>
      <c r="AI2569" s="7" t="n"/>
      <c r="AL2569" s="11" t="n"/>
      <c r="AN2569">
        <f>IF($E2569="","",IF(COUNTIF($E$2:$E2569,$E2569)=1,1,0))</f>
        <v/>
      </c>
      <c r="AO2569">
        <f>IF($AN2569=1,SUMPRODUCT(--($AR$2:$AR$3001&lt;$AR2569))+1,"")</f>
        <v/>
      </c>
      <c r="AP2569">
        <f>IF($E2569="","",IF(OR($U2569=TRUE(),$U2569="TRUE"),1,0))</f>
        <v/>
      </c>
      <c r="AQ2569">
        <f>IF($E2569="","",IF($AD2569="Yes",1,0))</f>
        <v/>
      </c>
      <c r="AR2569">
        <f>IF($AN2569=1,IFERROR(VALUE(MID($E2569,2,20)),1000000000)+ROW()/100000,"")</f>
        <v/>
      </c>
    </row>
    <row r="2570">
      <c r="G2570" s="11" t="n"/>
      <c r="Q2570" s="7">
        <f>IF($E2570="","",P2570*AB2570/100)</f>
        <v/>
      </c>
      <c r="R2570" s="7" t="n"/>
      <c r="X2570" s="7" t="n"/>
      <c r="Y2570" s="7">
        <f>IF($E2570="","",AB2570*AE2570/100)</f>
        <v/>
      </c>
      <c r="Z2570" s="7">
        <f>IF($E2570="","",AB2570-Y2570)</f>
        <v/>
      </c>
      <c r="AA2570" s="7">
        <f>IF($E2570="","",Z2570-Q2570)</f>
        <v/>
      </c>
      <c r="AB2570" s="7" t="n"/>
      <c r="AE2570">
        <f>IF($E2570="","",IF($AQ2570=1,0,IF($AP2570=1,Settings!$C$6,Settings!$C$7))*100)</f>
        <v/>
      </c>
      <c r="AI2570" s="7" t="n"/>
      <c r="AL2570" s="11" t="n"/>
      <c r="AN2570">
        <f>IF($E2570="","",IF(COUNTIF($E$2:$E2570,$E2570)=1,1,0))</f>
        <v/>
      </c>
      <c r="AO2570">
        <f>IF($AN2570=1,SUMPRODUCT(--($AR$2:$AR$3001&lt;$AR2570))+1,"")</f>
        <v/>
      </c>
      <c r="AP2570">
        <f>IF($E2570="","",IF(OR($U2570=TRUE(),$U2570="TRUE"),1,0))</f>
        <v/>
      </c>
      <c r="AQ2570">
        <f>IF($E2570="","",IF($AD2570="Yes",1,0))</f>
        <v/>
      </c>
      <c r="AR2570">
        <f>IF($AN2570=1,IFERROR(VALUE(MID($E2570,2,20)),1000000000)+ROW()/100000,"")</f>
        <v/>
      </c>
    </row>
    <row r="2571">
      <c r="G2571" s="11" t="n"/>
      <c r="Q2571" s="7">
        <f>IF($E2571="","",P2571*AB2571/100)</f>
        <v/>
      </c>
      <c r="R2571" s="7" t="n"/>
      <c r="X2571" s="7" t="n"/>
      <c r="Y2571" s="7">
        <f>IF($E2571="","",AB2571*AE2571/100)</f>
        <v/>
      </c>
      <c r="Z2571" s="7">
        <f>IF($E2571="","",AB2571-Y2571)</f>
        <v/>
      </c>
      <c r="AA2571" s="7">
        <f>IF($E2571="","",Z2571-Q2571)</f>
        <v/>
      </c>
      <c r="AB2571" s="7" t="n"/>
      <c r="AE2571">
        <f>IF($E2571="","",IF($AQ2571=1,0,IF($AP2571=1,Settings!$C$6,Settings!$C$7))*100)</f>
        <v/>
      </c>
      <c r="AI2571" s="7" t="n"/>
      <c r="AL2571" s="11" t="n"/>
      <c r="AN2571">
        <f>IF($E2571="","",IF(COUNTIF($E$2:$E2571,$E2571)=1,1,0))</f>
        <v/>
      </c>
      <c r="AO2571">
        <f>IF($AN2571=1,SUMPRODUCT(--($AR$2:$AR$3001&lt;$AR2571))+1,"")</f>
        <v/>
      </c>
      <c r="AP2571">
        <f>IF($E2571="","",IF(OR($U2571=TRUE(),$U2571="TRUE"),1,0))</f>
        <v/>
      </c>
      <c r="AQ2571">
        <f>IF($E2571="","",IF($AD2571="Yes",1,0))</f>
        <v/>
      </c>
      <c r="AR2571">
        <f>IF($AN2571=1,IFERROR(VALUE(MID($E2571,2,20)),1000000000)+ROW()/100000,"")</f>
        <v/>
      </c>
    </row>
    <row r="2572">
      <c r="G2572" s="11" t="n"/>
      <c r="Q2572" s="7">
        <f>IF($E2572="","",P2572*AB2572/100)</f>
        <v/>
      </c>
      <c r="R2572" s="7" t="n"/>
      <c r="X2572" s="7" t="n"/>
      <c r="Y2572" s="7">
        <f>IF($E2572="","",AB2572*AE2572/100)</f>
        <v/>
      </c>
      <c r="Z2572" s="7">
        <f>IF($E2572="","",AB2572-Y2572)</f>
        <v/>
      </c>
      <c r="AA2572" s="7">
        <f>IF($E2572="","",Z2572-Q2572)</f>
        <v/>
      </c>
      <c r="AB2572" s="7" t="n"/>
      <c r="AE2572">
        <f>IF($E2572="","",IF($AQ2572=1,0,IF($AP2572=1,Settings!$C$6,Settings!$C$7))*100)</f>
        <v/>
      </c>
      <c r="AI2572" s="7" t="n"/>
      <c r="AL2572" s="11" t="n"/>
      <c r="AN2572">
        <f>IF($E2572="","",IF(COUNTIF($E$2:$E2572,$E2572)=1,1,0))</f>
        <v/>
      </c>
      <c r="AO2572">
        <f>IF($AN2572=1,SUMPRODUCT(--($AR$2:$AR$3001&lt;$AR2572))+1,"")</f>
        <v/>
      </c>
      <c r="AP2572">
        <f>IF($E2572="","",IF(OR($U2572=TRUE(),$U2572="TRUE"),1,0))</f>
        <v/>
      </c>
      <c r="AQ2572">
        <f>IF($E2572="","",IF($AD2572="Yes",1,0))</f>
        <v/>
      </c>
      <c r="AR2572">
        <f>IF($AN2572=1,IFERROR(VALUE(MID($E2572,2,20)),1000000000)+ROW()/100000,"")</f>
        <v/>
      </c>
    </row>
    <row r="2573">
      <c r="G2573" s="11" t="n"/>
      <c r="Q2573" s="7">
        <f>IF($E2573="","",P2573*AB2573/100)</f>
        <v/>
      </c>
      <c r="R2573" s="7" t="n"/>
      <c r="X2573" s="7" t="n"/>
      <c r="Y2573" s="7">
        <f>IF($E2573="","",AB2573*AE2573/100)</f>
        <v/>
      </c>
      <c r="Z2573" s="7">
        <f>IF($E2573="","",AB2573-Y2573)</f>
        <v/>
      </c>
      <c r="AA2573" s="7">
        <f>IF($E2573="","",Z2573-Q2573)</f>
        <v/>
      </c>
      <c r="AB2573" s="7" t="n"/>
      <c r="AE2573">
        <f>IF($E2573="","",IF($AQ2573=1,0,IF($AP2573=1,Settings!$C$6,Settings!$C$7))*100)</f>
        <v/>
      </c>
      <c r="AI2573" s="7" t="n"/>
      <c r="AL2573" s="11" t="n"/>
      <c r="AN2573">
        <f>IF($E2573="","",IF(COUNTIF($E$2:$E2573,$E2573)=1,1,0))</f>
        <v/>
      </c>
      <c r="AO2573">
        <f>IF($AN2573=1,SUMPRODUCT(--($AR$2:$AR$3001&lt;$AR2573))+1,"")</f>
        <v/>
      </c>
      <c r="AP2573">
        <f>IF($E2573="","",IF(OR($U2573=TRUE(),$U2573="TRUE"),1,0))</f>
        <v/>
      </c>
      <c r="AQ2573">
        <f>IF($E2573="","",IF($AD2573="Yes",1,0))</f>
        <v/>
      </c>
      <c r="AR2573">
        <f>IF($AN2573=1,IFERROR(VALUE(MID($E2573,2,20)),1000000000)+ROW()/100000,"")</f>
        <v/>
      </c>
    </row>
    <row r="2574">
      <c r="G2574" s="11" t="n"/>
      <c r="Q2574" s="7">
        <f>IF($E2574="","",P2574*AB2574/100)</f>
        <v/>
      </c>
      <c r="R2574" s="7" t="n"/>
      <c r="X2574" s="7" t="n"/>
      <c r="Y2574" s="7">
        <f>IF($E2574="","",AB2574*AE2574/100)</f>
        <v/>
      </c>
      <c r="Z2574" s="7">
        <f>IF($E2574="","",AB2574-Y2574)</f>
        <v/>
      </c>
      <c r="AA2574" s="7">
        <f>IF($E2574="","",Z2574-Q2574)</f>
        <v/>
      </c>
      <c r="AB2574" s="7" t="n"/>
      <c r="AE2574">
        <f>IF($E2574="","",IF($AQ2574=1,0,IF($AP2574=1,Settings!$C$6,Settings!$C$7))*100)</f>
        <v/>
      </c>
      <c r="AI2574" s="7" t="n"/>
      <c r="AL2574" s="11" t="n"/>
      <c r="AN2574">
        <f>IF($E2574="","",IF(COUNTIF($E$2:$E2574,$E2574)=1,1,0))</f>
        <v/>
      </c>
      <c r="AO2574">
        <f>IF($AN2574=1,SUMPRODUCT(--($AR$2:$AR$3001&lt;$AR2574))+1,"")</f>
        <v/>
      </c>
      <c r="AP2574">
        <f>IF($E2574="","",IF(OR($U2574=TRUE(),$U2574="TRUE"),1,0))</f>
        <v/>
      </c>
      <c r="AQ2574">
        <f>IF($E2574="","",IF($AD2574="Yes",1,0))</f>
        <v/>
      </c>
      <c r="AR2574">
        <f>IF($AN2574=1,IFERROR(VALUE(MID($E2574,2,20)),1000000000)+ROW()/100000,"")</f>
        <v/>
      </c>
    </row>
    <row r="2575">
      <c r="G2575" s="11" t="n"/>
      <c r="Q2575" s="7">
        <f>IF($E2575="","",P2575*AB2575/100)</f>
        <v/>
      </c>
      <c r="R2575" s="7" t="n"/>
      <c r="X2575" s="7" t="n"/>
      <c r="Y2575" s="7">
        <f>IF($E2575="","",AB2575*AE2575/100)</f>
        <v/>
      </c>
      <c r="Z2575" s="7">
        <f>IF($E2575="","",AB2575-Y2575)</f>
        <v/>
      </c>
      <c r="AA2575" s="7">
        <f>IF($E2575="","",Z2575-Q2575)</f>
        <v/>
      </c>
      <c r="AB2575" s="7" t="n"/>
      <c r="AE2575">
        <f>IF($E2575="","",IF($AQ2575=1,0,IF($AP2575=1,Settings!$C$6,Settings!$C$7))*100)</f>
        <v/>
      </c>
      <c r="AI2575" s="7" t="n"/>
      <c r="AL2575" s="11" t="n"/>
      <c r="AN2575">
        <f>IF($E2575="","",IF(COUNTIF($E$2:$E2575,$E2575)=1,1,0))</f>
        <v/>
      </c>
      <c r="AO2575">
        <f>IF($AN2575=1,SUMPRODUCT(--($AR$2:$AR$3001&lt;$AR2575))+1,"")</f>
        <v/>
      </c>
      <c r="AP2575">
        <f>IF($E2575="","",IF(OR($U2575=TRUE(),$U2575="TRUE"),1,0))</f>
        <v/>
      </c>
      <c r="AQ2575">
        <f>IF($E2575="","",IF($AD2575="Yes",1,0))</f>
        <v/>
      </c>
      <c r="AR2575">
        <f>IF($AN2575=1,IFERROR(VALUE(MID($E2575,2,20)),1000000000)+ROW()/100000,"")</f>
        <v/>
      </c>
    </row>
    <row r="2576">
      <c r="G2576" s="11" t="n"/>
      <c r="Q2576" s="7">
        <f>IF($E2576="","",P2576*AB2576/100)</f>
        <v/>
      </c>
      <c r="R2576" s="7" t="n"/>
      <c r="X2576" s="7" t="n"/>
      <c r="Y2576" s="7">
        <f>IF($E2576="","",AB2576*AE2576/100)</f>
        <v/>
      </c>
      <c r="Z2576" s="7">
        <f>IF($E2576="","",AB2576-Y2576)</f>
        <v/>
      </c>
      <c r="AA2576" s="7">
        <f>IF($E2576="","",Z2576-Q2576)</f>
        <v/>
      </c>
      <c r="AB2576" s="7" t="n"/>
      <c r="AE2576">
        <f>IF($E2576="","",IF($AQ2576=1,0,IF($AP2576=1,Settings!$C$6,Settings!$C$7))*100)</f>
        <v/>
      </c>
      <c r="AI2576" s="7" t="n"/>
      <c r="AL2576" s="11" t="n"/>
      <c r="AN2576">
        <f>IF($E2576="","",IF(COUNTIF($E$2:$E2576,$E2576)=1,1,0))</f>
        <v/>
      </c>
      <c r="AO2576">
        <f>IF($AN2576=1,SUMPRODUCT(--($AR$2:$AR$3001&lt;$AR2576))+1,"")</f>
        <v/>
      </c>
      <c r="AP2576">
        <f>IF($E2576="","",IF(OR($U2576=TRUE(),$U2576="TRUE"),1,0))</f>
        <v/>
      </c>
      <c r="AQ2576">
        <f>IF($E2576="","",IF($AD2576="Yes",1,0))</f>
        <v/>
      </c>
      <c r="AR2576">
        <f>IF($AN2576=1,IFERROR(VALUE(MID($E2576,2,20)),1000000000)+ROW()/100000,"")</f>
        <v/>
      </c>
    </row>
    <row r="2577">
      <c r="G2577" s="11" t="n"/>
      <c r="Q2577" s="7">
        <f>IF($E2577="","",P2577*AB2577/100)</f>
        <v/>
      </c>
      <c r="R2577" s="7" t="n"/>
      <c r="X2577" s="7" t="n"/>
      <c r="Y2577" s="7">
        <f>IF($E2577="","",AB2577*AE2577/100)</f>
        <v/>
      </c>
      <c r="Z2577" s="7">
        <f>IF($E2577="","",AB2577-Y2577)</f>
        <v/>
      </c>
      <c r="AA2577" s="7">
        <f>IF($E2577="","",Z2577-Q2577)</f>
        <v/>
      </c>
      <c r="AB2577" s="7" t="n"/>
      <c r="AE2577">
        <f>IF($E2577="","",IF($AQ2577=1,0,IF($AP2577=1,Settings!$C$6,Settings!$C$7))*100)</f>
        <v/>
      </c>
      <c r="AI2577" s="7" t="n"/>
      <c r="AL2577" s="11" t="n"/>
      <c r="AN2577">
        <f>IF($E2577="","",IF(COUNTIF($E$2:$E2577,$E2577)=1,1,0))</f>
        <v/>
      </c>
      <c r="AO2577">
        <f>IF($AN2577=1,SUMPRODUCT(--($AR$2:$AR$3001&lt;$AR2577))+1,"")</f>
        <v/>
      </c>
      <c r="AP2577">
        <f>IF($E2577="","",IF(OR($U2577=TRUE(),$U2577="TRUE"),1,0))</f>
        <v/>
      </c>
      <c r="AQ2577">
        <f>IF($E2577="","",IF($AD2577="Yes",1,0))</f>
        <v/>
      </c>
      <c r="AR2577">
        <f>IF($AN2577=1,IFERROR(VALUE(MID($E2577,2,20)),1000000000)+ROW()/100000,"")</f>
        <v/>
      </c>
    </row>
    <row r="2578">
      <c r="G2578" s="11" t="n"/>
      <c r="Q2578" s="7">
        <f>IF($E2578="","",P2578*AB2578/100)</f>
        <v/>
      </c>
      <c r="R2578" s="7" t="n"/>
      <c r="X2578" s="7" t="n"/>
      <c r="Y2578" s="7">
        <f>IF($E2578="","",AB2578*AE2578/100)</f>
        <v/>
      </c>
      <c r="Z2578" s="7">
        <f>IF($E2578="","",AB2578-Y2578)</f>
        <v/>
      </c>
      <c r="AA2578" s="7">
        <f>IF($E2578="","",Z2578-Q2578)</f>
        <v/>
      </c>
      <c r="AB2578" s="7" t="n"/>
      <c r="AE2578">
        <f>IF($E2578="","",IF($AQ2578=1,0,IF($AP2578=1,Settings!$C$6,Settings!$C$7))*100)</f>
        <v/>
      </c>
      <c r="AI2578" s="7" t="n"/>
      <c r="AL2578" s="11" t="n"/>
      <c r="AN2578">
        <f>IF($E2578="","",IF(COUNTIF($E$2:$E2578,$E2578)=1,1,0))</f>
        <v/>
      </c>
      <c r="AO2578">
        <f>IF($AN2578=1,SUMPRODUCT(--($AR$2:$AR$3001&lt;$AR2578))+1,"")</f>
        <v/>
      </c>
      <c r="AP2578">
        <f>IF($E2578="","",IF(OR($U2578=TRUE(),$U2578="TRUE"),1,0))</f>
        <v/>
      </c>
      <c r="AQ2578">
        <f>IF($E2578="","",IF($AD2578="Yes",1,0))</f>
        <v/>
      </c>
      <c r="AR2578">
        <f>IF($AN2578=1,IFERROR(VALUE(MID($E2578,2,20)),1000000000)+ROW()/100000,"")</f>
        <v/>
      </c>
    </row>
    <row r="2579">
      <c r="G2579" s="11" t="n"/>
      <c r="Q2579" s="7">
        <f>IF($E2579="","",P2579*AB2579/100)</f>
        <v/>
      </c>
      <c r="R2579" s="7" t="n"/>
      <c r="X2579" s="7" t="n"/>
      <c r="Y2579" s="7">
        <f>IF($E2579="","",AB2579*AE2579/100)</f>
        <v/>
      </c>
      <c r="Z2579" s="7">
        <f>IF($E2579="","",AB2579-Y2579)</f>
        <v/>
      </c>
      <c r="AA2579" s="7">
        <f>IF($E2579="","",Z2579-Q2579)</f>
        <v/>
      </c>
      <c r="AB2579" s="7" t="n"/>
      <c r="AE2579">
        <f>IF($E2579="","",IF($AQ2579=1,0,IF($AP2579=1,Settings!$C$6,Settings!$C$7))*100)</f>
        <v/>
      </c>
      <c r="AI2579" s="7" t="n"/>
      <c r="AL2579" s="11" t="n"/>
      <c r="AN2579">
        <f>IF($E2579="","",IF(COUNTIF($E$2:$E2579,$E2579)=1,1,0))</f>
        <v/>
      </c>
      <c r="AO2579">
        <f>IF($AN2579=1,SUMPRODUCT(--($AR$2:$AR$3001&lt;$AR2579))+1,"")</f>
        <v/>
      </c>
      <c r="AP2579">
        <f>IF($E2579="","",IF(OR($U2579=TRUE(),$U2579="TRUE"),1,0))</f>
        <v/>
      </c>
      <c r="AQ2579">
        <f>IF($E2579="","",IF($AD2579="Yes",1,0))</f>
        <v/>
      </c>
      <c r="AR2579">
        <f>IF($AN2579=1,IFERROR(VALUE(MID($E2579,2,20)),1000000000)+ROW()/100000,"")</f>
        <v/>
      </c>
    </row>
    <row r="2580">
      <c r="G2580" s="11" t="n"/>
      <c r="Q2580" s="7">
        <f>IF($E2580="","",P2580*AB2580/100)</f>
        <v/>
      </c>
      <c r="R2580" s="7" t="n"/>
      <c r="X2580" s="7" t="n"/>
      <c r="Y2580" s="7">
        <f>IF($E2580="","",AB2580*AE2580/100)</f>
        <v/>
      </c>
      <c r="Z2580" s="7">
        <f>IF($E2580="","",AB2580-Y2580)</f>
        <v/>
      </c>
      <c r="AA2580" s="7">
        <f>IF($E2580="","",Z2580-Q2580)</f>
        <v/>
      </c>
      <c r="AB2580" s="7" t="n"/>
      <c r="AE2580">
        <f>IF($E2580="","",IF($AQ2580=1,0,IF($AP2580=1,Settings!$C$6,Settings!$C$7))*100)</f>
        <v/>
      </c>
      <c r="AI2580" s="7" t="n"/>
      <c r="AL2580" s="11" t="n"/>
      <c r="AN2580">
        <f>IF($E2580="","",IF(COUNTIF($E$2:$E2580,$E2580)=1,1,0))</f>
        <v/>
      </c>
      <c r="AO2580">
        <f>IF($AN2580=1,SUMPRODUCT(--($AR$2:$AR$3001&lt;$AR2580))+1,"")</f>
        <v/>
      </c>
      <c r="AP2580">
        <f>IF($E2580="","",IF(OR($U2580=TRUE(),$U2580="TRUE"),1,0))</f>
        <v/>
      </c>
      <c r="AQ2580">
        <f>IF($E2580="","",IF($AD2580="Yes",1,0))</f>
        <v/>
      </c>
      <c r="AR2580">
        <f>IF($AN2580=1,IFERROR(VALUE(MID($E2580,2,20)),1000000000)+ROW()/100000,"")</f>
        <v/>
      </c>
    </row>
    <row r="2581">
      <c r="G2581" s="11" t="n"/>
      <c r="Q2581" s="7">
        <f>IF($E2581="","",P2581*AB2581/100)</f>
        <v/>
      </c>
      <c r="R2581" s="7" t="n"/>
      <c r="X2581" s="7" t="n"/>
      <c r="Y2581" s="7">
        <f>IF($E2581="","",AB2581*AE2581/100)</f>
        <v/>
      </c>
      <c r="Z2581" s="7">
        <f>IF($E2581="","",AB2581-Y2581)</f>
        <v/>
      </c>
      <c r="AA2581" s="7">
        <f>IF($E2581="","",Z2581-Q2581)</f>
        <v/>
      </c>
      <c r="AB2581" s="7" t="n"/>
      <c r="AE2581">
        <f>IF($E2581="","",IF($AQ2581=1,0,IF($AP2581=1,Settings!$C$6,Settings!$C$7))*100)</f>
        <v/>
      </c>
      <c r="AI2581" s="7" t="n"/>
      <c r="AL2581" s="11" t="n"/>
      <c r="AN2581">
        <f>IF($E2581="","",IF(COUNTIF($E$2:$E2581,$E2581)=1,1,0))</f>
        <v/>
      </c>
      <c r="AO2581">
        <f>IF($AN2581=1,SUMPRODUCT(--($AR$2:$AR$3001&lt;$AR2581))+1,"")</f>
        <v/>
      </c>
      <c r="AP2581">
        <f>IF($E2581="","",IF(OR($U2581=TRUE(),$U2581="TRUE"),1,0))</f>
        <v/>
      </c>
      <c r="AQ2581">
        <f>IF($E2581="","",IF($AD2581="Yes",1,0))</f>
        <v/>
      </c>
      <c r="AR2581">
        <f>IF($AN2581=1,IFERROR(VALUE(MID($E2581,2,20)),1000000000)+ROW()/100000,"")</f>
        <v/>
      </c>
    </row>
    <row r="2582">
      <c r="G2582" s="11" t="n"/>
      <c r="Q2582" s="7">
        <f>IF($E2582="","",P2582*AB2582/100)</f>
        <v/>
      </c>
      <c r="R2582" s="7" t="n"/>
      <c r="X2582" s="7" t="n"/>
      <c r="Y2582" s="7">
        <f>IF($E2582="","",AB2582*AE2582/100)</f>
        <v/>
      </c>
      <c r="Z2582" s="7">
        <f>IF($E2582="","",AB2582-Y2582)</f>
        <v/>
      </c>
      <c r="AA2582" s="7">
        <f>IF($E2582="","",Z2582-Q2582)</f>
        <v/>
      </c>
      <c r="AB2582" s="7" t="n"/>
      <c r="AE2582">
        <f>IF($E2582="","",IF($AQ2582=1,0,IF($AP2582=1,Settings!$C$6,Settings!$C$7))*100)</f>
        <v/>
      </c>
      <c r="AI2582" s="7" t="n"/>
      <c r="AL2582" s="11" t="n"/>
      <c r="AN2582">
        <f>IF($E2582="","",IF(COUNTIF($E$2:$E2582,$E2582)=1,1,0))</f>
        <v/>
      </c>
      <c r="AO2582">
        <f>IF($AN2582=1,SUMPRODUCT(--($AR$2:$AR$3001&lt;$AR2582))+1,"")</f>
        <v/>
      </c>
      <c r="AP2582">
        <f>IF($E2582="","",IF(OR($U2582=TRUE(),$U2582="TRUE"),1,0))</f>
        <v/>
      </c>
      <c r="AQ2582">
        <f>IF($E2582="","",IF($AD2582="Yes",1,0))</f>
        <v/>
      </c>
      <c r="AR2582">
        <f>IF($AN2582=1,IFERROR(VALUE(MID($E2582,2,20)),1000000000)+ROW()/100000,"")</f>
        <v/>
      </c>
    </row>
    <row r="2583">
      <c r="G2583" s="11" t="n"/>
      <c r="Q2583" s="7">
        <f>IF($E2583="","",P2583*AB2583/100)</f>
        <v/>
      </c>
      <c r="R2583" s="7" t="n"/>
      <c r="X2583" s="7" t="n"/>
      <c r="Y2583" s="7">
        <f>IF($E2583="","",AB2583*AE2583/100)</f>
        <v/>
      </c>
      <c r="Z2583" s="7">
        <f>IF($E2583="","",AB2583-Y2583)</f>
        <v/>
      </c>
      <c r="AA2583" s="7">
        <f>IF($E2583="","",Z2583-Q2583)</f>
        <v/>
      </c>
      <c r="AB2583" s="7" t="n"/>
      <c r="AE2583">
        <f>IF($E2583="","",IF($AQ2583=1,0,IF($AP2583=1,Settings!$C$6,Settings!$C$7))*100)</f>
        <v/>
      </c>
      <c r="AI2583" s="7" t="n"/>
      <c r="AL2583" s="11" t="n"/>
      <c r="AN2583">
        <f>IF($E2583="","",IF(COUNTIF($E$2:$E2583,$E2583)=1,1,0))</f>
        <v/>
      </c>
      <c r="AO2583">
        <f>IF($AN2583=1,SUMPRODUCT(--($AR$2:$AR$3001&lt;$AR2583))+1,"")</f>
        <v/>
      </c>
      <c r="AP2583">
        <f>IF($E2583="","",IF(OR($U2583=TRUE(),$U2583="TRUE"),1,0))</f>
        <v/>
      </c>
      <c r="AQ2583">
        <f>IF($E2583="","",IF($AD2583="Yes",1,0))</f>
        <v/>
      </c>
      <c r="AR2583">
        <f>IF($AN2583=1,IFERROR(VALUE(MID($E2583,2,20)),1000000000)+ROW()/100000,"")</f>
        <v/>
      </c>
    </row>
    <row r="2584">
      <c r="G2584" s="11" t="n"/>
      <c r="Q2584" s="7">
        <f>IF($E2584="","",P2584*AB2584/100)</f>
        <v/>
      </c>
      <c r="R2584" s="7" t="n"/>
      <c r="X2584" s="7" t="n"/>
      <c r="Y2584" s="7">
        <f>IF($E2584="","",AB2584*AE2584/100)</f>
        <v/>
      </c>
      <c r="Z2584" s="7">
        <f>IF($E2584="","",AB2584-Y2584)</f>
        <v/>
      </c>
      <c r="AA2584" s="7">
        <f>IF($E2584="","",Z2584-Q2584)</f>
        <v/>
      </c>
      <c r="AB2584" s="7" t="n"/>
      <c r="AE2584">
        <f>IF($E2584="","",IF($AQ2584=1,0,IF($AP2584=1,Settings!$C$6,Settings!$C$7))*100)</f>
        <v/>
      </c>
      <c r="AI2584" s="7" t="n"/>
      <c r="AL2584" s="11" t="n"/>
      <c r="AN2584">
        <f>IF($E2584="","",IF(COUNTIF($E$2:$E2584,$E2584)=1,1,0))</f>
        <v/>
      </c>
      <c r="AO2584">
        <f>IF($AN2584=1,SUMPRODUCT(--($AR$2:$AR$3001&lt;$AR2584))+1,"")</f>
        <v/>
      </c>
      <c r="AP2584">
        <f>IF($E2584="","",IF(OR($U2584=TRUE(),$U2584="TRUE"),1,0))</f>
        <v/>
      </c>
      <c r="AQ2584">
        <f>IF($E2584="","",IF($AD2584="Yes",1,0))</f>
        <v/>
      </c>
      <c r="AR2584">
        <f>IF($AN2584=1,IFERROR(VALUE(MID($E2584,2,20)),1000000000)+ROW()/100000,"")</f>
        <v/>
      </c>
    </row>
    <row r="2585">
      <c r="G2585" s="11" t="n"/>
      <c r="Q2585" s="7">
        <f>IF($E2585="","",P2585*AB2585/100)</f>
        <v/>
      </c>
      <c r="R2585" s="7" t="n"/>
      <c r="X2585" s="7" t="n"/>
      <c r="Y2585" s="7">
        <f>IF($E2585="","",AB2585*AE2585/100)</f>
        <v/>
      </c>
      <c r="Z2585" s="7">
        <f>IF($E2585="","",AB2585-Y2585)</f>
        <v/>
      </c>
      <c r="AA2585" s="7">
        <f>IF($E2585="","",Z2585-Q2585)</f>
        <v/>
      </c>
      <c r="AB2585" s="7" t="n"/>
      <c r="AE2585">
        <f>IF($E2585="","",IF($AQ2585=1,0,IF($AP2585=1,Settings!$C$6,Settings!$C$7))*100)</f>
        <v/>
      </c>
      <c r="AI2585" s="7" t="n"/>
      <c r="AL2585" s="11" t="n"/>
      <c r="AN2585">
        <f>IF($E2585="","",IF(COUNTIF($E$2:$E2585,$E2585)=1,1,0))</f>
        <v/>
      </c>
      <c r="AO2585">
        <f>IF($AN2585=1,SUMPRODUCT(--($AR$2:$AR$3001&lt;$AR2585))+1,"")</f>
        <v/>
      </c>
      <c r="AP2585">
        <f>IF($E2585="","",IF(OR($U2585=TRUE(),$U2585="TRUE"),1,0))</f>
        <v/>
      </c>
      <c r="AQ2585">
        <f>IF($E2585="","",IF($AD2585="Yes",1,0))</f>
        <v/>
      </c>
      <c r="AR2585">
        <f>IF($AN2585=1,IFERROR(VALUE(MID($E2585,2,20)),1000000000)+ROW()/100000,"")</f>
        <v/>
      </c>
    </row>
    <row r="2586">
      <c r="G2586" s="11" t="n"/>
      <c r="Q2586" s="7">
        <f>IF($E2586="","",P2586*AB2586/100)</f>
        <v/>
      </c>
      <c r="R2586" s="7" t="n"/>
      <c r="X2586" s="7" t="n"/>
      <c r="Y2586" s="7">
        <f>IF($E2586="","",AB2586*AE2586/100)</f>
        <v/>
      </c>
      <c r="Z2586" s="7">
        <f>IF($E2586="","",AB2586-Y2586)</f>
        <v/>
      </c>
      <c r="AA2586" s="7">
        <f>IF($E2586="","",Z2586-Q2586)</f>
        <v/>
      </c>
      <c r="AB2586" s="7" t="n"/>
      <c r="AE2586">
        <f>IF($E2586="","",IF($AQ2586=1,0,IF($AP2586=1,Settings!$C$6,Settings!$C$7))*100)</f>
        <v/>
      </c>
      <c r="AI2586" s="7" t="n"/>
      <c r="AL2586" s="11" t="n"/>
      <c r="AN2586">
        <f>IF($E2586="","",IF(COUNTIF($E$2:$E2586,$E2586)=1,1,0))</f>
        <v/>
      </c>
      <c r="AO2586">
        <f>IF($AN2586=1,SUMPRODUCT(--($AR$2:$AR$3001&lt;$AR2586))+1,"")</f>
        <v/>
      </c>
      <c r="AP2586">
        <f>IF($E2586="","",IF(OR($U2586=TRUE(),$U2586="TRUE"),1,0))</f>
        <v/>
      </c>
      <c r="AQ2586">
        <f>IF($E2586="","",IF($AD2586="Yes",1,0))</f>
        <v/>
      </c>
      <c r="AR2586">
        <f>IF($AN2586=1,IFERROR(VALUE(MID($E2586,2,20)),1000000000)+ROW()/100000,"")</f>
        <v/>
      </c>
    </row>
    <row r="2587">
      <c r="G2587" s="11" t="n"/>
      <c r="Q2587" s="7">
        <f>IF($E2587="","",P2587*AB2587/100)</f>
        <v/>
      </c>
      <c r="R2587" s="7" t="n"/>
      <c r="X2587" s="7" t="n"/>
      <c r="Y2587" s="7">
        <f>IF($E2587="","",AB2587*AE2587/100)</f>
        <v/>
      </c>
      <c r="Z2587" s="7">
        <f>IF($E2587="","",AB2587-Y2587)</f>
        <v/>
      </c>
      <c r="AA2587" s="7">
        <f>IF($E2587="","",Z2587-Q2587)</f>
        <v/>
      </c>
      <c r="AB2587" s="7" t="n"/>
      <c r="AE2587">
        <f>IF($E2587="","",IF($AQ2587=1,0,IF($AP2587=1,Settings!$C$6,Settings!$C$7))*100)</f>
        <v/>
      </c>
      <c r="AI2587" s="7" t="n"/>
      <c r="AL2587" s="11" t="n"/>
      <c r="AN2587">
        <f>IF($E2587="","",IF(COUNTIF($E$2:$E2587,$E2587)=1,1,0))</f>
        <v/>
      </c>
      <c r="AO2587">
        <f>IF($AN2587=1,SUMPRODUCT(--($AR$2:$AR$3001&lt;$AR2587))+1,"")</f>
        <v/>
      </c>
      <c r="AP2587">
        <f>IF($E2587="","",IF(OR($U2587=TRUE(),$U2587="TRUE"),1,0))</f>
        <v/>
      </c>
      <c r="AQ2587">
        <f>IF($E2587="","",IF($AD2587="Yes",1,0))</f>
        <v/>
      </c>
      <c r="AR2587">
        <f>IF($AN2587=1,IFERROR(VALUE(MID($E2587,2,20)),1000000000)+ROW()/100000,"")</f>
        <v/>
      </c>
    </row>
    <row r="2588">
      <c r="G2588" s="11" t="n"/>
      <c r="Q2588" s="7">
        <f>IF($E2588="","",P2588*AB2588/100)</f>
        <v/>
      </c>
      <c r="R2588" s="7" t="n"/>
      <c r="X2588" s="7" t="n"/>
      <c r="Y2588" s="7">
        <f>IF($E2588="","",AB2588*AE2588/100)</f>
        <v/>
      </c>
      <c r="Z2588" s="7">
        <f>IF($E2588="","",AB2588-Y2588)</f>
        <v/>
      </c>
      <c r="AA2588" s="7">
        <f>IF($E2588="","",Z2588-Q2588)</f>
        <v/>
      </c>
      <c r="AB2588" s="7" t="n"/>
      <c r="AE2588">
        <f>IF($E2588="","",IF($AQ2588=1,0,IF($AP2588=1,Settings!$C$6,Settings!$C$7))*100)</f>
        <v/>
      </c>
      <c r="AI2588" s="7" t="n"/>
      <c r="AL2588" s="11" t="n"/>
      <c r="AN2588">
        <f>IF($E2588="","",IF(COUNTIF($E$2:$E2588,$E2588)=1,1,0))</f>
        <v/>
      </c>
      <c r="AO2588">
        <f>IF($AN2588=1,SUMPRODUCT(--($AR$2:$AR$3001&lt;$AR2588))+1,"")</f>
        <v/>
      </c>
      <c r="AP2588">
        <f>IF($E2588="","",IF(OR($U2588=TRUE(),$U2588="TRUE"),1,0))</f>
        <v/>
      </c>
      <c r="AQ2588">
        <f>IF($E2588="","",IF($AD2588="Yes",1,0))</f>
        <v/>
      </c>
      <c r="AR2588">
        <f>IF($AN2588=1,IFERROR(VALUE(MID($E2588,2,20)),1000000000)+ROW()/100000,"")</f>
        <v/>
      </c>
    </row>
    <row r="2589">
      <c r="G2589" s="11" t="n"/>
      <c r="Q2589" s="7">
        <f>IF($E2589="","",P2589*AB2589/100)</f>
        <v/>
      </c>
      <c r="R2589" s="7" t="n"/>
      <c r="X2589" s="7" t="n"/>
      <c r="Y2589" s="7">
        <f>IF($E2589="","",AB2589*AE2589/100)</f>
        <v/>
      </c>
      <c r="Z2589" s="7">
        <f>IF($E2589="","",AB2589-Y2589)</f>
        <v/>
      </c>
      <c r="AA2589" s="7">
        <f>IF($E2589="","",Z2589-Q2589)</f>
        <v/>
      </c>
      <c r="AB2589" s="7" t="n"/>
      <c r="AE2589">
        <f>IF($E2589="","",IF($AQ2589=1,0,IF($AP2589=1,Settings!$C$6,Settings!$C$7))*100)</f>
        <v/>
      </c>
      <c r="AI2589" s="7" t="n"/>
      <c r="AL2589" s="11" t="n"/>
      <c r="AN2589">
        <f>IF($E2589="","",IF(COUNTIF($E$2:$E2589,$E2589)=1,1,0))</f>
        <v/>
      </c>
      <c r="AO2589">
        <f>IF($AN2589=1,SUMPRODUCT(--($AR$2:$AR$3001&lt;$AR2589))+1,"")</f>
        <v/>
      </c>
      <c r="AP2589">
        <f>IF($E2589="","",IF(OR($U2589=TRUE(),$U2589="TRUE"),1,0))</f>
        <v/>
      </c>
      <c r="AQ2589">
        <f>IF($E2589="","",IF($AD2589="Yes",1,0))</f>
        <v/>
      </c>
      <c r="AR2589">
        <f>IF($AN2589=1,IFERROR(VALUE(MID($E2589,2,20)),1000000000)+ROW()/100000,"")</f>
        <v/>
      </c>
    </row>
    <row r="2590">
      <c r="G2590" s="11" t="n"/>
      <c r="Q2590" s="7">
        <f>IF($E2590="","",P2590*AB2590/100)</f>
        <v/>
      </c>
      <c r="R2590" s="7" t="n"/>
      <c r="X2590" s="7" t="n"/>
      <c r="Y2590" s="7">
        <f>IF($E2590="","",AB2590*AE2590/100)</f>
        <v/>
      </c>
      <c r="Z2590" s="7">
        <f>IF($E2590="","",AB2590-Y2590)</f>
        <v/>
      </c>
      <c r="AA2590" s="7">
        <f>IF($E2590="","",Z2590-Q2590)</f>
        <v/>
      </c>
      <c r="AB2590" s="7" t="n"/>
      <c r="AE2590">
        <f>IF($E2590="","",IF($AQ2590=1,0,IF($AP2590=1,Settings!$C$6,Settings!$C$7))*100)</f>
        <v/>
      </c>
      <c r="AI2590" s="7" t="n"/>
      <c r="AL2590" s="11" t="n"/>
      <c r="AN2590">
        <f>IF($E2590="","",IF(COUNTIF($E$2:$E2590,$E2590)=1,1,0))</f>
        <v/>
      </c>
      <c r="AO2590">
        <f>IF($AN2590=1,SUMPRODUCT(--($AR$2:$AR$3001&lt;$AR2590))+1,"")</f>
        <v/>
      </c>
      <c r="AP2590">
        <f>IF($E2590="","",IF(OR($U2590=TRUE(),$U2590="TRUE"),1,0))</f>
        <v/>
      </c>
      <c r="AQ2590">
        <f>IF($E2590="","",IF($AD2590="Yes",1,0))</f>
        <v/>
      </c>
      <c r="AR2590">
        <f>IF($AN2590=1,IFERROR(VALUE(MID($E2590,2,20)),1000000000)+ROW()/100000,"")</f>
        <v/>
      </c>
    </row>
    <row r="2591">
      <c r="G2591" s="11" t="n"/>
      <c r="Q2591" s="7">
        <f>IF($E2591="","",P2591*AB2591/100)</f>
        <v/>
      </c>
      <c r="R2591" s="7" t="n"/>
      <c r="X2591" s="7" t="n"/>
      <c r="Y2591" s="7">
        <f>IF($E2591="","",AB2591*AE2591/100)</f>
        <v/>
      </c>
      <c r="Z2591" s="7">
        <f>IF($E2591="","",AB2591-Y2591)</f>
        <v/>
      </c>
      <c r="AA2591" s="7">
        <f>IF($E2591="","",Z2591-Q2591)</f>
        <v/>
      </c>
      <c r="AB2591" s="7" t="n"/>
      <c r="AE2591">
        <f>IF($E2591="","",IF($AQ2591=1,0,IF($AP2591=1,Settings!$C$6,Settings!$C$7))*100)</f>
        <v/>
      </c>
      <c r="AI2591" s="7" t="n"/>
      <c r="AL2591" s="11" t="n"/>
      <c r="AN2591">
        <f>IF($E2591="","",IF(COUNTIF($E$2:$E2591,$E2591)=1,1,0))</f>
        <v/>
      </c>
      <c r="AO2591">
        <f>IF($AN2591=1,SUMPRODUCT(--($AR$2:$AR$3001&lt;$AR2591))+1,"")</f>
        <v/>
      </c>
      <c r="AP2591">
        <f>IF($E2591="","",IF(OR($U2591=TRUE(),$U2591="TRUE"),1,0))</f>
        <v/>
      </c>
      <c r="AQ2591">
        <f>IF($E2591="","",IF($AD2591="Yes",1,0))</f>
        <v/>
      </c>
      <c r="AR2591">
        <f>IF($AN2591=1,IFERROR(VALUE(MID($E2591,2,20)),1000000000)+ROW()/100000,"")</f>
        <v/>
      </c>
    </row>
    <row r="2592">
      <c r="G2592" s="11" t="n"/>
      <c r="Q2592" s="7">
        <f>IF($E2592="","",P2592*AB2592/100)</f>
        <v/>
      </c>
      <c r="R2592" s="7" t="n"/>
      <c r="X2592" s="7" t="n"/>
      <c r="Y2592" s="7">
        <f>IF($E2592="","",AB2592*AE2592/100)</f>
        <v/>
      </c>
      <c r="Z2592" s="7">
        <f>IF($E2592="","",AB2592-Y2592)</f>
        <v/>
      </c>
      <c r="AA2592" s="7">
        <f>IF($E2592="","",Z2592-Q2592)</f>
        <v/>
      </c>
      <c r="AB2592" s="7" t="n"/>
      <c r="AE2592">
        <f>IF($E2592="","",IF($AQ2592=1,0,IF($AP2592=1,Settings!$C$6,Settings!$C$7))*100)</f>
        <v/>
      </c>
      <c r="AI2592" s="7" t="n"/>
      <c r="AL2592" s="11" t="n"/>
      <c r="AN2592">
        <f>IF($E2592="","",IF(COUNTIF($E$2:$E2592,$E2592)=1,1,0))</f>
        <v/>
      </c>
      <c r="AO2592">
        <f>IF($AN2592=1,SUMPRODUCT(--($AR$2:$AR$3001&lt;$AR2592))+1,"")</f>
        <v/>
      </c>
      <c r="AP2592">
        <f>IF($E2592="","",IF(OR($U2592=TRUE(),$U2592="TRUE"),1,0))</f>
        <v/>
      </c>
      <c r="AQ2592">
        <f>IF($E2592="","",IF($AD2592="Yes",1,0))</f>
        <v/>
      </c>
      <c r="AR2592">
        <f>IF($AN2592=1,IFERROR(VALUE(MID($E2592,2,20)),1000000000)+ROW()/100000,"")</f>
        <v/>
      </c>
    </row>
    <row r="2593">
      <c r="G2593" s="11" t="n"/>
      <c r="Q2593" s="7">
        <f>IF($E2593="","",P2593*AB2593/100)</f>
        <v/>
      </c>
      <c r="R2593" s="7" t="n"/>
      <c r="X2593" s="7" t="n"/>
      <c r="Y2593" s="7">
        <f>IF($E2593="","",AB2593*AE2593/100)</f>
        <v/>
      </c>
      <c r="Z2593" s="7">
        <f>IF($E2593="","",AB2593-Y2593)</f>
        <v/>
      </c>
      <c r="AA2593" s="7">
        <f>IF($E2593="","",Z2593-Q2593)</f>
        <v/>
      </c>
      <c r="AB2593" s="7" t="n"/>
      <c r="AE2593">
        <f>IF($E2593="","",IF($AQ2593=1,0,IF($AP2593=1,Settings!$C$6,Settings!$C$7))*100)</f>
        <v/>
      </c>
      <c r="AI2593" s="7" t="n"/>
      <c r="AL2593" s="11" t="n"/>
      <c r="AN2593">
        <f>IF($E2593="","",IF(COUNTIF($E$2:$E2593,$E2593)=1,1,0))</f>
        <v/>
      </c>
      <c r="AO2593">
        <f>IF($AN2593=1,SUMPRODUCT(--($AR$2:$AR$3001&lt;$AR2593))+1,"")</f>
        <v/>
      </c>
      <c r="AP2593">
        <f>IF($E2593="","",IF(OR($U2593=TRUE(),$U2593="TRUE"),1,0))</f>
        <v/>
      </c>
      <c r="AQ2593">
        <f>IF($E2593="","",IF($AD2593="Yes",1,0))</f>
        <v/>
      </c>
      <c r="AR2593">
        <f>IF($AN2593=1,IFERROR(VALUE(MID($E2593,2,20)),1000000000)+ROW()/100000,"")</f>
        <v/>
      </c>
    </row>
    <row r="2594">
      <c r="G2594" s="11" t="n"/>
      <c r="Q2594" s="7">
        <f>IF($E2594="","",P2594*AB2594/100)</f>
        <v/>
      </c>
      <c r="R2594" s="7" t="n"/>
      <c r="X2594" s="7" t="n"/>
      <c r="Y2594" s="7">
        <f>IF($E2594="","",AB2594*AE2594/100)</f>
        <v/>
      </c>
      <c r="Z2594" s="7">
        <f>IF($E2594="","",AB2594-Y2594)</f>
        <v/>
      </c>
      <c r="AA2594" s="7">
        <f>IF($E2594="","",Z2594-Q2594)</f>
        <v/>
      </c>
      <c r="AB2594" s="7" t="n"/>
      <c r="AE2594">
        <f>IF($E2594="","",IF($AQ2594=1,0,IF($AP2594=1,Settings!$C$6,Settings!$C$7))*100)</f>
        <v/>
      </c>
      <c r="AI2594" s="7" t="n"/>
      <c r="AL2594" s="11" t="n"/>
      <c r="AN2594">
        <f>IF($E2594="","",IF(COUNTIF($E$2:$E2594,$E2594)=1,1,0))</f>
        <v/>
      </c>
      <c r="AO2594">
        <f>IF($AN2594=1,SUMPRODUCT(--($AR$2:$AR$3001&lt;$AR2594))+1,"")</f>
        <v/>
      </c>
      <c r="AP2594">
        <f>IF($E2594="","",IF(OR($U2594=TRUE(),$U2594="TRUE"),1,0))</f>
        <v/>
      </c>
      <c r="AQ2594">
        <f>IF($E2594="","",IF($AD2594="Yes",1,0))</f>
        <v/>
      </c>
      <c r="AR2594">
        <f>IF($AN2594=1,IFERROR(VALUE(MID($E2594,2,20)),1000000000)+ROW()/100000,"")</f>
        <v/>
      </c>
    </row>
    <row r="2595">
      <c r="G2595" s="11" t="n"/>
      <c r="Q2595" s="7">
        <f>IF($E2595="","",P2595*AB2595/100)</f>
        <v/>
      </c>
      <c r="R2595" s="7" t="n"/>
      <c r="X2595" s="7" t="n"/>
      <c r="Y2595" s="7">
        <f>IF($E2595="","",AB2595*AE2595/100)</f>
        <v/>
      </c>
      <c r="Z2595" s="7">
        <f>IF($E2595="","",AB2595-Y2595)</f>
        <v/>
      </c>
      <c r="AA2595" s="7">
        <f>IF($E2595="","",Z2595-Q2595)</f>
        <v/>
      </c>
      <c r="AB2595" s="7" t="n"/>
      <c r="AE2595">
        <f>IF($E2595="","",IF($AQ2595=1,0,IF($AP2595=1,Settings!$C$6,Settings!$C$7))*100)</f>
        <v/>
      </c>
      <c r="AI2595" s="7" t="n"/>
      <c r="AL2595" s="11" t="n"/>
      <c r="AN2595">
        <f>IF($E2595="","",IF(COUNTIF($E$2:$E2595,$E2595)=1,1,0))</f>
        <v/>
      </c>
      <c r="AO2595">
        <f>IF($AN2595=1,SUMPRODUCT(--($AR$2:$AR$3001&lt;$AR2595))+1,"")</f>
        <v/>
      </c>
      <c r="AP2595">
        <f>IF($E2595="","",IF(OR($U2595=TRUE(),$U2595="TRUE"),1,0))</f>
        <v/>
      </c>
      <c r="AQ2595">
        <f>IF($E2595="","",IF($AD2595="Yes",1,0))</f>
        <v/>
      </c>
      <c r="AR2595">
        <f>IF($AN2595=1,IFERROR(VALUE(MID($E2595,2,20)),1000000000)+ROW()/100000,"")</f>
        <v/>
      </c>
    </row>
    <row r="2596">
      <c r="G2596" s="11" t="n"/>
      <c r="Q2596" s="7">
        <f>IF($E2596="","",P2596*AB2596/100)</f>
        <v/>
      </c>
      <c r="R2596" s="7" t="n"/>
      <c r="X2596" s="7" t="n"/>
      <c r="Y2596" s="7">
        <f>IF($E2596="","",AB2596*AE2596/100)</f>
        <v/>
      </c>
      <c r="Z2596" s="7">
        <f>IF($E2596="","",AB2596-Y2596)</f>
        <v/>
      </c>
      <c r="AA2596" s="7">
        <f>IF($E2596="","",Z2596-Q2596)</f>
        <v/>
      </c>
      <c r="AB2596" s="7" t="n"/>
      <c r="AE2596">
        <f>IF($E2596="","",IF($AQ2596=1,0,IF($AP2596=1,Settings!$C$6,Settings!$C$7))*100)</f>
        <v/>
      </c>
      <c r="AI2596" s="7" t="n"/>
      <c r="AL2596" s="11" t="n"/>
      <c r="AN2596">
        <f>IF($E2596="","",IF(COUNTIF($E$2:$E2596,$E2596)=1,1,0))</f>
        <v/>
      </c>
      <c r="AO2596">
        <f>IF($AN2596=1,SUMPRODUCT(--($AR$2:$AR$3001&lt;$AR2596))+1,"")</f>
        <v/>
      </c>
      <c r="AP2596">
        <f>IF($E2596="","",IF(OR($U2596=TRUE(),$U2596="TRUE"),1,0))</f>
        <v/>
      </c>
      <c r="AQ2596">
        <f>IF($E2596="","",IF($AD2596="Yes",1,0))</f>
        <v/>
      </c>
      <c r="AR2596">
        <f>IF($AN2596=1,IFERROR(VALUE(MID($E2596,2,20)),1000000000)+ROW()/100000,"")</f>
        <v/>
      </c>
    </row>
    <row r="2597">
      <c r="G2597" s="11" t="n"/>
      <c r="Q2597" s="7">
        <f>IF($E2597="","",P2597*AB2597/100)</f>
        <v/>
      </c>
      <c r="R2597" s="7" t="n"/>
      <c r="X2597" s="7" t="n"/>
      <c r="Y2597" s="7">
        <f>IF($E2597="","",AB2597*AE2597/100)</f>
        <v/>
      </c>
      <c r="Z2597" s="7">
        <f>IF($E2597="","",AB2597-Y2597)</f>
        <v/>
      </c>
      <c r="AA2597" s="7">
        <f>IF($E2597="","",Z2597-Q2597)</f>
        <v/>
      </c>
      <c r="AB2597" s="7" t="n"/>
      <c r="AE2597">
        <f>IF($E2597="","",IF($AQ2597=1,0,IF($AP2597=1,Settings!$C$6,Settings!$C$7))*100)</f>
        <v/>
      </c>
      <c r="AI2597" s="7" t="n"/>
      <c r="AL2597" s="11" t="n"/>
      <c r="AN2597">
        <f>IF($E2597="","",IF(COUNTIF($E$2:$E2597,$E2597)=1,1,0))</f>
        <v/>
      </c>
      <c r="AO2597">
        <f>IF($AN2597=1,SUMPRODUCT(--($AR$2:$AR$3001&lt;$AR2597))+1,"")</f>
        <v/>
      </c>
      <c r="AP2597">
        <f>IF($E2597="","",IF(OR($U2597=TRUE(),$U2597="TRUE"),1,0))</f>
        <v/>
      </c>
      <c r="AQ2597">
        <f>IF($E2597="","",IF($AD2597="Yes",1,0))</f>
        <v/>
      </c>
      <c r="AR2597">
        <f>IF($AN2597=1,IFERROR(VALUE(MID($E2597,2,20)),1000000000)+ROW()/100000,"")</f>
        <v/>
      </c>
    </row>
    <row r="2598">
      <c r="G2598" s="11" t="n"/>
      <c r="Q2598" s="7">
        <f>IF($E2598="","",P2598*AB2598/100)</f>
        <v/>
      </c>
      <c r="R2598" s="7" t="n"/>
      <c r="X2598" s="7" t="n"/>
      <c r="Y2598" s="7">
        <f>IF($E2598="","",AB2598*AE2598/100)</f>
        <v/>
      </c>
      <c r="Z2598" s="7">
        <f>IF($E2598="","",AB2598-Y2598)</f>
        <v/>
      </c>
      <c r="AA2598" s="7">
        <f>IF($E2598="","",Z2598-Q2598)</f>
        <v/>
      </c>
      <c r="AB2598" s="7" t="n"/>
      <c r="AE2598">
        <f>IF($E2598="","",IF($AQ2598=1,0,IF($AP2598=1,Settings!$C$6,Settings!$C$7))*100)</f>
        <v/>
      </c>
      <c r="AI2598" s="7" t="n"/>
      <c r="AL2598" s="11" t="n"/>
      <c r="AN2598">
        <f>IF($E2598="","",IF(COUNTIF($E$2:$E2598,$E2598)=1,1,0))</f>
        <v/>
      </c>
      <c r="AO2598">
        <f>IF($AN2598=1,SUMPRODUCT(--($AR$2:$AR$3001&lt;$AR2598))+1,"")</f>
        <v/>
      </c>
      <c r="AP2598">
        <f>IF($E2598="","",IF(OR($U2598=TRUE(),$U2598="TRUE"),1,0))</f>
        <v/>
      </c>
      <c r="AQ2598">
        <f>IF($E2598="","",IF($AD2598="Yes",1,0))</f>
        <v/>
      </c>
      <c r="AR2598">
        <f>IF($AN2598=1,IFERROR(VALUE(MID($E2598,2,20)),1000000000)+ROW()/100000,"")</f>
        <v/>
      </c>
    </row>
    <row r="2599">
      <c r="G2599" s="11" t="n"/>
      <c r="Q2599" s="7">
        <f>IF($E2599="","",P2599*AB2599/100)</f>
        <v/>
      </c>
      <c r="R2599" s="7" t="n"/>
      <c r="X2599" s="7" t="n"/>
      <c r="Y2599" s="7">
        <f>IF($E2599="","",AB2599*AE2599/100)</f>
        <v/>
      </c>
      <c r="Z2599" s="7">
        <f>IF($E2599="","",AB2599-Y2599)</f>
        <v/>
      </c>
      <c r="AA2599" s="7">
        <f>IF($E2599="","",Z2599-Q2599)</f>
        <v/>
      </c>
      <c r="AB2599" s="7" t="n"/>
      <c r="AE2599">
        <f>IF($E2599="","",IF($AQ2599=1,0,IF($AP2599=1,Settings!$C$6,Settings!$C$7))*100)</f>
        <v/>
      </c>
      <c r="AI2599" s="7" t="n"/>
      <c r="AL2599" s="11" t="n"/>
      <c r="AN2599">
        <f>IF($E2599="","",IF(COUNTIF($E$2:$E2599,$E2599)=1,1,0))</f>
        <v/>
      </c>
      <c r="AO2599">
        <f>IF($AN2599=1,SUMPRODUCT(--($AR$2:$AR$3001&lt;$AR2599))+1,"")</f>
        <v/>
      </c>
      <c r="AP2599">
        <f>IF($E2599="","",IF(OR($U2599=TRUE(),$U2599="TRUE"),1,0))</f>
        <v/>
      </c>
      <c r="AQ2599">
        <f>IF($E2599="","",IF($AD2599="Yes",1,0))</f>
        <v/>
      </c>
      <c r="AR2599">
        <f>IF($AN2599=1,IFERROR(VALUE(MID($E2599,2,20)),1000000000)+ROW()/100000,"")</f>
        <v/>
      </c>
    </row>
    <row r="2600">
      <c r="G2600" s="11" t="n"/>
      <c r="Q2600" s="7">
        <f>IF($E2600="","",P2600*AB2600/100)</f>
        <v/>
      </c>
      <c r="R2600" s="7" t="n"/>
      <c r="X2600" s="7" t="n"/>
      <c r="Y2600" s="7">
        <f>IF($E2600="","",AB2600*AE2600/100)</f>
        <v/>
      </c>
      <c r="Z2600" s="7">
        <f>IF($E2600="","",AB2600-Y2600)</f>
        <v/>
      </c>
      <c r="AA2600" s="7">
        <f>IF($E2600="","",Z2600-Q2600)</f>
        <v/>
      </c>
      <c r="AB2600" s="7" t="n"/>
      <c r="AE2600">
        <f>IF($E2600="","",IF($AQ2600=1,0,IF($AP2600=1,Settings!$C$6,Settings!$C$7))*100)</f>
        <v/>
      </c>
      <c r="AI2600" s="7" t="n"/>
      <c r="AL2600" s="11" t="n"/>
      <c r="AN2600">
        <f>IF($E2600="","",IF(COUNTIF($E$2:$E2600,$E2600)=1,1,0))</f>
        <v/>
      </c>
      <c r="AO2600">
        <f>IF($AN2600=1,SUMPRODUCT(--($AR$2:$AR$3001&lt;$AR2600))+1,"")</f>
        <v/>
      </c>
      <c r="AP2600">
        <f>IF($E2600="","",IF(OR($U2600=TRUE(),$U2600="TRUE"),1,0))</f>
        <v/>
      </c>
      <c r="AQ2600">
        <f>IF($E2600="","",IF($AD2600="Yes",1,0))</f>
        <v/>
      </c>
      <c r="AR2600">
        <f>IF($AN2600=1,IFERROR(VALUE(MID($E2600,2,20)),1000000000)+ROW()/100000,"")</f>
        <v/>
      </c>
    </row>
    <row r="2601">
      <c r="G2601" s="11" t="n"/>
      <c r="Q2601" s="7">
        <f>IF($E2601="","",P2601*AB2601/100)</f>
        <v/>
      </c>
      <c r="R2601" s="7" t="n"/>
      <c r="X2601" s="7" t="n"/>
      <c r="Y2601" s="7">
        <f>IF($E2601="","",AB2601*AE2601/100)</f>
        <v/>
      </c>
      <c r="Z2601" s="7">
        <f>IF($E2601="","",AB2601-Y2601)</f>
        <v/>
      </c>
      <c r="AA2601" s="7">
        <f>IF($E2601="","",Z2601-Q2601)</f>
        <v/>
      </c>
      <c r="AB2601" s="7" t="n"/>
      <c r="AE2601">
        <f>IF($E2601="","",IF($AQ2601=1,0,IF($AP2601=1,Settings!$C$6,Settings!$C$7))*100)</f>
        <v/>
      </c>
      <c r="AI2601" s="7" t="n"/>
      <c r="AL2601" s="11" t="n"/>
      <c r="AN2601">
        <f>IF($E2601="","",IF(COUNTIF($E$2:$E2601,$E2601)=1,1,0))</f>
        <v/>
      </c>
      <c r="AO2601">
        <f>IF($AN2601=1,SUMPRODUCT(--($AR$2:$AR$3001&lt;$AR2601))+1,"")</f>
        <v/>
      </c>
      <c r="AP2601">
        <f>IF($E2601="","",IF(OR($U2601=TRUE(),$U2601="TRUE"),1,0))</f>
        <v/>
      </c>
      <c r="AQ2601">
        <f>IF($E2601="","",IF($AD2601="Yes",1,0))</f>
        <v/>
      </c>
      <c r="AR2601">
        <f>IF($AN2601=1,IFERROR(VALUE(MID($E2601,2,20)),1000000000)+ROW()/100000,"")</f>
        <v/>
      </c>
    </row>
    <row r="2602">
      <c r="G2602" s="11" t="n"/>
      <c r="Q2602" s="7">
        <f>IF($E2602="","",P2602*AB2602/100)</f>
        <v/>
      </c>
      <c r="R2602" s="7" t="n"/>
      <c r="X2602" s="7" t="n"/>
      <c r="Y2602" s="7">
        <f>IF($E2602="","",AB2602*AE2602/100)</f>
        <v/>
      </c>
      <c r="Z2602" s="7">
        <f>IF($E2602="","",AB2602-Y2602)</f>
        <v/>
      </c>
      <c r="AA2602" s="7">
        <f>IF($E2602="","",Z2602-Q2602)</f>
        <v/>
      </c>
      <c r="AB2602" s="7" t="n"/>
      <c r="AE2602">
        <f>IF($E2602="","",IF($AQ2602=1,0,IF($AP2602=1,Settings!$C$6,Settings!$C$7))*100)</f>
        <v/>
      </c>
      <c r="AI2602" s="7" t="n"/>
      <c r="AL2602" s="11" t="n"/>
      <c r="AN2602">
        <f>IF($E2602="","",IF(COUNTIF($E$2:$E2602,$E2602)=1,1,0))</f>
        <v/>
      </c>
      <c r="AO2602">
        <f>IF($AN2602=1,SUMPRODUCT(--($AR$2:$AR$3001&lt;$AR2602))+1,"")</f>
        <v/>
      </c>
      <c r="AP2602">
        <f>IF($E2602="","",IF(OR($U2602=TRUE(),$U2602="TRUE"),1,0))</f>
        <v/>
      </c>
      <c r="AQ2602">
        <f>IF($E2602="","",IF($AD2602="Yes",1,0))</f>
        <v/>
      </c>
      <c r="AR2602">
        <f>IF($AN2602=1,IFERROR(VALUE(MID($E2602,2,20)),1000000000)+ROW()/100000,"")</f>
        <v/>
      </c>
    </row>
    <row r="2603">
      <c r="G2603" s="11" t="n"/>
      <c r="Q2603" s="7">
        <f>IF($E2603="","",P2603*AB2603/100)</f>
        <v/>
      </c>
      <c r="R2603" s="7" t="n"/>
      <c r="X2603" s="7" t="n"/>
      <c r="Y2603" s="7">
        <f>IF($E2603="","",AB2603*AE2603/100)</f>
        <v/>
      </c>
      <c r="Z2603" s="7">
        <f>IF($E2603="","",AB2603-Y2603)</f>
        <v/>
      </c>
      <c r="AA2603" s="7">
        <f>IF($E2603="","",Z2603-Q2603)</f>
        <v/>
      </c>
      <c r="AB2603" s="7" t="n"/>
      <c r="AE2603">
        <f>IF($E2603="","",IF($AQ2603=1,0,IF($AP2603=1,Settings!$C$6,Settings!$C$7))*100)</f>
        <v/>
      </c>
      <c r="AI2603" s="7" t="n"/>
      <c r="AL2603" s="11" t="n"/>
      <c r="AN2603">
        <f>IF($E2603="","",IF(COUNTIF($E$2:$E2603,$E2603)=1,1,0))</f>
        <v/>
      </c>
      <c r="AO2603">
        <f>IF($AN2603=1,SUMPRODUCT(--($AR$2:$AR$3001&lt;$AR2603))+1,"")</f>
        <v/>
      </c>
      <c r="AP2603">
        <f>IF($E2603="","",IF(OR($U2603=TRUE(),$U2603="TRUE"),1,0))</f>
        <v/>
      </c>
      <c r="AQ2603">
        <f>IF($E2603="","",IF($AD2603="Yes",1,0))</f>
        <v/>
      </c>
      <c r="AR2603">
        <f>IF($AN2603=1,IFERROR(VALUE(MID($E2603,2,20)),1000000000)+ROW()/100000,"")</f>
        <v/>
      </c>
    </row>
    <row r="2604">
      <c r="G2604" s="11" t="n"/>
      <c r="Q2604" s="7">
        <f>IF($E2604="","",P2604*AB2604/100)</f>
        <v/>
      </c>
      <c r="R2604" s="7" t="n"/>
      <c r="X2604" s="7" t="n"/>
      <c r="Y2604" s="7">
        <f>IF($E2604="","",AB2604*AE2604/100)</f>
        <v/>
      </c>
      <c r="Z2604" s="7">
        <f>IF($E2604="","",AB2604-Y2604)</f>
        <v/>
      </c>
      <c r="AA2604" s="7">
        <f>IF($E2604="","",Z2604-Q2604)</f>
        <v/>
      </c>
      <c r="AB2604" s="7" t="n"/>
      <c r="AE2604">
        <f>IF($E2604="","",IF($AQ2604=1,0,IF($AP2604=1,Settings!$C$6,Settings!$C$7))*100)</f>
        <v/>
      </c>
      <c r="AI2604" s="7" t="n"/>
      <c r="AL2604" s="11" t="n"/>
      <c r="AN2604">
        <f>IF($E2604="","",IF(COUNTIF($E$2:$E2604,$E2604)=1,1,0))</f>
        <v/>
      </c>
      <c r="AO2604">
        <f>IF($AN2604=1,SUMPRODUCT(--($AR$2:$AR$3001&lt;$AR2604))+1,"")</f>
        <v/>
      </c>
      <c r="AP2604">
        <f>IF($E2604="","",IF(OR($U2604=TRUE(),$U2604="TRUE"),1,0))</f>
        <v/>
      </c>
      <c r="AQ2604">
        <f>IF($E2604="","",IF($AD2604="Yes",1,0))</f>
        <v/>
      </c>
      <c r="AR2604">
        <f>IF($AN2604=1,IFERROR(VALUE(MID($E2604,2,20)),1000000000)+ROW()/100000,"")</f>
        <v/>
      </c>
    </row>
    <row r="2605">
      <c r="G2605" s="11" t="n"/>
      <c r="Q2605" s="7">
        <f>IF($E2605="","",P2605*AB2605/100)</f>
        <v/>
      </c>
      <c r="R2605" s="7" t="n"/>
      <c r="X2605" s="7" t="n"/>
      <c r="Y2605" s="7">
        <f>IF($E2605="","",AB2605*AE2605/100)</f>
        <v/>
      </c>
      <c r="Z2605" s="7">
        <f>IF($E2605="","",AB2605-Y2605)</f>
        <v/>
      </c>
      <c r="AA2605" s="7">
        <f>IF($E2605="","",Z2605-Q2605)</f>
        <v/>
      </c>
      <c r="AB2605" s="7" t="n"/>
      <c r="AE2605">
        <f>IF($E2605="","",IF($AQ2605=1,0,IF($AP2605=1,Settings!$C$6,Settings!$C$7))*100)</f>
        <v/>
      </c>
      <c r="AI2605" s="7" t="n"/>
      <c r="AL2605" s="11" t="n"/>
      <c r="AN2605">
        <f>IF($E2605="","",IF(COUNTIF($E$2:$E2605,$E2605)=1,1,0))</f>
        <v/>
      </c>
      <c r="AO2605">
        <f>IF($AN2605=1,SUMPRODUCT(--($AR$2:$AR$3001&lt;$AR2605))+1,"")</f>
        <v/>
      </c>
      <c r="AP2605">
        <f>IF($E2605="","",IF(OR($U2605=TRUE(),$U2605="TRUE"),1,0))</f>
        <v/>
      </c>
      <c r="AQ2605">
        <f>IF($E2605="","",IF($AD2605="Yes",1,0))</f>
        <v/>
      </c>
      <c r="AR2605">
        <f>IF($AN2605=1,IFERROR(VALUE(MID($E2605,2,20)),1000000000)+ROW()/100000,"")</f>
        <v/>
      </c>
    </row>
    <row r="2606">
      <c r="G2606" s="11" t="n"/>
      <c r="Q2606" s="7">
        <f>IF($E2606="","",P2606*AB2606/100)</f>
        <v/>
      </c>
      <c r="R2606" s="7" t="n"/>
      <c r="X2606" s="7" t="n"/>
      <c r="Y2606" s="7">
        <f>IF($E2606="","",AB2606*AE2606/100)</f>
        <v/>
      </c>
      <c r="Z2606" s="7">
        <f>IF($E2606="","",AB2606-Y2606)</f>
        <v/>
      </c>
      <c r="AA2606" s="7">
        <f>IF($E2606="","",Z2606-Q2606)</f>
        <v/>
      </c>
      <c r="AB2606" s="7" t="n"/>
      <c r="AE2606">
        <f>IF($E2606="","",IF($AQ2606=1,0,IF($AP2606=1,Settings!$C$6,Settings!$C$7))*100)</f>
        <v/>
      </c>
      <c r="AI2606" s="7" t="n"/>
      <c r="AL2606" s="11" t="n"/>
      <c r="AN2606">
        <f>IF($E2606="","",IF(COUNTIF($E$2:$E2606,$E2606)=1,1,0))</f>
        <v/>
      </c>
      <c r="AO2606">
        <f>IF($AN2606=1,SUMPRODUCT(--($AR$2:$AR$3001&lt;$AR2606))+1,"")</f>
        <v/>
      </c>
      <c r="AP2606">
        <f>IF($E2606="","",IF(OR($U2606=TRUE(),$U2606="TRUE"),1,0))</f>
        <v/>
      </c>
      <c r="AQ2606">
        <f>IF($E2606="","",IF($AD2606="Yes",1,0))</f>
        <v/>
      </c>
      <c r="AR2606">
        <f>IF($AN2606=1,IFERROR(VALUE(MID($E2606,2,20)),1000000000)+ROW()/100000,"")</f>
        <v/>
      </c>
    </row>
    <row r="2607">
      <c r="G2607" s="11" t="n"/>
      <c r="Q2607" s="7">
        <f>IF($E2607="","",P2607*AB2607/100)</f>
        <v/>
      </c>
      <c r="R2607" s="7" t="n"/>
      <c r="X2607" s="7" t="n"/>
      <c r="Y2607" s="7">
        <f>IF($E2607="","",AB2607*AE2607/100)</f>
        <v/>
      </c>
      <c r="Z2607" s="7">
        <f>IF($E2607="","",AB2607-Y2607)</f>
        <v/>
      </c>
      <c r="AA2607" s="7">
        <f>IF($E2607="","",Z2607-Q2607)</f>
        <v/>
      </c>
      <c r="AB2607" s="7" t="n"/>
      <c r="AE2607">
        <f>IF($E2607="","",IF($AQ2607=1,0,IF($AP2607=1,Settings!$C$6,Settings!$C$7))*100)</f>
        <v/>
      </c>
      <c r="AI2607" s="7" t="n"/>
      <c r="AL2607" s="11" t="n"/>
      <c r="AN2607">
        <f>IF($E2607="","",IF(COUNTIF($E$2:$E2607,$E2607)=1,1,0))</f>
        <v/>
      </c>
      <c r="AO2607">
        <f>IF($AN2607=1,SUMPRODUCT(--($AR$2:$AR$3001&lt;$AR2607))+1,"")</f>
        <v/>
      </c>
      <c r="AP2607">
        <f>IF($E2607="","",IF(OR($U2607=TRUE(),$U2607="TRUE"),1,0))</f>
        <v/>
      </c>
      <c r="AQ2607">
        <f>IF($E2607="","",IF($AD2607="Yes",1,0))</f>
        <v/>
      </c>
      <c r="AR2607">
        <f>IF($AN2607=1,IFERROR(VALUE(MID($E2607,2,20)),1000000000)+ROW()/100000,"")</f>
        <v/>
      </c>
    </row>
    <row r="2608">
      <c r="G2608" s="11" t="n"/>
      <c r="Q2608" s="7">
        <f>IF($E2608="","",P2608*AB2608/100)</f>
        <v/>
      </c>
      <c r="R2608" s="7" t="n"/>
      <c r="X2608" s="7" t="n"/>
      <c r="Y2608" s="7">
        <f>IF($E2608="","",AB2608*AE2608/100)</f>
        <v/>
      </c>
      <c r="Z2608" s="7">
        <f>IF($E2608="","",AB2608-Y2608)</f>
        <v/>
      </c>
      <c r="AA2608" s="7">
        <f>IF($E2608="","",Z2608-Q2608)</f>
        <v/>
      </c>
      <c r="AB2608" s="7" t="n"/>
      <c r="AE2608">
        <f>IF($E2608="","",IF($AQ2608=1,0,IF($AP2608=1,Settings!$C$6,Settings!$C$7))*100)</f>
        <v/>
      </c>
      <c r="AI2608" s="7" t="n"/>
      <c r="AL2608" s="11" t="n"/>
      <c r="AN2608">
        <f>IF($E2608="","",IF(COUNTIF($E$2:$E2608,$E2608)=1,1,0))</f>
        <v/>
      </c>
      <c r="AO2608">
        <f>IF($AN2608=1,SUMPRODUCT(--($AR$2:$AR$3001&lt;$AR2608))+1,"")</f>
        <v/>
      </c>
      <c r="AP2608">
        <f>IF($E2608="","",IF(OR($U2608=TRUE(),$U2608="TRUE"),1,0))</f>
        <v/>
      </c>
      <c r="AQ2608">
        <f>IF($E2608="","",IF($AD2608="Yes",1,0))</f>
        <v/>
      </c>
      <c r="AR2608">
        <f>IF($AN2608=1,IFERROR(VALUE(MID($E2608,2,20)),1000000000)+ROW()/100000,"")</f>
        <v/>
      </c>
    </row>
    <row r="2609">
      <c r="G2609" s="11" t="n"/>
      <c r="Q2609" s="7">
        <f>IF($E2609="","",P2609*AB2609/100)</f>
        <v/>
      </c>
      <c r="R2609" s="7" t="n"/>
      <c r="X2609" s="7" t="n"/>
      <c r="Y2609" s="7">
        <f>IF($E2609="","",AB2609*AE2609/100)</f>
        <v/>
      </c>
      <c r="Z2609" s="7">
        <f>IF($E2609="","",AB2609-Y2609)</f>
        <v/>
      </c>
      <c r="AA2609" s="7">
        <f>IF($E2609="","",Z2609-Q2609)</f>
        <v/>
      </c>
      <c r="AB2609" s="7" t="n"/>
      <c r="AE2609">
        <f>IF($E2609="","",IF($AQ2609=1,0,IF($AP2609=1,Settings!$C$6,Settings!$C$7))*100)</f>
        <v/>
      </c>
      <c r="AI2609" s="7" t="n"/>
      <c r="AL2609" s="11" t="n"/>
      <c r="AN2609">
        <f>IF($E2609="","",IF(COUNTIF($E$2:$E2609,$E2609)=1,1,0))</f>
        <v/>
      </c>
      <c r="AO2609">
        <f>IF($AN2609=1,SUMPRODUCT(--($AR$2:$AR$3001&lt;$AR2609))+1,"")</f>
        <v/>
      </c>
      <c r="AP2609">
        <f>IF($E2609="","",IF(OR($U2609=TRUE(),$U2609="TRUE"),1,0))</f>
        <v/>
      </c>
      <c r="AQ2609">
        <f>IF($E2609="","",IF($AD2609="Yes",1,0))</f>
        <v/>
      </c>
      <c r="AR2609">
        <f>IF($AN2609=1,IFERROR(VALUE(MID($E2609,2,20)),1000000000)+ROW()/100000,"")</f>
        <v/>
      </c>
    </row>
    <row r="2610">
      <c r="G2610" s="11" t="n"/>
      <c r="Q2610" s="7">
        <f>IF($E2610="","",P2610*AB2610/100)</f>
        <v/>
      </c>
      <c r="R2610" s="7" t="n"/>
      <c r="X2610" s="7" t="n"/>
      <c r="Y2610" s="7">
        <f>IF($E2610="","",AB2610*AE2610/100)</f>
        <v/>
      </c>
      <c r="Z2610" s="7">
        <f>IF($E2610="","",AB2610-Y2610)</f>
        <v/>
      </c>
      <c r="AA2610" s="7">
        <f>IF($E2610="","",Z2610-Q2610)</f>
        <v/>
      </c>
      <c r="AB2610" s="7" t="n"/>
      <c r="AE2610">
        <f>IF($E2610="","",IF($AQ2610=1,0,IF($AP2610=1,Settings!$C$6,Settings!$C$7))*100)</f>
        <v/>
      </c>
      <c r="AI2610" s="7" t="n"/>
      <c r="AL2610" s="11" t="n"/>
      <c r="AN2610">
        <f>IF($E2610="","",IF(COUNTIF($E$2:$E2610,$E2610)=1,1,0))</f>
        <v/>
      </c>
      <c r="AO2610">
        <f>IF($AN2610=1,SUMPRODUCT(--($AR$2:$AR$3001&lt;$AR2610))+1,"")</f>
        <v/>
      </c>
      <c r="AP2610">
        <f>IF($E2610="","",IF(OR($U2610=TRUE(),$U2610="TRUE"),1,0))</f>
        <v/>
      </c>
      <c r="AQ2610">
        <f>IF($E2610="","",IF($AD2610="Yes",1,0))</f>
        <v/>
      </c>
      <c r="AR2610">
        <f>IF($AN2610=1,IFERROR(VALUE(MID($E2610,2,20)),1000000000)+ROW()/100000,"")</f>
        <v/>
      </c>
    </row>
    <row r="2611">
      <c r="G2611" s="11" t="n"/>
      <c r="Q2611" s="7">
        <f>IF($E2611="","",P2611*AB2611/100)</f>
        <v/>
      </c>
      <c r="R2611" s="7" t="n"/>
      <c r="X2611" s="7" t="n"/>
      <c r="Y2611" s="7">
        <f>IF($E2611="","",AB2611*AE2611/100)</f>
        <v/>
      </c>
      <c r="Z2611" s="7">
        <f>IF($E2611="","",AB2611-Y2611)</f>
        <v/>
      </c>
      <c r="AA2611" s="7">
        <f>IF($E2611="","",Z2611-Q2611)</f>
        <v/>
      </c>
      <c r="AB2611" s="7" t="n"/>
      <c r="AE2611">
        <f>IF($E2611="","",IF($AQ2611=1,0,IF($AP2611=1,Settings!$C$6,Settings!$C$7))*100)</f>
        <v/>
      </c>
      <c r="AI2611" s="7" t="n"/>
      <c r="AL2611" s="11" t="n"/>
      <c r="AN2611">
        <f>IF($E2611="","",IF(COUNTIF($E$2:$E2611,$E2611)=1,1,0))</f>
        <v/>
      </c>
      <c r="AO2611">
        <f>IF($AN2611=1,SUMPRODUCT(--($AR$2:$AR$3001&lt;$AR2611))+1,"")</f>
        <v/>
      </c>
      <c r="AP2611">
        <f>IF($E2611="","",IF(OR($U2611=TRUE(),$U2611="TRUE"),1,0))</f>
        <v/>
      </c>
      <c r="AQ2611">
        <f>IF($E2611="","",IF($AD2611="Yes",1,0))</f>
        <v/>
      </c>
      <c r="AR2611">
        <f>IF($AN2611=1,IFERROR(VALUE(MID($E2611,2,20)),1000000000)+ROW()/100000,"")</f>
        <v/>
      </c>
    </row>
    <row r="2612">
      <c r="G2612" s="11" t="n"/>
      <c r="Q2612" s="7">
        <f>IF($E2612="","",P2612*AB2612/100)</f>
        <v/>
      </c>
      <c r="R2612" s="7" t="n"/>
      <c r="X2612" s="7" t="n"/>
      <c r="Y2612" s="7">
        <f>IF($E2612="","",AB2612*AE2612/100)</f>
        <v/>
      </c>
      <c r="Z2612" s="7">
        <f>IF($E2612="","",AB2612-Y2612)</f>
        <v/>
      </c>
      <c r="AA2612" s="7">
        <f>IF($E2612="","",Z2612-Q2612)</f>
        <v/>
      </c>
      <c r="AB2612" s="7" t="n"/>
      <c r="AE2612">
        <f>IF($E2612="","",IF($AQ2612=1,0,IF($AP2612=1,Settings!$C$6,Settings!$C$7))*100)</f>
        <v/>
      </c>
      <c r="AI2612" s="7" t="n"/>
      <c r="AL2612" s="11" t="n"/>
      <c r="AN2612">
        <f>IF($E2612="","",IF(COUNTIF($E$2:$E2612,$E2612)=1,1,0))</f>
        <v/>
      </c>
      <c r="AO2612">
        <f>IF($AN2612=1,SUMPRODUCT(--($AR$2:$AR$3001&lt;$AR2612))+1,"")</f>
        <v/>
      </c>
      <c r="AP2612">
        <f>IF($E2612="","",IF(OR($U2612=TRUE(),$U2612="TRUE"),1,0))</f>
        <v/>
      </c>
      <c r="AQ2612">
        <f>IF($E2612="","",IF($AD2612="Yes",1,0))</f>
        <v/>
      </c>
      <c r="AR2612">
        <f>IF($AN2612=1,IFERROR(VALUE(MID($E2612,2,20)),1000000000)+ROW()/100000,"")</f>
        <v/>
      </c>
    </row>
    <row r="2613">
      <c r="G2613" s="11" t="n"/>
      <c r="Q2613" s="7">
        <f>IF($E2613="","",P2613*AB2613/100)</f>
        <v/>
      </c>
      <c r="R2613" s="7" t="n"/>
      <c r="X2613" s="7" t="n"/>
      <c r="Y2613" s="7">
        <f>IF($E2613="","",AB2613*AE2613/100)</f>
        <v/>
      </c>
      <c r="Z2613" s="7">
        <f>IF($E2613="","",AB2613-Y2613)</f>
        <v/>
      </c>
      <c r="AA2613" s="7">
        <f>IF($E2613="","",Z2613-Q2613)</f>
        <v/>
      </c>
      <c r="AB2613" s="7" t="n"/>
      <c r="AE2613">
        <f>IF($E2613="","",IF($AQ2613=1,0,IF($AP2613=1,Settings!$C$6,Settings!$C$7))*100)</f>
        <v/>
      </c>
      <c r="AI2613" s="7" t="n"/>
      <c r="AL2613" s="11" t="n"/>
      <c r="AN2613">
        <f>IF($E2613="","",IF(COUNTIF($E$2:$E2613,$E2613)=1,1,0))</f>
        <v/>
      </c>
      <c r="AO2613">
        <f>IF($AN2613=1,SUMPRODUCT(--($AR$2:$AR$3001&lt;$AR2613))+1,"")</f>
        <v/>
      </c>
      <c r="AP2613">
        <f>IF($E2613="","",IF(OR($U2613=TRUE(),$U2613="TRUE"),1,0))</f>
        <v/>
      </c>
      <c r="AQ2613">
        <f>IF($E2613="","",IF($AD2613="Yes",1,0))</f>
        <v/>
      </c>
      <c r="AR2613">
        <f>IF($AN2613=1,IFERROR(VALUE(MID($E2613,2,20)),1000000000)+ROW()/100000,"")</f>
        <v/>
      </c>
    </row>
    <row r="2614">
      <c r="G2614" s="11" t="n"/>
      <c r="Q2614" s="7">
        <f>IF($E2614="","",P2614*AB2614/100)</f>
        <v/>
      </c>
      <c r="R2614" s="7" t="n"/>
      <c r="X2614" s="7" t="n"/>
      <c r="Y2614" s="7">
        <f>IF($E2614="","",AB2614*AE2614/100)</f>
        <v/>
      </c>
      <c r="Z2614" s="7">
        <f>IF($E2614="","",AB2614-Y2614)</f>
        <v/>
      </c>
      <c r="AA2614" s="7">
        <f>IF($E2614="","",Z2614-Q2614)</f>
        <v/>
      </c>
      <c r="AB2614" s="7" t="n"/>
      <c r="AE2614">
        <f>IF($E2614="","",IF($AQ2614=1,0,IF($AP2614=1,Settings!$C$6,Settings!$C$7))*100)</f>
        <v/>
      </c>
      <c r="AI2614" s="7" t="n"/>
      <c r="AL2614" s="11" t="n"/>
      <c r="AN2614">
        <f>IF($E2614="","",IF(COUNTIF($E$2:$E2614,$E2614)=1,1,0))</f>
        <v/>
      </c>
      <c r="AO2614">
        <f>IF($AN2614=1,SUMPRODUCT(--($AR$2:$AR$3001&lt;$AR2614))+1,"")</f>
        <v/>
      </c>
      <c r="AP2614">
        <f>IF($E2614="","",IF(OR($U2614=TRUE(),$U2614="TRUE"),1,0))</f>
        <v/>
      </c>
      <c r="AQ2614">
        <f>IF($E2614="","",IF($AD2614="Yes",1,0))</f>
        <v/>
      </c>
      <c r="AR2614">
        <f>IF($AN2614=1,IFERROR(VALUE(MID($E2614,2,20)),1000000000)+ROW()/100000,"")</f>
        <v/>
      </c>
    </row>
    <row r="2615">
      <c r="G2615" s="11" t="n"/>
      <c r="Q2615" s="7">
        <f>IF($E2615="","",P2615*AB2615/100)</f>
        <v/>
      </c>
      <c r="R2615" s="7" t="n"/>
      <c r="X2615" s="7" t="n"/>
      <c r="Y2615" s="7">
        <f>IF($E2615="","",AB2615*AE2615/100)</f>
        <v/>
      </c>
      <c r="Z2615" s="7">
        <f>IF($E2615="","",AB2615-Y2615)</f>
        <v/>
      </c>
      <c r="AA2615" s="7">
        <f>IF($E2615="","",Z2615-Q2615)</f>
        <v/>
      </c>
      <c r="AB2615" s="7" t="n"/>
      <c r="AE2615">
        <f>IF($E2615="","",IF($AQ2615=1,0,IF($AP2615=1,Settings!$C$6,Settings!$C$7))*100)</f>
        <v/>
      </c>
      <c r="AI2615" s="7" t="n"/>
      <c r="AL2615" s="11" t="n"/>
      <c r="AN2615">
        <f>IF($E2615="","",IF(COUNTIF($E$2:$E2615,$E2615)=1,1,0))</f>
        <v/>
      </c>
      <c r="AO2615">
        <f>IF($AN2615=1,SUMPRODUCT(--($AR$2:$AR$3001&lt;$AR2615))+1,"")</f>
        <v/>
      </c>
      <c r="AP2615">
        <f>IF($E2615="","",IF(OR($U2615=TRUE(),$U2615="TRUE"),1,0))</f>
        <v/>
      </c>
      <c r="AQ2615">
        <f>IF($E2615="","",IF($AD2615="Yes",1,0))</f>
        <v/>
      </c>
      <c r="AR2615">
        <f>IF($AN2615=1,IFERROR(VALUE(MID($E2615,2,20)),1000000000)+ROW()/100000,"")</f>
        <v/>
      </c>
    </row>
    <row r="2616">
      <c r="G2616" s="11" t="n"/>
      <c r="Q2616" s="7">
        <f>IF($E2616="","",P2616*AB2616/100)</f>
        <v/>
      </c>
      <c r="R2616" s="7" t="n"/>
      <c r="X2616" s="7" t="n"/>
      <c r="Y2616" s="7">
        <f>IF($E2616="","",AB2616*AE2616/100)</f>
        <v/>
      </c>
      <c r="Z2616" s="7">
        <f>IF($E2616="","",AB2616-Y2616)</f>
        <v/>
      </c>
      <c r="AA2616" s="7">
        <f>IF($E2616="","",Z2616-Q2616)</f>
        <v/>
      </c>
      <c r="AB2616" s="7" t="n"/>
      <c r="AE2616">
        <f>IF($E2616="","",IF($AQ2616=1,0,IF($AP2616=1,Settings!$C$6,Settings!$C$7))*100)</f>
        <v/>
      </c>
      <c r="AI2616" s="7" t="n"/>
      <c r="AL2616" s="11" t="n"/>
      <c r="AN2616">
        <f>IF($E2616="","",IF(COUNTIF($E$2:$E2616,$E2616)=1,1,0))</f>
        <v/>
      </c>
      <c r="AO2616">
        <f>IF($AN2616=1,SUMPRODUCT(--($AR$2:$AR$3001&lt;$AR2616))+1,"")</f>
        <v/>
      </c>
      <c r="AP2616">
        <f>IF($E2616="","",IF(OR($U2616=TRUE(),$U2616="TRUE"),1,0))</f>
        <v/>
      </c>
      <c r="AQ2616">
        <f>IF($E2616="","",IF($AD2616="Yes",1,0))</f>
        <v/>
      </c>
      <c r="AR2616">
        <f>IF($AN2616=1,IFERROR(VALUE(MID($E2616,2,20)),1000000000)+ROW()/100000,"")</f>
        <v/>
      </c>
    </row>
    <row r="2617">
      <c r="G2617" s="11" t="n"/>
      <c r="Q2617" s="7">
        <f>IF($E2617="","",P2617*AB2617/100)</f>
        <v/>
      </c>
      <c r="R2617" s="7" t="n"/>
      <c r="X2617" s="7" t="n"/>
      <c r="Y2617" s="7">
        <f>IF($E2617="","",AB2617*AE2617/100)</f>
        <v/>
      </c>
      <c r="Z2617" s="7">
        <f>IF($E2617="","",AB2617-Y2617)</f>
        <v/>
      </c>
      <c r="AA2617" s="7">
        <f>IF($E2617="","",Z2617-Q2617)</f>
        <v/>
      </c>
      <c r="AB2617" s="7" t="n"/>
      <c r="AE2617">
        <f>IF($E2617="","",IF($AQ2617=1,0,IF($AP2617=1,Settings!$C$6,Settings!$C$7))*100)</f>
        <v/>
      </c>
      <c r="AI2617" s="7" t="n"/>
      <c r="AL2617" s="11" t="n"/>
      <c r="AN2617">
        <f>IF($E2617="","",IF(COUNTIF($E$2:$E2617,$E2617)=1,1,0))</f>
        <v/>
      </c>
      <c r="AO2617">
        <f>IF($AN2617=1,SUMPRODUCT(--($AR$2:$AR$3001&lt;$AR2617))+1,"")</f>
        <v/>
      </c>
      <c r="AP2617">
        <f>IF($E2617="","",IF(OR($U2617=TRUE(),$U2617="TRUE"),1,0))</f>
        <v/>
      </c>
      <c r="AQ2617">
        <f>IF($E2617="","",IF($AD2617="Yes",1,0))</f>
        <v/>
      </c>
      <c r="AR2617">
        <f>IF($AN2617=1,IFERROR(VALUE(MID($E2617,2,20)),1000000000)+ROW()/100000,"")</f>
        <v/>
      </c>
    </row>
    <row r="2618">
      <c r="G2618" s="11" t="n"/>
      <c r="Q2618" s="7">
        <f>IF($E2618="","",P2618*AB2618/100)</f>
        <v/>
      </c>
      <c r="R2618" s="7" t="n"/>
      <c r="X2618" s="7" t="n"/>
      <c r="Y2618" s="7">
        <f>IF($E2618="","",AB2618*AE2618/100)</f>
        <v/>
      </c>
      <c r="Z2618" s="7">
        <f>IF($E2618="","",AB2618-Y2618)</f>
        <v/>
      </c>
      <c r="AA2618" s="7">
        <f>IF($E2618="","",Z2618-Q2618)</f>
        <v/>
      </c>
      <c r="AB2618" s="7" t="n"/>
      <c r="AE2618">
        <f>IF($E2618="","",IF($AQ2618=1,0,IF($AP2618=1,Settings!$C$6,Settings!$C$7))*100)</f>
        <v/>
      </c>
      <c r="AI2618" s="7" t="n"/>
      <c r="AL2618" s="11" t="n"/>
      <c r="AN2618">
        <f>IF($E2618="","",IF(COUNTIF($E$2:$E2618,$E2618)=1,1,0))</f>
        <v/>
      </c>
      <c r="AO2618">
        <f>IF($AN2618=1,SUMPRODUCT(--($AR$2:$AR$3001&lt;$AR2618))+1,"")</f>
        <v/>
      </c>
      <c r="AP2618">
        <f>IF($E2618="","",IF(OR($U2618=TRUE(),$U2618="TRUE"),1,0))</f>
        <v/>
      </c>
      <c r="AQ2618">
        <f>IF($E2618="","",IF($AD2618="Yes",1,0))</f>
        <v/>
      </c>
      <c r="AR2618">
        <f>IF($AN2618=1,IFERROR(VALUE(MID($E2618,2,20)),1000000000)+ROW()/100000,"")</f>
        <v/>
      </c>
    </row>
    <row r="2619">
      <c r="G2619" s="11" t="n"/>
      <c r="Q2619" s="7">
        <f>IF($E2619="","",P2619*AB2619/100)</f>
        <v/>
      </c>
      <c r="R2619" s="7" t="n"/>
      <c r="X2619" s="7" t="n"/>
      <c r="Y2619" s="7">
        <f>IF($E2619="","",AB2619*AE2619/100)</f>
        <v/>
      </c>
      <c r="Z2619" s="7">
        <f>IF($E2619="","",AB2619-Y2619)</f>
        <v/>
      </c>
      <c r="AA2619" s="7">
        <f>IF($E2619="","",Z2619-Q2619)</f>
        <v/>
      </c>
      <c r="AB2619" s="7" t="n"/>
      <c r="AE2619">
        <f>IF($E2619="","",IF($AQ2619=1,0,IF($AP2619=1,Settings!$C$6,Settings!$C$7))*100)</f>
        <v/>
      </c>
      <c r="AI2619" s="7" t="n"/>
      <c r="AL2619" s="11" t="n"/>
      <c r="AN2619">
        <f>IF($E2619="","",IF(COUNTIF($E$2:$E2619,$E2619)=1,1,0))</f>
        <v/>
      </c>
      <c r="AO2619">
        <f>IF($AN2619=1,SUMPRODUCT(--($AR$2:$AR$3001&lt;$AR2619))+1,"")</f>
        <v/>
      </c>
      <c r="AP2619">
        <f>IF($E2619="","",IF(OR($U2619=TRUE(),$U2619="TRUE"),1,0))</f>
        <v/>
      </c>
      <c r="AQ2619">
        <f>IF($E2619="","",IF($AD2619="Yes",1,0))</f>
        <v/>
      </c>
      <c r="AR2619">
        <f>IF($AN2619=1,IFERROR(VALUE(MID($E2619,2,20)),1000000000)+ROW()/100000,"")</f>
        <v/>
      </c>
    </row>
    <row r="2620">
      <c r="G2620" s="11" t="n"/>
      <c r="Q2620" s="7">
        <f>IF($E2620="","",P2620*AB2620/100)</f>
        <v/>
      </c>
      <c r="R2620" s="7" t="n"/>
      <c r="X2620" s="7" t="n"/>
      <c r="Y2620" s="7">
        <f>IF($E2620="","",AB2620*AE2620/100)</f>
        <v/>
      </c>
      <c r="Z2620" s="7">
        <f>IF($E2620="","",AB2620-Y2620)</f>
        <v/>
      </c>
      <c r="AA2620" s="7">
        <f>IF($E2620="","",Z2620-Q2620)</f>
        <v/>
      </c>
      <c r="AB2620" s="7" t="n"/>
      <c r="AE2620">
        <f>IF($E2620="","",IF($AQ2620=1,0,IF($AP2620=1,Settings!$C$6,Settings!$C$7))*100)</f>
        <v/>
      </c>
      <c r="AI2620" s="7" t="n"/>
      <c r="AL2620" s="11" t="n"/>
      <c r="AN2620">
        <f>IF($E2620="","",IF(COUNTIF($E$2:$E2620,$E2620)=1,1,0))</f>
        <v/>
      </c>
      <c r="AO2620">
        <f>IF($AN2620=1,SUMPRODUCT(--($AR$2:$AR$3001&lt;$AR2620))+1,"")</f>
        <v/>
      </c>
      <c r="AP2620">
        <f>IF($E2620="","",IF(OR($U2620=TRUE(),$U2620="TRUE"),1,0))</f>
        <v/>
      </c>
      <c r="AQ2620">
        <f>IF($E2620="","",IF($AD2620="Yes",1,0))</f>
        <v/>
      </c>
      <c r="AR2620">
        <f>IF($AN2620=1,IFERROR(VALUE(MID($E2620,2,20)),1000000000)+ROW()/100000,"")</f>
        <v/>
      </c>
    </row>
    <row r="2621">
      <c r="G2621" s="11" t="n"/>
      <c r="Q2621" s="7">
        <f>IF($E2621="","",P2621*AB2621/100)</f>
        <v/>
      </c>
      <c r="R2621" s="7" t="n"/>
      <c r="X2621" s="7" t="n"/>
      <c r="Y2621" s="7">
        <f>IF($E2621="","",AB2621*AE2621/100)</f>
        <v/>
      </c>
      <c r="Z2621" s="7">
        <f>IF($E2621="","",AB2621-Y2621)</f>
        <v/>
      </c>
      <c r="AA2621" s="7">
        <f>IF($E2621="","",Z2621-Q2621)</f>
        <v/>
      </c>
      <c r="AB2621" s="7" t="n"/>
      <c r="AE2621">
        <f>IF($E2621="","",IF($AQ2621=1,0,IF($AP2621=1,Settings!$C$6,Settings!$C$7))*100)</f>
        <v/>
      </c>
      <c r="AI2621" s="7" t="n"/>
      <c r="AL2621" s="11" t="n"/>
      <c r="AN2621">
        <f>IF($E2621="","",IF(COUNTIF($E$2:$E2621,$E2621)=1,1,0))</f>
        <v/>
      </c>
      <c r="AO2621">
        <f>IF($AN2621=1,SUMPRODUCT(--($AR$2:$AR$3001&lt;$AR2621))+1,"")</f>
        <v/>
      </c>
      <c r="AP2621">
        <f>IF($E2621="","",IF(OR($U2621=TRUE(),$U2621="TRUE"),1,0))</f>
        <v/>
      </c>
      <c r="AQ2621">
        <f>IF($E2621="","",IF($AD2621="Yes",1,0))</f>
        <v/>
      </c>
      <c r="AR2621">
        <f>IF($AN2621=1,IFERROR(VALUE(MID($E2621,2,20)),1000000000)+ROW()/100000,"")</f>
        <v/>
      </c>
    </row>
    <row r="2622">
      <c r="G2622" s="11" t="n"/>
      <c r="Q2622" s="7">
        <f>IF($E2622="","",P2622*AB2622/100)</f>
        <v/>
      </c>
      <c r="R2622" s="7" t="n"/>
      <c r="X2622" s="7" t="n"/>
      <c r="Y2622" s="7">
        <f>IF($E2622="","",AB2622*AE2622/100)</f>
        <v/>
      </c>
      <c r="Z2622" s="7">
        <f>IF($E2622="","",AB2622-Y2622)</f>
        <v/>
      </c>
      <c r="AA2622" s="7">
        <f>IF($E2622="","",Z2622-Q2622)</f>
        <v/>
      </c>
      <c r="AB2622" s="7" t="n"/>
      <c r="AE2622">
        <f>IF($E2622="","",IF($AQ2622=1,0,IF($AP2622=1,Settings!$C$6,Settings!$C$7))*100)</f>
        <v/>
      </c>
      <c r="AI2622" s="7" t="n"/>
      <c r="AL2622" s="11" t="n"/>
      <c r="AN2622">
        <f>IF($E2622="","",IF(COUNTIF($E$2:$E2622,$E2622)=1,1,0))</f>
        <v/>
      </c>
      <c r="AO2622">
        <f>IF($AN2622=1,SUMPRODUCT(--($AR$2:$AR$3001&lt;$AR2622))+1,"")</f>
        <v/>
      </c>
      <c r="AP2622">
        <f>IF($E2622="","",IF(OR($U2622=TRUE(),$U2622="TRUE"),1,0))</f>
        <v/>
      </c>
      <c r="AQ2622">
        <f>IF($E2622="","",IF($AD2622="Yes",1,0))</f>
        <v/>
      </c>
      <c r="AR2622">
        <f>IF($AN2622=1,IFERROR(VALUE(MID($E2622,2,20)),1000000000)+ROW()/100000,"")</f>
        <v/>
      </c>
    </row>
    <row r="2623">
      <c r="G2623" s="11" t="n"/>
      <c r="Q2623" s="7">
        <f>IF($E2623="","",P2623*AB2623/100)</f>
        <v/>
      </c>
      <c r="R2623" s="7" t="n"/>
      <c r="X2623" s="7" t="n"/>
      <c r="Y2623" s="7">
        <f>IF($E2623="","",AB2623*AE2623/100)</f>
        <v/>
      </c>
      <c r="Z2623" s="7">
        <f>IF($E2623="","",AB2623-Y2623)</f>
        <v/>
      </c>
      <c r="AA2623" s="7">
        <f>IF($E2623="","",Z2623-Q2623)</f>
        <v/>
      </c>
      <c r="AB2623" s="7" t="n"/>
      <c r="AE2623">
        <f>IF($E2623="","",IF($AQ2623=1,0,IF($AP2623=1,Settings!$C$6,Settings!$C$7))*100)</f>
        <v/>
      </c>
      <c r="AI2623" s="7" t="n"/>
      <c r="AL2623" s="11" t="n"/>
      <c r="AN2623">
        <f>IF($E2623="","",IF(COUNTIF($E$2:$E2623,$E2623)=1,1,0))</f>
        <v/>
      </c>
      <c r="AO2623">
        <f>IF($AN2623=1,SUMPRODUCT(--($AR$2:$AR$3001&lt;$AR2623))+1,"")</f>
        <v/>
      </c>
      <c r="AP2623">
        <f>IF($E2623="","",IF(OR($U2623=TRUE(),$U2623="TRUE"),1,0))</f>
        <v/>
      </c>
      <c r="AQ2623">
        <f>IF($E2623="","",IF($AD2623="Yes",1,0))</f>
        <v/>
      </c>
      <c r="AR2623">
        <f>IF($AN2623=1,IFERROR(VALUE(MID($E2623,2,20)),1000000000)+ROW()/100000,"")</f>
        <v/>
      </c>
    </row>
    <row r="2624">
      <c r="G2624" s="11" t="n"/>
      <c r="Q2624" s="7">
        <f>IF($E2624="","",P2624*AB2624/100)</f>
        <v/>
      </c>
      <c r="R2624" s="7" t="n"/>
      <c r="X2624" s="7" t="n"/>
      <c r="Y2624" s="7">
        <f>IF($E2624="","",AB2624*AE2624/100)</f>
        <v/>
      </c>
      <c r="Z2624" s="7">
        <f>IF($E2624="","",AB2624-Y2624)</f>
        <v/>
      </c>
      <c r="AA2624" s="7">
        <f>IF($E2624="","",Z2624-Q2624)</f>
        <v/>
      </c>
      <c r="AB2624" s="7" t="n"/>
      <c r="AE2624">
        <f>IF($E2624="","",IF($AQ2624=1,0,IF($AP2624=1,Settings!$C$6,Settings!$C$7))*100)</f>
        <v/>
      </c>
      <c r="AI2624" s="7" t="n"/>
      <c r="AL2624" s="11" t="n"/>
      <c r="AN2624">
        <f>IF($E2624="","",IF(COUNTIF($E$2:$E2624,$E2624)=1,1,0))</f>
        <v/>
      </c>
      <c r="AO2624">
        <f>IF($AN2624=1,SUMPRODUCT(--($AR$2:$AR$3001&lt;$AR2624))+1,"")</f>
        <v/>
      </c>
      <c r="AP2624">
        <f>IF($E2624="","",IF(OR($U2624=TRUE(),$U2624="TRUE"),1,0))</f>
        <v/>
      </c>
      <c r="AQ2624">
        <f>IF($E2624="","",IF($AD2624="Yes",1,0))</f>
        <v/>
      </c>
      <c r="AR2624">
        <f>IF($AN2624=1,IFERROR(VALUE(MID($E2624,2,20)),1000000000)+ROW()/100000,"")</f>
        <v/>
      </c>
    </row>
    <row r="2625">
      <c r="G2625" s="11" t="n"/>
      <c r="Q2625" s="7">
        <f>IF($E2625="","",P2625*AB2625/100)</f>
        <v/>
      </c>
      <c r="R2625" s="7" t="n"/>
      <c r="X2625" s="7" t="n"/>
      <c r="Y2625" s="7">
        <f>IF($E2625="","",AB2625*AE2625/100)</f>
        <v/>
      </c>
      <c r="Z2625" s="7">
        <f>IF($E2625="","",AB2625-Y2625)</f>
        <v/>
      </c>
      <c r="AA2625" s="7">
        <f>IF($E2625="","",Z2625-Q2625)</f>
        <v/>
      </c>
      <c r="AB2625" s="7" t="n"/>
      <c r="AE2625">
        <f>IF($E2625="","",IF($AQ2625=1,0,IF($AP2625=1,Settings!$C$6,Settings!$C$7))*100)</f>
        <v/>
      </c>
      <c r="AI2625" s="7" t="n"/>
      <c r="AL2625" s="11" t="n"/>
      <c r="AN2625">
        <f>IF($E2625="","",IF(COUNTIF($E$2:$E2625,$E2625)=1,1,0))</f>
        <v/>
      </c>
      <c r="AO2625">
        <f>IF($AN2625=1,SUMPRODUCT(--($AR$2:$AR$3001&lt;$AR2625))+1,"")</f>
        <v/>
      </c>
      <c r="AP2625">
        <f>IF($E2625="","",IF(OR($U2625=TRUE(),$U2625="TRUE"),1,0))</f>
        <v/>
      </c>
      <c r="AQ2625">
        <f>IF($E2625="","",IF($AD2625="Yes",1,0))</f>
        <v/>
      </c>
      <c r="AR2625">
        <f>IF($AN2625=1,IFERROR(VALUE(MID($E2625,2,20)),1000000000)+ROW()/100000,"")</f>
        <v/>
      </c>
    </row>
    <row r="2626">
      <c r="G2626" s="11" t="n"/>
      <c r="Q2626" s="7">
        <f>IF($E2626="","",P2626*AB2626/100)</f>
        <v/>
      </c>
      <c r="R2626" s="7" t="n"/>
      <c r="X2626" s="7" t="n"/>
      <c r="Y2626" s="7">
        <f>IF($E2626="","",AB2626*AE2626/100)</f>
        <v/>
      </c>
      <c r="Z2626" s="7">
        <f>IF($E2626="","",AB2626-Y2626)</f>
        <v/>
      </c>
      <c r="AA2626" s="7">
        <f>IF($E2626="","",Z2626-Q2626)</f>
        <v/>
      </c>
      <c r="AB2626" s="7" t="n"/>
      <c r="AE2626">
        <f>IF($E2626="","",IF($AQ2626=1,0,IF($AP2626=1,Settings!$C$6,Settings!$C$7))*100)</f>
        <v/>
      </c>
      <c r="AI2626" s="7" t="n"/>
      <c r="AL2626" s="11" t="n"/>
      <c r="AN2626">
        <f>IF($E2626="","",IF(COUNTIF($E$2:$E2626,$E2626)=1,1,0))</f>
        <v/>
      </c>
      <c r="AO2626">
        <f>IF($AN2626=1,SUMPRODUCT(--($AR$2:$AR$3001&lt;$AR2626))+1,"")</f>
        <v/>
      </c>
      <c r="AP2626">
        <f>IF($E2626="","",IF(OR($U2626=TRUE(),$U2626="TRUE"),1,0))</f>
        <v/>
      </c>
      <c r="AQ2626">
        <f>IF($E2626="","",IF($AD2626="Yes",1,0))</f>
        <v/>
      </c>
      <c r="AR2626">
        <f>IF($AN2626=1,IFERROR(VALUE(MID($E2626,2,20)),1000000000)+ROW()/100000,"")</f>
        <v/>
      </c>
    </row>
    <row r="2627">
      <c r="G2627" s="11" t="n"/>
      <c r="Q2627" s="7">
        <f>IF($E2627="","",P2627*AB2627/100)</f>
        <v/>
      </c>
      <c r="R2627" s="7" t="n"/>
      <c r="X2627" s="7" t="n"/>
      <c r="Y2627" s="7">
        <f>IF($E2627="","",AB2627*AE2627/100)</f>
        <v/>
      </c>
      <c r="Z2627" s="7">
        <f>IF($E2627="","",AB2627-Y2627)</f>
        <v/>
      </c>
      <c r="AA2627" s="7">
        <f>IF($E2627="","",Z2627-Q2627)</f>
        <v/>
      </c>
      <c r="AB2627" s="7" t="n"/>
      <c r="AE2627">
        <f>IF($E2627="","",IF($AQ2627=1,0,IF($AP2627=1,Settings!$C$6,Settings!$C$7))*100)</f>
        <v/>
      </c>
      <c r="AI2627" s="7" t="n"/>
      <c r="AL2627" s="11" t="n"/>
      <c r="AN2627">
        <f>IF($E2627="","",IF(COUNTIF($E$2:$E2627,$E2627)=1,1,0))</f>
        <v/>
      </c>
      <c r="AO2627">
        <f>IF($AN2627=1,SUMPRODUCT(--($AR$2:$AR$3001&lt;$AR2627))+1,"")</f>
        <v/>
      </c>
      <c r="AP2627">
        <f>IF($E2627="","",IF(OR($U2627=TRUE(),$U2627="TRUE"),1,0))</f>
        <v/>
      </c>
      <c r="AQ2627">
        <f>IF($E2627="","",IF($AD2627="Yes",1,0))</f>
        <v/>
      </c>
      <c r="AR2627">
        <f>IF($AN2627=1,IFERROR(VALUE(MID($E2627,2,20)),1000000000)+ROW()/100000,"")</f>
        <v/>
      </c>
    </row>
    <row r="2628">
      <c r="G2628" s="11" t="n"/>
      <c r="Q2628" s="7">
        <f>IF($E2628="","",P2628*AB2628/100)</f>
        <v/>
      </c>
      <c r="R2628" s="7" t="n"/>
      <c r="X2628" s="7" t="n"/>
      <c r="Y2628" s="7">
        <f>IF($E2628="","",AB2628*AE2628/100)</f>
        <v/>
      </c>
      <c r="Z2628" s="7">
        <f>IF($E2628="","",AB2628-Y2628)</f>
        <v/>
      </c>
      <c r="AA2628" s="7">
        <f>IF($E2628="","",Z2628-Q2628)</f>
        <v/>
      </c>
      <c r="AB2628" s="7" t="n"/>
      <c r="AE2628">
        <f>IF($E2628="","",IF($AQ2628=1,0,IF($AP2628=1,Settings!$C$6,Settings!$C$7))*100)</f>
        <v/>
      </c>
      <c r="AI2628" s="7" t="n"/>
      <c r="AL2628" s="11" t="n"/>
      <c r="AN2628">
        <f>IF($E2628="","",IF(COUNTIF($E$2:$E2628,$E2628)=1,1,0))</f>
        <v/>
      </c>
      <c r="AO2628">
        <f>IF($AN2628=1,SUMPRODUCT(--($AR$2:$AR$3001&lt;$AR2628))+1,"")</f>
        <v/>
      </c>
      <c r="AP2628">
        <f>IF($E2628="","",IF(OR($U2628=TRUE(),$U2628="TRUE"),1,0))</f>
        <v/>
      </c>
      <c r="AQ2628">
        <f>IF($E2628="","",IF($AD2628="Yes",1,0))</f>
        <v/>
      </c>
      <c r="AR2628">
        <f>IF($AN2628=1,IFERROR(VALUE(MID($E2628,2,20)),1000000000)+ROW()/100000,"")</f>
        <v/>
      </c>
    </row>
    <row r="2629">
      <c r="G2629" s="11" t="n"/>
      <c r="Q2629" s="7">
        <f>IF($E2629="","",P2629*AB2629/100)</f>
        <v/>
      </c>
      <c r="R2629" s="7" t="n"/>
      <c r="X2629" s="7" t="n"/>
      <c r="Y2629" s="7">
        <f>IF($E2629="","",AB2629*AE2629/100)</f>
        <v/>
      </c>
      <c r="Z2629" s="7">
        <f>IF($E2629="","",AB2629-Y2629)</f>
        <v/>
      </c>
      <c r="AA2629" s="7">
        <f>IF($E2629="","",Z2629-Q2629)</f>
        <v/>
      </c>
      <c r="AB2629" s="7" t="n"/>
      <c r="AE2629">
        <f>IF($E2629="","",IF($AQ2629=1,0,IF($AP2629=1,Settings!$C$6,Settings!$C$7))*100)</f>
        <v/>
      </c>
      <c r="AI2629" s="7" t="n"/>
      <c r="AL2629" s="11" t="n"/>
      <c r="AN2629">
        <f>IF($E2629="","",IF(COUNTIF($E$2:$E2629,$E2629)=1,1,0))</f>
        <v/>
      </c>
      <c r="AO2629">
        <f>IF($AN2629=1,SUMPRODUCT(--($AR$2:$AR$3001&lt;$AR2629))+1,"")</f>
        <v/>
      </c>
      <c r="AP2629">
        <f>IF($E2629="","",IF(OR($U2629=TRUE(),$U2629="TRUE"),1,0))</f>
        <v/>
      </c>
      <c r="AQ2629">
        <f>IF($E2629="","",IF($AD2629="Yes",1,0))</f>
        <v/>
      </c>
      <c r="AR2629">
        <f>IF($AN2629=1,IFERROR(VALUE(MID($E2629,2,20)),1000000000)+ROW()/100000,"")</f>
        <v/>
      </c>
    </row>
    <row r="2630">
      <c r="G2630" s="11" t="n"/>
      <c r="Q2630" s="7">
        <f>IF($E2630="","",P2630*AB2630/100)</f>
        <v/>
      </c>
      <c r="R2630" s="7" t="n"/>
      <c r="X2630" s="7" t="n"/>
      <c r="Y2630" s="7">
        <f>IF($E2630="","",AB2630*AE2630/100)</f>
        <v/>
      </c>
      <c r="Z2630" s="7">
        <f>IF($E2630="","",AB2630-Y2630)</f>
        <v/>
      </c>
      <c r="AA2630" s="7">
        <f>IF($E2630="","",Z2630-Q2630)</f>
        <v/>
      </c>
      <c r="AB2630" s="7" t="n"/>
      <c r="AE2630">
        <f>IF($E2630="","",IF($AQ2630=1,0,IF($AP2630=1,Settings!$C$6,Settings!$C$7))*100)</f>
        <v/>
      </c>
      <c r="AI2630" s="7" t="n"/>
      <c r="AL2630" s="11" t="n"/>
      <c r="AN2630">
        <f>IF($E2630="","",IF(COUNTIF($E$2:$E2630,$E2630)=1,1,0))</f>
        <v/>
      </c>
      <c r="AO2630">
        <f>IF($AN2630=1,SUMPRODUCT(--($AR$2:$AR$3001&lt;$AR2630))+1,"")</f>
        <v/>
      </c>
      <c r="AP2630">
        <f>IF($E2630="","",IF(OR($U2630=TRUE(),$U2630="TRUE"),1,0))</f>
        <v/>
      </c>
      <c r="AQ2630">
        <f>IF($E2630="","",IF($AD2630="Yes",1,0))</f>
        <v/>
      </c>
      <c r="AR2630">
        <f>IF($AN2630=1,IFERROR(VALUE(MID($E2630,2,20)),1000000000)+ROW()/100000,"")</f>
        <v/>
      </c>
    </row>
    <row r="2631">
      <c r="G2631" s="11" t="n"/>
      <c r="Q2631" s="7">
        <f>IF($E2631="","",P2631*AB2631/100)</f>
        <v/>
      </c>
      <c r="R2631" s="7" t="n"/>
      <c r="X2631" s="7" t="n"/>
      <c r="Y2631" s="7">
        <f>IF($E2631="","",AB2631*AE2631/100)</f>
        <v/>
      </c>
      <c r="Z2631" s="7">
        <f>IF($E2631="","",AB2631-Y2631)</f>
        <v/>
      </c>
      <c r="AA2631" s="7">
        <f>IF($E2631="","",Z2631-Q2631)</f>
        <v/>
      </c>
      <c r="AB2631" s="7" t="n"/>
      <c r="AE2631">
        <f>IF($E2631="","",IF($AQ2631=1,0,IF($AP2631=1,Settings!$C$6,Settings!$C$7))*100)</f>
        <v/>
      </c>
      <c r="AI2631" s="7" t="n"/>
      <c r="AL2631" s="11" t="n"/>
      <c r="AN2631">
        <f>IF($E2631="","",IF(COUNTIF($E$2:$E2631,$E2631)=1,1,0))</f>
        <v/>
      </c>
      <c r="AO2631">
        <f>IF($AN2631=1,SUMPRODUCT(--($AR$2:$AR$3001&lt;$AR2631))+1,"")</f>
        <v/>
      </c>
      <c r="AP2631">
        <f>IF($E2631="","",IF(OR($U2631=TRUE(),$U2631="TRUE"),1,0))</f>
        <v/>
      </c>
      <c r="AQ2631">
        <f>IF($E2631="","",IF($AD2631="Yes",1,0))</f>
        <v/>
      </c>
      <c r="AR2631">
        <f>IF($AN2631=1,IFERROR(VALUE(MID($E2631,2,20)),1000000000)+ROW()/100000,"")</f>
        <v/>
      </c>
    </row>
    <row r="2632">
      <c r="G2632" s="11" t="n"/>
      <c r="Q2632" s="7">
        <f>IF($E2632="","",P2632*AB2632/100)</f>
        <v/>
      </c>
      <c r="R2632" s="7" t="n"/>
      <c r="X2632" s="7" t="n"/>
      <c r="Y2632" s="7">
        <f>IF($E2632="","",AB2632*AE2632/100)</f>
        <v/>
      </c>
      <c r="Z2632" s="7">
        <f>IF($E2632="","",AB2632-Y2632)</f>
        <v/>
      </c>
      <c r="AA2632" s="7">
        <f>IF($E2632="","",Z2632-Q2632)</f>
        <v/>
      </c>
      <c r="AB2632" s="7" t="n"/>
      <c r="AE2632">
        <f>IF($E2632="","",IF($AQ2632=1,0,IF($AP2632=1,Settings!$C$6,Settings!$C$7))*100)</f>
        <v/>
      </c>
      <c r="AI2632" s="7" t="n"/>
      <c r="AL2632" s="11" t="n"/>
      <c r="AN2632">
        <f>IF($E2632="","",IF(COUNTIF($E$2:$E2632,$E2632)=1,1,0))</f>
        <v/>
      </c>
      <c r="AO2632">
        <f>IF($AN2632=1,SUMPRODUCT(--($AR$2:$AR$3001&lt;$AR2632))+1,"")</f>
        <v/>
      </c>
      <c r="AP2632">
        <f>IF($E2632="","",IF(OR($U2632=TRUE(),$U2632="TRUE"),1,0))</f>
        <v/>
      </c>
      <c r="AQ2632">
        <f>IF($E2632="","",IF($AD2632="Yes",1,0))</f>
        <v/>
      </c>
      <c r="AR2632">
        <f>IF($AN2632=1,IFERROR(VALUE(MID($E2632,2,20)),1000000000)+ROW()/100000,"")</f>
        <v/>
      </c>
    </row>
    <row r="2633">
      <c r="G2633" s="11" t="n"/>
      <c r="Q2633" s="7">
        <f>IF($E2633="","",P2633*AB2633/100)</f>
        <v/>
      </c>
      <c r="R2633" s="7" t="n"/>
      <c r="X2633" s="7" t="n"/>
      <c r="Y2633" s="7">
        <f>IF($E2633="","",AB2633*AE2633/100)</f>
        <v/>
      </c>
      <c r="Z2633" s="7">
        <f>IF($E2633="","",AB2633-Y2633)</f>
        <v/>
      </c>
      <c r="AA2633" s="7">
        <f>IF($E2633="","",Z2633-Q2633)</f>
        <v/>
      </c>
      <c r="AB2633" s="7" t="n"/>
      <c r="AE2633">
        <f>IF($E2633="","",IF($AQ2633=1,0,IF($AP2633=1,Settings!$C$6,Settings!$C$7))*100)</f>
        <v/>
      </c>
      <c r="AI2633" s="7" t="n"/>
      <c r="AL2633" s="11" t="n"/>
      <c r="AN2633">
        <f>IF($E2633="","",IF(COUNTIF($E$2:$E2633,$E2633)=1,1,0))</f>
        <v/>
      </c>
      <c r="AO2633">
        <f>IF($AN2633=1,SUMPRODUCT(--($AR$2:$AR$3001&lt;$AR2633))+1,"")</f>
        <v/>
      </c>
      <c r="AP2633">
        <f>IF($E2633="","",IF(OR($U2633=TRUE(),$U2633="TRUE"),1,0))</f>
        <v/>
      </c>
      <c r="AQ2633">
        <f>IF($E2633="","",IF($AD2633="Yes",1,0))</f>
        <v/>
      </c>
      <c r="AR2633">
        <f>IF($AN2633=1,IFERROR(VALUE(MID($E2633,2,20)),1000000000)+ROW()/100000,"")</f>
        <v/>
      </c>
    </row>
    <row r="2634">
      <c r="G2634" s="11" t="n"/>
      <c r="Q2634" s="7">
        <f>IF($E2634="","",P2634*AB2634/100)</f>
        <v/>
      </c>
      <c r="R2634" s="7" t="n"/>
      <c r="X2634" s="7" t="n"/>
      <c r="Y2634" s="7">
        <f>IF($E2634="","",AB2634*AE2634/100)</f>
        <v/>
      </c>
      <c r="Z2634" s="7">
        <f>IF($E2634="","",AB2634-Y2634)</f>
        <v/>
      </c>
      <c r="AA2634" s="7">
        <f>IF($E2634="","",Z2634-Q2634)</f>
        <v/>
      </c>
      <c r="AB2634" s="7" t="n"/>
      <c r="AE2634">
        <f>IF($E2634="","",IF($AQ2634=1,0,IF($AP2634=1,Settings!$C$6,Settings!$C$7))*100)</f>
        <v/>
      </c>
      <c r="AI2634" s="7" t="n"/>
      <c r="AL2634" s="11" t="n"/>
      <c r="AN2634">
        <f>IF($E2634="","",IF(COUNTIF($E$2:$E2634,$E2634)=1,1,0))</f>
        <v/>
      </c>
      <c r="AO2634">
        <f>IF($AN2634=1,SUMPRODUCT(--($AR$2:$AR$3001&lt;$AR2634))+1,"")</f>
        <v/>
      </c>
      <c r="AP2634">
        <f>IF($E2634="","",IF(OR($U2634=TRUE(),$U2634="TRUE"),1,0))</f>
        <v/>
      </c>
      <c r="AQ2634">
        <f>IF($E2634="","",IF($AD2634="Yes",1,0))</f>
        <v/>
      </c>
      <c r="AR2634">
        <f>IF($AN2634=1,IFERROR(VALUE(MID($E2634,2,20)),1000000000)+ROW()/100000,"")</f>
        <v/>
      </c>
    </row>
    <row r="2635">
      <c r="G2635" s="11" t="n"/>
      <c r="Q2635" s="7">
        <f>IF($E2635="","",P2635*AB2635/100)</f>
        <v/>
      </c>
      <c r="R2635" s="7" t="n"/>
      <c r="X2635" s="7" t="n"/>
      <c r="Y2635" s="7">
        <f>IF($E2635="","",AB2635*AE2635/100)</f>
        <v/>
      </c>
      <c r="Z2635" s="7">
        <f>IF($E2635="","",AB2635-Y2635)</f>
        <v/>
      </c>
      <c r="AA2635" s="7">
        <f>IF($E2635="","",Z2635-Q2635)</f>
        <v/>
      </c>
      <c r="AB2635" s="7" t="n"/>
      <c r="AE2635">
        <f>IF($E2635="","",IF($AQ2635=1,0,IF($AP2635=1,Settings!$C$6,Settings!$C$7))*100)</f>
        <v/>
      </c>
      <c r="AI2635" s="7" t="n"/>
      <c r="AL2635" s="11" t="n"/>
      <c r="AN2635">
        <f>IF($E2635="","",IF(COUNTIF($E$2:$E2635,$E2635)=1,1,0))</f>
        <v/>
      </c>
      <c r="AO2635">
        <f>IF($AN2635=1,SUMPRODUCT(--($AR$2:$AR$3001&lt;$AR2635))+1,"")</f>
        <v/>
      </c>
      <c r="AP2635">
        <f>IF($E2635="","",IF(OR($U2635=TRUE(),$U2635="TRUE"),1,0))</f>
        <v/>
      </c>
      <c r="AQ2635">
        <f>IF($E2635="","",IF($AD2635="Yes",1,0))</f>
        <v/>
      </c>
      <c r="AR2635">
        <f>IF($AN2635=1,IFERROR(VALUE(MID($E2635,2,20)),1000000000)+ROW()/100000,"")</f>
        <v/>
      </c>
    </row>
    <row r="2636">
      <c r="G2636" s="11" t="n"/>
      <c r="Q2636" s="7">
        <f>IF($E2636="","",P2636*AB2636/100)</f>
        <v/>
      </c>
      <c r="R2636" s="7" t="n"/>
      <c r="X2636" s="7" t="n"/>
      <c r="Y2636" s="7">
        <f>IF($E2636="","",AB2636*AE2636/100)</f>
        <v/>
      </c>
      <c r="Z2636" s="7">
        <f>IF($E2636="","",AB2636-Y2636)</f>
        <v/>
      </c>
      <c r="AA2636" s="7">
        <f>IF($E2636="","",Z2636-Q2636)</f>
        <v/>
      </c>
      <c r="AB2636" s="7" t="n"/>
      <c r="AE2636">
        <f>IF($E2636="","",IF($AQ2636=1,0,IF($AP2636=1,Settings!$C$6,Settings!$C$7))*100)</f>
        <v/>
      </c>
      <c r="AI2636" s="7" t="n"/>
      <c r="AL2636" s="11" t="n"/>
      <c r="AN2636">
        <f>IF($E2636="","",IF(COUNTIF($E$2:$E2636,$E2636)=1,1,0))</f>
        <v/>
      </c>
      <c r="AO2636">
        <f>IF($AN2636=1,SUMPRODUCT(--($AR$2:$AR$3001&lt;$AR2636))+1,"")</f>
        <v/>
      </c>
      <c r="AP2636">
        <f>IF($E2636="","",IF(OR($U2636=TRUE(),$U2636="TRUE"),1,0))</f>
        <v/>
      </c>
      <c r="AQ2636">
        <f>IF($E2636="","",IF($AD2636="Yes",1,0))</f>
        <v/>
      </c>
      <c r="AR2636">
        <f>IF($AN2636=1,IFERROR(VALUE(MID($E2636,2,20)),1000000000)+ROW()/100000,"")</f>
        <v/>
      </c>
    </row>
    <row r="2637">
      <c r="G2637" s="11" t="n"/>
      <c r="Q2637" s="7">
        <f>IF($E2637="","",P2637*AB2637/100)</f>
        <v/>
      </c>
      <c r="R2637" s="7" t="n"/>
      <c r="X2637" s="7" t="n"/>
      <c r="Y2637" s="7">
        <f>IF($E2637="","",AB2637*AE2637/100)</f>
        <v/>
      </c>
      <c r="Z2637" s="7">
        <f>IF($E2637="","",AB2637-Y2637)</f>
        <v/>
      </c>
      <c r="AA2637" s="7">
        <f>IF($E2637="","",Z2637-Q2637)</f>
        <v/>
      </c>
      <c r="AB2637" s="7" t="n"/>
      <c r="AE2637">
        <f>IF($E2637="","",IF($AQ2637=1,0,IF($AP2637=1,Settings!$C$6,Settings!$C$7))*100)</f>
        <v/>
      </c>
      <c r="AI2637" s="7" t="n"/>
      <c r="AL2637" s="11" t="n"/>
      <c r="AN2637">
        <f>IF($E2637="","",IF(COUNTIF($E$2:$E2637,$E2637)=1,1,0))</f>
        <v/>
      </c>
      <c r="AO2637">
        <f>IF($AN2637=1,SUMPRODUCT(--($AR$2:$AR$3001&lt;$AR2637))+1,"")</f>
        <v/>
      </c>
      <c r="AP2637">
        <f>IF($E2637="","",IF(OR($U2637=TRUE(),$U2637="TRUE"),1,0))</f>
        <v/>
      </c>
      <c r="AQ2637">
        <f>IF($E2637="","",IF($AD2637="Yes",1,0))</f>
        <v/>
      </c>
      <c r="AR2637">
        <f>IF($AN2637=1,IFERROR(VALUE(MID($E2637,2,20)),1000000000)+ROW()/100000,"")</f>
        <v/>
      </c>
    </row>
    <row r="2638">
      <c r="G2638" s="11" t="n"/>
      <c r="Q2638" s="7">
        <f>IF($E2638="","",P2638*AB2638/100)</f>
        <v/>
      </c>
      <c r="R2638" s="7" t="n"/>
      <c r="X2638" s="7" t="n"/>
      <c r="Y2638" s="7">
        <f>IF($E2638="","",AB2638*AE2638/100)</f>
        <v/>
      </c>
      <c r="Z2638" s="7">
        <f>IF($E2638="","",AB2638-Y2638)</f>
        <v/>
      </c>
      <c r="AA2638" s="7">
        <f>IF($E2638="","",Z2638-Q2638)</f>
        <v/>
      </c>
      <c r="AB2638" s="7" t="n"/>
      <c r="AE2638">
        <f>IF($E2638="","",IF($AQ2638=1,0,IF($AP2638=1,Settings!$C$6,Settings!$C$7))*100)</f>
        <v/>
      </c>
      <c r="AI2638" s="7" t="n"/>
      <c r="AL2638" s="11" t="n"/>
      <c r="AN2638">
        <f>IF($E2638="","",IF(COUNTIF($E$2:$E2638,$E2638)=1,1,0))</f>
        <v/>
      </c>
      <c r="AO2638">
        <f>IF($AN2638=1,SUMPRODUCT(--($AR$2:$AR$3001&lt;$AR2638))+1,"")</f>
        <v/>
      </c>
      <c r="AP2638">
        <f>IF($E2638="","",IF(OR($U2638=TRUE(),$U2638="TRUE"),1,0))</f>
        <v/>
      </c>
      <c r="AQ2638">
        <f>IF($E2638="","",IF($AD2638="Yes",1,0))</f>
        <v/>
      </c>
      <c r="AR2638">
        <f>IF($AN2638=1,IFERROR(VALUE(MID($E2638,2,20)),1000000000)+ROW()/100000,"")</f>
        <v/>
      </c>
    </row>
    <row r="2639">
      <c r="G2639" s="11" t="n"/>
      <c r="Q2639" s="7">
        <f>IF($E2639="","",P2639*AB2639/100)</f>
        <v/>
      </c>
      <c r="R2639" s="7" t="n"/>
      <c r="X2639" s="7" t="n"/>
      <c r="Y2639" s="7">
        <f>IF($E2639="","",AB2639*AE2639/100)</f>
        <v/>
      </c>
      <c r="Z2639" s="7">
        <f>IF($E2639="","",AB2639-Y2639)</f>
        <v/>
      </c>
      <c r="AA2639" s="7">
        <f>IF($E2639="","",Z2639-Q2639)</f>
        <v/>
      </c>
      <c r="AB2639" s="7" t="n"/>
      <c r="AE2639">
        <f>IF($E2639="","",IF($AQ2639=1,0,IF($AP2639=1,Settings!$C$6,Settings!$C$7))*100)</f>
        <v/>
      </c>
      <c r="AI2639" s="7" t="n"/>
      <c r="AL2639" s="11" t="n"/>
      <c r="AN2639">
        <f>IF($E2639="","",IF(COUNTIF($E$2:$E2639,$E2639)=1,1,0))</f>
        <v/>
      </c>
      <c r="AO2639">
        <f>IF($AN2639=1,SUMPRODUCT(--($AR$2:$AR$3001&lt;$AR2639))+1,"")</f>
        <v/>
      </c>
      <c r="AP2639">
        <f>IF($E2639="","",IF(OR($U2639=TRUE(),$U2639="TRUE"),1,0))</f>
        <v/>
      </c>
      <c r="AQ2639">
        <f>IF($E2639="","",IF($AD2639="Yes",1,0))</f>
        <v/>
      </c>
      <c r="AR2639">
        <f>IF($AN2639=1,IFERROR(VALUE(MID($E2639,2,20)),1000000000)+ROW()/100000,"")</f>
        <v/>
      </c>
    </row>
    <row r="2640">
      <c r="G2640" s="11" t="n"/>
      <c r="Q2640" s="7">
        <f>IF($E2640="","",P2640*AB2640/100)</f>
        <v/>
      </c>
      <c r="R2640" s="7" t="n"/>
      <c r="X2640" s="7" t="n"/>
      <c r="Y2640" s="7">
        <f>IF($E2640="","",AB2640*AE2640/100)</f>
        <v/>
      </c>
      <c r="Z2640" s="7">
        <f>IF($E2640="","",AB2640-Y2640)</f>
        <v/>
      </c>
      <c r="AA2640" s="7">
        <f>IF($E2640="","",Z2640-Q2640)</f>
        <v/>
      </c>
      <c r="AB2640" s="7" t="n"/>
      <c r="AE2640">
        <f>IF($E2640="","",IF($AQ2640=1,0,IF($AP2640=1,Settings!$C$6,Settings!$C$7))*100)</f>
        <v/>
      </c>
      <c r="AI2640" s="7" t="n"/>
      <c r="AL2640" s="11" t="n"/>
      <c r="AN2640">
        <f>IF($E2640="","",IF(COUNTIF($E$2:$E2640,$E2640)=1,1,0))</f>
        <v/>
      </c>
      <c r="AO2640">
        <f>IF($AN2640=1,SUMPRODUCT(--($AR$2:$AR$3001&lt;$AR2640))+1,"")</f>
        <v/>
      </c>
      <c r="AP2640">
        <f>IF($E2640="","",IF(OR($U2640=TRUE(),$U2640="TRUE"),1,0))</f>
        <v/>
      </c>
      <c r="AQ2640">
        <f>IF($E2640="","",IF($AD2640="Yes",1,0))</f>
        <v/>
      </c>
      <c r="AR2640">
        <f>IF($AN2640=1,IFERROR(VALUE(MID($E2640,2,20)),1000000000)+ROW()/100000,"")</f>
        <v/>
      </c>
    </row>
    <row r="2641">
      <c r="G2641" s="11" t="n"/>
      <c r="Q2641" s="7">
        <f>IF($E2641="","",P2641*AB2641/100)</f>
        <v/>
      </c>
      <c r="R2641" s="7" t="n"/>
      <c r="X2641" s="7" t="n"/>
      <c r="Y2641" s="7">
        <f>IF($E2641="","",AB2641*AE2641/100)</f>
        <v/>
      </c>
      <c r="Z2641" s="7">
        <f>IF($E2641="","",AB2641-Y2641)</f>
        <v/>
      </c>
      <c r="AA2641" s="7">
        <f>IF($E2641="","",Z2641-Q2641)</f>
        <v/>
      </c>
      <c r="AB2641" s="7" t="n"/>
      <c r="AE2641">
        <f>IF($E2641="","",IF($AQ2641=1,0,IF($AP2641=1,Settings!$C$6,Settings!$C$7))*100)</f>
        <v/>
      </c>
      <c r="AI2641" s="7" t="n"/>
      <c r="AL2641" s="11" t="n"/>
      <c r="AN2641">
        <f>IF($E2641="","",IF(COUNTIF($E$2:$E2641,$E2641)=1,1,0))</f>
        <v/>
      </c>
      <c r="AO2641">
        <f>IF($AN2641=1,SUMPRODUCT(--($AR$2:$AR$3001&lt;$AR2641))+1,"")</f>
        <v/>
      </c>
      <c r="AP2641">
        <f>IF($E2641="","",IF(OR($U2641=TRUE(),$U2641="TRUE"),1,0))</f>
        <v/>
      </c>
      <c r="AQ2641">
        <f>IF($E2641="","",IF($AD2641="Yes",1,0))</f>
        <v/>
      </c>
      <c r="AR2641">
        <f>IF($AN2641=1,IFERROR(VALUE(MID($E2641,2,20)),1000000000)+ROW()/100000,"")</f>
        <v/>
      </c>
    </row>
    <row r="2642">
      <c r="G2642" s="11" t="n"/>
      <c r="Q2642" s="7">
        <f>IF($E2642="","",P2642*AB2642/100)</f>
        <v/>
      </c>
      <c r="R2642" s="7" t="n"/>
      <c r="X2642" s="7" t="n"/>
      <c r="Y2642" s="7">
        <f>IF($E2642="","",AB2642*AE2642/100)</f>
        <v/>
      </c>
      <c r="Z2642" s="7">
        <f>IF($E2642="","",AB2642-Y2642)</f>
        <v/>
      </c>
      <c r="AA2642" s="7">
        <f>IF($E2642="","",Z2642-Q2642)</f>
        <v/>
      </c>
      <c r="AB2642" s="7" t="n"/>
      <c r="AE2642">
        <f>IF($E2642="","",IF($AQ2642=1,0,IF($AP2642=1,Settings!$C$6,Settings!$C$7))*100)</f>
        <v/>
      </c>
      <c r="AI2642" s="7" t="n"/>
      <c r="AL2642" s="11" t="n"/>
      <c r="AN2642">
        <f>IF($E2642="","",IF(COUNTIF($E$2:$E2642,$E2642)=1,1,0))</f>
        <v/>
      </c>
      <c r="AO2642">
        <f>IF($AN2642=1,SUMPRODUCT(--($AR$2:$AR$3001&lt;$AR2642))+1,"")</f>
        <v/>
      </c>
      <c r="AP2642">
        <f>IF($E2642="","",IF(OR($U2642=TRUE(),$U2642="TRUE"),1,0))</f>
        <v/>
      </c>
      <c r="AQ2642">
        <f>IF($E2642="","",IF($AD2642="Yes",1,0))</f>
        <v/>
      </c>
      <c r="AR2642">
        <f>IF($AN2642=1,IFERROR(VALUE(MID($E2642,2,20)),1000000000)+ROW()/100000,"")</f>
        <v/>
      </c>
    </row>
    <row r="2643">
      <c r="G2643" s="11" t="n"/>
      <c r="Q2643" s="7">
        <f>IF($E2643="","",P2643*AB2643/100)</f>
        <v/>
      </c>
      <c r="R2643" s="7" t="n"/>
      <c r="X2643" s="7" t="n"/>
      <c r="Y2643" s="7">
        <f>IF($E2643="","",AB2643*AE2643/100)</f>
        <v/>
      </c>
      <c r="Z2643" s="7">
        <f>IF($E2643="","",AB2643-Y2643)</f>
        <v/>
      </c>
      <c r="AA2643" s="7">
        <f>IF($E2643="","",Z2643-Q2643)</f>
        <v/>
      </c>
      <c r="AB2643" s="7" t="n"/>
      <c r="AE2643">
        <f>IF($E2643="","",IF($AQ2643=1,0,IF($AP2643=1,Settings!$C$6,Settings!$C$7))*100)</f>
        <v/>
      </c>
      <c r="AI2643" s="7" t="n"/>
      <c r="AL2643" s="11" t="n"/>
      <c r="AN2643">
        <f>IF($E2643="","",IF(COUNTIF($E$2:$E2643,$E2643)=1,1,0))</f>
        <v/>
      </c>
      <c r="AO2643">
        <f>IF($AN2643=1,SUMPRODUCT(--($AR$2:$AR$3001&lt;$AR2643))+1,"")</f>
        <v/>
      </c>
      <c r="AP2643">
        <f>IF($E2643="","",IF(OR($U2643=TRUE(),$U2643="TRUE"),1,0))</f>
        <v/>
      </c>
      <c r="AQ2643">
        <f>IF($E2643="","",IF($AD2643="Yes",1,0))</f>
        <v/>
      </c>
      <c r="AR2643">
        <f>IF($AN2643=1,IFERROR(VALUE(MID($E2643,2,20)),1000000000)+ROW()/100000,"")</f>
        <v/>
      </c>
    </row>
    <row r="2644">
      <c r="G2644" s="11" t="n"/>
      <c r="Q2644" s="7">
        <f>IF($E2644="","",P2644*AB2644/100)</f>
        <v/>
      </c>
      <c r="R2644" s="7" t="n"/>
      <c r="X2644" s="7" t="n"/>
      <c r="Y2644" s="7">
        <f>IF($E2644="","",AB2644*AE2644/100)</f>
        <v/>
      </c>
      <c r="Z2644" s="7">
        <f>IF($E2644="","",AB2644-Y2644)</f>
        <v/>
      </c>
      <c r="AA2644" s="7">
        <f>IF($E2644="","",Z2644-Q2644)</f>
        <v/>
      </c>
      <c r="AB2644" s="7" t="n"/>
      <c r="AE2644">
        <f>IF($E2644="","",IF($AQ2644=1,0,IF($AP2644=1,Settings!$C$6,Settings!$C$7))*100)</f>
        <v/>
      </c>
      <c r="AI2644" s="7" t="n"/>
      <c r="AL2644" s="11" t="n"/>
      <c r="AN2644">
        <f>IF($E2644="","",IF(COUNTIF($E$2:$E2644,$E2644)=1,1,0))</f>
        <v/>
      </c>
      <c r="AO2644">
        <f>IF($AN2644=1,SUMPRODUCT(--($AR$2:$AR$3001&lt;$AR2644))+1,"")</f>
        <v/>
      </c>
      <c r="AP2644">
        <f>IF($E2644="","",IF(OR($U2644=TRUE(),$U2644="TRUE"),1,0))</f>
        <v/>
      </c>
      <c r="AQ2644">
        <f>IF($E2644="","",IF($AD2644="Yes",1,0))</f>
        <v/>
      </c>
      <c r="AR2644">
        <f>IF($AN2644=1,IFERROR(VALUE(MID($E2644,2,20)),1000000000)+ROW()/100000,"")</f>
        <v/>
      </c>
    </row>
    <row r="2645">
      <c r="G2645" s="11" t="n"/>
      <c r="Q2645" s="7">
        <f>IF($E2645="","",P2645*AB2645/100)</f>
        <v/>
      </c>
      <c r="R2645" s="7" t="n"/>
      <c r="X2645" s="7" t="n"/>
      <c r="Y2645" s="7">
        <f>IF($E2645="","",AB2645*AE2645/100)</f>
        <v/>
      </c>
      <c r="Z2645" s="7">
        <f>IF($E2645="","",AB2645-Y2645)</f>
        <v/>
      </c>
      <c r="AA2645" s="7">
        <f>IF($E2645="","",Z2645-Q2645)</f>
        <v/>
      </c>
      <c r="AB2645" s="7" t="n"/>
      <c r="AE2645">
        <f>IF($E2645="","",IF($AQ2645=1,0,IF($AP2645=1,Settings!$C$6,Settings!$C$7))*100)</f>
        <v/>
      </c>
      <c r="AI2645" s="7" t="n"/>
      <c r="AL2645" s="11" t="n"/>
      <c r="AN2645">
        <f>IF($E2645="","",IF(COUNTIF($E$2:$E2645,$E2645)=1,1,0))</f>
        <v/>
      </c>
      <c r="AO2645">
        <f>IF($AN2645=1,SUMPRODUCT(--($AR$2:$AR$3001&lt;$AR2645))+1,"")</f>
        <v/>
      </c>
      <c r="AP2645">
        <f>IF($E2645="","",IF(OR($U2645=TRUE(),$U2645="TRUE"),1,0))</f>
        <v/>
      </c>
      <c r="AQ2645">
        <f>IF($E2645="","",IF($AD2645="Yes",1,0))</f>
        <v/>
      </c>
      <c r="AR2645">
        <f>IF($AN2645=1,IFERROR(VALUE(MID($E2645,2,20)),1000000000)+ROW()/100000,"")</f>
        <v/>
      </c>
    </row>
    <row r="2646">
      <c r="G2646" s="11" t="n"/>
      <c r="Q2646" s="7">
        <f>IF($E2646="","",P2646*AB2646/100)</f>
        <v/>
      </c>
      <c r="R2646" s="7" t="n"/>
      <c r="X2646" s="7" t="n"/>
      <c r="Y2646" s="7">
        <f>IF($E2646="","",AB2646*AE2646/100)</f>
        <v/>
      </c>
      <c r="Z2646" s="7">
        <f>IF($E2646="","",AB2646-Y2646)</f>
        <v/>
      </c>
      <c r="AA2646" s="7">
        <f>IF($E2646="","",Z2646-Q2646)</f>
        <v/>
      </c>
      <c r="AB2646" s="7" t="n"/>
      <c r="AE2646">
        <f>IF($E2646="","",IF($AQ2646=1,0,IF($AP2646=1,Settings!$C$6,Settings!$C$7))*100)</f>
        <v/>
      </c>
      <c r="AI2646" s="7" t="n"/>
      <c r="AL2646" s="11" t="n"/>
      <c r="AN2646">
        <f>IF($E2646="","",IF(COUNTIF($E$2:$E2646,$E2646)=1,1,0))</f>
        <v/>
      </c>
      <c r="AO2646">
        <f>IF($AN2646=1,SUMPRODUCT(--($AR$2:$AR$3001&lt;$AR2646))+1,"")</f>
        <v/>
      </c>
      <c r="AP2646">
        <f>IF($E2646="","",IF(OR($U2646=TRUE(),$U2646="TRUE"),1,0))</f>
        <v/>
      </c>
      <c r="AQ2646">
        <f>IF($E2646="","",IF($AD2646="Yes",1,0))</f>
        <v/>
      </c>
      <c r="AR2646">
        <f>IF($AN2646=1,IFERROR(VALUE(MID($E2646,2,20)),1000000000)+ROW()/100000,"")</f>
        <v/>
      </c>
    </row>
    <row r="2647">
      <c r="G2647" s="11" t="n"/>
      <c r="Q2647" s="7">
        <f>IF($E2647="","",P2647*AB2647/100)</f>
        <v/>
      </c>
      <c r="R2647" s="7" t="n"/>
      <c r="X2647" s="7" t="n"/>
      <c r="Y2647" s="7">
        <f>IF($E2647="","",AB2647*AE2647/100)</f>
        <v/>
      </c>
      <c r="Z2647" s="7">
        <f>IF($E2647="","",AB2647-Y2647)</f>
        <v/>
      </c>
      <c r="AA2647" s="7">
        <f>IF($E2647="","",Z2647-Q2647)</f>
        <v/>
      </c>
      <c r="AB2647" s="7" t="n"/>
      <c r="AE2647">
        <f>IF($E2647="","",IF($AQ2647=1,0,IF($AP2647=1,Settings!$C$6,Settings!$C$7))*100)</f>
        <v/>
      </c>
      <c r="AI2647" s="7" t="n"/>
      <c r="AL2647" s="11" t="n"/>
      <c r="AN2647">
        <f>IF($E2647="","",IF(COUNTIF($E$2:$E2647,$E2647)=1,1,0))</f>
        <v/>
      </c>
      <c r="AO2647">
        <f>IF($AN2647=1,SUMPRODUCT(--($AR$2:$AR$3001&lt;$AR2647))+1,"")</f>
        <v/>
      </c>
      <c r="AP2647">
        <f>IF($E2647="","",IF(OR($U2647=TRUE(),$U2647="TRUE"),1,0))</f>
        <v/>
      </c>
      <c r="AQ2647">
        <f>IF($E2647="","",IF($AD2647="Yes",1,0))</f>
        <v/>
      </c>
      <c r="AR2647">
        <f>IF($AN2647=1,IFERROR(VALUE(MID($E2647,2,20)),1000000000)+ROW()/100000,"")</f>
        <v/>
      </c>
    </row>
    <row r="2648">
      <c r="G2648" s="11" t="n"/>
      <c r="Q2648" s="7">
        <f>IF($E2648="","",P2648*AB2648/100)</f>
        <v/>
      </c>
      <c r="R2648" s="7" t="n"/>
      <c r="X2648" s="7" t="n"/>
      <c r="Y2648" s="7">
        <f>IF($E2648="","",AB2648*AE2648/100)</f>
        <v/>
      </c>
      <c r="Z2648" s="7">
        <f>IF($E2648="","",AB2648-Y2648)</f>
        <v/>
      </c>
      <c r="AA2648" s="7">
        <f>IF($E2648="","",Z2648-Q2648)</f>
        <v/>
      </c>
      <c r="AB2648" s="7" t="n"/>
      <c r="AE2648">
        <f>IF($E2648="","",IF($AQ2648=1,0,IF($AP2648=1,Settings!$C$6,Settings!$C$7))*100)</f>
        <v/>
      </c>
      <c r="AI2648" s="7" t="n"/>
      <c r="AL2648" s="11" t="n"/>
      <c r="AN2648">
        <f>IF($E2648="","",IF(COUNTIF($E$2:$E2648,$E2648)=1,1,0))</f>
        <v/>
      </c>
      <c r="AO2648">
        <f>IF($AN2648=1,SUMPRODUCT(--($AR$2:$AR$3001&lt;$AR2648))+1,"")</f>
        <v/>
      </c>
      <c r="AP2648">
        <f>IF($E2648="","",IF(OR($U2648=TRUE(),$U2648="TRUE"),1,0))</f>
        <v/>
      </c>
      <c r="AQ2648">
        <f>IF($E2648="","",IF($AD2648="Yes",1,0))</f>
        <v/>
      </c>
      <c r="AR2648">
        <f>IF($AN2648=1,IFERROR(VALUE(MID($E2648,2,20)),1000000000)+ROW()/100000,"")</f>
        <v/>
      </c>
    </row>
    <row r="2649">
      <c r="G2649" s="11" t="n"/>
      <c r="Q2649" s="7">
        <f>IF($E2649="","",P2649*AB2649/100)</f>
        <v/>
      </c>
      <c r="R2649" s="7" t="n"/>
      <c r="X2649" s="7" t="n"/>
      <c r="Y2649" s="7">
        <f>IF($E2649="","",AB2649*AE2649/100)</f>
        <v/>
      </c>
      <c r="Z2649" s="7">
        <f>IF($E2649="","",AB2649-Y2649)</f>
        <v/>
      </c>
      <c r="AA2649" s="7">
        <f>IF($E2649="","",Z2649-Q2649)</f>
        <v/>
      </c>
      <c r="AB2649" s="7" t="n"/>
      <c r="AE2649">
        <f>IF($E2649="","",IF($AQ2649=1,0,IF($AP2649=1,Settings!$C$6,Settings!$C$7))*100)</f>
        <v/>
      </c>
      <c r="AI2649" s="7" t="n"/>
      <c r="AL2649" s="11" t="n"/>
      <c r="AN2649">
        <f>IF($E2649="","",IF(COUNTIF($E$2:$E2649,$E2649)=1,1,0))</f>
        <v/>
      </c>
      <c r="AO2649">
        <f>IF($AN2649=1,SUMPRODUCT(--($AR$2:$AR$3001&lt;$AR2649))+1,"")</f>
        <v/>
      </c>
      <c r="AP2649">
        <f>IF($E2649="","",IF(OR($U2649=TRUE(),$U2649="TRUE"),1,0))</f>
        <v/>
      </c>
      <c r="AQ2649">
        <f>IF($E2649="","",IF($AD2649="Yes",1,0))</f>
        <v/>
      </c>
      <c r="AR2649">
        <f>IF($AN2649=1,IFERROR(VALUE(MID($E2649,2,20)),1000000000)+ROW()/100000,"")</f>
        <v/>
      </c>
    </row>
    <row r="2650">
      <c r="G2650" s="11" t="n"/>
      <c r="Q2650" s="7">
        <f>IF($E2650="","",P2650*AB2650/100)</f>
        <v/>
      </c>
      <c r="R2650" s="7" t="n"/>
      <c r="X2650" s="7" t="n"/>
      <c r="Y2650" s="7">
        <f>IF($E2650="","",AB2650*AE2650/100)</f>
        <v/>
      </c>
      <c r="Z2650" s="7">
        <f>IF($E2650="","",AB2650-Y2650)</f>
        <v/>
      </c>
      <c r="AA2650" s="7">
        <f>IF($E2650="","",Z2650-Q2650)</f>
        <v/>
      </c>
      <c r="AB2650" s="7" t="n"/>
      <c r="AE2650">
        <f>IF($E2650="","",IF($AQ2650=1,0,IF($AP2650=1,Settings!$C$6,Settings!$C$7))*100)</f>
        <v/>
      </c>
      <c r="AI2650" s="7" t="n"/>
      <c r="AL2650" s="11" t="n"/>
      <c r="AN2650">
        <f>IF($E2650="","",IF(COUNTIF($E$2:$E2650,$E2650)=1,1,0))</f>
        <v/>
      </c>
      <c r="AO2650">
        <f>IF($AN2650=1,SUMPRODUCT(--($AR$2:$AR$3001&lt;$AR2650))+1,"")</f>
        <v/>
      </c>
      <c r="AP2650">
        <f>IF($E2650="","",IF(OR($U2650=TRUE(),$U2650="TRUE"),1,0))</f>
        <v/>
      </c>
      <c r="AQ2650">
        <f>IF($E2650="","",IF($AD2650="Yes",1,0))</f>
        <v/>
      </c>
      <c r="AR2650">
        <f>IF($AN2650=1,IFERROR(VALUE(MID($E2650,2,20)),1000000000)+ROW()/100000,"")</f>
        <v/>
      </c>
    </row>
    <row r="2651">
      <c r="G2651" s="11" t="n"/>
      <c r="Q2651" s="7">
        <f>IF($E2651="","",P2651*AB2651/100)</f>
        <v/>
      </c>
      <c r="R2651" s="7" t="n"/>
      <c r="X2651" s="7" t="n"/>
      <c r="Y2651" s="7">
        <f>IF($E2651="","",AB2651*AE2651/100)</f>
        <v/>
      </c>
      <c r="Z2651" s="7">
        <f>IF($E2651="","",AB2651-Y2651)</f>
        <v/>
      </c>
      <c r="AA2651" s="7">
        <f>IF($E2651="","",Z2651-Q2651)</f>
        <v/>
      </c>
      <c r="AB2651" s="7" t="n"/>
      <c r="AE2651">
        <f>IF($E2651="","",IF($AQ2651=1,0,IF($AP2651=1,Settings!$C$6,Settings!$C$7))*100)</f>
        <v/>
      </c>
      <c r="AI2651" s="7" t="n"/>
      <c r="AL2651" s="11" t="n"/>
      <c r="AN2651">
        <f>IF($E2651="","",IF(COUNTIF($E$2:$E2651,$E2651)=1,1,0))</f>
        <v/>
      </c>
      <c r="AO2651">
        <f>IF($AN2651=1,SUMPRODUCT(--($AR$2:$AR$3001&lt;$AR2651))+1,"")</f>
        <v/>
      </c>
      <c r="AP2651">
        <f>IF($E2651="","",IF(OR($U2651=TRUE(),$U2651="TRUE"),1,0))</f>
        <v/>
      </c>
      <c r="AQ2651">
        <f>IF($E2651="","",IF($AD2651="Yes",1,0))</f>
        <v/>
      </c>
      <c r="AR2651">
        <f>IF($AN2651=1,IFERROR(VALUE(MID($E2651,2,20)),1000000000)+ROW()/100000,"")</f>
        <v/>
      </c>
    </row>
    <row r="2652">
      <c r="G2652" s="11" t="n"/>
      <c r="Q2652" s="7">
        <f>IF($E2652="","",P2652*AB2652/100)</f>
        <v/>
      </c>
      <c r="R2652" s="7" t="n"/>
      <c r="X2652" s="7" t="n"/>
      <c r="Y2652" s="7">
        <f>IF($E2652="","",AB2652*AE2652/100)</f>
        <v/>
      </c>
      <c r="Z2652" s="7">
        <f>IF($E2652="","",AB2652-Y2652)</f>
        <v/>
      </c>
      <c r="AA2652" s="7">
        <f>IF($E2652="","",Z2652-Q2652)</f>
        <v/>
      </c>
      <c r="AB2652" s="7" t="n"/>
      <c r="AE2652">
        <f>IF($E2652="","",IF($AQ2652=1,0,IF($AP2652=1,Settings!$C$6,Settings!$C$7))*100)</f>
        <v/>
      </c>
      <c r="AI2652" s="7" t="n"/>
      <c r="AL2652" s="11" t="n"/>
      <c r="AN2652">
        <f>IF($E2652="","",IF(COUNTIF($E$2:$E2652,$E2652)=1,1,0))</f>
        <v/>
      </c>
      <c r="AO2652">
        <f>IF($AN2652=1,SUMPRODUCT(--($AR$2:$AR$3001&lt;$AR2652))+1,"")</f>
        <v/>
      </c>
      <c r="AP2652">
        <f>IF($E2652="","",IF(OR($U2652=TRUE(),$U2652="TRUE"),1,0))</f>
        <v/>
      </c>
      <c r="AQ2652">
        <f>IF($E2652="","",IF($AD2652="Yes",1,0))</f>
        <v/>
      </c>
      <c r="AR2652">
        <f>IF($AN2652=1,IFERROR(VALUE(MID($E2652,2,20)),1000000000)+ROW()/100000,"")</f>
        <v/>
      </c>
    </row>
    <row r="2653">
      <c r="G2653" s="11" t="n"/>
      <c r="Q2653" s="7">
        <f>IF($E2653="","",P2653*AB2653/100)</f>
        <v/>
      </c>
      <c r="R2653" s="7" t="n"/>
      <c r="X2653" s="7" t="n"/>
      <c r="Y2653" s="7">
        <f>IF($E2653="","",AB2653*AE2653/100)</f>
        <v/>
      </c>
      <c r="Z2653" s="7">
        <f>IF($E2653="","",AB2653-Y2653)</f>
        <v/>
      </c>
      <c r="AA2653" s="7">
        <f>IF($E2653="","",Z2653-Q2653)</f>
        <v/>
      </c>
      <c r="AB2653" s="7" t="n"/>
      <c r="AE2653">
        <f>IF($E2653="","",IF($AQ2653=1,0,IF($AP2653=1,Settings!$C$6,Settings!$C$7))*100)</f>
        <v/>
      </c>
      <c r="AI2653" s="7" t="n"/>
      <c r="AL2653" s="11" t="n"/>
      <c r="AN2653">
        <f>IF($E2653="","",IF(COUNTIF($E$2:$E2653,$E2653)=1,1,0))</f>
        <v/>
      </c>
      <c r="AO2653">
        <f>IF($AN2653=1,SUMPRODUCT(--($AR$2:$AR$3001&lt;$AR2653))+1,"")</f>
        <v/>
      </c>
      <c r="AP2653">
        <f>IF($E2653="","",IF(OR($U2653=TRUE(),$U2653="TRUE"),1,0))</f>
        <v/>
      </c>
      <c r="AQ2653">
        <f>IF($E2653="","",IF($AD2653="Yes",1,0))</f>
        <v/>
      </c>
      <c r="AR2653">
        <f>IF($AN2653=1,IFERROR(VALUE(MID($E2653,2,20)),1000000000)+ROW()/100000,"")</f>
        <v/>
      </c>
    </row>
    <row r="2654">
      <c r="G2654" s="11" t="n"/>
      <c r="Q2654" s="7">
        <f>IF($E2654="","",P2654*AB2654/100)</f>
        <v/>
      </c>
      <c r="R2654" s="7" t="n"/>
      <c r="X2654" s="7" t="n"/>
      <c r="Y2654" s="7">
        <f>IF($E2654="","",AB2654*AE2654/100)</f>
        <v/>
      </c>
      <c r="Z2654" s="7">
        <f>IF($E2654="","",AB2654-Y2654)</f>
        <v/>
      </c>
      <c r="AA2654" s="7">
        <f>IF($E2654="","",Z2654-Q2654)</f>
        <v/>
      </c>
      <c r="AB2654" s="7" t="n"/>
      <c r="AE2654">
        <f>IF($E2654="","",IF($AQ2654=1,0,IF($AP2654=1,Settings!$C$6,Settings!$C$7))*100)</f>
        <v/>
      </c>
      <c r="AI2654" s="7" t="n"/>
      <c r="AL2654" s="11" t="n"/>
      <c r="AN2654">
        <f>IF($E2654="","",IF(COUNTIF($E$2:$E2654,$E2654)=1,1,0))</f>
        <v/>
      </c>
      <c r="AO2654">
        <f>IF($AN2654=1,SUMPRODUCT(--($AR$2:$AR$3001&lt;$AR2654))+1,"")</f>
        <v/>
      </c>
      <c r="AP2654">
        <f>IF($E2654="","",IF(OR($U2654=TRUE(),$U2654="TRUE"),1,0))</f>
        <v/>
      </c>
      <c r="AQ2654">
        <f>IF($E2654="","",IF($AD2654="Yes",1,0))</f>
        <v/>
      </c>
      <c r="AR2654">
        <f>IF($AN2654=1,IFERROR(VALUE(MID($E2654,2,20)),1000000000)+ROW()/100000,"")</f>
        <v/>
      </c>
    </row>
    <row r="2655">
      <c r="G2655" s="11" t="n"/>
      <c r="Q2655" s="7">
        <f>IF($E2655="","",P2655*AB2655/100)</f>
        <v/>
      </c>
      <c r="R2655" s="7" t="n"/>
      <c r="X2655" s="7" t="n"/>
      <c r="Y2655" s="7">
        <f>IF($E2655="","",AB2655*AE2655/100)</f>
        <v/>
      </c>
      <c r="Z2655" s="7">
        <f>IF($E2655="","",AB2655-Y2655)</f>
        <v/>
      </c>
      <c r="AA2655" s="7">
        <f>IF($E2655="","",Z2655-Q2655)</f>
        <v/>
      </c>
      <c r="AB2655" s="7" t="n"/>
      <c r="AE2655">
        <f>IF($E2655="","",IF($AQ2655=1,0,IF($AP2655=1,Settings!$C$6,Settings!$C$7))*100)</f>
        <v/>
      </c>
      <c r="AI2655" s="7" t="n"/>
      <c r="AL2655" s="11" t="n"/>
      <c r="AN2655">
        <f>IF($E2655="","",IF(COUNTIF($E$2:$E2655,$E2655)=1,1,0))</f>
        <v/>
      </c>
      <c r="AO2655">
        <f>IF($AN2655=1,SUMPRODUCT(--($AR$2:$AR$3001&lt;$AR2655))+1,"")</f>
        <v/>
      </c>
      <c r="AP2655">
        <f>IF($E2655="","",IF(OR($U2655=TRUE(),$U2655="TRUE"),1,0))</f>
        <v/>
      </c>
      <c r="AQ2655">
        <f>IF($E2655="","",IF($AD2655="Yes",1,0))</f>
        <v/>
      </c>
      <c r="AR2655">
        <f>IF($AN2655=1,IFERROR(VALUE(MID($E2655,2,20)),1000000000)+ROW()/100000,"")</f>
        <v/>
      </c>
    </row>
    <row r="2656">
      <c r="G2656" s="11" t="n"/>
      <c r="Q2656" s="7">
        <f>IF($E2656="","",P2656*AB2656/100)</f>
        <v/>
      </c>
      <c r="R2656" s="7" t="n"/>
      <c r="X2656" s="7" t="n"/>
      <c r="Y2656" s="7">
        <f>IF($E2656="","",AB2656*AE2656/100)</f>
        <v/>
      </c>
      <c r="Z2656" s="7">
        <f>IF($E2656="","",AB2656-Y2656)</f>
        <v/>
      </c>
      <c r="AA2656" s="7">
        <f>IF($E2656="","",Z2656-Q2656)</f>
        <v/>
      </c>
      <c r="AB2656" s="7" t="n"/>
      <c r="AE2656">
        <f>IF($E2656="","",IF($AQ2656=1,0,IF($AP2656=1,Settings!$C$6,Settings!$C$7))*100)</f>
        <v/>
      </c>
      <c r="AI2656" s="7" t="n"/>
      <c r="AL2656" s="11" t="n"/>
      <c r="AN2656">
        <f>IF($E2656="","",IF(COUNTIF($E$2:$E2656,$E2656)=1,1,0))</f>
        <v/>
      </c>
      <c r="AO2656">
        <f>IF($AN2656=1,SUMPRODUCT(--($AR$2:$AR$3001&lt;$AR2656))+1,"")</f>
        <v/>
      </c>
      <c r="AP2656">
        <f>IF($E2656="","",IF(OR($U2656=TRUE(),$U2656="TRUE"),1,0))</f>
        <v/>
      </c>
      <c r="AQ2656">
        <f>IF($E2656="","",IF($AD2656="Yes",1,0))</f>
        <v/>
      </c>
      <c r="AR2656">
        <f>IF($AN2656=1,IFERROR(VALUE(MID($E2656,2,20)),1000000000)+ROW()/100000,"")</f>
        <v/>
      </c>
    </row>
    <row r="2657">
      <c r="G2657" s="11" t="n"/>
      <c r="Q2657" s="7">
        <f>IF($E2657="","",P2657*AB2657/100)</f>
        <v/>
      </c>
      <c r="R2657" s="7" t="n"/>
      <c r="X2657" s="7" t="n"/>
      <c r="Y2657" s="7">
        <f>IF($E2657="","",AB2657*AE2657/100)</f>
        <v/>
      </c>
      <c r="Z2657" s="7">
        <f>IF($E2657="","",AB2657-Y2657)</f>
        <v/>
      </c>
      <c r="AA2657" s="7">
        <f>IF($E2657="","",Z2657-Q2657)</f>
        <v/>
      </c>
      <c r="AB2657" s="7" t="n"/>
      <c r="AE2657">
        <f>IF($E2657="","",IF($AQ2657=1,0,IF($AP2657=1,Settings!$C$6,Settings!$C$7))*100)</f>
        <v/>
      </c>
      <c r="AI2657" s="7" t="n"/>
      <c r="AL2657" s="11" t="n"/>
      <c r="AN2657">
        <f>IF($E2657="","",IF(COUNTIF($E$2:$E2657,$E2657)=1,1,0))</f>
        <v/>
      </c>
      <c r="AO2657">
        <f>IF($AN2657=1,SUMPRODUCT(--($AR$2:$AR$3001&lt;$AR2657))+1,"")</f>
        <v/>
      </c>
      <c r="AP2657">
        <f>IF($E2657="","",IF(OR($U2657=TRUE(),$U2657="TRUE"),1,0))</f>
        <v/>
      </c>
      <c r="AQ2657">
        <f>IF($E2657="","",IF($AD2657="Yes",1,0))</f>
        <v/>
      </c>
      <c r="AR2657">
        <f>IF($AN2657=1,IFERROR(VALUE(MID($E2657,2,20)),1000000000)+ROW()/100000,"")</f>
        <v/>
      </c>
    </row>
    <row r="2658">
      <c r="G2658" s="11" t="n"/>
      <c r="Q2658" s="7">
        <f>IF($E2658="","",P2658*AB2658/100)</f>
        <v/>
      </c>
      <c r="R2658" s="7" t="n"/>
      <c r="X2658" s="7" t="n"/>
      <c r="Y2658" s="7">
        <f>IF($E2658="","",AB2658*AE2658/100)</f>
        <v/>
      </c>
      <c r="Z2658" s="7">
        <f>IF($E2658="","",AB2658-Y2658)</f>
        <v/>
      </c>
      <c r="AA2658" s="7">
        <f>IF($E2658="","",Z2658-Q2658)</f>
        <v/>
      </c>
      <c r="AB2658" s="7" t="n"/>
      <c r="AE2658">
        <f>IF($E2658="","",IF($AQ2658=1,0,IF($AP2658=1,Settings!$C$6,Settings!$C$7))*100)</f>
        <v/>
      </c>
      <c r="AI2658" s="7" t="n"/>
      <c r="AL2658" s="11" t="n"/>
      <c r="AN2658">
        <f>IF($E2658="","",IF(COUNTIF($E$2:$E2658,$E2658)=1,1,0))</f>
        <v/>
      </c>
      <c r="AO2658">
        <f>IF($AN2658=1,SUMPRODUCT(--($AR$2:$AR$3001&lt;$AR2658))+1,"")</f>
        <v/>
      </c>
      <c r="AP2658">
        <f>IF($E2658="","",IF(OR($U2658=TRUE(),$U2658="TRUE"),1,0))</f>
        <v/>
      </c>
      <c r="AQ2658">
        <f>IF($E2658="","",IF($AD2658="Yes",1,0))</f>
        <v/>
      </c>
      <c r="AR2658">
        <f>IF($AN2658=1,IFERROR(VALUE(MID($E2658,2,20)),1000000000)+ROW()/100000,"")</f>
        <v/>
      </c>
    </row>
    <row r="2659">
      <c r="G2659" s="11" t="n"/>
      <c r="Q2659" s="7">
        <f>IF($E2659="","",P2659*AB2659/100)</f>
        <v/>
      </c>
      <c r="R2659" s="7" t="n"/>
      <c r="X2659" s="7" t="n"/>
      <c r="Y2659" s="7">
        <f>IF($E2659="","",AB2659*AE2659/100)</f>
        <v/>
      </c>
      <c r="Z2659" s="7">
        <f>IF($E2659="","",AB2659-Y2659)</f>
        <v/>
      </c>
      <c r="AA2659" s="7">
        <f>IF($E2659="","",Z2659-Q2659)</f>
        <v/>
      </c>
      <c r="AB2659" s="7" t="n"/>
      <c r="AE2659">
        <f>IF($E2659="","",IF($AQ2659=1,0,IF($AP2659=1,Settings!$C$6,Settings!$C$7))*100)</f>
        <v/>
      </c>
      <c r="AI2659" s="7" t="n"/>
      <c r="AL2659" s="11" t="n"/>
      <c r="AN2659">
        <f>IF($E2659="","",IF(COUNTIF($E$2:$E2659,$E2659)=1,1,0))</f>
        <v/>
      </c>
      <c r="AO2659">
        <f>IF($AN2659=1,SUMPRODUCT(--($AR$2:$AR$3001&lt;$AR2659))+1,"")</f>
        <v/>
      </c>
      <c r="AP2659">
        <f>IF($E2659="","",IF(OR($U2659=TRUE(),$U2659="TRUE"),1,0))</f>
        <v/>
      </c>
      <c r="AQ2659">
        <f>IF($E2659="","",IF($AD2659="Yes",1,0))</f>
        <v/>
      </c>
      <c r="AR2659">
        <f>IF($AN2659=1,IFERROR(VALUE(MID($E2659,2,20)),1000000000)+ROW()/100000,"")</f>
        <v/>
      </c>
    </row>
    <row r="2660">
      <c r="G2660" s="11" t="n"/>
      <c r="Q2660" s="7">
        <f>IF($E2660="","",P2660*AB2660/100)</f>
        <v/>
      </c>
      <c r="R2660" s="7" t="n"/>
      <c r="X2660" s="7" t="n"/>
      <c r="Y2660" s="7">
        <f>IF($E2660="","",AB2660*AE2660/100)</f>
        <v/>
      </c>
      <c r="Z2660" s="7">
        <f>IF($E2660="","",AB2660-Y2660)</f>
        <v/>
      </c>
      <c r="AA2660" s="7">
        <f>IF($E2660="","",Z2660-Q2660)</f>
        <v/>
      </c>
      <c r="AB2660" s="7" t="n"/>
      <c r="AE2660">
        <f>IF($E2660="","",IF($AQ2660=1,0,IF($AP2660=1,Settings!$C$6,Settings!$C$7))*100)</f>
        <v/>
      </c>
      <c r="AI2660" s="7" t="n"/>
      <c r="AL2660" s="11" t="n"/>
      <c r="AN2660">
        <f>IF($E2660="","",IF(COUNTIF($E$2:$E2660,$E2660)=1,1,0))</f>
        <v/>
      </c>
      <c r="AO2660">
        <f>IF($AN2660=1,SUMPRODUCT(--($AR$2:$AR$3001&lt;$AR2660))+1,"")</f>
        <v/>
      </c>
      <c r="AP2660">
        <f>IF($E2660="","",IF(OR($U2660=TRUE(),$U2660="TRUE"),1,0))</f>
        <v/>
      </c>
      <c r="AQ2660">
        <f>IF($E2660="","",IF($AD2660="Yes",1,0))</f>
        <v/>
      </c>
      <c r="AR2660">
        <f>IF($AN2660=1,IFERROR(VALUE(MID($E2660,2,20)),1000000000)+ROW()/100000,"")</f>
        <v/>
      </c>
    </row>
    <row r="2661">
      <c r="G2661" s="11" t="n"/>
      <c r="Q2661" s="7">
        <f>IF($E2661="","",P2661*AB2661/100)</f>
        <v/>
      </c>
      <c r="R2661" s="7" t="n"/>
      <c r="X2661" s="7" t="n"/>
      <c r="Y2661" s="7">
        <f>IF($E2661="","",AB2661*AE2661/100)</f>
        <v/>
      </c>
      <c r="Z2661" s="7">
        <f>IF($E2661="","",AB2661-Y2661)</f>
        <v/>
      </c>
      <c r="AA2661" s="7">
        <f>IF($E2661="","",Z2661-Q2661)</f>
        <v/>
      </c>
      <c r="AB2661" s="7" t="n"/>
      <c r="AE2661">
        <f>IF($E2661="","",IF($AQ2661=1,0,IF($AP2661=1,Settings!$C$6,Settings!$C$7))*100)</f>
        <v/>
      </c>
      <c r="AI2661" s="7" t="n"/>
      <c r="AL2661" s="11" t="n"/>
      <c r="AN2661">
        <f>IF($E2661="","",IF(COUNTIF($E$2:$E2661,$E2661)=1,1,0))</f>
        <v/>
      </c>
      <c r="AO2661">
        <f>IF($AN2661=1,SUMPRODUCT(--($AR$2:$AR$3001&lt;$AR2661))+1,"")</f>
        <v/>
      </c>
      <c r="AP2661">
        <f>IF($E2661="","",IF(OR($U2661=TRUE(),$U2661="TRUE"),1,0))</f>
        <v/>
      </c>
      <c r="AQ2661">
        <f>IF($E2661="","",IF($AD2661="Yes",1,0))</f>
        <v/>
      </c>
      <c r="AR2661">
        <f>IF($AN2661=1,IFERROR(VALUE(MID($E2661,2,20)),1000000000)+ROW()/100000,"")</f>
        <v/>
      </c>
    </row>
    <row r="2662">
      <c r="G2662" s="11" t="n"/>
      <c r="Q2662" s="7">
        <f>IF($E2662="","",P2662*AB2662/100)</f>
        <v/>
      </c>
      <c r="R2662" s="7" t="n"/>
      <c r="X2662" s="7" t="n"/>
      <c r="Y2662" s="7">
        <f>IF($E2662="","",AB2662*AE2662/100)</f>
        <v/>
      </c>
      <c r="Z2662" s="7">
        <f>IF($E2662="","",AB2662-Y2662)</f>
        <v/>
      </c>
      <c r="AA2662" s="7">
        <f>IF($E2662="","",Z2662-Q2662)</f>
        <v/>
      </c>
      <c r="AB2662" s="7" t="n"/>
      <c r="AE2662">
        <f>IF($E2662="","",IF($AQ2662=1,0,IF($AP2662=1,Settings!$C$6,Settings!$C$7))*100)</f>
        <v/>
      </c>
      <c r="AI2662" s="7" t="n"/>
      <c r="AL2662" s="11" t="n"/>
      <c r="AN2662">
        <f>IF($E2662="","",IF(COUNTIF($E$2:$E2662,$E2662)=1,1,0))</f>
        <v/>
      </c>
      <c r="AO2662">
        <f>IF($AN2662=1,SUMPRODUCT(--($AR$2:$AR$3001&lt;$AR2662))+1,"")</f>
        <v/>
      </c>
      <c r="AP2662">
        <f>IF($E2662="","",IF(OR($U2662=TRUE(),$U2662="TRUE"),1,0))</f>
        <v/>
      </c>
      <c r="AQ2662">
        <f>IF($E2662="","",IF($AD2662="Yes",1,0))</f>
        <v/>
      </c>
      <c r="AR2662">
        <f>IF($AN2662=1,IFERROR(VALUE(MID($E2662,2,20)),1000000000)+ROW()/100000,"")</f>
        <v/>
      </c>
    </row>
    <row r="2663">
      <c r="G2663" s="11" t="n"/>
      <c r="Q2663" s="7">
        <f>IF($E2663="","",P2663*AB2663/100)</f>
        <v/>
      </c>
      <c r="R2663" s="7" t="n"/>
      <c r="X2663" s="7" t="n"/>
      <c r="Y2663" s="7">
        <f>IF($E2663="","",AB2663*AE2663/100)</f>
        <v/>
      </c>
      <c r="Z2663" s="7">
        <f>IF($E2663="","",AB2663-Y2663)</f>
        <v/>
      </c>
      <c r="AA2663" s="7">
        <f>IF($E2663="","",Z2663-Q2663)</f>
        <v/>
      </c>
      <c r="AB2663" s="7" t="n"/>
      <c r="AE2663">
        <f>IF($E2663="","",IF($AQ2663=1,0,IF($AP2663=1,Settings!$C$6,Settings!$C$7))*100)</f>
        <v/>
      </c>
      <c r="AI2663" s="7" t="n"/>
      <c r="AL2663" s="11" t="n"/>
      <c r="AN2663">
        <f>IF($E2663="","",IF(COUNTIF($E$2:$E2663,$E2663)=1,1,0))</f>
        <v/>
      </c>
      <c r="AO2663">
        <f>IF($AN2663=1,SUMPRODUCT(--($AR$2:$AR$3001&lt;$AR2663))+1,"")</f>
        <v/>
      </c>
      <c r="AP2663">
        <f>IF($E2663="","",IF(OR($U2663=TRUE(),$U2663="TRUE"),1,0))</f>
        <v/>
      </c>
      <c r="AQ2663">
        <f>IF($E2663="","",IF($AD2663="Yes",1,0))</f>
        <v/>
      </c>
      <c r="AR2663">
        <f>IF($AN2663=1,IFERROR(VALUE(MID($E2663,2,20)),1000000000)+ROW()/100000,"")</f>
        <v/>
      </c>
    </row>
    <row r="2664">
      <c r="G2664" s="11" t="n"/>
      <c r="Q2664" s="7">
        <f>IF($E2664="","",P2664*AB2664/100)</f>
        <v/>
      </c>
      <c r="R2664" s="7" t="n"/>
      <c r="X2664" s="7" t="n"/>
      <c r="Y2664" s="7">
        <f>IF($E2664="","",AB2664*AE2664/100)</f>
        <v/>
      </c>
      <c r="Z2664" s="7">
        <f>IF($E2664="","",AB2664-Y2664)</f>
        <v/>
      </c>
      <c r="AA2664" s="7">
        <f>IF($E2664="","",Z2664-Q2664)</f>
        <v/>
      </c>
      <c r="AB2664" s="7" t="n"/>
      <c r="AE2664">
        <f>IF($E2664="","",IF($AQ2664=1,0,IF($AP2664=1,Settings!$C$6,Settings!$C$7))*100)</f>
        <v/>
      </c>
      <c r="AI2664" s="7" t="n"/>
      <c r="AL2664" s="11" t="n"/>
      <c r="AN2664">
        <f>IF($E2664="","",IF(COUNTIF($E$2:$E2664,$E2664)=1,1,0))</f>
        <v/>
      </c>
      <c r="AO2664">
        <f>IF($AN2664=1,SUMPRODUCT(--($AR$2:$AR$3001&lt;$AR2664))+1,"")</f>
        <v/>
      </c>
      <c r="AP2664">
        <f>IF($E2664="","",IF(OR($U2664=TRUE(),$U2664="TRUE"),1,0))</f>
        <v/>
      </c>
      <c r="AQ2664">
        <f>IF($E2664="","",IF($AD2664="Yes",1,0))</f>
        <v/>
      </c>
      <c r="AR2664">
        <f>IF($AN2664=1,IFERROR(VALUE(MID($E2664,2,20)),1000000000)+ROW()/100000,"")</f>
        <v/>
      </c>
    </row>
    <row r="2665">
      <c r="G2665" s="11" t="n"/>
      <c r="Q2665" s="7">
        <f>IF($E2665="","",P2665*AB2665/100)</f>
        <v/>
      </c>
      <c r="R2665" s="7" t="n"/>
      <c r="X2665" s="7" t="n"/>
      <c r="Y2665" s="7">
        <f>IF($E2665="","",AB2665*AE2665/100)</f>
        <v/>
      </c>
      <c r="Z2665" s="7">
        <f>IF($E2665="","",AB2665-Y2665)</f>
        <v/>
      </c>
      <c r="AA2665" s="7">
        <f>IF($E2665="","",Z2665-Q2665)</f>
        <v/>
      </c>
      <c r="AB2665" s="7" t="n"/>
      <c r="AE2665">
        <f>IF($E2665="","",IF($AQ2665=1,0,IF($AP2665=1,Settings!$C$6,Settings!$C$7))*100)</f>
        <v/>
      </c>
      <c r="AI2665" s="7" t="n"/>
      <c r="AL2665" s="11" t="n"/>
      <c r="AN2665">
        <f>IF($E2665="","",IF(COUNTIF($E$2:$E2665,$E2665)=1,1,0))</f>
        <v/>
      </c>
      <c r="AO2665">
        <f>IF($AN2665=1,SUMPRODUCT(--($AR$2:$AR$3001&lt;$AR2665))+1,"")</f>
        <v/>
      </c>
      <c r="AP2665">
        <f>IF($E2665="","",IF(OR($U2665=TRUE(),$U2665="TRUE"),1,0))</f>
        <v/>
      </c>
      <c r="AQ2665">
        <f>IF($E2665="","",IF($AD2665="Yes",1,0))</f>
        <v/>
      </c>
      <c r="AR2665">
        <f>IF($AN2665=1,IFERROR(VALUE(MID($E2665,2,20)),1000000000)+ROW()/100000,"")</f>
        <v/>
      </c>
    </row>
    <row r="2666">
      <c r="G2666" s="11" t="n"/>
      <c r="Q2666" s="7">
        <f>IF($E2666="","",P2666*AB2666/100)</f>
        <v/>
      </c>
      <c r="R2666" s="7" t="n"/>
      <c r="X2666" s="7" t="n"/>
      <c r="Y2666" s="7">
        <f>IF($E2666="","",AB2666*AE2666/100)</f>
        <v/>
      </c>
      <c r="Z2666" s="7">
        <f>IF($E2666="","",AB2666-Y2666)</f>
        <v/>
      </c>
      <c r="AA2666" s="7">
        <f>IF($E2666="","",Z2666-Q2666)</f>
        <v/>
      </c>
      <c r="AB2666" s="7" t="n"/>
      <c r="AE2666">
        <f>IF($E2666="","",IF($AQ2666=1,0,IF($AP2666=1,Settings!$C$6,Settings!$C$7))*100)</f>
        <v/>
      </c>
      <c r="AI2666" s="7" t="n"/>
      <c r="AL2666" s="11" t="n"/>
      <c r="AN2666">
        <f>IF($E2666="","",IF(COUNTIF($E$2:$E2666,$E2666)=1,1,0))</f>
        <v/>
      </c>
      <c r="AO2666">
        <f>IF($AN2666=1,SUMPRODUCT(--($AR$2:$AR$3001&lt;$AR2666))+1,"")</f>
        <v/>
      </c>
      <c r="AP2666">
        <f>IF($E2666="","",IF(OR($U2666=TRUE(),$U2666="TRUE"),1,0))</f>
        <v/>
      </c>
      <c r="AQ2666">
        <f>IF($E2666="","",IF($AD2666="Yes",1,0))</f>
        <v/>
      </c>
      <c r="AR2666">
        <f>IF($AN2666=1,IFERROR(VALUE(MID($E2666,2,20)),1000000000)+ROW()/100000,"")</f>
        <v/>
      </c>
    </row>
    <row r="2667">
      <c r="G2667" s="11" t="n"/>
      <c r="Q2667" s="7">
        <f>IF($E2667="","",P2667*AB2667/100)</f>
        <v/>
      </c>
      <c r="R2667" s="7" t="n"/>
      <c r="X2667" s="7" t="n"/>
      <c r="Y2667" s="7">
        <f>IF($E2667="","",AB2667*AE2667/100)</f>
        <v/>
      </c>
      <c r="Z2667" s="7">
        <f>IF($E2667="","",AB2667-Y2667)</f>
        <v/>
      </c>
      <c r="AA2667" s="7">
        <f>IF($E2667="","",Z2667-Q2667)</f>
        <v/>
      </c>
      <c r="AB2667" s="7" t="n"/>
      <c r="AE2667">
        <f>IF($E2667="","",IF($AQ2667=1,0,IF($AP2667=1,Settings!$C$6,Settings!$C$7))*100)</f>
        <v/>
      </c>
      <c r="AI2667" s="7" t="n"/>
      <c r="AL2667" s="11" t="n"/>
      <c r="AN2667">
        <f>IF($E2667="","",IF(COUNTIF($E$2:$E2667,$E2667)=1,1,0))</f>
        <v/>
      </c>
      <c r="AO2667">
        <f>IF($AN2667=1,SUMPRODUCT(--($AR$2:$AR$3001&lt;$AR2667))+1,"")</f>
        <v/>
      </c>
      <c r="AP2667">
        <f>IF($E2667="","",IF(OR($U2667=TRUE(),$U2667="TRUE"),1,0))</f>
        <v/>
      </c>
      <c r="AQ2667">
        <f>IF($E2667="","",IF($AD2667="Yes",1,0))</f>
        <v/>
      </c>
      <c r="AR2667">
        <f>IF($AN2667=1,IFERROR(VALUE(MID($E2667,2,20)),1000000000)+ROW()/100000,"")</f>
        <v/>
      </c>
    </row>
    <row r="2668">
      <c r="G2668" s="11" t="n"/>
      <c r="Q2668" s="7">
        <f>IF($E2668="","",P2668*AB2668/100)</f>
        <v/>
      </c>
      <c r="R2668" s="7" t="n"/>
      <c r="X2668" s="7" t="n"/>
      <c r="Y2668" s="7">
        <f>IF($E2668="","",AB2668*AE2668/100)</f>
        <v/>
      </c>
      <c r="Z2668" s="7">
        <f>IF($E2668="","",AB2668-Y2668)</f>
        <v/>
      </c>
      <c r="AA2668" s="7">
        <f>IF($E2668="","",Z2668-Q2668)</f>
        <v/>
      </c>
      <c r="AB2668" s="7" t="n"/>
      <c r="AE2668">
        <f>IF($E2668="","",IF($AQ2668=1,0,IF($AP2668=1,Settings!$C$6,Settings!$C$7))*100)</f>
        <v/>
      </c>
      <c r="AI2668" s="7" t="n"/>
      <c r="AL2668" s="11" t="n"/>
      <c r="AN2668">
        <f>IF($E2668="","",IF(COUNTIF($E$2:$E2668,$E2668)=1,1,0))</f>
        <v/>
      </c>
      <c r="AO2668">
        <f>IF($AN2668=1,SUMPRODUCT(--($AR$2:$AR$3001&lt;$AR2668))+1,"")</f>
        <v/>
      </c>
      <c r="AP2668">
        <f>IF($E2668="","",IF(OR($U2668=TRUE(),$U2668="TRUE"),1,0))</f>
        <v/>
      </c>
      <c r="AQ2668">
        <f>IF($E2668="","",IF($AD2668="Yes",1,0))</f>
        <v/>
      </c>
      <c r="AR2668">
        <f>IF($AN2668=1,IFERROR(VALUE(MID($E2668,2,20)),1000000000)+ROW()/100000,"")</f>
        <v/>
      </c>
    </row>
    <row r="2669">
      <c r="G2669" s="11" t="n"/>
      <c r="Q2669" s="7">
        <f>IF($E2669="","",P2669*AB2669/100)</f>
        <v/>
      </c>
      <c r="R2669" s="7" t="n"/>
      <c r="X2669" s="7" t="n"/>
      <c r="Y2669" s="7">
        <f>IF($E2669="","",AB2669*AE2669/100)</f>
        <v/>
      </c>
      <c r="Z2669" s="7">
        <f>IF($E2669="","",AB2669-Y2669)</f>
        <v/>
      </c>
      <c r="AA2669" s="7">
        <f>IF($E2669="","",Z2669-Q2669)</f>
        <v/>
      </c>
      <c r="AB2669" s="7" t="n"/>
      <c r="AE2669">
        <f>IF($E2669="","",IF($AQ2669=1,0,IF($AP2669=1,Settings!$C$6,Settings!$C$7))*100)</f>
        <v/>
      </c>
      <c r="AI2669" s="7" t="n"/>
      <c r="AL2669" s="11" t="n"/>
      <c r="AN2669">
        <f>IF($E2669="","",IF(COUNTIF($E$2:$E2669,$E2669)=1,1,0))</f>
        <v/>
      </c>
      <c r="AO2669">
        <f>IF($AN2669=1,SUMPRODUCT(--($AR$2:$AR$3001&lt;$AR2669))+1,"")</f>
        <v/>
      </c>
      <c r="AP2669">
        <f>IF($E2669="","",IF(OR($U2669=TRUE(),$U2669="TRUE"),1,0))</f>
        <v/>
      </c>
      <c r="AQ2669">
        <f>IF($E2669="","",IF($AD2669="Yes",1,0))</f>
        <v/>
      </c>
      <c r="AR2669">
        <f>IF($AN2669=1,IFERROR(VALUE(MID($E2669,2,20)),1000000000)+ROW()/100000,"")</f>
        <v/>
      </c>
    </row>
    <row r="2670">
      <c r="G2670" s="11" t="n"/>
      <c r="Q2670" s="7">
        <f>IF($E2670="","",P2670*AB2670/100)</f>
        <v/>
      </c>
      <c r="R2670" s="7" t="n"/>
      <c r="X2670" s="7" t="n"/>
      <c r="Y2670" s="7">
        <f>IF($E2670="","",AB2670*AE2670/100)</f>
        <v/>
      </c>
      <c r="Z2670" s="7">
        <f>IF($E2670="","",AB2670-Y2670)</f>
        <v/>
      </c>
      <c r="AA2670" s="7">
        <f>IF($E2670="","",Z2670-Q2670)</f>
        <v/>
      </c>
      <c r="AB2670" s="7" t="n"/>
      <c r="AE2670">
        <f>IF($E2670="","",IF($AQ2670=1,0,IF($AP2670=1,Settings!$C$6,Settings!$C$7))*100)</f>
        <v/>
      </c>
      <c r="AI2670" s="7" t="n"/>
      <c r="AL2670" s="11" t="n"/>
      <c r="AN2670">
        <f>IF($E2670="","",IF(COUNTIF($E$2:$E2670,$E2670)=1,1,0))</f>
        <v/>
      </c>
      <c r="AO2670">
        <f>IF($AN2670=1,SUMPRODUCT(--($AR$2:$AR$3001&lt;$AR2670))+1,"")</f>
        <v/>
      </c>
      <c r="AP2670">
        <f>IF($E2670="","",IF(OR($U2670=TRUE(),$U2670="TRUE"),1,0))</f>
        <v/>
      </c>
      <c r="AQ2670">
        <f>IF($E2670="","",IF($AD2670="Yes",1,0))</f>
        <v/>
      </c>
      <c r="AR2670">
        <f>IF($AN2670=1,IFERROR(VALUE(MID($E2670,2,20)),1000000000)+ROW()/100000,"")</f>
        <v/>
      </c>
    </row>
    <row r="2671">
      <c r="G2671" s="11" t="n"/>
      <c r="Q2671" s="7">
        <f>IF($E2671="","",P2671*AB2671/100)</f>
        <v/>
      </c>
      <c r="R2671" s="7" t="n"/>
      <c r="X2671" s="7" t="n"/>
      <c r="Y2671" s="7">
        <f>IF($E2671="","",AB2671*AE2671/100)</f>
        <v/>
      </c>
      <c r="Z2671" s="7">
        <f>IF($E2671="","",AB2671-Y2671)</f>
        <v/>
      </c>
      <c r="AA2671" s="7">
        <f>IF($E2671="","",Z2671-Q2671)</f>
        <v/>
      </c>
      <c r="AB2671" s="7" t="n"/>
      <c r="AE2671">
        <f>IF($E2671="","",IF($AQ2671=1,0,IF($AP2671=1,Settings!$C$6,Settings!$C$7))*100)</f>
        <v/>
      </c>
      <c r="AI2671" s="7" t="n"/>
      <c r="AL2671" s="11" t="n"/>
      <c r="AN2671">
        <f>IF($E2671="","",IF(COUNTIF($E$2:$E2671,$E2671)=1,1,0))</f>
        <v/>
      </c>
      <c r="AO2671">
        <f>IF($AN2671=1,SUMPRODUCT(--($AR$2:$AR$3001&lt;$AR2671))+1,"")</f>
        <v/>
      </c>
      <c r="AP2671">
        <f>IF($E2671="","",IF(OR($U2671=TRUE(),$U2671="TRUE"),1,0))</f>
        <v/>
      </c>
      <c r="AQ2671">
        <f>IF($E2671="","",IF($AD2671="Yes",1,0))</f>
        <v/>
      </c>
      <c r="AR2671">
        <f>IF($AN2671=1,IFERROR(VALUE(MID($E2671,2,20)),1000000000)+ROW()/100000,"")</f>
        <v/>
      </c>
    </row>
    <row r="2672">
      <c r="G2672" s="11" t="n"/>
      <c r="Q2672" s="7">
        <f>IF($E2672="","",P2672*AB2672/100)</f>
        <v/>
      </c>
      <c r="R2672" s="7" t="n"/>
      <c r="X2672" s="7" t="n"/>
      <c r="Y2672" s="7">
        <f>IF($E2672="","",AB2672*AE2672/100)</f>
        <v/>
      </c>
      <c r="Z2672" s="7">
        <f>IF($E2672="","",AB2672-Y2672)</f>
        <v/>
      </c>
      <c r="AA2672" s="7">
        <f>IF($E2672="","",Z2672-Q2672)</f>
        <v/>
      </c>
      <c r="AB2672" s="7" t="n"/>
      <c r="AE2672">
        <f>IF($E2672="","",IF($AQ2672=1,0,IF($AP2672=1,Settings!$C$6,Settings!$C$7))*100)</f>
        <v/>
      </c>
      <c r="AI2672" s="7" t="n"/>
      <c r="AL2672" s="11" t="n"/>
      <c r="AN2672">
        <f>IF($E2672="","",IF(COUNTIF($E$2:$E2672,$E2672)=1,1,0))</f>
        <v/>
      </c>
      <c r="AO2672">
        <f>IF($AN2672=1,SUMPRODUCT(--($AR$2:$AR$3001&lt;$AR2672))+1,"")</f>
        <v/>
      </c>
      <c r="AP2672">
        <f>IF($E2672="","",IF(OR($U2672=TRUE(),$U2672="TRUE"),1,0))</f>
        <v/>
      </c>
      <c r="AQ2672">
        <f>IF($E2672="","",IF($AD2672="Yes",1,0))</f>
        <v/>
      </c>
      <c r="AR2672">
        <f>IF($AN2672=1,IFERROR(VALUE(MID($E2672,2,20)),1000000000)+ROW()/100000,"")</f>
        <v/>
      </c>
    </row>
    <row r="2673">
      <c r="G2673" s="11" t="n"/>
      <c r="Q2673" s="7">
        <f>IF($E2673="","",P2673*AB2673/100)</f>
        <v/>
      </c>
      <c r="R2673" s="7" t="n"/>
      <c r="X2673" s="7" t="n"/>
      <c r="Y2673" s="7">
        <f>IF($E2673="","",AB2673*AE2673/100)</f>
        <v/>
      </c>
      <c r="Z2673" s="7">
        <f>IF($E2673="","",AB2673-Y2673)</f>
        <v/>
      </c>
      <c r="AA2673" s="7">
        <f>IF($E2673="","",Z2673-Q2673)</f>
        <v/>
      </c>
      <c r="AB2673" s="7" t="n"/>
      <c r="AE2673">
        <f>IF($E2673="","",IF($AQ2673=1,0,IF($AP2673=1,Settings!$C$6,Settings!$C$7))*100)</f>
        <v/>
      </c>
      <c r="AI2673" s="7" t="n"/>
      <c r="AL2673" s="11" t="n"/>
      <c r="AN2673">
        <f>IF($E2673="","",IF(COUNTIF($E$2:$E2673,$E2673)=1,1,0))</f>
        <v/>
      </c>
      <c r="AO2673">
        <f>IF($AN2673=1,SUMPRODUCT(--($AR$2:$AR$3001&lt;$AR2673))+1,"")</f>
        <v/>
      </c>
      <c r="AP2673">
        <f>IF($E2673="","",IF(OR($U2673=TRUE(),$U2673="TRUE"),1,0))</f>
        <v/>
      </c>
      <c r="AQ2673">
        <f>IF($E2673="","",IF($AD2673="Yes",1,0))</f>
        <v/>
      </c>
      <c r="AR2673">
        <f>IF($AN2673=1,IFERROR(VALUE(MID($E2673,2,20)),1000000000)+ROW()/100000,"")</f>
        <v/>
      </c>
    </row>
    <row r="2674">
      <c r="G2674" s="11" t="n"/>
      <c r="Q2674" s="7">
        <f>IF($E2674="","",P2674*AB2674/100)</f>
        <v/>
      </c>
      <c r="R2674" s="7" t="n"/>
      <c r="X2674" s="7" t="n"/>
      <c r="Y2674" s="7">
        <f>IF($E2674="","",AB2674*AE2674/100)</f>
        <v/>
      </c>
      <c r="Z2674" s="7">
        <f>IF($E2674="","",AB2674-Y2674)</f>
        <v/>
      </c>
      <c r="AA2674" s="7">
        <f>IF($E2674="","",Z2674-Q2674)</f>
        <v/>
      </c>
      <c r="AB2674" s="7" t="n"/>
      <c r="AE2674">
        <f>IF($E2674="","",IF($AQ2674=1,0,IF($AP2674=1,Settings!$C$6,Settings!$C$7))*100)</f>
        <v/>
      </c>
      <c r="AI2674" s="7" t="n"/>
      <c r="AL2674" s="11" t="n"/>
      <c r="AN2674">
        <f>IF($E2674="","",IF(COUNTIF($E$2:$E2674,$E2674)=1,1,0))</f>
        <v/>
      </c>
      <c r="AO2674">
        <f>IF($AN2674=1,SUMPRODUCT(--($AR$2:$AR$3001&lt;$AR2674))+1,"")</f>
        <v/>
      </c>
      <c r="AP2674">
        <f>IF($E2674="","",IF(OR($U2674=TRUE(),$U2674="TRUE"),1,0))</f>
        <v/>
      </c>
      <c r="AQ2674">
        <f>IF($E2674="","",IF($AD2674="Yes",1,0))</f>
        <v/>
      </c>
      <c r="AR2674">
        <f>IF($AN2674=1,IFERROR(VALUE(MID($E2674,2,20)),1000000000)+ROW()/100000,"")</f>
        <v/>
      </c>
    </row>
    <row r="2675">
      <c r="G2675" s="11" t="n"/>
      <c r="Q2675" s="7">
        <f>IF($E2675="","",P2675*AB2675/100)</f>
        <v/>
      </c>
      <c r="R2675" s="7" t="n"/>
      <c r="X2675" s="7" t="n"/>
      <c r="Y2675" s="7">
        <f>IF($E2675="","",AB2675*AE2675/100)</f>
        <v/>
      </c>
      <c r="Z2675" s="7">
        <f>IF($E2675="","",AB2675-Y2675)</f>
        <v/>
      </c>
      <c r="AA2675" s="7">
        <f>IF($E2675="","",Z2675-Q2675)</f>
        <v/>
      </c>
      <c r="AB2675" s="7" t="n"/>
      <c r="AE2675">
        <f>IF($E2675="","",IF($AQ2675=1,0,IF($AP2675=1,Settings!$C$6,Settings!$C$7))*100)</f>
        <v/>
      </c>
      <c r="AI2675" s="7" t="n"/>
      <c r="AL2675" s="11" t="n"/>
      <c r="AN2675">
        <f>IF($E2675="","",IF(COUNTIF($E$2:$E2675,$E2675)=1,1,0))</f>
        <v/>
      </c>
      <c r="AO2675">
        <f>IF($AN2675=1,SUMPRODUCT(--($AR$2:$AR$3001&lt;$AR2675))+1,"")</f>
        <v/>
      </c>
      <c r="AP2675">
        <f>IF($E2675="","",IF(OR($U2675=TRUE(),$U2675="TRUE"),1,0))</f>
        <v/>
      </c>
      <c r="AQ2675">
        <f>IF($E2675="","",IF($AD2675="Yes",1,0))</f>
        <v/>
      </c>
      <c r="AR2675">
        <f>IF($AN2675=1,IFERROR(VALUE(MID($E2675,2,20)),1000000000)+ROW()/100000,"")</f>
        <v/>
      </c>
    </row>
    <row r="2676">
      <c r="G2676" s="11" t="n"/>
      <c r="Q2676" s="7">
        <f>IF($E2676="","",P2676*AB2676/100)</f>
        <v/>
      </c>
      <c r="R2676" s="7" t="n"/>
      <c r="X2676" s="7" t="n"/>
      <c r="Y2676" s="7">
        <f>IF($E2676="","",AB2676*AE2676/100)</f>
        <v/>
      </c>
      <c r="Z2676" s="7">
        <f>IF($E2676="","",AB2676-Y2676)</f>
        <v/>
      </c>
      <c r="AA2676" s="7">
        <f>IF($E2676="","",Z2676-Q2676)</f>
        <v/>
      </c>
      <c r="AB2676" s="7" t="n"/>
      <c r="AE2676">
        <f>IF($E2676="","",IF($AQ2676=1,0,IF($AP2676=1,Settings!$C$6,Settings!$C$7))*100)</f>
        <v/>
      </c>
      <c r="AI2676" s="7" t="n"/>
      <c r="AL2676" s="11" t="n"/>
      <c r="AN2676">
        <f>IF($E2676="","",IF(COUNTIF($E$2:$E2676,$E2676)=1,1,0))</f>
        <v/>
      </c>
      <c r="AO2676">
        <f>IF($AN2676=1,SUMPRODUCT(--($AR$2:$AR$3001&lt;$AR2676))+1,"")</f>
        <v/>
      </c>
      <c r="AP2676">
        <f>IF($E2676="","",IF(OR($U2676=TRUE(),$U2676="TRUE"),1,0))</f>
        <v/>
      </c>
      <c r="AQ2676">
        <f>IF($E2676="","",IF($AD2676="Yes",1,0))</f>
        <v/>
      </c>
      <c r="AR2676">
        <f>IF($AN2676=1,IFERROR(VALUE(MID($E2676,2,20)),1000000000)+ROW()/100000,"")</f>
        <v/>
      </c>
    </row>
    <row r="2677">
      <c r="G2677" s="11" t="n"/>
      <c r="Q2677" s="7">
        <f>IF($E2677="","",P2677*AB2677/100)</f>
        <v/>
      </c>
      <c r="R2677" s="7" t="n"/>
      <c r="X2677" s="7" t="n"/>
      <c r="Y2677" s="7">
        <f>IF($E2677="","",AB2677*AE2677/100)</f>
        <v/>
      </c>
      <c r="Z2677" s="7">
        <f>IF($E2677="","",AB2677-Y2677)</f>
        <v/>
      </c>
      <c r="AA2677" s="7">
        <f>IF($E2677="","",Z2677-Q2677)</f>
        <v/>
      </c>
      <c r="AB2677" s="7" t="n"/>
      <c r="AE2677">
        <f>IF($E2677="","",IF($AQ2677=1,0,IF($AP2677=1,Settings!$C$6,Settings!$C$7))*100)</f>
        <v/>
      </c>
      <c r="AI2677" s="7" t="n"/>
      <c r="AL2677" s="11" t="n"/>
      <c r="AN2677">
        <f>IF($E2677="","",IF(COUNTIF($E$2:$E2677,$E2677)=1,1,0))</f>
        <v/>
      </c>
      <c r="AO2677">
        <f>IF($AN2677=1,SUMPRODUCT(--($AR$2:$AR$3001&lt;$AR2677))+1,"")</f>
        <v/>
      </c>
      <c r="AP2677">
        <f>IF($E2677="","",IF(OR($U2677=TRUE(),$U2677="TRUE"),1,0))</f>
        <v/>
      </c>
      <c r="AQ2677">
        <f>IF($E2677="","",IF($AD2677="Yes",1,0))</f>
        <v/>
      </c>
      <c r="AR2677">
        <f>IF($AN2677=1,IFERROR(VALUE(MID($E2677,2,20)),1000000000)+ROW()/100000,"")</f>
        <v/>
      </c>
    </row>
    <row r="2678">
      <c r="G2678" s="11" t="n"/>
      <c r="Q2678" s="7">
        <f>IF($E2678="","",P2678*AB2678/100)</f>
        <v/>
      </c>
      <c r="R2678" s="7" t="n"/>
      <c r="X2678" s="7" t="n"/>
      <c r="Y2678" s="7">
        <f>IF($E2678="","",AB2678*AE2678/100)</f>
        <v/>
      </c>
      <c r="Z2678" s="7">
        <f>IF($E2678="","",AB2678-Y2678)</f>
        <v/>
      </c>
      <c r="AA2678" s="7">
        <f>IF($E2678="","",Z2678-Q2678)</f>
        <v/>
      </c>
      <c r="AB2678" s="7" t="n"/>
      <c r="AE2678">
        <f>IF($E2678="","",IF($AQ2678=1,0,IF($AP2678=1,Settings!$C$6,Settings!$C$7))*100)</f>
        <v/>
      </c>
      <c r="AI2678" s="7" t="n"/>
      <c r="AL2678" s="11" t="n"/>
      <c r="AN2678">
        <f>IF($E2678="","",IF(COUNTIF($E$2:$E2678,$E2678)=1,1,0))</f>
        <v/>
      </c>
      <c r="AO2678">
        <f>IF($AN2678=1,SUMPRODUCT(--($AR$2:$AR$3001&lt;$AR2678))+1,"")</f>
        <v/>
      </c>
      <c r="AP2678">
        <f>IF($E2678="","",IF(OR($U2678=TRUE(),$U2678="TRUE"),1,0))</f>
        <v/>
      </c>
      <c r="AQ2678">
        <f>IF($E2678="","",IF($AD2678="Yes",1,0))</f>
        <v/>
      </c>
      <c r="AR2678">
        <f>IF($AN2678=1,IFERROR(VALUE(MID($E2678,2,20)),1000000000)+ROW()/100000,"")</f>
        <v/>
      </c>
    </row>
    <row r="2679">
      <c r="G2679" s="11" t="n"/>
      <c r="Q2679" s="7">
        <f>IF($E2679="","",P2679*AB2679/100)</f>
        <v/>
      </c>
      <c r="R2679" s="7" t="n"/>
      <c r="X2679" s="7" t="n"/>
      <c r="Y2679" s="7">
        <f>IF($E2679="","",AB2679*AE2679/100)</f>
        <v/>
      </c>
      <c r="Z2679" s="7">
        <f>IF($E2679="","",AB2679-Y2679)</f>
        <v/>
      </c>
      <c r="AA2679" s="7">
        <f>IF($E2679="","",Z2679-Q2679)</f>
        <v/>
      </c>
      <c r="AB2679" s="7" t="n"/>
      <c r="AE2679">
        <f>IF($E2679="","",IF($AQ2679=1,0,IF($AP2679=1,Settings!$C$6,Settings!$C$7))*100)</f>
        <v/>
      </c>
      <c r="AI2679" s="7" t="n"/>
      <c r="AL2679" s="11" t="n"/>
      <c r="AN2679">
        <f>IF($E2679="","",IF(COUNTIF($E$2:$E2679,$E2679)=1,1,0))</f>
        <v/>
      </c>
      <c r="AO2679">
        <f>IF($AN2679=1,SUMPRODUCT(--($AR$2:$AR$3001&lt;$AR2679))+1,"")</f>
        <v/>
      </c>
      <c r="AP2679">
        <f>IF($E2679="","",IF(OR($U2679=TRUE(),$U2679="TRUE"),1,0))</f>
        <v/>
      </c>
      <c r="AQ2679">
        <f>IF($E2679="","",IF($AD2679="Yes",1,0))</f>
        <v/>
      </c>
      <c r="AR2679">
        <f>IF($AN2679=1,IFERROR(VALUE(MID($E2679,2,20)),1000000000)+ROW()/100000,"")</f>
        <v/>
      </c>
    </row>
    <row r="2680">
      <c r="G2680" s="11" t="n"/>
      <c r="Q2680" s="7">
        <f>IF($E2680="","",P2680*AB2680/100)</f>
        <v/>
      </c>
      <c r="R2680" s="7" t="n"/>
      <c r="X2680" s="7" t="n"/>
      <c r="Y2680" s="7">
        <f>IF($E2680="","",AB2680*AE2680/100)</f>
        <v/>
      </c>
      <c r="Z2680" s="7">
        <f>IF($E2680="","",AB2680-Y2680)</f>
        <v/>
      </c>
      <c r="AA2680" s="7">
        <f>IF($E2680="","",Z2680-Q2680)</f>
        <v/>
      </c>
      <c r="AB2680" s="7" t="n"/>
      <c r="AE2680">
        <f>IF($E2680="","",IF($AQ2680=1,0,IF($AP2680=1,Settings!$C$6,Settings!$C$7))*100)</f>
        <v/>
      </c>
      <c r="AI2680" s="7" t="n"/>
      <c r="AL2680" s="11" t="n"/>
      <c r="AN2680">
        <f>IF($E2680="","",IF(COUNTIF($E$2:$E2680,$E2680)=1,1,0))</f>
        <v/>
      </c>
      <c r="AO2680">
        <f>IF($AN2680=1,SUMPRODUCT(--($AR$2:$AR$3001&lt;$AR2680))+1,"")</f>
        <v/>
      </c>
      <c r="AP2680">
        <f>IF($E2680="","",IF(OR($U2680=TRUE(),$U2680="TRUE"),1,0))</f>
        <v/>
      </c>
      <c r="AQ2680">
        <f>IF($E2680="","",IF($AD2680="Yes",1,0))</f>
        <v/>
      </c>
      <c r="AR2680">
        <f>IF($AN2680=1,IFERROR(VALUE(MID($E2680,2,20)),1000000000)+ROW()/100000,"")</f>
        <v/>
      </c>
    </row>
    <row r="2681">
      <c r="G2681" s="11" t="n"/>
      <c r="Q2681" s="7">
        <f>IF($E2681="","",P2681*AB2681/100)</f>
        <v/>
      </c>
      <c r="R2681" s="7" t="n"/>
      <c r="X2681" s="7" t="n"/>
      <c r="Y2681" s="7">
        <f>IF($E2681="","",AB2681*AE2681/100)</f>
        <v/>
      </c>
      <c r="Z2681" s="7">
        <f>IF($E2681="","",AB2681-Y2681)</f>
        <v/>
      </c>
      <c r="AA2681" s="7">
        <f>IF($E2681="","",Z2681-Q2681)</f>
        <v/>
      </c>
      <c r="AB2681" s="7" t="n"/>
      <c r="AE2681">
        <f>IF($E2681="","",IF($AQ2681=1,0,IF($AP2681=1,Settings!$C$6,Settings!$C$7))*100)</f>
        <v/>
      </c>
      <c r="AI2681" s="7" t="n"/>
      <c r="AL2681" s="11" t="n"/>
      <c r="AN2681">
        <f>IF($E2681="","",IF(COUNTIF($E$2:$E2681,$E2681)=1,1,0))</f>
        <v/>
      </c>
      <c r="AO2681">
        <f>IF($AN2681=1,SUMPRODUCT(--($AR$2:$AR$3001&lt;$AR2681))+1,"")</f>
        <v/>
      </c>
      <c r="AP2681">
        <f>IF($E2681="","",IF(OR($U2681=TRUE(),$U2681="TRUE"),1,0))</f>
        <v/>
      </c>
      <c r="AQ2681">
        <f>IF($E2681="","",IF($AD2681="Yes",1,0))</f>
        <v/>
      </c>
      <c r="AR2681">
        <f>IF($AN2681=1,IFERROR(VALUE(MID($E2681,2,20)),1000000000)+ROW()/100000,"")</f>
        <v/>
      </c>
    </row>
    <row r="2682">
      <c r="G2682" s="11" t="n"/>
      <c r="Q2682" s="7">
        <f>IF($E2682="","",P2682*AB2682/100)</f>
        <v/>
      </c>
      <c r="R2682" s="7" t="n"/>
      <c r="X2682" s="7" t="n"/>
      <c r="Y2682" s="7">
        <f>IF($E2682="","",AB2682*AE2682/100)</f>
        <v/>
      </c>
      <c r="Z2682" s="7">
        <f>IF($E2682="","",AB2682-Y2682)</f>
        <v/>
      </c>
      <c r="AA2682" s="7">
        <f>IF($E2682="","",Z2682-Q2682)</f>
        <v/>
      </c>
      <c r="AB2682" s="7" t="n"/>
      <c r="AE2682">
        <f>IF($E2682="","",IF($AQ2682=1,0,IF($AP2682=1,Settings!$C$6,Settings!$C$7))*100)</f>
        <v/>
      </c>
      <c r="AI2682" s="7" t="n"/>
      <c r="AL2682" s="11" t="n"/>
      <c r="AN2682">
        <f>IF($E2682="","",IF(COUNTIF($E$2:$E2682,$E2682)=1,1,0))</f>
        <v/>
      </c>
      <c r="AO2682">
        <f>IF($AN2682=1,SUMPRODUCT(--($AR$2:$AR$3001&lt;$AR2682))+1,"")</f>
        <v/>
      </c>
      <c r="AP2682">
        <f>IF($E2682="","",IF(OR($U2682=TRUE(),$U2682="TRUE"),1,0))</f>
        <v/>
      </c>
      <c r="AQ2682">
        <f>IF($E2682="","",IF($AD2682="Yes",1,0))</f>
        <v/>
      </c>
      <c r="AR2682">
        <f>IF($AN2682=1,IFERROR(VALUE(MID($E2682,2,20)),1000000000)+ROW()/100000,"")</f>
        <v/>
      </c>
    </row>
    <row r="2683">
      <c r="G2683" s="11" t="n"/>
      <c r="Q2683" s="7">
        <f>IF($E2683="","",P2683*AB2683/100)</f>
        <v/>
      </c>
      <c r="R2683" s="7" t="n"/>
      <c r="X2683" s="7" t="n"/>
      <c r="Y2683" s="7">
        <f>IF($E2683="","",AB2683*AE2683/100)</f>
        <v/>
      </c>
      <c r="Z2683" s="7">
        <f>IF($E2683="","",AB2683-Y2683)</f>
        <v/>
      </c>
      <c r="AA2683" s="7">
        <f>IF($E2683="","",Z2683-Q2683)</f>
        <v/>
      </c>
      <c r="AB2683" s="7" t="n"/>
      <c r="AE2683">
        <f>IF($E2683="","",IF($AQ2683=1,0,IF($AP2683=1,Settings!$C$6,Settings!$C$7))*100)</f>
        <v/>
      </c>
      <c r="AI2683" s="7" t="n"/>
      <c r="AL2683" s="11" t="n"/>
      <c r="AN2683">
        <f>IF($E2683="","",IF(COUNTIF($E$2:$E2683,$E2683)=1,1,0))</f>
        <v/>
      </c>
      <c r="AO2683">
        <f>IF($AN2683=1,SUMPRODUCT(--($AR$2:$AR$3001&lt;$AR2683))+1,"")</f>
        <v/>
      </c>
      <c r="AP2683">
        <f>IF($E2683="","",IF(OR($U2683=TRUE(),$U2683="TRUE"),1,0))</f>
        <v/>
      </c>
      <c r="AQ2683">
        <f>IF($E2683="","",IF($AD2683="Yes",1,0))</f>
        <v/>
      </c>
      <c r="AR2683">
        <f>IF($AN2683=1,IFERROR(VALUE(MID($E2683,2,20)),1000000000)+ROW()/100000,"")</f>
        <v/>
      </c>
    </row>
    <row r="2684">
      <c r="G2684" s="11" t="n"/>
      <c r="Q2684" s="7">
        <f>IF($E2684="","",P2684*AB2684/100)</f>
        <v/>
      </c>
      <c r="R2684" s="7" t="n"/>
      <c r="X2684" s="7" t="n"/>
      <c r="Y2684" s="7">
        <f>IF($E2684="","",AB2684*AE2684/100)</f>
        <v/>
      </c>
      <c r="Z2684" s="7">
        <f>IF($E2684="","",AB2684-Y2684)</f>
        <v/>
      </c>
      <c r="AA2684" s="7">
        <f>IF($E2684="","",Z2684-Q2684)</f>
        <v/>
      </c>
      <c r="AB2684" s="7" t="n"/>
      <c r="AE2684">
        <f>IF($E2684="","",IF($AQ2684=1,0,IF($AP2684=1,Settings!$C$6,Settings!$C$7))*100)</f>
        <v/>
      </c>
      <c r="AI2684" s="7" t="n"/>
      <c r="AL2684" s="11" t="n"/>
      <c r="AN2684">
        <f>IF($E2684="","",IF(COUNTIF($E$2:$E2684,$E2684)=1,1,0))</f>
        <v/>
      </c>
      <c r="AO2684">
        <f>IF($AN2684=1,SUMPRODUCT(--($AR$2:$AR$3001&lt;$AR2684))+1,"")</f>
        <v/>
      </c>
      <c r="AP2684">
        <f>IF($E2684="","",IF(OR($U2684=TRUE(),$U2684="TRUE"),1,0))</f>
        <v/>
      </c>
      <c r="AQ2684">
        <f>IF($E2684="","",IF($AD2684="Yes",1,0))</f>
        <v/>
      </c>
      <c r="AR2684">
        <f>IF($AN2684=1,IFERROR(VALUE(MID($E2684,2,20)),1000000000)+ROW()/100000,"")</f>
        <v/>
      </c>
    </row>
    <row r="2685">
      <c r="G2685" s="11" t="n"/>
      <c r="Q2685" s="7">
        <f>IF($E2685="","",P2685*AB2685/100)</f>
        <v/>
      </c>
      <c r="R2685" s="7" t="n"/>
      <c r="X2685" s="7" t="n"/>
      <c r="Y2685" s="7">
        <f>IF($E2685="","",AB2685*AE2685/100)</f>
        <v/>
      </c>
      <c r="Z2685" s="7">
        <f>IF($E2685="","",AB2685-Y2685)</f>
        <v/>
      </c>
      <c r="AA2685" s="7">
        <f>IF($E2685="","",Z2685-Q2685)</f>
        <v/>
      </c>
      <c r="AB2685" s="7" t="n"/>
      <c r="AE2685">
        <f>IF($E2685="","",IF($AQ2685=1,0,IF($AP2685=1,Settings!$C$6,Settings!$C$7))*100)</f>
        <v/>
      </c>
      <c r="AI2685" s="7" t="n"/>
      <c r="AL2685" s="11" t="n"/>
      <c r="AN2685">
        <f>IF($E2685="","",IF(COUNTIF($E$2:$E2685,$E2685)=1,1,0))</f>
        <v/>
      </c>
      <c r="AO2685">
        <f>IF($AN2685=1,SUMPRODUCT(--($AR$2:$AR$3001&lt;$AR2685))+1,"")</f>
        <v/>
      </c>
      <c r="AP2685">
        <f>IF($E2685="","",IF(OR($U2685=TRUE(),$U2685="TRUE"),1,0))</f>
        <v/>
      </c>
      <c r="AQ2685">
        <f>IF($E2685="","",IF($AD2685="Yes",1,0))</f>
        <v/>
      </c>
      <c r="AR2685">
        <f>IF($AN2685=1,IFERROR(VALUE(MID($E2685,2,20)),1000000000)+ROW()/100000,"")</f>
        <v/>
      </c>
    </row>
    <row r="2686">
      <c r="G2686" s="11" t="n"/>
      <c r="Q2686" s="7">
        <f>IF($E2686="","",P2686*AB2686/100)</f>
        <v/>
      </c>
      <c r="R2686" s="7" t="n"/>
      <c r="X2686" s="7" t="n"/>
      <c r="Y2686" s="7">
        <f>IF($E2686="","",AB2686*AE2686/100)</f>
        <v/>
      </c>
      <c r="Z2686" s="7">
        <f>IF($E2686="","",AB2686-Y2686)</f>
        <v/>
      </c>
      <c r="AA2686" s="7">
        <f>IF($E2686="","",Z2686-Q2686)</f>
        <v/>
      </c>
      <c r="AB2686" s="7" t="n"/>
      <c r="AE2686">
        <f>IF($E2686="","",IF($AQ2686=1,0,IF($AP2686=1,Settings!$C$6,Settings!$C$7))*100)</f>
        <v/>
      </c>
      <c r="AI2686" s="7" t="n"/>
      <c r="AL2686" s="11" t="n"/>
      <c r="AN2686">
        <f>IF($E2686="","",IF(COUNTIF($E$2:$E2686,$E2686)=1,1,0))</f>
        <v/>
      </c>
      <c r="AO2686">
        <f>IF($AN2686=1,SUMPRODUCT(--($AR$2:$AR$3001&lt;$AR2686))+1,"")</f>
        <v/>
      </c>
      <c r="AP2686">
        <f>IF($E2686="","",IF(OR($U2686=TRUE(),$U2686="TRUE"),1,0))</f>
        <v/>
      </c>
      <c r="AQ2686">
        <f>IF($E2686="","",IF($AD2686="Yes",1,0))</f>
        <v/>
      </c>
      <c r="AR2686">
        <f>IF($AN2686=1,IFERROR(VALUE(MID($E2686,2,20)),1000000000)+ROW()/100000,"")</f>
        <v/>
      </c>
    </row>
    <row r="2687">
      <c r="G2687" s="11" t="n"/>
      <c r="Q2687" s="7">
        <f>IF($E2687="","",P2687*AB2687/100)</f>
        <v/>
      </c>
      <c r="R2687" s="7" t="n"/>
      <c r="X2687" s="7" t="n"/>
      <c r="Y2687" s="7">
        <f>IF($E2687="","",AB2687*AE2687/100)</f>
        <v/>
      </c>
      <c r="Z2687" s="7">
        <f>IF($E2687="","",AB2687-Y2687)</f>
        <v/>
      </c>
      <c r="AA2687" s="7">
        <f>IF($E2687="","",Z2687-Q2687)</f>
        <v/>
      </c>
      <c r="AB2687" s="7" t="n"/>
      <c r="AE2687">
        <f>IF($E2687="","",IF($AQ2687=1,0,IF($AP2687=1,Settings!$C$6,Settings!$C$7))*100)</f>
        <v/>
      </c>
      <c r="AI2687" s="7" t="n"/>
      <c r="AL2687" s="11" t="n"/>
      <c r="AN2687">
        <f>IF($E2687="","",IF(COUNTIF($E$2:$E2687,$E2687)=1,1,0))</f>
        <v/>
      </c>
      <c r="AO2687">
        <f>IF($AN2687=1,SUMPRODUCT(--($AR$2:$AR$3001&lt;$AR2687))+1,"")</f>
        <v/>
      </c>
      <c r="AP2687">
        <f>IF($E2687="","",IF(OR($U2687=TRUE(),$U2687="TRUE"),1,0))</f>
        <v/>
      </c>
      <c r="AQ2687">
        <f>IF($E2687="","",IF($AD2687="Yes",1,0))</f>
        <v/>
      </c>
      <c r="AR2687">
        <f>IF($AN2687=1,IFERROR(VALUE(MID($E2687,2,20)),1000000000)+ROW()/100000,"")</f>
        <v/>
      </c>
    </row>
    <row r="2688">
      <c r="G2688" s="11" t="n"/>
      <c r="Q2688" s="7">
        <f>IF($E2688="","",P2688*AB2688/100)</f>
        <v/>
      </c>
      <c r="R2688" s="7" t="n"/>
      <c r="X2688" s="7" t="n"/>
      <c r="Y2688" s="7">
        <f>IF($E2688="","",AB2688*AE2688/100)</f>
        <v/>
      </c>
      <c r="Z2688" s="7">
        <f>IF($E2688="","",AB2688-Y2688)</f>
        <v/>
      </c>
      <c r="AA2688" s="7">
        <f>IF($E2688="","",Z2688-Q2688)</f>
        <v/>
      </c>
      <c r="AB2688" s="7" t="n"/>
      <c r="AE2688">
        <f>IF($E2688="","",IF($AQ2688=1,0,IF($AP2688=1,Settings!$C$6,Settings!$C$7))*100)</f>
        <v/>
      </c>
      <c r="AI2688" s="7" t="n"/>
      <c r="AL2688" s="11" t="n"/>
      <c r="AN2688">
        <f>IF($E2688="","",IF(COUNTIF($E$2:$E2688,$E2688)=1,1,0))</f>
        <v/>
      </c>
      <c r="AO2688">
        <f>IF($AN2688=1,SUMPRODUCT(--($AR$2:$AR$3001&lt;$AR2688))+1,"")</f>
        <v/>
      </c>
      <c r="AP2688">
        <f>IF($E2688="","",IF(OR($U2688=TRUE(),$U2688="TRUE"),1,0))</f>
        <v/>
      </c>
      <c r="AQ2688">
        <f>IF($E2688="","",IF($AD2688="Yes",1,0))</f>
        <v/>
      </c>
      <c r="AR2688">
        <f>IF($AN2688=1,IFERROR(VALUE(MID($E2688,2,20)),1000000000)+ROW()/100000,"")</f>
        <v/>
      </c>
    </row>
    <row r="2689">
      <c r="G2689" s="11" t="n"/>
      <c r="Q2689" s="7">
        <f>IF($E2689="","",P2689*AB2689/100)</f>
        <v/>
      </c>
      <c r="R2689" s="7" t="n"/>
      <c r="X2689" s="7" t="n"/>
      <c r="Y2689" s="7">
        <f>IF($E2689="","",AB2689*AE2689/100)</f>
        <v/>
      </c>
      <c r="Z2689" s="7">
        <f>IF($E2689="","",AB2689-Y2689)</f>
        <v/>
      </c>
      <c r="AA2689" s="7">
        <f>IF($E2689="","",Z2689-Q2689)</f>
        <v/>
      </c>
      <c r="AB2689" s="7" t="n"/>
      <c r="AE2689">
        <f>IF($E2689="","",IF($AQ2689=1,0,IF($AP2689=1,Settings!$C$6,Settings!$C$7))*100)</f>
        <v/>
      </c>
      <c r="AI2689" s="7" t="n"/>
      <c r="AL2689" s="11" t="n"/>
      <c r="AN2689">
        <f>IF($E2689="","",IF(COUNTIF($E$2:$E2689,$E2689)=1,1,0))</f>
        <v/>
      </c>
      <c r="AO2689">
        <f>IF($AN2689=1,SUMPRODUCT(--($AR$2:$AR$3001&lt;$AR2689))+1,"")</f>
        <v/>
      </c>
      <c r="AP2689">
        <f>IF($E2689="","",IF(OR($U2689=TRUE(),$U2689="TRUE"),1,0))</f>
        <v/>
      </c>
      <c r="AQ2689">
        <f>IF($E2689="","",IF($AD2689="Yes",1,0))</f>
        <v/>
      </c>
      <c r="AR2689">
        <f>IF($AN2689=1,IFERROR(VALUE(MID($E2689,2,20)),1000000000)+ROW()/100000,"")</f>
        <v/>
      </c>
    </row>
    <row r="2690">
      <c r="G2690" s="11" t="n"/>
      <c r="Q2690" s="7">
        <f>IF($E2690="","",P2690*AB2690/100)</f>
        <v/>
      </c>
      <c r="R2690" s="7" t="n"/>
      <c r="X2690" s="7" t="n"/>
      <c r="Y2690" s="7">
        <f>IF($E2690="","",AB2690*AE2690/100)</f>
        <v/>
      </c>
      <c r="Z2690" s="7">
        <f>IF($E2690="","",AB2690-Y2690)</f>
        <v/>
      </c>
      <c r="AA2690" s="7">
        <f>IF($E2690="","",Z2690-Q2690)</f>
        <v/>
      </c>
      <c r="AB2690" s="7" t="n"/>
      <c r="AE2690">
        <f>IF($E2690="","",IF($AQ2690=1,0,IF($AP2690=1,Settings!$C$6,Settings!$C$7))*100)</f>
        <v/>
      </c>
      <c r="AI2690" s="7" t="n"/>
      <c r="AL2690" s="11" t="n"/>
      <c r="AN2690">
        <f>IF($E2690="","",IF(COUNTIF($E$2:$E2690,$E2690)=1,1,0))</f>
        <v/>
      </c>
      <c r="AO2690">
        <f>IF($AN2690=1,SUMPRODUCT(--($AR$2:$AR$3001&lt;$AR2690))+1,"")</f>
        <v/>
      </c>
      <c r="AP2690">
        <f>IF($E2690="","",IF(OR($U2690=TRUE(),$U2690="TRUE"),1,0))</f>
        <v/>
      </c>
      <c r="AQ2690">
        <f>IF($E2690="","",IF($AD2690="Yes",1,0))</f>
        <v/>
      </c>
      <c r="AR2690">
        <f>IF($AN2690=1,IFERROR(VALUE(MID($E2690,2,20)),1000000000)+ROW()/100000,"")</f>
        <v/>
      </c>
    </row>
    <row r="2691">
      <c r="G2691" s="11" t="n"/>
      <c r="Q2691" s="7">
        <f>IF($E2691="","",P2691*AB2691/100)</f>
        <v/>
      </c>
      <c r="R2691" s="7" t="n"/>
      <c r="X2691" s="7" t="n"/>
      <c r="Y2691" s="7">
        <f>IF($E2691="","",AB2691*AE2691/100)</f>
        <v/>
      </c>
      <c r="Z2691" s="7">
        <f>IF($E2691="","",AB2691-Y2691)</f>
        <v/>
      </c>
      <c r="AA2691" s="7">
        <f>IF($E2691="","",Z2691-Q2691)</f>
        <v/>
      </c>
      <c r="AB2691" s="7" t="n"/>
      <c r="AE2691">
        <f>IF($E2691="","",IF($AQ2691=1,0,IF($AP2691=1,Settings!$C$6,Settings!$C$7))*100)</f>
        <v/>
      </c>
      <c r="AI2691" s="7" t="n"/>
      <c r="AL2691" s="11" t="n"/>
      <c r="AN2691">
        <f>IF($E2691="","",IF(COUNTIF($E$2:$E2691,$E2691)=1,1,0))</f>
        <v/>
      </c>
      <c r="AO2691">
        <f>IF($AN2691=1,SUMPRODUCT(--($AR$2:$AR$3001&lt;$AR2691))+1,"")</f>
        <v/>
      </c>
      <c r="AP2691">
        <f>IF($E2691="","",IF(OR($U2691=TRUE(),$U2691="TRUE"),1,0))</f>
        <v/>
      </c>
      <c r="AQ2691">
        <f>IF($E2691="","",IF($AD2691="Yes",1,0))</f>
        <v/>
      </c>
      <c r="AR2691">
        <f>IF($AN2691=1,IFERROR(VALUE(MID($E2691,2,20)),1000000000)+ROW()/100000,"")</f>
        <v/>
      </c>
    </row>
    <row r="2692">
      <c r="G2692" s="11" t="n"/>
      <c r="Q2692" s="7">
        <f>IF($E2692="","",P2692*AB2692/100)</f>
        <v/>
      </c>
      <c r="R2692" s="7" t="n"/>
      <c r="X2692" s="7" t="n"/>
      <c r="Y2692" s="7">
        <f>IF($E2692="","",AB2692*AE2692/100)</f>
        <v/>
      </c>
      <c r="Z2692" s="7">
        <f>IF($E2692="","",AB2692-Y2692)</f>
        <v/>
      </c>
      <c r="AA2692" s="7">
        <f>IF($E2692="","",Z2692-Q2692)</f>
        <v/>
      </c>
      <c r="AB2692" s="7" t="n"/>
      <c r="AE2692">
        <f>IF($E2692="","",IF($AQ2692=1,0,IF($AP2692=1,Settings!$C$6,Settings!$C$7))*100)</f>
        <v/>
      </c>
      <c r="AI2692" s="7" t="n"/>
      <c r="AL2692" s="11" t="n"/>
      <c r="AN2692">
        <f>IF($E2692="","",IF(COUNTIF($E$2:$E2692,$E2692)=1,1,0))</f>
        <v/>
      </c>
      <c r="AO2692">
        <f>IF($AN2692=1,SUMPRODUCT(--($AR$2:$AR$3001&lt;$AR2692))+1,"")</f>
        <v/>
      </c>
      <c r="AP2692">
        <f>IF($E2692="","",IF(OR($U2692=TRUE(),$U2692="TRUE"),1,0))</f>
        <v/>
      </c>
      <c r="AQ2692">
        <f>IF($E2692="","",IF($AD2692="Yes",1,0))</f>
        <v/>
      </c>
      <c r="AR2692">
        <f>IF($AN2692=1,IFERROR(VALUE(MID($E2692,2,20)),1000000000)+ROW()/100000,"")</f>
        <v/>
      </c>
    </row>
    <row r="2693">
      <c r="G2693" s="11" t="n"/>
      <c r="Q2693" s="7">
        <f>IF($E2693="","",P2693*AB2693/100)</f>
        <v/>
      </c>
      <c r="R2693" s="7" t="n"/>
      <c r="X2693" s="7" t="n"/>
      <c r="Y2693" s="7">
        <f>IF($E2693="","",AB2693*AE2693/100)</f>
        <v/>
      </c>
      <c r="Z2693" s="7">
        <f>IF($E2693="","",AB2693-Y2693)</f>
        <v/>
      </c>
      <c r="AA2693" s="7">
        <f>IF($E2693="","",Z2693-Q2693)</f>
        <v/>
      </c>
      <c r="AB2693" s="7" t="n"/>
      <c r="AE2693">
        <f>IF($E2693="","",IF($AQ2693=1,0,IF($AP2693=1,Settings!$C$6,Settings!$C$7))*100)</f>
        <v/>
      </c>
      <c r="AI2693" s="7" t="n"/>
      <c r="AL2693" s="11" t="n"/>
      <c r="AN2693">
        <f>IF($E2693="","",IF(COUNTIF($E$2:$E2693,$E2693)=1,1,0))</f>
        <v/>
      </c>
      <c r="AO2693">
        <f>IF($AN2693=1,SUMPRODUCT(--($AR$2:$AR$3001&lt;$AR2693))+1,"")</f>
        <v/>
      </c>
      <c r="AP2693">
        <f>IF($E2693="","",IF(OR($U2693=TRUE(),$U2693="TRUE"),1,0))</f>
        <v/>
      </c>
      <c r="AQ2693">
        <f>IF($E2693="","",IF($AD2693="Yes",1,0))</f>
        <v/>
      </c>
      <c r="AR2693">
        <f>IF($AN2693=1,IFERROR(VALUE(MID($E2693,2,20)),1000000000)+ROW()/100000,"")</f>
        <v/>
      </c>
    </row>
    <row r="2694">
      <c r="G2694" s="11" t="n"/>
      <c r="Q2694" s="7">
        <f>IF($E2694="","",P2694*AB2694/100)</f>
        <v/>
      </c>
      <c r="R2694" s="7" t="n"/>
      <c r="X2694" s="7" t="n"/>
      <c r="Y2694" s="7">
        <f>IF($E2694="","",AB2694*AE2694/100)</f>
        <v/>
      </c>
      <c r="Z2694" s="7">
        <f>IF($E2694="","",AB2694-Y2694)</f>
        <v/>
      </c>
      <c r="AA2694" s="7">
        <f>IF($E2694="","",Z2694-Q2694)</f>
        <v/>
      </c>
      <c r="AB2694" s="7" t="n"/>
      <c r="AE2694">
        <f>IF($E2694="","",IF($AQ2694=1,0,IF($AP2694=1,Settings!$C$6,Settings!$C$7))*100)</f>
        <v/>
      </c>
      <c r="AI2694" s="7" t="n"/>
      <c r="AL2694" s="11" t="n"/>
      <c r="AN2694">
        <f>IF($E2694="","",IF(COUNTIF($E$2:$E2694,$E2694)=1,1,0))</f>
        <v/>
      </c>
      <c r="AO2694">
        <f>IF($AN2694=1,SUMPRODUCT(--($AR$2:$AR$3001&lt;$AR2694))+1,"")</f>
        <v/>
      </c>
      <c r="AP2694">
        <f>IF($E2694="","",IF(OR($U2694=TRUE(),$U2694="TRUE"),1,0))</f>
        <v/>
      </c>
      <c r="AQ2694">
        <f>IF($E2694="","",IF($AD2694="Yes",1,0))</f>
        <v/>
      </c>
      <c r="AR2694">
        <f>IF($AN2694=1,IFERROR(VALUE(MID($E2694,2,20)),1000000000)+ROW()/100000,"")</f>
        <v/>
      </c>
    </row>
    <row r="2695">
      <c r="G2695" s="11" t="n"/>
      <c r="Q2695" s="7">
        <f>IF($E2695="","",P2695*AB2695/100)</f>
        <v/>
      </c>
      <c r="R2695" s="7" t="n"/>
      <c r="X2695" s="7" t="n"/>
      <c r="Y2695" s="7">
        <f>IF($E2695="","",AB2695*AE2695/100)</f>
        <v/>
      </c>
      <c r="Z2695" s="7">
        <f>IF($E2695="","",AB2695-Y2695)</f>
        <v/>
      </c>
      <c r="AA2695" s="7">
        <f>IF($E2695="","",Z2695-Q2695)</f>
        <v/>
      </c>
      <c r="AB2695" s="7" t="n"/>
      <c r="AE2695">
        <f>IF($E2695="","",IF($AQ2695=1,0,IF($AP2695=1,Settings!$C$6,Settings!$C$7))*100)</f>
        <v/>
      </c>
      <c r="AI2695" s="7" t="n"/>
      <c r="AL2695" s="11" t="n"/>
      <c r="AN2695">
        <f>IF($E2695="","",IF(COUNTIF($E$2:$E2695,$E2695)=1,1,0))</f>
        <v/>
      </c>
      <c r="AO2695">
        <f>IF($AN2695=1,SUMPRODUCT(--($AR$2:$AR$3001&lt;$AR2695))+1,"")</f>
        <v/>
      </c>
      <c r="AP2695">
        <f>IF($E2695="","",IF(OR($U2695=TRUE(),$U2695="TRUE"),1,0))</f>
        <v/>
      </c>
      <c r="AQ2695">
        <f>IF($E2695="","",IF($AD2695="Yes",1,0))</f>
        <v/>
      </c>
      <c r="AR2695">
        <f>IF($AN2695=1,IFERROR(VALUE(MID($E2695,2,20)),1000000000)+ROW()/100000,"")</f>
        <v/>
      </c>
    </row>
    <row r="2696">
      <c r="G2696" s="11" t="n"/>
      <c r="Q2696" s="7">
        <f>IF($E2696="","",P2696*AB2696/100)</f>
        <v/>
      </c>
      <c r="R2696" s="7" t="n"/>
      <c r="X2696" s="7" t="n"/>
      <c r="Y2696" s="7">
        <f>IF($E2696="","",AB2696*AE2696/100)</f>
        <v/>
      </c>
      <c r="Z2696" s="7">
        <f>IF($E2696="","",AB2696-Y2696)</f>
        <v/>
      </c>
      <c r="AA2696" s="7">
        <f>IF($E2696="","",Z2696-Q2696)</f>
        <v/>
      </c>
      <c r="AB2696" s="7" t="n"/>
      <c r="AE2696">
        <f>IF($E2696="","",IF($AQ2696=1,0,IF($AP2696=1,Settings!$C$6,Settings!$C$7))*100)</f>
        <v/>
      </c>
      <c r="AI2696" s="7" t="n"/>
      <c r="AL2696" s="11" t="n"/>
      <c r="AN2696">
        <f>IF($E2696="","",IF(COUNTIF($E$2:$E2696,$E2696)=1,1,0))</f>
        <v/>
      </c>
      <c r="AO2696">
        <f>IF($AN2696=1,SUMPRODUCT(--($AR$2:$AR$3001&lt;$AR2696))+1,"")</f>
        <v/>
      </c>
      <c r="AP2696">
        <f>IF($E2696="","",IF(OR($U2696=TRUE(),$U2696="TRUE"),1,0))</f>
        <v/>
      </c>
      <c r="AQ2696">
        <f>IF($E2696="","",IF($AD2696="Yes",1,0))</f>
        <v/>
      </c>
      <c r="AR2696">
        <f>IF($AN2696=1,IFERROR(VALUE(MID($E2696,2,20)),1000000000)+ROW()/100000,"")</f>
        <v/>
      </c>
    </row>
    <row r="2697">
      <c r="G2697" s="11" t="n"/>
      <c r="Q2697" s="7">
        <f>IF($E2697="","",P2697*AB2697/100)</f>
        <v/>
      </c>
      <c r="R2697" s="7" t="n"/>
      <c r="X2697" s="7" t="n"/>
      <c r="Y2697" s="7">
        <f>IF($E2697="","",AB2697*AE2697/100)</f>
        <v/>
      </c>
      <c r="Z2697" s="7">
        <f>IF($E2697="","",AB2697-Y2697)</f>
        <v/>
      </c>
      <c r="AA2697" s="7">
        <f>IF($E2697="","",Z2697-Q2697)</f>
        <v/>
      </c>
      <c r="AB2697" s="7" t="n"/>
      <c r="AE2697">
        <f>IF($E2697="","",IF($AQ2697=1,0,IF($AP2697=1,Settings!$C$6,Settings!$C$7))*100)</f>
        <v/>
      </c>
      <c r="AI2697" s="7" t="n"/>
      <c r="AL2697" s="11" t="n"/>
      <c r="AN2697">
        <f>IF($E2697="","",IF(COUNTIF($E$2:$E2697,$E2697)=1,1,0))</f>
        <v/>
      </c>
      <c r="AO2697">
        <f>IF($AN2697=1,SUMPRODUCT(--($AR$2:$AR$3001&lt;$AR2697))+1,"")</f>
        <v/>
      </c>
      <c r="AP2697">
        <f>IF($E2697="","",IF(OR($U2697=TRUE(),$U2697="TRUE"),1,0))</f>
        <v/>
      </c>
      <c r="AQ2697">
        <f>IF($E2697="","",IF($AD2697="Yes",1,0))</f>
        <v/>
      </c>
      <c r="AR2697">
        <f>IF($AN2697=1,IFERROR(VALUE(MID($E2697,2,20)),1000000000)+ROW()/100000,"")</f>
        <v/>
      </c>
    </row>
    <row r="2698">
      <c r="G2698" s="11" t="n"/>
      <c r="Q2698" s="7">
        <f>IF($E2698="","",P2698*AB2698/100)</f>
        <v/>
      </c>
      <c r="R2698" s="7" t="n"/>
      <c r="X2698" s="7" t="n"/>
      <c r="Y2698" s="7">
        <f>IF($E2698="","",AB2698*AE2698/100)</f>
        <v/>
      </c>
      <c r="Z2698" s="7">
        <f>IF($E2698="","",AB2698-Y2698)</f>
        <v/>
      </c>
      <c r="AA2698" s="7">
        <f>IF($E2698="","",Z2698-Q2698)</f>
        <v/>
      </c>
      <c r="AB2698" s="7" t="n"/>
      <c r="AE2698">
        <f>IF($E2698="","",IF($AQ2698=1,0,IF($AP2698=1,Settings!$C$6,Settings!$C$7))*100)</f>
        <v/>
      </c>
      <c r="AI2698" s="7" t="n"/>
      <c r="AL2698" s="11" t="n"/>
      <c r="AN2698">
        <f>IF($E2698="","",IF(COUNTIF($E$2:$E2698,$E2698)=1,1,0))</f>
        <v/>
      </c>
      <c r="AO2698">
        <f>IF($AN2698=1,SUMPRODUCT(--($AR$2:$AR$3001&lt;$AR2698))+1,"")</f>
        <v/>
      </c>
      <c r="AP2698">
        <f>IF($E2698="","",IF(OR($U2698=TRUE(),$U2698="TRUE"),1,0))</f>
        <v/>
      </c>
      <c r="AQ2698">
        <f>IF($E2698="","",IF($AD2698="Yes",1,0))</f>
        <v/>
      </c>
      <c r="AR2698">
        <f>IF($AN2698=1,IFERROR(VALUE(MID($E2698,2,20)),1000000000)+ROW()/100000,"")</f>
        <v/>
      </c>
    </row>
    <row r="2699">
      <c r="G2699" s="11" t="n"/>
      <c r="Q2699" s="7">
        <f>IF($E2699="","",P2699*AB2699/100)</f>
        <v/>
      </c>
      <c r="R2699" s="7" t="n"/>
      <c r="X2699" s="7" t="n"/>
      <c r="Y2699" s="7">
        <f>IF($E2699="","",AB2699*AE2699/100)</f>
        <v/>
      </c>
      <c r="Z2699" s="7">
        <f>IF($E2699="","",AB2699-Y2699)</f>
        <v/>
      </c>
      <c r="AA2699" s="7">
        <f>IF($E2699="","",Z2699-Q2699)</f>
        <v/>
      </c>
      <c r="AB2699" s="7" t="n"/>
      <c r="AE2699">
        <f>IF($E2699="","",IF($AQ2699=1,0,IF($AP2699=1,Settings!$C$6,Settings!$C$7))*100)</f>
        <v/>
      </c>
      <c r="AI2699" s="7" t="n"/>
      <c r="AL2699" s="11" t="n"/>
      <c r="AN2699">
        <f>IF($E2699="","",IF(COUNTIF($E$2:$E2699,$E2699)=1,1,0))</f>
        <v/>
      </c>
      <c r="AO2699">
        <f>IF($AN2699=1,SUMPRODUCT(--($AR$2:$AR$3001&lt;$AR2699))+1,"")</f>
        <v/>
      </c>
      <c r="AP2699">
        <f>IF($E2699="","",IF(OR($U2699=TRUE(),$U2699="TRUE"),1,0))</f>
        <v/>
      </c>
      <c r="AQ2699">
        <f>IF($E2699="","",IF($AD2699="Yes",1,0))</f>
        <v/>
      </c>
      <c r="AR2699">
        <f>IF($AN2699=1,IFERROR(VALUE(MID($E2699,2,20)),1000000000)+ROW()/100000,"")</f>
        <v/>
      </c>
    </row>
    <row r="2700">
      <c r="G2700" s="11" t="n"/>
      <c r="Q2700" s="7">
        <f>IF($E2700="","",P2700*AB2700/100)</f>
        <v/>
      </c>
      <c r="R2700" s="7" t="n"/>
      <c r="X2700" s="7" t="n"/>
      <c r="Y2700" s="7">
        <f>IF($E2700="","",AB2700*AE2700/100)</f>
        <v/>
      </c>
      <c r="Z2700" s="7">
        <f>IF($E2700="","",AB2700-Y2700)</f>
        <v/>
      </c>
      <c r="AA2700" s="7">
        <f>IF($E2700="","",Z2700-Q2700)</f>
        <v/>
      </c>
      <c r="AB2700" s="7" t="n"/>
      <c r="AE2700">
        <f>IF($E2700="","",IF($AQ2700=1,0,IF($AP2700=1,Settings!$C$6,Settings!$C$7))*100)</f>
        <v/>
      </c>
      <c r="AI2700" s="7" t="n"/>
      <c r="AL2700" s="11" t="n"/>
      <c r="AN2700">
        <f>IF($E2700="","",IF(COUNTIF($E$2:$E2700,$E2700)=1,1,0))</f>
        <v/>
      </c>
      <c r="AO2700">
        <f>IF($AN2700=1,SUMPRODUCT(--($AR$2:$AR$3001&lt;$AR2700))+1,"")</f>
        <v/>
      </c>
      <c r="AP2700">
        <f>IF($E2700="","",IF(OR($U2700=TRUE(),$U2700="TRUE"),1,0))</f>
        <v/>
      </c>
      <c r="AQ2700">
        <f>IF($E2700="","",IF($AD2700="Yes",1,0))</f>
        <v/>
      </c>
      <c r="AR2700">
        <f>IF($AN2700=1,IFERROR(VALUE(MID($E2700,2,20)),1000000000)+ROW()/100000,"")</f>
        <v/>
      </c>
    </row>
    <row r="2701">
      <c r="G2701" s="11" t="n"/>
      <c r="Q2701" s="7">
        <f>IF($E2701="","",P2701*AB2701/100)</f>
        <v/>
      </c>
      <c r="R2701" s="7" t="n"/>
      <c r="X2701" s="7" t="n"/>
      <c r="Y2701" s="7">
        <f>IF($E2701="","",AB2701*AE2701/100)</f>
        <v/>
      </c>
      <c r="Z2701" s="7">
        <f>IF($E2701="","",AB2701-Y2701)</f>
        <v/>
      </c>
      <c r="AA2701" s="7">
        <f>IF($E2701="","",Z2701-Q2701)</f>
        <v/>
      </c>
      <c r="AB2701" s="7" t="n"/>
      <c r="AE2701">
        <f>IF($E2701="","",IF($AQ2701=1,0,IF($AP2701=1,Settings!$C$6,Settings!$C$7))*100)</f>
        <v/>
      </c>
      <c r="AI2701" s="7" t="n"/>
      <c r="AL2701" s="11" t="n"/>
      <c r="AN2701">
        <f>IF($E2701="","",IF(COUNTIF($E$2:$E2701,$E2701)=1,1,0))</f>
        <v/>
      </c>
      <c r="AO2701">
        <f>IF($AN2701=1,SUMPRODUCT(--($AR$2:$AR$3001&lt;$AR2701))+1,"")</f>
        <v/>
      </c>
      <c r="AP2701">
        <f>IF($E2701="","",IF(OR($U2701=TRUE(),$U2701="TRUE"),1,0))</f>
        <v/>
      </c>
      <c r="AQ2701">
        <f>IF($E2701="","",IF($AD2701="Yes",1,0))</f>
        <v/>
      </c>
      <c r="AR2701">
        <f>IF($AN2701=1,IFERROR(VALUE(MID($E2701,2,20)),1000000000)+ROW()/100000,"")</f>
        <v/>
      </c>
    </row>
    <row r="2702">
      <c r="G2702" s="11" t="n"/>
      <c r="Q2702" s="7">
        <f>IF($E2702="","",P2702*AB2702/100)</f>
        <v/>
      </c>
      <c r="R2702" s="7" t="n"/>
      <c r="X2702" s="7" t="n"/>
      <c r="Y2702" s="7">
        <f>IF($E2702="","",AB2702*AE2702/100)</f>
        <v/>
      </c>
      <c r="Z2702" s="7">
        <f>IF($E2702="","",AB2702-Y2702)</f>
        <v/>
      </c>
      <c r="AA2702" s="7">
        <f>IF($E2702="","",Z2702-Q2702)</f>
        <v/>
      </c>
      <c r="AB2702" s="7" t="n"/>
      <c r="AE2702">
        <f>IF($E2702="","",IF($AQ2702=1,0,IF($AP2702=1,Settings!$C$6,Settings!$C$7))*100)</f>
        <v/>
      </c>
      <c r="AI2702" s="7" t="n"/>
      <c r="AL2702" s="11" t="n"/>
      <c r="AN2702">
        <f>IF($E2702="","",IF(COUNTIF($E$2:$E2702,$E2702)=1,1,0))</f>
        <v/>
      </c>
      <c r="AO2702">
        <f>IF($AN2702=1,SUMPRODUCT(--($AR$2:$AR$3001&lt;$AR2702))+1,"")</f>
        <v/>
      </c>
      <c r="AP2702">
        <f>IF($E2702="","",IF(OR($U2702=TRUE(),$U2702="TRUE"),1,0))</f>
        <v/>
      </c>
      <c r="AQ2702">
        <f>IF($E2702="","",IF($AD2702="Yes",1,0))</f>
        <v/>
      </c>
      <c r="AR2702">
        <f>IF($AN2702=1,IFERROR(VALUE(MID($E2702,2,20)),1000000000)+ROW()/100000,"")</f>
        <v/>
      </c>
    </row>
    <row r="2703">
      <c r="G2703" s="11" t="n"/>
      <c r="Q2703" s="7">
        <f>IF($E2703="","",P2703*AB2703/100)</f>
        <v/>
      </c>
      <c r="R2703" s="7" t="n"/>
      <c r="X2703" s="7" t="n"/>
      <c r="Y2703" s="7">
        <f>IF($E2703="","",AB2703*AE2703/100)</f>
        <v/>
      </c>
      <c r="Z2703" s="7">
        <f>IF($E2703="","",AB2703-Y2703)</f>
        <v/>
      </c>
      <c r="AA2703" s="7">
        <f>IF($E2703="","",Z2703-Q2703)</f>
        <v/>
      </c>
      <c r="AB2703" s="7" t="n"/>
      <c r="AE2703">
        <f>IF($E2703="","",IF($AQ2703=1,0,IF($AP2703=1,Settings!$C$6,Settings!$C$7))*100)</f>
        <v/>
      </c>
      <c r="AI2703" s="7" t="n"/>
      <c r="AL2703" s="11" t="n"/>
      <c r="AN2703">
        <f>IF($E2703="","",IF(COUNTIF($E$2:$E2703,$E2703)=1,1,0))</f>
        <v/>
      </c>
      <c r="AO2703">
        <f>IF($AN2703=1,SUMPRODUCT(--($AR$2:$AR$3001&lt;$AR2703))+1,"")</f>
        <v/>
      </c>
      <c r="AP2703">
        <f>IF($E2703="","",IF(OR($U2703=TRUE(),$U2703="TRUE"),1,0))</f>
        <v/>
      </c>
      <c r="AQ2703">
        <f>IF($E2703="","",IF($AD2703="Yes",1,0))</f>
        <v/>
      </c>
      <c r="AR2703">
        <f>IF($AN2703=1,IFERROR(VALUE(MID($E2703,2,20)),1000000000)+ROW()/100000,"")</f>
        <v/>
      </c>
    </row>
    <row r="2704">
      <c r="G2704" s="11" t="n"/>
      <c r="Q2704" s="7">
        <f>IF($E2704="","",P2704*AB2704/100)</f>
        <v/>
      </c>
      <c r="R2704" s="7" t="n"/>
      <c r="X2704" s="7" t="n"/>
      <c r="Y2704" s="7">
        <f>IF($E2704="","",AB2704*AE2704/100)</f>
        <v/>
      </c>
      <c r="Z2704" s="7">
        <f>IF($E2704="","",AB2704-Y2704)</f>
        <v/>
      </c>
      <c r="AA2704" s="7">
        <f>IF($E2704="","",Z2704-Q2704)</f>
        <v/>
      </c>
      <c r="AB2704" s="7" t="n"/>
      <c r="AE2704">
        <f>IF($E2704="","",IF($AQ2704=1,0,IF($AP2704=1,Settings!$C$6,Settings!$C$7))*100)</f>
        <v/>
      </c>
      <c r="AI2704" s="7" t="n"/>
      <c r="AL2704" s="11" t="n"/>
      <c r="AN2704">
        <f>IF($E2704="","",IF(COUNTIF($E$2:$E2704,$E2704)=1,1,0))</f>
        <v/>
      </c>
      <c r="AO2704">
        <f>IF($AN2704=1,SUMPRODUCT(--($AR$2:$AR$3001&lt;$AR2704))+1,"")</f>
        <v/>
      </c>
      <c r="AP2704">
        <f>IF($E2704="","",IF(OR($U2704=TRUE(),$U2704="TRUE"),1,0))</f>
        <v/>
      </c>
      <c r="AQ2704">
        <f>IF($E2704="","",IF($AD2704="Yes",1,0))</f>
        <v/>
      </c>
      <c r="AR2704">
        <f>IF($AN2704=1,IFERROR(VALUE(MID($E2704,2,20)),1000000000)+ROW()/100000,"")</f>
        <v/>
      </c>
    </row>
    <row r="2705">
      <c r="G2705" s="11" t="n"/>
      <c r="Q2705" s="7">
        <f>IF($E2705="","",P2705*AB2705/100)</f>
        <v/>
      </c>
      <c r="R2705" s="7" t="n"/>
      <c r="X2705" s="7" t="n"/>
      <c r="Y2705" s="7">
        <f>IF($E2705="","",AB2705*AE2705/100)</f>
        <v/>
      </c>
      <c r="Z2705" s="7">
        <f>IF($E2705="","",AB2705-Y2705)</f>
        <v/>
      </c>
      <c r="AA2705" s="7">
        <f>IF($E2705="","",Z2705-Q2705)</f>
        <v/>
      </c>
      <c r="AB2705" s="7" t="n"/>
      <c r="AE2705">
        <f>IF($E2705="","",IF($AQ2705=1,0,IF($AP2705=1,Settings!$C$6,Settings!$C$7))*100)</f>
        <v/>
      </c>
      <c r="AI2705" s="7" t="n"/>
      <c r="AL2705" s="11" t="n"/>
      <c r="AN2705">
        <f>IF($E2705="","",IF(COUNTIF($E$2:$E2705,$E2705)=1,1,0))</f>
        <v/>
      </c>
      <c r="AO2705">
        <f>IF($AN2705=1,SUMPRODUCT(--($AR$2:$AR$3001&lt;$AR2705))+1,"")</f>
        <v/>
      </c>
      <c r="AP2705">
        <f>IF($E2705="","",IF(OR($U2705=TRUE(),$U2705="TRUE"),1,0))</f>
        <v/>
      </c>
      <c r="AQ2705">
        <f>IF($E2705="","",IF($AD2705="Yes",1,0))</f>
        <v/>
      </c>
      <c r="AR2705">
        <f>IF($AN2705=1,IFERROR(VALUE(MID($E2705,2,20)),1000000000)+ROW()/100000,"")</f>
        <v/>
      </c>
    </row>
    <row r="2706">
      <c r="G2706" s="11" t="n"/>
      <c r="Q2706" s="7">
        <f>IF($E2706="","",P2706*AB2706/100)</f>
        <v/>
      </c>
      <c r="R2706" s="7" t="n"/>
      <c r="X2706" s="7" t="n"/>
      <c r="Y2706" s="7">
        <f>IF($E2706="","",AB2706*AE2706/100)</f>
        <v/>
      </c>
      <c r="Z2706" s="7">
        <f>IF($E2706="","",AB2706-Y2706)</f>
        <v/>
      </c>
      <c r="AA2706" s="7">
        <f>IF($E2706="","",Z2706-Q2706)</f>
        <v/>
      </c>
      <c r="AB2706" s="7" t="n"/>
      <c r="AE2706">
        <f>IF($E2706="","",IF($AQ2706=1,0,IF($AP2706=1,Settings!$C$6,Settings!$C$7))*100)</f>
        <v/>
      </c>
      <c r="AI2706" s="7" t="n"/>
      <c r="AL2706" s="11" t="n"/>
      <c r="AN2706">
        <f>IF($E2706="","",IF(COUNTIF($E$2:$E2706,$E2706)=1,1,0))</f>
        <v/>
      </c>
      <c r="AO2706">
        <f>IF($AN2706=1,SUMPRODUCT(--($AR$2:$AR$3001&lt;$AR2706))+1,"")</f>
        <v/>
      </c>
      <c r="AP2706">
        <f>IF($E2706="","",IF(OR($U2706=TRUE(),$U2706="TRUE"),1,0))</f>
        <v/>
      </c>
      <c r="AQ2706">
        <f>IF($E2706="","",IF($AD2706="Yes",1,0))</f>
        <v/>
      </c>
      <c r="AR2706">
        <f>IF($AN2706=1,IFERROR(VALUE(MID($E2706,2,20)),1000000000)+ROW()/100000,"")</f>
        <v/>
      </c>
    </row>
    <row r="2707">
      <c r="G2707" s="11" t="n"/>
      <c r="Q2707" s="7">
        <f>IF($E2707="","",P2707*AB2707/100)</f>
        <v/>
      </c>
      <c r="R2707" s="7" t="n"/>
      <c r="X2707" s="7" t="n"/>
      <c r="Y2707" s="7">
        <f>IF($E2707="","",AB2707*AE2707/100)</f>
        <v/>
      </c>
      <c r="Z2707" s="7">
        <f>IF($E2707="","",AB2707-Y2707)</f>
        <v/>
      </c>
      <c r="AA2707" s="7">
        <f>IF($E2707="","",Z2707-Q2707)</f>
        <v/>
      </c>
      <c r="AB2707" s="7" t="n"/>
      <c r="AE2707">
        <f>IF($E2707="","",IF($AQ2707=1,0,IF($AP2707=1,Settings!$C$6,Settings!$C$7))*100)</f>
        <v/>
      </c>
      <c r="AI2707" s="7" t="n"/>
      <c r="AL2707" s="11" t="n"/>
      <c r="AN2707">
        <f>IF($E2707="","",IF(COUNTIF($E$2:$E2707,$E2707)=1,1,0))</f>
        <v/>
      </c>
      <c r="AO2707">
        <f>IF($AN2707=1,SUMPRODUCT(--($AR$2:$AR$3001&lt;$AR2707))+1,"")</f>
        <v/>
      </c>
      <c r="AP2707">
        <f>IF($E2707="","",IF(OR($U2707=TRUE(),$U2707="TRUE"),1,0))</f>
        <v/>
      </c>
      <c r="AQ2707">
        <f>IF($E2707="","",IF($AD2707="Yes",1,0))</f>
        <v/>
      </c>
      <c r="AR2707">
        <f>IF($AN2707=1,IFERROR(VALUE(MID($E2707,2,20)),1000000000)+ROW()/100000,"")</f>
        <v/>
      </c>
    </row>
    <row r="2708">
      <c r="G2708" s="11" t="n"/>
      <c r="Q2708" s="7">
        <f>IF($E2708="","",P2708*AB2708/100)</f>
        <v/>
      </c>
      <c r="R2708" s="7" t="n"/>
      <c r="X2708" s="7" t="n"/>
      <c r="Y2708" s="7">
        <f>IF($E2708="","",AB2708*AE2708/100)</f>
        <v/>
      </c>
      <c r="Z2708" s="7">
        <f>IF($E2708="","",AB2708-Y2708)</f>
        <v/>
      </c>
      <c r="AA2708" s="7">
        <f>IF($E2708="","",Z2708-Q2708)</f>
        <v/>
      </c>
      <c r="AB2708" s="7" t="n"/>
      <c r="AE2708">
        <f>IF($E2708="","",IF($AQ2708=1,0,IF($AP2708=1,Settings!$C$6,Settings!$C$7))*100)</f>
        <v/>
      </c>
      <c r="AI2708" s="7" t="n"/>
      <c r="AL2708" s="11" t="n"/>
      <c r="AN2708">
        <f>IF($E2708="","",IF(COUNTIF($E$2:$E2708,$E2708)=1,1,0))</f>
        <v/>
      </c>
      <c r="AO2708">
        <f>IF($AN2708=1,SUMPRODUCT(--($AR$2:$AR$3001&lt;$AR2708))+1,"")</f>
        <v/>
      </c>
      <c r="AP2708">
        <f>IF($E2708="","",IF(OR($U2708=TRUE(),$U2708="TRUE"),1,0))</f>
        <v/>
      </c>
      <c r="AQ2708">
        <f>IF($E2708="","",IF($AD2708="Yes",1,0))</f>
        <v/>
      </c>
      <c r="AR2708">
        <f>IF($AN2708=1,IFERROR(VALUE(MID($E2708,2,20)),1000000000)+ROW()/100000,"")</f>
        <v/>
      </c>
    </row>
    <row r="2709">
      <c r="G2709" s="11" t="n"/>
      <c r="Q2709" s="7">
        <f>IF($E2709="","",P2709*AB2709/100)</f>
        <v/>
      </c>
      <c r="R2709" s="7" t="n"/>
      <c r="X2709" s="7" t="n"/>
      <c r="Y2709" s="7">
        <f>IF($E2709="","",AB2709*AE2709/100)</f>
        <v/>
      </c>
      <c r="Z2709" s="7">
        <f>IF($E2709="","",AB2709-Y2709)</f>
        <v/>
      </c>
      <c r="AA2709" s="7">
        <f>IF($E2709="","",Z2709-Q2709)</f>
        <v/>
      </c>
      <c r="AB2709" s="7" t="n"/>
      <c r="AE2709">
        <f>IF($E2709="","",IF($AQ2709=1,0,IF($AP2709=1,Settings!$C$6,Settings!$C$7))*100)</f>
        <v/>
      </c>
      <c r="AI2709" s="7" t="n"/>
      <c r="AL2709" s="11" t="n"/>
      <c r="AN2709">
        <f>IF($E2709="","",IF(COUNTIF($E$2:$E2709,$E2709)=1,1,0))</f>
        <v/>
      </c>
      <c r="AO2709">
        <f>IF($AN2709=1,SUMPRODUCT(--($AR$2:$AR$3001&lt;$AR2709))+1,"")</f>
        <v/>
      </c>
      <c r="AP2709">
        <f>IF($E2709="","",IF(OR($U2709=TRUE(),$U2709="TRUE"),1,0))</f>
        <v/>
      </c>
      <c r="AQ2709">
        <f>IF($E2709="","",IF($AD2709="Yes",1,0))</f>
        <v/>
      </c>
      <c r="AR2709">
        <f>IF($AN2709=1,IFERROR(VALUE(MID($E2709,2,20)),1000000000)+ROW()/100000,"")</f>
        <v/>
      </c>
    </row>
    <row r="2710">
      <c r="G2710" s="11" t="n"/>
      <c r="Q2710" s="7">
        <f>IF($E2710="","",P2710*AB2710/100)</f>
        <v/>
      </c>
      <c r="R2710" s="7" t="n"/>
      <c r="X2710" s="7" t="n"/>
      <c r="Y2710" s="7">
        <f>IF($E2710="","",AB2710*AE2710/100)</f>
        <v/>
      </c>
      <c r="Z2710" s="7">
        <f>IF($E2710="","",AB2710-Y2710)</f>
        <v/>
      </c>
      <c r="AA2710" s="7">
        <f>IF($E2710="","",Z2710-Q2710)</f>
        <v/>
      </c>
      <c r="AB2710" s="7" t="n"/>
      <c r="AE2710">
        <f>IF($E2710="","",IF($AQ2710=1,0,IF($AP2710=1,Settings!$C$6,Settings!$C$7))*100)</f>
        <v/>
      </c>
      <c r="AI2710" s="7" t="n"/>
      <c r="AL2710" s="11" t="n"/>
      <c r="AN2710">
        <f>IF($E2710="","",IF(COUNTIF($E$2:$E2710,$E2710)=1,1,0))</f>
        <v/>
      </c>
      <c r="AO2710">
        <f>IF($AN2710=1,SUMPRODUCT(--($AR$2:$AR$3001&lt;$AR2710))+1,"")</f>
        <v/>
      </c>
      <c r="AP2710">
        <f>IF($E2710="","",IF(OR($U2710=TRUE(),$U2710="TRUE"),1,0))</f>
        <v/>
      </c>
      <c r="AQ2710">
        <f>IF($E2710="","",IF($AD2710="Yes",1,0))</f>
        <v/>
      </c>
      <c r="AR2710">
        <f>IF($AN2710=1,IFERROR(VALUE(MID($E2710,2,20)),1000000000)+ROW()/100000,"")</f>
        <v/>
      </c>
    </row>
    <row r="2711">
      <c r="G2711" s="11" t="n"/>
      <c r="Q2711" s="7">
        <f>IF($E2711="","",P2711*AB2711/100)</f>
        <v/>
      </c>
      <c r="R2711" s="7" t="n"/>
      <c r="X2711" s="7" t="n"/>
      <c r="Y2711" s="7">
        <f>IF($E2711="","",AB2711*AE2711/100)</f>
        <v/>
      </c>
      <c r="Z2711" s="7">
        <f>IF($E2711="","",AB2711-Y2711)</f>
        <v/>
      </c>
      <c r="AA2711" s="7">
        <f>IF($E2711="","",Z2711-Q2711)</f>
        <v/>
      </c>
      <c r="AB2711" s="7" t="n"/>
      <c r="AE2711">
        <f>IF($E2711="","",IF($AQ2711=1,0,IF($AP2711=1,Settings!$C$6,Settings!$C$7))*100)</f>
        <v/>
      </c>
      <c r="AI2711" s="7" t="n"/>
      <c r="AL2711" s="11" t="n"/>
      <c r="AN2711">
        <f>IF($E2711="","",IF(COUNTIF($E$2:$E2711,$E2711)=1,1,0))</f>
        <v/>
      </c>
      <c r="AO2711">
        <f>IF($AN2711=1,SUMPRODUCT(--($AR$2:$AR$3001&lt;$AR2711))+1,"")</f>
        <v/>
      </c>
      <c r="AP2711">
        <f>IF($E2711="","",IF(OR($U2711=TRUE(),$U2711="TRUE"),1,0))</f>
        <v/>
      </c>
      <c r="AQ2711">
        <f>IF($E2711="","",IF($AD2711="Yes",1,0))</f>
        <v/>
      </c>
      <c r="AR2711">
        <f>IF($AN2711=1,IFERROR(VALUE(MID($E2711,2,20)),1000000000)+ROW()/100000,"")</f>
        <v/>
      </c>
    </row>
    <row r="2712">
      <c r="G2712" s="11" t="n"/>
      <c r="Q2712" s="7">
        <f>IF($E2712="","",P2712*AB2712/100)</f>
        <v/>
      </c>
      <c r="R2712" s="7" t="n"/>
      <c r="X2712" s="7" t="n"/>
      <c r="Y2712" s="7">
        <f>IF($E2712="","",AB2712*AE2712/100)</f>
        <v/>
      </c>
      <c r="Z2712" s="7">
        <f>IF($E2712="","",AB2712-Y2712)</f>
        <v/>
      </c>
      <c r="AA2712" s="7">
        <f>IF($E2712="","",Z2712-Q2712)</f>
        <v/>
      </c>
      <c r="AB2712" s="7" t="n"/>
      <c r="AE2712">
        <f>IF($E2712="","",IF($AQ2712=1,0,IF($AP2712=1,Settings!$C$6,Settings!$C$7))*100)</f>
        <v/>
      </c>
      <c r="AI2712" s="7" t="n"/>
      <c r="AL2712" s="11" t="n"/>
      <c r="AN2712">
        <f>IF($E2712="","",IF(COUNTIF($E$2:$E2712,$E2712)=1,1,0))</f>
        <v/>
      </c>
      <c r="AO2712">
        <f>IF($AN2712=1,SUMPRODUCT(--($AR$2:$AR$3001&lt;$AR2712))+1,"")</f>
        <v/>
      </c>
      <c r="AP2712">
        <f>IF($E2712="","",IF(OR($U2712=TRUE(),$U2712="TRUE"),1,0))</f>
        <v/>
      </c>
      <c r="AQ2712">
        <f>IF($E2712="","",IF($AD2712="Yes",1,0))</f>
        <v/>
      </c>
      <c r="AR2712">
        <f>IF($AN2712=1,IFERROR(VALUE(MID($E2712,2,20)),1000000000)+ROW()/100000,"")</f>
        <v/>
      </c>
    </row>
    <row r="2713">
      <c r="G2713" s="11" t="n"/>
      <c r="Q2713" s="7">
        <f>IF($E2713="","",P2713*AB2713/100)</f>
        <v/>
      </c>
      <c r="R2713" s="7" t="n"/>
      <c r="X2713" s="7" t="n"/>
      <c r="Y2713" s="7">
        <f>IF($E2713="","",AB2713*AE2713/100)</f>
        <v/>
      </c>
      <c r="Z2713" s="7">
        <f>IF($E2713="","",AB2713-Y2713)</f>
        <v/>
      </c>
      <c r="AA2713" s="7">
        <f>IF($E2713="","",Z2713-Q2713)</f>
        <v/>
      </c>
      <c r="AB2713" s="7" t="n"/>
      <c r="AE2713">
        <f>IF($E2713="","",IF($AQ2713=1,0,IF($AP2713=1,Settings!$C$6,Settings!$C$7))*100)</f>
        <v/>
      </c>
      <c r="AI2713" s="7" t="n"/>
      <c r="AL2713" s="11" t="n"/>
      <c r="AN2713">
        <f>IF($E2713="","",IF(COUNTIF($E$2:$E2713,$E2713)=1,1,0))</f>
        <v/>
      </c>
      <c r="AO2713">
        <f>IF($AN2713=1,SUMPRODUCT(--($AR$2:$AR$3001&lt;$AR2713))+1,"")</f>
        <v/>
      </c>
      <c r="AP2713">
        <f>IF($E2713="","",IF(OR($U2713=TRUE(),$U2713="TRUE"),1,0))</f>
        <v/>
      </c>
      <c r="AQ2713">
        <f>IF($E2713="","",IF($AD2713="Yes",1,0))</f>
        <v/>
      </c>
      <c r="AR2713">
        <f>IF($AN2713=1,IFERROR(VALUE(MID($E2713,2,20)),1000000000)+ROW()/100000,"")</f>
        <v/>
      </c>
    </row>
    <row r="2714">
      <c r="G2714" s="11" t="n"/>
      <c r="Q2714" s="7">
        <f>IF($E2714="","",P2714*AB2714/100)</f>
        <v/>
      </c>
      <c r="R2714" s="7" t="n"/>
      <c r="X2714" s="7" t="n"/>
      <c r="Y2714" s="7">
        <f>IF($E2714="","",AB2714*AE2714/100)</f>
        <v/>
      </c>
      <c r="Z2714" s="7">
        <f>IF($E2714="","",AB2714-Y2714)</f>
        <v/>
      </c>
      <c r="AA2714" s="7">
        <f>IF($E2714="","",Z2714-Q2714)</f>
        <v/>
      </c>
      <c r="AB2714" s="7" t="n"/>
      <c r="AE2714">
        <f>IF($E2714="","",IF($AQ2714=1,0,IF($AP2714=1,Settings!$C$6,Settings!$C$7))*100)</f>
        <v/>
      </c>
      <c r="AI2714" s="7" t="n"/>
      <c r="AL2714" s="11" t="n"/>
      <c r="AN2714">
        <f>IF($E2714="","",IF(COUNTIF($E$2:$E2714,$E2714)=1,1,0))</f>
        <v/>
      </c>
      <c r="AO2714">
        <f>IF($AN2714=1,SUMPRODUCT(--($AR$2:$AR$3001&lt;$AR2714))+1,"")</f>
        <v/>
      </c>
      <c r="AP2714">
        <f>IF($E2714="","",IF(OR($U2714=TRUE(),$U2714="TRUE"),1,0))</f>
        <v/>
      </c>
      <c r="AQ2714">
        <f>IF($E2714="","",IF($AD2714="Yes",1,0))</f>
        <v/>
      </c>
      <c r="AR2714">
        <f>IF($AN2714=1,IFERROR(VALUE(MID($E2714,2,20)),1000000000)+ROW()/100000,"")</f>
        <v/>
      </c>
    </row>
    <row r="2715">
      <c r="G2715" s="11" t="n"/>
      <c r="Q2715" s="7">
        <f>IF($E2715="","",P2715*AB2715/100)</f>
        <v/>
      </c>
      <c r="R2715" s="7" t="n"/>
      <c r="X2715" s="7" t="n"/>
      <c r="Y2715" s="7">
        <f>IF($E2715="","",AB2715*AE2715/100)</f>
        <v/>
      </c>
      <c r="Z2715" s="7">
        <f>IF($E2715="","",AB2715-Y2715)</f>
        <v/>
      </c>
      <c r="AA2715" s="7">
        <f>IF($E2715="","",Z2715-Q2715)</f>
        <v/>
      </c>
      <c r="AB2715" s="7" t="n"/>
      <c r="AE2715">
        <f>IF($E2715="","",IF($AQ2715=1,0,IF($AP2715=1,Settings!$C$6,Settings!$C$7))*100)</f>
        <v/>
      </c>
      <c r="AI2715" s="7" t="n"/>
      <c r="AL2715" s="11" t="n"/>
      <c r="AN2715">
        <f>IF($E2715="","",IF(COUNTIF($E$2:$E2715,$E2715)=1,1,0))</f>
        <v/>
      </c>
      <c r="AO2715">
        <f>IF($AN2715=1,SUMPRODUCT(--($AR$2:$AR$3001&lt;$AR2715))+1,"")</f>
        <v/>
      </c>
      <c r="AP2715">
        <f>IF($E2715="","",IF(OR($U2715=TRUE(),$U2715="TRUE"),1,0))</f>
        <v/>
      </c>
      <c r="AQ2715">
        <f>IF($E2715="","",IF($AD2715="Yes",1,0))</f>
        <v/>
      </c>
      <c r="AR2715">
        <f>IF($AN2715=1,IFERROR(VALUE(MID($E2715,2,20)),1000000000)+ROW()/100000,"")</f>
        <v/>
      </c>
    </row>
    <row r="2716">
      <c r="G2716" s="11" t="n"/>
      <c r="Q2716" s="7">
        <f>IF($E2716="","",P2716*AB2716/100)</f>
        <v/>
      </c>
      <c r="R2716" s="7" t="n"/>
      <c r="X2716" s="7" t="n"/>
      <c r="Y2716" s="7">
        <f>IF($E2716="","",AB2716*AE2716/100)</f>
        <v/>
      </c>
      <c r="Z2716" s="7">
        <f>IF($E2716="","",AB2716-Y2716)</f>
        <v/>
      </c>
      <c r="AA2716" s="7">
        <f>IF($E2716="","",Z2716-Q2716)</f>
        <v/>
      </c>
      <c r="AB2716" s="7" t="n"/>
      <c r="AE2716">
        <f>IF($E2716="","",IF($AQ2716=1,0,IF($AP2716=1,Settings!$C$6,Settings!$C$7))*100)</f>
        <v/>
      </c>
      <c r="AI2716" s="7" t="n"/>
      <c r="AL2716" s="11" t="n"/>
      <c r="AN2716">
        <f>IF($E2716="","",IF(COUNTIF($E$2:$E2716,$E2716)=1,1,0))</f>
        <v/>
      </c>
      <c r="AO2716">
        <f>IF($AN2716=1,SUMPRODUCT(--($AR$2:$AR$3001&lt;$AR2716))+1,"")</f>
        <v/>
      </c>
      <c r="AP2716">
        <f>IF($E2716="","",IF(OR($U2716=TRUE(),$U2716="TRUE"),1,0))</f>
        <v/>
      </c>
      <c r="AQ2716">
        <f>IF($E2716="","",IF($AD2716="Yes",1,0))</f>
        <v/>
      </c>
      <c r="AR2716">
        <f>IF($AN2716=1,IFERROR(VALUE(MID($E2716,2,20)),1000000000)+ROW()/100000,"")</f>
        <v/>
      </c>
    </row>
    <row r="2717">
      <c r="G2717" s="11" t="n"/>
      <c r="Q2717" s="7">
        <f>IF($E2717="","",P2717*AB2717/100)</f>
        <v/>
      </c>
      <c r="R2717" s="7" t="n"/>
      <c r="X2717" s="7" t="n"/>
      <c r="Y2717" s="7">
        <f>IF($E2717="","",AB2717*AE2717/100)</f>
        <v/>
      </c>
      <c r="Z2717" s="7">
        <f>IF($E2717="","",AB2717-Y2717)</f>
        <v/>
      </c>
      <c r="AA2717" s="7">
        <f>IF($E2717="","",Z2717-Q2717)</f>
        <v/>
      </c>
      <c r="AB2717" s="7" t="n"/>
      <c r="AE2717">
        <f>IF($E2717="","",IF($AQ2717=1,0,IF($AP2717=1,Settings!$C$6,Settings!$C$7))*100)</f>
        <v/>
      </c>
      <c r="AI2717" s="7" t="n"/>
      <c r="AL2717" s="11" t="n"/>
      <c r="AN2717">
        <f>IF($E2717="","",IF(COUNTIF($E$2:$E2717,$E2717)=1,1,0))</f>
        <v/>
      </c>
      <c r="AO2717">
        <f>IF($AN2717=1,SUMPRODUCT(--($AR$2:$AR$3001&lt;$AR2717))+1,"")</f>
        <v/>
      </c>
      <c r="AP2717">
        <f>IF($E2717="","",IF(OR($U2717=TRUE(),$U2717="TRUE"),1,0))</f>
        <v/>
      </c>
      <c r="AQ2717">
        <f>IF($E2717="","",IF($AD2717="Yes",1,0))</f>
        <v/>
      </c>
      <c r="AR2717">
        <f>IF($AN2717=1,IFERROR(VALUE(MID($E2717,2,20)),1000000000)+ROW()/100000,"")</f>
        <v/>
      </c>
    </row>
    <row r="2718">
      <c r="G2718" s="11" t="n"/>
      <c r="Q2718" s="7">
        <f>IF($E2718="","",P2718*AB2718/100)</f>
        <v/>
      </c>
      <c r="R2718" s="7" t="n"/>
      <c r="X2718" s="7" t="n"/>
      <c r="Y2718" s="7">
        <f>IF($E2718="","",AB2718*AE2718/100)</f>
        <v/>
      </c>
      <c r="Z2718" s="7">
        <f>IF($E2718="","",AB2718-Y2718)</f>
        <v/>
      </c>
      <c r="AA2718" s="7">
        <f>IF($E2718="","",Z2718-Q2718)</f>
        <v/>
      </c>
      <c r="AB2718" s="7" t="n"/>
      <c r="AE2718">
        <f>IF($E2718="","",IF($AQ2718=1,0,IF($AP2718=1,Settings!$C$6,Settings!$C$7))*100)</f>
        <v/>
      </c>
      <c r="AI2718" s="7" t="n"/>
      <c r="AL2718" s="11" t="n"/>
      <c r="AN2718">
        <f>IF($E2718="","",IF(COUNTIF($E$2:$E2718,$E2718)=1,1,0))</f>
        <v/>
      </c>
      <c r="AO2718">
        <f>IF($AN2718=1,SUMPRODUCT(--($AR$2:$AR$3001&lt;$AR2718))+1,"")</f>
        <v/>
      </c>
      <c r="AP2718">
        <f>IF($E2718="","",IF(OR($U2718=TRUE(),$U2718="TRUE"),1,0))</f>
        <v/>
      </c>
      <c r="AQ2718">
        <f>IF($E2718="","",IF($AD2718="Yes",1,0))</f>
        <v/>
      </c>
      <c r="AR2718">
        <f>IF($AN2718=1,IFERROR(VALUE(MID($E2718,2,20)),1000000000)+ROW()/100000,"")</f>
        <v/>
      </c>
    </row>
    <row r="2719">
      <c r="G2719" s="11" t="n"/>
      <c r="Q2719" s="7">
        <f>IF($E2719="","",P2719*AB2719/100)</f>
        <v/>
      </c>
      <c r="R2719" s="7" t="n"/>
      <c r="X2719" s="7" t="n"/>
      <c r="Y2719" s="7">
        <f>IF($E2719="","",AB2719*AE2719/100)</f>
        <v/>
      </c>
      <c r="Z2719" s="7">
        <f>IF($E2719="","",AB2719-Y2719)</f>
        <v/>
      </c>
      <c r="AA2719" s="7">
        <f>IF($E2719="","",Z2719-Q2719)</f>
        <v/>
      </c>
      <c r="AB2719" s="7" t="n"/>
      <c r="AE2719">
        <f>IF($E2719="","",IF($AQ2719=1,0,IF($AP2719=1,Settings!$C$6,Settings!$C$7))*100)</f>
        <v/>
      </c>
      <c r="AI2719" s="7" t="n"/>
      <c r="AL2719" s="11" t="n"/>
      <c r="AN2719">
        <f>IF($E2719="","",IF(COUNTIF($E$2:$E2719,$E2719)=1,1,0))</f>
        <v/>
      </c>
      <c r="AO2719">
        <f>IF($AN2719=1,SUMPRODUCT(--($AR$2:$AR$3001&lt;$AR2719))+1,"")</f>
        <v/>
      </c>
      <c r="AP2719">
        <f>IF($E2719="","",IF(OR($U2719=TRUE(),$U2719="TRUE"),1,0))</f>
        <v/>
      </c>
      <c r="AQ2719">
        <f>IF($E2719="","",IF($AD2719="Yes",1,0))</f>
        <v/>
      </c>
      <c r="AR2719">
        <f>IF($AN2719=1,IFERROR(VALUE(MID($E2719,2,20)),1000000000)+ROW()/100000,"")</f>
        <v/>
      </c>
    </row>
    <row r="2720">
      <c r="G2720" s="11" t="n"/>
      <c r="Q2720" s="7">
        <f>IF($E2720="","",P2720*AB2720/100)</f>
        <v/>
      </c>
      <c r="R2720" s="7" t="n"/>
      <c r="X2720" s="7" t="n"/>
      <c r="Y2720" s="7">
        <f>IF($E2720="","",AB2720*AE2720/100)</f>
        <v/>
      </c>
      <c r="Z2720" s="7">
        <f>IF($E2720="","",AB2720-Y2720)</f>
        <v/>
      </c>
      <c r="AA2720" s="7">
        <f>IF($E2720="","",Z2720-Q2720)</f>
        <v/>
      </c>
      <c r="AB2720" s="7" t="n"/>
      <c r="AE2720">
        <f>IF($E2720="","",IF($AQ2720=1,0,IF($AP2720=1,Settings!$C$6,Settings!$C$7))*100)</f>
        <v/>
      </c>
      <c r="AI2720" s="7" t="n"/>
      <c r="AL2720" s="11" t="n"/>
      <c r="AN2720">
        <f>IF($E2720="","",IF(COUNTIF($E$2:$E2720,$E2720)=1,1,0))</f>
        <v/>
      </c>
      <c r="AO2720">
        <f>IF($AN2720=1,SUMPRODUCT(--($AR$2:$AR$3001&lt;$AR2720))+1,"")</f>
        <v/>
      </c>
      <c r="AP2720">
        <f>IF($E2720="","",IF(OR($U2720=TRUE(),$U2720="TRUE"),1,0))</f>
        <v/>
      </c>
      <c r="AQ2720">
        <f>IF($E2720="","",IF($AD2720="Yes",1,0))</f>
        <v/>
      </c>
      <c r="AR2720">
        <f>IF($AN2720=1,IFERROR(VALUE(MID($E2720,2,20)),1000000000)+ROW()/100000,"")</f>
        <v/>
      </c>
    </row>
    <row r="2721">
      <c r="G2721" s="11" t="n"/>
      <c r="Q2721" s="7">
        <f>IF($E2721="","",P2721*AB2721/100)</f>
        <v/>
      </c>
      <c r="R2721" s="7" t="n"/>
      <c r="X2721" s="7" t="n"/>
      <c r="Y2721" s="7">
        <f>IF($E2721="","",AB2721*AE2721/100)</f>
        <v/>
      </c>
      <c r="Z2721" s="7">
        <f>IF($E2721="","",AB2721-Y2721)</f>
        <v/>
      </c>
      <c r="AA2721" s="7">
        <f>IF($E2721="","",Z2721-Q2721)</f>
        <v/>
      </c>
      <c r="AB2721" s="7" t="n"/>
      <c r="AE2721">
        <f>IF($E2721="","",IF($AQ2721=1,0,IF($AP2721=1,Settings!$C$6,Settings!$C$7))*100)</f>
        <v/>
      </c>
      <c r="AI2721" s="7" t="n"/>
      <c r="AL2721" s="11" t="n"/>
      <c r="AN2721">
        <f>IF($E2721="","",IF(COUNTIF($E$2:$E2721,$E2721)=1,1,0))</f>
        <v/>
      </c>
      <c r="AO2721">
        <f>IF($AN2721=1,SUMPRODUCT(--($AR$2:$AR$3001&lt;$AR2721))+1,"")</f>
        <v/>
      </c>
      <c r="AP2721">
        <f>IF($E2721="","",IF(OR($U2721=TRUE(),$U2721="TRUE"),1,0))</f>
        <v/>
      </c>
      <c r="AQ2721">
        <f>IF($E2721="","",IF($AD2721="Yes",1,0))</f>
        <v/>
      </c>
      <c r="AR2721">
        <f>IF($AN2721=1,IFERROR(VALUE(MID($E2721,2,20)),1000000000)+ROW()/100000,"")</f>
        <v/>
      </c>
    </row>
    <row r="2722">
      <c r="G2722" s="11" t="n"/>
      <c r="Q2722" s="7">
        <f>IF($E2722="","",P2722*AB2722/100)</f>
        <v/>
      </c>
      <c r="R2722" s="7" t="n"/>
      <c r="X2722" s="7" t="n"/>
      <c r="Y2722" s="7">
        <f>IF($E2722="","",AB2722*AE2722/100)</f>
        <v/>
      </c>
      <c r="Z2722" s="7">
        <f>IF($E2722="","",AB2722-Y2722)</f>
        <v/>
      </c>
      <c r="AA2722" s="7">
        <f>IF($E2722="","",Z2722-Q2722)</f>
        <v/>
      </c>
      <c r="AB2722" s="7" t="n"/>
      <c r="AE2722">
        <f>IF($E2722="","",IF($AQ2722=1,0,IF($AP2722=1,Settings!$C$6,Settings!$C$7))*100)</f>
        <v/>
      </c>
      <c r="AI2722" s="7" t="n"/>
      <c r="AL2722" s="11" t="n"/>
      <c r="AN2722">
        <f>IF($E2722="","",IF(COUNTIF($E$2:$E2722,$E2722)=1,1,0))</f>
        <v/>
      </c>
      <c r="AO2722">
        <f>IF($AN2722=1,SUMPRODUCT(--($AR$2:$AR$3001&lt;$AR2722))+1,"")</f>
        <v/>
      </c>
      <c r="AP2722">
        <f>IF($E2722="","",IF(OR($U2722=TRUE(),$U2722="TRUE"),1,0))</f>
        <v/>
      </c>
      <c r="AQ2722">
        <f>IF($E2722="","",IF($AD2722="Yes",1,0))</f>
        <v/>
      </c>
      <c r="AR2722">
        <f>IF($AN2722=1,IFERROR(VALUE(MID($E2722,2,20)),1000000000)+ROW()/100000,"")</f>
        <v/>
      </c>
    </row>
    <row r="2723">
      <c r="G2723" s="11" t="n"/>
      <c r="Q2723" s="7">
        <f>IF($E2723="","",P2723*AB2723/100)</f>
        <v/>
      </c>
      <c r="R2723" s="7" t="n"/>
      <c r="X2723" s="7" t="n"/>
      <c r="Y2723" s="7">
        <f>IF($E2723="","",AB2723*AE2723/100)</f>
        <v/>
      </c>
      <c r="Z2723" s="7">
        <f>IF($E2723="","",AB2723-Y2723)</f>
        <v/>
      </c>
      <c r="AA2723" s="7">
        <f>IF($E2723="","",Z2723-Q2723)</f>
        <v/>
      </c>
      <c r="AB2723" s="7" t="n"/>
      <c r="AE2723">
        <f>IF($E2723="","",IF($AQ2723=1,0,IF($AP2723=1,Settings!$C$6,Settings!$C$7))*100)</f>
        <v/>
      </c>
      <c r="AI2723" s="7" t="n"/>
      <c r="AL2723" s="11" t="n"/>
      <c r="AN2723">
        <f>IF($E2723="","",IF(COUNTIF($E$2:$E2723,$E2723)=1,1,0))</f>
        <v/>
      </c>
      <c r="AO2723">
        <f>IF($AN2723=1,SUMPRODUCT(--($AR$2:$AR$3001&lt;$AR2723))+1,"")</f>
        <v/>
      </c>
      <c r="AP2723">
        <f>IF($E2723="","",IF(OR($U2723=TRUE(),$U2723="TRUE"),1,0))</f>
        <v/>
      </c>
      <c r="AQ2723">
        <f>IF($E2723="","",IF($AD2723="Yes",1,0))</f>
        <v/>
      </c>
      <c r="AR2723">
        <f>IF($AN2723=1,IFERROR(VALUE(MID($E2723,2,20)),1000000000)+ROW()/100000,"")</f>
        <v/>
      </c>
    </row>
    <row r="2724">
      <c r="G2724" s="11" t="n"/>
      <c r="Q2724" s="7">
        <f>IF($E2724="","",P2724*AB2724/100)</f>
        <v/>
      </c>
      <c r="R2724" s="7" t="n"/>
      <c r="X2724" s="7" t="n"/>
      <c r="Y2724" s="7">
        <f>IF($E2724="","",AB2724*AE2724/100)</f>
        <v/>
      </c>
      <c r="Z2724" s="7">
        <f>IF($E2724="","",AB2724-Y2724)</f>
        <v/>
      </c>
      <c r="AA2724" s="7">
        <f>IF($E2724="","",Z2724-Q2724)</f>
        <v/>
      </c>
      <c r="AB2724" s="7" t="n"/>
      <c r="AE2724">
        <f>IF($E2724="","",IF($AQ2724=1,0,IF($AP2724=1,Settings!$C$6,Settings!$C$7))*100)</f>
        <v/>
      </c>
      <c r="AI2724" s="7" t="n"/>
      <c r="AL2724" s="11" t="n"/>
      <c r="AN2724">
        <f>IF($E2724="","",IF(COUNTIF($E$2:$E2724,$E2724)=1,1,0))</f>
        <v/>
      </c>
      <c r="AO2724">
        <f>IF($AN2724=1,SUMPRODUCT(--($AR$2:$AR$3001&lt;$AR2724))+1,"")</f>
        <v/>
      </c>
      <c r="AP2724">
        <f>IF($E2724="","",IF(OR($U2724=TRUE(),$U2724="TRUE"),1,0))</f>
        <v/>
      </c>
      <c r="AQ2724">
        <f>IF($E2724="","",IF($AD2724="Yes",1,0))</f>
        <v/>
      </c>
      <c r="AR2724">
        <f>IF($AN2724=1,IFERROR(VALUE(MID($E2724,2,20)),1000000000)+ROW()/100000,"")</f>
        <v/>
      </c>
    </row>
    <row r="2725">
      <c r="G2725" s="11" t="n"/>
      <c r="Q2725" s="7">
        <f>IF($E2725="","",P2725*AB2725/100)</f>
        <v/>
      </c>
      <c r="R2725" s="7" t="n"/>
      <c r="X2725" s="7" t="n"/>
      <c r="Y2725" s="7">
        <f>IF($E2725="","",AB2725*AE2725/100)</f>
        <v/>
      </c>
      <c r="Z2725" s="7">
        <f>IF($E2725="","",AB2725-Y2725)</f>
        <v/>
      </c>
      <c r="AA2725" s="7">
        <f>IF($E2725="","",Z2725-Q2725)</f>
        <v/>
      </c>
      <c r="AB2725" s="7" t="n"/>
      <c r="AE2725">
        <f>IF($E2725="","",IF($AQ2725=1,0,IF($AP2725=1,Settings!$C$6,Settings!$C$7))*100)</f>
        <v/>
      </c>
      <c r="AI2725" s="7" t="n"/>
      <c r="AL2725" s="11" t="n"/>
      <c r="AN2725">
        <f>IF($E2725="","",IF(COUNTIF($E$2:$E2725,$E2725)=1,1,0))</f>
        <v/>
      </c>
      <c r="AO2725">
        <f>IF($AN2725=1,SUMPRODUCT(--($AR$2:$AR$3001&lt;$AR2725))+1,"")</f>
        <v/>
      </c>
      <c r="AP2725">
        <f>IF($E2725="","",IF(OR($U2725=TRUE(),$U2725="TRUE"),1,0))</f>
        <v/>
      </c>
      <c r="AQ2725">
        <f>IF($E2725="","",IF($AD2725="Yes",1,0))</f>
        <v/>
      </c>
      <c r="AR2725">
        <f>IF($AN2725=1,IFERROR(VALUE(MID($E2725,2,20)),1000000000)+ROW()/100000,"")</f>
        <v/>
      </c>
    </row>
    <row r="2726">
      <c r="G2726" s="11" t="n"/>
      <c r="Q2726" s="7">
        <f>IF($E2726="","",P2726*AB2726/100)</f>
        <v/>
      </c>
      <c r="R2726" s="7" t="n"/>
      <c r="X2726" s="7" t="n"/>
      <c r="Y2726" s="7">
        <f>IF($E2726="","",AB2726*AE2726/100)</f>
        <v/>
      </c>
      <c r="Z2726" s="7">
        <f>IF($E2726="","",AB2726-Y2726)</f>
        <v/>
      </c>
      <c r="AA2726" s="7">
        <f>IF($E2726="","",Z2726-Q2726)</f>
        <v/>
      </c>
      <c r="AB2726" s="7" t="n"/>
      <c r="AE2726">
        <f>IF($E2726="","",IF($AQ2726=1,0,IF($AP2726=1,Settings!$C$6,Settings!$C$7))*100)</f>
        <v/>
      </c>
      <c r="AI2726" s="7" t="n"/>
      <c r="AL2726" s="11" t="n"/>
      <c r="AN2726">
        <f>IF($E2726="","",IF(COUNTIF($E$2:$E2726,$E2726)=1,1,0))</f>
        <v/>
      </c>
      <c r="AO2726">
        <f>IF($AN2726=1,SUMPRODUCT(--($AR$2:$AR$3001&lt;$AR2726))+1,"")</f>
        <v/>
      </c>
      <c r="AP2726">
        <f>IF($E2726="","",IF(OR($U2726=TRUE(),$U2726="TRUE"),1,0))</f>
        <v/>
      </c>
      <c r="AQ2726">
        <f>IF($E2726="","",IF($AD2726="Yes",1,0))</f>
        <v/>
      </c>
      <c r="AR2726">
        <f>IF($AN2726=1,IFERROR(VALUE(MID($E2726,2,20)),1000000000)+ROW()/100000,"")</f>
        <v/>
      </c>
    </row>
    <row r="2727">
      <c r="G2727" s="11" t="n"/>
      <c r="Q2727" s="7">
        <f>IF($E2727="","",P2727*AB2727/100)</f>
        <v/>
      </c>
      <c r="R2727" s="7" t="n"/>
      <c r="X2727" s="7" t="n"/>
      <c r="Y2727" s="7">
        <f>IF($E2727="","",AB2727*AE2727/100)</f>
        <v/>
      </c>
      <c r="Z2727" s="7">
        <f>IF($E2727="","",AB2727-Y2727)</f>
        <v/>
      </c>
      <c r="AA2727" s="7">
        <f>IF($E2727="","",Z2727-Q2727)</f>
        <v/>
      </c>
      <c r="AB2727" s="7" t="n"/>
      <c r="AE2727">
        <f>IF($E2727="","",IF($AQ2727=1,0,IF($AP2727=1,Settings!$C$6,Settings!$C$7))*100)</f>
        <v/>
      </c>
      <c r="AI2727" s="7" t="n"/>
      <c r="AL2727" s="11" t="n"/>
      <c r="AN2727">
        <f>IF($E2727="","",IF(COUNTIF($E$2:$E2727,$E2727)=1,1,0))</f>
        <v/>
      </c>
      <c r="AO2727">
        <f>IF($AN2727=1,SUMPRODUCT(--($AR$2:$AR$3001&lt;$AR2727))+1,"")</f>
        <v/>
      </c>
      <c r="AP2727">
        <f>IF($E2727="","",IF(OR($U2727=TRUE(),$U2727="TRUE"),1,0))</f>
        <v/>
      </c>
      <c r="AQ2727">
        <f>IF($E2727="","",IF($AD2727="Yes",1,0))</f>
        <v/>
      </c>
      <c r="AR2727">
        <f>IF($AN2727=1,IFERROR(VALUE(MID($E2727,2,20)),1000000000)+ROW()/100000,"")</f>
        <v/>
      </c>
    </row>
    <row r="2728">
      <c r="G2728" s="11" t="n"/>
      <c r="Q2728" s="7">
        <f>IF($E2728="","",P2728*AB2728/100)</f>
        <v/>
      </c>
      <c r="R2728" s="7" t="n"/>
      <c r="X2728" s="7" t="n"/>
      <c r="Y2728" s="7">
        <f>IF($E2728="","",AB2728*AE2728/100)</f>
        <v/>
      </c>
      <c r="Z2728" s="7">
        <f>IF($E2728="","",AB2728-Y2728)</f>
        <v/>
      </c>
      <c r="AA2728" s="7">
        <f>IF($E2728="","",Z2728-Q2728)</f>
        <v/>
      </c>
      <c r="AB2728" s="7" t="n"/>
      <c r="AE2728">
        <f>IF($E2728="","",IF($AQ2728=1,0,IF($AP2728=1,Settings!$C$6,Settings!$C$7))*100)</f>
        <v/>
      </c>
      <c r="AI2728" s="7" t="n"/>
      <c r="AL2728" s="11" t="n"/>
      <c r="AN2728">
        <f>IF($E2728="","",IF(COUNTIF($E$2:$E2728,$E2728)=1,1,0))</f>
        <v/>
      </c>
      <c r="AO2728">
        <f>IF($AN2728=1,SUMPRODUCT(--($AR$2:$AR$3001&lt;$AR2728))+1,"")</f>
        <v/>
      </c>
      <c r="AP2728">
        <f>IF($E2728="","",IF(OR($U2728=TRUE(),$U2728="TRUE"),1,0))</f>
        <v/>
      </c>
      <c r="AQ2728">
        <f>IF($E2728="","",IF($AD2728="Yes",1,0))</f>
        <v/>
      </c>
      <c r="AR2728">
        <f>IF($AN2728=1,IFERROR(VALUE(MID($E2728,2,20)),1000000000)+ROW()/100000,"")</f>
        <v/>
      </c>
    </row>
    <row r="2729">
      <c r="G2729" s="11" t="n"/>
      <c r="Q2729" s="7">
        <f>IF($E2729="","",P2729*AB2729/100)</f>
        <v/>
      </c>
      <c r="R2729" s="7" t="n"/>
      <c r="X2729" s="7" t="n"/>
      <c r="Y2729" s="7">
        <f>IF($E2729="","",AB2729*AE2729/100)</f>
        <v/>
      </c>
      <c r="Z2729" s="7">
        <f>IF($E2729="","",AB2729-Y2729)</f>
        <v/>
      </c>
      <c r="AA2729" s="7">
        <f>IF($E2729="","",Z2729-Q2729)</f>
        <v/>
      </c>
      <c r="AB2729" s="7" t="n"/>
      <c r="AE2729">
        <f>IF($E2729="","",IF($AQ2729=1,0,IF($AP2729=1,Settings!$C$6,Settings!$C$7))*100)</f>
        <v/>
      </c>
      <c r="AI2729" s="7" t="n"/>
      <c r="AL2729" s="11" t="n"/>
      <c r="AN2729">
        <f>IF($E2729="","",IF(COUNTIF($E$2:$E2729,$E2729)=1,1,0))</f>
        <v/>
      </c>
      <c r="AO2729">
        <f>IF($AN2729=1,SUMPRODUCT(--($AR$2:$AR$3001&lt;$AR2729))+1,"")</f>
        <v/>
      </c>
      <c r="AP2729">
        <f>IF($E2729="","",IF(OR($U2729=TRUE(),$U2729="TRUE"),1,0))</f>
        <v/>
      </c>
      <c r="AQ2729">
        <f>IF($E2729="","",IF($AD2729="Yes",1,0))</f>
        <v/>
      </c>
      <c r="AR2729">
        <f>IF($AN2729=1,IFERROR(VALUE(MID($E2729,2,20)),1000000000)+ROW()/100000,"")</f>
        <v/>
      </c>
    </row>
    <row r="2730">
      <c r="G2730" s="11" t="n"/>
      <c r="Q2730" s="7">
        <f>IF($E2730="","",P2730*AB2730/100)</f>
        <v/>
      </c>
      <c r="R2730" s="7" t="n"/>
      <c r="X2730" s="7" t="n"/>
      <c r="Y2730" s="7">
        <f>IF($E2730="","",AB2730*AE2730/100)</f>
        <v/>
      </c>
      <c r="Z2730" s="7">
        <f>IF($E2730="","",AB2730-Y2730)</f>
        <v/>
      </c>
      <c r="AA2730" s="7">
        <f>IF($E2730="","",Z2730-Q2730)</f>
        <v/>
      </c>
      <c r="AB2730" s="7" t="n"/>
      <c r="AE2730">
        <f>IF($E2730="","",IF($AQ2730=1,0,IF($AP2730=1,Settings!$C$6,Settings!$C$7))*100)</f>
        <v/>
      </c>
      <c r="AI2730" s="7" t="n"/>
      <c r="AL2730" s="11" t="n"/>
      <c r="AN2730">
        <f>IF($E2730="","",IF(COUNTIF($E$2:$E2730,$E2730)=1,1,0))</f>
        <v/>
      </c>
      <c r="AO2730">
        <f>IF($AN2730=1,SUMPRODUCT(--($AR$2:$AR$3001&lt;$AR2730))+1,"")</f>
        <v/>
      </c>
      <c r="AP2730">
        <f>IF($E2730="","",IF(OR($U2730=TRUE(),$U2730="TRUE"),1,0))</f>
        <v/>
      </c>
      <c r="AQ2730">
        <f>IF($E2730="","",IF($AD2730="Yes",1,0))</f>
        <v/>
      </c>
      <c r="AR2730">
        <f>IF($AN2730=1,IFERROR(VALUE(MID($E2730,2,20)),1000000000)+ROW()/100000,"")</f>
        <v/>
      </c>
    </row>
    <row r="2731">
      <c r="G2731" s="11" t="n"/>
      <c r="Q2731" s="7">
        <f>IF($E2731="","",P2731*AB2731/100)</f>
        <v/>
      </c>
      <c r="R2731" s="7" t="n"/>
      <c r="X2731" s="7" t="n"/>
      <c r="Y2731" s="7">
        <f>IF($E2731="","",AB2731*AE2731/100)</f>
        <v/>
      </c>
      <c r="Z2731" s="7">
        <f>IF($E2731="","",AB2731-Y2731)</f>
        <v/>
      </c>
      <c r="AA2731" s="7">
        <f>IF($E2731="","",Z2731-Q2731)</f>
        <v/>
      </c>
      <c r="AB2731" s="7" t="n"/>
      <c r="AE2731">
        <f>IF($E2731="","",IF($AQ2731=1,0,IF($AP2731=1,Settings!$C$6,Settings!$C$7))*100)</f>
        <v/>
      </c>
      <c r="AI2731" s="7" t="n"/>
      <c r="AL2731" s="11" t="n"/>
      <c r="AN2731">
        <f>IF($E2731="","",IF(COUNTIF($E$2:$E2731,$E2731)=1,1,0))</f>
        <v/>
      </c>
      <c r="AO2731">
        <f>IF($AN2731=1,SUMPRODUCT(--($AR$2:$AR$3001&lt;$AR2731))+1,"")</f>
        <v/>
      </c>
      <c r="AP2731">
        <f>IF($E2731="","",IF(OR($U2731=TRUE(),$U2731="TRUE"),1,0))</f>
        <v/>
      </c>
      <c r="AQ2731">
        <f>IF($E2731="","",IF($AD2731="Yes",1,0))</f>
        <v/>
      </c>
      <c r="AR2731">
        <f>IF($AN2731=1,IFERROR(VALUE(MID($E2731,2,20)),1000000000)+ROW()/100000,"")</f>
        <v/>
      </c>
    </row>
    <row r="2732">
      <c r="G2732" s="11" t="n"/>
      <c r="Q2732" s="7">
        <f>IF($E2732="","",P2732*AB2732/100)</f>
        <v/>
      </c>
      <c r="R2732" s="7" t="n"/>
      <c r="X2732" s="7" t="n"/>
      <c r="Y2732" s="7">
        <f>IF($E2732="","",AB2732*AE2732/100)</f>
        <v/>
      </c>
      <c r="Z2732" s="7">
        <f>IF($E2732="","",AB2732-Y2732)</f>
        <v/>
      </c>
      <c r="AA2732" s="7">
        <f>IF($E2732="","",Z2732-Q2732)</f>
        <v/>
      </c>
      <c r="AB2732" s="7" t="n"/>
      <c r="AE2732">
        <f>IF($E2732="","",IF($AQ2732=1,0,IF($AP2732=1,Settings!$C$6,Settings!$C$7))*100)</f>
        <v/>
      </c>
      <c r="AI2732" s="7" t="n"/>
      <c r="AL2732" s="11" t="n"/>
      <c r="AN2732">
        <f>IF($E2732="","",IF(COUNTIF($E$2:$E2732,$E2732)=1,1,0))</f>
        <v/>
      </c>
      <c r="AO2732">
        <f>IF($AN2732=1,SUMPRODUCT(--($AR$2:$AR$3001&lt;$AR2732))+1,"")</f>
        <v/>
      </c>
      <c r="AP2732">
        <f>IF($E2732="","",IF(OR($U2732=TRUE(),$U2732="TRUE"),1,0))</f>
        <v/>
      </c>
      <c r="AQ2732">
        <f>IF($E2732="","",IF($AD2732="Yes",1,0))</f>
        <v/>
      </c>
      <c r="AR2732">
        <f>IF($AN2732=1,IFERROR(VALUE(MID($E2732,2,20)),1000000000)+ROW()/100000,"")</f>
        <v/>
      </c>
    </row>
    <row r="2733">
      <c r="G2733" s="11" t="n"/>
      <c r="Q2733" s="7">
        <f>IF($E2733="","",P2733*AB2733/100)</f>
        <v/>
      </c>
      <c r="R2733" s="7" t="n"/>
      <c r="X2733" s="7" t="n"/>
      <c r="Y2733" s="7">
        <f>IF($E2733="","",AB2733*AE2733/100)</f>
        <v/>
      </c>
      <c r="Z2733" s="7">
        <f>IF($E2733="","",AB2733-Y2733)</f>
        <v/>
      </c>
      <c r="AA2733" s="7">
        <f>IF($E2733="","",Z2733-Q2733)</f>
        <v/>
      </c>
      <c r="AB2733" s="7" t="n"/>
      <c r="AE2733">
        <f>IF($E2733="","",IF($AQ2733=1,0,IF($AP2733=1,Settings!$C$6,Settings!$C$7))*100)</f>
        <v/>
      </c>
      <c r="AI2733" s="7" t="n"/>
      <c r="AL2733" s="11" t="n"/>
      <c r="AN2733">
        <f>IF($E2733="","",IF(COUNTIF($E$2:$E2733,$E2733)=1,1,0))</f>
        <v/>
      </c>
      <c r="AO2733">
        <f>IF($AN2733=1,SUMPRODUCT(--($AR$2:$AR$3001&lt;$AR2733))+1,"")</f>
        <v/>
      </c>
      <c r="AP2733">
        <f>IF($E2733="","",IF(OR($U2733=TRUE(),$U2733="TRUE"),1,0))</f>
        <v/>
      </c>
      <c r="AQ2733">
        <f>IF($E2733="","",IF($AD2733="Yes",1,0))</f>
        <v/>
      </c>
      <c r="AR2733">
        <f>IF($AN2733=1,IFERROR(VALUE(MID($E2733,2,20)),1000000000)+ROW()/100000,"")</f>
        <v/>
      </c>
    </row>
    <row r="2734">
      <c r="G2734" s="11" t="n"/>
      <c r="Q2734" s="7">
        <f>IF($E2734="","",P2734*AB2734/100)</f>
        <v/>
      </c>
      <c r="R2734" s="7" t="n"/>
      <c r="X2734" s="7" t="n"/>
      <c r="Y2734" s="7">
        <f>IF($E2734="","",AB2734*AE2734/100)</f>
        <v/>
      </c>
      <c r="Z2734" s="7">
        <f>IF($E2734="","",AB2734-Y2734)</f>
        <v/>
      </c>
      <c r="AA2734" s="7">
        <f>IF($E2734="","",Z2734-Q2734)</f>
        <v/>
      </c>
      <c r="AB2734" s="7" t="n"/>
      <c r="AE2734">
        <f>IF($E2734="","",IF($AQ2734=1,0,IF($AP2734=1,Settings!$C$6,Settings!$C$7))*100)</f>
        <v/>
      </c>
      <c r="AI2734" s="7" t="n"/>
      <c r="AL2734" s="11" t="n"/>
      <c r="AN2734">
        <f>IF($E2734="","",IF(COUNTIF($E$2:$E2734,$E2734)=1,1,0))</f>
        <v/>
      </c>
      <c r="AO2734">
        <f>IF($AN2734=1,SUMPRODUCT(--($AR$2:$AR$3001&lt;$AR2734))+1,"")</f>
        <v/>
      </c>
      <c r="AP2734">
        <f>IF($E2734="","",IF(OR($U2734=TRUE(),$U2734="TRUE"),1,0))</f>
        <v/>
      </c>
      <c r="AQ2734">
        <f>IF($E2734="","",IF($AD2734="Yes",1,0))</f>
        <v/>
      </c>
      <c r="AR2734">
        <f>IF($AN2734=1,IFERROR(VALUE(MID($E2734,2,20)),1000000000)+ROW()/100000,"")</f>
        <v/>
      </c>
    </row>
    <row r="2735">
      <c r="G2735" s="11" t="n"/>
      <c r="Q2735" s="7">
        <f>IF($E2735="","",P2735*AB2735/100)</f>
        <v/>
      </c>
      <c r="R2735" s="7" t="n"/>
      <c r="X2735" s="7" t="n"/>
      <c r="Y2735" s="7">
        <f>IF($E2735="","",AB2735*AE2735/100)</f>
        <v/>
      </c>
      <c r="Z2735" s="7">
        <f>IF($E2735="","",AB2735-Y2735)</f>
        <v/>
      </c>
      <c r="AA2735" s="7">
        <f>IF($E2735="","",Z2735-Q2735)</f>
        <v/>
      </c>
      <c r="AB2735" s="7" t="n"/>
      <c r="AE2735">
        <f>IF($E2735="","",IF($AQ2735=1,0,IF($AP2735=1,Settings!$C$6,Settings!$C$7))*100)</f>
        <v/>
      </c>
      <c r="AI2735" s="7" t="n"/>
      <c r="AL2735" s="11" t="n"/>
      <c r="AN2735">
        <f>IF($E2735="","",IF(COUNTIF($E$2:$E2735,$E2735)=1,1,0))</f>
        <v/>
      </c>
      <c r="AO2735">
        <f>IF($AN2735=1,SUMPRODUCT(--($AR$2:$AR$3001&lt;$AR2735))+1,"")</f>
        <v/>
      </c>
      <c r="AP2735">
        <f>IF($E2735="","",IF(OR($U2735=TRUE(),$U2735="TRUE"),1,0))</f>
        <v/>
      </c>
      <c r="AQ2735">
        <f>IF($E2735="","",IF($AD2735="Yes",1,0))</f>
        <v/>
      </c>
      <c r="AR2735">
        <f>IF($AN2735=1,IFERROR(VALUE(MID($E2735,2,20)),1000000000)+ROW()/100000,"")</f>
        <v/>
      </c>
    </row>
    <row r="2736">
      <c r="G2736" s="11" t="n"/>
      <c r="Q2736" s="7">
        <f>IF($E2736="","",P2736*AB2736/100)</f>
        <v/>
      </c>
      <c r="R2736" s="7" t="n"/>
      <c r="X2736" s="7" t="n"/>
      <c r="Y2736" s="7">
        <f>IF($E2736="","",AB2736*AE2736/100)</f>
        <v/>
      </c>
      <c r="Z2736" s="7">
        <f>IF($E2736="","",AB2736-Y2736)</f>
        <v/>
      </c>
      <c r="AA2736" s="7">
        <f>IF($E2736="","",Z2736-Q2736)</f>
        <v/>
      </c>
      <c r="AB2736" s="7" t="n"/>
      <c r="AE2736">
        <f>IF($E2736="","",IF($AQ2736=1,0,IF($AP2736=1,Settings!$C$6,Settings!$C$7))*100)</f>
        <v/>
      </c>
      <c r="AI2736" s="7" t="n"/>
      <c r="AL2736" s="11" t="n"/>
      <c r="AN2736">
        <f>IF($E2736="","",IF(COUNTIF($E$2:$E2736,$E2736)=1,1,0))</f>
        <v/>
      </c>
      <c r="AO2736">
        <f>IF($AN2736=1,SUMPRODUCT(--($AR$2:$AR$3001&lt;$AR2736))+1,"")</f>
        <v/>
      </c>
      <c r="AP2736">
        <f>IF($E2736="","",IF(OR($U2736=TRUE(),$U2736="TRUE"),1,0))</f>
        <v/>
      </c>
      <c r="AQ2736">
        <f>IF($E2736="","",IF($AD2736="Yes",1,0))</f>
        <v/>
      </c>
      <c r="AR2736">
        <f>IF($AN2736=1,IFERROR(VALUE(MID($E2736,2,20)),1000000000)+ROW()/100000,"")</f>
        <v/>
      </c>
    </row>
    <row r="2737">
      <c r="G2737" s="11" t="n"/>
      <c r="Q2737" s="7">
        <f>IF($E2737="","",P2737*AB2737/100)</f>
        <v/>
      </c>
      <c r="R2737" s="7" t="n"/>
      <c r="X2737" s="7" t="n"/>
      <c r="Y2737" s="7">
        <f>IF($E2737="","",AB2737*AE2737/100)</f>
        <v/>
      </c>
      <c r="Z2737" s="7">
        <f>IF($E2737="","",AB2737-Y2737)</f>
        <v/>
      </c>
      <c r="AA2737" s="7">
        <f>IF($E2737="","",Z2737-Q2737)</f>
        <v/>
      </c>
      <c r="AB2737" s="7" t="n"/>
      <c r="AE2737">
        <f>IF($E2737="","",IF($AQ2737=1,0,IF($AP2737=1,Settings!$C$6,Settings!$C$7))*100)</f>
        <v/>
      </c>
      <c r="AI2737" s="7" t="n"/>
      <c r="AL2737" s="11" t="n"/>
      <c r="AN2737">
        <f>IF($E2737="","",IF(COUNTIF($E$2:$E2737,$E2737)=1,1,0))</f>
        <v/>
      </c>
      <c r="AO2737">
        <f>IF($AN2737=1,SUMPRODUCT(--($AR$2:$AR$3001&lt;$AR2737))+1,"")</f>
        <v/>
      </c>
      <c r="AP2737">
        <f>IF($E2737="","",IF(OR($U2737=TRUE(),$U2737="TRUE"),1,0))</f>
        <v/>
      </c>
      <c r="AQ2737">
        <f>IF($E2737="","",IF($AD2737="Yes",1,0))</f>
        <v/>
      </c>
      <c r="AR2737">
        <f>IF($AN2737=1,IFERROR(VALUE(MID($E2737,2,20)),1000000000)+ROW()/100000,"")</f>
        <v/>
      </c>
    </row>
    <row r="2738">
      <c r="G2738" s="11" t="n"/>
      <c r="Q2738" s="7">
        <f>IF($E2738="","",P2738*AB2738/100)</f>
        <v/>
      </c>
      <c r="R2738" s="7" t="n"/>
      <c r="X2738" s="7" t="n"/>
      <c r="Y2738" s="7">
        <f>IF($E2738="","",AB2738*AE2738/100)</f>
        <v/>
      </c>
      <c r="Z2738" s="7">
        <f>IF($E2738="","",AB2738-Y2738)</f>
        <v/>
      </c>
      <c r="AA2738" s="7">
        <f>IF($E2738="","",Z2738-Q2738)</f>
        <v/>
      </c>
      <c r="AB2738" s="7" t="n"/>
      <c r="AE2738">
        <f>IF($E2738="","",IF($AQ2738=1,0,IF($AP2738=1,Settings!$C$6,Settings!$C$7))*100)</f>
        <v/>
      </c>
      <c r="AI2738" s="7" t="n"/>
      <c r="AL2738" s="11" t="n"/>
      <c r="AN2738">
        <f>IF($E2738="","",IF(COUNTIF($E$2:$E2738,$E2738)=1,1,0))</f>
        <v/>
      </c>
      <c r="AO2738">
        <f>IF($AN2738=1,SUMPRODUCT(--($AR$2:$AR$3001&lt;$AR2738))+1,"")</f>
        <v/>
      </c>
      <c r="AP2738">
        <f>IF($E2738="","",IF(OR($U2738=TRUE(),$U2738="TRUE"),1,0))</f>
        <v/>
      </c>
      <c r="AQ2738">
        <f>IF($E2738="","",IF($AD2738="Yes",1,0))</f>
        <v/>
      </c>
      <c r="AR2738">
        <f>IF($AN2738=1,IFERROR(VALUE(MID($E2738,2,20)),1000000000)+ROW()/100000,"")</f>
        <v/>
      </c>
    </row>
    <row r="2739">
      <c r="G2739" s="11" t="n"/>
      <c r="Q2739" s="7">
        <f>IF($E2739="","",P2739*AB2739/100)</f>
        <v/>
      </c>
      <c r="R2739" s="7" t="n"/>
      <c r="X2739" s="7" t="n"/>
      <c r="Y2739" s="7">
        <f>IF($E2739="","",AB2739*AE2739/100)</f>
        <v/>
      </c>
      <c r="Z2739" s="7">
        <f>IF($E2739="","",AB2739-Y2739)</f>
        <v/>
      </c>
      <c r="AA2739" s="7">
        <f>IF($E2739="","",Z2739-Q2739)</f>
        <v/>
      </c>
      <c r="AB2739" s="7" t="n"/>
      <c r="AE2739">
        <f>IF($E2739="","",IF($AQ2739=1,0,IF($AP2739=1,Settings!$C$6,Settings!$C$7))*100)</f>
        <v/>
      </c>
      <c r="AI2739" s="7" t="n"/>
      <c r="AL2739" s="11" t="n"/>
      <c r="AN2739">
        <f>IF($E2739="","",IF(COUNTIF($E$2:$E2739,$E2739)=1,1,0))</f>
        <v/>
      </c>
      <c r="AO2739">
        <f>IF($AN2739=1,SUMPRODUCT(--($AR$2:$AR$3001&lt;$AR2739))+1,"")</f>
        <v/>
      </c>
      <c r="AP2739">
        <f>IF($E2739="","",IF(OR($U2739=TRUE(),$U2739="TRUE"),1,0))</f>
        <v/>
      </c>
      <c r="AQ2739">
        <f>IF($E2739="","",IF($AD2739="Yes",1,0))</f>
        <v/>
      </c>
      <c r="AR2739">
        <f>IF($AN2739=1,IFERROR(VALUE(MID($E2739,2,20)),1000000000)+ROW()/100000,"")</f>
        <v/>
      </c>
    </row>
    <row r="2740">
      <c r="G2740" s="11" t="n"/>
      <c r="Q2740" s="7">
        <f>IF($E2740="","",P2740*AB2740/100)</f>
        <v/>
      </c>
      <c r="R2740" s="7" t="n"/>
      <c r="X2740" s="7" t="n"/>
      <c r="Y2740" s="7">
        <f>IF($E2740="","",AB2740*AE2740/100)</f>
        <v/>
      </c>
      <c r="Z2740" s="7">
        <f>IF($E2740="","",AB2740-Y2740)</f>
        <v/>
      </c>
      <c r="AA2740" s="7">
        <f>IF($E2740="","",Z2740-Q2740)</f>
        <v/>
      </c>
      <c r="AB2740" s="7" t="n"/>
      <c r="AE2740">
        <f>IF($E2740="","",IF($AQ2740=1,0,IF($AP2740=1,Settings!$C$6,Settings!$C$7))*100)</f>
        <v/>
      </c>
      <c r="AI2740" s="7" t="n"/>
      <c r="AL2740" s="11" t="n"/>
      <c r="AN2740">
        <f>IF($E2740="","",IF(COUNTIF($E$2:$E2740,$E2740)=1,1,0))</f>
        <v/>
      </c>
      <c r="AO2740">
        <f>IF($AN2740=1,SUMPRODUCT(--($AR$2:$AR$3001&lt;$AR2740))+1,"")</f>
        <v/>
      </c>
      <c r="AP2740">
        <f>IF($E2740="","",IF(OR($U2740=TRUE(),$U2740="TRUE"),1,0))</f>
        <v/>
      </c>
      <c r="AQ2740">
        <f>IF($E2740="","",IF($AD2740="Yes",1,0))</f>
        <v/>
      </c>
      <c r="AR2740">
        <f>IF($AN2740=1,IFERROR(VALUE(MID($E2740,2,20)),1000000000)+ROW()/100000,"")</f>
        <v/>
      </c>
    </row>
    <row r="2741">
      <c r="G2741" s="11" t="n"/>
      <c r="Q2741" s="7">
        <f>IF($E2741="","",P2741*AB2741/100)</f>
        <v/>
      </c>
      <c r="R2741" s="7" t="n"/>
      <c r="X2741" s="7" t="n"/>
      <c r="Y2741" s="7">
        <f>IF($E2741="","",AB2741*AE2741/100)</f>
        <v/>
      </c>
      <c r="Z2741" s="7">
        <f>IF($E2741="","",AB2741-Y2741)</f>
        <v/>
      </c>
      <c r="AA2741" s="7">
        <f>IF($E2741="","",Z2741-Q2741)</f>
        <v/>
      </c>
      <c r="AB2741" s="7" t="n"/>
      <c r="AE2741">
        <f>IF($E2741="","",IF($AQ2741=1,0,IF($AP2741=1,Settings!$C$6,Settings!$C$7))*100)</f>
        <v/>
      </c>
      <c r="AI2741" s="7" t="n"/>
      <c r="AL2741" s="11" t="n"/>
      <c r="AN2741">
        <f>IF($E2741="","",IF(COUNTIF($E$2:$E2741,$E2741)=1,1,0))</f>
        <v/>
      </c>
      <c r="AO2741">
        <f>IF($AN2741=1,SUMPRODUCT(--($AR$2:$AR$3001&lt;$AR2741))+1,"")</f>
        <v/>
      </c>
      <c r="AP2741">
        <f>IF($E2741="","",IF(OR($U2741=TRUE(),$U2741="TRUE"),1,0))</f>
        <v/>
      </c>
      <c r="AQ2741">
        <f>IF($E2741="","",IF($AD2741="Yes",1,0))</f>
        <v/>
      </c>
      <c r="AR2741">
        <f>IF($AN2741=1,IFERROR(VALUE(MID($E2741,2,20)),1000000000)+ROW()/100000,"")</f>
        <v/>
      </c>
    </row>
    <row r="2742">
      <c r="G2742" s="11" t="n"/>
      <c r="Q2742" s="7">
        <f>IF($E2742="","",P2742*AB2742/100)</f>
        <v/>
      </c>
      <c r="R2742" s="7" t="n"/>
      <c r="X2742" s="7" t="n"/>
      <c r="Y2742" s="7">
        <f>IF($E2742="","",AB2742*AE2742/100)</f>
        <v/>
      </c>
      <c r="Z2742" s="7">
        <f>IF($E2742="","",AB2742-Y2742)</f>
        <v/>
      </c>
      <c r="AA2742" s="7">
        <f>IF($E2742="","",Z2742-Q2742)</f>
        <v/>
      </c>
      <c r="AB2742" s="7" t="n"/>
      <c r="AE2742">
        <f>IF($E2742="","",IF($AQ2742=1,0,IF($AP2742=1,Settings!$C$6,Settings!$C$7))*100)</f>
        <v/>
      </c>
      <c r="AI2742" s="7" t="n"/>
      <c r="AL2742" s="11" t="n"/>
      <c r="AN2742">
        <f>IF($E2742="","",IF(COUNTIF($E$2:$E2742,$E2742)=1,1,0))</f>
        <v/>
      </c>
      <c r="AO2742">
        <f>IF($AN2742=1,SUMPRODUCT(--($AR$2:$AR$3001&lt;$AR2742))+1,"")</f>
        <v/>
      </c>
      <c r="AP2742">
        <f>IF($E2742="","",IF(OR($U2742=TRUE(),$U2742="TRUE"),1,0))</f>
        <v/>
      </c>
      <c r="AQ2742">
        <f>IF($E2742="","",IF($AD2742="Yes",1,0))</f>
        <v/>
      </c>
      <c r="AR2742">
        <f>IF($AN2742=1,IFERROR(VALUE(MID($E2742,2,20)),1000000000)+ROW()/100000,"")</f>
        <v/>
      </c>
    </row>
    <row r="2743">
      <c r="G2743" s="11" t="n"/>
      <c r="Q2743" s="7">
        <f>IF($E2743="","",P2743*AB2743/100)</f>
        <v/>
      </c>
      <c r="R2743" s="7" t="n"/>
      <c r="X2743" s="7" t="n"/>
      <c r="Y2743" s="7">
        <f>IF($E2743="","",AB2743*AE2743/100)</f>
        <v/>
      </c>
      <c r="Z2743" s="7">
        <f>IF($E2743="","",AB2743-Y2743)</f>
        <v/>
      </c>
      <c r="AA2743" s="7">
        <f>IF($E2743="","",Z2743-Q2743)</f>
        <v/>
      </c>
      <c r="AB2743" s="7" t="n"/>
      <c r="AE2743">
        <f>IF($E2743="","",IF($AQ2743=1,0,IF($AP2743=1,Settings!$C$6,Settings!$C$7))*100)</f>
        <v/>
      </c>
      <c r="AI2743" s="7" t="n"/>
      <c r="AL2743" s="11" t="n"/>
      <c r="AN2743">
        <f>IF($E2743="","",IF(COUNTIF($E$2:$E2743,$E2743)=1,1,0))</f>
        <v/>
      </c>
      <c r="AO2743">
        <f>IF($AN2743=1,SUMPRODUCT(--($AR$2:$AR$3001&lt;$AR2743))+1,"")</f>
        <v/>
      </c>
      <c r="AP2743">
        <f>IF($E2743="","",IF(OR($U2743=TRUE(),$U2743="TRUE"),1,0))</f>
        <v/>
      </c>
      <c r="AQ2743">
        <f>IF($E2743="","",IF($AD2743="Yes",1,0))</f>
        <v/>
      </c>
      <c r="AR2743">
        <f>IF($AN2743=1,IFERROR(VALUE(MID($E2743,2,20)),1000000000)+ROW()/100000,"")</f>
        <v/>
      </c>
    </row>
    <row r="2744">
      <c r="G2744" s="11" t="n"/>
      <c r="Q2744" s="7">
        <f>IF($E2744="","",P2744*AB2744/100)</f>
        <v/>
      </c>
      <c r="R2744" s="7" t="n"/>
      <c r="X2744" s="7" t="n"/>
      <c r="Y2744" s="7">
        <f>IF($E2744="","",AB2744*AE2744/100)</f>
        <v/>
      </c>
      <c r="Z2744" s="7">
        <f>IF($E2744="","",AB2744-Y2744)</f>
        <v/>
      </c>
      <c r="AA2744" s="7">
        <f>IF($E2744="","",Z2744-Q2744)</f>
        <v/>
      </c>
      <c r="AB2744" s="7" t="n"/>
      <c r="AE2744">
        <f>IF($E2744="","",IF($AQ2744=1,0,IF($AP2744=1,Settings!$C$6,Settings!$C$7))*100)</f>
        <v/>
      </c>
      <c r="AI2744" s="7" t="n"/>
      <c r="AL2744" s="11" t="n"/>
      <c r="AN2744">
        <f>IF($E2744="","",IF(COUNTIF($E$2:$E2744,$E2744)=1,1,0))</f>
        <v/>
      </c>
      <c r="AO2744">
        <f>IF($AN2744=1,SUMPRODUCT(--($AR$2:$AR$3001&lt;$AR2744))+1,"")</f>
        <v/>
      </c>
      <c r="AP2744">
        <f>IF($E2744="","",IF(OR($U2744=TRUE(),$U2744="TRUE"),1,0))</f>
        <v/>
      </c>
      <c r="AQ2744">
        <f>IF($E2744="","",IF($AD2744="Yes",1,0))</f>
        <v/>
      </c>
      <c r="AR2744">
        <f>IF($AN2744=1,IFERROR(VALUE(MID($E2744,2,20)),1000000000)+ROW()/100000,"")</f>
        <v/>
      </c>
    </row>
    <row r="2745">
      <c r="G2745" s="11" t="n"/>
      <c r="Q2745" s="7">
        <f>IF($E2745="","",P2745*AB2745/100)</f>
        <v/>
      </c>
      <c r="R2745" s="7" t="n"/>
      <c r="X2745" s="7" t="n"/>
      <c r="Y2745" s="7">
        <f>IF($E2745="","",AB2745*AE2745/100)</f>
        <v/>
      </c>
      <c r="Z2745" s="7">
        <f>IF($E2745="","",AB2745-Y2745)</f>
        <v/>
      </c>
      <c r="AA2745" s="7">
        <f>IF($E2745="","",Z2745-Q2745)</f>
        <v/>
      </c>
      <c r="AB2745" s="7" t="n"/>
      <c r="AE2745">
        <f>IF($E2745="","",IF($AQ2745=1,0,IF($AP2745=1,Settings!$C$6,Settings!$C$7))*100)</f>
        <v/>
      </c>
      <c r="AI2745" s="7" t="n"/>
      <c r="AL2745" s="11" t="n"/>
      <c r="AN2745">
        <f>IF($E2745="","",IF(COUNTIF($E$2:$E2745,$E2745)=1,1,0))</f>
        <v/>
      </c>
      <c r="AO2745">
        <f>IF($AN2745=1,SUMPRODUCT(--($AR$2:$AR$3001&lt;$AR2745))+1,"")</f>
        <v/>
      </c>
      <c r="AP2745">
        <f>IF($E2745="","",IF(OR($U2745=TRUE(),$U2745="TRUE"),1,0))</f>
        <v/>
      </c>
      <c r="AQ2745">
        <f>IF($E2745="","",IF($AD2745="Yes",1,0))</f>
        <v/>
      </c>
      <c r="AR2745">
        <f>IF($AN2745=1,IFERROR(VALUE(MID($E2745,2,20)),1000000000)+ROW()/100000,"")</f>
        <v/>
      </c>
    </row>
    <row r="2746">
      <c r="G2746" s="11" t="n"/>
      <c r="Q2746" s="7">
        <f>IF($E2746="","",P2746*AB2746/100)</f>
        <v/>
      </c>
      <c r="R2746" s="7" t="n"/>
      <c r="X2746" s="7" t="n"/>
      <c r="Y2746" s="7">
        <f>IF($E2746="","",AB2746*AE2746/100)</f>
        <v/>
      </c>
      <c r="Z2746" s="7">
        <f>IF($E2746="","",AB2746-Y2746)</f>
        <v/>
      </c>
      <c r="AA2746" s="7">
        <f>IF($E2746="","",Z2746-Q2746)</f>
        <v/>
      </c>
      <c r="AB2746" s="7" t="n"/>
      <c r="AE2746">
        <f>IF($E2746="","",IF($AQ2746=1,0,IF($AP2746=1,Settings!$C$6,Settings!$C$7))*100)</f>
        <v/>
      </c>
      <c r="AI2746" s="7" t="n"/>
      <c r="AL2746" s="11" t="n"/>
      <c r="AN2746">
        <f>IF($E2746="","",IF(COUNTIF($E$2:$E2746,$E2746)=1,1,0))</f>
        <v/>
      </c>
      <c r="AO2746">
        <f>IF($AN2746=1,SUMPRODUCT(--($AR$2:$AR$3001&lt;$AR2746))+1,"")</f>
        <v/>
      </c>
      <c r="AP2746">
        <f>IF($E2746="","",IF(OR($U2746=TRUE(),$U2746="TRUE"),1,0))</f>
        <v/>
      </c>
      <c r="AQ2746">
        <f>IF($E2746="","",IF($AD2746="Yes",1,0))</f>
        <v/>
      </c>
      <c r="AR2746">
        <f>IF($AN2746=1,IFERROR(VALUE(MID($E2746,2,20)),1000000000)+ROW()/100000,"")</f>
        <v/>
      </c>
    </row>
    <row r="2747">
      <c r="G2747" s="11" t="n"/>
      <c r="Q2747" s="7">
        <f>IF($E2747="","",P2747*AB2747/100)</f>
        <v/>
      </c>
      <c r="R2747" s="7" t="n"/>
      <c r="X2747" s="7" t="n"/>
      <c r="Y2747" s="7">
        <f>IF($E2747="","",AB2747*AE2747/100)</f>
        <v/>
      </c>
      <c r="Z2747" s="7">
        <f>IF($E2747="","",AB2747-Y2747)</f>
        <v/>
      </c>
      <c r="AA2747" s="7">
        <f>IF($E2747="","",Z2747-Q2747)</f>
        <v/>
      </c>
      <c r="AB2747" s="7" t="n"/>
      <c r="AE2747">
        <f>IF($E2747="","",IF($AQ2747=1,0,IF($AP2747=1,Settings!$C$6,Settings!$C$7))*100)</f>
        <v/>
      </c>
      <c r="AI2747" s="7" t="n"/>
      <c r="AL2747" s="11" t="n"/>
      <c r="AN2747">
        <f>IF($E2747="","",IF(COUNTIF($E$2:$E2747,$E2747)=1,1,0))</f>
        <v/>
      </c>
      <c r="AO2747">
        <f>IF($AN2747=1,SUMPRODUCT(--($AR$2:$AR$3001&lt;$AR2747))+1,"")</f>
        <v/>
      </c>
      <c r="AP2747">
        <f>IF($E2747="","",IF(OR($U2747=TRUE(),$U2747="TRUE"),1,0))</f>
        <v/>
      </c>
      <c r="AQ2747">
        <f>IF($E2747="","",IF($AD2747="Yes",1,0))</f>
        <v/>
      </c>
      <c r="AR2747">
        <f>IF($AN2747=1,IFERROR(VALUE(MID($E2747,2,20)),1000000000)+ROW()/100000,"")</f>
        <v/>
      </c>
    </row>
    <row r="2748">
      <c r="G2748" s="11" t="n"/>
      <c r="Q2748" s="7">
        <f>IF($E2748="","",P2748*AB2748/100)</f>
        <v/>
      </c>
      <c r="R2748" s="7" t="n"/>
      <c r="X2748" s="7" t="n"/>
      <c r="Y2748" s="7">
        <f>IF($E2748="","",AB2748*AE2748/100)</f>
        <v/>
      </c>
      <c r="Z2748" s="7">
        <f>IF($E2748="","",AB2748-Y2748)</f>
        <v/>
      </c>
      <c r="AA2748" s="7">
        <f>IF($E2748="","",Z2748-Q2748)</f>
        <v/>
      </c>
      <c r="AB2748" s="7" t="n"/>
      <c r="AE2748">
        <f>IF($E2748="","",IF($AQ2748=1,0,IF($AP2748=1,Settings!$C$6,Settings!$C$7))*100)</f>
        <v/>
      </c>
      <c r="AI2748" s="7" t="n"/>
      <c r="AL2748" s="11" t="n"/>
      <c r="AN2748">
        <f>IF($E2748="","",IF(COUNTIF($E$2:$E2748,$E2748)=1,1,0))</f>
        <v/>
      </c>
      <c r="AO2748">
        <f>IF($AN2748=1,SUMPRODUCT(--($AR$2:$AR$3001&lt;$AR2748))+1,"")</f>
        <v/>
      </c>
      <c r="AP2748">
        <f>IF($E2748="","",IF(OR($U2748=TRUE(),$U2748="TRUE"),1,0))</f>
        <v/>
      </c>
      <c r="AQ2748">
        <f>IF($E2748="","",IF($AD2748="Yes",1,0))</f>
        <v/>
      </c>
      <c r="AR2748">
        <f>IF($AN2748=1,IFERROR(VALUE(MID($E2748,2,20)),1000000000)+ROW()/100000,"")</f>
        <v/>
      </c>
    </row>
    <row r="2749">
      <c r="G2749" s="11" t="n"/>
      <c r="Q2749" s="7">
        <f>IF($E2749="","",P2749*AB2749/100)</f>
        <v/>
      </c>
      <c r="R2749" s="7" t="n"/>
      <c r="X2749" s="7" t="n"/>
      <c r="Y2749" s="7">
        <f>IF($E2749="","",AB2749*AE2749/100)</f>
        <v/>
      </c>
      <c r="Z2749" s="7">
        <f>IF($E2749="","",AB2749-Y2749)</f>
        <v/>
      </c>
      <c r="AA2749" s="7">
        <f>IF($E2749="","",Z2749-Q2749)</f>
        <v/>
      </c>
      <c r="AB2749" s="7" t="n"/>
      <c r="AE2749">
        <f>IF($E2749="","",IF($AQ2749=1,0,IF($AP2749=1,Settings!$C$6,Settings!$C$7))*100)</f>
        <v/>
      </c>
      <c r="AI2749" s="7" t="n"/>
      <c r="AL2749" s="11" t="n"/>
      <c r="AN2749">
        <f>IF($E2749="","",IF(COUNTIF($E$2:$E2749,$E2749)=1,1,0))</f>
        <v/>
      </c>
      <c r="AO2749">
        <f>IF($AN2749=1,SUMPRODUCT(--($AR$2:$AR$3001&lt;$AR2749))+1,"")</f>
        <v/>
      </c>
      <c r="AP2749">
        <f>IF($E2749="","",IF(OR($U2749=TRUE(),$U2749="TRUE"),1,0))</f>
        <v/>
      </c>
      <c r="AQ2749">
        <f>IF($E2749="","",IF($AD2749="Yes",1,0))</f>
        <v/>
      </c>
      <c r="AR2749">
        <f>IF($AN2749=1,IFERROR(VALUE(MID($E2749,2,20)),1000000000)+ROW()/100000,"")</f>
        <v/>
      </c>
    </row>
    <row r="2750">
      <c r="G2750" s="11" t="n"/>
      <c r="Q2750" s="7">
        <f>IF($E2750="","",P2750*AB2750/100)</f>
        <v/>
      </c>
      <c r="R2750" s="7" t="n"/>
      <c r="X2750" s="7" t="n"/>
      <c r="Y2750" s="7">
        <f>IF($E2750="","",AB2750*AE2750/100)</f>
        <v/>
      </c>
      <c r="Z2750" s="7">
        <f>IF($E2750="","",AB2750-Y2750)</f>
        <v/>
      </c>
      <c r="AA2750" s="7">
        <f>IF($E2750="","",Z2750-Q2750)</f>
        <v/>
      </c>
      <c r="AB2750" s="7" t="n"/>
      <c r="AE2750">
        <f>IF($E2750="","",IF($AQ2750=1,0,IF($AP2750=1,Settings!$C$6,Settings!$C$7))*100)</f>
        <v/>
      </c>
      <c r="AI2750" s="7" t="n"/>
      <c r="AL2750" s="11" t="n"/>
      <c r="AN2750">
        <f>IF($E2750="","",IF(COUNTIF($E$2:$E2750,$E2750)=1,1,0))</f>
        <v/>
      </c>
      <c r="AO2750">
        <f>IF($AN2750=1,SUMPRODUCT(--($AR$2:$AR$3001&lt;$AR2750))+1,"")</f>
        <v/>
      </c>
      <c r="AP2750">
        <f>IF($E2750="","",IF(OR($U2750=TRUE(),$U2750="TRUE"),1,0))</f>
        <v/>
      </c>
      <c r="AQ2750">
        <f>IF($E2750="","",IF($AD2750="Yes",1,0))</f>
        <v/>
      </c>
      <c r="AR2750">
        <f>IF($AN2750=1,IFERROR(VALUE(MID($E2750,2,20)),1000000000)+ROW()/100000,"")</f>
        <v/>
      </c>
    </row>
    <row r="2751">
      <c r="G2751" s="11" t="n"/>
      <c r="Q2751" s="7">
        <f>IF($E2751="","",P2751*AB2751/100)</f>
        <v/>
      </c>
      <c r="R2751" s="7" t="n"/>
      <c r="X2751" s="7" t="n"/>
      <c r="Y2751" s="7">
        <f>IF($E2751="","",AB2751*AE2751/100)</f>
        <v/>
      </c>
      <c r="Z2751" s="7">
        <f>IF($E2751="","",AB2751-Y2751)</f>
        <v/>
      </c>
      <c r="AA2751" s="7">
        <f>IF($E2751="","",Z2751-Q2751)</f>
        <v/>
      </c>
      <c r="AB2751" s="7" t="n"/>
      <c r="AE2751">
        <f>IF($E2751="","",IF($AQ2751=1,0,IF($AP2751=1,Settings!$C$6,Settings!$C$7))*100)</f>
        <v/>
      </c>
      <c r="AI2751" s="7" t="n"/>
      <c r="AL2751" s="11" t="n"/>
      <c r="AN2751">
        <f>IF($E2751="","",IF(COUNTIF($E$2:$E2751,$E2751)=1,1,0))</f>
        <v/>
      </c>
      <c r="AO2751">
        <f>IF($AN2751=1,SUMPRODUCT(--($AR$2:$AR$3001&lt;$AR2751))+1,"")</f>
        <v/>
      </c>
      <c r="AP2751">
        <f>IF($E2751="","",IF(OR($U2751=TRUE(),$U2751="TRUE"),1,0))</f>
        <v/>
      </c>
      <c r="AQ2751">
        <f>IF($E2751="","",IF($AD2751="Yes",1,0))</f>
        <v/>
      </c>
      <c r="AR2751">
        <f>IF($AN2751=1,IFERROR(VALUE(MID($E2751,2,20)),1000000000)+ROW()/100000,"")</f>
        <v/>
      </c>
    </row>
    <row r="2752">
      <c r="G2752" s="11" t="n"/>
      <c r="Q2752" s="7">
        <f>IF($E2752="","",P2752*AB2752/100)</f>
        <v/>
      </c>
      <c r="R2752" s="7" t="n"/>
      <c r="X2752" s="7" t="n"/>
      <c r="Y2752" s="7">
        <f>IF($E2752="","",AB2752*AE2752/100)</f>
        <v/>
      </c>
      <c r="Z2752" s="7">
        <f>IF($E2752="","",AB2752-Y2752)</f>
        <v/>
      </c>
      <c r="AA2752" s="7">
        <f>IF($E2752="","",Z2752-Q2752)</f>
        <v/>
      </c>
      <c r="AB2752" s="7" t="n"/>
      <c r="AE2752">
        <f>IF($E2752="","",IF($AQ2752=1,0,IF($AP2752=1,Settings!$C$6,Settings!$C$7))*100)</f>
        <v/>
      </c>
      <c r="AI2752" s="7" t="n"/>
      <c r="AL2752" s="11" t="n"/>
      <c r="AN2752">
        <f>IF($E2752="","",IF(COUNTIF($E$2:$E2752,$E2752)=1,1,0))</f>
        <v/>
      </c>
      <c r="AO2752">
        <f>IF($AN2752=1,SUMPRODUCT(--($AR$2:$AR$3001&lt;$AR2752))+1,"")</f>
        <v/>
      </c>
      <c r="AP2752">
        <f>IF($E2752="","",IF(OR($U2752=TRUE(),$U2752="TRUE"),1,0))</f>
        <v/>
      </c>
      <c r="AQ2752">
        <f>IF($E2752="","",IF($AD2752="Yes",1,0))</f>
        <v/>
      </c>
      <c r="AR2752">
        <f>IF($AN2752=1,IFERROR(VALUE(MID($E2752,2,20)),1000000000)+ROW()/100000,"")</f>
        <v/>
      </c>
    </row>
    <row r="2753">
      <c r="G2753" s="11" t="n"/>
      <c r="Q2753" s="7">
        <f>IF($E2753="","",P2753*AB2753/100)</f>
        <v/>
      </c>
      <c r="R2753" s="7" t="n"/>
      <c r="X2753" s="7" t="n"/>
      <c r="Y2753" s="7">
        <f>IF($E2753="","",AB2753*AE2753/100)</f>
        <v/>
      </c>
      <c r="Z2753" s="7">
        <f>IF($E2753="","",AB2753-Y2753)</f>
        <v/>
      </c>
      <c r="AA2753" s="7">
        <f>IF($E2753="","",Z2753-Q2753)</f>
        <v/>
      </c>
      <c r="AB2753" s="7" t="n"/>
      <c r="AE2753">
        <f>IF($E2753="","",IF($AQ2753=1,0,IF($AP2753=1,Settings!$C$6,Settings!$C$7))*100)</f>
        <v/>
      </c>
      <c r="AI2753" s="7" t="n"/>
      <c r="AL2753" s="11" t="n"/>
      <c r="AN2753">
        <f>IF($E2753="","",IF(COUNTIF($E$2:$E2753,$E2753)=1,1,0))</f>
        <v/>
      </c>
      <c r="AO2753">
        <f>IF($AN2753=1,SUMPRODUCT(--($AR$2:$AR$3001&lt;$AR2753))+1,"")</f>
        <v/>
      </c>
      <c r="AP2753">
        <f>IF($E2753="","",IF(OR($U2753=TRUE(),$U2753="TRUE"),1,0))</f>
        <v/>
      </c>
      <c r="AQ2753">
        <f>IF($E2753="","",IF($AD2753="Yes",1,0))</f>
        <v/>
      </c>
      <c r="AR2753">
        <f>IF($AN2753=1,IFERROR(VALUE(MID($E2753,2,20)),1000000000)+ROW()/100000,"")</f>
        <v/>
      </c>
    </row>
    <row r="2754">
      <c r="G2754" s="11" t="n"/>
      <c r="Q2754" s="7">
        <f>IF($E2754="","",P2754*AB2754/100)</f>
        <v/>
      </c>
      <c r="R2754" s="7" t="n"/>
      <c r="X2754" s="7" t="n"/>
      <c r="Y2754" s="7">
        <f>IF($E2754="","",AB2754*AE2754/100)</f>
        <v/>
      </c>
      <c r="Z2754" s="7">
        <f>IF($E2754="","",AB2754-Y2754)</f>
        <v/>
      </c>
      <c r="AA2754" s="7">
        <f>IF($E2754="","",Z2754-Q2754)</f>
        <v/>
      </c>
      <c r="AB2754" s="7" t="n"/>
      <c r="AE2754">
        <f>IF($E2754="","",IF($AQ2754=1,0,IF($AP2754=1,Settings!$C$6,Settings!$C$7))*100)</f>
        <v/>
      </c>
      <c r="AI2754" s="7" t="n"/>
      <c r="AL2754" s="11" t="n"/>
      <c r="AN2754">
        <f>IF($E2754="","",IF(COUNTIF($E$2:$E2754,$E2754)=1,1,0))</f>
        <v/>
      </c>
      <c r="AO2754">
        <f>IF($AN2754=1,SUMPRODUCT(--($AR$2:$AR$3001&lt;$AR2754))+1,"")</f>
        <v/>
      </c>
      <c r="AP2754">
        <f>IF($E2754="","",IF(OR($U2754=TRUE(),$U2754="TRUE"),1,0))</f>
        <v/>
      </c>
      <c r="AQ2754">
        <f>IF($E2754="","",IF($AD2754="Yes",1,0))</f>
        <v/>
      </c>
      <c r="AR2754">
        <f>IF($AN2754=1,IFERROR(VALUE(MID($E2754,2,20)),1000000000)+ROW()/100000,"")</f>
        <v/>
      </c>
    </row>
    <row r="2755">
      <c r="G2755" s="11" t="n"/>
      <c r="Q2755" s="7">
        <f>IF($E2755="","",P2755*AB2755/100)</f>
        <v/>
      </c>
      <c r="R2755" s="7" t="n"/>
      <c r="X2755" s="7" t="n"/>
      <c r="Y2755" s="7">
        <f>IF($E2755="","",AB2755*AE2755/100)</f>
        <v/>
      </c>
      <c r="Z2755" s="7">
        <f>IF($E2755="","",AB2755-Y2755)</f>
        <v/>
      </c>
      <c r="AA2755" s="7">
        <f>IF($E2755="","",Z2755-Q2755)</f>
        <v/>
      </c>
      <c r="AB2755" s="7" t="n"/>
      <c r="AE2755">
        <f>IF($E2755="","",IF($AQ2755=1,0,IF($AP2755=1,Settings!$C$6,Settings!$C$7))*100)</f>
        <v/>
      </c>
      <c r="AI2755" s="7" t="n"/>
      <c r="AL2755" s="11" t="n"/>
      <c r="AN2755">
        <f>IF($E2755="","",IF(COUNTIF($E$2:$E2755,$E2755)=1,1,0))</f>
        <v/>
      </c>
      <c r="AO2755">
        <f>IF($AN2755=1,SUMPRODUCT(--($AR$2:$AR$3001&lt;$AR2755))+1,"")</f>
        <v/>
      </c>
      <c r="AP2755">
        <f>IF($E2755="","",IF(OR($U2755=TRUE(),$U2755="TRUE"),1,0))</f>
        <v/>
      </c>
      <c r="AQ2755">
        <f>IF($E2755="","",IF($AD2755="Yes",1,0))</f>
        <v/>
      </c>
      <c r="AR2755">
        <f>IF($AN2755=1,IFERROR(VALUE(MID($E2755,2,20)),1000000000)+ROW()/100000,"")</f>
        <v/>
      </c>
    </row>
    <row r="2756">
      <c r="G2756" s="11" t="n"/>
      <c r="Q2756" s="7">
        <f>IF($E2756="","",P2756*AB2756/100)</f>
        <v/>
      </c>
      <c r="R2756" s="7" t="n"/>
      <c r="X2756" s="7" t="n"/>
      <c r="Y2756" s="7">
        <f>IF($E2756="","",AB2756*AE2756/100)</f>
        <v/>
      </c>
      <c r="Z2756" s="7">
        <f>IF($E2756="","",AB2756-Y2756)</f>
        <v/>
      </c>
      <c r="AA2756" s="7">
        <f>IF($E2756="","",Z2756-Q2756)</f>
        <v/>
      </c>
      <c r="AB2756" s="7" t="n"/>
      <c r="AE2756">
        <f>IF($E2756="","",IF($AQ2756=1,0,IF($AP2756=1,Settings!$C$6,Settings!$C$7))*100)</f>
        <v/>
      </c>
      <c r="AI2756" s="7" t="n"/>
      <c r="AL2756" s="11" t="n"/>
      <c r="AN2756">
        <f>IF($E2756="","",IF(COUNTIF($E$2:$E2756,$E2756)=1,1,0))</f>
        <v/>
      </c>
      <c r="AO2756">
        <f>IF($AN2756=1,SUMPRODUCT(--($AR$2:$AR$3001&lt;$AR2756))+1,"")</f>
        <v/>
      </c>
      <c r="AP2756">
        <f>IF($E2756="","",IF(OR($U2756=TRUE(),$U2756="TRUE"),1,0))</f>
        <v/>
      </c>
      <c r="AQ2756">
        <f>IF($E2756="","",IF($AD2756="Yes",1,0))</f>
        <v/>
      </c>
      <c r="AR2756">
        <f>IF($AN2756=1,IFERROR(VALUE(MID($E2756,2,20)),1000000000)+ROW()/100000,"")</f>
        <v/>
      </c>
    </row>
    <row r="2757">
      <c r="G2757" s="11" t="n"/>
      <c r="Q2757" s="7">
        <f>IF($E2757="","",P2757*AB2757/100)</f>
        <v/>
      </c>
      <c r="R2757" s="7" t="n"/>
      <c r="X2757" s="7" t="n"/>
      <c r="Y2757" s="7">
        <f>IF($E2757="","",AB2757*AE2757/100)</f>
        <v/>
      </c>
      <c r="Z2757" s="7">
        <f>IF($E2757="","",AB2757-Y2757)</f>
        <v/>
      </c>
      <c r="AA2757" s="7">
        <f>IF($E2757="","",Z2757-Q2757)</f>
        <v/>
      </c>
      <c r="AB2757" s="7" t="n"/>
      <c r="AE2757">
        <f>IF($E2757="","",IF($AQ2757=1,0,IF($AP2757=1,Settings!$C$6,Settings!$C$7))*100)</f>
        <v/>
      </c>
      <c r="AI2757" s="7" t="n"/>
      <c r="AL2757" s="11" t="n"/>
      <c r="AN2757">
        <f>IF($E2757="","",IF(COUNTIF($E$2:$E2757,$E2757)=1,1,0))</f>
        <v/>
      </c>
      <c r="AO2757">
        <f>IF($AN2757=1,SUMPRODUCT(--($AR$2:$AR$3001&lt;$AR2757))+1,"")</f>
        <v/>
      </c>
      <c r="AP2757">
        <f>IF($E2757="","",IF(OR($U2757=TRUE(),$U2757="TRUE"),1,0))</f>
        <v/>
      </c>
      <c r="AQ2757">
        <f>IF($E2757="","",IF($AD2757="Yes",1,0))</f>
        <v/>
      </c>
      <c r="AR2757">
        <f>IF($AN2757=1,IFERROR(VALUE(MID($E2757,2,20)),1000000000)+ROW()/100000,"")</f>
        <v/>
      </c>
    </row>
    <row r="2758">
      <c r="G2758" s="11" t="n"/>
      <c r="Q2758" s="7">
        <f>IF($E2758="","",P2758*AB2758/100)</f>
        <v/>
      </c>
      <c r="R2758" s="7" t="n"/>
      <c r="X2758" s="7" t="n"/>
      <c r="Y2758" s="7">
        <f>IF($E2758="","",AB2758*AE2758/100)</f>
        <v/>
      </c>
      <c r="Z2758" s="7">
        <f>IF($E2758="","",AB2758-Y2758)</f>
        <v/>
      </c>
      <c r="AA2758" s="7">
        <f>IF($E2758="","",Z2758-Q2758)</f>
        <v/>
      </c>
      <c r="AB2758" s="7" t="n"/>
      <c r="AE2758">
        <f>IF($E2758="","",IF($AQ2758=1,0,IF($AP2758=1,Settings!$C$6,Settings!$C$7))*100)</f>
        <v/>
      </c>
      <c r="AI2758" s="7" t="n"/>
      <c r="AL2758" s="11" t="n"/>
      <c r="AN2758">
        <f>IF($E2758="","",IF(COUNTIF($E$2:$E2758,$E2758)=1,1,0))</f>
        <v/>
      </c>
      <c r="AO2758">
        <f>IF($AN2758=1,SUMPRODUCT(--($AR$2:$AR$3001&lt;$AR2758))+1,"")</f>
        <v/>
      </c>
      <c r="AP2758">
        <f>IF($E2758="","",IF(OR($U2758=TRUE(),$U2758="TRUE"),1,0))</f>
        <v/>
      </c>
      <c r="AQ2758">
        <f>IF($E2758="","",IF($AD2758="Yes",1,0))</f>
        <v/>
      </c>
      <c r="AR2758">
        <f>IF($AN2758=1,IFERROR(VALUE(MID($E2758,2,20)),1000000000)+ROW()/100000,"")</f>
        <v/>
      </c>
    </row>
    <row r="2759">
      <c r="G2759" s="11" t="n"/>
      <c r="Q2759" s="7">
        <f>IF($E2759="","",P2759*AB2759/100)</f>
        <v/>
      </c>
      <c r="R2759" s="7" t="n"/>
      <c r="X2759" s="7" t="n"/>
      <c r="Y2759" s="7">
        <f>IF($E2759="","",AB2759*AE2759/100)</f>
        <v/>
      </c>
      <c r="Z2759" s="7">
        <f>IF($E2759="","",AB2759-Y2759)</f>
        <v/>
      </c>
      <c r="AA2759" s="7">
        <f>IF($E2759="","",Z2759-Q2759)</f>
        <v/>
      </c>
      <c r="AB2759" s="7" t="n"/>
      <c r="AE2759">
        <f>IF($E2759="","",IF($AQ2759=1,0,IF($AP2759=1,Settings!$C$6,Settings!$C$7))*100)</f>
        <v/>
      </c>
      <c r="AI2759" s="7" t="n"/>
      <c r="AL2759" s="11" t="n"/>
      <c r="AN2759">
        <f>IF($E2759="","",IF(COUNTIF($E$2:$E2759,$E2759)=1,1,0))</f>
        <v/>
      </c>
      <c r="AO2759">
        <f>IF($AN2759=1,SUMPRODUCT(--($AR$2:$AR$3001&lt;$AR2759))+1,"")</f>
        <v/>
      </c>
      <c r="AP2759">
        <f>IF($E2759="","",IF(OR($U2759=TRUE(),$U2759="TRUE"),1,0))</f>
        <v/>
      </c>
      <c r="AQ2759">
        <f>IF($E2759="","",IF($AD2759="Yes",1,0))</f>
        <v/>
      </c>
      <c r="AR2759">
        <f>IF($AN2759=1,IFERROR(VALUE(MID($E2759,2,20)),1000000000)+ROW()/100000,"")</f>
        <v/>
      </c>
    </row>
    <row r="2760">
      <c r="G2760" s="11" t="n"/>
      <c r="Q2760" s="7">
        <f>IF($E2760="","",P2760*AB2760/100)</f>
        <v/>
      </c>
      <c r="R2760" s="7" t="n"/>
      <c r="X2760" s="7" t="n"/>
      <c r="Y2760" s="7">
        <f>IF($E2760="","",AB2760*AE2760/100)</f>
        <v/>
      </c>
      <c r="Z2760" s="7">
        <f>IF($E2760="","",AB2760-Y2760)</f>
        <v/>
      </c>
      <c r="AA2760" s="7">
        <f>IF($E2760="","",Z2760-Q2760)</f>
        <v/>
      </c>
      <c r="AB2760" s="7" t="n"/>
      <c r="AE2760">
        <f>IF($E2760="","",IF($AQ2760=1,0,IF($AP2760=1,Settings!$C$6,Settings!$C$7))*100)</f>
        <v/>
      </c>
      <c r="AI2760" s="7" t="n"/>
      <c r="AL2760" s="11" t="n"/>
      <c r="AN2760">
        <f>IF($E2760="","",IF(COUNTIF($E$2:$E2760,$E2760)=1,1,0))</f>
        <v/>
      </c>
      <c r="AO2760">
        <f>IF($AN2760=1,SUMPRODUCT(--($AR$2:$AR$3001&lt;$AR2760))+1,"")</f>
        <v/>
      </c>
      <c r="AP2760">
        <f>IF($E2760="","",IF(OR($U2760=TRUE(),$U2760="TRUE"),1,0))</f>
        <v/>
      </c>
      <c r="AQ2760">
        <f>IF($E2760="","",IF($AD2760="Yes",1,0))</f>
        <v/>
      </c>
      <c r="AR2760">
        <f>IF($AN2760=1,IFERROR(VALUE(MID($E2760,2,20)),1000000000)+ROW()/100000,"")</f>
        <v/>
      </c>
    </row>
    <row r="2761">
      <c r="G2761" s="11" t="n"/>
      <c r="Q2761" s="7">
        <f>IF($E2761="","",P2761*AB2761/100)</f>
        <v/>
      </c>
      <c r="R2761" s="7" t="n"/>
      <c r="X2761" s="7" t="n"/>
      <c r="Y2761" s="7">
        <f>IF($E2761="","",AB2761*AE2761/100)</f>
        <v/>
      </c>
      <c r="Z2761" s="7">
        <f>IF($E2761="","",AB2761-Y2761)</f>
        <v/>
      </c>
      <c r="AA2761" s="7">
        <f>IF($E2761="","",Z2761-Q2761)</f>
        <v/>
      </c>
      <c r="AB2761" s="7" t="n"/>
      <c r="AE2761">
        <f>IF($E2761="","",IF($AQ2761=1,0,IF($AP2761=1,Settings!$C$6,Settings!$C$7))*100)</f>
        <v/>
      </c>
      <c r="AI2761" s="7" t="n"/>
      <c r="AL2761" s="11" t="n"/>
      <c r="AN2761">
        <f>IF($E2761="","",IF(COUNTIF($E$2:$E2761,$E2761)=1,1,0))</f>
        <v/>
      </c>
      <c r="AO2761">
        <f>IF($AN2761=1,SUMPRODUCT(--($AR$2:$AR$3001&lt;$AR2761))+1,"")</f>
        <v/>
      </c>
      <c r="AP2761">
        <f>IF($E2761="","",IF(OR($U2761=TRUE(),$U2761="TRUE"),1,0))</f>
        <v/>
      </c>
      <c r="AQ2761">
        <f>IF($E2761="","",IF($AD2761="Yes",1,0))</f>
        <v/>
      </c>
      <c r="AR2761">
        <f>IF($AN2761=1,IFERROR(VALUE(MID($E2761,2,20)),1000000000)+ROW()/100000,"")</f>
        <v/>
      </c>
    </row>
    <row r="2762">
      <c r="G2762" s="11" t="n"/>
      <c r="Q2762" s="7">
        <f>IF($E2762="","",P2762*AB2762/100)</f>
        <v/>
      </c>
      <c r="R2762" s="7" t="n"/>
      <c r="X2762" s="7" t="n"/>
      <c r="Y2762" s="7">
        <f>IF($E2762="","",AB2762*AE2762/100)</f>
        <v/>
      </c>
      <c r="Z2762" s="7">
        <f>IF($E2762="","",AB2762-Y2762)</f>
        <v/>
      </c>
      <c r="AA2762" s="7">
        <f>IF($E2762="","",Z2762-Q2762)</f>
        <v/>
      </c>
      <c r="AB2762" s="7" t="n"/>
      <c r="AE2762">
        <f>IF($E2762="","",IF($AQ2762=1,0,IF($AP2762=1,Settings!$C$6,Settings!$C$7))*100)</f>
        <v/>
      </c>
      <c r="AI2762" s="7" t="n"/>
      <c r="AL2762" s="11" t="n"/>
      <c r="AN2762">
        <f>IF($E2762="","",IF(COUNTIF($E$2:$E2762,$E2762)=1,1,0))</f>
        <v/>
      </c>
      <c r="AO2762">
        <f>IF($AN2762=1,SUMPRODUCT(--($AR$2:$AR$3001&lt;$AR2762))+1,"")</f>
        <v/>
      </c>
      <c r="AP2762">
        <f>IF($E2762="","",IF(OR($U2762=TRUE(),$U2762="TRUE"),1,0))</f>
        <v/>
      </c>
      <c r="AQ2762">
        <f>IF($E2762="","",IF($AD2762="Yes",1,0))</f>
        <v/>
      </c>
      <c r="AR2762">
        <f>IF($AN2762=1,IFERROR(VALUE(MID($E2762,2,20)),1000000000)+ROW()/100000,"")</f>
        <v/>
      </c>
    </row>
    <row r="2763">
      <c r="G2763" s="11" t="n"/>
      <c r="Q2763" s="7">
        <f>IF($E2763="","",P2763*AB2763/100)</f>
        <v/>
      </c>
      <c r="R2763" s="7" t="n"/>
      <c r="X2763" s="7" t="n"/>
      <c r="Y2763" s="7">
        <f>IF($E2763="","",AB2763*AE2763/100)</f>
        <v/>
      </c>
      <c r="Z2763" s="7">
        <f>IF($E2763="","",AB2763-Y2763)</f>
        <v/>
      </c>
      <c r="AA2763" s="7">
        <f>IF($E2763="","",Z2763-Q2763)</f>
        <v/>
      </c>
      <c r="AB2763" s="7" t="n"/>
      <c r="AE2763">
        <f>IF($E2763="","",IF($AQ2763=1,0,IF($AP2763=1,Settings!$C$6,Settings!$C$7))*100)</f>
        <v/>
      </c>
      <c r="AI2763" s="7" t="n"/>
      <c r="AL2763" s="11" t="n"/>
      <c r="AN2763">
        <f>IF($E2763="","",IF(COUNTIF($E$2:$E2763,$E2763)=1,1,0))</f>
        <v/>
      </c>
      <c r="AO2763">
        <f>IF($AN2763=1,SUMPRODUCT(--($AR$2:$AR$3001&lt;$AR2763))+1,"")</f>
        <v/>
      </c>
      <c r="AP2763">
        <f>IF($E2763="","",IF(OR($U2763=TRUE(),$U2763="TRUE"),1,0))</f>
        <v/>
      </c>
      <c r="AQ2763">
        <f>IF($E2763="","",IF($AD2763="Yes",1,0))</f>
        <v/>
      </c>
      <c r="AR2763">
        <f>IF($AN2763=1,IFERROR(VALUE(MID($E2763,2,20)),1000000000)+ROW()/100000,"")</f>
        <v/>
      </c>
    </row>
    <row r="2764">
      <c r="G2764" s="11" t="n"/>
      <c r="Q2764" s="7">
        <f>IF($E2764="","",P2764*AB2764/100)</f>
        <v/>
      </c>
      <c r="R2764" s="7" t="n"/>
      <c r="X2764" s="7" t="n"/>
      <c r="Y2764" s="7">
        <f>IF($E2764="","",AB2764*AE2764/100)</f>
        <v/>
      </c>
      <c r="Z2764" s="7">
        <f>IF($E2764="","",AB2764-Y2764)</f>
        <v/>
      </c>
      <c r="AA2764" s="7">
        <f>IF($E2764="","",Z2764-Q2764)</f>
        <v/>
      </c>
      <c r="AB2764" s="7" t="n"/>
      <c r="AE2764">
        <f>IF($E2764="","",IF($AQ2764=1,0,IF($AP2764=1,Settings!$C$6,Settings!$C$7))*100)</f>
        <v/>
      </c>
      <c r="AI2764" s="7" t="n"/>
      <c r="AL2764" s="11" t="n"/>
      <c r="AN2764">
        <f>IF($E2764="","",IF(COUNTIF($E$2:$E2764,$E2764)=1,1,0))</f>
        <v/>
      </c>
      <c r="AO2764">
        <f>IF($AN2764=1,SUMPRODUCT(--($AR$2:$AR$3001&lt;$AR2764))+1,"")</f>
        <v/>
      </c>
      <c r="AP2764">
        <f>IF($E2764="","",IF(OR($U2764=TRUE(),$U2764="TRUE"),1,0))</f>
        <v/>
      </c>
      <c r="AQ2764">
        <f>IF($E2764="","",IF($AD2764="Yes",1,0))</f>
        <v/>
      </c>
      <c r="AR2764">
        <f>IF($AN2764=1,IFERROR(VALUE(MID($E2764,2,20)),1000000000)+ROW()/100000,"")</f>
        <v/>
      </c>
    </row>
    <row r="2765">
      <c r="G2765" s="11" t="n"/>
      <c r="Q2765" s="7">
        <f>IF($E2765="","",P2765*AB2765/100)</f>
        <v/>
      </c>
      <c r="R2765" s="7" t="n"/>
      <c r="X2765" s="7" t="n"/>
      <c r="Y2765" s="7">
        <f>IF($E2765="","",AB2765*AE2765/100)</f>
        <v/>
      </c>
      <c r="Z2765" s="7">
        <f>IF($E2765="","",AB2765-Y2765)</f>
        <v/>
      </c>
      <c r="AA2765" s="7">
        <f>IF($E2765="","",Z2765-Q2765)</f>
        <v/>
      </c>
      <c r="AB2765" s="7" t="n"/>
      <c r="AE2765">
        <f>IF($E2765="","",IF($AQ2765=1,0,IF($AP2765=1,Settings!$C$6,Settings!$C$7))*100)</f>
        <v/>
      </c>
      <c r="AI2765" s="7" t="n"/>
      <c r="AL2765" s="11" t="n"/>
      <c r="AN2765">
        <f>IF($E2765="","",IF(COUNTIF($E$2:$E2765,$E2765)=1,1,0))</f>
        <v/>
      </c>
      <c r="AO2765">
        <f>IF($AN2765=1,SUMPRODUCT(--($AR$2:$AR$3001&lt;$AR2765))+1,"")</f>
        <v/>
      </c>
      <c r="AP2765">
        <f>IF($E2765="","",IF(OR($U2765=TRUE(),$U2765="TRUE"),1,0))</f>
        <v/>
      </c>
      <c r="AQ2765">
        <f>IF($E2765="","",IF($AD2765="Yes",1,0))</f>
        <v/>
      </c>
      <c r="AR2765">
        <f>IF($AN2765=1,IFERROR(VALUE(MID($E2765,2,20)),1000000000)+ROW()/100000,"")</f>
        <v/>
      </c>
    </row>
    <row r="2766">
      <c r="G2766" s="11" t="n"/>
      <c r="Q2766" s="7">
        <f>IF($E2766="","",P2766*AB2766/100)</f>
        <v/>
      </c>
      <c r="R2766" s="7" t="n"/>
      <c r="X2766" s="7" t="n"/>
      <c r="Y2766" s="7">
        <f>IF($E2766="","",AB2766*AE2766/100)</f>
        <v/>
      </c>
      <c r="Z2766" s="7">
        <f>IF($E2766="","",AB2766-Y2766)</f>
        <v/>
      </c>
      <c r="AA2766" s="7">
        <f>IF($E2766="","",Z2766-Q2766)</f>
        <v/>
      </c>
      <c r="AB2766" s="7" t="n"/>
      <c r="AE2766">
        <f>IF($E2766="","",IF($AQ2766=1,0,IF($AP2766=1,Settings!$C$6,Settings!$C$7))*100)</f>
        <v/>
      </c>
      <c r="AI2766" s="7" t="n"/>
      <c r="AL2766" s="11" t="n"/>
      <c r="AN2766">
        <f>IF($E2766="","",IF(COUNTIF($E$2:$E2766,$E2766)=1,1,0))</f>
        <v/>
      </c>
      <c r="AO2766">
        <f>IF($AN2766=1,SUMPRODUCT(--($AR$2:$AR$3001&lt;$AR2766))+1,"")</f>
        <v/>
      </c>
      <c r="AP2766">
        <f>IF($E2766="","",IF(OR($U2766=TRUE(),$U2766="TRUE"),1,0))</f>
        <v/>
      </c>
      <c r="AQ2766">
        <f>IF($E2766="","",IF($AD2766="Yes",1,0))</f>
        <v/>
      </c>
      <c r="AR2766">
        <f>IF($AN2766=1,IFERROR(VALUE(MID($E2766,2,20)),1000000000)+ROW()/100000,"")</f>
        <v/>
      </c>
    </row>
    <row r="2767">
      <c r="G2767" s="11" t="n"/>
      <c r="Q2767" s="7">
        <f>IF($E2767="","",P2767*AB2767/100)</f>
        <v/>
      </c>
      <c r="R2767" s="7" t="n"/>
      <c r="X2767" s="7" t="n"/>
      <c r="Y2767" s="7">
        <f>IF($E2767="","",AB2767*AE2767/100)</f>
        <v/>
      </c>
      <c r="Z2767" s="7">
        <f>IF($E2767="","",AB2767-Y2767)</f>
        <v/>
      </c>
      <c r="AA2767" s="7">
        <f>IF($E2767="","",Z2767-Q2767)</f>
        <v/>
      </c>
      <c r="AB2767" s="7" t="n"/>
      <c r="AE2767">
        <f>IF($E2767="","",IF($AQ2767=1,0,IF($AP2767=1,Settings!$C$6,Settings!$C$7))*100)</f>
        <v/>
      </c>
      <c r="AI2767" s="7" t="n"/>
      <c r="AL2767" s="11" t="n"/>
      <c r="AN2767">
        <f>IF($E2767="","",IF(COUNTIF($E$2:$E2767,$E2767)=1,1,0))</f>
        <v/>
      </c>
      <c r="AO2767">
        <f>IF($AN2767=1,SUMPRODUCT(--($AR$2:$AR$3001&lt;$AR2767))+1,"")</f>
        <v/>
      </c>
      <c r="AP2767">
        <f>IF($E2767="","",IF(OR($U2767=TRUE(),$U2767="TRUE"),1,0))</f>
        <v/>
      </c>
      <c r="AQ2767">
        <f>IF($E2767="","",IF($AD2767="Yes",1,0))</f>
        <v/>
      </c>
      <c r="AR2767">
        <f>IF($AN2767=1,IFERROR(VALUE(MID($E2767,2,20)),1000000000)+ROW()/100000,"")</f>
        <v/>
      </c>
    </row>
    <row r="2768">
      <c r="G2768" s="11" t="n"/>
      <c r="Q2768" s="7">
        <f>IF($E2768="","",P2768*AB2768/100)</f>
        <v/>
      </c>
      <c r="R2768" s="7" t="n"/>
      <c r="X2768" s="7" t="n"/>
      <c r="Y2768" s="7">
        <f>IF($E2768="","",AB2768*AE2768/100)</f>
        <v/>
      </c>
      <c r="Z2768" s="7">
        <f>IF($E2768="","",AB2768-Y2768)</f>
        <v/>
      </c>
      <c r="AA2768" s="7">
        <f>IF($E2768="","",Z2768-Q2768)</f>
        <v/>
      </c>
      <c r="AB2768" s="7" t="n"/>
      <c r="AE2768">
        <f>IF($E2768="","",IF($AQ2768=1,0,IF($AP2768=1,Settings!$C$6,Settings!$C$7))*100)</f>
        <v/>
      </c>
      <c r="AI2768" s="7" t="n"/>
      <c r="AL2768" s="11" t="n"/>
      <c r="AN2768">
        <f>IF($E2768="","",IF(COUNTIF($E$2:$E2768,$E2768)=1,1,0))</f>
        <v/>
      </c>
      <c r="AO2768">
        <f>IF($AN2768=1,SUMPRODUCT(--($AR$2:$AR$3001&lt;$AR2768))+1,"")</f>
        <v/>
      </c>
      <c r="AP2768">
        <f>IF($E2768="","",IF(OR($U2768=TRUE(),$U2768="TRUE"),1,0))</f>
        <v/>
      </c>
      <c r="AQ2768">
        <f>IF($E2768="","",IF($AD2768="Yes",1,0))</f>
        <v/>
      </c>
      <c r="AR2768">
        <f>IF($AN2768=1,IFERROR(VALUE(MID($E2768,2,20)),1000000000)+ROW()/100000,"")</f>
        <v/>
      </c>
    </row>
    <row r="2769">
      <c r="G2769" s="11" t="n"/>
      <c r="Q2769" s="7">
        <f>IF($E2769="","",P2769*AB2769/100)</f>
        <v/>
      </c>
      <c r="R2769" s="7" t="n"/>
      <c r="X2769" s="7" t="n"/>
      <c r="Y2769" s="7">
        <f>IF($E2769="","",AB2769*AE2769/100)</f>
        <v/>
      </c>
      <c r="Z2769" s="7">
        <f>IF($E2769="","",AB2769-Y2769)</f>
        <v/>
      </c>
      <c r="AA2769" s="7">
        <f>IF($E2769="","",Z2769-Q2769)</f>
        <v/>
      </c>
      <c r="AB2769" s="7" t="n"/>
      <c r="AE2769">
        <f>IF($E2769="","",IF($AQ2769=1,0,IF($AP2769=1,Settings!$C$6,Settings!$C$7))*100)</f>
        <v/>
      </c>
      <c r="AI2769" s="7" t="n"/>
      <c r="AL2769" s="11" t="n"/>
      <c r="AN2769">
        <f>IF($E2769="","",IF(COUNTIF($E$2:$E2769,$E2769)=1,1,0))</f>
        <v/>
      </c>
      <c r="AO2769">
        <f>IF($AN2769=1,SUMPRODUCT(--($AR$2:$AR$3001&lt;$AR2769))+1,"")</f>
        <v/>
      </c>
      <c r="AP2769">
        <f>IF($E2769="","",IF(OR($U2769=TRUE(),$U2769="TRUE"),1,0))</f>
        <v/>
      </c>
      <c r="AQ2769">
        <f>IF($E2769="","",IF($AD2769="Yes",1,0))</f>
        <v/>
      </c>
      <c r="AR2769">
        <f>IF($AN2769=1,IFERROR(VALUE(MID($E2769,2,20)),1000000000)+ROW()/100000,"")</f>
        <v/>
      </c>
    </row>
    <row r="2770">
      <c r="G2770" s="11" t="n"/>
      <c r="Q2770" s="7">
        <f>IF($E2770="","",P2770*AB2770/100)</f>
        <v/>
      </c>
      <c r="R2770" s="7" t="n"/>
      <c r="X2770" s="7" t="n"/>
      <c r="Y2770" s="7">
        <f>IF($E2770="","",AB2770*AE2770/100)</f>
        <v/>
      </c>
      <c r="Z2770" s="7">
        <f>IF($E2770="","",AB2770-Y2770)</f>
        <v/>
      </c>
      <c r="AA2770" s="7">
        <f>IF($E2770="","",Z2770-Q2770)</f>
        <v/>
      </c>
      <c r="AB2770" s="7" t="n"/>
      <c r="AE2770">
        <f>IF($E2770="","",IF($AQ2770=1,0,IF($AP2770=1,Settings!$C$6,Settings!$C$7))*100)</f>
        <v/>
      </c>
      <c r="AI2770" s="7" t="n"/>
      <c r="AL2770" s="11" t="n"/>
      <c r="AN2770">
        <f>IF($E2770="","",IF(COUNTIF($E$2:$E2770,$E2770)=1,1,0))</f>
        <v/>
      </c>
      <c r="AO2770">
        <f>IF($AN2770=1,SUMPRODUCT(--($AR$2:$AR$3001&lt;$AR2770))+1,"")</f>
        <v/>
      </c>
      <c r="AP2770">
        <f>IF($E2770="","",IF(OR($U2770=TRUE(),$U2770="TRUE"),1,0))</f>
        <v/>
      </c>
      <c r="AQ2770">
        <f>IF($E2770="","",IF($AD2770="Yes",1,0))</f>
        <v/>
      </c>
      <c r="AR2770">
        <f>IF($AN2770=1,IFERROR(VALUE(MID($E2770,2,20)),1000000000)+ROW()/100000,"")</f>
        <v/>
      </c>
    </row>
    <row r="2771">
      <c r="G2771" s="11" t="n"/>
      <c r="Q2771" s="7">
        <f>IF($E2771="","",P2771*AB2771/100)</f>
        <v/>
      </c>
      <c r="R2771" s="7" t="n"/>
      <c r="X2771" s="7" t="n"/>
      <c r="Y2771" s="7">
        <f>IF($E2771="","",AB2771*AE2771/100)</f>
        <v/>
      </c>
      <c r="Z2771" s="7">
        <f>IF($E2771="","",AB2771-Y2771)</f>
        <v/>
      </c>
      <c r="AA2771" s="7">
        <f>IF($E2771="","",Z2771-Q2771)</f>
        <v/>
      </c>
      <c r="AB2771" s="7" t="n"/>
      <c r="AE2771">
        <f>IF($E2771="","",IF($AQ2771=1,0,IF($AP2771=1,Settings!$C$6,Settings!$C$7))*100)</f>
        <v/>
      </c>
      <c r="AI2771" s="7" t="n"/>
      <c r="AL2771" s="11" t="n"/>
      <c r="AN2771">
        <f>IF($E2771="","",IF(COUNTIF($E$2:$E2771,$E2771)=1,1,0))</f>
        <v/>
      </c>
      <c r="AO2771">
        <f>IF($AN2771=1,SUMPRODUCT(--($AR$2:$AR$3001&lt;$AR2771))+1,"")</f>
        <v/>
      </c>
      <c r="AP2771">
        <f>IF($E2771="","",IF(OR($U2771=TRUE(),$U2771="TRUE"),1,0))</f>
        <v/>
      </c>
      <c r="AQ2771">
        <f>IF($E2771="","",IF($AD2771="Yes",1,0))</f>
        <v/>
      </c>
      <c r="AR2771">
        <f>IF($AN2771=1,IFERROR(VALUE(MID($E2771,2,20)),1000000000)+ROW()/100000,"")</f>
        <v/>
      </c>
    </row>
    <row r="2772">
      <c r="G2772" s="11" t="n"/>
      <c r="Q2772" s="7">
        <f>IF($E2772="","",P2772*AB2772/100)</f>
        <v/>
      </c>
      <c r="R2772" s="7" t="n"/>
      <c r="X2772" s="7" t="n"/>
      <c r="Y2772" s="7">
        <f>IF($E2772="","",AB2772*AE2772/100)</f>
        <v/>
      </c>
      <c r="Z2772" s="7">
        <f>IF($E2772="","",AB2772-Y2772)</f>
        <v/>
      </c>
      <c r="AA2772" s="7">
        <f>IF($E2772="","",Z2772-Q2772)</f>
        <v/>
      </c>
      <c r="AB2772" s="7" t="n"/>
      <c r="AE2772">
        <f>IF($E2772="","",IF($AQ2772=1,0,IF($AP2772=1,Settings!$C$6,Settings!$C$7))*100)</f>
        <v/>
      </c>
      <c r="AI2772" s="7" t="n"/>
      <c r="AL2772" s="11" t="n"/>
      <c r="AN2772">
        <f>IF($E2772="","",IF(COUNTIF($E$2:$E2772,$E2772)=1,1,0))</f>
        <v/>
      </c>
      <c r="AO2772">
        <f>IF($AN2772=1,SUMPRODUCT(--($AR$2:$AR$3001&lt;$AR2772))+1,"")</f>
        <v/>
      </c>
      <c r="AP2772">
        <f>IF($E2772="","",IF(OR($U2772=TRUE(),$U2772="TRUE"),1,0))</f>
        <v/>
      </c>
      <c r="AQ2772">
        <f>IF($E2772="","",IF($AD2772="Yes",1,0))</f>
        <v/>
      </c>
      <c r="AR2772">
        <f>IF($AN2772=1,IFERROR(VALUE(MID($E2772,2,20)),1000000000)+ROW()/100000,"")</f>
        <v/>
      </c>
    </row>
    <row r="2773">
      <c r="G2773" s="11" t="n"/>
      <c r="Q2773" s="7">
        <f>IF($E2773="","",P2773*AB2773/100)</f>
        <v/>
      </c>
      <c r="R2773" s="7" t="n"/>
      <c r="X2773" s="7" t="n"/>
      <c r="Y2773" s="7">
        <f>IF($E2773="","",AB2773*AE2773/100)</f>
        <v/>
      </c>
      <c r="Z2773" s="7">
        <f>IF($E2773="","",AB2773-Y2773)</f>
        <v/>
      </c>
      <c r="AA2773" s="7">
        <f>IF($E2773="","",Z2773-Q2773)</f>
        <v/>
      </c>
      <c r="AB2773" s="7" t="n"/>
      <c r="AE2773">
        <f>IF($E2773="","",IF($AQ2773=1,0,IF($AP2773=1,Settings!$C$6,Settings!$C$7))*100)</f>
        <v/>
      </c>
      <c r="AI2773" s="7" t="n"/>
      <c r="AL2773" s="11" t="n"/>
      <c r="AN2773">
        <f>IF($E2773="","",IF(COUNTIF($E$2:$E2773,$E2773)=1,1,0))</f>
        <v/>
      </c>
      <c r="AO2773">
        <f>IF($AN2773=1,SUMPRODUCT(--($AR$2:$AR$3001&lt;$AR2773))+1,"")</f>
        <v/>
      </c>
      <c r="AP2773">
        <f>IF($E2773="","",IF(OR($U2773=TRUE(),$U2773="TRUE"),1,0))</f>
        <v/>
      </c>
      <c r="AQ2773">
        <f>IF($E2773="","",IF($AD2773="Yes",1,0))</f>
        <v/>
      </c>
      <c r="AR2773">
        <f>IF($AN2773=1,IFERROR(VALUE(MID($E2773,2,20)),1000000000)+ROW()/100000,"")</f>
        <v/>
      </c>
    </row>
    <row r="2774">
      <c r="G2774" s="11" t="n"/>
      <c r="Q2774" s="7">
        <f>IF($E2774="","",P2774*AB2774/100)</f>
        <v/>
      </c>
      <c r="R2774" s="7" t="n"/>
      <c r="X2774" s="7" t="n"/>
      <c r="Y2774" s="7">
        <f>IF($E2774="","",AB2774*AE2774/100)</f>
        <v/>
      </c>
      <c r="Z2774" s="7">
        <f>IF($E2774="","",AB2774-Y2774)</f>
        <v/>
      </c>
      <c r="AA2774" s="7">
        <f>IF($E2774="","",Z2774-Q2774)</f>
        <v/>
      </c>
      <c r="AB2774" s="7" t="n"/>
      <c r="AE2774">
        <f>IF($E2774="","",IF($AQ2774=1,0,IF($AP2774=1,Settings!$C$6,Settings!$C$7))*100)</f>
        <v/>
      </c>
      <c r="AI2774" s="7" t="n"/>
      <c r="AL2774" s="11" t="n"/>
      <c r="AN2774">
        <f>IF($E2774="","",IF(COUNTIF($E$2:$E2774,$E2774)=1,1,0))</f>
        <v/>
      </c>
      <c r="AO2774">
        <f>IF($AN2774=1,SUMPRODUCT(--($AR$2:$AR$3001&lt;$AR2774))+1,"")</f>
        <v/>
      </c>
      <c r="AP2774">
        <f>IF($E2774="","",IF(OR($U2774=TRUE(),$U2774="TRUE"),1,0))</f>
        <v/>
      </c>
      <c r="AQ2774">
        <f>IF($E2774="","",IF($AD2774="Yes",1,0))</f>
        <v/>
      </c>
      <c r="AR2774">
        <f>IF($AN2774=1,IFERROR(VALUE(MID($E2774,2,20)),1000000000)+ROW()/100000,"")</f>
        <v/>
      </c>
    </row>
    <row r="2775">
      <c r="G2775" s="11" t="n"/>
      <c r="Q2775" s="7">
        <f>IF($E2775="","",P2775*AB2775/100)</f>
        <v/>
      </c>
      <c r="R2775" s="7" t="n"/>
      <c r="X2775" s="7" t="n"/>
      <c r="Y2775" s="7">
        <f>IF($E2775="","",AB2775*AE2775/100)</f>
        <v/>
      </c>
      <c r="Z2775" s="7">
        <f>IF($E2775="","",AB2775-Y2775)</f>
        <v/>
      </c>
      <c r="AA2775" s="7">
        <f>IF($E2775="","",Z2775-Q2775)</f>
        <v/>
      </c>
      <c r="AB2775" s="7" t="n"/>
      <c r="AE2775">
        <f>IF($E2775="","",IF($AQ2775=1,0,IF($AP2775=1,Settings!$C$6,Settings!$C$7))*100)</f>
        <v/>
      </c>
      <c r="AI2775" s="7" t="n"/>
      <c r="AL2775" s="11" t="n"/>
      <c r="AN2775">
        <f>IF($E2775="","",IF(COUNTIF($E$2:$E2775,$E2775)=1,1,0))</f>
        <v/>
      </c>
      <c r="AO2775">
        <f>IF($AN2775=1,SUMPRODUCT(--($AR$2:$AR$3001&lt;$AR2775))+1,"")</f>
        <v/>
      </c>
      <c r="AP2775">
        <f>IF($E2775="","",IF(OR($U2775=TRUE(),$U2775="TRUE"),1,0))</f>
        <v/>
      </c>
      <c r="AQ2775">
        <f>IF($E2775="","",IF($AD2775="Yes",1,0))</f>
        <v/>
      </c>
      <c r="AR2775">
        <f>IF($AN2775=1,IFERROR(VALUE(MID($E2775,2,20)),1000000000)+ROW()/100000,"")</f>
        <v/>
      </c>
    </row>
    <row r="2776">
      <c r="G2776" s="11" t="n"/>
      <c r="Q2776" s="7">
        <f>IF($E2776="","",P2776*AB2776/100)</f>
        <v/>
      </c>
      <c r="R2776" s="7" t="n"/>
      <c r="X2776" s="7" t="n"/>
      <c r="Y2776" s="7">
        <f>IF($E2776="","",AB2776*AE2776/100)</f>
        <v/>
      </c>
      <c r="Z2776" s="7">
        <f>IF($E2776="","",AB2776-Y2776)</f>
        <v/>
      </c>
      <c r="AA2776" s="7">
        <f>IF($E2776="","",Z2776-Q2776)</f>
        <v/>
      </c>
      <c r="AB2776" s="7" t="n"/>
      <c r="AE2776">
        <f>IF($E2776="","",IF($AQ2776=1,0,IF($AP2776=1,Settings!$C$6,Settings!$C$7))*100)</f>
        <v/>
      </c>
      <c r="AI2776" s="7" t="n"/>
      <c r="AL2776" s="11" t="n"/>
      <c r="AN2776">
        <f>IF($E2776="","",IF(COUNTIF($E$2:$E2776,$E2776)=1,1,0))</f>
        <v/>
      </c>
      <c r="AO2776">
        <f>IF($AN2776=1,SUMPRODUCT(--($AR$2:$AR$3001&lt;$AR2776))+1,"")</f>
        <v/>
      </c>
      <c r="AP2776">
        <f>IF($E2776="","",IF(OR($U2776=TRUE(),$U2776="TRUE"),1,0))</f>
        <v/>
      </c>
      <c r="AQ2776">
        <f>IF($E2776="","",IF($AD2776="Yes",1,0))</f>
        <v/>
      </c>
      <c r="AR2776">
        <f>IF($AN2776=1,IFERROR(VALUE(MID($E2776,2,20)),1000000000)+ROW()/100000,"")</f>
        <v/>
      </c>
    </row>
    <row r="2777">
      <c r="G2777" s="11" t="n"/>
      <c r="Q2777" s="7">
        <f>IF($E2777="","",P2777*AB2777/100)</f>
        <v/>
      </c>
      <c r="R2777" s="7" t="n"/>
      <c r="X2777" s="7" t="n"/>
      <c r="Y2777" s="7">
        <f>IF($E2777="","",AB2777*AE2777/100)</f>
        <v/>
      </c>
      <c r="Z2777" s="7">
        <f>IF($E2777="","",AB2777-Y2777)</f>
        <v/>
      </c>
      <c r="AA2777" s="7">
        <f>IF($E2777="","",Z2777-Q2777)</f>
        <v/>
      </c>
      <c r="AB2777" s="7" t="n"/>
      <c r="AE2777">
        <f>IF($E2777="","",IF($AQ2777=1,0,IF($AP2777=1,Settings!$C$6,Settings!$C$7))*100)</f>
        <v/>
      </c>
      <c r="AI2777" s="7" t="n"/>
      <c r="AL2777" s="11" t="n"/>
      <c r="AN2777">
        <f>IF($E2777="","",IF(COUNTIF($E$2:$E2777,$E2777)=1,1,0))</f>
        <v/>
      </c>
      <c r="AO2777">
        <f>IF($AN2777=1,SUMPRODUCT(--($AR$2:$AR$3001&lt;$AR2777))+1,"")</f>
        <v/>
      </c>
      <c r="AP2777">
        <f>IF($E2777="","",IF(OR($U2777=TRUE(),$U2777="TRUE"),1,0))</f>
        <v/>
      </c>
      <c r="AQ2777">
        <f>IF($E2777="","",IF($AD2777="Yes",1,0))</f>
        <v/>
      </c>
      <c r="AR2777">
        <f>IF($AN2777=1,IFERROR(VALUE(MID($E2777,2,20)),1000000000)+ROW()/100000,"")</f>
        <v/>
      </c>
    </row>
    <row r="2778">
      <c r="G2778" s="11" t="n"/>
      <c r="Q2778" s="7">
        <f>IF($E2778="","",P2778*AB2778/100)</f>
        <v/>
      </c>
      <c r="R2778" s="7" t="n"/>
      <c r="X2778" s="7" t="n"/>
      <c r="Y2778" s="7">
        <f>IF($E2778="","",AB2778*AE2778/100)</f>
        <v/>
      </c>
      <c r="Z2778" s="7">
        <f>IF($E2778="","",AB2778-Y2778)</f>
        <v/>
      </c>
      <c r="AA2778" s="7">
        <f>IF($E2778="","",Z2778-Q2778)</f>
        <v/>
      </c>
      <c r="AB2778" s="7" t="n"/>
      <c r="AE2778">
        <f>IF($E2778="","",IF($AQ2778=1,0,IF($AP2778=1,Settings!$C$6,Settings!$C$7))*100)</f>
        <v/>
      </c>
      <c r="AI2778" s="7" t="n"/>
      <c r="AL2778" s="11" t="n"/>
      <c r="AN2778">
        <f>IF($E2778="","",IF(COUNTIF($E$2:$E2778,$E2778)=1,1,0))</f>
        <v/>
      </c>
      <c r="AO2778">
        <f>IF($AN2778=1,SUMPRODUCT(--($AR$2:$AR$3001&lt;$AR2778))+1,"")</f>
        <v/>
      </c>
      <c r="AP2778">
        <f>IF($E2778="","",IF(OR($U2778=TRUE(),$U2778="TRUE"),1,0))</f>
        <v/>
      </c>
      <c r="AQ2778">
        <f>IF($E2778="","",IF($AD2778="Yes",1,0))</f>
        <v/>
      </c>
      <c r="AR2778">
        <f>IF($AN2778=1,IFERROR(VALUE(MID($E2778,2,20)),1000000000)+ROW()/100000,"")</f>
        <v/>
      </c>
    </row>
    <row r="2779">
      <c r="G2779" s="11" t="n"/>
      <c r="Q2779" s="7">
        <f>IF($E2779="","",P2779*AB2779/100)</f>
        <v/>
      </c>
      <c r="R2779" s="7" t="n"/>
      <c r="X2779" s="7" t="n"/>
      <c r="Y2779" s="7">
        <f>IF($E2779="","",AB2779*AE2779/100)</f>
        <v/>
      </c>
      <c r="Z2779" s="7">
        <f>IF($E2779="","",AB2779-Y2779)</f>
        <v/>
      </c>
      <c r="AA2779" s="7">
        <f>IF($E2779="","",Z2779-Q2779)</f>
        <v/>
      </c>
      <c r="AB2779" s="7" t="n"/>
      <c r="AE2779">
        <f>IF($E2779="","",IF($AQ2779=1,0,IF($AP2779=1,Settings!$C$6,Settings!$C$7))*100)</f>
        <v/>
      </c>
      <c r="AI2779" s="7" t="n"/>
      <c r="AL2779" s="11" t="n"/>
      <c r="AN2779">
        <f>IF($E2779="","",IF(COUNTIF($E$2:$E2779,$E2779)=1,1,0))</f>
        <v/>
      </c>
      <c r="AO2779">
        <f>IF($AN2779=1,SUMPRODUCT(--($AR$2:$AR$3001&lt;$AR2779))+1,"")</f>
        <v/>
      </c>
      <c r="AP2779">
        <f>IF($E2779="","",IF(OR($U2779=TRUE(),$U2779="TRUE"),1,0))</f>
        <v/>
      </c>
      <c r="AQ2779">
        <f>IF($E2779="","",IF($AD2779="Yes",1,0))</f>
        <v/>
      </c>
      <c r="AR2779">
        <f>IF($AN2779=1,IFERROR(VALUE(MID($E2779,2,20)),1000000000)+ROW()/100000,"")</f>
        <v/>
      </c>
    </row>
    <row r="2780">
      <c r="G2780" s="11" t="n"/>
      <c r="Q2780" s="7">
        <f>IF($E2780="","",P2780*AB2780/100)</f>
        <v/>
      </c>
      <c r="R2780" s="7" t="n"/>
      <c r="X2780" s="7" t="n"/>
      <c r="Y2780" s="7">
        <f>IF($E2780="","",AB2780*AE2780/100)</f>
        <v/>
      </c>
      <c r="Z2780" s="7">
        <f>IF($E2780="","",AB2780-Y2780)</f>
        <v/>
      </c>
      <c r="AA2780" s="7">
        <f>IF($E2780="","",Z2780-Q2780)</f>
        <v/>
      </c>
      <c r="AB2780" s="7" t="n"/>
      <c r="AE2780">
        <f>IF($E2780="","",IF($AQ2780=1,0,IF($AP2780=1,Settings!$C$6,Settings!$C$7))*100)</f>
        <v/>
      </c>
      <c r="AI2780" s="7" t="n"/>
      <c r="AL2780" s="11" t="n"/>
      <c r="AN2780">
        <f>IF($E2780="","",IF(COUNTIF($E$2:$E2780,$E2780)=1,1,0))</f>
        <v/>
      </c>
      <c r="AO2780">
        <f>IF($AN2780=1,SUMPRODUCT(--($AR$2:$AR$3001&lt;$AR2780))+1,"")</f>
        <v/>
      </c>
      <c r="AP2780">
        <f>IF($E2780="","",IF(OR($U2780=TRUE(),$U2780="TRUE"),1,0))</f>
        <v/>
      </c>
      <c r="AQ2780">
        <f>IF($E2780="","",IF($AD2780="Yes",1,0))</f>
        <v/>
      </c>
      <c r="AR2780">
        <f>IF($AN2780=1,IFERROR(VALUE(MID($E2780,2,20)),1000000000)+ROW()/100000,"")</f>
        <v/>
      </c>
    </row>
    <row r="2781">
      <c r="G2781" s="11" t="n"/>
      <c r="Q2781" s="7">
        <f>IF($E2781="","",P2781*AB2781/100)</f>
        <v/>
      </c>
      <c r="R2781" s="7" t="n"/>
      <c r="X2781" s="7" t="n"/>
      <c r="Y2781" s="7">
        <f>IF($E2781="","",AB2781*AE2781/100)</f>
        <v/>
      </c>
      <c r="Z2781" s="7">
        <f>IF($E2781="","",AB2781-Y2781)</f>
        <v/>
      </c>
      <c r="AA2781" s="7">
        <f>IF($E2781="","",Z2781-Q2781)</f>
        <v/>
      </c>
      <c r="AB2781" s="7" t="n"/>
      <c r="AE2781">
        <f>IF($E2781="","",IF($AQ2781=1,0,IF($AP2781=1,Settings!$C$6,Settings!$C$7))*100)</f>
        <v/>
      </c>
      <c r="AI2781" s="7" t="n"/>
      <c r="AL2781" s="11" t="n"/>
      <c r="AN2781">
        <f>IF($E2781="","",IF(COUNTIF($E$2:$E2781,$E2781)=1,1,0))</f>
        <v/>
      </c>
      <c r="AO2781">
        <f>IF($AN2781=1,SUMPRODUCT(--($AR$2:$AR$3001&lt;$AR2781))+1,"")</f>
        <v/>
      </c>
      <c r="AP2781">
        <f>IF($E2781="","",IF(OR($U2781=TRUE(),$U2781="TRUE"),1,0))</f>
        <v/>
      </c>
      <c r="AQ2781">
        <f>IF($E2781="","",IF($AD2781="Yes",1,0))</f>
        <v/>
      </c>
      <c r="AR2781">
        <f>IF($AN2781=1,IFERROR(VALUE(MID($E2781,2,20)),1000000000)+ROW()/100000,"")</f>
        <v/>
      </c>
    </row>
    <row r="2782">
      <c r="G2782" s="11" t="n"/>
      <c r="Q2782" s="7">
        <f>IF($E2782="","",P2782*AB2782/100)</f>
        <v/>
      </c>
      <c r="R2782" s="7" t="n"/>
      <c r="X2782" s="7" t="n"/>
      <c r="Y2782" s="7">
        <f>IF($E2782="","",AB2782*AE2782/100)</f>
        <v/>
      </c>
      <c r="Z2782" s="7">
        <f>IF($E2782="","",AB2782-Y2782)</f>
        <v/>
      </c>
      <c r="AA2782" s="7">
        <f>IF($E2782="","",Z2782-Q2782)</f>
        <v/>
      </c>
      <c r="AB2782" s="7" t="n"/>
      <c r="AE2782">
        <f>IF($E2782="","",IF($AQ2782=1,0,IF($AP2782=1,Settings!$C$6,Settings!$C$7))*100)</f>
        <v/>
      </c>
      <c r="AI2782" s="7" t="n"/>
      <c r="AL2782" s="11" t="n"/>
      <c r="AN2782">
        <f>IF($E2782="","",IF(COUNTIF($E$2:$E2782,$E2782)=1,1,0))</f>
        <v/>
      </c>
      <c r="AO2782">
        <f>IF($AN2782=1,SUMPRODUCT(--($AR$2:$AR$3001&lt;$AR2782))+1,"")</f>
        <v/>
      </c>
      <c r="AP2782">
        <f>IF($E2782="","",IF(OR($U2782=TRUE(),$U2782="TRUE"),1,0))</f>
        <v/>
      </c>
      <c r="AQ2782">
        <f>IF($E2782="","",IF($AD2782="Yes",1,0))</f>
        <v/>
      </c>
      <c r="AR2782">
        <f>IF($AN2782=1,IFERROR(VALUE(MID($E2782,2,20)),1000000000)+ROW()/100000,"")</f>
        <v/>
      </c>
    </row>
    <row r="2783">
      <c r="G2783" s="11" t="n"/>
      <c r="Q2783" s="7">
        <f>IF($E2783="","",P2783*AB2783/100)</f>
        <v/>
      </c>
      <c r="R2783" s="7" t="n"/>
      <c r="X2783" s="7" t="n"/>
      <c r="Y2783" s="7">
        <f>IF($E2783="","",AB2783*AE2783/100)</f>
        <v/>
      </c>
      <c r="Z2783" s="7">
        <f>IF($E2783="","",AB2783-Y2783)</f>
        <v/>
      </c>
      <c r="AA2783" s="7">
        <f>IF($E2783="","",Z2783-Q2783)</f>
        <v/>
      </c>
      <c r="AB2783" s="7" t="n"/>
      <c r="AE2783">
        <f>IF($E2783="","",IF($AQ2783=1,0,IF($AP2783=1,Settings!$C$6,Settings!$C$7))*100)</f>
        <v/>
      </c>
      <c r="AI2783" s="7" t="n"/>
      <c r="AL2783" s="11" t="n"/>
      <c r="AN2783">
        <f>IF($E2783="","",IF(COUNTIF($E$2:$E2783,$E2783)=1,1,0))</f>
        <v/>
      </c>
      <c r="AO2783">
        <f>IF($AN2783=1,SUMPRODUCT(--($AR$2:$AR$3001&lt;$AR2783))+1,"")</f>
        <v/>
      </c>
      <c r="AP2783">
        <f>IF($E2783="","",IF(OR($U2783=TRUE(),$U2783="TRUE"),1,0))</f>
        <v/>
      </c>
      <c r="AQ2783">
        <f>IF($E2783="","",IF($AD2783="Yes",1,0))</f>
        <v/>
      </c>
      <c r="AR2783">
        <f>IF($AN2783=1,IFERROR(VALUE(MID($E2783,2,20)),1000000000)+ROW()/100000,"")</f>
        <v/>
      </c>
    </row>
    <row r="2784">
      <c r="G2784" s="11" t="n"/>
      <c r="Q2784" s="7">
        <f>IF($E2784="","",P2784*AB2784/100)</f>
        <v/>
      </c>
      <c r="R2784" s="7" t="n"/>
      <c r="X2784" s="7" t="n"/>
      <c r="Y2784" s="7">
        <f>IF($E2784="","",AB2784*AE2784/100)</f>
        <v/>
      </c>
      <c r="Z2784" s="7">
        <f>IF($E2784="","",AB2784-Y2784)</f>
        <v/>
      </c>
      <c r="AA2784" s="7">
        <f>IF($E2784="","",Z2784-Q2784)</f>
        <v/>
      </c>
      <c r="AB2784" s="7" t="n"/>
      <c r="AE2784">
        <f>IF($E2784="","",IF($AQ2784=1,0,IF($AP2784=1,Settings!$C$6,Settings!$C$7))*100)</f>
        <v/>
      </c>
      <c r="AI2784" s="7" t="n"/>
      <c r="AL2784" s="11" t="n"/>
      <c r="AN2784">
        <f>IF($E2784="","",IF(COUNTIF($E$2:$E2784,$E2784)=1,1,0))</f>
        <v/>
      </c>
      <c r="AO2784">
        <f>IF($AN2784=1,SUMPRODUCT(--($AR$2:$AR$3001&lt;$AR2784))+1,"")</f>
        <v/>
      </c>
      <c r="AP2784">
        <f>IF($E2784="","",IF(OR($U2784=TRUE(),$U2784="TRUE"),1,0))</f>
        <v/>
      </c>
      <c r="AQ2784">
        <f>IF($E2784="","",IF($AD2784="Yes",1,0))</f>
        <v/>
      </c>
      <c r="AR2784">
        <f>IF($AN2784=1,IFERROR(VALUE(MID($E2784,2,20)),1000000000)+ROW()/100000,"")</f>
        <v/>
      </c>
    </row>
    <row r="2785">
      <c r="G2785" s="11" t="n"/>
      <c r="Q2785" s="7">
        <f>IF($E2785="","",P2785*AB2785/100)</f>
        <v/>
      </c>
      <c r="R2785" s="7" t="n"/>
      <c r="X2785" s="7" t="n"/>
      <c r="Y2785" s="7">
        <f>IF($E2785="","",AB2785*AE2785/100)</f>
        <v/>
      </c>
      <c r="Z2785" s="7">
        <f>IF($E2785="","",AB2785-Y2785)</f>
        <v/>
      </c>
      <c r="AA2785" s="7">
        <f>IF($E2785="","",Z2785-Q2785)</f>
        <v/>
      </c>
      <c r="AB2785" s="7" t="n"/>
      <c r="AE2785">
        <f>IF($E2785="","",IF($AQ2785=1,0,IF($AP2785=1,Settings!$C$6,Settings!$C$7))*100)</f>
        <v/>
      </c>
      <c r="AI2785" s="7" t="n"/>
      <c r="AL2785" s="11" t="n"/>
      <c r="AN2785">
        <f>IF($E2785="","",IF(COUNTIF($E$2:$E2785,$E2785)=1,1,0))</f>
        <v/>
      </c>
      <c r="AO2785">
        <f>IF($AN2785=1,SUMPRODUCT(--($AR$2:$AR$3001&lt;$AR2785))+1,"")</f>
        <v/>
      </c>
      <c r="AP2785">
        <f>IF($E2785="","",IF(OR($U2785=TRUE(),$U2785="TRUE"),1,0))</f>
        <v/>
      </c>
      <c r="AQ2785">
        <f>IF($E2785="","",IF($AD2785="Yes",1,0))</f>
        <v/>
      </c>
      <c r="AR2785">
        <f>IF($AN2785=1,IFERROR(VALUE(MID($E2785,2,20)),1000000000)+ROW()/100000,"")</f>
        <v/>
      </c>
    </row>
    <row r="2786">
      <c r="G2786" s="11" t="n"/>
      <c r="Q2786" s="7">
        <f>IF($E2786="","",P2786*AB2786/100)</f>
        <v/>
      </c>
      <c r="R2786" s="7" t="n"/>
      <c r="X2786" s="7" t="n"/>
      <c r="Y2786" s="7">
        <f>IF($E2786="","",AB2786*AE2786/100)</f>
        <v/>
      </c>
      <c r="Z2786" s="7">
        <f>IF($E2786="","",AB2786-Y2786)</f>
        <v/>
      </c>
      <c r="AA2786" s="7">
        <f>IF($E2786="","",Z2786-Q2786)</f>
        <v/>
      </c>
      <c r="AB2786" s="7" t="n"/>
      <c r="AE2786">
        <f>IF($E2786="","",IF($AQ2786=1,0,IF($AP2786=1,Settings!$C$6,Settings!$C$7))*100)</f>
        <v/>
      </c>
      <c r="AI2786" s="7" t="n"/>
      <c r="AL2786" s="11" t="n"/>
      <c r="AN2786">
        <f>IF($E2786="","",IF(COUNTIF($E$2:$E2786,$E2786)=1,1,0))</f>
        <v/>
      </c>
      <c r="AO2786">
        <f>IF($AN2786=1,SUMPRODUCT(--($AR$2:$AR$3001&lt;$AR2786))+1,"")</f>
        <v/>
      </c>
      <c r="AP2786">
        <f>IF($E2786="","",IF(OR($U2786=TRUE(),$U2786="TRUE"),1,0))</f>
        <v/>
      </c>
      <c r="AQ2786">
        <f>IF($E2786="","",IF($AD2786="Yes",1,0))</f>
        <v/>
      </c>
      <c r="AR2786">
        <f>IF($AN2786=1,IFERROR(VALUE(MID($E2786,2,20)),1000000000)+ROW()/100000,"")</f>
        <v/>
      </c>
    </row>
    <row r="2787">
      <c r="G2787" s="11" t="n"/>
      <c r="Q2787" s="7">
        <f>IF($E2787="","",P2787*AB2787/100)</f>
        <v/>
      </c>
      <c r="R2787" s="7" t="n"/>
      <c r="X2787" s="7" t="n"/>
      <c r="Y2787" s="7">
        <f>IF($E2787="","",AB2787*AE2787/100)</f>
        <v/>
      </c>
      <c r="Z2787" s="7">
        <f>IF($E2787="","",AB2787-Y2787)</f>
        <v/>
      </c>
      <c r="AA2787" s="7">
        <f>IF($E2787="","",Z2787-Q2787)</f>
        <v/>
      </c>
      <c r="AB2787" s="7" t="n"/>
      <c r="AE2787">
        <f>IF($E2787="","",IF($AQ2787=1,0,IF($AP2787=1,Settings!$C$6,Settings!$C$7))*100)</f>
        <v/>
      </c>
      <c r="AI2787" s="7" t="n"/>
      <c r="AL2787" s="11" t="n"/>
      <c r="AN2787">
        <f>IF($E2787="","",IF(COUNTIF($E$2:$E2787,$E2787)=1,1,0))</f>
        <v/>
      </c>
      <c r="AO2787">
        <f>IF($AN2787=1,SUMPRODUCT(--($AR$2:$AR$3001&lt;$AR2787))+1,"")</f>
        <v/>
      </c>
      <c r="AP2787">
        <f>IF($E2787="","",IF(OR($U2787=TRUE(),$U2787="TRUE"),1,0))</f>
        <v/>
      </c>
      <c r="AQ2787">
        <f>IF($E2787="","",IF($AD2787="Yes",1,0))</f>
        <v/>
      </c>
      <c r="AR2787">
        <f>IF($AN2787=1,IFERROR(VALUE(MID($E2787,2,20)),1000000000)+ROW()/100000,"")</f>
        <v/>
      </c>
    </row>
    <row r="2788">
      <c r="G2788" s="11" t="n"/>
      <c r="Q2788" s="7">
        <f>IF($E2788="","",P2788*AB2788/100)</f>
        <v/>
      </c>
      <c r="R2788" s="7" t="n"/>
      <c r="X2788" s="7" t="n"/>
      <c r="Y2788" s="7">
        <f>IF($E2788="","",AB2788*AE2788/100)</f>
        <v/>
      </c>
      <c r="Z2788" s="7">
        <f>IF($E2788="","",AB2788-Y2788)</f>
        <v/>
      </c>
      <c r="AA2788" s="7">
        <f>IF($E2788="","",Z2788-Q2788)</f>
        <v/>
      </c>
      <c r="AB2788" s="7" t="n"/>
      <c r="AE2788">
        <f>IF($E2788="","",IF($AQ2788=1,0,IF($AP2788=1,Settings!$C$6,Settings!$C$7))*100)</f>
        <v/>
      </c>
      <c r="AI2788" s="7" t="n"/>
      <c r="AL2788" s="11" t="n"/>
      <c r="AN2788">
        <f>IF($E2788="","",IF(COUNTIF($E$2:$E2788,$E2788)=1,1,0))</f>
        <v/>
      </c>
      <c r="AO2788">
        <f>IF($AN2788=1,SUMPRODUCT(--($AR$2:$AR$3001&lt;$AR2788))+1,"")</f>
        <v/>
      </c>
      <c r="AP2788">
        <f>IF($E2788="","",IF(OR($U2788=TRUE(),$U2788="TRUE"),1,0))</f>
        <v/>
      </c>
      <c r="AQ2788">
        <f>IF($E2788="","",IF($AD2788="Yes",1,0))</f>
        <v/>
      </c>
      <c r="AR2788">
        <f>IF($AN2788=1,IFERROR(VALUE(MID($E2788,2,20)),1000000000)+ROW()/100000,"")</f>
        <v/>
      </c>
    </row>
    <row r="2789">
      <c r="G2789" s="11" t="n"/>
      <c r="Q2789" s="7">
        <f>IF($E2789="","",P2789*AB2789/100)</f>
        <v/>
      </c>
      <c r="R2789" s="7" t="n"/>
      <c r="X2789" s="7" t="n"/>
      <c r="Y2789" s="7">
        <f>IF($E2789="","",AB2789*AE2789/100)</f>
        <v/>
      </c>
      <c r="Z2789" s="7">
        <f>IF($E2789="","",AB2789-Y2789)</f>
        <v/>
      </c>
      <c r="AA2789" s="7">
        <f>IF($E2789="","",Z2789-Q2789)</f>
        <v/>
      </c>
      <c r="AB2789" s="7" t="n"/>
      <c r="AE2789">
        <f>IF($E2789="","",IF($AQ2789=1,0,IF($AP2789=1,Settings!$C$6,Settings!$C$7))*100)</f>
        <v/>
      </c>
      <c r="AI2789" s="7" t="n"/>
      <c r="AL2789" s="11" t="n"/>
      <c r="AN2789">
        <f>IF($E2789="","",IF(COUNTIF($E$2:$E2789,$E2789)=1,1,0))</f>
        <v/>
      </c>
      <c r="AO2789">
        <f>IF($AN2789=1,SUMPRODUCT(--($AR$2:$AR$3001&lt;$AR2789))+1,"")</f>
        <v/>
      </c>
      <c r="AP2789">
        <f>IF($E2789="","",IF(OR($U2789=TRUE(),$U2789="TRUE"),1,0))</f>
        <v/>
      </c>
      <c r="AQ2789">
        <f>IF($E2789="","",IF($AD2789="Yes",1,0))</f>
        <v/>
      </c>
      <c r="AR2789">
        <f>IF($AN2789=1,IFERROR(VALUE(MID($E2789,2,20)),1000000000)+ROW()/100000,"")</f>
        <v/>
      </c>
    </row>
    <row r="2790">
      <c r="G2790" s="11" t="n"/>
      <c r="Q2790" s="7">
        <f>IF($E2790="","",P2790*AB2790/100)</f>
        <v/>
      </c>
      <c r="R2790" s="7" t="n"/>
      <c r="X2790" s="7" t="n"/>
      <c r="Y2790" s="7">
        <f>IF($E2790="","",AB2790*AE2790/100)</f>
        <v/>
      </c>
      <c r="Z2790" s="7">
        <f>IF($E2790="","",AB2790-Y2790)</f>
        <v/>
      </c>
      <c r="AA2790" s="7">
        <f>IF($E2790="","",Z2790-Q2790)</f>
        <v/>
      </c>
      <c r="AB2790" s="7" t="n"/>
      <c r="AE2790">
        <f>IF($E2790="","",IF($AQ2790=1,0,IF($AP2790=1,Settings!$C$6,Settings!$C$7))*100)</f>
        <v/>
      </c>
      <c r="AI2790" s="7" t="n"/>
      <c r="AL2790" s="11" t="n"/>
      <c r="AN2790">
        <f>IF($E2790="","",IF(COUNTIF($E$2:$E2790,$E2790)=1,1,0))</f>
        <v/>
      </c>
      <c r="AO2790">
        <f>IF($AN2790=1,SUMPRODUCT(--($AR$2:$AR$3001&lt;$AR2790))+1,"")</f>
        <v/>
      </c>
      <c r="AP2790">
        <f>IF($E2790="","",IF(OR($U2790=TRUE(),$U2790="TRUE"),1,0))</f>
        <v/>
      </c>
      <c r="AQ2790">
        <f>IF($E2790="","",IF($AD2790="Yes",1,0))</f>
        <v/>
      </c>
      <c r="AR2790">
        <f>IF($AN2790=1,IFERROR(VALUE(MID($E2790,2,20)),1000000000)+ROW()/100000,"")</f>
        <v/>
      </c>
    </row>
    <row r="2791">
      <c r="G2791" s="11" t="n"/>
      <c r="Q2791" s="7">
        <f>IF($E2791="","",P2791*AB2791/100)</f>
        <v/>
      </c>
      <c r="R2791" s="7" t="n"/>
      <c r="X2791" s="7" t="n"/>
      <c r="Y2791" s="7">
        <f>IF($E2791="","",AB2791*AE2791/100)</f>
        <v/>
      </c>
      <c r="Z2791" s="7">
        <f>IF($E2791="","",AB2791-Y2791)</f>
        <v/>
      </c>
      <c r="AA2791" s="7">
        <f>IF($E2791="","",Z2791-Q2791)</f>
        <v/>
      </c>
      <c r="AB2791" s="7" t="n"/>
      <c r="AE2791">
        <f>IF($E2791="","",IF($AQ2791=1,0,IF($AP2791=1,Settings!$C$6,Settings!$C$7))*100)</f>
        <v/>
      </c>
      <c r="AI2791" s="7" t="n"/>
      <c r="AL2791" s="11" t="n"/>
      <c r="AN2791">
        <f>IF($E2791="","",IF(COUNTIF($E$2:$E2791,$E2791)=1,1,0))</f>
        <v/>
      </c>
      <c r="AO2791">
        <f>IF($AN2791=1,SUMPRODUCT(--($AR$2:$AR$3001&lt;$AR2791))+1,"")</f>
        <v/>
      </c>
      <c r="AP2791">
        <f>IF($E2791="","",IF(OR($U2791=TRUE(),$U2791="TRUE"),1,0))</f>
        <v/>
      </c>
      <c r="AQ2791">
        <f>IF($E2791="","",IF($AD2791="Yes",1,0))</f>
        <v/>
      </c>
      <c r="AR2791">
        <f>IF($AN2791=1,IFERROR(VALUE(MID($E2791,2,20)),1000000000)+ROW()/100000,"")</f>
        <v/>
      </c>
    </row>
    <row r="2792">
      <c r="G2792" s="11" t="n"/>
      <c r="Q2792" s="7">
        <f>IF($E2792="","",P2792*AB2792/100)</f>
        <v/>
      </c>
      <c r="R2792" s="7" t="n"/>
      <c r="X2792" s="7" t="n"/>
      <c r="Y2792" s="7">
        <f>IF($E2792="","",AB2792*AE2792/100)</f>
        <v/>
      </c>
      <c r="Z2792" s="7">
        <f>IF($E2792="","",AB2792-Y2792)</f>
        <v/>
      </c>
      <c r="AA2792" s="7">
        <f>IF($E2792="","",Z2792-Q2792)</f>
        <v/>
      </c>
      <c r="AB2792" s="7" t="n"/>
      <c r="AE2792">
        <f>IF($E2792="","",IF($AQ2792=1,0,IF($AP2792=1,Settings!$C$6,Settings!$C$7))*100)</f>
        <v/>
      </c>
      <c r="AI2792" s="7" t="n"/>
      <c r="AL2792" s="11" t="n"/>
      <c r="AN2792">
        <f>IF($E2792="","",IF(COUNTIF($E$2:$E2792,$E2792)=1,1,0))</f>
        <v/>
      </c>
      <c r="AO2792">
        <f>IF($AN2792=1,SUMPRODUCT(--($AR$2:$AR$3001&lt;$AR2792))+1,"")</f>
        <v/>
      </c>
      <c r="AP2792">
        <f>IF($E2792="","",IF(OR($U2792=TRUE(),$U2792="TRUE"),1,0))</f>
        <v/>
      </c>
      <c r="AQ2792">
        <f>IF($E2792="","",IF($AD2792="Yes",1,0))</f>
        <v/>
      </c>
      <c r="AR2792">
        <f>IF($AN2792=1,IFERROR(VALUE(MID($E2792,2,20)),1000000000)+ROW()/100000,"")</f>
        <v/>
      </c>
    </row>
    <row r="2793">
      <c r="G2793" s="11" t="n"/>
      <c r="Q2793" s="7">
        <f>IF($E2793="","",P2793*AB2793/100)</f>
        <v/>
      </c>
      <c r="R2793" s="7" t="n"/>
      <c r="X2793" s="7" t="n"/>
      <c r="Y2793" s="7">
        <f>IF($E2793="","",AB2793*AE2793/100)</f>
        <v/>
      </c>
      <c r="Z2793" s="7">
        <f>IF($E2793="","",AB2793-Y2793)</f>
        <v/>
      </c>
      <c r="AA2793" s="7">
        <f>IF($E2793="","",Z2793-Q2793)</f>
        <v/>
      </c>
      <c r="AB2793" s="7" t="n"/>
      <c r="AE2793">
        <f>IF($E2793="","",IF($AQ2793=1,0,IF($AP2793=1,Settings!$C$6,Settings!$C$7))*100)</f>
        <v/>
      </c>
      <c r="AI2793" s="7" t="n"/>
      <c r="AL2793" s="11" t="n"/>
      <c r="AN2793">
        <f>IF($E2793="","",IF(COUNTIF($E$2:$E2793,$E2793)=1,1,0))</f>
        <v/>
      </c>
      <c r="AO2793">
        <f>IF($AN2793=1,SUMPRODUCT(--($AR$2:$AR$3001&lt;$AR2793))+1,"")</f>
        <v/>
      </c>
      <c r="AP2793">
        <f>IF($E2793="","",IF(OR($U2793=TRUE(),$U2793="TRUE"),1,0))</f>
        <v/>
      </c>
      <c r="AQ2793">
        <f>IF($E2793="","",IF($AD2793="Yes",1,0))</f>
        <v/>
      </c>
      <c r="AR2793">
        <f>IF($AN2793=1,IFERROR(VALUE(MID($E2793,2,20)),1000000000)+ROW()/100000,"")</f>
        <v/>
      </c>
    </row>
    <row r="2794">
      <c r="G2794" s="11" t="n"/>
      <c r="Q2794" s="7">
        <f>IF($E2794="","",P2794*AB2794/100)</f>
        <v/>
      </c>
      <c r="R2794" s="7" t="n"/>
      <c r="X2794" s="7" t="n"/>
      <c r="Y2794" s="7">
        <f>IF($E2794="","",AB2794*AE2794/100)</f>
        <v/>
      </c>
      <c r="Z2794" s="7">
        <f>IF($E2794="","",AB2794-Y2794)</f>
        <v/>
      </c>
      <c r="AA2794" s="7">
        <f>IF($E2794="","",Z2794-Q2794)</f>
        <v/>
      </c>
      <c r="AB2794" s="7" t="n"/>
      <c r="AE2794">
        <f>IF($E2794="","",IF($AQ2794=1,0,IF($AP2794=1,Settings!$C$6,Settings!$C$7))*100)</f>
        <v/>
      </c>
      <c r="AI2794" s="7" t="n"/>
      <c r="AL2794" s="11" t="n"/>
      <c r="AN2794">
        <f>IF($E2794="","",IF(COUNTIF($E$2:$E2794,$E2794)=1,1,0))</f>
        <v/>
      </c>
      <c r="AO2794">
        <f>IF($AN2794=1,SUMPRODUCT(--($AR$2:$AR$3001&lt;$AR2794))+1,"")</f>
        <v/>
      </c>
      <c r="AP2794">
        <f>IF($E2794="","",IF(OR($U2794=TRUE(),$U2794="TRUE"),1,0))</f>
        <v/>
      </c>
      <c r="AQ2794">
        <f>IF($E2794="","",IF($AD2794="Yes",1,0))</f>
        <v/>
      </c>
      <c r="AR2794">
        <f>IF($AN2794=1,IFERROR(VALUE(MID($E2794,2,20)),1000000000)+ROW()/100000,"")</f>
        <v/>
      </c>
    </row>
    <row r="2795">
      <c r="G2795" s="11" t="n"/>
      <c r="Q2795" s="7">
        <f>IF($E2795="","",P2795*AB2795/100)</f>
        <v/>
      </c>
      <c r="R2795" s="7" t="n"/>
      <c r="X2795" s="7" t="n"/>
      <c r="Y2795" s="7">
        <f>IF($E2795="","",AB2795*AE2795/100)</f>
        <v/>
      </c>
      <c r="Z2795" s="7">
        <f>IF($E2795="","",AB2795-Y2795)</f>
        <v/>
      </c>
      <c r="AA2795" s="7">
        <f>IF($E2795="","",Z2795-Q2795)</f>
        <v/>
      </c>
      <c r="AB2795" s="7" t="n"/>
      <c r="AE2795">
        <f>IF($E2795="","",IF($AQ2795=1,0,IF($AP2795=1,Settings!$C$6,Settings!$C$7))*100)</f>
        <v/>
      </c>
      <c r="AI2795" s="7" t="n"/>
      <c r="AL2795" s="11" t="n"/>
      <c r="AN2795">
        <f>IF($E2795="","",IF(COUNTIF($E$2:$E2795,$E2795)=1,1,0))</f>
        <v/>
      </c>
      <c r="AO2795">
        <f>IF($AN2795=1,SUMPRODUCT(--($AR$2:$AR$3001&lt;$AR2795))+1,"")</f>
        <v/>
      </c>
      <c r="AP2795">
        <f>IF($E2795="","",IF(OR($U2795=TRUE(),$U2795="TRUE"),1,0))</f>
        <v/>
      </c>
      <c r="AQ2795">
        <f>IF($E2795="","",IF($AD2795="Yes",1,0))</f>
        <v/>
      </c>
      <c r="AR2795">
        <f>IF($AN2795=1,IFERROR(VALUE(MID($E2795,2,20)),1000000000)+ROW()/100000,"")</f>
        <v/>
      </c>
    </row>
    <row r="2796">
      <c r="G2796" s="11" t="n"/>
      <c r="Q2796" s="7">
        <f>IF($E2796="","",P2796*AB2796/100)</f>
        <v/>
      </c>
      <c r="R2796" s="7" t="n"/>
      <c r="X2796" s="7" t="n"/>
      <c r="Y2796" s="7">
        <f>IF($E2796="","",AB2796*AE2796/100)</f>
        <v/>
      </c>
      <c r="Z2796" s="7">
        <f>IF($E2796="","",AB2796-Y2796)</f>
        <v/>
      </c>
      <c r="AA2796" s="7">
        <f>IF($E2796="","",Z2796-Q2796)</f>
        <v/>
      </c>
      <c r="AB2796" s="7" t="n"/>
      <c r="AE2796">
        <f>IF($E2796="","",IF($AQ2796=1,0,IF($AP2796=1,Settings!$C$6,Settings!$C$7))*100)</f>
        <v/>
      </c>
      <c r="AI2796" s="7" t="n"/>
      <c r="AL2796" s="11" t="n"/>
      <c r="AN2796">
        <f>IF($E2796="","",IF(COUNTIF($E$2:$E2796,$E2796)=1,1,0))</f>
        <v/>
      </c>
      <c r="AO2796">
        <f>IF($AN2796=1,SUMPRODUCT(--($AR$2:$AR$3001&lt;$AR2796))+1,"")</f>
        <v/>
      </c>
      <c r="AP2796">
        <f>IF($E2796="","",IF(OR($U2796=TRUE(),$U2796="TRUE"),1,0))</f>
        <v/>
      </c>
      <c r="AQ2796">
        <f>IF($E2796="","",IF($AD2796="Yes",1,0))</f>
        <v/>
      </c>
      <c r="AR2796">
        <f>IF($AN2796=1,IFERROR(VALUE(MID($E2796,2,20)),1000000000)+ROW()/100000,"")</f>
        <v/>
      </c>
    </row>
    <row r="2797">
      <c r="G2797" s="11" t="n"/>
      <c r="Q2797" s="7">
        <f>IF($E2797="","",P2797*AB2797/100)</f>
        <v/>
      </c>
      <c r="R2797" s="7" t="n"/>
      <c r="X2797" s="7" t="n"/>
      <c r="Y2797" s="7">
        <f>IF($E2797="","",AB2797*AE2797/100)</f>
        <v/>
      </c>
      <c r="Z2797" s="7">
        <f>IF($E2797="","",AB2797-Y2797)</f>
        <v/>
      </c>
      <c r="AA2797" s="7">
        <f>IF($E2797="","",Z2797-Q2797)</f>
        <v/>
      </c>
      <c r="AB2797" s="7" t="n"/>
      <c r="AE2797">
        <f>IF($E2797="","",IF($AQ2797=1,0,IF($AP2797=1,Settings!$C$6,Settings!$C$7))*100)</f>
        <v/>
      </c>
      <c r="AI2797" s="7" t="n"/>
      <c r="AL2797" s="11" t="n"/>
      <c r="AN2797">
        <f>IF($E2797="","",IF(COUNTIF($E$2:$E2797,$E2797)=1,1,0))</f>
        <v/>
      </c>
      <c r="AO2797">
        <f>IF($AN2797=1,SUMPRODUCT(--($AR$2:$AR$3001&lt;$AR2797))+1,"")</f>
        <v/>
      </c>
      <c r="AP2797">
        <f>IF($E2797="","",IF(OR($U2797=TRUE(),$U2797="TRUE"),1,0))</f>
        <v/>
      </c>
      <c r="AQ2797">
        <f>IF($E2797="","",IF($AD2797="Yes",1,0))</f>
        <v/>
      </c>
      <c r="AR2797">
        <f>IF($AN2797=1,IFERROR(VALUE(MID($E2797,2,20)),1000000000)+ROW()/100000,"")</f>
        <v/>
      </c>
    </row>
    <row r="2798">
      <c r="G2798" s="11" t="n"/>
      <c r="Q2798" s="7">
        <f>IF($E2798="","",P2798*AB2798/100)</f>
        <v/>
      </c>
      <c r="R2798" s="7" t="n"/>
      <c r="X2798" s="7" t="n"/>
      <c r="Y2798" s="7">
        <f>IF($E2798="","",AB2798*AE2798/100)</f>
        <v/>
      </c>
      <c r="Z2798" s="7">
        <f>IF($E2798="","",AB2798-Y2798)</f>
        <v/>
      </c>
      <c r="AA2798" s="7">
        <f>IF($E2798="","",Z2798-Q2798)</f>
        <v/>
      </c>
      <c r="AB2798" s="7" t="n"/>
      <c r="AE2798">
        <f>IF($E2798="","",IF($AQ2798=1,0,IF($AP2798=1,Settings!$C$6,Settings!$C$7))*100)</f>
        <v/>
      </c>
      <c r="AI2798" s="7" t="n"/>
      <c r="AL2798" s="11" t="n"/>
      <c r="AN2798">
        <f>IF($E2798="","",IF(COUNTIF($E$2:$E2798,$E2798)=1,1,0))</f>
        <v/>
      </c>
      <c r="AO2798">
        <f>IF($AN2798=1,SUMPRODUCT(--($AR$2:$AR$3001&lt;$AR2798))+1,"")</f>
        <v/>
      </c>
      <c r="AP2798">
        <f>IF($E2798="","",IF(OR($U2798=TRUE(),$U2798="TRUE"),1,0))</f>
        <v/>
      </c>
      <c r="AQ2798">
        <f>IF($E2798="","",IF($AD2798="Yes",1,0))</f>
        <v/>
      </c>
      <c r="AR2798">
        <f>IF($AN2798=1,IFERROR(VALUE(MID($E2798,2,20)),1000000000)+ROW()/100000,"")</f>
        <v/>
      </c>
    </row>
    <row r="2799">
      <c r="G2799" s="11" t="n"/>
      <c r="Q2799" s="7">
        <f>IF($E2799="","",P2799*AB2799/100)</f>
        <v/>
      </c>
      <c r="R2799" s="7" t="n"/>
      <c r="X2799" s="7" t="n"/>
      <c r="Y2799" s="7">
        <f>IF($E2799="","",AB2799*AE2799/100)</f>
        <v/>
      </c>
      <c r="Z2799" s="7">
        <f>IF($E2799="","",AB2799-Y2799)</f>
        <v/>
      </c>
      <c r="AA2799" s="7">
        <f>IF($E2799="","",Z2799-Q2799)</f>
        <v/>
      </c>
      <c r="AB2799" s="7" t="n"/>
      <c r="AE2799">
        <f>IF($E2799="","",IF($AQ2799=1,0,IF($AP2799=1,Settings!$C$6,Settings!$C$7))*100)</f>
        <v/>
      </c>
      <c r="AI2799" s="7" t="n"/>
      <c r="AL2799" s="11" t="n"/>
      <c r="AN2799">
        <f>IF($E2799="","",IF(COUNTIF($E$2:$E2799,$E2799)=1,1,0))</f>
        <v/>
      </c>
      <c r="AO2799">
        <f>IF($AN2799=1,SUMPRODUCT(--($AR$2:$AR$3001&lt;$AR2799))+1,"")</f>
        <v/>
      </c>
      <c r="AP2799">
        <f>IF($E2799="","",IF(OR($U2799=TRUE(),$U2799="TRUE"),1,0))</f>
        <v/>
      </c>
      <c r="AQ2799">
        <f>IF($E2799="","",IF($AD2799="Yes",1,0))</f>
        <v/>
      </c>
      <c r="AR2799">
        <f>IF($AN2799=1,IFERROR(VALUE(MID($E2799,2,20)),1000000000)+ROW()/100000,"")</f>
        <v/>
      </c>
    </row>
    <row r="2800">
      <c r="G2800" s="11" t="n"/>
      <c r="Q2800" s="7">
        <f>IF($E2800="","",P2800*AB2800/100)</f>
        <v/>
      </c>
      <c r="R2800" s="7" t="n"/>
      <c r="X2800" s="7" t="n"/>
      <c r="Y2800" s="7">
        <f>IF($E2800="","",AB2800*AE2800/100)</f>
        <v/>
      </c>
      <c r="Z2800" s="7">
        <f>IF($E2800="","",AB2800-Y2800)</f>
        <v/>
      </c>
      <c r="AA2800" s="7">
        <f>IF($E2800="","",Z2800-Q2800)</f>
        <v/>
      </c>
      <c r="AB2800" s="7" t="n"/>
      <c r="AE2800">
        <f>IF($E2800="","",IF($AQ2800=1,0,IF($AP2800=1,Settings!$C$6,Settings!$C$7))*100)</f>
        <v/>
      </c>
      <c r="AI2800" s="7" t="n"/>
      <c r="AL2800" s="11" t="n"/>
      <c r="AN2800">
        <f>IF($E2800="","",IF(COUNTIF($E$2:$E2800,$E2800)=1,1,0))</f>
        <v/>
      </c>
      <c r="AO2800">
        <f>IF($AN2800=1,SUMPRODUCT(--($AR$2:$AR$3001&lt;$AR2800))+1,"")</f>
        <v/>
      </c>
      <c r="AP2800">
        <f>IF($E2800="","",IF(OR($U2800=TRUE(),$U2800="TRUE"),1,0))</f>
        <v/>
      </c>
      <c r="AQ2800">
        <f>IF($E2800="","",IF($AD2800="Yes",1,0))</f>
        <v/>
      </c>
      <c r="AR2800">
        <f>IF($AN2800=1,IFERROR(VALUE(MID($E2800,2,20)),1000000000)+ROW()/100000,"")</f>
        <v/>
      </c>
    </row>
    <row r="2801">
      <c r="G2801" s="11" t="n"/>
      <c r="Q2801" s="7">
        <f>IF($E2801="","",P2801*AB2801/100)</f>
        <v/>
      </c>
      <c r="R2801" s="7" t="n"/>
      <c r="X2801" s="7" t="n"/>
      <c r="Y2801" s="7">
        <f>IF($E2801="","",AB2801*AE2801/100)</f>
        <v/>
      </c>
      <c r="Z2801" s="7">
        <f>IF($E2801="","",AB2801-Y2801)</f>
        <v/>
      </c>
      <c r="AA2801" s="7">
        <f>IF($E2801="","",Z2801-Q2801)</f>
        <v/>
      </c>
      <c r="AB2801" s="7" t="n"/>
      <c r="AE2801">
        <f>IF($E2801="","",IF($AQ2801=1,0,IF($AP2801=1,Settings!$C$6,Settings!$C$7))*100)</f>
        <v/>
      </c>
      <c r="AI2801" s="7" t="n"/>
      <c r="AL2801" s="11" t="n"/>
      <c r="AN2801">
        <f>IF($E2801="","",IF(COUNTIF($E$2:$E2801,$E2801)=1,1,0))</f>
        <v/>
      </c>
      <c r="AO2801">
        <f>IF($AN2801=1,SUMPRODUCT(--($AR$2:$AR$3001&lt;$AR2801))+1,"")</f>
        <v/>
      </c>
      <c r="AP2801">
        <f>IF($E2801="","",IF(OR($U2801=TRUE(),$U2801="TRUE"),1,0))</f>
        <v/>
      </c>
      <c r="AQ2801">
        <f>IF($E2801="","",IF($AD2801="Yes",1,0))</f>
        <v/>
      </c>
      <c r="AR2801">
        <f>IF($AN2801=1,IFERROR(VALUE(MID($E2801,2,20)),1000000000)+ROW()/100000,"")</f>
        <v/>
      </c>
    </row>
    <row r="2802">
      <c r="G2802" s="11" t="n"/>
      <c r="Q2802" s="7">
        <f>IF($E2802="","",P2802*AB2802/100)</f>
        <v/>
      </c>
      <c r="R2802" s="7" t="n"/>
      <c r="X2802" s="7" t="n"/>
      <c r="Y2802" s="7">
        <f>IF($E2802="","",AB2802*AE2802/100)</f>
        <v/>
      </c>
      <c r="Z2802" s="7">
        <f>IF($E2802="","",AB2802-Y2802)</f>
        <v/>
      </c>
      <c r="AA2802" s="7">
        <f>IF($E2802="","",Z2802-Q2802)</f>
        <v/>
      </c>
      <c r="AB2802" s="7" t="n"/>
      <c r="AE2802">
        <f>IF($E2802="","",IF($AQ2802=1,0,IF($AP2802=1,Settings!$C$6,Settings!$C$7))*100)</f>
        <v/>
      </c>
      <c r="AI2802" s="7" t="n"/>
      <c r="AL2802" s="11" t="n"/>
      <c r="AN2802">
        <f>IF($E2802="","",IF(COUNTIF($E$2:$E2802,$E2802)=1,1,0))</f>
        <v/>
      </c>
      <c r="AO2802">
        <f>IF($AN2802=1,SUMPRODUCT(--($AR$2:$AR$3001&lt;$AR2802))+1,"")</f>
        <v/>
      </c>
      <c r="AP2802">
        <f>IF($E2802="","",IF(OR($U2802=TRUE(),$U2802="TRUE"),1,0))</f>
        <v/>
      </c>
      <c r="AQ2802">
        <f>IF($E2802="","",IF($AD2802="Yes",1,0))</f>
        <v/>
      </c>
      <c r="AR2802">
        <f>IF($AN2802=1,IFERROR(VALUE(MID($E2802,2,20)),1000000000)+ROW()/100000,"")</f>
        <v/>
      </c>
    </row>
    <row r="2803">
      <c r="G2803" s="11" t="n"/>
      <c r="Q2803" s="7">
        <f>IF($E2803="","",P2803*AB2803/100)</f>
        <v/>
      </c>
      <c r="R2803" s="7" t="n"/>
      <c r="X2803" s="7" t="n"/>
      <c r="Y2803" s="7">
        <f>IF($E2803="","",AB2803*AE2803/100)</f>
        <v/>
      </c>
      <c r="Z2803" s="7">
        <f>IF($E2803="","",AB2803-Y2803)</f>
        <v/>
      </c>
      <c r="AA2803" s="7">
        <f>IF($E2803="","",Z2803-Q2803)</f>
        <v/>
      </c>
      <c r="AB2803" s="7" t="n"/>
      <c r="AE2803">
        <f>IF($E2803="","",IF($AQ2803=1,0,IF($AP2803=1,Settings!$C$6,Settings!$C$7))*100)</f>
        <v/>
      </c>
      <c r="AI2803" s="7" t="n"/>
      <c r="AL2803" s="11" t="n"/>
      <c r="AN2803">
        <f>IF($E2803="","",IF(COUNTIF($E$2:$E2803,$E2803)=1,1,0))</f>
        <v/>
      </c>
      <c r="AO2803">
        <f>IF($AN2803=1,SUMPRODUCT(--($AR$2:$AR$3001&lt;$AR2803))+1,"")</f>
        <v/>
      </c>
      <c r="AP2803">
        <f>IF($E2803="","",IF(OR($U2803=TRUE(),$U2803="TRUE"),1,0))</f>
        <v/>
      </c>
      <c r="AQ2803">
        <f>IF($E2803="","",IF($AD2803="Yes",1,0))</f>
        <v/>
      </c>
      <c r="AR2803">
        <f>IF($AN2803=1,IFERROR(VALUE(MID($E2803,2,20)),1000000000)+ROW()/100000,"")</f>
        <v/>
      </c>
    </row>
    <row r="2804">
      <c r="G2804" s="11" t="n"/>
      <c r="Q2804" s="7">
        <f>IF($E2804="","",P2804*AB2804/100)</f>
        <v/>
      </c>
      <c r="R2804" s="7" t="n"/>
      <c r="X2804" s="7" t="n"/>
      <c r="Y2804" s="7">
        <f>IF($E2804="","",AB2804*AE2804/100)</f>
        <v/>
      </c>
      <c r="Z2804" s="7">
        <f>IF($E2804="","",AB2804-Y2804)</f>
        <v/>
      </c>
      <c r="AA2804" s="7">
        <f>IF($E2804="","",Z2804-Q2804)</f>
        <v/>
      </c>
      <c r="AB2804" s="7" t="n"/>
      <c r="AE2804">
        <f>IF($E2804="","",IF($AQ2804=1,0,IF($AP2804=1,Settings!$C$6,Settings!$C$7))*100)</f>
        <v/>
      </c>
      <c r="AI2804" s="7" t="n"/>
      <c r="AL2804" s="11" t="n"/>
      <c r="AN2804">
        <f>IF($E2804="","",IF(COUNTIF($E$2:$E2804,$E2804)=1,1,0))</f>
        <v/>
      </c>
      <c r="AO2804">
        <f>IF($AN2804=1,SUMPRODUCT(--($AR$2:$AR$3001&lt;$AR2804))+1,"")</f>
        <v/>
      </c>
      <c r="AP2804">
        <f>IF($E2804="","",IF(OR($U2804=TRUE(),$U2804="TRUE"),1,0))</f>
        <v/>
      </c>
      <c r="AQ2804">
        <f>IF($E2804="","",IF($AD2804="Yes",1,0))</f>
        <v/>
      </c>
      <c r="AR2804">
        <f>IF($AN2804=1,IFERROR(VALUE(MID($E2804,2,20)),1000000000)+ROW()/100000,"")</f>
        <v/>
      </c>
    </row>
    <row r="2805">
      <c r="G2805" s="11" t="n"/>
      <c r="Q2805" s="7">
        <f>IF($E2805="","",P2805*AB2805/100)</f>
        <v/>
      </c>
      <c r="R2805" s="7" t="n"/>
      <c r="X2805" s="7" t="n"/>
      <c r="Y2805" s="7">
        <f>IF($E2805="","",AB2805*AE2805/100)</f>
        <v/>
      </c>
      <c r="Z2805" s="7">
        <f>IF($E2805="","",AB2805-Y2805)</f>
        <v/>
      </c>
      <c r="AA2805" s="7">
        <f>IF($E2805="","",Z2805-Q2805)</f>
        <v/>
      </c>
      <c r="AB2805" s="7" t="n"/>
      <c r="AE2805">
        <f>IF($E2805="","",IF($AQ2805=1,0,IF($AP2805=1,Settings!$C$6,Settings!$C$7))*100)</f>
        <v/>
      </c>
      <c r="AI2805" s="7" t="n"/>
      <c r="AL2805" s="11" t="n"/>
      <c r="AN2805">
        <f>IF($E2805="","",IF(COUNTIF($E$2:$E2805,$E2805)=1,1,0))</f>
        <v/>
      </c>
      <c r="AO2805">
        <f>IF($AN2805=1,SUMPRODUCT(--($AR$2:$AR$3001&lt;$AR2805))+1,"")</f>
        <v/>
      </c>
      <c r="AP2805">
        <f>IF($E2805="","",IF(OR($U2805=TRUE(),$U2805="TRUE"),1,0))</f>
        <v/>
      </c>
      <c r="AQ2805">
        <f>IF($E2805="","",IF($AD2805="Yes",1,0))</f>
        <v/>
      </c>
      <c r="AR2805">
        <f>IF($AN2805=1,IFERROR(VALUE(MID($E2805,2,20)),1000000000)+ROW()/100000,"")</f>
        <v/>
      </c>
    </row>
    <row r="2806">
      <c r="G2806" s="11" t="n"/>
      <c r="Q2806" s="7">
        <f>IF($E2806="","",P2806*AB2806/100)</f>
        <v/>
      </c>
      <c r="R2806" s="7" t="n"/>
      <c r="X2806" s="7" t="n"/>
      <c r="Y2806" s="7">
        <f>IF($E2806="","",AB2806*AE2806/100)</f>
        <v/>
      </c>
      <c r="Z2806" s="7">
        <f>IF($E2806="","",AB2806-Y2806)</f>
        <v/>
      </c>
      <c r="AA2806" s="7">
        <f>IF($E2806="","",Z2806-Q2806)</f>
        <v/>
      </c>
      <c r="AB2806" s="7" t="n"/>
      <c r="AE2806">
        <f>IF($E2806="","",IF($AQ2806=1,0,IF($AP2806=1,Settings!$C$6,Settings!$C$7))*100)</f>
        <v/>
      </c>
      <c r="AI2806" s="7" t="n"/>
      <c r="AL2806" s="11" t="n"/>
      <c r="AN2806">
        <f>IF($E2806="","",IF(COUNTIF($E$2:$E2806,$E2806)=1,1,0))</f>
        <v/>
      </c>
      <c r="AO2806">
        <f>IF($AN2806=1,SUMPRODUCT(--($AR$2:$AR$3001&lt;$AR2806))+1,"")</f>
        <v/>
      </c>
      <c r="AP2806">
        <f>IF($E2806="","",IF(OR($U2806=TRUE(),$U2806="TRUE"),1,0))</f>
        <v/>
      </c>
      <c r="AQ2806">
        <f>IF($E2806="","",IF($AD2806="Yes",1,0))</f>
        <v/>
      </c>
      <c r="AR2806">
        <f>IF($AN2806=1,IFERROR(VALUE(MID($E2806,2,20)),1000000000)+ROW()/100000,"")</f>
        <v/>
      </c>
    </row>
    <row r="2807">
      <c r="G2807" s="11" t="n"/>
      <c r="Q2807" s="7">
        <f>IF($E2807="","",P2807*AB2807/100)</f>
        <v/>
      </c>
      <c r="R2807" s="7" t="n"/>
      <c r="X2807" s="7" t="n"/>
      <c r="Y2807" s="7">
        <f>IF($E2807="","",AB2807*AE2807/100)</f>
        <v/>
      </c>
      <c r="Z2807" s="7">
        <f>IF($E2807="","",AB2807-Y2807)</f>
        <v/>
      </c>
      <c r="AA2807" s="7">
        <f>IF($E2807="","",Z2807-Q2807)</f>
        <v/>
      </c>
      <c r="AB2807" s="7" t="n"/>
      <c r="AE2807">
        <f>IF($E2807="","",IF($AQ2807=1,0,IF($AP2807=1,Settings!$C$6,Settings!$C$7))*100)</f>
        <v/>
      </c>
      <c r="AI2807" s="7" t="n"/>
      <c r="AL2807" s="11" t="n"/>
      <c r="AN2807">
        <f>IF($E2807="","",IF(COUNTIF($E$2:$E2807,$E2807)=1,1,0))</f>
        <v/>
      </c>
      <c r="AO2807">
        <f>IF($AN2807=1,SUMPRODUCT(--($AR$2:$AR$3001&lt;$AR2807))+1,"")</f>
        <v/>
      </c>
      <c r="AP2807">
        <f>IF($E2807="","",IF(OR($U2807=TRUE(),$U2807="TRUE"),1,0))</f>
        <v/>
      </c>
      <c r="AQ2807">
        <f>IF($E2807="","",IF($AD2807="Yes",1,0))</f>
        <v/>
      </c>
      <c r="AR2807">
        <f>IF($AN2807=1,IFERROR(VALUE(MID($E2807,2,20)),1000000000)+ROW()/100000,"")</f>
        <v/>
      </c>
    </row>
    <row r="2808">
      <c r="G2808" s="11" t="n"/>
      <c r="Q2808" s="7">
        <f>IF($E2808="","",P2808*AB2808/100)</f>
        <v/>
      </c>
      <c r="R2808" s="7" t="n"/>
      <c r="X2808" s="7" t="n"/>
      <c r="Y2808" s="7">
        <f>IF($E2808="","",AB2808*AE2808/100)</f>
        <v/>
      </c>
      <c r="Z2808" s="7">
        <f>IF($E2808="","",AB2808-Y2808)</f>
        <v/>
      </c>
      <c r="AA2808" s="7">
        <f>IF($E2808="","",Z2808-Q2808)</f>
        <v/>
      </c>
      <c r="AB2808" s="7" t="n"/>
      <c r="AE2808">
        <f>IF($E2808="","",IF($AQ2808=1,0,IF($AP2808=1,Settings!$C$6,Settings!$C$7))*100)</f>
        <v/>
      </c>
      <c r="AI2808" s="7" t="n"/>
      <c r="AL2808" s="11" t="n"/>
      <c r="AN2808">
        <f>IF($E2808="","",IF(COUNTIF($E$2:$E2808,$E2808)=1,1,0))</f>
        <v/>
      </c>
      <c r="AO2808">
        <f>IF($AN2808=1,SUMPRODUCT(--($AR$2:$AR$3001&lt;$AR2808))+1,"")</f>
        <v/>
      </c>
      <c r="AP2808">
        <f>IF($E2808="","",IF(OR($U2808=TRUE(),$U2808="TRUE"),1,0))</f>
        <v/>
      </c>
      <c r="AQ2808">
        <f>IF($E2808="","",IF($AD2808="Yes",1,0))</f>
        <v/>
      </c>
      <c r="AR2808">
        <f>IF($AN2808=1,IFERROR(VALUE(MID($E2808,2,20)),1000000000)+ROW()/100000,"")</f>
        <v/>
      </c>
    </row>
    <row r="2809">
      <c r="G2809" s="11" t="n"/>
      <c r="Q2809" s="7">
        <f>IF($E2809="","",P2809*AB2809/100)</f>
        <v/>
      </c>
      <c r="R2809" s="7" t="n"/>
      <c r="X2809" s="7" t="n"/>
      <c r="Y2809" s="7">
        <f>IF($E2809="","",AB2809*AE2809/100)</f>
        <v/>
      </c>
      <c r="Z2809" s="7">
        <f>IF($E2809="","",AB2809-Y2809)</f>
        <v/>
      </c>
      <c r="AA2809" s="7">
        <f>IF($E2809="","",Z2809-Q2809)</f>
        <v/>
      </c>
      <c r="AB2809" s="7" t="n"/>
      <c r="AE2809">
        <f>IF($E2809="","",IF($AQ2809=1,0,IF($AP2809=1,Settings!$C$6,Settings!$C$7))*100)</f>
        <v/>
      </c>
      <c r="AI2809" s="7" t="n"/>
      <c r="AL2809" s="11" t="n"/>
      <c r="AN2809">
        <f>IF($E2809="","",IF(COUNTIF($E$2:$E2809,$E2809)=1,1,0))</f>
        <v/>
      </c>
      <c r="AO2809">
        <f>IF($AN2809=1,SUMPRODUCT(--($AR$2:$AR$3001&lt;$AR2809))+1,"")</f>
        <v/>
      </c>
      <c r="AP2809">
        <f>IF($E2809="","",IF(OR($U2809=TRUE(),$U2809="TRUE"),1,0))</f>
        <v/>
      </c>
      <c r="AQ2809">
        <f>IF($E2809="","",IF($AD2809="Yes",1,0))</f>
        <v/>
      </c>
      <c r="AR2809">
        <f>IF($AN2809=1,IFERROR(VALUE(MID($E2809,2,20)),1000000000)+ROW()/100000,"")</f>
        <v/>
      </c>
    </row>
    <row r="2810">
      <c r="G2810" s="11" t="n"/>
      <c r="Q2810" s="7">
        <f>IF($E2810="","",P2810*AB2810/100)</f>
        <v/>
      </c>
      <c r="R2810" s="7" t="n"/>
      <c r="X2810" s="7" t="n"/>
      <c r="Y2810" s="7">
        <f>IF($E2810="","",AB2810*AE2810/100)</f>
        <v/>
      </c>
      <c r="Z2810" s="7">
        <f>IF($E2810="","",AB2810-Y2810)</f>
        <v/>
      </c>
      <c r="AA2810" s="7">
        <f>IF($E2810="","",Z2810-Q2810)</f>
        <v/>
      </c>
      <c r="AB2810" s="7" t="n"/>
      <c r="AE2810">
        <f>IF($E2810="","",IF($AQ2810=1,0,IF($AP2810=1,Settings!$C$6,Settings!$C$7))*100)</f>
        <v/>
      </c>
      <c r="AI2810" s="7" t="n"/>
      <c r="AL2810" s="11" t="n"/>
      <c r="AN2810">
        <f>IF($E2810="","",IF(COUNTIF($E$2:$E2810,$E2810)=1,1,0))</f>
        <v/>
      </c>
      <c r="AO2810">
        <f>IF($AN2810=1,SUMPRODUCT(--($AR$2:$AR$3001&lt;$AR2810))+1,"")</f>
        <v/>
      </c>
      <c r="AP2810">
        <f>IF($E2810="","",IF(OR($U2810=TRUE(),$U2810="TRUE"),1,0))</f>
        <v/>
      </c>
      <c r="AQ2810">
        <f>IF($E2810="","",IF($AD2810="Yes",1,0))</f>
        <v/>
      </c>
      <c r="AR2810">
        <f>IF($AN2810=1,IFERROR(VALUE(MID($E2810,2,20)),1000000000)+ROW()/100000,"")</f>
        <v/>
      </c>
    </row>
    <row r="2811">
      <c r="G2811" s="11" t="n"/>
      <c r="Q2811" s="7">
        <f>IF($E2811="","",P2811*AB2811/100)</f>
        <v/>
      </c>
      <c r="R2811" s="7" t="n"/>
      <c r="X2811" s="7" t="n"/>
      <c r="Y2811" s="7">
        <f>IF($E2811="","",AB2811*AE2811/100)</f>
        <v/>
      </c>
      <c r="Z2811" s="7">
        <f>IF($E2811="","",AB2811-Y2811)</f>
        <v/>
      </c>
      <c r="AA2811" s="7">
        <f>IF($E2811="","",Z2811-Q2811)</f>
        <v/>
      </c>
      <c r="AB2811" s="7" t="n"/>
      <c r="AE2811">
        <f>IF($E2811="","",IF($AQ2811=1,0,IF($AP2811=1,Settings!$C$6,Settings!$C$7))*100)</f>
        <v/>
      </c>
      <c r="AI2811" s="7" t="n"/>
      <c r="AL2811" s="11" t="n"/>
      <c r="AN2811">
        <f>IF($E2811="","",IF(COUNTIF($E$2:$E2811,$E2811)=1,1,0))</f>
        <v/>
      </c>
      <c r="AO2811">
        <f>IF($AN2811=1,SUMPRODUCT(--($AR$2:$AR$3001&lt;$AR2811))+1,"")</f>
        <v/>
      </c>
      <c r="AP2811">
        <f>IF($E2811="","",IF(OR($U2811=TRUE(),$U2811="TRUE"),1,0))</f>
        <v/>
      </c>
      <c r="AQ2811">
        <f>IF($E2811="","",IF($AD2811="Yes",1,0))</f>
        <v/>
      </c>
      <c r="AR2811">
        <f>IF($AN2811=1,IFERROR(VALUE(MID($E2811,2,20)),1000000000)+ROW()/100000,"")</f>
        <v/>
      </c>
    </row>
    <row r="2812">
      <c r="G2812" s="11" t="n"/>
      <c r="Q2812" s="7">
        <f>IF($E2812="","",P2812*AB2812/100)</f>
        <v/>
      </c>
      <c r="R2812" s="7" t="n"/>
      <c r="X2812" s="7" t="n"/>
      <c r="Y2812" s="7">
        <f>IF($E2812="","",AB2812*AE2812/100)</f>
        <v/>
      </c>
      <c r="Z2812" s="7">
        <f>IF($E2812="","",AB2812-Y2812)</f>
        <v/>
      </c>
      <c r="AA2812" s="7">
        <f>IF($E2812="","",Z2812-Q2812)</f>
        <v/>
      </c>
      <c r="AB2812" s="7" t="n"/>
      <c r="AE2812">
        <f>IF($E2812="","",IF($AQ2812=1,0,IF($AP2812=1,Settings!$C$6,Settings!$C$7))*100)</f>
        <v/>
      </c>
      <c r="AI2812" s="7" t="n"/>
      <c r="AL2812" s="11" t="n"/>
      <c r="AN2812">
        <f>IF($E2812="","",IF(COUNTIF($E$2:$E2812,$E2812)=1,1,0))</f>
        <v/>
      </c>
      <c r="AO2812">
        <f>IF($AN2812=1,SUMPRODUCT(--($AR$2:$AR$3001&lt;$AR2812))+1,"")</f>
        <v/>
      </c>
      <c r="AP2812">
        <f>IF($E2812="","",IF(OR($U2812=TRUE(),$U2812="TRUE"),1,0))</f>
        <v/>
      </c>
      <c r="AQ2812">
        <f>IF($E2812="","",IF($AD2812="Yes",1,0))</f>
        <v/>
      </c>
      <c r="AR2812">
        <f>IF($AN2812=1,IFERROR(VALUE(MID($E2812,2,20)),1000000000)+ROW()/100000,"")</f>
        <v/>
      </c>
    </row>
    <row r="2813">
      <c r="G2813" s="11" t="n"/>
      <c r="Q2813" s="7">
        <f>IF($E2813="","",P2813*AB2813/100)</f>
        <v/>
      </c>
      <c r="R2813" s="7" t="n"/>
      <c r="X2813" s="7" t="n"/>
      <c r="Y2813" s="7">
        <f>IF($E2813="","",AB2813*AE2813/100)</f>
        <v/>
      </c>
      <c r="Z2813" s="7">
        <f>IF($E2813="","",AB2813-Y2813)</f>
        <v/>
      </c>
      <c r="AA2813" s="7">
        <f>IF($E2813="","",Z2813-Q2813)</f>
        <v/>
      </c>
      <c r="AB2813" s="7" t="n"/>
      <c r="AE2813">
        <f>IF($E2813="","",IF($AQ2813=1,0,IF($AP2813=1,Settings!$C$6,Settings!$C$7))*100)</f>
        <v/>
      </c>
      <c r="AI2813" s="7" t="n"/>
      <c r="AL2813" s="11" t="n"/>
      <c r="AN2813">
        <f>IF($E2813="","",IF(COUNTIF($E$2:$E2813,$E2813)=1,1,0))</f>
        <v/>
      </c>
      <c r="AO2813">
        <f>IF($AN2813=1,SUMPRODUCT(--($AR$2:$AR$3001&lt;$AR2813))+1,"")</f>
        <v/>
      </c>
      <c r="AP2813">
        <f>IF($E2813="","",IF(OR($U2813=TRUE(),$U2813="TRUE"),1,0))</f>
        <v/>
      </c>
      <c r="AQ2813">
        <f>IF($E2813="","",IF($AD2813="Yes",1,0))</f>
        <v/>
      </c>
      <c r="AR2813">
        <f>IF($AN2813=1,IFERROR(VALUE(MID($E2813,2,20)),1000000000)+ROW()/100000,"")</f>
        <v/>
      </c>
    </row>
    <row r="2814">
      <c r="G2814" s="11" t="n"/>
      <c r="Q2814" s="7">
        <f>IF($E2814="","",P2814*AB2814/100)</f>
        <v/>
      </c>
      <c r="R2814" s="7" t="n"/>
      <c r="X2814" s="7" t="n"/>
      <c r="Y2814" s="7">
        <f>IF($E2814="","",AB2814*AE2814/100)</f>
        <v/>
      </c>
      <c r="Z2814" s="7">
        <f>IF($E2814="","",AB2814-Y2814)</f>
        <v/>
      </c>
      <c r="AA2814" s="7">
        <f>IF($E2814="","",Z2814-Q2814)</f>
        <v/>
      </c>
      <c r="AB2814" s="7" t="n"/>
      <c r="AE2814">
        <f>IF($E2814="","",IF($AQ2814=1,0,IF($AP2814=1,Settings!$C$6,Settings!$C$7))*100)</f>
        <v/>
      </c>
      <c r="AI2814" s="7" t="n"/>
      <c r="AL2814" s="11" t="n"/>
      <c r="AN2814">
        <f>IF($E2814="","",IF(COUNTIF($E$2:$E2814,$E2814)=1,1,0))</f>
        <v/>
      </c>
      <c r="AO2814">
        <f>IF($AN2814=1,SUMPRODUCT(--($AR$2:$AR$3001&lt;$AR2814))+1,"")</f>
        <v/>
      </c>
      <c r="AP2814">
        <f>IF($E2814="","",IF(OR($U2814=TRUE(),$U2814="TRUE"),1,0))</f>
        <v/>
      </c>
      <c r="AQ2814">
        <f>IF($E2814="","",IF($AD2814="Yes",1,0))</f>
        <v/>
      </c>
      <c r="AR2814">
        <f>IF($AN2814=1,IFERROR(VALUE(MID($E2814,2,20)),1000000000)+ROW()/100000,"")</f>
        <v/>
      </c>
    </row>
    <row r="2815">
      <c r="G2815" s="11" t="n"/>
      <c r="Q2815" s="7">
        <f>IF($E2815="","",P2815*AB2815/100)</f>
        <v/>
      </c>
      <c r="R2815" s="7" t="n"/>
      <c r="X2815" s="7" t="n"/>
      <c r="Y2815" s="7">
        <f>IF($E2815="","",AB2815*AE2815/100)</f>
        <v/>
      </c>
      <c r="Z2815" s="7">
        <f>IF($E2815="","",AB2815-Y2815)</f>
        <v/>
      </c>
      <c r="AA2815" s="7">
        <f>IF($E2815="","",Z2815-Q2815)</f>
        <v/>
      </c>
      <c r="AB2815" s="7" t="n"/>
      <c r="AE2815">
        <f>IF($E2815="","",IF($AQ2815=1,0,IF($AP2815=1,Settings!$C$6,Settings!$C$7))*100)</f>
        <v/>
      </c>
      <c r="AI2815" s="7" t="n"/>
      <c r="AL2815" s="11" t="n"/>
      <c r="AN2815">
        <f>IF($E2815="","",IF(COUNTIF($E$2:$E2815,$E2815)=1,1,0))</f>
        <v/>
      </c>
      <c r="AO2815">
        <f>IF($AN2815=1,SUMPRODUCT(--($AR$2:$AR$3001&lt;$AR2815))+1,"")</f>
        <v/>
      </c>
      <c r="AP2815">
        <f>IF($E2815="","",IF(OR($U2815=TRUE(),$U2815="TRUE"),1,0))</f>
        <v/>
      </c>
      <c r="AQ2815">
        <f>IF($E2815="","",IF($AD2815="Yes",1,0))</f>
        <v/>
      </c>
      <c r="AR2815">
        <f>IF($AN2815=1,IFERROR(VALUE(MID($E2815,2,20)),1000000000)+ROW()/100000,"")</f>
        <v/>
      </c>
    </row>
    <row r="2816">
      <c r="G2816" s="11" t="n"/>
      <c r="Q2816" s="7">
        <f>IF($E2816="","",P2816*AB2816/100)</f>
        <v/>
      </c>
      <c r="R2816" s="7" t="n"/>
      <c r="X2816" s="7" t="n"/>
      <c r="Y2816" s="7">
        <f>IF($E2816="","",AB2816*AE2816/100)</f>
        <v/>
      </c>
      <c r="Z2816" s="7">
        <f>IF($E2816="","",AB2816-Y2816)</f>
        <v/>
      </c>
      <c r="AA2816" s="7">
        <f>IF($E2816="","",Z2816-Q2816)</f>
        <v/>
      </c>
      <c r="AB2816" s="7" t="n"/>
      <c r="AE2816">
        <f>IF($E2816="","",IF($AQ2816=1,0,IF($AP2816=1,Settings!$C$6,Settings!$C$7))*100)</f>
        <v/>
      </c>
      <c r="AI2816" s="7" t="n"/>
      <c r="AL2816" s="11" t="n"/>
      <c r="AN2816">
        <f>IF($E2816="","",IF(COUNTIF($E$2:$E2816,$E2816)=1,1,0))</f>
        <v/>
      </c>
      <c r="AO2816">
        <f>IF($AN2816=1,SUMPRODUCT(--($AR$2:$AR$3001&lt;$AR2816))+1,"")</f>
        <v/>
      </c>
      <c r="AP2816">
        <f>IF($E2816="","",IF(OR($U2816=TRUE(),$U2816="TRUE"),1,0))</f>
        <v/>
      </c>
      <c r="AQ2816">
        <f>IF($E2816="","",IF($AD2816="Yes",1,0))</f>
        <v/>
      </c>
      <c r="AR2816">
        <f>IF($AN2816=1,IFERROR(VALUE(MID($E2816,2,20)),1000000000)+ROW()/100000,"")</f>
        <v/>
      </c>
    </row>
    <row r="2817">
      <c r="G2817" s="11" t="n"/>
      <c r="Q2817" s="7">
        <f>IF($E2817="","",P2817*AB2817/100)</f>
        <v/>
      </c>
      <c r="R2817" s="7" t="n"/>
      <c r="X2817" s="7" t="n"/>
      <c r="Y2817" s="7">
        <f>IF($E2817="","",AB2817*AE2817/100)</f>
        <v/>
      </c>
      <c r="Z2817" s="7">
        <f>IF($E2817="","",AB2817-Y2817)</f>
        <v/>
      </c>
      <c r="AA2817" s="7">
        <f>IF($E2817="","",Z2817-Q2817)</f>
        <v/>
      </c>
      <c r="AB2817" s="7" t="n"/>
      <c r="AE2817">
        <f>IF($E2817="","",IF($AQ2817=1,0,IF($AP2817=1,Settings!$C$6,Settings!$C$7))*100)</f>
        <v/>
      </c>
      <c r="AI2817" s="7" t="n"/>
      <c r="AL2817" s="11" t="n"/>
      <c r="AN2817">
        <f>IF($E2817="","",IF(COUNTIF($E$2:$E2817,$E2817)=1,1,0))</f>
        <v/>
      </c>
      <c r="AO2817">
        <f>IF($AN2817=1,SUMPRODUCT(--($AR$2:$AR$3001&lt;$AR2817))+1,"")</f>
        <v/>
      </c>
      <c r="AP2817">
        <f>IF($E2817="","",IF(OR($U2817=TRUE(),$U2817="TRUE"),1,0))</f>
        <v/>
      </c>
      <c r="AQ2817">
        <f>IF($E2817="","",IF($AD2817="Yes",1,0))</f>
        <v/>
      </c>
      <c r="AR2817">
        <f>IF($AN2817=1,IFERROR(VALUE(MID($E2817,2,20)),1000000000)+ROW()/100000,"")</f>
        <v/>
      </c>
    </row>
    <row r="2818">
      <c r="G2818" s="11" t="n"/>
      <c r="Q2818" s="7">
        <f>IF($E2818="","",P2818*AB2818/100)</f>
        <v/>
      </c>
      <c r="R2818" s="7" t="n"/>
      <c r="X2818" s="7" t="n"/>
      <c r="Y2818" s="7">
        <f>IF($E2818="","",AB2818*AE2818/100)</f>
        <v/>
      </c>
      <c r="Z2818" s="7">
        <f>IF($E2818="","",AB2818-Y2818)</f>
        <v/>
      </c>
      <c r="AA2818" s="7">
        <f>IF($E2818="","",Z2818-Q2818)</f>
        <v/>
      </c>
      <c r="AB2818" s="7" t="n"/>
      <c r="AE2818">
        <f>IF($E2818="","",IF($AQ2818=1,0,IF($AP2818=1,Settings!$C$6,Settings!$C$7))*100)</f>
        <v/>
      </c>
      <c r="AI2818" s="7" t="n"/>
      <c r="AL2818" s="11" t="n"/>
      <c r="AN2818">
        <f>IF($E2818="","",IF(COUNTIF($E$2:$E2818,$E2818)=1,1,0))</f>
        <v/>
      </c>
      <c r="AO2818">
        <f>IF($AN2818=1,SUMPRODUCT(--($AR$2:$AR$3001&lt;$AR2818))+1,"")</f>
        <v/>
      </c>
      <c r="AP2818">
        <f>IF($E2818="","",IF(OR($U2818=TRUE(),$U2818="TRUE"),1,0))</f>
        <v/>
      </c>
      <c r="AQ2818">
        <f>IF($E2818="","",IF($AD2818="Yes",1,0))</f>
        <v/>
      </c>
      <c r="AR2818">
        <f>IF($AN2818=1,IFERROR(VALUE(MID($E2818,2,20)),1000000000)+ROW()/100000,"")</f>
        <v/>
      </c>
    </row>
    <row r="2819">
      <c r="G2819" s="11" t="n"/>
      <c r="Q2819" s="7">
        <f>IF($E2819="","",P2819*AB2819/100)</f>
        <v/>
      </c>
      <c r="R2819" s="7" t="n"/>
      <c r="X2819" s="7" t="n"/>
      <c r="Y2819" s="7">
        <f>IF($E2819="","",AB2819*AE2819/100)</f>
        <v/>
      </c>
      <c r="Z2819" s="7">
        <f>IF($E2819="","",AB2819-Y2819)</f>
        <v/>
      </c>
      <c r="AA2819" s="7">
        <f>IF($E2819="","",Z2819-Q2819)</f>
        <v/>
      </c>
      <c r="AB2819" s="7" t="n"/>
      <c r="AE2819">
        <f>IF($E2819="","",IF($AQ2819=1,0,IF($AP2819=1,Settings!$C$6,Settings!$C$7))*100)</f>
        <v/>
      </c>
      <c r="AI2819" s="7" t="n"/>
      <c r="AL2819" s="11" t="n"/>
      <c r="AN2819">
        <f>IF($E2819="","",IF(COUNTIF($E$2:$E2819,$E2819)=1,1,0))</f>
        <v/>
      </c>
      <c r="AO2819">
        <f>IF($AN2819=1,SUMPRODUCT(--($AR$2:$AR$3001&lt;$AR2819))+1,"")</f>
        <v/>
      </c>
      <c r="AP2819">
        <f>IF($E2819="","",IF(OR($U2819=TRUE(),$U2819="TRUE"),1,0))</f>
        <v/>
      </c>
      <c r="AQ2819">
        <f>IF($E2819="","",IF($AD2819="Yes",1,0))</f>
        <v/>
      </c>
      <c r="AR2819">
        <f>IF($AN2819=1,IFERROR(VALUE(MID($E2819,2,20)),1000000000)+ROW()/100000,"")</f>
        <v/>
      </c>
    </row>
    <row r="2820">
      <c r="G2820" s="11" t="n"/>
      <c r="Q2820" s="7">
        <f>IF($E2820="","",P2820*AB2820/100)</f>
        <v/>
      </c>
      <c r="R2820" s="7" t="n"/>
      <c r="X2820" s="7" t="n"/>
      <c r="Y2820" s="7">
        <f>IF($E2820="","",AB2820*AE2820/100)</f>
        <v/>
      </c>
      <c r="Z2820" s="7">
        <f>IF($E2820="","",AB2820-Y2820)</f>
        <v/>
      </c>
      <c r="AA2820" s="7">
        <f>IF($E2820="","",Z2820-Q2820)</f>
        <v/>
      </c>
      <c r="AB2820" s="7" t="n"/>
      <c r="AE2820">
        <f>IF($E2820="","",IF($AQ2820=1,0,IF($AP2820=1,Settings!$C$6,Settings!$C$7))*100)</f>
        <v/>
      </c>
      <c r="AI2820" s="7" t="n"/>
      <c r="AL2820" s="11" t="n"/>
      <c r="AN2820">
        <f>IF($E2820="","",IF(COUNTIF($E$2:$E2820,$E2820)=1,1,0))</f>
        <v/>
      </c>
      <c r="AO2820">
        <f>IF($AN2820=1,SUMPRODUCT(--($AR$2:$AR$3001&lt;$AR2820))+1,"")</f>
        <v/>
      </c>
      <c r="AP2820">
        <f>IF($E2820="","",IF(OR($U2820=TRUE(),$U2820="TRUE"),1,0))</f>
        <v/>
      </c>
      <c r="AQ2820">
        <f>IF($E2820="","",IF($AD2820="Yes",1,0))</f>
        <v/>
      </c>
      <c r="AR2820">
        <f>IF($AN2820=1,IFERROR(VALUE(MID($E2820,2,20)),1000000000)+ROW()/100000,"")</f>
        <v/>
      </c>
    </row>
    <row r="2821">
      <c r="G2821" s="11" t="n"/>
      <c r="Q2821" s="7">
        <f>IF($E2821="","",P2821*AB2821/100)</f>
        <v/>
      </c>
      <c r="R2821" s="7" t="n"/>
      <c r="X2821" s="7" t="n"/>
      <c r="Y2821" s="7">
        <f>IF($E2821="","",AB2821*AE2821/100)</f>
        <v/>
      </c>
      <c r="Z2821" s="7">
        <f>IF($E2821="","",AB2821-Y2821)</f>
        <v/>
      </c>
      <c r="AA2821" s="7">
        <f>IF($E2821="","",Z2821-Q2821)</f>
        <v/>
      </c>
      <c r="AB2821" s="7" t="n"/>
      <c r="AE2821">
        <f>IF($E2821="","",IF($AQ2821=1,0,IF($AP2821=1,Settings!$C$6,Settings!$C$7))*100)</f>
        <v/>
      </c>
      <c r="AI2821" s="7" t="n"/>
      <c r="AL2821" s="11" t="n"/>
      <c r="AN2821">
        <f>IF($E2821="","",IF(COUNTIF($E$2:$E2821,$E2821)=1,1,0))</f>
        <v/>
      </c>
      <c r="AO2821">
        <f>IF($AN2821=1,SUMPRODUCT(--($AR$2:$AR$3001&lt;$AR2821))+1,"")</f>
        <v/>
      </c>
      <c r="AP2821">
        <f>IF($E2821="","",IF(OR($U2821=TRUE(),$U2821="TRUE"),1,0))</f>
        <v/>
      </c>
      <c r="AQ2821">
        <f>IF($E2821="","",IF($AD2821="Yes",1,0))</f>
        <v/>
      </c>
      <c r="AR2821">
        <f>IF($AN2821=1,IFERROR(VALUE(MID($E2821,2,20)),1000000000)+ROW()/100000,"")</f>
        <v/>
      </c>
    </row>
    <row r="2822">
      <c r="G2822" s="11" t="n"/>
      <c r="Q2822" s="7">
        <f>IF($E2822="","",P2822*AB2822/100)</f>
        <v/>
      </c>
      <c r="R2822" s="7" t="n"/>
      <c r="X2822" s="7" t="n"/>
      <c r="Y2822" s="7">
        <f>IF($E2822="","",AB2822*AE2822/100)</f>
        <v/>
      </c>
      <c r="Z2822" s="7">
        <f>IF($E2822="","",AB2822-Y2822)</f>
        <v/>
      </c>
      <c r="AA2822" s="7">
        <f>IF($E2822="","",Z2822-Q2822)</f>
        <v/>
      </c>
      <c r="AB2822" s="7" t="n"/>
      <c r="AE2822">
        <f>IF($E2822="","",IF($AQ2822=1,0,IF($AP2822=1,Settings!$C$6,Settings!$C$7))*100)</f>
        <v/>
      </c>
      <c r="AI2822" s="7" t="n"/>
      <c r="AL2822" s="11" t="n"/>
      <c r="AN2822">
        <f>IF($E2822="","",IF(COUNTIF($E$2:$E2822,$E2822)=1,1,0))</f>
        <v/>
      </c>
      <c r="AO2822">
        <f>IF($AN2822=1,SUMPRODUCT(--($AR$2:$AR$3001&lt;$AR2822))+1,"")</f>
        <v/>
      </c>
      <c r="AP2822">
        <f>IF($E2822="","",IF(OR($U2822=TRUE(),$U2822="TRUE"),1,0))</f>
        <v/>
      </c>
      <c r="AQ2822">
        <f>IF($E2822="","",IF($AD2822="Yes",1,0))</f>
        <v/>
      </c>
      <c r="AR2822">
        <f>IF($AN2822=1,IFERROR(VALUE(MID($E2822,2,20)),1000000000)+ROW()/100000,"")</f>
        <v/>
      </c>
    </row>
    <row r="2823">
      <c r="G2823" s="11" t="n"/>
      <c r="Q2823" s="7">
        <f>IF($E2823="","",P2823*AB2823/100)</f>
        <v/>
      </c>
      <c r="R2823" s="7" t="n"/>
      <c r="X2823" s="7" t="n"/>
      <c r="Y2823" s="7">
        <f>IF($E2823="","",AB2823*AE2823/100)</f>
        <v/>
      </c>
      <c r="Z2823" s="7">
        <f>IF($E2823="","",AB2823-Y2823)</f>
        <v/>
      </c>
      <c r="AA2823" s="7">
        <f>IF($E2823="","",Z2823-Q2823)</f>
        <v/>
      </c>
      <c r="AB2823" s="7" t="n"/>
      <c r="AE2823">
        <f>IF($E2823="","",IF($AQ2823=1,0,IF($AP2823=1,Settings!$C$6,Settings!$C$7))*100)</f>
        <v/>
      </c>
      <c r="AI2823" s="7" t="n"/>
      <c r="AL2823" s="11" t="n"/>
      <c r="AN2823">
        <f>IF($E2823="","",IF(COUNTIF($E$2:$E2823,$E2823)=1,1,0))</f>
        <v/>
      </c>
      <c r="AO2823">
        <f>IF($AN2823=1,SUMPRODUCT(--($AR$2:$AR$3001&lt;$AR2823))+1,"")</f>
        <v/>
      </c>
      <c r="AP2823">
        <f>IF($E2823="","",IF(OR($U2823=TRUE(),$U2823="TRUE"),1,0))</f>
        <v/>
      </c>
      <c r="AQ2823">
        <f>IF($E2823="","",IF($AD2823="Yes",1,0))</f>
        <v/>
      </c>
      <c r="AR2823">
        <f>IF($AN2823=1,IFERROR(VALUE(MID($E2823,2,20)),1000000000)+ROW()/100000,"")</f>
        <v/>
      </c>
    </row>
    <row r="2824">
      <c r="G2824" s="11" t="n"/>
      <c r="Q2824" s="7">
        <f>IF($E2824="","",P2824*AB2824/100)</f>
        <v/>
      </c>
      <c r="R2824" s="7" t="n"/>
      <c r="X2824" s="7" t="n"/>
      <c r="Y2824" s="7">
        <f>IF($E2824="","",AB2824*AE2824/100)</f>
        <v/>
      </c>
      <c r="Z2824" s="7">
        <f>IF($E2824="","",AB2824-Y2824)</f>
        <v/>
      </c>
      <c r="AA2824" s="7">
        <f>IF($E2824="","",Z2824-Q2824)</f>
        <v/>
      </c>
      <c r="AB2824" s="7" t="n"/>
      <c r="AE2824">
        <f>IF($E2824="","",IF($AQ2824=1,0,IF($AP2824=1,Settings!$C$6,Settings!$C$7))*100)</f>
        <v/>
      </c>
      <c r="AI2824" s="7" t="n"/>
      <c r="AL2824" s="11" t="n"/>
      <c r="AN2824">
        <f>IF($E2824="","",IF(COUNTIF($E$2:$E2824,$E2824)=1,1,0))</f>
        <v/>
      </c>
      <c r="AO2824">
        <f>IF($AN2824=1,SUMPRODUCT(--($AR$2:$AR$3001&lt;$AR2824))+1,"")</f>
        <v/>
      </c>
      <c r="AP2824">
        <f>IF($E2824="","",IF(OR($U2824=TRUE(),$U2824="TRUE"),1,0))</f>
        <v/>
      </c>
      <c r="AQ2824">
        <f>IF($E2824="","",IF($AD2824="Yes",1,0))</f>
        <v/>
      </c>
      <c r="AR2824">
        <f>IF($AN2824=1,IFERROR(VALUE(MID($E2824,2,20)),1000000000)+ROW()/100000,"")</f>
        <v/>
      </c>
    </row>
    <row r="2825">
      <c r="G2825" s="11" t="n"/>
      <c r="Q2825" s="7">
        <f>IF($E2825="","",P2825*AB2825/100)</f>
        <v/>
      </c>
      <c r="R2825" s="7" t="n"/>
      <c r="X2825" s="7" t="n"/>
      <c r="Y2825" s="7">
        <f>IF($E2825="","",AB2825*AE2825/100)</f>
        <v/>
      </c>
      <c r="Z2825" s="7">
        <f>IF($E2825="","",AB2825-Y2825)</f>
        <v/>
      </c>
      <c r="AA2825" s="7">
        <f>IF($E2825="","",Z2825-Q2825)</f>
        <v/>
      </c>
      <c r="AB2825" s="7" t="n"/>
      <c r="AE2825">
        <f>IF($E2825="","",IF($AQ2825=1,0,IF($AP2825=1,Settings!$C$6,Settings!$C$7))*100)</f>
        <v/>
      </c>
      <c r="AI2825" s="7" t="n"/>
      <c r="AL2825" s="11" t="n"/>
      <c r="AN2825">
        <f>IF($E2825="","",IF(COUNTIF($E$2:$E2825,$E2825)=1,1,0))</f>
        <v/>
      </c>
      <c r="AO2825">
        <f>IF($AN2825=1,SUMPRODUCT(--($AR$2:$AR$3001&lt;$AR2825))+1,"")</f>
        <v/>
      </c>
      <c r="AP2825">
        <f>IF($E2825="","",IF(OR($U2825=TRUE(),$U2825="TRUE"),1,0))</f>
        <v/>
      </c>
      <c r="AQ2825">
        <f>IF($E2825="","",IF($AD2825="Yes",1,0))</f>
        <v/>
      </c>
      <c r="AR2825">
        <f>IF($AN2825=1,IFERROR(VALUE(MID($E2825,2,20)),1000000000)+ROW()/100000,"")</f>
        <v/>
      </c>
    </row>
    <row r="2826">
      <c r="G2826" s="11" t="n"/>
      <c r="Q2826" s="7">
        <f>IF($E2826="","",P2826*AB2826/100)</f>
        <v/>
      </c>
      <c r="R2826" s="7" t="n"/>
      <c r="X2826" s="7" t="n"/>
      <c r="Y2826" s="7">
        <f>IF($E2826="","",AB2826*AE2826/100)</f>
        <v/>
      </c>
      <c r="Z2826" s="7">
        <f>IF($E2826="","",AB2826-Y2826)</f>
        <v/>
      </c>
      <c r="AA2826" s="7">
        <f>IF($E2826="","",Z2826-Q2826)</f>
        <v/>
      </c>
      <c r="AB2826" s="7" t="n"/>
      <c r="AE2826">
        <f>IF($E2826="","",IF($AQ2826=1,0,IF($AP2826=1,Settings!$C$6,Settings!$C$7))*100)</f>
        <v/>
      </c>
      <c r="AI2826" s="7" t="n"/>
      <c r="AL2826" s="11" t="n"/>
      <c r="AN2826">
        <f>IF($E2826="","",IF(COUNTIF($E$2:$E2826,$E2826)=1,1,0))</f>
        <v/>
      </c>
      <c r="AO2826">
        <f>IF($AN2826=1,SUMPRODUCT(--($AR$2:$AR$3001&lt;$AR2826))+1,"")</f>
        <v/>
      </c>
      <c r="AP2826">
        <f>IF($E2826="","",IF(OR($U2826=TRUE(),$U2826="TRUE"),1,0))</f>
        <v/>
      </c>
      <c r="AQ2826">
        <f>IF($E2826="","",IF($AD2826="Yes",1,0))</f>
        <v/>
      </c>
      <c r="AR2826">
        <f>IF($AN2826=1,IFERROR(VALUE(MID($E2826,2,20)),1000000000)+ROW()/100000,"")</f>
        <v/>
      </c>
    </row>
    <row r="2827">
      <c r="G2827" s="11" t="n"/>
      <c r="Q2827" s="7">
        <f>IF($E2827="","",P2827*AB2827/100)</f>
        <v/>
      </c>
      <c r="R2827" s="7" t="n"/>
      <c r="X2827" s="7" t="n"/>
      <c r="Y2827" s="7">
        <f>IF($E2827="","",AB2827*AE2827/100)</f>
        <v/>
      </c>
      <c r="Z2827" s="7">
        <f>IF($E2827="","",AB2827-Y2827)</f>
        <v/>
      </c>
      <c r="AA2827" s="7">
        <f>IF($E2827="","",Z2827-Q2827)</f>
        <v/>
      </c>
      <c r="AB2827" s="7" t="n"/>
      <c r="AE2827">
        <f>IF($E2827="","",IF($AQ2827=1,0,IF($AP2827=1,Settings!$C$6,Settings!$C$7))*100)</f>
        <v/>
      </c>
      <c r="AI2827" s="7" t="n"/>
      <c r="AL2827" s="11" t="n"/>
      <c r="AN2827">
        <f>IF($E2827="","",IF(COUNTIF($E$2:$E2827,$E2827)=1,1,0))</f>
        <v/>
      </c>
      <c r="AO2827">
        <f>IF($AN2827=1,SUMPRODUCT(--($AR$2:$AR$3001&lt;$AR2827))+1,"")</f>
        <v/>
      </c>
      <c r="AP2827">
        <f>IF($E2827="","",IF(OR($U2827=TRUE(),$U2827="TRUE"),1,0))</f>
        <v/>
      </c>
      <c r="AQ2827">
        <f>IF($E2827="","",IF($AD2827="Yes",1,0))</f>
        <v/>
      </c>
      <c r="AR2827">
        <f>IF($AN2827=1,IFERROR(VALUE(MID($E2827,2,20)),1000000000)+ROW()/100000,"")</f>
        <v/>
      </c>
    </row>
    <row r="2828">
      <c r="G2828" s="11" t="n"/>
      <c r="Q2828" s="7">
        <f>IF($E2828="","",P2828*AB2828/100)</f>
        <v/>
      </c>
      <c r="R2828" s="7" t="n"/>
      <c r="X2828" s="7" t="n"/>
      <c r="Y2828" s="7">
        <f>IF($E2828="","",AB2828*AE2828/100)</f>
        <v/>
      </c>
      <c r="Z2828" s="7">
        <f>IF($E2828="","",AB2828-Y2828)</f>
        <v/>
      </c>
      <c r="AA2828" s="7">
        <f>IF($E2828="","",Z2828-Q2828)</f>
        <v/>
      </c>
      <c r="AB2828" s="7" t="n"/>
      <c r="AE2828">
        <f>IF($E2828="","",IF($AQ2828=1,0,IF($AP2828=1,Settings!$C$6,Settings!$C$7))*100)</f>
        <v/>
      </c>
      <c r="AI2828" s="7" t="n"/>
      <c r="AL2828" s="11" t="n"/>
      <c r="AN2828">
        <f>IF($E2828="","",IF(COUNTIF($E$2:$E2828,$E2828)=1,1,0))</f>
        <v/>
      </c>
      <c r="AO2828">
        <f>IF($AN2828=1,SUMPRODUCT(--($AR$2:$AR$3001&lt;$AR2828))+1,"")</f>
        <v/>
      </c>
      <c r="AP2828">
        <f>IF($E2828="","",IF(OR($U2828=TRUE(),$U2828="TRUE"),1,0))</f>
        <v/>
      </c>
      <c r="AQ2828">
        <f>IF($E2828="","",IF($AD2828="Yes",1,0))</f>
        <v/>
      </c>
      <c r="AR2828">
        <f>IF($AN2828=1,IFERROR(VALUE(MID($E2828,2,20)),1000000000)+ROW()/100000,"")</f>
        <v/>
      </c>
    </row>
    <row r="2829">
      <c r="G2829" s="11" t="n"/>
      <c r="Q2829" s="7">
        <f>IF($E2829="","",P2829*AB2829/100)</f>
        <v/>
      </c>
      <c r="R2829" s="7" t="n"/>
      <c r="X2829" s="7" t="n"/>
      <c r="Y2829" s="7">
        <f>IF($E2829="","",AB2829*AE2829/100)</f>
        <v/>
      </c>
      <c r="Z2829" s="7">
        <f>IF($E2829="","",AB2829-Y2829)</f>
        <v/>
      </c>
      <c r="AA2829" s="7">
        <f>IF($E2829="","",Z2829-Q2829)</f>
        <v/>
      </c>
      <c r="AB2829" s="7" t="n"/>
      <c r="AE2829">
        <f>IF($E2829="","",IF($AQ2829=1,0,IF($AP2829=1,Settings!$C$6,Settings!$C$7))*100)</f>
        <v/>
      </c>
      <c r="AI2829" s="7" t="n"/>
      <c r="AL2829" s="11" t="n"/>
      <c r="AN2829">
        <f>IF($E2829="","",IF(COUNTIF($E$2:$E2829,$E2829)=1,1,0))</f>
        <v/>
      </c>
      <c r="AO2829">
        <f>IF($AN2829=1,SUMPRODUCT(--($AR$2:$AR$3001&lt;$AR2829))+1,"")</f>
        <v/>
      </c>
      <c r="AP2829">
        <f>IF($E2829="","",IF(OR($U2829=TRUE(),$U2829="TRUE"),1,0))</f>
        <v/>
      </c>
      <c r="AQ2829">
        <f>IF($E2829="","",IF($AD2829="Yes",1,0))</f>
        <v/>
      </c>
      <c r="AR2829">
        <f>IF($AN2829=1,IFERROR(VALUE(MID($E2829,2,20)),1000000000)+ROW()/100000,"")</f>
        <v/>
      </c>
    </row>
    <row r="2830">
      <c r="G2830" s="11" t="n"/>
      <c r="Q2830" s="7">
        <f>IF($E2830="","",P2830*AB2830/100)</f>
        <v/>
      </c>
      <c r="R2830" s="7" t="n"/>
      <c r="X2830" s="7" t="n"/>
      <c r="Y2830" s="7">
        <f>IF($E2830="","",AB2830*AE2830/100)</f>
        <v/>
      </c>
      <c r="Z2830" s="7">
        <f>IF($E2830="","",AB2830-Y2830)</f>
        <v/>
      </c>
      <c r="AA2830" s="7">
        <f>IF($E2830="","",Z2830-Q2830)</f>
        <v/>
      </c>
      <c r="AB2830" s="7" t="n"/>
      <c r="AE2830">
        <f>IF($E2830="","",IF($AQ2830=1,0,IF($AP2830=1,Settings!$C$6,Settings!$C$7))*100)</f>
        <v/>
      </c>
      <c r="AI2830" s="7" t="n"/>
      <c r="AL2830" s="11" t="n"/>
      <c r="AN2830">
        <f>IF($E2830="","",IF(COUNTIF($E$2:$E2830,$E2830)=1,1,0))</f>
        <v/>
      </c>
      <c r="AO2830">
        <f>IF($AN2830=1,SUMPRODUCT(--($AR$2:$AR$3001&lt;$AR2830))+1,"")</f>
        <v/>
      </c>
      <c r="AP2830">
        <f>IF($E2830="","",IF(OR($U2830=TRUE(),$U2830="TRUE"),1,0))</f>
        <v/>
      </c>
      <c r="AQ2830">
        <f>IF($E2830="","",IF($AD2830="Yes",1,0))</f>
        <v/>
      </c>
      <c r="AR2830">
        <f>IF($AN2830=1,IFERROR(VALUE(MID($E2830,2,20)),1000000000)+ROW()/100000,"")</f>
        <v/>
      </c>
    </row>
    <row r="2831">
      <c r="G2831" s="11" t="n"/>
      <c r="Q2831" s="7">
        <f>IF($E2831="","",P2831*AB2831/100)</f>
        <v/>
      </c>
      <c r="R2831" s="7" t="n"/>
      <c r="X2831" s="7" t="n"/>
      <c r="Y2831" s="7">
        <f>IF($E2831="","",AB2831*AE2831/100)</f>
        <v/>
      </c>
      <c r="Z2831" s="7">
        <f>IF($E2831="","",AB2831-Y2831)</f>
        <v/>
      </c>
      <c r="AA2831" s="7">
        <f>IF($E2831="","",Z2831-Q2831)</f>
        <v/>
      </c>
      <c r="AB2831" s="7" t="n"/>
      <c r="AE2831">
        <f>IF($E2831="","",IF($AQ2831=1,0,IF($AP2831=1,Settings!$C$6,Settings!$C$7))*100)</f>
        <v/>
      </c>
      <c r="AI2831" s="7" t="n"/>
      <c r="AL2831" s="11" t="n"/>
      <c r="AN2831">
        <f>IF($E2831="","",IF(COUNTIF($E$2:$E2831,$E2831)=1,1,0))</f>
        <v/>
      </c>
      <c r="AO2831">
        <f>IF($AN2831=1,SUMPRODUCT(--($AR$2:$AR$3001&lt;$AR2831))+1,"")</f>
        <v/>
      </c>
      <c r="AP2831">
        <f>IF($E2831="","",IF(OR($U2831=TRUE(),$U2831="TRUE"),1,0))</f>
        <v/>
      </c>
      <c r="AQ2831">
        <f>IF($E2831="","",IF($AD2831="Yes",1,0))</f>
        <v/>
      </c>
      <c r="AR2831">
        <f>IF($AN2831=1,IFERROR(VALUE(MID($E2831,2,20)),1000000000)+ROW()/100000,"")</f>
        <v/>
      </c>
    </row>
    <row r="2832">
      <c r="G2832" s="11" t="n"/>
      <c r="Q2832" s="7">
        <f>IF($E2832="","",P2832*AB2832/100)</f>
        <v/>
      </c>
      <c r="R2832" s="7" t="n"/>
      <c r="X2832" s="7" t="n"/>
      <c r="Y2832" s="7">
        <f>IF($E2832="","",AB2832*AE2832/100)</f>
        <v/>
      </c>
      <c r="Z2832" s="7">
        <f>IF($E2832="","",AB2832-Y2832)</f>
        <v/>
      </c>
      <c r="AA2832" s="7">
        <f>IF($E2832="","",Z2832-Q2832)</f>
        <v/>
      </c>
      <c r="AB2832" s="7" t="n"/>
      <c r="AE2832">
        <f>IF($E2832="","",IF($AQ2832=1,0,IF($AP2832=1,Settings!$C$6,Settings!$C$7))*100)</f>
        <v/>
      </c>
      <c r="AI2832" s="7" t="n"/>
      <c r="AL2832" s="11" t="n"/>
      <c r="AN2832">
        <f>IF($E2832="","",IF(COUNTIF($E$2:$E2832,$E2832)=1,1,0))</f>
        <v/>
      </c>
      <c r="AO2832">
        <f>IF($AN2832=1,SUMPRODUCT(--($AR$2:$AR$3001&lt;$AR2832))+1,"")</f>
        <v/>
      </c>
      <c r="AP2832">
        <f>IF($E2832="","",IF(OR($U2832=TRUE(),$U2832="TRUE"),1,0))</f>
        <v/>
      </c>
      <c r="AQ2832">
        <f>IF($E2832="","",IF($AD2832="Yes",1,0))</f>
        <v/>
      </c>
      <c r="AR2832">
        <f>IF($AN2832=1,IFERROR(VALUE(MID($E2832,2,20)),1000000000)+ROW()/100000,"")</f>
        <v/>
      </c>
    </row>
    <row r="2833">
      <c r="G2833" s="11" t="n"/>
      <c r="Q2833" s="7">
        <f>IF($E2833="","",P2833*AB2833/100)</f>
        <v/>
      </c>
      <c r="R2833" s="7" t="n"/>
      <c r="X2833" s="7" t="n"/>
      <c r="Y2833" s="7">
        <f>IF($E2833="","",AB2833*AE2833/100)</f>
        <v/>
      </c>
      <c r="Z2833" s="7">
        <f>IF($E2833="","",AB2833-Y2833)</f>
        <v/>
      </c>
      <c r="AA2833" s="7">
        <f>IF($E2833="","",Z2833-Q2833)</f>
        <v/>
      </c>
      <c r="AB2833" s="7" t="n"/>
      <c r="AE2833">
        <f>IF($E2833="","",IF($AQ2833=1,0,IF($AP2833=1,Settings!$C$6,Settings!$C$7))*100)</f>
        <v/>
      </c>
      <c r="AI2833" s="7" t="n"/>
      <c r="AL2833" s="11" t="n"/>
      <c r="AN2833">
        <f>IF($E2833="","",IF(COUNTIF($E$2:$E2833,$E2833)=1,1,0))</f>
        <v/>
      </c>
      <c r="AO2833">
        <f>IF($AN2833=1,SUMPRODUCT(--($AR$2:$AR$3001&lt;$AR2833))+1,"")</f>
        <v/>
      </c>
      <c r="AP2833">
        <f>IF($E2833="","",IF(OR($U2833=TRUE(),$U2833="TRUE"),1,0))</f>
        <v/>
      </c>
      <c r="AQ2833">
        <f>IF($E2833="","",IF($AD2833="Yes",1,0))</f>
        <v/>
      </c>
      <c r="AR2833">
        <f>IF($AN2833=1,IFERROR(VALUE(MID($E2833,2,20)),1000000000)+ROW()/100000,"")</f>
        <v/>
      </c>
    </row>
    <row r="2834">
      <c r="G2834" s="11" t="n"/>
      <c r="Q2834" s="7">
        <f>IF($E2834="","",P2834*AB2834/100)</f>
        <v/>
      </c>
      <c r="R2834" s="7" t="n"/>
      <c r="X2834" s="7" t="n"/>
      <c r="Y2834" s="7">
        <f>IF($E2834="","",AB2834*AE2834/100)</f>
        <v/>
      </c>
      <c r="Z2834" s="7">
        <f>IF($E2834="","",AB2834-Y2834)</f>
        <v/>
      </c>
      <c r="AA2834" s="7">
        <f>IF($E2834="","",Z2834-Q2834)</f>
        <v/>
      </c>
      <c r="AB2834" s="7" t="n"/>
      <c r="AE2834">
        <f>IF($E2834="","",IF($AQ2834=1,0,IF($AP2834=1,Settings!$C$6,Settings!$C$7))*100)</f>
        <v/>
      </c>
      <c r="AI2834" s="7" t="n"/>
      <c r="AL2834" s="11" t="n"/>
      <c r="AN2834">
        <f>IF($E2834="","",IF(COUNTIF($E$2:$E2834,$E2834)=1,1,0))</f>
        <v/>
      </c>
      <c r="AO2834">
        <f>IF($AN2834=1,SUMPRODUCT(--($AR$2:$AR$3001&lt;$AR2834))+1,"")</f>
        <v/>
      </c>
      <c r="AP2834">
        <f>IF($E2834="","",IF(OR($U2834=TRUE(),$U2834="TRUE"),1,0))</f>
        <v/>
      </c>
      <c r="AQ2834">
        <f>IF($E2834="","",IF($AD2834="Yes",1,0))</f>
        <v/>
      </c>
      <c r="AR2834">
        <f>IF($AN2834=1,IFERROR(VALUE(MID($E2834,2,20)),1000000000)+ROW()/100000,"")</f>
        <v/>
      </c>
    </row>
    <row r="2835">
      <c r="G2835" s="11" t="n"/>
      <c r="Q2835" s="7">
        <f>IF($E2835="","",P2835*AB2835/100)</f>
        <v/>
      </c>
      <c r="R2835" s="7" t="n"/>
      <c r="X2835" s="7" t="n"/>
      <c r="Y2835" s="7">
        <f>IF($E2835="","",AB2835*AE2835/100)</f>
        <v/>
      </c>
      <c r="Z2835" s="7">
        <f>IF($E2835="","",AB2835-Y2835)</f>
        <v/>
      </c>
      <c r="AA2835" s="7">
        <f>IF($E2835="","",Z2835-Q2835)</f>
        <v/>
      </c>
      <c r="AB2835" s="7" t="n"/>
      <c r="AE2835">
        <f>IF($E2835="","",IF($AQ2835=1,0,IF($AP2835=1,Settings!$C$6,Settings!$C$7))*100)</f>
        <v/>
      </c>
      <c r="AI2835" s="7" t="n"/>
      <c r="AL2835" s="11" t="n"/>
      <c r="AN2835">
        <f>IF($E2835="","",IF(COUNTIF($E$2:$E2835,$E2835)=1,1,0))</f>
        <v/>
      </c>
      <c r="AO2835">
        <f>IF($AN2835=1,SUMPRODUCT(--($AR$2:$AR$3001&lt;$AR2835))+1,"")</f>
        <v/>
      </c>
      <c r="AP2835">
        <f>IF($E2835="","",IF(OR($U2835=TRUE(),$U2835="TRUE"),1,0))</f>
        <v/>
      </c>
      <c r="AQ2835">
        <f>IF($E2835="","",IF($AD2835="Yes",1,0))</f>
        <v/>
      </c>
      <c r="AR2835">
        <f>IF($AN2835=1,IFERROR(VALUE(MID($E2835,2,20)),1000000000)+ROW()/100000,"")</f>
        <v/>
      </c>
    </row>
    <row r="2836">
      <c r="G2836" s="11" t="n"/>
      <c r="Q2836" s="7">
        <f>IF($E2836="","",P2836*AB2836/100)</f>
        <v/>
      </c>
      <c r="R2836" s="7" t="n"/>
      <c r="X2836" s="7" t="n"/>
      <c r="Y2836" s="7">
        <f>IF($E2836="","",AB2836*AE2836/100)</f>
        <v/>
      </c>
      <c r="Z2836" s="7">
        <f>IF($E2836="","",AB2836-Y2836)</f>
        <v/>
      </c>
      <c r="AA2836" s="7">
        <f>IF($E2836="","",Z2836-Q2836)</f>
        <v/>
      </c>
      <c r="AB2836" s="7" t="n"/>
      <c r="AE2836">
        <f>IF($E2836="","",IF($AQ2836=1,0,IF($AP2836=1,Settings!$C$6,Settings!$C$7))*100)</f>
        <v/>
      </c>
      <c r="AI2836" s="7" t="n"/>
      <c r="AL2836" s="11" t="n"/>
      <c r="AN2836">
        <f>IF($E2836="","",IF(COUNTIF($E$2:$E2836,$E2836)=1,1,0))</f>
        <v/>
      </c>
      <c r="AO2836">
        <f>IF($AN2836=1,SUMPRODUCT(--($AR$2:$AR$3001&lt;$AR2836))+1,"")</f>
        <v/>
      </c>
      <c r="AP2836">
        <f>IF($E2836="","",IF(OR($U2836=TRUE(),$U2836="TRUE"),1,0))</f>
        <v/>
      </c>
      <c r="AQ2836">
        <f>IF($E2836="","",IF($AD2836="Yes",1,0))</f>
        <v/>
      </c>
      <c r="AR2836">
        <f>IF($AN2836=1,IFERROR(VALUE(MID($E2836,2,20)),1000000000)+ROW()/100000,"")</f>
        <v/>
      </c>
    </row>
    <row r="2837">
      <c r="G2837" s="11" t="n"/>
      <c r="Q2837" s="7">
        <f>IF($E2837="","",P2837*AB2837/100)</f>
        <v/>
      </c>
      <c r="R2837" s="7" t="n"/>
      <c r="X2837" s="7" t="n"/>
      <c r="Y2837" s="7">
        <f>IF($E2837="","",AB2837*AE2837/100)</f>
        <v/>
      </c>
      <c r="Z2837" s="7">
        <f>IF($E2837="","",AB2837-Y2837)</f>
        <v/>
      </c>
      <c r="AA2837" s="7">
        <f>IF($E2837="","",Z2837-Q2837)</f>
        <v/>
      </c>
      <c r="AB2837" s="7" t="n"/>
      <c r="AE2837">
        <f>IF($E2837="","",IF($AQ2837=1,0,IF($AP2837=1,Settings!$C$6,Settings!$C$7))*100)</f>
        <v/>
      </c>
      <c r="AI2837" s="7" t="n"/>
      <c r="AL2837" s="11" t="n"/>
      <c r="AN2837">
        <f>IF($E2837="","",IF(COUNTIF($E$2:$E2837,$E2837)=1,1,0))</f>
        <v/>
      </c>
      <c r="AO2837">
        <f>IF($AN2837=1,SUMPRODUCT(--($AR$2:$AR$3001&lt;$AR2837))+1,"")</f>
        <v/>
      </c>
      <c r="AP2837">
        <f>IF($E2837="","",IF(OR($U2837=TRUE(),$U2837="TRUE"),1,0))</f>
        <v/>
      </c>
      <c r="AQ2837">
        <f>IF($E2837="","",IF($AD2837="Yes",1,0))</f>
        <v/>
      </c>
      <c r="AR2837">
        <f>IF($AN2837=1,IFERROR(VALUE(MID($E2837,2,20)),1000000000)+ROW()/100000,"")</f>
        <v/>
      </c>
    </row>
    <row r="2838">
      <c r="G2838" s="11" t="n"/>
      <c r="Q2838" s="7">
        <f>IF($E2838="","",P2838*AB2838/100)</f>
        <v/>
      </c>
      <c r="R2838" s="7" t="n"/>
      <c r="X2838" s="7" t="n"/>
      <c r="Y2838" s="7">
        <f>IF($E2838="","",AB2838*AE2838/100)</f>
        <v/>
      </c>
      <c r="Z2838" s="7">
        <f>IF($E2838="","",AB2838-Y2838)</f>
        <v/>
      </c>
      <c r="AA2838" s="7">
        <f>IF($E2838="","",Z2838-Q2838)</f>
        <v/>
      </c>
      <c r="AB2838" s="7" t="n"/>
      <c r="AE2838">
        <f>IF($E2838="","",IF($AQ2838=1,0,IF($AP2838=1,Settings!$C$6,Settings!$C$7))*100)</f>
        <v/>
      </c>
      <c r="AI2838" s="7" t="n"/>
      <c r="AL2838" s="11" t="n"/>
      <c r="AN2838">
        <f>IF($E2838="","",IF(COUNTIF($E$2:$E2838,$E2838)=1,1,0))</f>
        <v/>
      </c>
      <c r="AO2838">
        <f>IF($AN2838=1,SUMPRODUCT(--($AR$2:$AR$3001&lt;$AR2838))+1,"")</f>
        <v/>
      </c>
      <c r="AP2838">
        <f>IF($E2838="","",IF(OR($U2838=TRUE(),$U2838="TRUE"),1,0))</f>
        <v/>
      </c>
      <c r="AQ2838">
        <f>IF($E2838="","",IF($AD2838="Yes",1,0))</f>
        <v/>
      </c>
      <c r="AR2838">
        <f>IF($AN2838=1,IFERROR(VALUE(MID($E2838,2,20)),1000000000)+ROW()/100000,"")</f>
        <v/>
      </c>
    </row>
    <row r="2839">
      <c r="G2839" s="11" t="n"/>
      <c r="Q2839" s="7">
        <f>IF($E2839="","",P2839*AB2839/100)</f>
        <v/>
      </c>
      <c r="R2839" s="7" t="n"/>
      <c r="X2839" s="7" t="n"/>
      <c r="Y2839" s="7">
        <f>IF($E2839="","",AB2839*AE2839/100)</f>
        <v/>
      </c>
      <c r="Z2839" s="7">
        <f>IF($E2839="","",AB2839-Y2839)</f>
        <v/>
      </c>
      <c r="AA2839" s="7">
        <f>IF($E2839="","",Z2839-Q2839)</f>
        <v/>
      </c>
      <c r="AB2839" s="7" t="n"/>
      <c r="AE2839">
        <f>IF($E2839="","",IF($AQ2839=1,0,IF($AP2839=1,Settings!$C$6,Settings!$C$7))*100)</f>
        <v/>
      </c>
      <c r="AI2839" s="7" t="n"/>
      <c r="AL2839" s="11" t="n"/>
      <c r="AN2839">
        <f>IF($E2839="","",IF(COUNTIF($E$2:$E2839,$E2839)=1,1,0))</f>
        <v/>
      </c>
      <c r="AO2839">
        <f>IF($AN2839=1,SUMPRODUCT(--($AR$2:$AR$3001&lt;$AR2839))+1,"")</f>
        <v/>
      </c>
      <c r="AP2839">
        <f>IF($E2839="","",IF(OR($U2839=TRUE(),$U2839="TRUE"),1,0))</f>
        <v/>
      </c>
      <c r="AQ2839">
        <f>IF($E2839="","",IF($AD2839="Yes",1,0))</f>
        <v/>
      </c>
      <c r="AR2839">
        <f>IF($AN2839=1,IFERROR(VALUE(MID($E2839,2,20)),1000000000)+ROW()/100000,"")</f>
        <v/>
      </c>
    </row>
    <row r="2840">
      <c r="G2840" s="11" t="n"/>
      <c r="Q2840" s="7">
        <f>IF($E2840="","",P2840*AB2840/100)</f>
        <v/>
      </c>
      <c r="R2840" s="7" t="n"/>
      <c r="X2840" s="7" t="n"/>
      <c r="Y2840" s="7">
        <f>IF($E2840="","",AB2840*AE2840/100)</f>
        <v/>
      </c>
      <c r="Z2840" s="7">
        <f>IF($E2840="","",AB2840-Y2840)</f>
        <v/>
      </c>
      <c r="AA2840" s="7">
        <f>IF($E2840="","",Z2840-Q2840)</f>
        <v/>
      </c>
      <c r="AB2840" s="7" t="n"/>
      <c r="AE2840">
        <f>IF($E2840="","",IF($AQ2840=1,0,IF($AP2840=1,Settings!$C$6,Settings!$C$7))*100)</f>
        <v/>
      </c>
      <c r="AI2840" s="7" t="n"/>
      <c r="AL2840" s="11" t="n"/>
      <c r="AN2840">
        <f>IF($E2840="","",IF(COUNTIF($E$2:$E2840,$E2840)=1,1,0))</f>
        <v/>
      </c>
      <c r="AO2840">
        <f>IF($AN2840=1,SUMPRODUCT(--($AR$2:$AR$3001&lt;$AR2840))+1,"")</f>
        <v/>
      </c>
      <c r="AP2840">
        <f>IF($E2840="","",IF(OR($U2840=TRUE(),$U2840="TRUE"),1,0))</f>
        <v/>
      </c>
      <c r="AQ2840">
        <f>IF($E2840="","",IF($AD2840="Yes",1,0))</f>
        <v/>
      </c>
      <c r="AR2840">
        <f>IF($AN2840=1,IFERROR(VALUE(MID($E2840,2,20)),1000000000)+ROW()/100000,"")</f>
        <v/>
      </c>
    </row>
    <row r="2841">
      <c r="G2841" s="11" t="n"/>
      <c r="Q2841" s="7">
        <f>IF($E2841="","",P2841*AB2841/100)</f>
        <v/>
      </c>
      <c r="R2841" s="7" t="n"/>
      <c r="X2841" s="7" t="n"/>
      <c r="Y2841" s="7">
        <f>IF($E2841="","",AB2841*AE2841/100)</f>
        <v/>
      </c>
      <c r="Z2841" s="7">
        <f>IF($E2841="","",AB2841-Y2841)</f>
        <v/>
      </c>
      <c r="AA2841" s="7">
        <f>IF($E2841="","",Z2841-Q2841)</f>
        <v/>
      </c>
      <c r="AB2841" s="7" t="n"/>
      <c r="AE2841">
        <f>IF($E2841="","",IF($AQ2841=1,0,IF($AP2841=1,Settings!$C$6,Settings!$C$7))*100)</f>
        <v/>
      </c>
      <c r="AI2841" s="7" t="n"/>
      <c r="AL2841" s="11" t="n"/>
      <c r="AN2841">
        <f>IF($E2841="","",IF(COUNTIF($E$2:$E2841,$E2841)=1,1,0))</f>
        <v/>
      </c>
      <c r="AO2841">
        <f>IF($AN2841=1,SUMPRODUCT(--($AR$2:$AR$3001&lt;$AR2841))+1,"")</f>
        <v/>
      </c>
      <c r="AP2841">
        <f>IF($E2841="","",IF(OR($U2841=TRUE(),$U2841="TRUE"),1,0))</f>
        <v/>
      </c>
      <c r="AQ2841">
        <f>IF($E2841="","",IF($AD2841="Yes",1,0))</f>
        <v/>
      </c>
      <c r="AR2841">
        <f>IF($AN2841=1,IFERROR(VALUE(MID($E2841,2,20)),1000000000)+ROW()/100000,"")</f>
        <v/>
      </c>
    </row>
    <row r="2842">
      <c r="G2842" s="11" t="n"/>
      <c r="Q2842" s="7">
        <f>IF($E2842="","",P2842*AB2842/100)</f>
        <v/>
      </c>
      <c r="R2842" s="7" t="n"/>
      <c r="X2842" s="7" t="n"/>
      <c r="Y2842" s="7">
        <f>IF($E2842="","",AB2842*AE2842/100)</f>
        <v/>
      </c>
      <c r="Z2842" s="7">
        <f>IF($E2842="","",AB2842-Y2842)</f>
        <v/>
      </c>
      <c r="AA2842" s="7">
        <f>IF($E2842="","",Z2842-Q2842)</f>
        <v/>
      </c>
      <c r="AB2842" s="7" t="n"/>
      <c r="AE2842">
        <f>IF($E2842="","",IF($AQ2842=1,0,IF($AP2842=1,Settings!$C$6,Settings!$C$7))*100)</f>
        <v/>
      </c>
      <c r="AI2842" s="7" t="n"/>
      <c r="AL2842" s="11" t="n"/>
      <c r="AN2842">
        <f>IF($E2842="","",IF(COUNTIF($E$2:$E2842,$E2842)=1,1,0))</f>
        <v/>
      </c>
      <c r="AO2842">
        <f>IF($AN2842=1,SUMPRODUCT(--($AR$2:$AR$3001&lt;$AR2842))+1,"")</f>
        <v/>
      </c>
      <c r="AP2842">
        <f>IF($E2842="","",IF(OR($U2842=TRUE(),$U2842="TRUE"),1,0))</f>
        <v/>
      </c>
      <c r="AQ2842">
        <f>IF($E2842="","",IF($AD2842="Yes",1,0))</f>
        <v/>
      </c>
      <c r="AR2842">
        <f>IF($AN2842=1,IFERROR(VALUE(MID($E2842,2,20)),1000000000)+ROW()/100000,"")</f>
        <v/>
      </c>
    </row>
    <row r="2843">
      <c r="G2843" s="11" t="n"/>
      <c r="Q2843" s="7">
        <f>IF($E2843="","",P2843*AB2843/100)</f>
        <v/>
      </c>
      <c r="R2843" s="7" t="n"/>
      <c r="X2843" s="7" t="n"/>
      <c r="Y2843" s="7">
        <f>IF($E2843="","",AB2843*AE2843/100)</f>
        <v/>
      </c>
      <c r="Z2843" s="7">
        <f>IF($E2843="","",AB2843-Y2843)</f>
        <v/>
      </c>
      <c r="AA2843" s="7">
        <f>IF($E2843="","",Z2843-Q2843)</f>
        <v/>
      </c>
      <c r="AB2843" s="7" t="n"/>
      <c r="AE2843">
        <f>IF($E2843="","",IF($AQ2843=1,0,IF($AP2843=1,Settings!$C$6,Settings!$C$7))*100)</f>
        <v/>
      </c>
      <c r="AI2843" s="7" t="n"/>
      <c r="AL2843" s="11" t="n"/>
      <c r="AN2843">
        <f>IF($E2843="","",IF(COUNTIF($E$2:$E2843,$E2843)=1,1,0))</f>
        <v/>
      </c>
      <c r="AO2843">
        <f>IF($AN2843=1,SUMPRODUCT(--($AR$2:$AR$3001&lt;$AR2843))+1,"")</f>
        <v/>
      </c>
      <c r="AP2843">
        <f>IF($E2843="","",IF(OR($U2843=TRUE(),$U2843="TRUE"),1,0))</f>
        <v/>
      </c>
      <c r="AQ2843">
        <f>IF($E2843="","",IF($AD2843="Yes",1,0))</f>
        <v/>
      </c>
      <c r="AR2843">
        <f>IF($AN2843=1,IFERROR(VALUE(MID($E2843,2,20)),1000000000)+ROW()/100000,"")</f>
        <v/>
      </c>
    </row>
    <row r="2844">
      <c r="G2844" s="11" t="n"/>
      <c r="Q2844" s="7">
        <f>IF($E2844="","",P2844*AB2844/100)</f>
        <v/>
      </c>
      <c r="R2844" s="7" t="n"/>
      <c r="X2844" s="7" t="n"/>
      <c r="Y2844" s="7">
        <f>IF($E2844="","",AB2844*AE2844/100)</f>
        <v/>
      </c>
      <c r="Z2844" s="7">
        <f>IF($E2844="","",AB2844-Y2844)</f>
        <v/>
      </c>
      <c r="AA2844" s="7">
        <f>IF($E2844="","",Z2844-Q2844)</f>
        <v/>
      </c>
      <c r="AB2844" s="7" t="n"/>
      <c r="AE2844">
        <f>IF($E2844="","",IF($AQ2844=1,0,IF($AP2844=1,Settings!$C$6,Settings!$C$7))*100)</f>
        <v/>
      </c>
      <c r="AI2844" s="7" t="n"/>
      <c r="AL2844" s="11" t="n"/>
      <c r="AN2844">
        <f>IF($E2844="","",IF(COUNTIF($E$2:$E2844,$E2844)=1,1,0))</f>
        <v/>
      </c>
      <c r="AO2844">
        <f>IF($AN2844=1,SUMPRODUCT(--($AR$2:$AR$3001&lt;$AR2844))+1,"")</f>
        <v/>
      </c>
      <c r="AP2844">
        <f>IF($E2844="","",IF(OR($U2844=TRUE(),$U2844="TRUE"),1,0))</f>
        <v/>
      </c>
      <c r="AQ2844">
        <f>IF($E2844="","",IF($AD2844="Yes",1,0))</f>
        <v/>
      </c>
      <c r="AR2844">
        <f>IF($AN2844=1,IFERROR(VALUE(MID($E2844,2,20)),1000000000)+ROW()/100000,"")</f>
        <v/>
      </c>
    </row>
    <row r="2845">
      <c r="G2845" s="11" t="n"/>
      <c r="Q2845" s="7">
        <f>IF($E2845="","",P2845*AB2845/100)</f>
        <v/>
      </c>
      <c r="R2845" s="7" t="n"/>
      <c r="X2845" s="7" t="n"/>
      <c r="Y2845" s="7">
        <f>IF($E2845="","",AB2845*AE2845/100)</f>
        <v/>
      </c>
      <c r="Z2845" s="7">
        <f>IF($E2845="","",AB2845-Y2845)</f>
        <v/>
      </c>
      <c r="AA2845" s="7">
        <f>IF($E2845="","",Z2845-Q2845)</f>
        <v/>
      </c>
      <c r="AB2845" s="7" t="n"/>
      <c r="AE2845">
        <f>IF($E2845="","",IF($AQ2845=1,0,IF($AP2845=1,Settings!$C$6,Settings!$C$7))*100)</f>
        <v/>
      </c>
      <c r="AI2845" s="7" t="n"/>
      <c r="AL2845" s="11" t="n"/>
      <c r="AN2845">
        <f>IF($E2845="","",IF(COUNTIF($E$2:$E2845,$E2845)=1,1,0))</f>
        <v/>
      </c>
      <c r="AO2845">
        <f>IF($AN2845=1,SUMPRODUCT(--($AR$2:$AR$3001&lt;$AR2845))+1,"")</f>
        <v/>
      </c>
      <c r="AP2845">
        <f>IF($E2845="","",IF(OR($U2845=TRUE(),$U2845="TRUE"),1,0))</f>
        <v/>
      </c>
      <c r="AQ2845">
        <f>IF($E2845="","",IF($AD2845="Yes",1,0))</f>
        <v/>
      </c>
      <c r="AR2845">
        <f>IF($AN2845=1,IFERROR(VALUE(MID($E2845,2,20)),1000000000)+ROW()/100000,"")</f>
        <v/>
      </c>
    </row>
    <row r="2846">
      <c r="G2846" s="11" t="n"/>
      <c r="Q2846" s="7">
        <f>IF($E2846="","",P2846*AB2846/100)</f>
        <v/>
      </c>
      <c r="R2846" s="7" t="n"/>
      <c r="X2846" s="7" t="n"/>
      <c r="Y2846" s="7">
        <f>IF($E2846="","",AB2846*AE2846/100)</f>
        <v/>
      </c>
      <c r="Z2846" s="7">
        <f>IF($E2846="","",AB2846-Y2846)</f>
        <v/>
      </c>
      <c r="AA2846" s="7">
        <f>IF($E2846="","",Z2846-Q2846)</f>
        <v/>
      </c>
      <c r="AB2846" s="7" t="n"/>
      <c r="AE2846">
        <f>IF($E2846="","",IF($AQ2846=1,0,IF($AP2846=1,Settings!$C$6,Settings!$C$7))*100)</f>
        <v/>
      </c>
      <c r="AI2846" s="7" t="n"/>
      <c r="AL2846" s="11" t="n"/>
      <c r="AN2846">
        <f>IF($E2846="","",IF(COUNTIF($E$2:$E2846,$E2846)=1,1,0))</f>
        <v/>
      </c>
      <c r="AO2846">
        <f>IF($AN2846=1,SUMPRODUCT(--($AR$2:$AR$3001&lt;$AR2846))+1,"")</f>
        <v/>
      </c>
      <c r="AP2846">
        <f>IF($E2846="","",IF(OR($U2846=TRUE(),$U2846="TRUE"),1,0))</f>
        <v/>
      </c>
      <c r="AQ2846">
        <f>IF($E2846="","",IF($AD2846="Yes",1,0))</f>
        <v/>
      </c>
      <c r="AR2846">
        <f>IF($AN2846=1,IFERROR(VALUE(MID($E2846,2,20)),1000000000)+ROW()/100000,"")</f>
        <v/>
      </c>
    </row>
    <row r="2847">
      <c r="G2847" s="11" t="n"/>
      <c r="Q2847" s="7">
        <f>IF($E2847="","",P2847*AB2847/100)</f>
        <v/>
      </c>
      <c r="R2847" s="7" t="n"/>
      <c r="X2847" s="7" t="n"/>
      <c r="Y2847" s="7">
        <f>IF($E2847="","",AB2847*AE2847/100)</f>
        <v/>
      </c>
      <c r="Z2847" s="7">
        <f>IF($E2847="","",AB2847-Y2847)</f>
        <v/>
      </c>
      <c r="AA2847" s="7">
        <f>IF($E2847="","",Z2847-Q2847)</f>
        <v/>
      </c>
      <c r="AB2847" s="7" t="n"/>
      <c r="AE2847">
        <f>IF($E2847="","",IF($AQ2847=1,0,IF($AP2847=1,Settings!$C$6,Settings!$C$7))*100)</f>
        <v/>
      </c>
      <c r="AI2847" s="7" t="n"/>
      <c r="AL2847" s="11" t="n"/>
      <c r="AN2847">
        <f>IF($E2847="","",IF(COUNTIF($E$2:$E2847,$E2847)=1,1,0))</f>
        <v/>
      </c>
      <c r="AO2847">
        <f>IF($AN2847=1,SUMPRODUCT(--($AR$2:$AR$3001&lt;$AR2847))+1,"")</f>
        <v/>
      </c>
      <c r="AP2847">
        <f>IF($E2847="","",IF(OR($U2847=TRUE(),$U2847="TRUE"),1,0))</f>
        <v/>
      </c>
      <c r="AQ2847">
        <f>IF($E2847="","",IF($AD2847="Yes",1,0))</f>
        <v/>
      </c>
      <c r="AR2847">
        <f>IF($AN2847=1,IFERROR(VALUE(MID($E2847,2,20)),1000000000)+ROW()/100000,"")</f>
        <v/>
      </c>
    </row>
    <row r="2848">
      <c r="G2848" s="11" t="n"/>
      <c r="Q2848" s="7">
        <f>IF($E2848="","",P2848*AB2848/100)</f>
        <v/>
      </c>
      <c r="R2848" s="7" t="n"/>
      <c r="X2848" s="7" t="n"/>
      <c r="Y2848" s="7">
        <f>IF($E2848="","",AB2848*AE2848/100)</f>
        <v/>
      </c>
      <c r="Z2848" s="7">
        <f>IF($E2848="","",AB2848-Y2848)</f>
        <v/>
      </c>
      <c r="AA2848" s="7">
        <f>IF($E2848="","",Z2848-Q2848)</f>
        <v/>
      </c>
      <c r="AB2848" s="7" t="n"/>
      <c r="AE2848">
        <f>IF($E2848="","",IF($AQ2848=1,0,IF($AP2848=1,Settings!$C$6,Settings!$C$7))*100)</f>
        <v/>
      </c>
      <c r="AI2848" s="7" t="n"/>
      <c r="AL2848" s="11" t="n"/>
      <c r="AN2848">
        <f>IF($E2848="","",IF(COUNTIF($E$2:$E2848,$E2848)=1,1,0))</f>
        <v/>
      </c>
      <c r="AO2848">
        <f>IF($AN2848=1,SUMPRODUCT(--($AR$2:$AR$3001&lt;$AR2848))+1,"")</f>
        <v/>
      </c>
      <c r="AP2848">
        <f>IF($E2848="","",IF(OR($U2848=TRUE(),$U2848="TRUE"),1,0))</f>
        <v/>
      </c>
      <c r="AQ2848">
        <f>IF($E2848="","",IF($AD2848="Yes",1,0))</f>
        <v/>
      </c>
      <c r="AR2848">
        <f>IF($AN2848=1,IFERROR(VALUE(MID($E2848,2,20)),1000000000)+ROW()/100000,"")</f>
        <v/>
      </c>
    </row>
    <row r="2849">
      <c r="G2849" s="11" t="n"/>
      <c r="Q2849" s="7">
        <f>IF($E2849="","",P2849*AB2849/100)</f>
        <v/>
      </c>
      <c r="R2849" s="7" t="n"/>
      <c r="X2849" s="7" t="n"/>
      <c r="Y2849" s="7">
        <f>IF($E2849="","",AB2849*AE2849/100)</f>
        <v/>
      </c>
      <c r="Z2849" s="7">
        <f>IF($E2849="","",AB2849-Y2849)</f>
        <v/>
      </c>
      <c r="AA2849" s="7">
        <f>IF($E2849="","",Z2849-Q2849)</f>
        <v/>
      </c>
      <c r="AB2849" s="7" t="n"/>
      <c r="AE2849">
        <f>IF($E2849="","",IF($AQ2849=1,0,IF($AP2849=1,Settings!$C$6,Settings!$C$7))*100)</f>
        <v/>
      </c>
      <c r="AI2849" s="7" t="n"/>
      <c r="AL2849" s="11" t="n"/>
      <c r="AN2849">
        <f>IF($E2849="","",IF(COUNTIF($E$2:$E2849,$E2849)=1,1,0))</f>
        <v/>
      </c>
      <c r="AO2849">
        <f>IF($AN2849=1,SUMPRODUCT(--($AR$2:$AR$3001&lt;$AR2849))+1,"")</f>
        <v/>
      </c>
      <c r="AP2849">
        <f>IF($E2849="","",IF(OR($U2849=TRUE(),$U2849="TRUE"),1,0))</f>
        <v/>
      </c>
      <c r="AQ2849">
        <f>IF($E2849="","",IF($AD2849="Yes",1,0))</f>
        <v/>
      </c>
      <c r="AR2849">
        <f>IF($AN2849=1,IFERROR(VALUE(MID($E2849,2,20)),1000000000)+ROW()/100000,"")</f>
        <v/>
      </c>
    </row>
    <row r="2850">
      <c r="G2850" s="11" t="n"/>
      <c r="Q2850" s="7">
        <f>IF($E2850="","",P2850*AB2850/100)</f>
        <v/>
      </c>
      <c r="R2850" s="7" t="n"/>
      <c r="X2850" s="7" t="n"/>
      <c r="Y2850" s="7">
        <f>IF($E2850="","",AB2850*AE2850/100)</f>
        <v/>
      </c>
      <c r="Z2850" s="7">
        <f>IF($E2850="","",AB2850-Y2850)</f>
        <v/>
      </c>
      <c r="AA2850" s="7">
        <f>IF($E2850="","",Z2850-Q2850)</f>
        <v/>
      </c>
      <c r="AB2850" s="7" t="n"/>
      <c r="AE2850">
        <f>IF($E2850="","",IF($AQ2850=1,0,IF($AP2850=1,Settings!$C$6,Settings!$C$7))*100)</f>
        <v/>
      </c>
      <c r="AI2850" s="7" t="n"/>
      <c r="AL2850" s="11" t="n"/>
      <c r="AN2850">
        <f>IF($E2850="","",IF(COUNTIF($E$2:$E2850,$E2850)=1,1,0))</f>
        <v/>
      </c>
      <c r="AO2850">
        <f>IF($AN2850=1,SUMPRODUCT(--($AR$2:$AR$3001&lt;$AR2850))+1,"")</f>
        <v/>
      </c>
      <c r="AP2850">
        <f>IF($E2850="","",IF(OR($U2850=TRUE(),$U2850="TRUE"),1,0))</f>
        <v/>
      </c>
      <c r="AQ2850">
        <f>IF($E2850="","",IF($AD2850="Yes",1,0))</f>
        <v/>
      </c>
      <c r="AR2850">
        <f>IF($AN2850=1,IFERROR(VALUE(MID($E2850,2,20)),1000000000)+ROW()/100000,"")</f>
        <v/>
      </c>
    </row>
    <row r="2851">
      <c r="G2851" s="11" t="n"/>
      <c r="Q2851" s="7">
        <f>IF($E2851="","",P2851*AB2851/100)</f>
        <v/>
      </c>
      <c r="R2851" s="7" t="n"/>
      <c r="X2851" s="7" t="n"/>
      <c r="Y2851" s="7">
        <f>IF($E2851="","",AB2851*AE2851/100)</f>
        <v/>
      </c>
      <c r="Z2851" s="7">
        <f>IF($E2851="","",AB2851-Y2851)</f>
        <v/>
      </c>
      <c r="AA2851" s="7">
        <f>IF($E2851="","",Z2851-Q2851)</f>
        <v/>
      </c>
      <c r="AB2851" s="7" t="n"/>
      <c r="AE2851">
        <f>IF($E2851="","",IF($AQ2851=1,0,IF($AP2851=1,Settings!$C$6,Settings!$C$7))*100)</f>
        <v/>
      </c>
      <c r="AI2851" s="7" t="n"/>
      <c r="AL2851" s="11" t="n"/>
      <c r="AN2851">
        <f>IF($E2851="","",IF(COUNTIF($E$2:$E2851,$E2851)=1,1,0))</f>
        <v/>
      </c>
      <c r="AO2851">
        <f>IF($AN2851=1,SUMPRODUCT(--($AR$2:$AR$3001&lt;$AR2851))+1,"")</f>
        <v/>
      </c>
      <c r="AP2851">
        <f>IF($E2851="","",IF(OR($U2851=TRUE(),$U2851="TRUE"),1,0))</f>
        <v/>
      </c>
      <c r="AQ2851">
        <f>IF($E2851="","",IF($AD2851="Yes",1,0))</f>
        <v/>
      </c>
      <c r="AR2851">
        <f>IF($AN2851=1,IFERROR(VALUE(MID($E2851,2,20)),1000000000)+ROW()/100000,"")</f>
        <v/>
      </c>
    </row>
    <row r="2852">
      <c r="G2852" s="11" t="n"/>
      <c r="Q2852" s="7">
        <f>IF($E2852="","",P2852*AB2852/100)</f>
        <v/>
      </c>
      <c r="R2852" s="7" t="n"/>
      <c r="X2852" s="7" t="n"/>
      <c r="Y2852" s="7">
        <f>IF($E2852="","",AB2852*AE2852/100)</f>
        <v/>
      </c>
      <c r="Z2852" s="7">
        <f>IF($E2852="","",AB2852-Y2852)</f>
        <v/>
      </c>
      <c r="AA2852" s="7">
        <f>IF($E2852="","",Z2852-Q2852)</f>
        <v/>
      </c>
      <c r="AB2852" s="7" t="n"/>
      <c r="AE2852">
        <f>IF($E2852="","",IF($AQ2852=1,0,IF($AP2852=1,Settings!$C$6,Settings!$C$7))*100)</f>
        <v/>
      </c>
      <c r="AI2852" s="7" t="n"/>
      <c r="AL2852" s="11" t="n"/>
      <c r="AN2852">
        <f>IF($E2852="","",IF(COUNTIF($E$2:$E2852,$E2852)=1,1,0))</f>
        <v/>
      </c>
      <c r="AO2852">
        <f>IF($AN2852=1,SUMPRODUCT(--($AR$2:$AR$3001&lt;$AR2852))+1,"")</f>
        <v/>
      </c>
      <c r="AP2852">
        <f>IF($E2852="","",IF(OR($U2852=TRUE(),$U2852="TRUE"),1,0))</f>
        <v/>
      </c>
      <c r="AQ2852">
        <f>IF($E2852="","",IF($AD2852="Yes",1,0))</f>
        <v/>
      </c>
      <c r="AR2852">
        <f>IF($AN2852=1,IFERROR(VALUE(MID($E2852,2,20)),1000000000)+ROW()/100000,"")</f>
        <v/>
      </c>
    </row>
    <row r="2853">
      <c r="G2853" s="11" t="n"/>
      <c r="Q2853" s="7">
        <f>IF($E2853="","",P2853*AB2853/100)</f>
        <v/>
      </c>
      <c r="R2853" s="7" t="n"/>
      <c r="X2853" s="7" t="n"/>
      <c r="Y2853" s="7">
        <f>IF($E2853="","",AB2853*AE2853/100)</f>
        <v/>
      </c>
      <c r="Z2853" s="7">
        <f>IF($E2853="","",AB2853-Y2853)</f>
        <v/>
      </c>
      <c r="AA2853" s="7">
        <f>IF($E2853="","",Z2853-Q2853)</f>
        <v/>
      </c>
      <c r="AB2853" s="7" t="n"/>
      <c r="AE2853">
        <f>IF($E2853="","",IF($AQ2853=1,0,IF($AP2853=1,Settings!$C$6,Settings!$C$7))*100)</f>
        <v/>
      </c>
      <c r="AI2853" s="7" t="n"/>
      <c r="AL2853" s="11" t="n"/>
      <c r="AN2853">
        <f>IF($E2853="","",IF(COUNTIF($E$2:$E2853,$E2853)=1,1,0))</f>
        <v/>
      </c>
      <c r="AO2853">
        <f>IF($AN2853=1,SUMPRODUCT(--($AR$2:$AR$3001&lt;$AR2853))+1,"")</f>
        <v/>
      </c>
      <c r="AP2853">
        <f>IF($E2853="","",IF(OR($U2853=TRUE(),$U2853="TRUE"),1,0))</f>
        <v/>
      </c>
      <c r="AQ2853">
        <f>IF($E2853="","",IF($AD2853="Yes",1,0))</f>
        <v/>
      </c>
      <c r="AR2853">
        <f>IF($AN2853=1,IFERROR(VALUE(MID($E2853,2,20)),1000000000)+ROW()/100000,"")</f>
        <v/>
      </c>
    </row>
    <row r="2854">
      <c r="G2854" s="11" t="n"/>
      <c r="Q2854" s="7">
        <f>IF($E2854="","",P2854*AB2854/100)</f>
        <v/>
      </c>
      <c r="R2854" s="7" t="n"/>
      <c r="X2854" s="7" t="n"/>
      <c r="Y2854" s="7">
        <f>IF($E2854="","",AB2854*AE2854/100)</f>
        <v/>
      </c>
      <c r="Z2854" s="7">
        <f>IF($E2854="","",AB2854-Y2854)</f>
        <v/>
      </c>
      <c r="AA2854" s="7">
        <f>IF($E2854="","",Z2854-Q2854)</f>
        <v/>
      </c>
      <c r="AB2854" s="7" t="n"/>
      <c r="AE2854">
        <f>IF($E2854="","",IF($AQ2854=1,0,IF($AP2854=1,Settings!$C$6,Settings!$C$7))*100)</f>
        <v/>
      </c>
      <c r="AI2854" s="7" t="n"/>
      <c r="AL2854" s="11" t="n"/>
      <c r="AN2854">
        <f>IF($E2854="","",IF(COUNTIF($E$2:$E2854,$E2854)=1,1,0))</f>
        <v/>
      </c>
      <c r="AO2854">
        <f>IF($AN2854=1,SUMPRODUCT(--($AR$2:$AR$3001&lt;$AR2854))+1,"")</f>
        <v/>
      </c>
      <c r="AP2854">
        <f>IF($E2854="","",IF(OR($U2854=TRUE(),$U2854="TRUE"),1,0))</f>
        <v/>
      </c>
      <c r="AQ2854">
        <f>IF($E2854="","",IF($AD2854="Yes",1,0))</f>
        <v/>
      </c>
      <c r="AR2854">
        <f>IF($AN2854=1,IFERROR(VALUE(MID($E2854,2,20)),1000000000)+ROW()/100000,"")</f>
        <v/>
      </c>
    </row>
    <row r="2855">
      <c r="G2855" s="11" t="n"/>
      <c r="Q2855" s="7">
        <f>IF($E2855="","",P2855*AB2855/100)</f>
        <v/>
      </c>
      <c r="R2855" s="7" t="n"/>
      <c r="X2855" s="7" t="n"/>
      <c r="Y2855" s="7">
        <f>IF($E2855="","",AB2855*AE2855/100)</f>
        <v/>
      </c>
      <c r="Z2855" s="7">
        <f>IF($E2855="","",AB2855-Y2855)</f>
        <v/>
      </c>
      <c r="AA2855" s="7">
        <f>IF($E2855="","",Z2855-Q2855)</f>
        <v/>
      </c>
      <c r="AB2855" s="7" t="n"/>
      <c r="AE2855">
        <f>IF($E2855="","",IF($AQ2855=1,0,IF($AP2855=1,Settings!$C$6,Settings!$C$7))*100)</f>
        <v/>
      </c>
      <c r="AI2855" s="7" t="n"/>
      <c r="AL2855" s="11" t="n"/>
      <c r="AN2855">
        <f>IF($E2855="","",IF(COUNTIF($E$2:$E2855,$E2855)=1,1,0))</f>
        <v/>
      </c>
      <c r="AO2855">
        <f>IF($AN2855=1,SUMPRODUCT(--($AR$2:$AR$3001&lt;$AR2855))+1,"")</f>
        <v/>
      </c>
      <c r="AP2855">
        <f>IF($E2855="","",IF(OR($U2855=TRUE(),$U2855="TRUE"),1,0))</f>
        <v/>
      </c>
      <c r="AQ2855">
        <f>IF($E2855="","",IF($AD2855="Yes",1,0))</f>
        <v/>
      </c>
      <c r="AR2855">
        <f>IF($AN2855=1,IFERROR(VALUE(MID($E2855,2,20)),1000000000)+ROW()/100000,"")</f>
        <v/>
      </c>
    </row>
    <row r="2856">
      <c r="G2856" s="11" t="n"/>
      <c r="Q2856" s="7">
        <f>IF($E2856="","",P2856*AB2856/100)</f>
        <v/>
      </c>
      <c r="R2856" s="7" t="n"/>
      <c r="X2856" s="7" t="n"/>
      <c r="Y2856" s="7">
        <f>IF($E2856="","",AB2856*AE2856/100)</f>
        <v/>
      </c>
      <c r="Z2856" s="7">
        <f>IF($E2856="","",AB2856-Y2856)</f>
        <v/>
      </c>
      <c r="AA2856" s="7">
        <f>IF($E2856="","",Z2856-Q2856)</f>
        <v/>
      </c>
      <c r="AB2856" s="7" t="n"/>
      <c r="AE2856">
        <f>IF($E2856="","",IF($AQ2856=1,0,IF($AP2856=1,Settings!$C$6,Settings!$C$7))*100)</f>
        <v/>
      </c>
      <c r="AI2856" s="7" t="n"/>
      <c r="AL2856" s="11" t="n"/>
      <c r="AN2856">
        <f>IF($E2856="","",IF(COUNTIF($E$2:$E2856,$E2856)=1,1,0))</f>
        <v/>
      </c>
      <c r="AO2856">
        <f>IF($AN2856=1,SUMPRODUCT(--($AR$2:$AR$3001&lt;$AR2856))+1,"")</f>
        <v/>
      </c>
      <c r="AP2856">
        <f>IF($E2856="","",IF(OR($U2856=TRUE(),$U2856="TRUE"),1,0))</f>
        <v/>
      </c>
      <c r="AQ2856">
        <f>IF($E2856="","",IF($AD2856="Yes",1,0))</f>
        <v/>
      </c>
      <c r="AR2856">
        <f>IF($AN2856=1,IFERROR(VALUE(MID($E2856,2,20)),1000000000)+ROW()/100000,"")</f>
        <v/>
      </c>
    </row>
    <row r="2857">
      <c r="G2857" s="11" t="n"/>
      <c r="Q2857" s="7">
        <f>IF($E2857="","",P2857*AB2857/100)</f>
        <v/>
      </c>
      <c r="R2857" s="7" t="n"/>
      <c r="X2857" s="7" t="n"/>
      <c r="Y2857" s="7">
        <f>IF($E2857="","",AB2857*AE2857/100)</f>
        <v/>
      </c>
      <c r="Z2857" s="7">
        <f>IF($E2857="","",AB2857-Y2857)</f>
        <v/>
      </c>
      <c r="AA2857" s="7">
        <f>IF($E2857="","",Z2857-Q2857)</f>
        <v/>
      </c>
      <c r="AB2857" s="7" t="n"/>
      <c r="AE2857">
        <f>IF($E2857="","",IF($AQ2857=1,0,IF($AP2857=1,Settings!$C$6,Settings!$C$7))*100)</f>
        <v/>
      </c>
      <c r="AI2857" s="7" t="n"/>
      <c r="AL2857" s="11" t="n"/>
      <c r="AN2857">
        <f>IF($E2857="","",IF(COUNTIF($E$2:$E2857,$E2857)=1,1,0))</f>
        <v/>
      </c>
      <c r="AO2857">
        <f>IF($AN2857=1,SUMPRODUCT(--($AR$2:$AR$3001&lt;$AR2857))+1,"")</f>
        <v/>
      </c>
      <c r="AP2857">
        <f>IF($E2857="","",IF(OR($U2857=TRUE(),$U2857="TRUE"),1,0))</f>
        <v/>
      </c>
      <c r="AQ2857">
        <f>IF($E2857="","",IF($AD2857="Yes",1,0))</f>
        <v/>
      </c>
      <c r="AR2857">
        <f>IF($AN2857=1,IFERROR(VALUE(MID($E2857,2,20)),1000000000)+ROW()/100000,"")</f>
        <v/>
      </c>
    </row>
    <row r="2858">
      <c r="G2858" s="11" t="n"/>
      <c r="Q2858" s="7">
        <f>IF($E2858="","",P2858*AB2858/100)</f>
        <v/>
      </c>
      <c r="R2858" s="7" t="n"/>
      <c r="X2858" s="7" t="n"/>
      <c r="Y2858" s="7">
        <f>IF($E2858="","",AB2858*AE2858/100)</f>
        <v/>
      </c>
      <c r="Z2858" s="7">
        <f>IF($E2858="","",AB2858-Y2858)</f>
        <v/>
      </c>
      <c r="AA2858" s="7">
        <f>IF($E2858="","",Z2858-Q2858)</f>
        <v/>
      </c>
      <c r="AB2858" s="7" t="n"/>
      <c r="AE2858">
        <f>IF($E2858="","",IF($AQ2858=1,0,IF($AP2858=1,Settings!$C$6,Settings!$C$7))*100)</f>
        <v/>
      </c>
      <c r="AI2858" s="7" t="n"/>
      <c r="AL2858" s="11" t="n"/>
      <c r="AN2858">
        <f>IF($E2858="","",IF(COUNTIF($E$2:$E2858,$E2858)=1,1,0))</f>
        <v/>
      </c>
      <c r="AO2858">
        <f>IF($AN2858=1,SUMPRODUCT(--($AR$2:$AR$3001&lt;$AR2858))+1,"")</f>
        <v/>
      </c>
      <c r="AP2858">
        <f>IF($E2858="","",IF(OR($U2858=TRUE(),$U2858="TRUE"),1,0))</f>
        <v/>
      </c>
      <c r="AQ2858">
        <f>IF($E2858="","",IF($AD2858="Yes",1,0))</f>
        <v/>
      </c>
      <c r="AR2858">
        <f>IF($AN2858=1,IFERROR(VALUE(MID($E2858,2,20)),1000000000)+ROW()/100000,"")</f>
        <v/>
      </c>
    </row>
    <row r="2859">
      <c r="G2859" s="11" t="n"/>
      <c r="Q2859" s="7">
        <f>IF($E2859="","",P2859*AB2859/100)</f>
        <v/>
      </c>
      <c r="R2859" s="7" t="n"/>
      <c r="X2859" s="7" t="n"/>
      <c r="Y2859" s="7">
        <f>IF($E2859="","",AB2859*AE2859/100)</f>
        <v/>
      </c>
      <c r="Z2859" s="7">
        <f>IF($E2859="","",AB2859-Y2859)</f>
        <v/>
      </c>
      <c r="AA2859" s="7">
        <f>IF($E2859="","",Z2859-Q2859)</f>
        <v/>
      </c>
      <c r="AB2859" s="7" t="n"/>
      <c r="AE2859">
        <f>IF($E2859="","",IF($AQ2859=1,0,IF($AP2859=1,Settings!$C$6,Settings!$C$7))*100)</f>
        <v/>
      </c>
      <c r="AI2859" s="7" t="n"/>
      <c r="AL2859" s="11" t="n"/>
      <c r="AN2859">
        <f>IF($E2859="","",IF(COUNTIF($E$2:$E2859,$E2859)=1,1,0))</f>
        <v/>
      </c>
      <c r="AO2859">
        <f>IF($AN2859=1,SUMPRODUCT(--($AR$2:$AR$3001&lt;$AR2859))+1,"")</f>
        <v/>
      </c>
      <c r="AP2859">
        <f>IF($E2859="","",IF(OR($U2859=TRUE(),$U2859="TRUE"),1,0))</f>
        <v/>
      </c>
      <c r="AQ2859">
        <f>IF($E2859="","",IF($AD2859="Yes",1,0))</f>
        <v/>
      </c>
      <c r="AR2859">
        <f>IF($AN2859=1,IFERROR(VALUE(MID($E2859,2,20)),1000000000)+ROW()/100000,"")</f>
        <v/>
      </c>
    </row>
    <row r="2860">
      <c r="G2860" s="11" t="n"/>
      <c r="Q2860" s="7">
        <f>IF($E2860="","",P2860*AB2860/100)</f>
        <v/>
      </c>
      <c r="R2860" s="7" t="n"/>
      <c r="X2860" s="7" t="n"/>
      <c r="Y2860" s="7">
        <f>IF($E2860="","",AB2860*AE2860/100)</f>
        <v/>
      </c>
      <c r="Z2860" s="7">
        <f>IF($E2860="","",AB2860-Y2860)</f>
        <v/>
      </c>
      <c r="AA2860" s="7">
        <f>IF($E2860="","",Z2860-Q2860)</f>
        <v/>
      </c>
      <c r="AB2860" s="7" t="n"/>
      <c r="AE2860">
        <f>IF($E2860="","",IF($AQ2860=1,0,IF($AP2860=1,Settings!$C$6,Settings!$C$7))*100)</f>
        <v/>
      </c>
      <c r="AI2860" s="7" t="n"/>
      <c r="AL2860" s="11" t="n"/>
      <c r="AN2860">
        <f>IF($E2860="","",IF(COUNTIF($E$2:$E2860,$E2860)=1,1,0))</f>
        <v/>
      </c>
      <c r="AO2860">
        <f>IF($AN2860=1,SUMPRODUCT(--($AR$2:$AR$3001&lt;$AR2860))+1,"")</f>
        <v/>
      </c>
      <c r="AP2860">
        <f>IF($E2860="","",IF(OR($U2860=TRUE(),$U2860="TRUE"),1,0))</f>
        <v/>
      </c>
      <c r="AQ2860">
        <f>IF($E2860="","",IF($AD2860="Yes",1,0))</f>
        <v/>
      </c>
      <c r="AR2860">
        <f>IF($AN2860=1,IFERROR(VALUE(MID($E2860,2,20)),1000000000)+ROW()/100000,"")</f>
        <v/>
      </c>
    </row>
    <row r="2861">
      <c r="G2861" s="11" t="n"/>
      <c r="Q2861" s="7">
        <f>IF($E2861="","",P2861*AB2861/100)</f>
        <v/>
      </c>
      <c r="R2861" s="7" t="n"/>
      <c r="X2861" s="7" t="n"/>
      <c r="Y2861" s="7">
        <f>IF($E2861="","",AB2861*AE2861/100)</f>
        <v/>
      </c>
      <c r="Z2861" s="7">
        <f>IF($E2861="","",AB2861-Y2861)</f>
        <v/>
      </c>
      <c r="AA2861" s="7">
        <f>IF($E2861="","",Z2861-Q2861)</f>
        <v/>
      </c>
      <c r="AB2861" s="7" t="n"/>
      <c r="AE2861">
        <f>IF($E2861="","",IF($AQ2861=1,0,IF($AP2861=1,Settings!$C$6,Settings!$C$7))*100)</f>
        <v/>
      </c>
      <c r="AI2861" s="7" t="n"/>
      <c r="AL2861" s="11" t="n"/>
      <c r="AN2861">
        <f>IF($E2861="","",IF(COUNTIF($E$2:$E2861,$E2861)=1,1,0))</f>
        <v/>
      </c>
      <c r="AO2861">
        <f>IF($AN2861=1,SUMPRODUCT(--($AR$2:$AR$3001&lt;$AR2861))+1,"")</f>
        <v/>
      </c>
      <c r="AP2861">
        <f>IF($E2861="","",IF(OR($U2861=TRUE(),$U2861="TRUE"),1,0))</f>
        <v/>
      </c>
      <c r="AQ2861">
        <f>IF($E2861="","",IF($AD2861="Yes",1,0))</f>
        <v/>
      </c>
      <c r="AR2861">
        <f>IF($AN2861=1,IFERROR(VALUE(MID($E2861,2,20)),1000000000)+ROW()/100000,"")</f>
        <v/>
      </c>
    </row>
    <row r="2862">
      <c r="G2862" s="11" t="n"/>
      <c r="Q2862" s="7">
        <f>IF($E2862="","",P2862*AB2862/100)</f>
        <v/>
      </c>
      <c r="R2862" s="7" t="n"/>
      <c r="X2862" s="7" t="n"/>
      <c r="Y2862" s="7">
        <f>IF($E2862="","",AB2862*AE2862/100)</f>
        <v/>
      </c>
      <c r="Z2862" s="7">
        <f>IF($E2862="","",AB2862-Y2862)</f>
        <v/>
      </c>
      <c r="AA2862" s="7">
        <f>IF($E2862="","",Z2862-Q2862)</f>
        <v/>
      </c>
      <c r="AB2862" s="7" t="n"/>
      <c r="AE2862">
        <f>IF($E2862="","",IF($AQ2862=1,0,IF($AP2862=1,Settings!$C$6,Settings!$C$7))*100)</f>
        <v/>
      </c>
      <c r="AI2862" s="7" t="n"/>
      <c r="AL2862" s="11" t="n"/>
      <c r="AN2862">
        <f>IF($E2862="","",IF(COUNTIF($E$2:$E2862,$E2862)=1,1,0))</f>
        <v/>
      </c>
      <c r="AO2862">
        <f>IF($AN2862=1,SUMPRODUCT(--($AR$2:$AR$3001&lt;$AR2862))+1,"")</f>
        <v/>
      </c>
      <c r="AP2862">
        <f>IF($E2862="","",IF(OR($U2862=TRUE(),$U2862="TRUE"),1,0))</f>
        <v/>
      </c>
      <c r="AQ2862">
        <f>IF($E2862="","",IF($AD2862="Yes",1,0))</f>
        <v/>
      </c>
      <c r="AR2862">
        <f>IF($AN2862=1,IFERROR(VALUE(MID($E2862,2,20)),1000000000)+ROW()/100000,"")</f>
        <v/>
      </c>
    </row>
    <row r="2863">
      <c r="G2863" s="11" t="n"/>
      <c r="Q2863" s="7">
        <f>IF($E2863="","",P2863*AB2863/100)</f>
        <v/>
      </c>
      <c r="R2863" s="7" t="n"/>
      <c r="X2863" s="7" t="n"/>
      <c r="Y2863" s="7">
        <f>IF($E2863="","",AB2863*AE2863/100)</f>
        <v/>
      </c>
      <c r="Z2863" s="7">
        <f>IF($E2863="","",AB2863-Y2863)</f>
        <v/>
      </c>
      <c r="AA2863" s="7">
        <f>IF($E2863="","",Z2863-Q2863)</f>
        <v/>
      </c>
      <c r="AB2863" s="7" t="n"/>
      <c r="AE2863">
        <f>IF($E2863="","",IF($AQ2863=1,0,IF($AP2863=1,Settings!$C$6,Settings!$C$7))*100)</f>
        <v/>
      </c>
      <c r="AI2863" s="7" t="n"/>
      <c r="AL2863" s="11" t="n"/>
      <c r="AN2863">
        <f>IF($E2863="","",IF(COUNTIF($E$2:$E2863,$E2863)=1,1,0))</f>
        <v/>
      </c>
      <c r="AO2863">
        <f>IF($AN2863=1,SUMPRODUCT(--($AR$2:$AR$3001&lt;$AR2863))+1,"")</f>
        <v/>
      </c>
      <c r="AP2863">
        <f>IF($E2863="","",IF(OR($U2863=TRUE(),$U2863="TRUE"),1,0))</f>
        <v/>
      </c>
      <c r="AQ2863">
        <f>IF($E2863="","",IF($AD2863="Yes",1,0))</f>
        <v/>
      </c>
      <c r="AR2863">
        <f>IF($AN2863=1,IFERROR(VALUE(MID($E2863,2,20)),1000000000)+ROW()/100000,"")</f>
        <v/>
      </c>
    </row>
    <row r="2864">
      <c r="G2864" s="11" t="n"/>
      <c r="Q2864" s="7">
        <f>IF($E2864="","",P2864*AB2864/100)</f>
        <v/>
      </c>
      <c r="R2864" s="7" t="n"/>
      <c r="X2864" s="7" t="n"/>
      <c r="Y2864" s="7">
        <f>IF($E2864="","",AB2864*AE2864/100)</f>
        <v/>
      </c>
      <c r="Z2864" s="7">
        <f>IF($E2864="","",AB2864-Y2864)</f>
        <v/>
      </c>
      <c r="AA2864" s="7">
        <f>IF($E2864="","",Z2864-Q2864)</f>
        <v/>
      </c>
      <c r="AB2864" s="7" t="n"/>
      <c r="AE2864">
        <f>IF($E2864="","",IF($AQ2864=1,0,IF($AP2864=1,Settings!$C$6,Settings!$C$7))*100)</f>
        <v/>
      </c>
      <c r="AI2864" s="7" t="n"/>
      <c r="AL2864" s="11" t="n"/>
      <c r="AN2864">
        <f>IF($E2864="","",IF(COUNTIF($E$2:$E2864,$E2864)=1,1,0))</f>
        <v/>
      </c>
      <c r="AO2864">
        <f>IF($AN2864=1,SUMPRODUCT(--($AR$2:$AR$3001&lt;$AR2864))+1,"")</f>
        <v/>
      </c>
      <c r="AP2864">
        <f>IF($E2864="","",IF(OR($U2864=TRUE(),$U2864="TRUE"),1,0))</f>
        <v/>
      </c>
      <c r="AQ2864">
        <f>IF($E2864="","",IF($AD2864="Yes",1,0))</f>
        <v/>
      </c>
      <c r="AR2864">
        <f>IF($AN2864=1,IFERROR(VALUE(MID($E2864,2,20)),1000000000)+ROW()/100000,"")</f>
        <v/>
      </c>
    </row>
    <row r="2865">
      <c r="G2865" s="11" t="n"/>
      <c r="Q2865" s="7">
        <f>IF($E2865="","",P2865*AB2865/100)</f>
        <v/>
      </c>
      <c r="R2865" s="7" t="n"/>
      <c r="X2865" s="7" t="n"/>
      <c r="Y2865" s="7">
        <f>IF($E2865="","",AB2865*AE2865/100)</f>
        <v/>
      </c>
      <c r="Z2865" s="7">
        <f>IF($E2865="","",AB2865-Y2865)</f>
        <v/>
      </c>
      <c r="AA2865" s="7">
        <f>IF($E2865="","",Z2865-Q2865)</f>
        <v/>
      </c>
      <c r="AB2865" s="7" t="n"/>
      <c r="AE2865">
        <f>IF($E2865="","",IF($AQ2865=1,0,IF($AP2865=1,Settings!$C$6,Settings!$C$7))*100)</f>
        <v/>
      </c>
      <c r="AI2865" s="7" t="n"/>
      <c r="AL2865" s="11" t="n"/>
      <c r="AN2865">
        <f>IF($E2865="","",IF(COUNTIF($E$2:$E2865,$E2865)=1,1,0))</f>
        <v/>
      </c>
      <c r="AO2865">
        <f>IF($AN2865=1,SUMPRODUCT(--($AR$2:$AR$3001&lt;$AR2865))+1,"")</f>
        <v/>
      </c>
      <c r="AP2865">
        <f>IF($E2865="","",IF(OR($U2865=TRUE(),$U2865="TRUE"),1,0))</f>
        <v/>
      </c>
      <c r="AQ2865">
        <f>IF($E2865="","",IF($AD2865="Yes",1,0))</f>
        <v/>
      </c>
      <c r="AR2865">
        <f>IF($AN2865=1,IFERROR(VALUE(MID($E2865,2,20)),1000000000)+ROW()/100000,"")</f>
        <v/>
      </c>
    </row>
    <row r="2866">
      <c r="G2866" s="11" t="n"/>
      <c r="Q2866" s="7">
        <f>IF($E2866="","",P2866*AB2866/100)</f>
        <v/>
      </c>
      <c r="R2866" s="7" t="n"/>
      <c r="X2866" s="7" t="n"/>
      <c r="Y2866" s="7">
        <f>IF($E2866="","",AB2866*AE2866/100)</f>
        <v/>
      </c>
      <c r="Z2866" s="7">
        <f>IF($E2866="","",AB2866-Y2866)</f>
        <v/>
      </c>
      <c r="AA2866" s="7">
        <f>IF($E2866="","",Z2866-Q2866)</f>
        <v/>
      </c>
      <c r="AB2866" s="7" t="n"/>
      <c r="AE2866">
        <f>IF($E2866="","",IF($AQ2866=1,0,IF($AP2866=1,Settings!$C$6,Settings!$C$7))*100)</f>
        <v/>
      </c>
      <c r="AI2866" s="7" t="n"/>
      <c r="AL2866" s="11" t="n"/>
      <c r="AN2866">
        <f>IF($E2866="","",IF(COUNTIF($E$2:$E2866,$E2866)=1,1,0))</f>
        <v/>
      </c>
      <c r="AO2866">
        <f>IF($AN2866=1,SUMPRODUCT(--($AR$2:$AR$3001&lt;$AR2866))+1,"")</f>
        <v/>
      </c>
      <c r="AP2866">
        <f>IF($E2866="","",IF(OR($U2866=TRUE(),$U2866="TRUE"),1,0))</f>
        <v/>
      </c>
      <c r="AQ2866">
        <f>IF($E2866="","",IF($AD2866="Yes",1,0))</f>
        <v/>
      </c>
      <c r="AR2866">
        <f>IF($AN2866=1,IFERROR(VALUE(MID($E2866,2,20)),1000000000)+ROW()/100000,"")</f>
        <v/>
      </c>
    </row>
    <row r="2867">
      <c r="G2867" s="11" t="n"/>
      <c r="Q2867" s="7">
        <f>IF($E2867="","",P2867*AB2867/100)</f>
        <v/>
      </c>
      <c r="R2867" s="7" t="n"/>
      <c r="X2867" s="7" t="n"/>
      <c r="Y2867" s="7">
        <f>IF($E2867="","",AB2867*AE2867/100)</f>
        <v/>
      </c>
      <c r="Z2867" s="7">
        <f>IF($E2867="","",AB2867-Y2867)</f>
        <v/>
      </c>
      <c r="AA2867" s="7">
        <f>IF($E2867="","",Z2867-Q2867)</f>
        <v/>
      </c>
      <c r="AB2867" s="7" t="n"/>
      <c r="AE2867">
        <f>IF($E2867="","",IF($AQ2867=1,0,IF($AP2867=1,Settings!$C$6,Settings!$C$7))*100)</f>
        <v/>
      </c>
      <c r="AI2867" s="7" t="n"/>
      <c r="AL2867" s="11" t="n"/>
      <c r="AN2867">
        <f>IF($E2867="","",IF(COUNTIF($E$2:$E2867,$E2867)=1,1,0))</f>
        <v/>
      </c>
      <c r="AO2867">
        <f>IF($AN2867=1,SUMPRODUCT(--($AR$2:$AR$3001&lt;$AR2867))+1,"")</f>
        <v/>
      </c>
      <c r="AP2867">
        <f>IF($E2867="","",IF(OR($U2867=TRUE(),$U2867="TRUE"),1,0))</f>
        <v/>
      </c>
      <c r="AQ2867">
        <f>IF($E2867="","",IF($AD2867="Yes",1,0))</f>
        <v/>
      </c>
      <c r="AR2867">
        <f>IF($AN2867=1,IFERROR(VALUE(MID($E2867,2,20)),1000000000)+ROW()/100000,"")</f>
        <v/>
      </c>
    </row>
    <row r="2868">
      <c r="G2868" s="11" t="n"/>
      <c r="Q2868" s="7">
        <f>IF($E2868="","",P2868*AB2868/100)</f>
        <v/>
      </c>
      <c r="R2868" s="7" t="n"/>
      <c r="X2868" s="7" t="n"/>
      <c r="Y2868" s="7">
        <f>IF($E2868="","",AB2868*AE2868/100)</f>
        <v/>
      </c>
      <c r="Z2868" s="7">
        <f>IF($E2868="","",AB2868-Y2868)</f>
        <v/>
      </c>
      <c r="AA2868" s="7">
        <f>IF($E2868="","",Z2868-Q2868)</f>
        <v/>
      </c>
      <c r="AB2868" s="7" t="n"/>
      <c r="AE2868">
        <f>IF($E2868="","",IF($AQ2868=1,0,IF($AP2868=1,Settings!$C$6,Settings!$C$7))*100)</f>
        <v/>
      </c>
      <c r="AI2868" s="7" t="n"/>
      <c r="AL2868" s="11" t="n"/>
      <c r="AN2868">
        <f>IF($E2868="","",IF(COUNTIF($E$2:$E2868,$E2868)=1,1,0))</f>
        <v/>
      </c>
      <c r="AO2868">
        <f>IF($AN2868=1,SUMPRODUCT(--($AR$2:$AR$3001&lt;$AR2868))+1,"")</f>
        <v/>
      </c>
      <c r="AP2868">
        <f>IF($E2868="","",IF(OR($U2868=TRUE(),$U2868="TRUE"),1,0))</f>
        <v/>
      </c>
      <c r="AQ2868">
        <f>IF($E2868="","",IF($AD2868="Yes",1,0))</f>
        <v/>
      </c>
      <c r="AR2868">
        <f>IF($AN2868=1,IFERROR(VALUE(MID($E2868,2,20)),1000000000)+ROW()/100000,"")</f>
        <v/>
      </c>
    </row>
    <row r="2869">
      <c r="G2869" s="11" t="n"/>
      <c r="Q2869" s="7">
        <f>IF($E2869="","",P2869*AB2869/100)</f>
        <v/>
      </c>
      <c r="R2869" s="7" t="n"/>
      <c r="X2869" s="7" t="n"/>
      <c r="Y2869" s="7">
        <f>IF($E2869="","",AB2869*AE2869/100)</f>
        <v/>
      </c>
      <c r="Z2869" s="7">
        <f>IF($E2869="","",AB2869-Y2869)</f>
        <v/>
      </c>
      <c r="AA2869" s="7">
        <f>IF($E2869="","",Z2869-Q2869)</f>
        <v/>
      </c>
      <c r="AB2869" s="7" t="n"/>
      <c r="AE2869">
        <f>IF($E2869="","",IF($AQ2869=1,0,IF($AP2869=1,Settings!$C$6,Settings!$C$7))*100)</f>
        <v/>
      </c>
      <c r="AI2869" s="7" t="n"/>
      <c r="AL2869" s="11" t="n"/>
      <c r="AN2869">
        <f>IF($E2869="","",IF(COUNTIF($E$2:$E2869,$E2869)=1,1,0))</f>
        <v/>
      </c>
      <c r="AO2869">
        <f>IF($AN2869=1,SUMPRODUCT(--($AR$2:$AR$3001&lt;$AR2869))+1,"")</f>
        <v/>
      </c>
      <c r="AP2869">
        <f>IF($E2869="","",IF(OR($U2869=TRUE(),$U2869="TRUE"),1,0))</f>
        <v/>
      </c>
      <c r="AQ2869">
        <f>IF($E2869="","",IF($AD2869="Yes",1,0))</f>
        <v/>
      </c>
      <c r="AR2869">
        <f>IF($AN2869=1,IFERROR(VALUE(MID($E2869,2,20)),1000000000)+ROW()/100000,"")</f>
        <v/>
      </c>
    </row>
    <row r="2870">
      <c r="G2870" s="11" t="n"/>
      <c r="Q2870" s="7">
        <f>IF($E2870="","",P2870*AB2870/100)</f>
        <v/>
      </c>
      <c r="R2870" s="7" t="n"/>
      <c r="X2870" s="7" t="n"/>
      <c r="Y2870" s="7">
        <f>IF($E2870="","",AB2870*AE2870/100)</f>
        <v/>
      </c>
      <c r="Z2870" s="7">
        <f>IF($E2870="","",AB2870-Y2870)</f>
        <v/>
      </c>
      <c r="AA2870" s="7">
        <f>IF($E2870="","",Z2870-Q2870)</f>
        <v/>
      </c>
      <c r="AB2870" s="7" t="n"/>
      <c r="AE2870">
        <f>IF($E2870="","",IF($AQ2870=1,0,IF($AP2870=1,Settings!$C$6,Settings!$C$7))*100)</f>
        <v/>
      </c>
      <c r="AI2870" s="7" t="n"/>
      <c r="AL2870" s="11" t="n"/>
      <c r="AN2870">
        <f>IF($E2870="","",IF(COUNTIF($E$2:$E2870,$E2870)=1,1,0))</f>
        <v/>
      </c>
      <c r="AO2870">
        <f>IF($AN2870=1,SUMPRODUCT(--($AR$2:$AR$3001&lt;$AR2870))+1,"")</f>
        <v/>
      </c>
      <c r="AP2870">
        <f>IF($E2870="","",IF(OR($U2870=TRUE(),$U2870="TRUE"),1,0))</f>
        <v/>
      </c>
      <c r="AQ2870">
        <f>IF($E2870="","",IF($AD2870="Yes",1,0))</f>
        <v/>
      </c>
      <c r="AR2870">
        <f>IF($AN2870=1,IFERROR(VALUE(MID($E2870,2,20)),1000000000)+ROW()/100000,"")</f>
        <v/>
      </c>
    </row>
    <row r="2871">
      <c r="G2871" s="11" t="n"/>
      <c r="Q2871" s="7">
        <f>IF($E2871="","",P2871*AB2871/100)</f>
        <v/>
      </c>
      <c r="R2871" s="7" t="n"/>
      <c r="X2871" s="7" t="n"/>
      <c r="Y2871" s="7">
        <f>IF($E2871="","",AB2871*AE2871/100)</f>
        <v/>
      </c>
      <c r="Z2871" s="7">
        <f>IF($E2871="","",AB2871-Y2871)</f>
        <v/>
      </c>
      <c r="AA2871" s="7">
        <f>IF($E2871="","",Z2871-Q2871)</f>
        <v/>
      </c>
      <c r="AB2871" s="7" t="n"/>
      <c r="AE2871">
        <f>IF($E2871="","",IF($AQ2871=1,0,IF($AP2871=1,Settings!$C$6,Settings!$C$7))*100)</f>
        <v/>
      </c>
      <c r="AI2871" s="7" t="n"/>
      <c r="AL2871" s="11" t="n"/>
      <c r="AN2871">
        <f>IF($E2871="","",IF(COUNTIF($E$2:$E2871,$E2871)=1,1,0))</f>
        <v/>
      </c>
      <c r="AO2871">
        <f>IF($AN2871=1,SUMPRODUCT(--($AR$2:$AR$3001&lt;$AR2871))+1,"")</f>
        <v/>
      </c>
      <c r="AP2871">
        <f>IF($E2871="","",IF(OR($U2871=TRUE(),$U2871="TRUE"),1,0))</f>
        <v/>
      </c>
      <c r="AQ2871">
        <f>IF($E2871="","",IF($AD2871="Yes",1,0))</f>
        <v/>
      </c>
      <c r="AR2871">
        <f>IF($AN2871=1,IFERROR(VALUE(MID($E2871,2,20)),1000000000)+ROW()/100000,"")</f>
        <v/>
      </c>
    </row>
    <row r="2872">
      <c r="G2872" s="11" t="n"/>
      <c r="Q2872" s="7">
        <f>IF($E2872="","",P2872*AB2872/100)</f>
        <v/>
      </c>
      <c r="R2872" s="7" t="n"/>
      <c r="X2872" s="7" t="n"/>
      <c r="Y2872" s="7">
        <f>IF($E2872="","",AB2872*AE2872/100)</f>
        <v/>
      </c>
      <c r="Z2872" s="7">
        <f>IF($E2872="","",AB2872-Y2872)</f>
        <v/>
      </c>
      <c r="AA2872" s="7">
        <f>IF($E2872="","",Z2872-Q2872)</f>
        <v/>
      </c>
      <c r="AB2872" s="7" t="n"/>
      <c r="AE2872">
        <f>IF($E2872="","",IF($AQ2872=1,0,IF($AP2872=1,Settings!$C$6,Settings!$C$7))*100)</f>
        <v/>
      </c>
      <c r="AI2872" s="7" t="n"/>
      <c r="AL2872" s="11" t="n"/>
      <c r="AN2872">
        <f>IF($E2872="","",IF(COUNTIF($E$2:$E2872,$E2872)=1,1,0))</f>
        <v/>
      </c>
      <c r="AO2872">
        <f>IF($AN2872=1,SUMPRODUCT(--($AR$2:$AR$3001&lt;$AR2872))+1,"")</f>
        <v/>
      </c>
      <c r="AP2872">
        <f>IF($E2872="","",IF(OR($U2872=TRUE(),$U2872="TRUE"),1,0))</f>
        <v/>
      </c>
      <c r="AQ2872">
        <f>IF($E2872="","",IF($AD2872="Yes",1,0))</f>
        <v/>
      </c>
      <c r="AR2872">
        <f>IF($AN2872=1,IFERROR(VALUE(MID($E2872,2,20)),1000000000)+ROW()/100000,"")</f>
        <v/>
      </c>
    </row>
    <row r="2873">
      <c r="G2873" s="11" t="n"/>
      <c r="Q2873" s="7">
        <f>IF($E2873="","",P2873*AB2873/100)</f>
        <v/>
      </c>
      <c r="R2873" s="7" t="n"/>
      <c r="X2873" s="7" t="n"/>
      <c r="Y2873" s="7">
        <f>IF($E2873="","",AB2873*AE2873/100)</f>
        <v/>
      </c>
      <c r="Z2873" s="7">
        <f>IF($E2873="","",AB2873-Y2873)</f>
        <v/>
      </c>
      <c r="AA2873" s="7">
        <f>IF($E2873="","",Z2873-Q2873)</f>
        <v/>
      </c>
      <c r="AB2873" s="7" t="n"/>
      <c r="AE2873">
        <f>IF($E2873="","",IF($AQ2873=1,0,IF($AP2873=1,Settings!$C$6,Settings!$C$7))*100)</f>
        <v/>
      </c>
      <c r="AI2873" s="7" t="n"/>
      <c r="AL2873" s="11" t="n"/>
      <c r="AN2873">
        <f>IF($E2873="","",IF(COUNTIF($E$2:$E2873,$E2873)=1,1,0))</f>
        <v/>
      </c>
      <c r="AO2873">
        <f>IF($AN2873=1,SUMPRODUCT(--($AR$2:$AR$3001&lt;$AR2873))+1,"")</f>
        <v/>
      </c>
      <c r="AP2873">
        <f>IF($E2873="","",IF(OR($U2873=TRUE(),$U2873="TRUE"),1,0))</f>
        <v/>
      </c>
      <c r="AQ2873">
        <f>IF($E2873="","",IF($AD2873="Yes",1,0))</f>
        <v/>
      </c>
      <c r="AR2873">
        <f>IF($AN2873=1,IFERROR(VALUE(MID($E2873,2,20)),1000000000)+ROW()/100000,"")</f>
        <v/>
      </c>
    </row>
    <row r="2874">
      <c r="G2874" s="11" t="n"/>
      <c r="Q2874" s="7">
        <f>IF($E2874="","",P2874*AB2874/100)</f>
        <v/>
      </c>
      <c r="R2874" s="7" t="n"/>
      <c r="X2874" s="7" t="n"/>
      <c r="Y2874" s="7">
        <f>IF($E2874="","",AB2874*AE2874/100)</f>
        <v/>
      </c>
      <c r="Z2874" s="7">
        <f>IF($E2874="","",AB2874-Y2874)</f>
        <v/>
      </c>
      <c r="AA2874" s="7">
        <f>IF($E2874="","",Z2874-Q2874)</f>
        <v/>
      </c>
      <c r="AB2874" s="7" t="n"/>
      <c r="AE2874">
        <f>IF($E2874="","",IF($AQ2874=1,0,IF($AP2874=1,Settings!$C$6,Settings!$C$7))*100)</f>
        <v/>
      </c>
      <c r="AI2874" s="7" t="n"/>
      <c r="AL2874" s="11" t="n"/>
      <c r="AN2874">
        <f>IF($E2874="","",IF(COUNTIF($E$2:$E2874,$E2874)=1,1,0))</f>
        <v/>
      </c>
      <c r="AO2874">
        <f>IF($AN2874=1,SUMPRODUCT(--($AR$2:$AR$3001&lt;$AR2874))+1,"")</f>
        <v/>
      </c>
      <c r="AP2874">
        <f>IF($E2874="","",IF(OR($U2874=TRUE(),$U2874="TRUE"),1,0))</f>
        <v/>
      </c>
      <c r="AQ2874">
        <f>IF($E2874="","",IF($AD2874="Yes",1,0))</f>
        <v/>
      </c>
      <c r="AR2874">
        <f>IF($AN2874=1,IFERROR(VALUE(MID($E2874,2,20)),1000000000)+ROW()/100000,"")</f>
        <v/>
      </c>
    </row>
    <row r="2875">
      <c r="G2875" s="11" t="n"/>
      <c r="Q2875" s="7">
        <f>IF($E2875="","",P2875*AB2875/100)</f>
        <v/>
      </c>
      <c r="R2875" s="7" t="n"/>
      <c r="X2875" s="7" t="n"/>
      <c r="Y2875" s="7">
        <f>IF($E2875="","",AB2875*AE2875/100)</f>
        <v/>
      </c>
      <c r="Z2875" s="7">
        <f>IF($E2875="","",AB2875-Y2875)</f>
        <v/>
      </c>
      <c r="AA2875" s="7">
        <f>IF($E2875="","",Z2875-Q2875)</f>
        <v/>
      </c>
      <c r="AB2875" s="7" t="n"/>
      <c r="AE2875">
        <f>IF($E2875="","",IF($AQ2875=1,0,IF($AP2875=1,Settings!$C$6,Settings!$C$7))*100)</f>
        <v/>
      </c>
      <c r="AI2875" s="7" t="n"/>
      <c r="AL2875" s="11" t="n"/>
      <c r="AN2875">
        <f>IF($E2875="","",IF(COUNTIF($E$2:$E2875,$E2875)=1,1,0))</f>
        <v/>
      </c>
      <c r="AO2875">
        <f>IF($AN2875=1,SUMPRODUCT(--($AR$2:$AR$3001&lt;$AR2875))+1,"")</f>
        <v/>
      </c>
      <c r="AP2875">
        <f>IF($E2875="","",IF(OR($U2875=TRUE(),$U2875="TRUE"),1,0))</f>
        <v/>
      </c>
      <c r="AQ2875">
        <f>IF($E2875="","",IF($AD2875="Yes",1,0))</f>
        <v/>
      </c>
      <c r="AR2875">
        <f>IF($AN2875=1,IFERROR(VALUE(MID($E2875,2,20)),1000000000)+ROW()/100000,"")</f>
        <v/>
      </c>
    </row>
    <row r="2876">
      <c r="G2876" s="11" t="n"/>
      <c r="Q2876" s="7">
        <f>IF($E2876="","",P2876*AB2876/100)</f>
        <v/>
      </c>
      <c r="R2876" s="7" t="n"/>
      <c r="X2876" s="7" t="n"/>
      <c r="Y2876" s="7">
        <f>IF($E2876="","",AB2876*AE2876/100)</f>
        <v/>
      </c>
      <c r="Z2876" s="7">
        <f>IF($E2876="","",AB2876-Y2876)</f>
        <v/>
      </c>
      <c r="AA2876" s="7">
        <f>IF($E2876="","",Z2876-Q2876)</f>
        <v/>
      </c>
      <c r="AB2876" s="7" t="n"/>
      <c r="AE2876">
        <f>IF($E2876="","",IF($AQ2876=1,0,IF($AP2876=1,Settings!$C$6,Settings!$C$7))*100)</f>
        <v/>
      </c>
      <c r="AI2876" s="7" t="n"/>
      <c r="AL2876" s="11" t="n"/>
      <c r="AN2876">
        <f>IF($E2876="","",IF(COUNTIF($E$2:$E2876,$E2876)=1,1,0))</f>
        <v/>
      </c>
      <c r="AO2876">
        <f>IF($AN2876=1,SUMPRODUCT(--($AR$2:$AR$3001&lt;$AR2876))+1,"")</f>
        <v/>
      </c>
      <c r="AP2876">
        <f>IF($E2876="","",IF(OR($U2876=TRUE(),$U2876="TRUE"),1,0))</f>
        <v/>
      </c>
      <c r="AQ2876">
        <f>IF($E2876="","",IF($AD2876="Yes",1,0))</f>
        <v/>
      </c>
      <c r="AR2876">
        <f>IF($AN2876=1,IFERROR(VALUE(MID($E2876,2,20)),1000000000)+ROW()/100000,"")</f>
        <v/>
      </c>
    </row>
    <row r="2877">
      <c r="G2877" s="11" t="n"/>
      <c r="Q2877" s="7">
        <f>IF($E2877="","",P2877*AB2877/100)</f>
        <v/>
      </c>
      <c r="R2877" s="7" t="n"/>
      <c r="X2877" s="7" t="n"/>
      <c r="Y2877" s="7">
        <f>IF($E2877="","",AB2877*AE2877/100)</f>
        <v/>
      </c>
      <c r="Z2877" s="7">
        <f>IF($E2877="","",AB2877-Y2877)</f>
        <v/>
      </c>
      <c r="AA2877" s="7">
        <f>IF($E2877="","",Z2877-Q2877)</f>
        <v/>
      </c>
      <c r="AB2877" s="7" t="n"/>
      <c r="AE2877">
        <f>IF($E2877="","",IF($AQ2877=1,0,IF($AP2877=1,Settings!$C$6,Settings!$C$7))*100)</f>
        <v/>
      </c>
      <c r="AI2877" s="7" t="n"/>
      <c r="AL2877" s="11" t="n"/>
      <c r="AN2877">
        <f>IF($E2877="","",IF(COUNTIF($E$2:$E2877,$E2877)=1,1,0))</f>
        <v/>
      </c>
      <c r="AO2877">
        <f>IF($AN2877=1,SUMPRODUCT(--($AR$2:$AR$3001&lt;$AR2877))+1,"")</f>
        <v/>
      </c>
      <c r="AP2877">
        <f>IF($E2877="","",IF(OR($U2877=TRUE(),$U2877="TRUE"),1,0))</f>
        <v/>
      </c>
      <c r="AQ2877">
        <f>IF($E2877="","",IF($AD2877="Yes",1,0))</f>
        <v/>
      </c>
      <c r="AR2877">
        <f>IF($AN2877=1,IFERROR(VALUE(MID($E2877,2,20)),1000000000)+ROW()/100000,"")</f>
        <v/>
      </c>
    </row>
    <row r="2878">
      <c r="G2878" s="11" t="n"/>
      <c r="Q2878" s="7">
        <f>IF($E2878="","",P2878*AB2878/100)</f>
        <v/>
      </c>
      <c r="R2878" s="7" t="n"/>
      <c r="X2878" s="7" t="n"/>
      <c r="Y2878" s="7">
        <f>IF($E2878="","",AB2878*AE2878/100)</f>
        <v/>
      </c>
      <c r="Z2878" s="7">
        <f>IF($E2878="","",AB2878-Y2878)</f>
        <v/>
      </c>
      <c r="AA2878" s="7">
        <f>IF($E2878="","",Z2878-Q2878)</f>
        <v/>
      </c>
      <c r="AB2878" s="7" t="n"/>
      <c r="AE2878">
        <f>IF($E2878="","",IF($AQ2878=1,0,IF($AP2878=1,Settings!$C$6,Settings!$C$7))*100)</f>
        <v/>
      </c>
      <c r="AI2878" s="7" t="n"/>
      <c r="AL2878" s="11" t="n"/>
      <c r="AN2878">
        <f>IF($E2878="","",IF(COUNTIF($E$2:$E2878,$E2878)=1,1,0))</f>
        <v/>
      </c>
      <c r="AO2878">
        <f>IF($AN2878=1,SUMPRODUCT(--($AR$2:$AR$3001&lt;$AR2878))+1,"")</f>
        <v/>
      </c>
      <c r="AP2878">
        <f>IF($E2878="","",IF(OR($U2878=TRUE(),$U2878="TRUE"),1,0))</f>
        <v/>
      </c>
      <c r="AQ2878">
        <f>IF($E2878="","",IF($AD2878="Yes",1,0))</f>
        <v/>
      </c>
      <c r="AR2878">
        <f>IF($AN2878=1,IFERROR(VALUE(MID($E2878,2,20)),1000000000)+ROW()/100000,"")</f>
        <v/>
      </c>
    </row>
    <row r="2879">
      <c r="G2879" s="11" t="n"/>
      <c r="Q2879" s="7">
        <f>IF($E2879="","",P2879*AB2879/100)</f>
        <v/>
      </c>
      <c r="R2879" s="7" t="n"/>
      <c r="X2879" s="7" t="n"/>
      <c r="Y2879" s="7">
        <f>IF($E2879="","",AB2879*AE2879/100)</f>
        <v/>
      </c>
      <c r="Z2879" s="7">
        <f>IF($E2879="","",AB2879-Y2879)</f>
        <v/>
      </c>
      <c r="AA2879" s="7">
        <f>IF($E2879="","",Z2879-Q2879)</f>
        <v/>
      </c>
      <c r="AB2879" s="7" t="n"/>
      <c r="AE2879">
        <f>IF($E2879="","",IF($AQ2879=1,0,IF($AP2879=1,Settings!$C$6,Settings!$C$7))*100)</f>
        <v/>
      </c>
      <c r="AI2879" s="7" t="n"/>
      <c r="AL2879" s="11" t="n"/>
      <c r="AN2879">
        <f>IF($E2879="","",IF(COUNTIF($E$2:$E2879,$E2879)=1,1,0))</f>
        <v/>
      </c>
      <c r="AO2879">
        <f>IF($AN2879=1,SUMPRODUCT(--($AR$2:$AR$3001&lt;$AR2879))+1,"")</f>
        <v/>
      </c>
      <c r="AP2879">
        <f>IF($E2879="","",IF(OR($U2879=TRUE(),$U2879="TRUE"),1,0))</f>
        <v/>
      </c>
      <c r="AQ2879">
        <f>IF($E2879="","",IF($AD2879="Yes",1,0))</f>
        <v/>
      </c>
      <c r="AR2879">
        <f>IF($AN2879=1,IFERROR(VALUE(MID($E2879,2,20)),1000000000)+ROW()/100000,"")</f>
        <v/>
      </c>
    </row>
    <row r="2880">
      <c r="G2880" s="11" t="n"/>
      <c r="Q2880" s="7">
        <f>IF($E2880="","",P2880*AB2880/100)</f>
        <v/>
      </c>
      <c r="R2880" s="7" t="n"/>
      <c r="X2880" s="7" t="n"/>
      <c r="Y2880" s="7">
        <f>IF($E2880="","",AB2880*AE2880/100)</f>
        <v/>
      </c>
      <c r="Z2880" s="7">
        <f>IF($E2880="","",AB2880-Y2880)</f>
        <v/>
      </c>
      <c r="AA2880" s="7">
        <f>IF($E2880="","",Z2880-Q2880)</f>
        <v/>
      </c>
      <c r="AB2880" s="7" t="n"/>
      <c r="AE2880">
        <f>IF($E2880="","",IF($AQ2880=1,0,IF($AP2880=1,Settings!$C$6,Settings!$C$7))*100)</f>
        <v/>
      </c>
      <c r="AI2880" s="7" t="n"/>
      <c r="AL2880" s="11" t="n"/>
      <c r="AN2880">
        <f>IF($E2880="","",IF(COUNTIF($E$2:$E2880,$E2880)=1,1,0))</f>
        <v/>
      </c>
      <c r="AO2880">
        <f>IF($AN2880=1,SUMPRODUCT(--($AR$2:$AR$3001&lt;$AR2880))+1,"")</f>
        <v/>
      </c>
      <c r="AP2880">
        <f>IF($E2880="","",IF(OR($U2880=TRUE(),$U2880="TRUE"),1,0))</f>
        <v/>
      </c>
      <c r="AQ2880">
        <f>IF($E2880="","",IF($AD2880="Yes",1,0))</f>
        <v/>
      </c>
      <c r="AR2880">
        <f>IF($AN2880=1,IFERROR(VALUE(MID($E2880,2,20)),1000000000)+ROW()/100000,"")</f>
        <v/>
      </c>
    </row>
    <row r="2881">
      <c r="G2881" s="11" t="n"/>
      <c r="Q2881" s="7">
        <f>IF($E2881="","",P2881*AB2881/100)</f>
        <v/>
      </c>
      <c r="R2881" s="7" t="n"/>
      <c r="X2881" s="7" t="n"/>
      <c r="Y2881" s="7">
        <f>IF($E2881="","",AB2881*AE2881/100)</f>
        <v/>
      </c>
      <c r="Z2881" s="7">
        <f>IF($E2881="","",AB2881-Y2881)</f>
        <v/>
      </c>
      <c r="AA2881" s="7">
        <f>IF($E2881="","",Z2881-Q2881)</f>
        <v/>
      </c>
      <c r="AB2881" s="7" t="n"/>
      <c r="AE2881">
        <f>IF($E2881="","",IF($AQ2881=1,0,IF($AP2881=1,Settings!$C$6,Settings!$C$7))*100)</f>
        <v/>
      </c>
      <c r="AI2881" s="7" t="n"/>
      <c r="AL2881" s="11" t="n"/>
      <c r="AN2881">
        <f>IF($E2881="","",IF(COUNTIF($E$2:$E2881,$E2881)=1,1,0))</f>
        <v/>
      </c>
      <c r="AO2881">
        <f>IF($AN2881=1,SUMPRODUCT(--($AR$2:$AR$3001&lt;$AR2881))+1,"")</f>
        <v/>
      </c>
      <c r="AP2881">
        <f>IF($E2881="","",IF(OR($U2881=TRUE(),$U2881="TRUE"),1,0))</f>
        <v/>
      </c>
      <c r="AQ2881">
        <f>IF($E2881="","",IF($AD2881="Yes",1,0))</f>
        <v/>
      </c>
      <c r="AR2881">
        <f>IF($AN2881=1,IFERROR(VALUE(MID($E2881,2,20)),1000000000)+ROW()/100000,"")</f>
        <v/>
      </c>
    </row>
    <row r="2882">
      <c r="G2882" s="11" t="n"/>
      <c r="Q2882" s="7">
        <f>IF($E2882="","",P2882*AB2882/100)</f>
        <v/>
      </c>
      <c r="R2882" s="7" t="n"/>
      <c r="X2882" s="7" t="n"/>
      <c r="Y2882" s="7">
        <f>IF($E2882="","",AB2882*AE2882/100)</f>
        <v/>
      </c>
      <c r="Z2882" s="7">
        <f>IF($E2882="","",AB2882-Y2882)</f>
        <v/>
      </c>
      <c r="AA2882" s="7">
        <f>IF($E2882="","",Z2882-Q2882)</f>
        <v/>
      </c>
      <c r="AB2882" s="7" t="n"/>
      <c r="AE2882">
        <f>IF($E2882="","",IF($AQ2882=1,0,IF($AP2882=1,Settings!$C$6,Settings!$C$7))*100)</f>
        <v/>
      </c>
      <c r="AI2882" s="7" t="n"/>
      <c r="AL2882" s="11" t="n"/>
      <c r="AN2882">
        <f>IF($E2882="","",IF(COUNTIF($E$2:$E2882,$E2882)=1,1,0))</f>
        <v/>
      </c>
      <c r="AO2882">
        <f>IF($AN2882=1,SUMPRODUCT(--($AR$2:$AR$3001&lt;$AR2882))+1,"")</f>
        <v/>
      </c>
      <c r="AP2882">
        <f>IF($E2882="","",IF(OR($U2882=TRUE(),$U2882="TRUE"),1,0))</f>
        <v/>
      </c>
      <c r="AQ2882">
        <f>IF($E2882="","",IF($AD2882="Yes",1,0))</f>
        <v/>
      </c>
      <c r="AR2882">
        <f>IF($AN2882=1,IFERROR(VALUE(MID($E2882,2,20)),1000000000)+ROW()/100000,"")</f>
        <v/>
      </c>
    </row>
    <row r="2883">
      <c r="G2883" s="11" t="n"/>
      <c r="Q2883" s="7">
        <f>IF($E2883="","",P2883*AB2883/100)</f>
        <v/>
      </c>
      <c r="R2883" s="7" t="n"/>
      <c r="X2883" s="7" t="n"/>
      <c r="Y2883" s="7">
        <f>IF($E2883="","",AB2883*AE2883/100)</f>
        <v/>
      </c>
      <c r="Z2883" s="7">
        <f>IF($E2883="","",AB2883-Y2883)</f>
        <v/>
      </c>
      <c r="AA2883" s="7">
        <f>IF($E2883="","",Z2883-Q2883)</f>
        <v/>
      </c>
      <c r="AB2883" s="7" t="n"/>
      <c r="AE2883">
        <f>IF($E2883="","",IF($AQ2883=1,0,IF($AP2883=1,Settings!$C$6,Settings!$C$7))*100)</f>
        <v/>
      </c>
      <c r="AI2883" s="7" t="n"/>
      <c r="AL2883" s="11" t="n"/>
      <c r="AN2883">
        <f>IF($E2883="","",IF(COUNTIF($E$2:$E2883,$E2883)=1,1,0))</f>
        <v/>
      </c>
      <c r="AO2883">
        <f>IF($AN2883=1,SUMPRODUCT(--($AR$2:$AR$3001&lt;$AR2883))+1,"")</f>
        <v/>
      </c>
      <c r="AP2883">
        <f>IF($E2883="","",IF(OR($U2883=TRUE(),$U2883="TRUE"),1,0))</f>
        <v/>
      </c>
      <c r="AQ2883">
        <f>IF($E2883="","",IF($AD2883="Yes",1,0))</f>
        <v/>
      </c>
      <c r="AR2883">
        <f>IF($AN2883=1,IFERROR(VALUE(MID($E2883,2,20)),1000000000)+ROW()/100000,"")</f>
        <v/>
      </c>
    </row>
    <row r="2884">
      <c r="G2884" s="11" t="n"/>
      <c r="Q2884" s="7">
        <f>IF($E2884="","",P2884*AB2884/100)</f>
        <v/>
      </c>
      <c r="R2884" s="7" t="n"/>
      <c r="X2884" s="7" t="n"/>
      <c r="Y2884" s="7">
        <f>IF($E2884="","",AB2884*AE2884/100)</f>
        <v/>
      </c>
      <c r="Z2884" s="7">
        <f>IF($E2884="","",AB2884-Y2884)</f>
        <v/>
      </c>
      <c r="AA2884" s="7">
        <f>IF($E2884="","",Z2884-Q2884)</f>
        <v/>
      </c>
      <c r="AB2884" s="7" t="n"/>
      <c r="AE2884">
        <f>IF($E2884="","",IF($AQ2884=1,0,IF($AP2884=1,Settings!$C$6,Settings!$C$7))*100)</f>
        <v/>
      </c>
      <c r="AI2884" s="7" t="n"/>
      <c r="AL2884" s="11" t="n"/>
      <c r="AN2884">
        <f>IF($E2884="","",IF(COUNTIF($E$2:$E2884,$E2884)=1,1,0))</f>
        <v/>
      </c>
      <c r="AO2884">
        <f>IF($AN2884=1,SUMPRODUCT(--($AR$2:$AR$3001&lt;$AR2884))+1,"")</f>
        <v/>
      </c>
      <c r="AP2884">
        <f>IF($E2884="","",IF(OR($U2884=TRUE(),$U2884="TRUE"),1,0))</f>
        <v/>
      </c>
      <c r="AQ2884">
        <f>IF($E2884="","",IF($AD2884="Yes",1,0))</f>
        <v/>
      </c>
      <c r="AR2884">
        <f>IF($AN2884=1,IFERROR(VALUE(MID($E2884,2,20)),1000000000)+ROW()/100000,"")</f>
        <v/>
      </c>
    </row>
    <row r="2885">
      <c r="G2885" s="11" t="n"/>
      <c r="Q2885" s="7">
        <f>IF($E2885="","",P2885*AB2885/100)</f>
        <v/>
      </c>
      <c r="R2885" s="7" t="n"/>
      <c r="X2885" s="7" t="n"/>
      <c r="Y2885" s="7">
        <f>IF($E2885="","",AB2885*AE2885/100)</f>
        <v/>
      </c>
      <c r="Z2885" s="7">
        <f>IF($E2885="","",AB2885-Y2885)</f>
        <v/>
      </c>
      <c r="AA2885" s="7">
        <f>IF($E2885="","",Z2885-Q2885)</f>
        <v/>
      </c>
      <c r="AB2885" s="7" t="n"/>
      <c r="AE2885">
        <f>IF($E2885="","",IF($AQ2885=1,0,IF($AP2885=1,Settings!$C$6,Settings!$C$7))*100)</f>
        <v/>
      </c>
      <c r="AI2885" s="7" t="n"/>
      <c r="AL2885" s="11" t="n"/>
      <c r="AN2885">
        <f>IF($E2885="","",IF(COUNTIF($E$2:$E2885,$E2885)=1,1,0))</f>
        <v/>
      </c>
      <c r="AO2885">
        <f>IF($AN2885=1,SUMPRODUCT(--($AR$2:$AR$3001&lt;$AR2885))+1,"")</f>
        <v/>
      </c>
      <c r="AP2885">
        <f>IF($E2885="","",IF(OR($U2885=TRUE(),$U2885="TRUE"),1,0))</f>
        <v/>
      </c>
      <c r="AQ2885">
        <f>IF($E2885="","",IF($AD2885="Yes",1,0))</f>
        <v/>
      </c>
      <c r="AR2885">
        <f>IF($AN2885=1,IFERROR(VALUE(MID($E2885,2,20)),1000000000)+ROW()/100000,"")</f>
        <v/>
      </c>
    </row>
    <row r="2886">
      <c r="G2886" s="11" t="n"/>
      <c r="Q2886" s="7">
        <f>IF($E2886="","",P2886*AB2886/100)</f>
        <v/>
      </c>
      <c r="R2886" s="7" t="n"/>
      <c r="X2886" s="7" t="n"/>
      <c r="Y2886" s="7">
        <f>IF($E2886="","",AB2886*AE2886/100)</f>
        <v/>
      </c>
      <c r="Z2886" s="7">
        <f>IF($E2886="","",AB2886-Y2886)</f>
        <v/>
      </c>
      <c r="AA2886" s="7">
        <f>IF($E2886="","",Z2886-Q2886)</f>
        <v/>
      </c>
      <c r="AB2886" s="7" t="n"/>
      <c r="AE2886">
        <f>IF($E2886="","",IF($AQ2886=1,0,IF($AP2886=1,Settings!$C$6,Settings!$C$7))*100)</f>
        <v/>
      </c>
      <c r="AI2886" s="7" t="n"/>
      <c r="AL2886" s="11" t="n"/>
      <c r="AN2886">
        <f>IF($E2886="","",IF(COUNTIF($E$2:$E2886,$E2886)=1,1,0))</f>
        <v/>
      </c>
      <c r="AO2886">
        <f>IF($AN2886=1,SUMPRODUCT(--($AR$2:$AR$3001&lt;$AR2886))+1,"")</f>
        <v/>
      </c>
      <c r="AP2886">
        <f>IF($E2886="","",IF(OR($U2886=TRUE(),$U2886="TRUE"),1,0))</f>
        <v/>
      </c>
      <c r="AQ2886">
        <f>IF($E2886="","",IF($AD2886="Yes",1,0))</f>
        <v/>
      </c>
      <c r="AR2886">
        <f>IF($AN2886=1,IFERROR(VALUE(MID($E2886,2,20)),1000000000)+ROW()/100000,"")</f>
        <v/>
      </c>
    </row>
    <row r="2887">
      <c r="G2887" s="11" t="n"/>
      <c r="Q2887" s="7">
        <f>IF($E2887="","",P2887*AB2887/100)</f>
        <v/>
      </c>
      <c r="R2887" s="7" t="n"/>
      <c r="X2887" s="7" t="n"/>
      <c r="Y2887" s="7">
        <f>IF($E2887="","",AB2887*AE2887/100)</f>
        <v/>
      </c>
      <c r="Z2887" s="7">
        <f>IF($E2887="","",AB2887-Y2887)</f>
        <v/>
      </c>
      <c r="AA2887" s="7">
        <f>IF($E2887="","",Z2887-Q2887)</f>
        <v/>
      </c>
      <c r="AB2887" s="7" t="n"/>
      <c r="AE2887">
        <f>IF($E2887="","",IF($AQ2887=1,0,IF($AP2887=1,Settings!$C$6,Settings!$C$7))*100)</f>
        <v/>
      </c>
      <c r="AI2887" s="7" t="n"/>
      <c r="AL2887" s="11" t="n"/>
      <c r="AN2887">
        <f>IF($E2887="","",IF(COUNTIF($E$2:$E2887,$E2887)=1,1,0))</f>
        <v/>
      </c>
      <c r="AO2887">
        <f>IF($AN2887=1,SUMPRODUCT(--($AR$2:$AR$3001&lt;$AR2887))+1,"")</f>
        <v/>
      </c>
      <c r="AP2887">
        <f>IF($E2887="","",IF(OR($U2887=TRUE(),$U2887="TRUE"),1,0))</f>
        <v/>
      </c>
      <c r="AQ2887">
        <f>IF($E2887="","",IF($AD2887="Yes",1,0))</f>
        <v/>
      </c>
      <c r="AR2887">
        <f>IF($AN2887=1,IFERROR(VALUE(MID($E2887,2,20)),1000000000)+ROW()/100000,"")</f>
        <v/>
      </c>
    </row>
    <row r="2888">
      <c r="G2888" s="11" t="n"/>
      <c r="Q2888" s="7">
        <f>IF($E2888="","",P2888*AB2888/100)</f>
        <v/>
      </c>
      <c r="R2888" s="7" t="n"/>
      <c r="X2888" s="7" t="n"/>
      <c r="Y2888" s="7">
        <f>IF($E2888="","",AB2888*AE2888/100)</f>
        <v/>
      </c>
      <c r="Z2888" s="7">
        <f>IF($E2888="","",AB2888-Y2888)</f>
        <v/>
      </c>
      <c r="AA2888" s="7">
        <f>IF($E2888="","",Z2888-Q2888)</f>
        <v/>
      </c>
      <c r="AB2888" s="7" t="n"/>
      <c r="AE2888">
        <f>IF($E2888="","",IF($AQ2888=1,0,IF($AP2888=1,Settings!$C$6,Settings!$C$7))*100)</f>
        <v/>
      </c>
      <c r="AI2888" s="7" t="n"/>
      <c r="AL2888" s="11" t="n"/>
      <c r="AN2888">
        <f>IF($E2888="","",IF(COUNTIF($E$2:$E2888,$E2888)=1,1,0))</f>
        <v/>
      </c>
      <c r="AO2888">
        <f>IF($AN2888=1,SUMPRODUCT(--($AR$2:$AR$3001&lt;$AR2888))+1,"")</f>
        <v/>
      </c>
      <c r="AP2888">
        <f>IF($E2888="","",IF(OR($U2888=TRUE(),$U2888="TRUE"),1,0))</f>
        <v/>
      </c>
      <c r="AQ2888">
        <f>IF($E2888="","",IF($AD2888="Yes",1,0))</f>
        <v/>
      </c>
      <c r="AR2888">
        <f>IF($AN2888=1,IFERROR(VALUE(MID($E2888,2,20)),1000000000)+ROW()/100000,"")</f>
        <v/>
      </c>
    </row>
    <row r="2889">
      <c r="G2889" s="11" t="n"/>
      <c r="Q2889" s="7">
        <f>IF($E2889="","",P2889*AB2889/100)</f>
        <v/>
      </c>
      <c r="R2889" s="7" t="n"/>
      <c r="X2889" s="7" t="n"/>
      <c r="Y2889" s="7">
        <f>IF($E2889="","",AB2889*AE2889/100)</f>
        <v/>
      </c>
      <c r="Z2889" s="7">
        <f>IF($E2889="","",AB2889-Y2889)</f>
        <v/>
      </c>
      <c r="AA2889" s="7">
        <f>IF($E2889="","",Z2889-Q2889)</f>
        <v/>
      </c>
      <c r="AB2889" s="7" t="n"/>
      <c r="AE2889">
        <f>IF($E2889="","",IF($AQ2889=1,0,IF($AP2889=1,Settings!$C$6,Settings!$C$7))*100)</f>
        <v/>
      </c>
      <c r="AI2889" s="7" t="n"/>
      <c r="AL2889" s="11" t="n"/>
      <c r="AN2889">
        <f>IF($E2889="","",IF(COUNTIF($E$2:$E2889,$E2889)=1,1,0))</f>
        <v/>
      </c>
      <c r="AO2889">
        <f>IF($AN2889=1,SUMPRODUCT(--($AR$2:$AR$3001&lt;$AR2889))+1,"")</f>
        <v/>
      </c>
      <c r="AP2889">
        <f>IF($E2889="","",IF(OR($U2889=TRUE(),$U2889="TRUE"),1,0))</f>
        <v/>
      </c>
      <c r="AQ2889">
        <f>IF($E2889="","",IF($AD2889="Yes",1,0))</f>
        <v/>
      </c>
      <c r="AR2889">
        <f>IF($AN2889=1,IFERROR(VALUE(MID($E2889,2,20)),1000000000)+ROW()/100000,"")</f>
        <v/>
      </c>
    </row>
    <row r="2890">
      <c r="G2890" s="11" t="n"/>
      <c r="Q2890" s="7">
        <f>IF($E2890="","",P2890*AB2890/100)</f>
        <v/>
      </c>
      <c r="R2890" s="7" t="n"/>
      <c r="X2890" s="7" t="n"/>
      <c r="Y2890" s="7">
        <f>IF($E2890="","",AB2890*AE2890/100)</f>
        <v/>
      </c>
      <c r="Z2890" s="7">
        <f>IF($E2890="","",AB2890-Y2890)</f>
        <v/>
      </c>
      <c r="AA2890" s="7">
        <f>IF($E2890="","",Z2890-Q2890)</f>
        <v/>
      </c>
      <c r="AB2890" s="7" t="n"/>
      <c r="AE2890">
        <f>IF($E2890="","",IF($AQ2890=1,0,IF($AP2890=1,Settings!$C$6,Settings!$C$7))*100)</f>
        <v/>
      </c>
      <c r="AI2890" s="7" t="n"/>
      <c r="AL2890" s="11" t="n"/>
      <c r="AN2890">
        <f>IF($E2890="","",IF(COUNTIF($E$2:$E2890,$E2890)=1,1,0))</f>
        <v/>
      </c>
      <c r="AO2890">
        <f>IF($AN2890=1,SUMPRODUCT(--($AR$2:$AR$3001&lt;$AR2890))+1,"")</f>
        <v/>
      </c>
      <c r="AP2890">
        <f>IF($E2890="","",IF(OR($U2890=TRUE(),$U2890="TRUE"),1,0))</f>
        <v/>
      </c>
      <c r="AQ2890">
        <f>IF($E2890="","",IF($AD2890="Yes",1,0))</f>
        <v/>
      </c>
      <c r="AR2890">
        <f>IF($AN2890=1,IFERROR(VALUE(MID($E2890,2,20)),1000000000)+ROW()/100000,"")</f>
        <v/>
      </c>
    </row>
    <row r="2891">
      <c r="G2891" s="11" t="n"/>
      <c r="Q2891" s="7">
        <f>IF($E2891="","",P2891*AB2891/100)</f>
        <v/>
      </c>
      <c r="R2891" s="7" t="n"/>
      <c r="X2891" s="7" t="n"/>
      <c r="Y2891" s="7">
        <f>IF($E2891="","",AB2891*AE2891/100)</f>
        <v/>
      </c>
      <c r="Z2891" s="7">
        <f>IF($E2891="","",AB2891-Y2891)</f>
        <v/>
      </c>
      <c r="AA2891" s="7">
        <f>IF($E2891="","",Z2891-Q2891)</f>
        <v/>
      </c>
      <c r="AB2891" s="7" t="n"/>
      <c r="AE2891">
        <f>IF($E2891="","",IF($AQ2891=1,0,IF($AP2891=1,Settings!$C$6,Settings!$C$7))*100)</f>
        <v/>
      </c>
      <c r="AI2891" s="7" t="n"/>
      <c r="AL2891" s="11" t="n"/>
      <c r="AN2891">
        <f>IF($E2891="","",IF(COUNTIF($E$2:$E2891,$E2891)=1,1,0))</f>
        <v/>
      </c>
      <c r="AO2891">
        <f>IF($AN2891=1,SUMPRODUCT(--($AR$2:$AR$3001&lt;$AR2891))+1,"")</f>
        <v/>
      </c>
      <c r="AP2891">
        <f>IF($E2891="","",IF(OR($U2891=TRUE(),$U2891="TRUE"),1,0))</f>
        <v/>
      </c>
      <c r="AQ2891">
        <f>IF($E2891="","",IF($AD2891="Yes",1,0))</f>
        <v/>
      </c>
      <c r="AR2891">
        <f>IF($AN2891=1,IFERROR(VALUE(MID($E2891,2,20)),1000000000)+ROW()/100000,"")</f>
        <v/>
      </c>
    </row>
    <row r="2892">
      <c r="G2892" s="11" t="n"/>
      <c r="Q2892" s="7">
        <f>IF($E2892="","",P2892*AB2892/100)</f>
        <v/>
      </c>
      <c r="R2892" s="7" t="n"/>
      <c r="X2892" s="7" t="n"/>
      <c r="Y2892" s="7">
        <f>IF($E2892="","",AB2892*AE2892/100)</f>
        <v/>
      </c>
      <c r="Z2892" s="7">
        <f>IF($E2892="","",AB2892-Y2892)</f>
        <v/>
      </c>
      <c r="AA2892" s="7">
        <f>IF($E2892="","",Z2892-Q2892)</f>
        <v/>
      </c>
      <c r="AB2892" s="7" t="n"/>
      <c r="AE2892">
        <f>IF($E2892="","",IF($AQ2892=1,0,IF($AP2892=1,Settings!$C$6,Settings!$C$7))*100)</f>
        <v/>
      </c>
      <c r="AI2892" s="7" t="n"/>
      <c r="AL2892" s="11" t="n"/>
      <c r="AN2892">
        <f>IF($E2892="","",IF(COUNTIF($E$2:$E2892,$E2892)=1,1,0))</f>
        <v/>
      </c>
      <c r="AO2892">
        <f>IF($AN2892=1,SUMPRODUCT(--($AR$2:$AR$3001&lt;$AR2892))+1,"")</f>
        <v/>
      </c>
      <c r="AP2892">
        <f>IF($E2892="","",IF(OR($U2892=TRUE(),$U2892="TRUE"),1,0))</f>
        <v/>
      </c>
      <c r="AQ2892">
        <f>IF($E2892="","",IF($AD2892="Yes",1,0))</f>
        <v/>
      </c>
      <c r="AR2892">
        <f>IF($AN2892=1,IFERROR(VALUE(MID($E2892,2,20)),1000000000)+ROW()/100000,"")</f>
        <v/>
      </c>
    </row>
    <row r="2893">
      <c r="G2893" s="11" t="n"/>
      <c r="Q2893" s="7">
        <f>IF($E2893="","",P2893*AB2893/100)</f>
        <v/>
      </c>
      <c r="R2893" s="7" t="n"/>
      <c r="X2893" s="7" t="n"/>
      <c r="Y2893" s="7">
        <f>IF($E2893="","",AB2893*AE2893/100)</f>
        <v/>
      </c>
      <c r="Z2893" s="7">
        <f>IF($E2893="","",AB2893-Y2893)</f>
        <v/>
      </c>
      <c r="AA2893" s="7">
        <f>IF($E2893="","",Z2893-Q2893)</f>
        <v/>
      </c>
      <c r="AB2893" s="7" t="n"/>
      <c r="AE2893">
        <f>IF($E2893="","",IF($AQ2893=1,0,IF($AP2893=1,Settings!$C$6,Settings!$C$7))*100)</f>
        <v/>
      </c>
      <c r="AI2893" s="7" t="n"/>
      <c r="AL2893" s="11" t="n"/>
      <c r="AN2893">
        <f>IF($E2893="","",IF(COUNTIF($E$2:$E2893,$E2893)=1,1,0))</f>
        <v/>
      </c>
      <c r="AO2893">
        <f>IF($AN2893=1,SUMPRODUCT(--($AR$2:$AR$3001&lt;$AR2893))+1,"")</f>
        <v/>
      </c>
      <c r="AP2893">
        <f>IF($E2893="","",IF(OR($U2893=TRUE(),$U2893="TRUE"),1,0))</f>
        <v/>
      </c>
      <c r="AQ2893">
        <f>IF($E2893="","",IF($AD2893="Yes",1,0))</f>
        <v/>
      </c>
      <c r="AR2893">
        <f>IF($AN2893=1,IFERROR(VALUE(MID($E2893,2,20)),1000000000)+ROW()/100000,"")</f>
        <v/>
      </c>
    </row>
    <row r="2894">
      <c r="G2894" s="11" t="n"/>
      <c r="Q2894" s="7">
        <f>IF($E2894="","",P2894*AB2894/100)</f>
        <v/>
      </c>
      <c r="R2894" s="7" t="n"/>
      <c r="X2894" s="7" t="n"/>
      <c r="Y2894" s="7">
        <f>IF($E2894="","",AB2894*AE2894/100)</f>
        <v/>
      </c>
      <c r="Z2894" s="7">
        <f>IF($E2894="","",AB2894-Y2894)</f>
        <v/>
      </c>
      <c r="AA2894" s="7">
        <f>IF($E2894="","",Z2894-Q2894)</f>
        <v/>
      </c>
      <c r="AB2894" s="7" t="n"/>
      <c r="AE2894">
        <f>IF($E2894="","",IF($AQ2894=1,0,IF($AP2894=1,Settings!$C$6,Settings!$C$7))*100)</f>
        <v/>
      </c>
      <c r="AI2894" s="7" t="n"/>
      <c r="AL2894" s="11" t="n"/>
      <c r="AN2894">
        <f>IF($E2894="","",IF(COUNTIF($E$2:$E2894,$E2894)=1,1,0))</f>
        <v/>
      </c>
      <c r="AO2894">
        <f>IF($AN2894=1,SUMPRODUCT(--($AR$2:$AR$3001&lt;$AR2894))+1,"")</f>
        <v/>
      </c>
      <c r="AP2894">
        <f>IF($E2894="","",IF(OR($U2894=TRUE(),$U2894="TRUE"),1,0))</f>
        <v/>
      </c>
      <c r="AQ2894">
        <f>IF($E2894="","",IF($AD2894="Yes",1,0))</f>
        <v/>
      </c>
      <c r="AR2894">
        <f>IF($AN2894=1,IFERROR(VALUE(MID($E2894,2,20)),1000000000)+ROW()/100000,"")</f>
        <v/>
      </c>
    </row>
    <row r="2895">
      <c r="G2895" s="11" t="n"/>
      <c r="Q2895" s="7">
        <f>IF($E2895="","",P2895*AB2895/100)</f>
        <v/>
      </c>
      <c r="R2895" s="7" t="n"/>
      <c r="X2895" s="7" t="n"/>
      <c r="Y2895" s="7">
        <f>IF($E2895="","",AB2895*AE2895/100)</f>
        <v/>
      </c>
      <c r="Z2895" s="7">
        <f>IF($E2895="","",AB2895-Y2895)</f>
        <v/>
      </c>
      <c r="AA2895" s="7">
        <f>IF($E2895="","",Z2895-Q2895)</f>
        <v/>
      </c>
      <c r="AB2895" s="7" t="n"/>
      <c r="AE2895">
        <f>IF($E2895="","",IF($AQ2895=1,0,IF($AP2895=1,Settings!$C$6,Settings!$C$7))*100)</f>
        <v/>
      </c>
      <c r="AI2895" s="7" t="n"/>
      <c r="AL2895" s="11" t="n"/>
      <c r="AN2895">
        <f>IF($E2895="","",IF(COUNTIF($E$2:$E2895,$E2895)=1,1,0))</f>
        <v/>
      </c>
      <c r="AO2895">
        <f>IF($AN2895=1,SUMPRODUCT(--($AR$2:$AR$3001&lt;$AR2895))+1,"")</f>
        <v/>
      </c>
      <c r="AP2895">
        <f>IF($E2895="","",IF(OR($U2895=TRUE(),$U2895="TRUE"),1,0))</f>
        <v/>
      </c>
      <c r="AQ2895">
        <f>IF($E2895="","",IF($AD2895="Yes",1,0))</f>
        <v/>
      </c>
      <c r="AR2895">
        <f>IF($AN2895=1,IFERROR(VALUE(MID($E2895,2,20)),1000000000)+ROW()/100000,"")</f>
        <v/>
      </c>
    </row>
    <row r="2896">
      <c r="G2896" s="11" t="n"/>
      <c r="Q2896" s="7">
        <f>IF($E2896="","",P2896*AB2896/100)</f>
        <v/>
      </c>
      <c r="R2896" s="7" t="n"/>
      <c r="X2896" s="7" t="n"/>
      <c r="Y2896" s="7">
        <f>IF($E2896="","",AB2896*AE2896/100)</f>
        <v/>
      </c>
      <c r="Z2896" s="7">
        <f>IF($E2896="","",AB2896-Y2896)</f>
        <v/>
      </c>
      <c r="AA2896" s="7">
        <f>IF($E2896="","",Z2896-Q2896)</f>
        <v/>
      </c>
      <c r="AB2896" s="7" t="n"/>
      <c r="AE2896">
        <f>IF($E2896="","",IF($AQ2896=1,0,IF($AP2896=1,Settings!$C$6,Settings!$C$7))*100)</f>
        <v/>
      </c>
      <c r="AI2896" s="7" t="n"/>
      <c r="AL2896" s="11" t="n"/>
      <c r="AN2896">
        <f>IF($E2896="","",IF(COUNTIF($E$2:$E2896,$E2896)=1,1,0))</f>
        <v/>
      </c>
      <c r="AO2896">
        <f>IF($AN2896=1,SUMPRODUCT(--($AR$2:$AR$3001&lt;$AR2896))+1,"")</f>
        <v/>
      </c>
      <c r="AP2896">
        <f>IF($E2896="","",IF(OR($U2896=TRUE(),$U2896="TRUE"),1,0))</f>
        <v/>
      </c>
      <c r="AQ2896">
        <f>IF($E2896="","",IF($AD2896="Yes",1,0))</f>
        <v/>
      </c>
      <c r="AR2896">
        <f>IF($AN2896=1,IFERROR(VALUE(MID($E2896,2,20)),1000000000)+ROW()/100000,"")</f>
        <v/>
      </c>
    </row>
    <row r="2897">
      <c r="G2897" s="11" t="n"/>
      <c r="Q2897" s="7">
        <f>IF($E2897="","",P2897*AB2897/100)</f>
        <v/>
      </c>
      <c r="R2897" s="7" t="n"/>
      <c r="X2897" s="7" t="n"/>
      <c r="Y2897" s="7">
        <f>IF($E2897="","",AB2897*AE2897/100)</f>
        <v/>
      </c>
      <c r="Z2897" s="7">
        <f>IF($E2897="","",AB2897-Y2897)</f>
        <v/>
      </c>
      <c r="AA2897" s="7">
        <f>IF($E2897="","",Z2897-Q2897)</f>
        <v/>
      </c>
      <c r="AB2897" s="7" t="n"/>
      <c r="AE2897">
        <f>IF($E2897="","",IF($AQ2897=1,0,IF($AP2897=1,Settings!$C$6,Settings!$C$7))*100)</f>
        <v/>
      </c>
      <c r="AI2897" s="7" t="n"/>
      <c r="AL2897" s="11" t="n"/>
      <c r="AN2897">
        <f>IF($E2897="","",IF(COUNTIF($E$2:$E2897,$E2897)=1,1,0))</f>
        <v/>
      </c>
      <c r="AO2897">
        <f>IF($AN2897=1,SUMPRODUCT(--($AR$2:$AR$3001&lt;$AR2897))+1,"")</f>
        <v/>
      </c>
      <c r="AP2897">
        <f>IF($E2897="","",IF(OR($U2897=TRUE(),$U2897="TRUE"),1,0))</f>
        <v/>
      </c>
      <c r="AQ2897">
        <f>IF($E2897="","",IF($AD2897="Yes",1,0))</f>
        <v/>
      </c>
      <c r="AR2897">
        <f>IF($AN2897=1,IFERROR(VALUE(MID($E2897,2,20)),1000000000)+ROW()/100000,"")</f>
        <v/>
      </c>
    </row>
    <row r="2898">
      <c r="G2898" s="11" t="n"/>
      <c r="Q2898" s="7">
        <f>IF($E2898="","",P2898*AB2898/100)</f>
        <v/>
      </c>
      <c r="R2898" s="7" t="n"/>
      <c r="X2898" s="7" t="n"/>
      <c r="Y2898" s="7">
        <f>IF($E2898="","",AB2898*AE2898/100)</f>
        <v/>
      </c>
      <c r="Z2898" s="7">
        <f>IF($E2898="","",AB2898-Y2898)</f>
        <v/>
      </c>
      <c r="AA2898" s="7">
        <f>IF($E2898="","",Z2898-Q2898)</f>
        <v/>
      </c>
      <c r="AB2898" s="7" t="n"/>
      <c r="AE2898">
        <f>IF($E2898="","",IF($AQ2898=1,0,IF($AP2898=1,Settings!$C$6,Settings!$C$7))*100)</f>
        <v/>
      </c>
      <c r="AI2898" s="7" t="n"/>
      <c r="AL2898" s="11" t="n"/>
      <c r="AN2898">
        <f>IF($E2898="","",IF(COUNTIF($E$2:$E2898,$E2898)=1,1,0))</f>
        <v/>
      </c>
      <c r="AO2898">
        <f>IF($AN2898=1,SUMPRODUCT(--($AR$2:$AR$3001&lt;$AR2898))+1,"")</f>
        <v/>
      </c>
      <c r="AP2898">
        <f>IF($E2898="","",IF(OR($U2898=TRUE(),$U2898="TRUE"),1,0))</f>
        <v/>
      </c>
      <c r="AQ2898">
        <f>IF($E2898="","",IF($AD2898="Yes",1,0))</f>
        <v/>
      </c>
      <c r="AR2898">
        <f>IF($AN2898=1,IFERROR(VALUE(MID($E2898,2,20)),1000000000)+ROW()/100000,"")</f>
        <v/>
      </c>
    </row>
    <row r="2899">
      <c r="G2899" s="11" t="n"/>
      <c r="Q2899" s="7">
        <f>IF($E2899="","",P2899*AB2899/100)</f>
        <v/>
      </c>
      <c r="R2899" s="7" t="n"/>
      <c r="X2899" s="7" t="n"/>
      <c r="Y2899" s="7">
        <f>IF($E2899="","",AB2899*AE2899/100)</f>
        <v/>
      </c>
      <c r="Z2899" s="7">
        <f>IF($E2899="","",AB2899-Y2899)</f>
        <v/>
      </c>
      <c r="AA2899" s="7">
        <f>IF($E2899="","",Z2899-Q2899)</f>
        <v/>
      </c>
      <c r="AB2899" s="7" t="n"/>
      <c r="AE2899">
        <f>IF($E2899="","",IF($AQ2899=1,0,IF($AP2899=1,Settings!$C$6,Settings!$C$7))*100)</f>
        <v/>
      </c>
      <c r="AI2899" s="7" t="n"/>
      <c r="AL2899" s="11" t="n"/>
      <c r="AN2899">
        <f>IF($E2899="","",IF(COUNTIF($E$2:$E2899,$E2899)=1,1,0))</f>
        <v/>
      </c>
      <c r="AO2899">
        <f>IF($AN2899=1,SUMPRODUCT(--($AR$2:$AR$3001&lt;$AR2899))+1,"")</f>
        <v/>
      </c>
      <c r="AP2899">
        <f>IF($E2899="","",IF(OR($U2899=TRUE(),$U2899="TRUE"),1,0))</f>
        <v/>
      </c>
      <c r="AQ2899">
        <f>IF($E2899="","",IF($AD2899="Yes",1,0))</f>
        <v/>
      </c>
      <c r="AR2899">
        <f>IF($AN2899=1,IFERROR(VALUE(MID($E2899,2,20)),1000000000)+ROW()/100000,"")</f>
        <v/>
      </c>
    </row>
    <row r="2900">
      <c r="G2900" s="11" t="n"/>
      <c r="Q2900" s="7">
        <f>IF($E2900="","",P2900*AB2900/100)</f>
        <v/>
      </c>
      <c r="R2900" s="7" t="n"/>
      <c r="X2900" s="7" t="n"/>
      <c r="Y2900" s="7">
        <f>IF($E2900="","",AB2900*AE2900/100)</f>
        <v/>
      </c>
      <c r="Z2900" s="7">
        <f>IF($E2900="","",AB2900-Y2900)</f>
        <v/>
      </c>
      <c r="AA2900" s="7">
        <f>IF($E2900="","",Z2900-Q2900)</f>
        <v/>
      </c>
      <c r="AB2900" s="7" t="n"/>
      <c r="AE2900">
        <f>IF($E2900="","",IF($AQ2900=1,0,IF($AP2900=1,Settings!$C$6,Settings!$C$7))*100)</f>
        <v/>
      </c>
      <c r="AI2900" s="7" t="n"/>
      <c r="AL2900" s="11" t="n"/>
      <c r="AN2900">
        <f>IF($E2900="","",IF(COUNTIF($E$2:$E2900,$E2900)=1,1,0))</f>
        <v/>
      </c>
      <c r="AO2900">
        <f>IF($AN2900=1,SUMPRODUCT(--($AR$2:$AR$3001&lt;$AR2900))+1,"")</f>
        <v/>
      </c>
      <c r="AP2900">
        <f>IF($E2900="","",IF(OR($U2900=TRUE(),$U2900="TRUE"),1,0))</f>
        <v/>
      </c>
      <c r="AQ2900">
        <f>IF($E2900="","",IF($AD2900="Yes",1,0))</f>
        <v/>
      </c>
      <c r="AR2900">
        <f>IF($AN2900=1,IFERROR(VALUE(MID($E2900,2,20)),1000000000)+ROW()/100000,"")</f>
        <v/>
      </c>
    </row>
    <row r="2901">
      <c r="G2901" s="11" t="n"/>
      <c r="Q2901" s="7">
        <f>IF($E2901="","",P2901*AB2901/100)</f>
        <v/>
      </c>
      <c r="R2901" s="7" t="n"/>
      <c r="X2901" s="7" t="n"/>
      <c r="Y2901" s="7">
        <f>IF($E2901="","",AB2901*AE2901/100)</f>
        <v/>
      </c>
      <c r="Z2901" s="7">
        <f>IF($E2901="","",AB2901-Y2901)</f>
        <v/>
      </c>
      <c r="AA2901" s="7">
        <f>IF($E2901="","",Z2901-Q2901)</f>
        <v/>
      </c>
      <c r="AB2901" s="7" t="n"/>
      <c r="AE2901">
        <f>IF($E2901="","",IF($AQ2901=1,0,IF($AP2901=1,Settings!$C$6,Settings!$C$7))*100)</f>
        <v/>
      </c>
      <c r="AI2901" s="7" t="n"/>
      <c r="AL2901" s="11" t="n"/>
      <c r="AN2901">
        <f>IF($E2901="","",IF(COUNTIF($E$2:$E2901,$E2901)=1,1,0))</f>
        <v/>
      </c>
      <c r="AO2901">
        <f>IF($AN2901=1,SUMPRODUCT(--($AR$2:$AR$3001&lt;$AR2901))+1,"")</f>
        <v/>
      </c>
      <c r="AP2901">
        <f>IF($E2901="","",IF(OR($U2901=TRUE(),$U2901="TRUE"),1,0))</f>
        <v/>
      </c>
      <c r="AQ2901">
        <f>IF($E2901="","",IF($AD2901="Yes",1,0))</f>
        <v/>
      </c>
      <c r="AR2901">
        <f>IF($AN2901=1,IFERROR(VALUE(MID($E2901,2,20)),1000000000)+ROW()/100000,"")</f>
        <v/>
      </c>
    </row>
    <row r="2902">
      <c r="G2902" s="11" t="n"/>
      <c r="Q2902" s="7">
        <f>IF($E2902="","",P2902*AB2902/100)</f>
        <v/>
      </c>
      <c r="R2902" s="7" t="n"/>
      <c r="X2902" s="7" t="n"/>
      <c r="Y2902" s="7">
        <f>IF($E2902="","",AB2902*AE2902/100)</f>
        <v/>
      </c>
      <c r="Z2902" s="7">
        <f>IF($E2902="","",AB2902-Y2902)</f>
        <v/>
      </c>
      <c r="AA2902" s="7">
        <f>IF($E2902="","",Z2902-Q2902)</f>
        <v/>
      </c>
      <c r="AB2902" s="7" t="n"/>
      <c r="AE2902">
        <f>IF($E2902="","",IF($AQ2902=1,0,IF($AP2902=1,Settings!$C$6,Settings!$C$7))*100)</f>
        <v/>
      </c>
      <c r="AI2902" s="7" t="n"/>
      <c r="AL2902" s="11" t="n"/>
      <c r="AN2902">
        <f>IF($E2902="","",IF(COUNTIF($E$2:$E2902,$E2902)=1,1,0))</f>
        <v/>
      </c>
      <c r="AO2902">
        <f>IF($AN2902=1,SUMPRODUCT(--($AR$2:$AR$3001&lt;$AR2902))+1,"")</f>
        <v/>
      </c>
      <c r="AP2902">
        <f>IF($E2902="","",IF(OR($U2902=TRUE(),$U2902="TRUE"),1,0))</f>
        <v/>
      </c>
      <c r="AQ2902">
        <f>IF($E2902="","",IF($AD2902="Yes",1,0))</f>
        <v/>
      </c>
      <c r="AR2902">
        <f>IF($AN2902=1,IFERROR(VALUE(MID($E2902,2,20)),1000000000)+ROW()/100000,"")</f>
        <v/>
      </c>
    </row>
    <row r="2903">
      <c r="G2903" s="11" t="n"/>
      <c r="Q2903" s="7">
        <f>IF($E2903="","",P2903*AB2903/100)</f>
        <v/>
      </c>
      <c r="R2903" s="7" t="n"/>
      <c r="X2903" s="7" t="n"/>
      <c r="Y2903" s="7">
        <f>IF($E2903="","",AB2903*AE2903/100)</f>
        <v/>
      </c>
      <c r="Z2903" s="7">
        <f>IF($E2903="","",AB2903-Y2903)</f>
        <v/>
      </c>
      <c r="AA2903" s="7">
        <f>IF($E2903="","",Z2903-Q2903)</f>
        <v/>
      </c>
      <c r="AB2903" s="7" t="n"/>
      <c r="AE2903">
        <f>IF($E2903="","",IF($AQ2903=1,0,IF($AP2903=1,Settings!$C$6,Settings!$C$7))*100)</f>
        <v/>
      </c>
      <c r="AI2903" s="7" t="n"/>
      <c r="AL2903" s="11" t="n"/>
      <c r="AN2903">
        <f>IF($E2903="","",IF(COUNTIF($E$2:$E2903,$E2903)=1,1,0))</f>
        <v/>
      </c>
      <c r="AO2903">
        <f>IF($AN2903=1,SUMPRODUCT(--($AR$2:$AR$3001&lt;$AR2903))+1,"")</f>
        <v/>
      </c>
      <c r="AP2903">
        <f>IF($E2903="","",IF(OR($U2903=TRUE(),$U2903="TRUE"),1,0))</f>
        <v/>
      </c>
      <c r="AQ2903">
        <f>IF($E2903="","",IF($AD2903="Yes",1,0))</f>
        <v/>
      </c>
      <c r="AR2903">
        <f>IF($AN2903=1,IFERROR(VALUE(MID($E2903,2,20)),1000000000)+ROW()/100000,"")</f>
        <v/>
      </c>
    </row>
    <row r="2904">
      <c r="G2904" s="11" t="n"/>
      <c r="Q2904" s="7">
        <f>IF($E2904="","",P2904*AB2904/100)</f>
        <v/>
      </c>
      <c r="R2904" s="7" t="n"/>
      <c r="X2904" s="7" t="n"/>
      <c r="Y2904" s="7">
        <f>IF($E2904="","",AB2904*AE2904/100)</f>
        <v/>
      </c>
      <c r="Z2904" s="7">
        <f>IF($E2904="","",AB2904-Y2904)</f>
        <v/>
      </c>
      <c r="AA2904" s="7">
        <f>IF($E2904="","",Z2904-Q2904)</f>
        <v/>
      </c>
      <c r="AB2904" s="7" t="n"/>
      <c r="AE2904">
        <f>IF($E2904="","",IF($AQ2904=1,0,IF($AP2904=1,Settings!$C$6,Settings!$C$7))*100)</f>
        <v/>
      </c>
      <c r="AI2904" s="7" t="n"/>
      <c r="AL2904" s="11" t="n"/>
      <c r="AN2904">
        <f>IF($E2904="","",IF(COUNTIF($E$2:$E2904,$E2904)=1,1,0))</f>
        <v/>
      </c>
      <c r="AO2904">
        <f>IF($AN2904=1,SUMPRODUCT(--($AR$2:$AR$3001&lt;$AR2904))+1,"")</f>
        <v/>
      </c>
      <c r="AP2904">
        <f>IF($E2904="","",IF(OR($U2904=TRUE(),$U2904="TRUE"),1,0))</f>
        <v/>
      </c>
      <c r="AQ2904">
        <f>IF($E2904="","",IF($AD2904="Yes",1,0))</f>
        <v/>
      </c>
      <c r="AR2904">
        <f>IF($AN2904=1,IFERROR(VALUE(MID($E2904,2,20)),1000000000)+ROW()/100000,"")</f>
        <v/>
      </c>
    </row>
    <row r="2905">
      <c r="G2905" s="11" t="n"/>
      <c r="Q2905" s="7">
        <f>IF($E2905="","",P2905*AB2905/100)</f>
        <v/>
      </c>
      <c r="R2905" s="7" t="n"/>
      <c r="X2905" s="7" t="n"/>
      <c r="Y2905" s="7">
        <f>IF($E2905="","",AB2905*AE2905/100)</f>
        <v/>
      </c>
      <c r="Z2905" s="7">
        <f>IF($E2905="","",AB2905-Y2905)</f>
        <v/>
      </c>
      <c r="AA2905" s="7">
        <f>IF($E2905="","",Z2905-Q2905)</f>
        <v/>
      </c>
      <c r="AB2905" s="7" t="n"/>
      <c r="AE2905">
        <f>IF($E2905="","",IF($AQ2905=1,0,IF($AP2905=1,Settings!$C$6,Settings!$C$7))*100)</f>
        <v/>
      </c>
      <c r="AI2905" s="7" t="n"/>
      <c r="AL2905" s="11" t="n"/>
      <c r="AN2905">
        <f>IF($E2905="","",IF(COUNTIF($E$2:$E2905,$E2905)=1,1,0))</f>
        <v/>
      </c>
      <c r="AO2905">
        <f>IF($AN2905=1,SUMPRODUCT(--($AR$2:$AR$3001&lt;$AR2905))+1,"")</f>
        <v/>
      </c>
      <c r="AP2905">
        <f>IF($E2905="","",IF(OR($U2905=TRUE(),$U2905="TRUE"),1,0))</f>
        <v/>
      </c>
      <c r="AQ2905">
        <f>IF($E2905="","",IF($AD2905="Yes",1,0))</f>
        <v/>
      </c>
      <c r="AR2905">
        <f>IF($AN2905=1,IFERROR(VALUE(MID($E2905,2,20)),1000000000)+ROW()/100000,"")</f>
        <v/>
      </c>
    </row>
    <row r="2906">
      <c r="G2906" s="11" t="n"/>
      <c r="Q2906" s="7">
        <f>IF($E2906="","",P2906*AB2906/100)</f>
        <v/>
      </c>
      <c r="R2906" s="7" t="n"/>
      <c r="X2906" s="7" t="n"/>
      <c r="Y2906" s="7">
        <f>IF($E2906="","",AB2906*AE2906/100)</f>
        <v/>
      </c>
      <c r="Z2906" s="7">
        <f>IF($E2906="","",AB2906-Y2906)</f>
        <v/>
      </c>
      <c r="AA2906" s="7">
        <f>IF($E2906="","",Z2906-Q2906)</f>
        <v/>
      </c>
      <c r="AB2906" s="7" t="n"/>
      <c r="AE2906">
        <f>IF($E2906="","",IF($AQ2906=1,0,IF($AP2906=1,Settings!$C$6,Settings!$C$7))*100)</f>
        <v/>
      </c>
      <c r="AI2906" s="7" t="n"/>
      <c r="AL2906" s="11" t="n"/>
      <c r="AN2906">
        <f>IF($E2906="","",IF(COUNTIF($E$2:$E2906,$E2906)=1,1,0))</f>
        <v/>
      </c>
      <c r="AO2906">
        <f>IF($AN2906=1,SUMPRODUCT(--($AR$2:$AR$3001&lt;$AR2906))+1,"")</f>
        <v/>
      </c>
      <c r="AP2906">
        <f>IF($E2906="","",IF(OR($U2906=TRUE(),$U2906="TRUE"),1,0))</f>
        <v/>
      </c>
      <c r="AQ2906">
        <f>IF($E2906="","",IF($AD2906="Yes",1,0))</f>
        <v/>
      </c>
      <c r="AR2906">
        <f>IF($AN2906=1,IFERROR(VALUE(MID($E2906,2,20)),1000000000)+ROW()/100000,"")</f>
        <v/>
      </c>
    </row>
    <row r="2907">
      <c r="G2907" s="11" t="n"/>
      <c r="Q2907" s="7">
        <f>IF($E2907="","",P2907*AB2907/100)</f>
        <v/>
      </c>
      <c r="R2907" s="7" t="n"/>
      <c r="X2907" s="7" t="n"/>
      <c r="Y2907" s="7">
        <f>IF($E2907="","",AB2907*AE2907/100)</f>
        <v/>
      </c>
      <c r="Z2907" s="7">
        <f>IF($E2907="","",AB2907-Y2907)</f>
        <v/>
      </c>
      <c r="AA2907" s="7">
        <f>IF($E2907="","",Z2907-Q2907)</f>
        <v/>
      </c>
      <c r="AB2907" s="7" t="n"/>
      <c r="AE2907">
        <f>IF($E2907="","",IF($AQ2907=1,0,IF($AP2907=1,Settings!$C$6,Settings!$C$7))*100)</f>
        <v/>
      </c>
      <c r="AI2907" s="7" t="n"/>
      <c r="AL2907" s="11" t="n"/>
      <c r="AN2907">
        <f>IF($E2907="","",IF(COUNTIF($E$2:$E2907,$E2907)=1,1,0))</f>
        <v/>
      </c>
      <c r="AO2907">
        <f>IF($AN2907=1,SUMPRODUCT(--($AR$2:$AR$3001&lt;$AR2907))+1,"")</f>
        <v/>
      </c>
      <c r="AP2907">
        <f>IF($E2907="","",IF(OR($U2907=TRUE(),$U2907="TRUE"),1,0))</f>
        <v/>
      </c>
      <c r="AQ2907">
        <f>IF($E2907="","",IF($AD2907="Yes",1,0))</f>
        <v/>
      </c>
      <c r="AR2907">
        <f>IF($AN2907=1,IFERROR(VALUE(MID($E2907,2,20)),1000000000)+ROW()/100000,"")</f>
        <v/>
      </c>
    </row>
    <row r="2908">
      <c r="G2908" s="11" t="n"/>
      <c r="Q2908" s="7">
        <f>IF($E2908="","",P2908*AB2908/100)</f>
        <v/>
      </c>
      <c r="R2908" s="7" t="n"/>
      <c r="X2908" s="7" t="n"/>
      <c r="Y2908" s="7">
        <f>IF($E2908="","",AB2908*AE2908/100)</f>
        <v/>
      </c>
      <c r="Z2908" s="7">
        <f>IF($E2908="","",AB2908-Y2908)</f>
        <v/>
      </c>
      <c r="AA2908" s="7">
        <f>IF($E2908="","",Z2908-Q2908)</f>
        <v/>
      </c>
      <c r="AB2908" s="7" t="n"/>
      <c r="AE2908">
        <f>IF($E2908="","",IF($AQ2908=1,0,IF($AP2908=1,Settings!$C$6,Settings!$C$7))*100)</f>
        <v/>
      </c>
      <c r="AI2908" s="7" t="n"/>
      <c r="AL2908" s="11" t="n"/>
      <c r="AN2908">
        <f>IF($E2908="","",IF(COUNTIF($E$2:$E2908,$E2908)=1,1,0))</f>
        <v/>
      </c>
      <c r="AO2908">
        <f>IF($AN2908=1,SUMPRODUCT(--($AR$2:$AR$3001&lt;$AR2908))+1,"")</f>
        <v/>
      </c>
      <c r="AP2908">
        <f>IF($E2908="","",IF(OR($U2908=TRUE(),$U2908="TRUE"),1,0))</f>
        <v/>
      </c>
      <c r="AQ2908">
        <f>IF($E2908="","",IF($AD2908="Yes",1,0))</f>
        <v/>
      </c>
      <c r="AR2908">
        <f>IF($AN2908=1,IFERROR(VALUE(MID($E2908,2,20)),1000000000)+ROW()/100000,"")</f>
        <v/>
      </c>
    </row>
    <row r="2909">
      <c r="G2909" s="11" t="n"/>
      <c r="Q2909" s="7">
        <f>IF($E2909="","",P2909*AB2909/100)</f>
        <v/>
      </c>
      <c r="R2909" s="7" t="n"/>
      <c r="X2909" s="7" t="n"/>
      <c r="Y2909" s="7">
        <f>IF($E2909="","",AB2909*AE2909/100)</f>
        <v/>
      </c>
      <c r="Z2909" s="7">
        <f>IF($E2909="","",AB2909-Y2909)</f>
        <v/>
      </c>
      <c r="AA2909" s="7">
        <f>IF($E2909="","",Z2909-Q2909)</f>
        <v/>
      </c>
      <c r="AB2909" s="7" t="n"/>
      <c r="AE2909">
        <f>IF($E2909="","",IF($AQ2909=1,0,IF($AP2909=1,Settings!$C$6,Settings!$C$7))*100)</f>
        <v/>
      </c>
      <c r="AI2909" s="7" t="n"/>
      <c r="AL2909" s="11" t="n"/>
      <c r="AN2909">
        <f>IF($E2909="","",IF(COUNTIF($E$2:$E2909,$E2909)=1,1,0))</f>
        <v/>
      </c>
      <c r="AO2909">
        <f>IF($AN2909=1,SUMPRODUCT(--($AR$2:$AR$3001&lt;$AR2909))+1,"")</f>
        <v/>
      </c>
      <c r="AP2909">
        <f>IF($E2909="","",IF(OR($U2909=TRUE(),$U2909="TRUE"),1,0))</f>
        <v/>
      </c>
      <c r="AQ2909">
        <f>IF($E2909="","",IF($AD2909="Yes",1,0))</f>
        <v/>
      </c>
      <c r="AR2909">
        <f>IF($AN2909=1,IFERROR(VALUE(MID($E2909,2,20)),1000000000)+ROW()/100000,"")</f>
        <v/>
      </c>
    </row>
    <row r="2910">
      <c r="G2910" s="11" t="n"/>
      <c r="Q2910" s="7">
        <f>IF($E2910="","",P2910*AB2910/100)</f>
        <v/>
      </c>
      <c r="R2910" s="7" t="n"/>
      <c r="X2910" s="7" t="n"/>
      <c r="Y2910" s="7">
        <f>IF($E2910="","",AB2910*AE2910/100)</f>
        <v/>
      </c>
      <c r="Z2910" s="7">
        <f>IF($E2910="","",AB2910-Y2910)</f>
        <v/>
      </c>
      <c r="AA2910" s="7">
        <f>IF($E2910="","",Z2910-Q2910)</f>
        <v/>
      </c>
      <c r="AB2910" s="7" t="n"/>
      <c r="AE2910">
        <f>IF($E2910="","",IF($AQ2910=1,0,IF($AP2910=1,Settings!$C$6,Settings!$C$7))*100)</f>
        <v/>
      </c>
      <c r="AI2910" s="7" t="n"/>
      <c r="AL2910" s="11" t="n"/>
      <c r="AN2910">
        <f>IF($E2910="","",IF(COUNTIF($E$2:$E2910,$E2910)=1,1,0))</f>
        <v/>
      </c>
      <c r="AO2910">
        <f>IF($AN2910=1,SUMPRODUCT(--($AR$2:$AR$3001&lt;$AR2910))+1,"")</f>
        <v/>
      </c>
      <c r="AP2910">
        <f>IF($E2910="","",IF(OR($U2910=TRUE(),$U2910="TRUE"),1,0))</f>
        <v/>
      </c>
      <c r="AQ2910">
        <f>IF($E2910="","",IF($AD2910="Yes",1,0))</f>
        <v/>
      </c>
      <c r="AR2910">
        <f>IF($AN2910=1,IFERROR(VALUE(MID($E2910,2,20)),1000000000)+ROW()/100000,"")</f>
        <v/>
      </c>
    </row>
    <row r="2911">
      <c r="G2911" s="11" t="n"/>
      <c r="Q2911" s="7">
        <f>IF($E2911="","",P2911*AB2911/100)</f>
        <v/>
      </c>
      <c r="R2911" s="7" t="n"/>
      <c r="X2911" s="7" t="n"/>
      <c r="Y2911" s="7">
        <f>IF($E2911="","",AB2911*AE2911/100)</f>
        <v/>
      </c>
      <c r="Z2911" s="7">
        <f>IF($E2911="","",AB2911-Y2911)</f>
        <v/>
      </c>
      <c r="AA2911" s="7">
        <f>IF($E2911="","",Z2911-Q2911)</f>
        <v/>
      </c>
      <c r="AB2911" s="7" t="n"/>
      <c r="AE2911">
        <f>IF($E2911="","",IF($AQ2911=1,0,IF($AP2911=1,Settings!$C$6,Settings!$C$7))*100)</f>
        <v/>
      </c>
      <c r="AI2911" s="7" t="n"/>
      <c r="AL2911" s="11" t="n"/>
      <c r="AN2911">
        <f>IF($E2911="","",IF(COUNTIF($E$2:$E2911,$E2911)=1,1,0))</f>
        <v/>
      </c>
      <c r="AO2911">
        <f>IF($AN2911=1,SUMPRODUCT(--($AR$2:$AR$3001&lt;$AR2911))+1,"")</f>
        <v/>
      </c>
      <c r="AP2911">
        <f>IF($E2911="","",IF(OR($U2911=TRUE(),$U2911="TRUE"),1,0))</f>
        <v/>
      </c>
      <c r="AQ2911">
        <f>IF($E2911="","",IF($AD2911="Yes",1,0))</f>
        <v/>
      </c>
      <c r="AR2911">
        <f>IF($AN2911=1,IFERROR(VALUE(MID($E2911,2,20)),1000000000)+ROW()/100000,"")</f>
        <v/>
      </c>
    </row>
    <row r="2912">
      <c r="G2912" s="11" t="n"/>
      <c r="Q2912" s="7">
        <f>IF($E2912="","",P2912*AB2912/100)</f>
        <v/>
      </c>
      <c r="R2912" s="7" t="n"/>
      <c r="X2912" s="7" t="n"/>
      <c r="Y2912" s="7">
        <f>IF($E2912="","",AB2912*AE2912/100)</f>
        <v/>
      </c>
      <c r="Z2912" s="7">
        <f>IF($E2912="","",AB2912-Y2912)</f>
        <v/>
      </c>
      <c r="AA2912" s="7">
        <f>IF($E2912="","",Z2912-Q2912)</f>
        <v/>
      </c>
      <c r="AB2912" s="7" t="n"/>
      <c r="AE2912">
        <f>IF($E2912="","",IF($AQ2912=1,0,IF($AP2912=1,Settings!$C$6,Settings!$C$7))*100)</f>
        <v/>
      </c>
      <c r="AI2912" s="7" t="n"/>
      <c r="AL2912" s="11" t="n"/>
      <c r="AN2912">
        <f>IF($E2912="","",IF(COUNTIF($E$2:$E2912,$E2912)=1,1,0))</f>
        <v/>
      </c>
      <c r="AO2912">
        <f>IF($AN2912=1,SUMPRODUCT(--($AR$2:$AR$3001&lt;$AR2912))+1,"")</f>
        <v/>
      </c>
      <c r="AP2912">
        <f>IF($E2912="","",IF(OR($U2912=TRUE(),$U2912="TRUE"),1,0))</f>
        <v/>
      </c>
      <c r="AQ2912">
        <f>IF($E2912="","",IF($AD2912="Yes",1,0))</f>
        <v/>
      </c>
      <c r="AR2912">
        <f>IF($AN2912=1,IFERROR(VALUE(MID($E2912,2,20)),1000000000)+ROW()/100000,"")</f>
        <v/>
      </c>
    </row>
    <row r="2913">
      <c r="G2913" s="11" t="n"/>
      <c r="Q2913" s="7">
        <f>IF($E2913="","",P2913*AB2913/100)</f>
        <v/>
      </c>
      <c r="R2913" s="7" t="n"/>
      <c r="X2913" s="7" t="n"/>
      <c r="Y2913" s="7">
        <f>IF($E2913="","",AB2913*AE2913/100)</f>
        <v/>
      </c>
      <c r="Z2913" s="7">
        <f>IF($E2913="","",AB2913-Y2913)</f>
        <v/>
      </c>
      <c r="AA2913" s="7">
        <f>IF($E2913="","",Z2913-Q2913)</f>
        <v/>
      </c>
      <c r="AB2913" s="7" t="n"/>
      <c r="AE2913">
        <f>IF($E2913="","",IF($AQ2913=1,0,IF($AP2913=1,Settings!$C$6,Settings!$C$7))*100)</f>
        <v/>
      </c>
      <c r="AI2913" s="7" t="n"/>
      <c r="AL2913" s="11" t="n"/>
      <c r="AN2913">
        <f>IF($E2913="","",IF(COUNTIF($E$2:$E2913,$E2913)=1,1,0))</f>
        <v/>
      </c>
      <c r="AO2913">
        <f>IF($AN2913=1,SUMPRODUCT(--($AR$2:$AR$3001&lt;$AR2913))+1,"")</f>
        <v/>
      </c>
      <c r="AP2913">
        <f>IF($E2913="","",IF(OR($U2913=TRUE(),$U2913="TRUE"),1,0))</f>
        <v/>
      </c>
      <c r="AQ2913">
        <f>IF($E2913="","",IF($AD2913="Yes",1,0))</f>
        <v/>
      </c>
      <c r="AR2913">
        <f>IF($AN2913=1,IFERROR(VALUE(MID($E2913,2,20)),1000000000)+ROW()/100000,"")</f>
        <v/>
      </c>
    </row>
    <row r="2914">
      <c r="G2914" s="11" t="n"/>
      <c r="Q2914" s="7">
        <f>IF($E2914="","",P2914*AB2914/100)</f>
        <v/>
      </c>
      <c r="R2914" s="7" t="n"/>
      <c r="X2914" s="7" t="n"/>
      <c r="Y2914" s="7">
        <f>IF($E2914="","",AB2914*AE2914/100)</f>
        <v/>
      </c>
      <c r="Z2914" s="7">
        <f>IF($E2914="","",AB2914-Y2914)</f>
        <v/>
      </c>
      <c r="AA2914" s="7">
        <f>IF($E2914="","",Z2914-Q2914)</f>
        <v/>
      </c>
      <c r="AB2914" s="7" t="n"/>
      <c r="AE2914">
        <f>IF($E2914="","",IF($AQ2914=1,0,IF($AP2914=1,Settings!$C$6,Settings!$C$7))*100)</f>
        <v/>
      </c>
      <c r="AI2914" s="7" t="n"/>
      <c r="AL2914" s="11" t="n"/>
      <c r="AN2914">
        <f>IF($E2914="","",IF(COUNTIF($E$2:$E2914,$E2914)=1,1,0))</f>
        <v/>
      </c>
      <c r="AO2914">
        <f>IF($AN2914=1,SUMPRODUCT(--($AR$2:$AR$3001&lt;$AR2914))+1,"")</f>
        <v/>
      </c>
      <c r="AP2914">
        <f>IF($E2914="","",IF(OR($U2914=TRUE(),$U2914="TRUE"),1,0))</f>
        <v/>
      </c>
      <c r="AQ2914">
        <f>IF($E2914="","",IF($AD2914="Yes",1,0))</f>
        <v/>
      </c>
      <c r="AR2914">
        <f>IF($AN2914=1,IFERROR(VALUE(MID($E2914,2,20)),1000000000)+ROW()/100000,"")</f>
        <v/>
      </c>
    </row>
    <row r="2915">
      <c r="G2915" s="11" t="n"/>
      <c r="Q2915" s="7">
        <f>IF($E2915="","",P2915*AB2915/100)</f>
        <v/>
      </c>
      <c r="R2915" s="7" t="n"/>
      <c r="X2915" s="7" t="n"/>
      <c r="Y2915" s="7">
        <f>IF($E2915="","",AB2915*AE2915/100)</f>
        <v/>
      </c>
      <c r="Z2915" s="7">
        <f>IF($E2915="","",AB2915-Y2915)</f>
        <v/>
      </c>
      <c r="AA2915" s="7">
        <f>IF($E2915="","",Z2915-Q2915)</f>
        <v/>
      </c>
      <c r="AB2915" s="7" t="n"/>
      <c r="AE2915">
        <f>IF($E2915="","",IF($AQ2915=1,0,IF($AP2915=1,Settings!$C$6,Settings!$C$7))*100)</f>
        <v/>
      </c>
      <c r="AI2915" s="7" t="n"/>
      <c r="AL2915" s="11" t="n"/>
      <c r="AN2915">
        <f>IF($E2915="","",IF(COUNTIF($E$2:$E2915,$E2915)=1,1,0))</f>
        <v/>
      </c>
      <c r="AO2915">
        <f>IF($AN2915=1,SUMPRODUCT(--($AR$2:$AR$3001&lt;$AR2915))+1,"")</f>
        <v/>
      </c>
      <c r="AP2915">
        <f>IF($E2915="","",IF(OR($U2915=TRUE(),$U2915="TRUE"),1,0))</f>
        <v/>
      </c>
      <c r="AQ2915">
        <f>IF($E2915="","",IF($AD2915="Yes",1,0))</f>
        <v/>
      </c>
      <c r="AR2915">
        <f>IF($AN2915=1,IFERROR(VALUE(MID($E2915,2,20)),1000000000)+ROW()/100000,"")</f>
        <v/>
      </c>
    </row>
    <row r="2916">
      <c r="G2916" s="11" t="n"/>
      <c r="Q2916" s="7">
        <f>IF($E2916="","",P2916*AB2916/100)</f>
        <v/>
      </c>
      <c r="R2916" s="7" t="n"/>
      <c r="X2916" s="7" t="n"/>
      <c r="Y2916" s="7">
        <f>IF($E2916="","",AB2916*AE2916/100)</f>
        <v/>
      </c>
      <c r="Z2916" s="7">
        <f>IF($E2916="","",AB2916-Y2916)</f>
        <v/>
      </c>
      <c r="AA2916" s="7">
        <f>IF($E2916="","",Z2916-Q2916)</f>
        <v/>
      </c>
      <c r="AB2916" s="7" t="n"/>
      <c r="AE2916">
        <f>IF($E2916="","",IF($AQ2916=1,0,IF($AP2916=1,Settings!$C$6,Settings!$C$7))*100)</f>
        <v/>
      </c>
      <c r="AI2916" s="7" t="n"/>
      <c r="AL2916" s="11" t="n"/>
      <c r="AN2916">
        <f>IF($E2916="","",IF(COUNTIF($E$2:$E2916,$E2916)=1,1,0))</f>
        <v/>
      </c>
      <c r="AO2916">
        <f>IF($AN2916=1,SUMPRODUCT(--($AR$2:$AR$3001&lt;$AR2916))+1,"")</f>
        <v/>
      </c>
      <c r="AP2916">
        <f>IF($E2916="","",IF(OR($U2916=TRUE(),$U2916="TRUE"),1,0))</f>
        <v/>
      </c>
      <c r="AQ2916">
        <f>IF($E2916="","",IF($AD2916="Yes",1,0))</f>
        <v/>
      </c>
      <c r="AR2916">
        <f>IF($AN2916=1,IFERROR(VALUE(MID($E2916,2,20)),1000000000)+ROW()/100000,"")</f>
        <v/>
      </c>
    </row>
    <row r="2917">
      <c r="G2917" s="11" t="n"/>
      <c r="Q2917" s="7">
        <f>IF($E2917="","",P2917*AB2917/100)</f>
        <v/>
      </c>
      <c r="R2917" s="7" t="n"/>
      <c r="X2917" s="7" t="n"/>
      <c r="Y2917" s="7">
        <f>IF($E2917="","",AB2917*AE2917/100)</f>
        <v/>
      </c>
      <c r="Z2917" s="7">
        <f>IF($E2917="","",AB2917-Y2917)</f>
        <v/>
      </c>
      <c r="AA2917" s="7">
        <f>IF($E2917="","",Z2917-Q2917)</f>
        <v/>
      </c>
      <c r="AB2917" s="7" t="n"/>
      <c r="AE2917">
        <f>IF($E2917="","",IF($AQ2917=1,0,IF($AP2917=1,Settings!$C$6,Settings!$C$7))*100)</f>
        <v/>
      </c>
      <c r="AI2917" s="7" t="n"/>
      <c r="AL2917" s="11" t="n"/>
      <c r="AN2917">
        <f>IF($E2917="","",IF(COUNTIF($E$2:$E2917,$E2917)=1,1,0))</f>
        <v/>
      </c>
      <c r="AO2917">
        <f>IF($AN2917=1,SUMPRODUCT(--($AR$2:$AR$3001&lt;$AR2917))+1,"")</f>
        <v/>
      </c>
      <c r="AP2917">
        <f>IF($E2917="","",IF(OR($U2917=TRUE(),$U2917="TRUE"),1,0))</f>
        <v/>
      </c>
      <c r="AQ2917">
        <f>IF($E2917="","",IF($AD2917="Yes",1,0))</f>
        <v/>
      </c>
      <c r="AR2917">
        <f>IF($AN2917=1,IFERROR(VALUE(MID($E2917,2,20)),1000000000)+ROW()/100000,"")</f>
        <v/>
      </c>
    </row>
    <row r="2918">
      <c r="G2918" s="11" t="n"/>
      <c r="Q2918" s="7">
        <f>IF($E2918="","",P2918*AB2918/100)</f>
        <v/>
      </c>
      <c r="R2918" s="7" t="n"/>
      <c r="X2918" s="7" t="n"/>
      <c r="Y2918" s="7">
        <f>IF($E2918="","",AB2918*AE2918/100)</f>
        <v/>
      </c>
      <c r="Z2918" s="7">
        <f>IF($E2918="","",AB2918-Y2918)</f>
        <v/>
      </c>
      <c r="AA2918" s="7">
        <f>IF($E2918="","",Z2918-Q2918)</f>
        <v/>
      </c>
      <c r="AB2918" s="7" t="n"/>
      <c r="AE2918">
        <f>IF($E2918="","",IF($AQ2918=1,0,IF($AP2918=1,Settings!$C$6,Settings!$C$7))*100)</f>
        <v/>
      </c>
      <c r="AI2918" s="7" t="n"/>
      <c r="AL2918" s="11" t="n"/>
      <c r="AN2918">
        <f>IF($E2918="","",IF(COUNTIF($E$2:$E2918,$E2918)=1,1,0))</f>
        <v/>
      </c>
      <c r="AO2918">
        <f>IF($AN2918=1,SUMPRODUCT(--($AR$2:$AR$3001&lt;$AR2918))+1,"")</f>
        <v/>
      </c>
      <c r="AP2918">
        <f>IF($E2918="","",IF(OR($U2918=TRUE(),$U2918="TRUE"),1,0))</f>
        <v/>
      </c>
      <c r="AQ2918">
        <f>IF($E2918="","",IF($AD2918="Yes",1,0))</f>
        <v/>
      </c>
      <c r="AR2918">
        <f>IF($AN2918=1,IFERROR(VALUE(MID($E2918,2,20)),1000000000)+ROW()/100000,"")</f>
        <v/>
      </c>
    </row>
    <row r="2919">
      <c r="G2919" s="11" t="n"/>
      <c r="Q2919" s="7">
        <f>IF($E2919="","",P2919*AB2919/100)</f>
        <v/>
      </c>
      <c r="R2919" s="7" t="n"/>
      <c r="X2919" s="7" t="n"/>
      <c r="Y2919" s="7">
        <f>IF($E2919="","",AB2919*AE2919/100)</f>
        <v/>
      </c>
      <c r="Z2919" s="7">
        <f>IF($E2919="","",AB2919-Y2919)</f>
        <v/>
      </c>
      <c r="AA2919" s="7">
        <f>IF($E2919="","",Z2919-Q2919)</f>
        <v/>
      </c>
      <c r="AB2919" s="7" t="n"/>
      <c r="AE2919">
        <f>IF($E2919="","",IF($AQ2919=1,0,IF($AP2919=1,Settings!$C$6,Settings!$C$7))*100)</f>
        <v/>
      </c>
      <c r="AI2919" s="7" t="n"/>
      <c r="AL2919" s="11" t="n"/>
      <c r="AN2919">
        <f>IF($E2919="","",IF(COUNTIF($E$2:$E2919,$E2919)=1,1,0))</f>
        <v/>
      </c>
      <c r="AO2919">
        <f>IF($AN2919=1,SUMPRODUCT(--($AR$2:$AR$3001&lt;$AR2919))+1,"")</f>
        <v/>
      </c>
      <c r="AP2919">
        <f>IF($E2919="","",IF(OR($U2919=TRUE(),$U2919="TRUE"),1,0))</f>
        <v/>
      </c>
      <c r="AQ2919">
        <f>IF($E2919="","",IF($AD2919="Yes",1,0))</f>
        <v/>
      </c>
      <c r="AR2919">
        <f>IF($AN2919=1,IFERROR(VALUE(MID($E2919,2,20)),1000000000)+ROW()/100000,"")</f>
        <v/>
      </c>
    </row>
    <row r="2920">
      <c r="G2920" s="11" t="n"/>
      <c r="Q2920" s="7">
        <f>IF($E2920="","",P2920*AB2920/100)</f>
        <v/>
      </c>
      <c r="R2920" s="7" t="n"/>
      <c r="X2920" s="7" t="n"/>
      <c r="Y2920" s="7">
        <f>IF($E2920="","",AB2920*AE2920/100)</f>
        <v/>
      </c>
      <c r="Z2920" s="7">
        <f>IF($E2920="","",AB2920-Y2920)</f>
        <v/>
      </c>
      <c r="AA2920" s="7">
        <f>IF($E2920="","",Z2920-Q2920)</f>
        <v/>
      </c>
      <c r="AB2920" s="7" t="n"/>
      <c r="AE2920">
        <f>IF($E2920="","",IF($AQ2920=1,0,IF($AP2920=1,Settings!$C$6,Settings!$C$7))*100)</f>
        <v/>
      </c>
      <c r="AI2920" s="7" t="n"/>
      <c r="AL2920" s="11" t="n"/>
      <c r="AN2920">
        <f>IF($E2920="","",IF(COUNTIF($E$2:$E2920,$E2920)=1,1,0))</f>
        <v/>
      </c>
      <c r="AO2920">
        <f>IF($AN2920=1,SUMPRODUCT(--($AR$2:$AR$3001&lt;$AR2920))+1,"")</f>
        <v/>
      </c>
      <c r="AP2920">
        <f>IF($E2920="","",IF(OR($U2920=TRUE(),$U2920="TRUE"),1,0))</f>
        <v/>
      </c>
      <c r="AQ2920">
        <f>IF($E2920="","",IF($AD2920="Yes",1,0))</f>
        <v/>
      </c>
      <c r="AR2920">
        <f>IF($AN2920=1,IFERROR(VALUE(MID($E2920,2,20)),1000000000)+ROW()/100000,"")</f>
        <v/>
      </c>
    </row>
    <row r="2921">
      <c r="G2921" s="11" t="n"/>
      <c r="Q2921" s="7">
        <f>IF($E2921="","",P2921*AB2921/100)</f>
        <v/>
      </c>
      <c r="R2921" s="7" t="n"/>
      <c r="X2921" s="7" t="n"/>
      <c r="Y2921" s="7">
        <f>IF($E2921="","",AB2921*AE2921/100)</f>
        <v/>
      </c>
      <c r="Z2921" s="7">
        <f>IF($E2921="","",AB2921-Y2921)</f>
        <v/>
      </c>
      <c r="AA2921" s="7">
        <f>IF($E2921="","",Z2921-Q2921)</f>
        <v/>
      </c>
      <c r="AB2921" s="7" t="n"/>
      <c r="AE2921">
        <f>IF($E2921="","",IF($AQ2921=1,0,IF($AP2921=1,Settings!$C$6,Settings!$C$7))*100)</f>
        <v/>
      </c>
      <c r="AI2921" s="7" t="n"/>
      <c r="AL2921" s="11" t="n"/>
      <c r="AN2921">
        <f>IF($E2921="","",IF(COUNTIF($E$2:$E2921,$E2921)=1,1,0))</f>
        <v/>
      </c>
      <c r="AO2921">
        <f>IF($AN2921=1,SUMPRODUCT(--($AR$2:$AR$3001&lt;$AR2921))+1,"")</f>
        <v/>
      </c>
      <c r="AP2921">
        <f>IF($E2921="","",IF(OR($U2921=TRUE(),$U2921="TRUE"),1,0))</f>
        <v/>
      </c>
      <c r="AQ2921">
        <f>IF($E2921="","",IF($AD2921="Yes",1,0))</f>
        <v/>
      </c>
      <c r="AR2921">
        <f>IF($AN2921=1,IFERROR(VALUE(MID($E2921,2,20)),1000000000)+ROW()/100000,"")</f>
        <v/>
      </c>
    </row>
    <row r="2922">
      <c r="G2922" s="11" t="n"/>
      <c r="Q2922" s="7">
        <f>IF($E2922="","",P2922*AB2922/100)</f>
        <v/>
      </c>
      <c r="R2922" s="7" t="n"/>
      <c r="X2922" s="7" t="n"/>
      <c r="Y2922" s="7">
        <f>IF($E2922="","",AB2922*AE2922/100)</f>
        <v/>
      </c>
      <c r="Z2922" s="7">
        <f>IF($E2922="","",AB2922-Y2922)</f>
        <v/>
      </c>
      <c r="AA2922" s="7">
        <f>IF($E2922="","",Z2922-Q2922)</f>
        <v/>
      </c>
      <c r="AB2922" s="7" t="n"/>
      <c r="AE2922">
        <f>IF($E2922="","",IF($AQ2922=1,0,IF($AP2922=1,Settings!$C$6,Settings!$C$7))*100)</f>
        <v/>
      </c>
      <c r="AI2922" s="7" t="n"/>
      <c r="AL2922" s="11" t="n"/>
      <c r="AN2922">
        <f>IF($E2922="","",IF(COUNTIF($E$2:$E2922,$E2922)=1,1,0))</f>
        <v/>
      </c>
      <c r="AO2922">
        <f>IF($AN2922=1,SUMPRODUCT(--($AR$2:$AR$3001&lt;$AR2922))+1,"")</f>
        <v/>
      </c>
      <c r="AP2922">
        <f>IF($E2922="","",IF(OR($U2922=TRUE(),$U2922="TRUE"),1,0))</f>
        <v/>
      </c>
      <c r="AQ2922">
        <f>IF($E2922="","",IF($AD2922="Yes",1,0))</f>
        <v/>
      </c>
      <c r="AR2922">
        <f>IF($AN2922=1,IFERROR(VALUE(MID($E2922,2,20)),1000000000)+ROW()/100000,"")</f>
        <v/>
      </c>
    </row>
    <row r="2923">
      <c r="G2923" s="11" t="n"/>
      <c r="Q2923" s="7">
        <f>IF($E2923="","",P2923*AB2923/100)</f>
        <v/>
      </c>
      <c r="R2923" s="7" t="n"/>
      <c r="X2923" s="7" t="n"/>
      <c r="Y2923" s="7">
        <f>IF($E2923="","",AB2923*AE2923/100)</f>
        <v/>
      </c>
      <c r="Z2923" s="7">
        <f>IF($E2923="","",AB2923-Y2923)</f>
        <v/>
      </c>
      <c r="AA2923" s="7">
        <f>IF($E2923="","",Z2923-Q2923)</f>
        <v/>
      </c>
      <c r="AB2923" s="7" t="n"/>
      <c r="AE2923">
        <f>IF($E2923="","",IF($AQ2923=1,0,IF($AP2923=1,Settings!$C$6,Settings!$C$7))*100)</f>
        <v/>
      </c>
      <c r="AI2923" s="7" t="n"/>
      <c r="AL2923" s="11" t="n"/>
      <c r="AN2923">
        <f>IF($E2923="","",IF(COUNTIF($E$2:$E2923,$E2923)=1,1,0))</f>
        <v/>
      </c>
      <c r="AO2923">
        <f>IF($AN2923=1,SUMPRODUCT(--($AR$2:$AR$3001&lt;$AR2923))+1,"")</f>
        <v/>
      </c>
      <c r="AP2923">
        <f>IF($E2923="","",IF(OR($U2923=TRUE(),$U2923="TRUE"),1,0))</f>
        <v/>
      </c>
      <c r="AQ2923">
        <f>IF($E2923="","",IF($AD2923="Yes",1,0))</f>
        <v/>
      </c>
      <c r="AR2923">
        <f>IF($AN2923=1,IFERROR(VALUE(MID($E2923,2,20)),1000000000)+ROW()/100000,"")</f>
        <v/>
      </c>
    </row>
    <row r="2924">
      <c r="G2924" s="11" t="n"/>
      <c r="Q2924" s="7">
        <f>IF($E2924="","",P2924*AB2924/100)</f>
        <v/>
      </c>
      <c r="R2924" s="7" t="n"/>
      <c r="X2924" s="7" t="n"/>
      <c r="Y2924" s="7">
        <f>IF($E2924="","",AB2924*AE2924/100)</f>
        <v/>
      </c>
      <c r="Z2924" s="7">
        <f>IF($E2924="","",AB2924-Y2924)</f>
        <v/>
      </c>
      <c r="AA2924" s="7">
        <f>IF($E2924="","",Z2924-Q2924)</f>
        <v/>
      </c>
      <c r="AB2924" s="7" t="n"/>
      <c r="AE2924">
        <f>IF($E2924="","",IF($AQ2924=1,0,IF($AP2924=1,Settings!$C$6,Settings!$C$7))*100)</f>
        <v/>
      </c>
      <c r="AI2924" s="7" t="n"/>
      <c r="AL2924" s="11" t="n"/>
      <c r="AN2924">
        <f>IF($E2924="","",IF(COUNTIF($E$2:$E2924,$E2924)=1,1,0))</f>
        <v/>
      </c>
      <c r="AO2924">
        <f>IF($AN2924=1,SUMPRODUCT(--($AR$2:$AR$3001&lt;$AR2924))+1,"")</f>
        <v/>
      </c>
      <c r="AP2924">
        <f>IF($E2924="","",IF(OR($U2924=TRUE(),$U2924="TRUE"),1,0))</f>
        <v/>
      </c>
      <c r="AQ2924">
        <f>IF($E2924="","",IF($AD2924="Yes",1,0))</f>
        <v/>
      </c>
      <c r="AR2924">
        <f>IF($AN2924=1,IFERROR(VALUE(MID($E2924,2,20)),1000000000)+ROW()/100000,"")</f>
        <v/>
      </c>
    </row>
    <row r="2925">
      <c r="G2925" s="11" t="n"/>
      <c r="Q2925" s="7">
        <f>IF($E2925="","",P2925*AB2925/100)</f>
        <v/>
      </c>
      <c r="R2925" s="7" t="n"/>
      <c r="X2925" s="7" t="n"/>
      <c r="Y2925" s="7">
        <f>IF($E2925="","",AB2925*AE2925/100)</f>
        <v/>
      </c>
      <c r="Z2925" s="7">
        <f>IF($E2925="","",AB2925-Y2925)</f>
        <v/>
      </c>
      <c r="AA2925" s="7">
        <f>IF($E2925="","",Z2925-Q2925)</f>
        <v/>
      </c>
      <c r="AB2925" s="7" t="n"/>
      <c r="AE2925">
        <f>IF($E2925="","",IF($AQ2925=1,0,IF($AP2925=1,Settings!$C$6,Settings!$C$7))*100)</f>
        <v/>
      </c>
      <c r="AI2925" s="7" t="n"/>
      <c r="AL2925" s="11" t="n"/>
      <c r="AN2925">
        <f>IF($E2925="","",IF(COUNTIF($E$2:$E2925,$E2925)=1,1,0))</f>
        <v/>
      </c>
      <c r="AO2925">
        <f>IF($AN2925=1,SUMPRODUCT(--($AR$2:$AR$3001&lt;$AR2925))+1,"")</f>
        <v/>
      </c>
      <c r="AP2925">
        <f>IF($E2925="","",IF(OR($U2925=TRUE(),$U2925="TRUE"),1,0))</f>
        <v/>
      </c>
      <c r="AQ2925">
        <f>IF($E2925="","",IF($AD2925="Yes",1,0))</f>
        <v/>
      </c>
      <c r="AR2925">
        <f>IF($AN2925=1,IFERROR(VALUE(MID($E2925,2,20)),1000000000)+ROW()/100000,"")</f>
        <v/>
      </c>
    </row>
    <row r="2926">
      <c r="G2926" s="11" t="n"/>
      <c r="Q2926" s="7">
        <f>IF($E2926="","",P2926*AB2926/100)</f>
        <v/>
      </c>
      <c r="R2926" s="7" t="n"/>
      <c r="X2926" s="7" t="n"/>
      <c r="Y2926" s="7">
        <f>IF($E2926="","",AB2926*AE2926/100)</f>
        <v/>
      </c>
      <c r="Z2926" s="7">
        <f>IF($E2926="","",AB2926-Y2926)</f>
        <v/>
      </c>
      <c r="AA2926" s="7">
        <f>IF($E2926="","",Z2926-Q2926)</f>
        <v/>
      </c>
      <c r="AB2926" s="7" t="n"/>
      <c r="AE2926">
        <f>IF($E2926="","",IF($AQ2926=1,0,IF($AP2926=1,Settings!$C$6,Settings!$C$7))*100)</f>
        <v/>
      </c>
      <c r="AI2926" s="7" t="n"/>
      <c r="AL2926" s="11" t="n"/>
      <c r="AN2926">
        <f>IF($E2926="","",IF(COUNTIF($E$2:$E2926,$E2926)=1,1,0))</f>
        <v/>
      </c>
      <c r="AO2926">
        <f>IF($AN2926=1,SUMPRODUCT(--($AR$2:$AR$3001&lt;$AR2926))+1,"")</f>
        <v/>
      </c>
      <c r="AP2926">
        <f>IF($E2926="","",IF(OR($U2926=TRUE(),$U2926="TRUE"),1,0))</f>
        <v/>
      </c>
      <c r="AQ2926">
        <f>IF($E2926="","",IF($AD2926="Yes",1,0))</f>
        <v/>
      </c>
      <c r="AR2926">
        <f>IF($AN2926=1,IFERROR(VALUE(MID($E2926,2,20)),1000000000)+ROW()/100000,"")</f>
        <v/>
      </c>
    </row>
    <row r="2927">
      <c r="G2927" s="11" t="n"/>
      <c r="Q2927" s="7">
        <f>IF($E2927="","",P2927*AB2927/100)</f>
        <v/>
      </c>
      <c r="R2927" s="7" t="n"/>
      <c r="X2927" s="7" t="n"/>
      <c r="Y2927" s="7">
        <f>IF($E2927="","",AB2927*AE2927/100)</f>
        <v/>
      </c>
      <c r="Z2927" s="7">
        <f>IF($E2927="","",AB2927-Y2927)</f>
        <v/>
      </c>
      <c r="AA2927" s="7">
        <f>IF($E2927="","",Z2927-Q2927)</f>
        <v/>
      </c>
      <c r="AB2927" s="7" t="n"/>
      <c r="AE2927">
        <f>IF($E2927="","",IF($AQ2927=1,0,IF($AP2927=1,Settings!$C$6,Settings!$C$7))*100)</f>
        <v/>
      </c>
      <c r="AI2927" s="7" t="n"/>
      <c r="AL2927" s="11" t="n"/>
      <c r="AN2927">
        <f>IF($E2927="","",IF(COUNTIF($E$2:$E2927,$E2927)=1,1,0))</f>
        <v/>
      </c>
      <c r="AO2927">
        <f>IF($AN2927=1,SUMPRODUCT(--($AR$2:$AR$3001&lt;$AR2927))+1,"")</f>
        <v/>
      </c>
      <c r="AP2927">
        <f>IF($E2927="","",IF(OR($U2927=TRUE(),$U2927="TRUE"),1,0))</f>
        <v/>
      </c>
      <c r="AQ2927">
        <f>IF($E2927="","",IF($AD2927="Yes",1,0))</f>
        <v/>
      </c>
      <c r="AR2927">
        <f>IF($AN2927=1,IFERROR(VALUE(MID($E2927,2,20)),1000000000)+ROW()/100000,"")</f>
        <v/>
      </c>
    </row>
    <row r="2928">
      <c r="G2928" s="11" t="n"/>
      <c r="Q2928" s="7">
        <f>IF($E2928="","",P2928*AB2928/100)</f>
        <v/>
      </c>
      <c r="R2928" s="7" t="n"/>
      <c r="X2928" s="7" t="n"/>
      <c r="Y2928" s="7">
        <f>IF($E2928="","",AB2928*AE2928/100)</f>
        <v/>
      </c>
      <c r="Z2928" s="7">
        <f>IF($E2928="","",AB2928-Y2928)</f>
        <v/>
      </c>
      <c r="AA2928" s="7">
        <f>IF($E2928="","",Z2928-Q2928)</f>
        <v/>
      </c>
      <c r="AB2928" s="7" t="n"/>
      <c r="AE2928">
        <f>IF($E2928="","",IF($AQ2928=1,0,IF($AP2928=1,Settings!$C$6,Settings!$C$7))*100)</f>
        <v/>
      </c>
      <c r="AI2928" s="7" t="n"/>
      <c r="AL2928" s="11" t="n"/>
      <c r="AN2928">
        <f>IF($E2928="","",IF(COUNTIF($E$2:$E2928,$E2928)=1,1,0))</f>
        <v/>
      </c>
      <c r="AO2928">
        <f>IF($AN2928=1,SUMPRODUCT(--($AR$2:$AR$3001&lt;$AR2928))+1,"")</f>
        <v/>
      </c>
      <c r="AP2928">
        <f>IF($E2928="","",IF(OR($U2928=TRUE(),$U2928="TRUE"),1,0))</f>
        <v/>
      </c>
      <c r="AQ2928">
        <f>IF($E2928="","",IF($AD2928="Yes",1,0))</f>
        <v/>
      </c>
      <c r="AR2928">
        <f>IF($AN2928=1,IFERROR(VALUE(MID($E2928,2,20)),1000000000)+ROW()/100000,"")</f>
        <v/>
      </c>
    </row>
    <row r="2929">
      <c r="G2929" s="11" t="n"/>
      <c r="Q2929" s="7">
        <f>IF($E2929="","",P2929*AB2929/100)</f>
        <v/>
      </c>
      <c r="R2929" s="7" t="n"/>
      <c r="X2929" s="7" t="n"/>
      <c r="Y2929" s="7">
        <f>IF($E2929="","",AB2929*AE2929/100)</f>
        <v/>
      </c>
      <c r="Z2929" s="7">
        <f>IF($E2929="","",AB2929-Y2929)</f>
        <v/>
      </c>
      <c r="AA2929" s="7">
        <f>IF($E2929="","",Z2929-Q2929)</f>
        <v/>
      </c>
      <c r="AB2929" s="7" t="n"/>
      <c r="AE2929">
        <f>IF($E2929="","",IF($AQ2929=1,0,IF($AP2929=1,Settings!$C$6,Settings!$C$7))*100)</f>
        <v/>
      </c>
      <c r="AI2929" s="7" t="n"/>
      <c r="AL2929" s="11" t="n"/>
      <c r="AN2929">
        <f>IF($E2929="","",IF(COUNTIF($E$2:$E2929,$E2929)=1,1,0))</f>
        <v/>
      </c>
      <c r="AO2929">
        <f>IF($AN2929=1,SUMPRODUCT(--($AR$2:$AR$3001&lt;$AR2929))+1,"")</f>
        <v/>
      </c>
      <c r="AP2929">
        <f>IF($E2929="","",IF(OR($U2929=TRUE(),$U2929="TRUE"),1,0))</f>
        <v/>
      </c>
      <c r="AQ2929">
        <f>IF($E2929="","",IF($AD2929="Yes",1,0))</f>
        <v/>
      </c>
      <c r="AR2929">
        <f>IF($AN2929=1,IFERROR(VALUE(MID($E2929,2,20)),1000000000)+ROW()/100000,"")</f>
        <v/>
      </c>
    </row>
    <row r="2930">
      <c r="G2930" s="11" t="n"/>
      <c r="Q2930" s="7">
        <f>IF($E2930="","",P2930*AB2930/100)</f>
        <v/>
      </c>
      <c r="R2930" s="7" t="n"/>
      <c r="X2930" s="7" t="n"/>
      <c r="Y2930" s="7">
        <f>IF($E2930="","",AB2930*AE2930/100)</f>
        <v/>
      </c>
      <c r="Z2930" s="7">
        <f>IF($E2930="","",AB2930-Y2930)</f>
        <v/>
      </c>
      <c r="AA2930" s="7">
        <f>IF($E2930="","",Z2930-Q2930)</f>
        <v/>
      </c>
      <c r="AB2930" s="7" t="n"/>
      <c r="AE2930">
        <f>IF($E2930="","",IF($AQ2930=1,0,IF($AP2930=1,Settings!$C$6,Settings!$C$7))*100)</f>
        <v/>
      </c>
      <c r="AI2930" s="7" t="n"/>
      <c r="AL2930" s="11" t="n"/>
      <c r="AN2930">
        <f>IF($E2930="","",IF(COUNTIF($E$2:$E2930,$E2930)=1,1,0))</f>
        <v/>
      </c>
      <c r="AO2930">
        <f>IF($AN2930=1,SUMPRODUCT(--($AR$2:$AR$3001&lt;$AR2930))+1,"")</f>
        <v/>
      </c>
      <c r="AP2930">
        <f>IF($E2930="","",IF(OR($U2930=TRUE(),$U2930="TRUE"),1,0))</f>
        <v/>
      </c>
      <c r="AQ2930">
        <f>IF($E2930="","",IF($AD2930="Yes",1,0))</f>
        <v/>
      </c>
      <c r="AR2930">
        <f>IF($AN2930=1,IFERROR(VALUE(MID($E2930,2,20)),1000000000)+ROW()/100000,"")</f>
        <v/>
      </c>
    </row>
    <row r="2931">
      <c r="G2931" s="11" t="n"/>
      <c r="Q2931" s="7">
        <f>IF($E2931="","",P2931*AB2931/100)</f>
        <v/>
      </c>
      <c r="R2931" s="7" t="n"/>
      <c r="X2931" s="7" t="n"/>
      <c r="Y2931" s="7">
        <f>IF($E2931="","",AB2931*AE2931/100)</f>
        <v/>
      </c>
      <c r="Z2931" s="7">
        <f>IF($E2931="","",AB2931-Y2931)</f>
        <v/>
      </c>
      <c r="AA2931" s="7">
        <f>IF($E2931="","",Z2931-Q2931)</f>
        <v/>
      </c>
      <c r="AB2931" s="7" t="n"/>
      <c r="AE2931">
        <f>IF($E2931="","",IF($AQ2931=1,0,IF($AP2931=1,Settings!$C$6,Settings!$C$7))*100)</f>
        <v/>
      </c>
      <c r="AI2931" s="7" t="n"/>
      <c r="AL2931" s="11" t="n"/>
      <c r="AN2931">
        <f>IF($E2931="","",IF(COUNTIF($E$2:$E2931,$E2931)=1,1,0))</f>
        <v/>
      </c>
      <c r="AO2931">
        <f>IF($AN2931=1,SUMPRODUCT(--($AR$2:$AR$3001&lt;$AR2931))+1,"")</f>
        <v/>
      </c>
      <c r="AP2931">
        <f>IF($E2931="","",IF(OR($U2931=TRUE(),$U2931="TRUE"),1,0))</f>
        <v/>
      </c>
      <c r="AQ2931">
        <f>IF($E2931="","",IF($AD2931="Yes",1,0))</f>
        <v/>
      </c>
      <c r="AR2931">
        <f>IF($AN2931=1,IFERROR(VALUE(MID($E2931,2,20)),1000000000)+ROW()/100000,"")</f>
        <v/>
      </c>
    </row>
    <row r="2932">
      <c r="G2932" s="11" t="n"/>
      <c r="Q2932" s="7">
        <f>IF($E2932="","",P2932*AB2932/100)</f>
        <v/>
      </c>
      <c r="R2932" s="7" t="n"/>
      <c r="X2932" s="7" t="n"/>
      <c r="Y2932" s="7">
        <f>IF($E2932="","",AB2932*AE2932/100)</f>
        <v/>
      </c>
      <c r="Z2932" s="7">
        <f>IF($E2932="","",AB2932-Y2932)</f>
        <v/>
      </c>
      <c r="AA2932" s="7">
        <f>IF($E2932="","",Z2932-Q2932)</f>
        <v/>
      </c>
      <c r="AB2932" s="7" t="n"/>
      <c r="AE2932">
        <f>IF($E2932="","",IF($AQ2932=1,0,IF($AP2932=1,Settings!$C$6,Settings!$C$7))*100)</f>
        <v/>
      </c>
      <c r="AI2932" s="7" t="n"/>
      <c r="AL2932" s="11" t="n"/>
      <c r="AN2932">
        <f>IF($E2932="","",IF(COUNTIF($E$2:$E2932,$E2932)=1,1,0))</f>
        <v/>
      </c>
      <c r="AO2932">
        <f>IF($AN2932=1,SUMPRODUCT(--($AR$2:$AR$3001&lt;$AR2932))+1,"")</f>
        <v/>
      </c>
      <c r="AP2932">
        <f>IF($E2932="","",IF(OR($U2932=TRUE(),$U2932="TRUE"),1,0))</f>
        <v/>
      </c>
      <c r="AQ2932">
        <f>IF($E2932="","",IF($AD2932="Yes",1,0))</f>
        <v/>
      </c>
      <c r="AR2932">
        <f>IF($AN2932=1,IFERROR(VALUE(MID($E2932,2,20)),1000000000)+ROW()/100000,"")</f>
        <v/>
      </c>
    </row>
    <row r="2933">
      <c r="G2933" s="11" t="n"/>
      <c r="Q2933" s="7">
        <f>IF($E2933="","",P2933*AB2933/100)</f>
        <v/>
      </c>
      <c r="R2933" s="7" t="n"/>
      <c r="X2933" s="7" t="n"/>
      <c r="Y2933" s="7">
        <f>IF($E2933="","",AB2933*AE2933/100)</f>
        <v/>
      </c>
      <c r="Z2933" s="7">
        <f>IF($E2933="","",AB2933-Y2933)</f>
        <v/>
      </c>
      <c r="AA2933" s="7">
        <f>IF($E2933="","",Z2933-Q2933)</f>
        <v/>
      </c>
      <c r="AB2933" s="7" t="n"/>
      <c r="AE2933">
        <f>IF($E2933="","",IF($AQ2933=1,0,IF($AP2933=1,Settings!$C$6,Settings!$C$7))*100)</f>
        <v/>
      </c>
      <c r="AI2933" s="7" t="n"/>
      <c r="AL2933" s="11" t="n"/>
      <c r="AN2933">
        <f>IF($E2933="","",IF(COUNTIF($E$2:$E2933,$E2933)=1,1,0))</f>
        <v/>
      </c>
      <c r="AO2933">
        <f>IF($AN2933=1,SUMPRODUCT(--($AR$2:$AR$3001&lt;$AR2933))+1,"")</f>
        <v/>
      </c>
      <c r="AP2933">
        <f>IF($E2933="","",IF(OR($U2933=TRUE(),$U2933="TRUE"),1,0))</f>
        <v/>
      </c>
      <c r="AQ2933">
        <f>IF($E2933="","",IF($AD2933="Yes",1,0))</f>
        <v/>
      </c>
      <c r="AR2933">
        <f>IF($AN2933=1,IFERROR(VALUE(MID($E2933,2,20)),1000000000)+ROW()/100000,"")</f>
        <v/>
      </c>
    </row>
    <row r="2934">
      <c r="G2934" s="11" t="n"/>
      <c r="Q2934" s="7">
        <f>IF($E2934="","",P2934*AB2934/100)</f>
        <v/>
      </c>
      <c r="R2934" s="7" t="n"/>
      <c r="X2934" s="7" t="n"/>
      <c r="Y2934" s="7">
        <f>IF($E2934="","",AB2934*AE2934/100)</f>
        <v/>
      </c>
      <c r="Z2934" s="7">
        <f>IF($E2934="","",AB2934-Y2934)</f>
        <v/>
      </c>
      <c r="AA2934" s="7">
        <f>IF($E2934="","",Z2934-Q2934)</f>
        <v/>
      </c>
      <c r="AB2934" s="7" t="n"/>
      <c r="AE2934">
        <f>IF($E2934="","",IF($AQ2934=1,0,IF($AP2934=1,Settings!$C$6,Settings!$C$7))*100)</f>
        <v/>
      </c>
      <c r="AI2934" s="7" t="n"/>
      <c r="AL2934" s="11" t="n"/>
      <c r="AN2934">
        <f>IF($E2934="","",IF(COUNTIF($E$2:$E2934,$E2934)=1,1,0))</f>
        <v/>
      </c>
      <c r="AO2934">
        <f>IF($AN2934=1,SUMPRODUCT(--($AR$2:$AR$3001&lt;$AR2934))+1,"")</f>
        <v/>
      </c>
      <c r="AP2934">
        <f>IF($E2934="","",IF(OR($U2934=TRUE(),$U2934="TRUE"),1,0))</f>
        <v/>
      </c>
      <c r="AQ2934">
        <f>IF($E2934="","",IF($AD2934="Yes",1,0))</f>
        <v/>
      </c>
      <c r="AR2934">
        <f>IF($AN2934=1,IFERROR(VALUE(MID($E2934,2,20)),1000000000)+ROW()/100000,"")</f>
        <v/>
      </c>
    </row>
    <row r="2935">
      <c r="G2935" s="11" t="n"/>
      <c r="Q2935" s="7">
        <f>IF($E2935="","",P2935*AB2935/100)</f>
        <v/>
      </c>
      <c r="R2935" s="7" t="n"/>
      <c r="X2935" s="7" t="n"/>
      <c r="Y2935" s="7">
        <f>IF($E2935="","",AB2935*AE2935/100)</f>
        <v/>
      </c>
      <c r="Z2935" s="7">
        <f>IF($E2935="","",AB2935-Y2935)</f>
        <v/>
      </c>
      <c r="AA2935" s="7">
        <f>IF($E2935="","",Z2935-Q2935)</f>
        <v/>
      </c>
      <c r="AB2935" s="7" t="n"/>
      <c r="AE2935">
        <f>IF($E2935="","",IF($AQ2935=1,0,IF($AP2935=1,Settings!$C$6,Settings!$C$7))*100)</f>
        <v/>
      </c>
      <c r="AI2935" s="7" t="n"/>
      <c r="AL2935" s="11" t="n"/>
      <c r="AN2935">
        <f>IF($E2935="","",IF(COUNTIF($E$2:$E2935,$E2935)=1,1,0))</f>
        <v/>
      </c>
      <c r="AO2935">
        <f>IF($AN2935=1,SUMPRODUCT(--($AR$2:$AR$3001&lt;$AR2935))+1,"")</f>
        <v/>
      </c>
      <c r="AP2935">
        <f>IF($E2935="","",IF(OR($U2935=TRUE(),$U2935="TRUE"),1,0))</f>
        <v/>
      </c>
      <c r="AQ2935">
        <f>IF($E2935="","",IF($AD2935="Yes",1,0))</f>
        <v/>
      </c>
      <c r="AR2935">
        <f>IF($AN2935=1,IFERROR(VALUE(MID($E2935,2,20)),1000000000)+ROW()/100000,"")</f>
        <v/>
      </c>
    </row>
    <row r="2936">
      <c r="G2936" s="11" t="n"/>
      <c r="Q2936" s="7">
        <f>IF($E2936="","",P2936*AB2936/100)</f>
        <v/>
      </c>
      <c r="R2936" s="7" t="n"/>
      <c r="X2936" s="7" t="n"/>
      <c r="Y2936" s="7">
        <f>IF($E2936="","",AB2936*AE2936/100)</f>
        <v/>
      </c>
      <c r="Z2936" s="7">
        <f>IF($E2936="","",AB2936-Y2936)</f>
        <v/>
      </c>
      <c r="AA2936" s="7">
        <f>IF($E2936="","",Z2936-Q2936)</f>
        <v/>
      </c>
      <c r="AB2936" s="7" t="n"/>
      <c r="AE2936">
        <f>IF($E2936="","",IF($AQ2936=1,0,IF($AP2936=1,Settings!$C$6,Settings!$C$7))*100)</f>
        <v/>
      </c>
      <c r="AI2936" s="7" t="n"/>
      <c r="AL2936" s="11" t="n"/>
      <c r="AN2936">
        <f>IF($E2936="","",IF(COUNTIF($E$2:$E2936,$E2936)=1,1,0))</f>
        <v/>
      </c>
      <c r="AO2936">
        <f>IF($AN2936=1,SUMPRODUCT(--($AR$2:$AR$3001&lt;$AR2936))+1,"")</f>
        <v/>
      </c>
      <c r="AP2936">
        <f>IF($E2936="","",IF(OR($U2936=TRUE(),$U2936="TRUE"),1,0))</f>
        <v/>
      </c>
      <c r="AQ2936">
        <f>IF($E2936="","",IF($AD2936="Yes",1,0))</f>
        <v/>
      </c>
      <c r="AR2936">
        <f>IF($AN2936=1,IFERROR(VALUE(MID($E2936,2,20)),1000000000)+ROW()/100000,"")</f>
        <v/>
      </c>
    </row>
    <row r="2937">
      <c r="G2937" s="11" t="n"/>
      <c r="Q2937" s="7">
        <f>IF($E2937="","",P2937*AB2937/100)</f>
        <v/>
      </c>
      <c r="R2937" s="7" t="n"/>
      <c r="X2937" s="7" t="n"/>
      <c r="Y2937" s="7">
        <f>IF($E2937="","",AB2937*AE2937/100)</f>
        <v/>
      </c>
      <c r="Z2937" s="7">
        <f>IF($E2937="","",AB2937-Y2937)</f>
        <v/>
      </c>
      <c r="AA2937" s="7">
        <f>IF($E2937="","",Z2937-Q2937)</f>
        <v/>
      </c>
      <c r="AB2937" s="7" t="n"/>
      <c r="AE2937">
        <f>IF($E2937="","",IF($AQ2937=1,0,IF($AP2937=1,Settings!$C$6,Settings!$C$7))*100)</f>
        <v/>
      </c>
      <c r="AI2937" s="7" t="n"/>
      <c r="AL2937" s="11" t="n"/>
      <c r="AN2937">
        <f>IF($E2937="","",IF(COUNTIF($E$2:$E2937,$E2937)=1,1,0))</f>
        <v/>
      </c>
      <c r="AO2937">
        <f>IF($AN2937=1,SUMPRODUCT(--($AR$2:$AR$3001&lt;$AR2937))+1,"")</f>
        <v/>
      </c>
      <c r="AP2937">
        <f>IF($E2937="","",IF(OR($U2937=TRUE(),$U2937="TRUE"),1,0))</f>
        <v/>
      </c>
      <c r="AQ2937">
        <f>IF($E2937="","",IF($AD2937="Yes",1,0))</f>
        <v/>
      </c>
      <c r="AR2937">
        <f>IF($AN2937=1,IFERROR(VALUE(MID($E2937,2,20)),1000000000)+ROW()/100000,"")</f>
        <v/>
      </c>
    </row>
    <row r="2938">
      <c r="G2938" s="11" t="n"/>
      <c r="Q2938" s="7">
        <f>IF($E2938="","",P2938*AB2938/100)</f>
        <v/>
      </c>
      <c r="R2938" s="7" t="n"/>
      <c r="X2938" s="7" t="n"/>
      <c r="Y2938" s="7">
        <f>IF($E2938="","",AB2938*AE2938/100)</f>
        <v/>
      </c>
      <c r="Z2938" s="7">
        <f>IF($E2938="","",AB2938-Y2938)</f>
        <v/>
      </c>
      <c r="AA2938" s="7">
        <f>IF($E2938="","",Z2938-Q2938)</f>
        <v/>
      </c>
      <c r="AB2938" s="7" t="n"/>
      <c r="AE2938">
        <f>IF($E2938="","",IF($AQ2938=1,0,IF($AP2938=1,Settings!$C$6,Settings!$C$7))*100)</f>
        <v/>
      </c>
      <c r="AI2938" s="7" t="n"/>
      <c r="AL2938" s="11" t="n"/>
      <c r="AN2938">
        <f>IF($E2938="","",IF(COUNTIF($E$2:$E2938,$E2938)=1,1,0))</f>
        <v/>
      </c>
      <c r="AO2938">
        <f>IF($AN2938=1,SUMPRODUCT(--($AR$2:$AR$3001&lt;$AR2938))+1,"")</f>
        <v/>
      </c>
      <c r="AP2938">
        <f>IF($E2938="","",IF(OR($U2938=TRUE(),$U2938="TRUE"),1,0))</f>
        <v/>
      </c>
      <c r="AQ2938">
        <f>IF($E2938="","",IF($AD2938="Yes",1,0))</f>
        <v/>
      </c>
      <c r="AR2938">
        <f>IF($AN2938=1,IFERROR(VALUE(MID($E2938,2,20)),1000000000)+ROW()/100000,"")</f>
        <v/>
      </c>
    </row>
    <row r="2939">
      <c r="G2939" s="11" t="n"/>
      <c r="Q2939" s="7">
        <f>IF($E2939="","",P2939*AB2939/100)</f>
        <v/>
      </c>
      <c r="R2939" s="7" t="n"/>
      <c r="X2939" s="7" t="n"/>
      <c r="Y2939" s="7">
        <f>IF($E2939="","",AB2939*AE2939/100)</f>
        <v/>
      </c>
      <c r="Z2939" s="7">
        <f>IF($E2939="","",AB2939-Y2939)</f>
        <v/>
      </c>
      <c r="AA2939" s="7">
        <f>IF($E2939="","",Z2939-Q2939)</f>
        <v/>
      </c>
      <c r="AB2939" s="7" t="n"/>
      <c r="AE2939">
        <f>IF($E2939="","",IF($AQ2939=1,0,IF($AP2939=1,Settings!$C$6,Settings!$C$7))*100)</f>
        <v/>
      </c>
      <c r="AI2939" s="7" t="n"/>
      <c r="AL2939" s="11" t="n"/>
      <c r="AN2939">
        <f>IF($E2939="","",IF(COUNTIF($E$2:$E2939,$E2939)=1,1,0))</f>
        <v/>
      </c>
      <c r="AO2939">
        <f>IF($AN2939=1,SUMPRODUCT(--($AR$2:$AR$3001&lt;$AR2939))+1,"")</f>
        <v/>
      </c>
      <c r="AP2939">
        <f>IF($E2939="","",IF(OR($U2939=TRUE(),$U2939="TRUE"),1,0))</f>
        <v/>
      </c>
      <c r="AQ2939">
        <f>IF($E2939="","",IF($AD2939="Yes",1,0))</f>
        <v/>
      </c>
      <c r="AR2939">
        <f>IF($AN2939=1,IFERROR(VALUE(MID($E2939,2,20)),1000000000)+ROW()/100000,"")</f>
        <v/>
      </c>
    </row>
    <row r="2940">
      <c r="G2940" s="11" t="n"/>
      <c r="Q2940" s="7">
        <f>IF($E2940="","",P2940*AB2940/100)</f>
        <v/>
      </c>
      <c r="R2940" s="7" t="n"/>
      <c r="X2940" s="7" t="n"/>
      <c r="Y2940" s="7">
        <f>IF($E2940="","",AB2940*AE2940/100)</f>
        <v/>
      </c>
      <c r="Z2940" s="7">
        <f>IF($E2940="","",AB2940-Y2940)</f>
        <v/>
      </c>
      <c r="AA2940" s="7">
        <f>IF($E2940="","",Z2940-Q2940)</f>
        <v/>
      </c>
      <c r="AB2940" s="7" t="n"/>
      <c r="AE2940">
        <f>IF($E2940="","",IF($AQ2940=1,0,IF($AP2940=1,Settings!$C$6,Settings!$C$7))*100)</f>
        <v/>
      </c>
      <c r="AI2940" s="7" t="n"/>
      <c r="AL2940" s="11" t="n"/>
      <c r="AN2940">
        <f>IF($E2940="","",IF(COUNTIF($E$2:$E2940,$E2940)=1,1,0))</f>
        <v/>
      </c>
      <c r="AO2940">
        <f>IF($AN2940=1,SUMPRODUCT(--($AR$2:$AR$3001&lt;$AR2940))+1,"")</f>
        <v/>
      </c>
      <c r="AP2940">
        <f>IF($E2940="","",IF(OR($U2940=TRUE(),$U2940="TRUE"),1,0))</f>
        <v/>
      </c>
      <c r="AQ2940">
        <f>IF($E2940="","",IF($AD2940="Yes",1,0))</f>
        <v/>
      </c>
      <c r="AR2940">
        <f>IF($AN2940=1,IFERROR(VALUE(MID($E2940,2,20)),1000000000)+ROW()/100000,"")</f>
        <v/>
      </c>
    </row>
    <row r="2941">
      <c r="G2941" s="11" t="n"/>
      <c r="Q2941" s="7">
        <f>IF($E2941="","",P2941*AB2941/100)</f>
        <v/>
      </c>
      <c r="R2941" s="7" t="n"/>
      <c r="X2941" s="7" t="n"/>
      <c r="Y2941" s="7">
        <f>IF($E2941="","",AB2941*AE2941/100)</f>
        <v/>
      </c>
      <c r="Z2941" s="7">
        <f>IF($E2941="","",AB2941-Y2941)</f>
        <v/>
      </c>
      <c r="AA2941" s="7">
        <f>IF($E2941="","",Z2941-Q2941)</f>
        <v/>
      </c>
      <c r="AB2941" s="7" t="n"/>
      <c r="AE2941">
        <f>IF($E2941="","",IF($AQ2941=1,0,IF($AP2941=1,Settings!$C$6,Settings!$C$7))*100)</f>
        <v/>
      </c>
      <c r="AI2941" s="7" t="n"/>
      <c r="AL2941" s="11" t="n"/>
      <c r="AN2941">
        <f>IF($E2941="","",IF(COUNTIF($E$2:$E2941,$E2941)=1,1,0))</f>
        <v/>
      </c>
      <c r="AO2941">
        <f>IF($AN2941=1,SUMPRODUCT(--($AR$2:$AR$3001&lt;$AR2941))+1,"")</f>
        <v/>
      </c>
      <c r="AP2941">
        <f>IF($E2941="","",IF(OR($U2941=TRUE(),$U2941="TRUE"),1,0))</f>
        <v/>
      </c>
      <c r="AQ2941">
        <f>IF($E2941="","",IF($AD2941="Yes",1,0))</f>
        <v/>
      </c>
      <c r="AR2941">
        <f>IF($AN2941=1,IFERROR(VALUE(MID($E2941,2,20)),1000000000)+ROW()/100000,"")</f>
        <v/>
      </c>
    </row>
    <row r="2942">
      <c r="G2942" s="11" t="n"/>
      <c r="Q2942" s="7">
        <f>IF($E2942="","",P2942*AB2942/100)</f>
        <v/>
      </c>
      <c r="R2942" s="7" t="n"/>
      <c r="X2942" s="7" t="n"/>
      <c r="Y2942" s="7">
        <f>IF($E2942="","",AB2942*AE2942/100)</f>
        <v/>
      </c>
      <c r="Z2942" s="7">
        <f>IF($E2942="","",AB2942-Y2942)</f>
        <v/>
      </c>
      <c r="AA2942" s="7">
        <f>IF($E2942="","",Z2942-Q2942)</f>
        <v/>
      </c>
      <c r="AB2942" s="7" t="n"/>
      <c r="AE2942">
        <f>IF($E2942="","",IF($AQ2942=1,0,IF($AP2942=1,Settings!$C$6,Settings!$C$7))*100)</f>
        <v/>
      </c>
      <c r="AI2942" s="7" t="n"/>
      <c r="AL2942" s="11" t="n"/>
      <c r="AN2942">
        <f>IF($E2942="","",IF(COUNTIF($E$2:$E2942,$E2942)=1,1,0))</f>
        <v/>
      </c>
      <c r="AO2942">
        <f>IF($AN2942=1,SUMPRODUCT(--($AR$2:$AR$3001&lt;$AR2942))+1,"")</f>
        <v/>
      </c>
      <c r="AP2942">
        <f>IF($E2942="","",IF(OR($U2942=TRUE(),$U2942="TRUE"),1,0))</f>
        <v/>
      </c>
      <c r="AQ2942">
        <f>IF($E2942="","",IF($AD2942="Yes",1,0))</f>
        <v/>
      </c>
      <c r="AR2942">
        <f>IF($AN2942=1,IFERROR(VALUE(MID($E2942,2,20)),1000000000)+ROW()/100000,"")</f>
        <v/>
      </c>
    </row>
    <row r="2943">
      <c r="G2943" s="11" t="n"/>
      <c r="Q2943" s="7">
        <f>IF($E2943="","",P2943*AB2943/100)</f>
        <v/>
      </c>
      <c r="R2943" s="7" t="n"/>
      <c r="X2943" s="7" t="n"/>
      <c r="Y2943" s="7">
        <f>IF($E2943="","",AB2943*AE2943/100)</f>
        <v/>
      </c>
      <c r="Z2943" s="7">
        <f>IF($E2943="","",AB2943-Y2943)</f>
        <v/>
      </c>
      <c r="AA2943" s="7">
        <f>IF($E2943="","",Z2943-Q2943)</f>
        <v/>
      </c>
      <c r="AB2943" s="7" t="n"/>
      <c r="AE2943">
        <f>IF($E2943="","",IF($AQ2943=1,0,IF($AP2943=1,Settings!$C$6,Settings!$C$7))*100)</f>
        <v/>
      </c>
      <c r="AI2943" s="7" t="n"/>
      <c r="AL2943" s="11" t="n"/>
      <c r="AN2943">
        <f>IF($E2943="","",IF(COUNTIF($E$2:$E2943,$E2943)=1,1,0))</f>
        <v/>
      </c>
      <c r="AO2943">
        <f>IF($AN2943=1,SUMPRODUCT(--($AR$2:$AR$3001&lt;$AR2943))+1,"")</f>
        <v/>
      </c>
      <c r="AP2943">
        <f>IF($E2943="","",IF(OR($U2943=TRUE(),$U2943="TRUE"),1,0))</f>
        <v/>
      </c>
      <c r="AQ2943">
        <f>IF($E2943="","",IF($AD2943="Yes",1,0))</f>
        <v/>
      </c>
      <c r="AR2943">
        <f>IF($AN2943=1,IFERROR(VALUE(MID($E2943,2,20)),1000000000)+ROW()/100000,"")</f>
        <v/>
      </c>
    </row>
    <row r="2944">
      <c r="G2944" s="11" t="n"/>
      <c r="Q2944" s="7">
        <f>IF($E2944="","",P2944*AB2944/100)</f>
        <v/>
      </c>
      <c r="R2944" s="7" t="n"/>
      <c r="X2944" s="7" t="n"/>
      <c r="Y2944" s="7">
        <f>IF($E2944="","",AB2944*AE2944/100)</f>
        <v/>
      </c>
      <c r="Z2944" s="7">
        <f>IF($E2944="","",AB2944-Y2944)</f>
        <v/>
      </c>
      <c r="AA2944" s="7">
        <f>IF($E2944="","",Z2944-Q2944)</f>
        <v/>
      </c>
      <c r="AB2944" s="7" t="n"/>
      <c r="AE2944">
        <f>IF($E2944="","",IF($AQ2944=1,0,IF($AP2944=1,Settings!$C$6,Settings!$C$7))*100)</f>
        <v/>
      </c>
      <c r="AI2944" s="7" t="n"/>
      <c r="AL2944" s="11" t="n"/>
      <c r="AN2944">
        <f>IF($E2944="","",IF(COUNTIF($E$2:$E2944,$E2944)=1,1,0))</f>
        <v/>
      </c>
      <c r="AO2944">
        <f>IF($AN2944=1,SUMPRODUCT(--($AR$2:$AR$3001&lt;$AR2944))+1,"")</f>
        <v/>
      </c>
      <c r="AP2944">
        <f>IF($E2944="","",IF(OR($U2944=TRUE(),$U2944="TRUE"),1,0))</f>
        <v/>
      </c>
      <c r="AQ2944">
        <f>IF($E2944="","",IF($AD2944="Yes",1,0))</f>
        <v/>
      </c>
      <c r="AR2944">
        <f>IF($AN2944=1,IFERROR(VALUE(MID($E2944,2,20)),1000000000)+ROW()/100000,"")</f>
        <v/>
      </c>
    </row>
    <row r="2945">
      <c r="G2945" s="11" t="n"/>
      <c r="Q2945" s="7">
        <f>IF($E2945="","",P2945*AB2945/100)</f>
        <v/>
      </c>
      <c r="R2945" s="7" t="n"/>
      <c r="X2945" s="7" t="n"/>
      <c r="Y2945" s="7">
        <f>IF($E2945="","",AB2945*AE2945/100)</f>
        <v/>
      </c>
      <c r="Z2945" s="7">
        <f>IF($E2945="","",AB2945-Y2945)</f>
        <v/>
      </c>
      <c r="AA2945" s="7">
        <f>IF($E2945="","",Z2945-Q2945)</f>
        <v/>
      </c>
      <c r="AB2945" s="7" t="n"/>
      <c r="AE2945">
        <f>IF($E2945="","",IF($AQ2945=1,0,IF($AP2945=1,Settings!$C$6,Settings!$C$7))*100)</f>
        <v/>
      </c>
      <c r="AI2945" s="7" t="n"/>
      <c r="AL2945" s="11" t="n"/>
      <c r="AN2945">
        <f>IF($E2945="","",IF(COUNTIF($E$2:$E2945,$E2945)=1,1,0))</f>
        <v/>
      </c>
      <c r="AO2945">
        <f>IF($AN2945=1,SUMPRODUCT(--($AR$2:$AR$3001&lt;$AR2945))+1,"")</f>
        <v/>
      </c>
      <c r="AP2945">
        <f>IF($E2945="","",IF(OR($U2945=TRUE(),$U2945="TRUE"),1,0))</f>
        <v/>
      </c>
      <c r="AQ2945">
        <f>IF($E2945="","",IF($AD2945="Yes",1,0))</f>
        <v/>
      </c>
      <c r="AR2945">
        <f>IF($AN2945=1,IFERROR(VALUE(MID($E2945,2,20)),1000000000)+ROW()/100000,"")</f>
        <v/>
      </c>
    </row>
    <row r="2946">
      <c r="G2946" s="11" t="n"/>
      <c r="Q2946" s="7">
        <f>IF($E2946="","",P2946*AB2946/100)</f>
        <v/>
      </c>
      <c r="R2946" s="7" t="n"/>
      <c r="X2946" s="7" t="n"/>
      <c r="Y2946" s="7">
        <f>IF($E2946="","",AB2946*AE2946/100)</f>
        <v/>
      </c>
      <c r="Z2946" s="7">
        <f>IF($E2946="","",AB2946-Y2946)</f>
        <v/>
      </c>
      <c r="AA2946" s="7">
        <f>IF($E2946="","",Z2946-Q2946)</f>
        <v/>
      </c>
      <c r="AB2946" s="7" t="n"/>
      <c r="AE2946">
        <f>IF($E2946="","",IF($AQ2946=1,0,IF($AP2946=1,Settings!$C$6,Settings!$C$7))*100)</f>
        <v/>
      </c>
      <c r="AI2946" s="7" t="n"/>
      <c r="AL2946" s="11" t="n"/>
      <c r="AN2946">
        <f>IF($E2946="","",IF(COUNTIF($E$2:$E2946,$E2946)=1,1,0))</f>
        <v/>
      </c>
      <c r="AO2946">
        <f>IF($AN2946=1,SUMPRODUCT(--($AR$2:$AR$3001&lt;$AR2946))+1,"")</f>
        <v/>
      </c>
      <c r="AP2946">
        <f>IF($E2946="","",IF(OR($U2946=TRUE(),$U2946="TRUE"),1,0))</f>
        <v/>
      </c>
      <c r="AQ2946">
        <f>IF($E2946="","",IF($AD2946="Yes",1,0))</f>
        <v/>
      </c>
      <c r="AR2946">
        <f>IF($AN2946=1,IFERROR(VALUE(MID($E2946,2,20)),1000000000)+ROW()/100000,"")</f>
        <v/>
      </c>
    </row>
    <row r="2947">
      <c r="G2947" s="11" t="n"/>
      <c r="Q2947" s="7">
        <f>IF($E2947="","",P2947*AB2947/100)</f>
        <v/>
      </c>
      <c r="R2947" s="7" t="n"/>
      <c r="X2947" s="7" t="n"/>
      <c r="Y2947" s="7">
        <f>IF($E2947="","",AB2947*AE2947/100)</f>
        <v/>
      </c>
      <c r="Z2947" s="7">
        <f>IF($E2947="","",AB2947-Y2947)</f>
        <v/>
      </c>
      <c r="AA2947" s="7">
        <f>IF($E2947="","",Z2947-Q2947)</f>
        <v/>
      </c>
      <c r="AB2947" s="7" t="n"/>
      <c r="AE2947">
        <f>IF($E2947="","",IF($AQ2947=1,0,IF($AP2947=1,Settings!$C$6,Settings!$C$7))*100)</f>
        <v/>
      </c>
      <c r="AI2947" s="7" t="n"/>
      <c r="AL2947" s="11" t="n"/>
      <c r="AN2947">
        <f>IF($E2947="","",IF(COUNTIF($E$2:$E2947,$E2947)=1,1,0))</f>
        <v/>
      </c>
      <c r="AO2947">
        <f>IF($AN2947=1,SUMPRODUCT(--($AR$2:$AR$3001&lt;$AR2947))+1,"")</f>
        <v/>
      </c>
      <c r="AP2947">
        <f>IF($E2947="","",IF(OR($U2947=TRUE(),$U2947="TRUE"),1,0))</f>
        <v/>
      </c>
      <c r="AQ2947">
        <f>IF($E2947="","",IF($AD2947="Yes",1,0))</f>
        <v/>
      </c>
      <c r="AR2947">
        <f>IF($AN2947=1,IFERROR(VALUE(MID($E2947,2,20)),1000000000)+ROW()/100000,"")</f>
        <v/>
      </c>
    </row>
    <row r="2948">
      <c r="G2948" s="11" t="n"/>
      <c r="Q2948" s="7">
        <f>IF($E2948="","",P2948*AB2948/100)</f>
        <v/>
      </c>
      <c r="R2948" s="7" t="n"/>
      <c r="X2948" s="7" t="n"/>
      <c r="Y2948" s="7">
        <f>IF($E2948="","",AB2948*AE2948/100)</f>
        <v/>
      </c>
      <c r="Z2948" s="7">
        <f>IF($E2948="","",AB2948-Y2948)</f>
        <v/>
      </c>
      <c r="AA2948" s="7">
        <f>IF($E2948="","",Z2948-Q2948)</f>
        <v/>
      </c>
      <c r="AB2948" s="7" t="n"/>
      <c r="AE2948">
        <f>IF($E2948="","",IF($AQ2948=1,0,IF($AP2948=1,Settings!$C$6,Settings!$C$7))*100)</f>
        <v/>
      </c>
      <c r="AI2948" s="7" t="n"/>
      <c r="AL2948" s="11" t="n"/>
      <c r="AN2948">
        <f>IF($E2948="","",IF(COUNTIF($E$2:$E2948,$E2948)=1,1,0))</f>
        <v/>
      </c>
      <c r="AO2948">
        <f>IF($AN2948=1,SUMPRODUCT(--($AR$2:$AR$3001&lt;$AR2948))+1,"")</f>
        <v/>
      </c>
      <c r="AP2948">
        <f>IF($E2948="","",IF(OR($U2948=TRUE(),$U2948="TRUE"),1,0))</f>
        <v/>
      </c>
      <c r="AQ2948">
        <f>IF($E2948="","",IF($AD2948="Yes",1,0))</f>
        <v/>
      </c>
      <c r="AR2948">
        <f>IF($AN2948=1,IFERROR(VALUE(MID($E2948,2,20)),1000000000)+ROW()/100000,"")</f>
        <v/>
      </c>
    </row>
    <row r="2949">
      <c r="G2949" s="11" t="n"/>
      <c r="Q2949" s="7">
        <f>IF($E2949="","",P2949*AB2949/100)</f>
        <v/>
      </c>
      <c r="R2949" s="7" t="n"/>
      <c r="X2949" s="7" t="n"/>
      <c r="Y2949" s="7">
        <f>IF($E2949="","",AB2949*AE2949/100)</f>
        <v/>
      </c>
      <c r="Z2949" s="7">
        <f>IF($E2949="","",AB2949-Y2949)</f>
        <v/>
      </c>
      <c r="AA2949" s="7">
        <f>IF($E2949="","",Z2949-Q2949)</f>
        <v/>
      </c>
      <c r="AB2949" s="7" t="n"/>
      <c r="AE2949">
        <f>IF($E2949="","",IF($AQ2949=1,0,IF($AP2949=1,Settings!$C$6,Settings!$C$7))*100)</f>
        <v/>
      </c>
      <c r="AI2949" s="7" t="n"/>
      <c r="AL2949" s="11" t="n"/>
      <c r="AN2949">
        <f>IF($E2949="","",IF(COUNTIF($E$2:$E2949,$E2949)=1,1,0))</f>
        <v/>
      </c>
      <c r="AO2949">
        <f>IF($AN2949=1,SUMPRODUCT(--($AR$2:$AR$3001&lt;$AR2949))+1,"")</f>
        <v/>
      </c>
      <c r="AP2949">
        <f>IF($E2949="","",IF(OR($U2949=TRUE(),$U2949="TRUE"),1,0))</f>
        <v/>
      </c>
      <c r="AQ2949">
        <f>IF($E2949="","",IF($AD2949="Yes",1,0))</f>
        <v/>
      </c>
      <c r="AR2949">
        <f>IF($AN2949=1,IFERROR(VALUE(MID($E2949,2,20)),1000000000)+ROW()/100000,"")</f>
        <v/>
      </c>
    </row>
    <row r="2950">
      <c r="G2950" s="11" t="n"/>
      <c r="Q2950" s="7">
        <f>IF($E2950="","",P2950*AB2950/100)</f>
        <v/>
      </c>
      <c r="R2950" s="7" t="n"/>
      <c r="X2950" s="7" t="n"/>
      <c r="Y2950" s="7">
        <f>IF($E2950="","",AB2950*AE2950/100)</f>
        <v/>
      </c>
      <c r="Z2950" s="7">
        <f>IF($E2950="","",AB2950-Y2950)</f>
        <v/>
      </c>
      <c r="AA2950" s="7">
        <f>IF($E2950="","",Z2950-Q2950)</f>
        <v/>
      </c>
      <c r="AB2950" s="7" t="n"/>
      <c r="AE2950">
        <f>IF($E2950="","",IF($AQ2950=1,0,IF($AP2950=1,Settings!$C$6,Settings!$C$7))*100)</f>
        <v/>
      </c>
      <c r="AI2950" s="7" t="n"/>
      <c r="AL2950" s="11" t="n"/>
      <c r="AN2950">
        <f>IF($E2950="","",IF(COUNTIF($E$2:$E2950,$E2950)=1,1,0))</f>
        <v/>
      </c>
      <c r="AO2950">
        <f>IF($AN2950=1,SUMPRODUCT(--($AR$2:$AR$3001&lt;$AR2950))+1,"")</f>
        <v/>
      </c>
      <c r="AP2950">
        <f>IF($E2950="","",IF(OR($U2950=TRUE(),$U2950="TRUE"),1,0))</f>
        <v/>
      </c>
      <c r="AQ2950">
        <f>IF($E2950="","",IF($AD2950="Yes",1,0))</f>
        <v/>
      </c>
      <c r="AR2950">
        <f>IF($AN2950=1,IFERROR(VALUE(MID($E2950,2,20)),1000000000)+ROW()/100000,"")</f>
        <v/>
      </c>
    </row>
    <row r="2951">
      <c r="G2951" s="11" t="n"/>
      <c r="Q2951" s="7">
        <f>IF($E2951="","",P2951*AB2951/100)</f>
        <v/>
      </c>
      <c r="R2951" s="7" t="n"/>
      <c r="X2951" s="7" t="n"/>
      <c r="Y2951" s="7">
        <f>IF($E2951="","",AB2951*AE2951/100)</f>
        <v/>
      </c>
      <c r="Z2951" s="7">
        <f>IF($E2951="","",AB2951-Y2951)</f>
        <v/>
      </c>
      <c r="AA2951" s="7">
        <f>IF($E2951="","",Z2951-Q2951)</f>
        <v/>
      </c>
      <c r="AB2951" s="7" t="n"/>
      <c r="AE2951">
        <f>IF($E2951="","",IF($AQ2951=1,0,IF($AP2951=1,Settings!$C$6,Settings!$C$7))*100)</f>
        <v/>
      </c>
      <c r="AI2951" s="7" t="n"/>
      <c r="AL2951" s="11" t="n"/>
      <c r="AN2951">
        <f>IF($E2951="","",IF(COUNTIF($E$2:$E2951,$E2951)=1,1,0))</f>
        <v/>
      </c>
      <c r="AO2951">
        <f>IF($AN2951=1,SUMPRODUCT(--($AR$2:$AR$3001&lt;$AR2951))+1,"")</f>
        <v/>
      </c>
      <c r="AP2951">
        <f>IF($E2951="","",IF(OR($U2951=TRUE(),$U2951="TRUE"),1,0))</f>
        <v/>
      </c>
      <c r="AQ2951">
        <f>IF($E2951="","",IF($AD2951="Yes",1,0))</f>
        <v/>
      </c>
      <c r="AR2951">
        <f>IF($AN2951=1,IFERROR(VALUE(MID($E2951,2,20)),1000000000)+ROW()/100000,"")</f>
        <v/>
      </c>
    </row>
    <row r="2952">
      <c r="G2952" s="11" t="n"/>
      <c r="Q2952" s="7">
        <f>IF($E2952="","",P2952*AB2952/100)</f>
        <v/>
      </c>
      <c r="R2952" s="7" t="n"/>
      <c r="X2952" s="7" t="n"/>
      <c r="Y2952" s="7">
        <f>IF($E2952="","",AB2952*AE2952/100)</f>
        <v/>
      </c>
      <c r="Z2952" s="7">
        <f>IF($E2952="","",AB2952-Y2952)</f>
        <v/>
      </c>
      <c r="AA2952" s="7">
        <f>IF($E2952="","",Z2952-Q2952)</f>
        <v/>
      </c>
      <c r="AB2952" s="7" t="n"/>
      <c r="AE2952">
        <f>IF($E2952="","",IF($AQ2952=1,0,IF($AP2952=1,Settings!$C$6,Settings!$C$7))*100)</f>
        <v/>
      </c>
      <c r="AI2952" s="7" t="n"/>
      <c r="AL2952" s="11" t="n"/>
      <c r="AN2952">
        <f>IF($E2952="","",IF(COUNTIF($E$2:$E2952,$E2952)=1,1,0))</f>
        <v/>
      </c>
      <c r="AO2952">
        <f>IF($AN2952=1,SUMPRODUCT(--($AR$2:$AR$3001&lt;$AR2952))+1,"")</f>
        <v/>
      </c>
      <c r="AP2952">
        <f>IF($E2952="","",IF(OR($U2952=TRUE(),$U2952="TRUE"),1,0))</f>
        <v/>
      </c>
      <c r="AQ2952">
        <f>IF($E2952="","",IF($AD2952="Yes",1,0))</f>
        <v/>
      </c>
      <c r="AR2952">
        <f>IF($AN2952=1,IFERROR(VALUE(MID($E2952,2,20)),1000000000)+ROW()/100000,"")</f>
        <v/>
      </c>
    </row>
    <row r="2953">
      <c r="G2953" s="11" t="n"/>
      <c r="Q2953" s="7">
        <f>IF($E2953="","",P2953*AB2953/100)</f>
        <v/>
      </c>
      <c r="R2953" s="7" t="n"/>
      <c r="X2953" s="7" t="n"/>
      <c r="Y2953" s="7">
        <f>IF($E2953="","",AB2953*AE2953/100)</f>
        <v/>
      </c>
      <c r="Z2953" s="7">
        <f>IF($E2953="","",AB2953-Y2953)</f>
        <v/>
      </c>
      <c r="AA2953" s="7">
        <f>IF($E2953="","",Z2953-Q2953)</f>
        <v/>
      </c>
      <c r="AB2953" s="7" t="n"/>
      <c r="AE2953">
        <f>IF($E2953="","",IF($AQ2953=1,0,IF($AP2953=1,Settings!$C$6,Settings!$C$7))*100)</f>
        <v/>
      </c>
      <c r="AI2953" s="7" t="n"/>
      <c r="AL2953" s="11" t="n"/>
      <c r="AN2953">
        <f>IF($E2953="","",IF(COUNTIF($E$2:$E2953,$E2953)=1,1,0))</f>
        <v/>
      </c>
      <c r="AO2953">
        <f>IF($AN2953=1,SUMPRODUCT(--($AR$2:$AR$3001&lt;$AR2953))+1,"")</f>
        <v/>
      </c>
      <c r="AP2953">
        <f>IF($E2953="","",IF(OR($U2953=TRUE(),$U2953="TRUE"),1,0))</f>
        <v/>
      </c>
      <c r="AQ2953">
        <f>IF($E2953="","",IF($AD2953="Yes",1,0))</f>
        <v/>
      </c>
      <c r="AR2953">
        <f>IF($AN2953=1,IFERROR(VALUE(MID($E2953,2,20)),1000000000)+ROW()/100000,"")</f>
        <v/>
      </c>
    </row>
    <row r="2954">
      <c r="G2954" s="11" t="n"/>
      <c r="Q2954" s="7">
        <f>IF($E2954="","",P2954*AB2954/100)</f>
        <v/>
      </c>
      <c r="R2954" s="7" t="n"/>
      <c r="X2954" s="7" t="n"/>
      <c r="Y2954" s="7">
        <f>IF($E2954="","",AB2954*AE2954/100)</f>
        <v/>
      </c>
      <c r="Z2954" s="7">
        <f>IF($E2954="","",AB2954-Y2954)</f>
        <v/>
      </c>
      <c r="AA2954" s="7">
        <f>IF($E2954="","",Z2954-Q2954)</f>
        <v/>
      </c>
      <c r="AB2954" s="7" t="n"/>
      <c r="AE2954">
        <f>IF($E2954="","",IF($AQ2954=1,0,IF($AP2954=1,Settings!$C$6,Settings!$C$7))*100)</f>
        <v/>
      </c>
      <c r="AI2954" s="7" t="n"/>
      <c r="AL2954" s="11" t="n"/>
      <c r="AN2954">
        <f>IF($E2954="","",IF(COUNTIF($E$2:$E2954,$E2954)=1,1,0))</f>
        <v/>
      </c>
      <c r="AO2954">
        <f>IF($AN2954=1,SUMPRODUCT(--($AR$2:$AR$3001&lt;$AR2954))+1,"")</f>
        <v/>
      </c>
      <c r="AP2954">
        <f>IF($E2954="","",IF(OR($U2954=TRUE(),$U2954="TRUE"),1,0))</f>
        <v/>
      </c>
      <c r="AQ2954">
        <f>IF($E2954="","",IF($AD2954="Yes",1,0))</f>
        <v/>
      </c>
      <c r="AR2954">
        <f>IF($AN2954=1,IFERROR(VALUE(MID($E2954,2,20)),1000000000)+ROW()/100000,"")</f>
        <v/>
      </c>
    </row>
    <row r="2955">
      <c r="G2955" s="11" t="n"/>
      <c r="Q2955" s="7">
        <f>IF($E2955="","",P2955*AB2955/100)</f>
        <v/>
      </c>
      <c r="R2955" s="7" t="n"/>
      <c r="X2955" s="7" t="n"/>
      <c r="Y2955" s="7">
        <f>IF($E2955="","",AB2955*AE2955/100)</f>
        <v/>
      </c>
      <c r="Z2955" s="7">
        <f>IF($E2955="","",AB2955-Y2955)</f>
        <v/>
      </c>
      <c r="AA2955" s="7">
        <f>IF($E2955="","",Z2955-Q2955)</f>
        <v/>
      </c>
      <c r="AB2955" s="7" t="n"/>
      <c r="AE2955">
        <f>IF($E2955="","",IF($AQ2955=1,0,IF($AP2955=1,Settings!$C$6,Settings!$C$7))*100)</f>
        <v/>
      </c>
      <c r="AI2955" s="7" t="n"/>
      <c r="AL2955" s="11" t="n"/>
      <c r="AN2955">
        <f>IF($E2955="","",IF(COUNTIF($E$2:$E2955,$E2955)=1,1,0))</f>
        <v/>
      </c>
      <c r="AO2955">
        <f>IF($AN2955=1,SUMPRODUCT(--($AR$2:$AR$3001&lt;$AR2955))+1,"")</f>
        <v/>
      </c>
      <c r="AP2955">
        <f>IF($E2955="","",IF(OR($U2955=TRUE(),$U2955="TRUE"),1,0))</f>
        <v/>
      </c>
      <c r="AQ2955">
        <f>IF($E2955="","",IF($AD2955="Yes",1,0))</f>
        <v/>
      </c>
      <c r="AR2955">
        <f>IF($AN2955=1,IFERROR(VALUE(MID($E2955,2,20)),1000000000)+ROW()/100000,"")</f>
        <v/>
      </c>
    </row>
    <row r="2956">
      <c r="G2956" s="11" t="n"/>
      <c r="Q2956" s="7">
        <f>IF($E2956="","",P2956*AB2956/100)</f>
        <v/>
      </c>
      <c r="R2956" s="7" t="n"/>
      <c r="X2956" s="7" t="n"/>
      <c r="Y2956" s="7">
        <f>IF($E2956="","",AB2956*AE2956/100)</f>
        <v/>
      </c>
      <c r="Z2956" s="7">
        <f>IF($E2956="","",AB2956-Y2956)</f>
        <v/>
      </c>
      <c r="AA2956" s="7">
        <f>IF($E2956="","",Z2956-Q2956)</f>
        <v/>
      </c>
      <c r="AB2956" s="7" t="n"/>
      <c r="AE2956">
        <f>IF($E2956="","",IF($AQ2956=1,0,IF($AP2956=1,Settings!$C$6,Settings!$C$7))*100)</f>
        <v/>
      </c>
      <c r="AI2956" s="7" t="n"/>
      <c r="AL2956" s="11" t="n"/>
      <c r="AN2956">
        <f>IF($E2956="","",IF(COUNTIF($E$2:$E2956,$E2956)=1,1,0))</f>
        <v/>
      </c>
      <c r="AO2956">
        <f>IF($AN2956=1,SUMPRODUCT(--($AR$2:$AR$3001&lt;$AR2956))+1,"")</f>
        <v/>
      </c>
      <c r="AP2956">
        <f>IF($E2956="","",IF(OR($U2956=TRUE(),$U2956="TRUE"),1,0))</f>
        <v/>
      </c>
      <c r="AQ2956">
        <f>IF($E2956="","",IF($AD2956="Yes",1,0))</f>
        <v/>
      </c>
      <c r="AR2956">
        <f>IF($AN2956=1,IFERROR(VALUE(MID($E2956,2,20)),1000000000)+ROW()/100000,"")</f>
        <v/>
      </c>
    </row>
    <row r="2957">
      <c r="G2957" s="11" t="n"/>
      <c r="Q2957" s="7">
        <f>IF($E2957="","",P2957*AB2957/100)</f>
        <v/>
      </c>
      <c r="R2957" s="7" t="n"/>
      <c r="X2957" s="7" t="n"/>
      <c r="Y2957" s="7">
        <f>IF($E2957="","",AB2957*AE2957/100)</f>
        <v/>
      </c>
      <c r="Z2957" s="7">
        <f>IF($E2957="","",AB2957-Y2957)</f>
        <v/>
      </c>
      <c r="AA2957" s="7">
        <f>IF($E2957="","",Z2957-Q2957)</f>
        <v/>
      </c>
      <c r="AB2957" s="7" t="n"/>
      <c r="AE2957">
        <f>IF($E2957="","",IF($AQ2957=1,0,IF($AP2957=1,Settings!$C$6,Settings!$C$7))*100)</f>
        <v/>
      </c>
      <c r="AI2957" s="7" t="n"/>
      <c r="AL2957" s="11" t="n"/>
      <c r="AN2957">
        <f>IF($E2957="","",IF(COUNTIF($E$2:$E2957,$E2957)=1,1,0))</f>
        <v/>
      </c>
      <c r="AO2957">
        <f>IF($AN2957=1,SUMPRODUCT(--($AR$2:$AR$3001&lt;$AR2957))+1,"")</f>
        <v/>
      </c>
      <c r="AP2957">
        <f>IF($E2957="","",IF(OR($U2957=TRUE(),$U2957="TRUE"),1,0))</f>
        <v/>
      </c>
      <c r="AQ2957">
        <f>IF($E2957="","",IF($AD2957="Yes",1,0))</f>
        <v/>
      </c>
      <c r="AR2957">
        <f>IF($AN2957=1,IFERROR(VALUE(MID($E2957,2,20)),1000000000)+ROW()/100000,"")</f>
        <v/>
      </c>
    </row>
    <row r="2958">
      <c r="G2958" s="11" t="n"/>
      <c r="Q2958" s="7">
        <f>IF($E2958="","",P2958*AB2958/100)</f>
        <v/>
      </c>
      <c r="R2958" s="7" t="n"/>
      <c r="X2958" s="7" t="n"/>
      <c r="Y2958" s="7">
        <f>IF($E2958="","",AB2958*AE2958/100)</f>
        <v/>
      </c>
      <c r="Z2958" s="7">
        <f>IF($E2958="","",AB2958-Y2958)</f>
        <v/>
      </c>
      <c r="AA2958" s="7">
        <f>IF($E2958="","",Z2958-Q2958)</f>
        <v/>
      </c>
      <c r="AB2958" s="7" t="n"/>
      <c r="AE2958">
        <f>IF($E2958="","",IF($AQ2958=1,0,IF($AP2958=1,Settings!$C$6,Settings!$C$7))*100)</f>
        <v/>
      </c>
      <c r="AI2958" s="7" t="n"/>
      <c r="AL2958" s="11" t="n"/>
      <c r="AN2958">
        <f>IF($E2958="","",IF(COUNTIF($E$2:$E2958,$E2958)=1,1,0))</f>
        <v/>
      </c>
      <c r="AO2958">
        <f>IF($AN2958=1,SUMPRODUCT(--($AR$2:$AR$3001&lt;$AR2958))+1,"")</f>
        <v/>
      </c>
      <c r="AP2958">
        <f>IF($E2958="","",IF(OR($U2958=TRUE(),$U2958="TRUE"),1,0))</f>
        <v/>
      </c>
      <c r="AQ2958">
        <f>IF($E2958="","",IF($AD2958="Yes",1,0))</f>
        <v/>
      </c>
      <c r="AR2958">
        <f>IF($AN2958=1,IFERROR(VALUE(MID($E2958,2,20)),1000000000)+ROW()/100000,"")</f>
        <v/>
      </c>
    </row>
    <row r="2959">
      <c r="G2959" s="11" t="n"/>
      <c r="Q2959" s="7">
        <f>IF($E2959="","",P2959*AB2959/100)</f>
        <v/>
      </c>
      <c r="R2959" s="7" t="n"/>
      <c r="X2959" s="7" t="n"/>
      <c r="Y2959" s="7">
        <f>IF($E2959="","",AB2959*AE2959/100)</f>
        <v/>
      </c>
      <c r="Z2959" s="7">
        <f>IF($E2959="","",AB2959-Y2959)</f>
        <v/>
      </c>
      <c r="AA2959" s="7">
        <f>IF($E2959="","",Z2959-Q2959)</f>
        <v/>
      </c>
      <c r="AB2959" s="7" t="n"/>
      <c r="AE2959">
        <f>IF($E2959="","",IF($AQ2959=1,0,IF($AP2959=1,Settings!$C$6,Settings!$C$7))*100)</f>
        <v/>
      </c>
      <c r="AI2959" s="7" t="n"/>
      <c r="AL2959" s="11" t="n"/>
      <c r="AN2959">
        <f>IF($E2959="","",IF(COUNTIF($E$2:$E2959,$E2959)=1,1,0))</f>
        <v/>
      </c>
      <c r="AO2959">
        <f>IF($AN2959=1,SUMPRODUCT(--($AR$2:$AR$3001&lt;$AR2959))+1,"")</f>
        <v/>
      </c>
      <c r="AP2959">
        <f>IF($E2959="","",IF(OR($U2959=TRUE(),$U2959="TRUE"),1,0))</f>
        <v/>
      </c>
      <c r="AQ2959">
        <f>IF($E2959="","",IF($AD2959="Yes",1,0))</f>
        <v/>
      </c>
      <c r="AR2959">
        <f>IF($AN2959=1,IFERROR(VALUE(MID($E2959,2,20)),1000000000)+ROW()/100000,"")</f>
        <v/>
      </c>
    </row>
    <row r="2960">
      <c r="G2960" s="11" t="n"/>
      <c r="Q2960" s="7">
        <f>IF($E2960="","",P2960*AB2960/100)</f>
        <v/>
      </c>
      <c r="R2960" s="7" t="n"/>
      <c r="X2960" s="7" t="n"/>
      <c r="Y2960" s="7">
        <f>IF($E2960="","",AB2960*AE2960/100)</f>
        <v/>
      </c>
      <c r="Z2960" s="7">
        <f>IF($E2960="","",AB2960-Y2960)</f>
        <v/>
      </c>
      <c r="AA2960" s="7">
        <f>IF($E2960="","",Z2960-Q2960)</f>
        <v/>
      </c>
      <c r="AB2960" s="7" t="n"/>
      <c r="AE2960">
        <f>IF($E2960="","",IF($AQ2960=1,0,IF($AP2960=1,Settings!$C$6,Settings!$C$7))*100)</f>
        <v/>
      </c>
      <c r="AI2960" s="7" t="n"/>
      <c r="AL2960" s="11" t="n"/>
      <c r="AN2960">
        <f>IF($E2960="","",IF(COUNTIF($E$2:$E2960,$E2960)=1,1,0))</f>
        <v/>
      </c>
      <c r="AO2960">
        <f>IF($AN2960=1,SUMPRODUCT(--($AR$2:$AR$3001&lt;$AR2960))+1,"")</f>
        <v/>
      </c>
      <c r="AP2960">
        <f>IF($E2960="","",IF(OR($U2960=TRUE(),$U2960="TRUE"),1,0))</f>
        <v/>
      </c>
      <c r="AQ2960">
        <f>IF($E2960="","",IF($AD2960="Yes",1,0))</f>
        <v/>
      </c>
      <c r="AR2960">
        <f>IF($AN2960=1,IFERROR(VALUE(MID($E2960,2,20)),1000000000)+ROW()/100000,"")</f>
        <v/>
      </c>
    </row>
    <row r="2961">
      <c r="G2961" s="11" t="n"/>
      <c r="Q2961" s="7">
        <f>IF($E2961="","",P2961*AB2961/100)</f>
        <v/>
      </c>
      <c r="R2961" s="7" t="n"/>
      <c r="X2961" s="7" t="n"/>
      <c r="Y2961" s="7">
        <f>IF($E2961="","",AB2961*AE2961/100)</f>
        <v/>
      </c>
      <c r="Z2961" s="7">
        <f>IF($E2961="","",AB2961-Y2961)</f>
        <v/>
      </c>
      <c r="AA2961" s="7">
        <f>IF($E2961="","",Z2961-Q2961)</f>
        <v/>
      </c>
      <c r="AB2961" s="7" t="n"/>
      <c r="AE2961">
        <f>IF($E2961="","",IF($AQ2961=1,0,IF($AP2961=1,Settings!$C$6,Settings!$C$7))*100)</f>
        <v/>
      </c>
      <c r="AI2961" s="7" t="n"/>
      <c r="AL2961" s="11" t="n"/>
      <c r="AN2961">
        <f>IF($E2961="","",IF(COUNTIF($E$2:$E2961,$E2961)=1,1,0))</f>
        <v/>
      </c>
      <c r="AO2961">
        <f>IF($AN2961=1,SUMPRODUCT(--($AR$2:$AR$3001&lt;$AR2961))+1,"")</f>
        <v/>
      </c>
      <c r="AP2961">
        <f>IF($E2961="","",IF(OR($U2961=TRUE(),$U2961="TRUE"),1,0))</f>
        <v/>
      </c>
      <c r="AQ2961">
        <f>IF($E2961="","",IF($AD2961="Yes",1,0))</f>
        <v/>
      </c>
      <c r="AR2961">
        <f>IF($AN2961=1,IFERROR(VALUE(MID($E2961,2,20)),1000000000)+ROW()/100000,"")</f>
        <v/>
      </c>
    </row>
    <row r="2962">
      <c r="G2962" s="11" t="n"/>
      <c r="Q2962" s="7">
        <f>IF($E2962="","",P2962*AB2962/100)</f>
        <v/>
      </c>
      <c r="R2962" s="7" t="n"/>
      <c r="X2962" s="7" t="n"/>
      <c r="Y2962" s="7">
        <f>IF($E2962="","",AB2962*AE2962/100)</f>
        <v/>
      </c>
      <c r="Z2962" s="7">
        <f>IF($E2962="","",AB2962-Y2962)</f>
        <v/>
      </c>
      <c r="AA2962" s="7">
        <f>IF($E2962="","",Z2962-Q2962)</f>
        <v/>
      </c>
      <c r="AB2962" s="7" t="n"/>
      <c r="AE2962">
        <f>IF($E2962="","",IF($AQ2962=1,0,IF($AP2962=1,Settings!$C$6,Settings!$C$7))*100)</f>
        <v/>
      </c>
      <c r="AI2962" s="7" t="n"/>
      <c r="AL2962" s="11" t="n"/>
      <c r="AN2962">
        <f>IF($E2962="","",IF(COUNTIF($E$2:$E2962,$E2962)=1,1,0))</f>
        <v/>
      </c>
      <c r="AO2962">
        <f>IF($AN2962=1,SUMPRODUCT(--($AR$2:$AR$3001&lt;$AR2962))+1,"")</f>
        <v/>
      </c>
      <c r="AP2962">
        <f>IF($E2962="","",IF(OR($U2962=TRUE(),$U2962="TRUE"),1,0))</f>
        <v/>
      </c>
      <c r="AQ2962">
        <f>IF($E2962="","",IF($AD2962="Yes",1,0))</f>
        <v/>
      </c>
      <c r="AR2962">
        <f>IF($AN2962=1,IFERROR(VALUE(MID($E2962,2,20)),1000000000)+ROW()/100000,"")</f>
        <v/>
      </c>
    </row>
    <row r="2963">
      <c r="G2963" s="11" t="n"/>
      <c r="Q2963" s="7">
        <f>IF($E2963="","",P2963*AB2963/100)</f>
        <v/>
      </c>
      <c r="R2963" s="7" t="n"/>
      <c r="X2963" s="7" t="n"/>
      <c r="Y2963" s="7">
        <f>IF($E2963="","",AB2963*AE2963/100)</f>
        <v/>
      </c>
      <c r="Z2963" s="7">
        <f>IF($E2963="","",AB2963-Y2963)</f>
        <v/>
      </c>
      <c r="AA2963" s="7">
        <f>IF($E2963="","",Z2963-Q2963)</f>
        <v/>
      </c>
      <c r="AB2963" s="7" t="n"/>
      <c r="AE2963">
        <f>IF($E2963="","",IF($AQ2963=1,0,IF($AP2963=1,Settings!$C$6,Settings!$C$7))*100)</f>
        <v/>
      </c>
      <c r="AI2963" s="7" t="n"/>
      <c r="AL2963" s="11" t="n"/>
      <c r="AN2963">
        <f>IF($E2963="","",IF(COUNTIF($E$2:$E2963,$E2963)=1,1,0))</f>
        <v/>
      </c>
      <c r="AO2963">
        <f>IF($AN2963=1,SUMPRODUCT(--($AR$2:$AR$3001&lt;$AR2963))+1,"")</f>
        <v/>
      </c>
      <c r="AP2963">
        <f>IF($E2963="","",IF(OR($U2963=TRUE(),$U2963="TRUE"),1,0))</f>
        <v/>
      </c>
      <c r="AQ2963">
        <f>IF($E2963="","",IF($AD2963="Yes",1,0))</f>
        <v/>
      </c>
      <c r="AR2963">
        <f>IF($AN2963=1,IFERROR(VALUE(MID($E2963,2,20)),1000000000)+ROW()/100000,"")</f>
        <v/>
      </c>
    </row>
    <row r="2964">
      <c r="G2964" s="11" t="n"/>
      <c r="Q2964" s="7">
        <f>IF($E2964="","",P2964*AB2964/100)</f>
        <v/>
      </c>
      <c r="R2964" s="7" t="n"/>
      <c r="X2964" s="7" t="n"/>
      <c r="Y2964" s="7">
        <f>IF($E2964="","",AB2964*AE2964/100)</f>
        <v/>
      </c>
      <c r="Z2964" s="7">
        <f>IF($E2964="","",AB2964-Y2964)</f>
        <v/>
      </c>
      <c r="AA2964" s="7">
        <f>IF($E2964="","",Z2964-Q2964)</f>
        <v/>
      </c>
      <c r="AB2964" s="7" t="n"/>
      <c r="AE2964">
        <f>IF($E2964="","",IF($AQ2964=1,0,IF($AP2964=1,Settings!$C$6,Settings!$C$7))*100)</f>
        <v/>
      </c>
      <c r="AI2964" s="7" t="n"/>
      <c r="AL2964" s="11" t="n"/>
      <c r="AN2964">
        <f>IF($E2964="","",IF(COUNTIF($E$2:$E2964,$E2964)=1,1,0))</f>
        <v/>
      </c>
      <c r="AO2964">
        <f>IF($AN2964=1,SUMPRODUCT(--($AR$2:$AR$3001&lt;$AR2964))+1,"")</f>
        <v/>
      </c>
      <c r="AP2964">
        <f>IF($E2964="","",IF(OR($U2964=TRUE(),$U2964="TRUE"),1,0))</f>
        <v/>
      </c>
      <c r="AQ2964">
        <f>IF($E2964="","",IF($AD2964="Yes",1,0))</f>
        <v/>
      </c>
      <c r="AR2964">
        <f>IF($AN2964=1,IFERROR(VALUE(MID($E2964,2,20)),1000000000)+ROW()/100000,"")</f>
        <v/>
      </c>
    </row>
    <row r="2965">
      <c r="G2965" s="11" t="n"/>
      <c r="Q2965" s="7">
        <f>IF($E2965="","",P2965*AB2965/100)</f>
        <v/>
      </c>
      <c r="R2965" s="7" t="n"/>
      <c r="X2965" s="7" t="n"/>
      <c r="Y2965" s="7">
        <f>IF($E2965="","",AB2965*AE2965/100)</f>
        <v/>
      </c>
      <c r="Z2965" s="7">
        <f>IF($E2965="","",AB2965-Y2965)</f>
        <v/>
      </c>
      <c r="AA2965" s="7">
        <f>IF($E2965="","",Z2965-Q2965)</f>
        <v/>
      </c>
      <c r="AB2965" s="7" t="n"/>
      <c r="AE2965">
        <f>IF($E2965="","",IF($AQ2965=1,0,IF($AP2965=1,Settings!$C$6,Settings!$C$7))*100)</f>
        <v/>
      </c>
      <c r="AI2965" s="7" t="n"/>
      <c r="AL2965" s="11" t="n"/>
      <c r="AN2965">
        <f>IF($E2965="","",IF(COUNTIF($E$2:$E2965,$E2965)=1,1,0))</f>
        <v/>
      </c>
      <c r="AO2965">
        <f>IF($AN2965=1,SUMPRODUCT(--($AR$2:$AR$3001&lt;$AR2965))+1,"")</f>
        <v/>
      </c>
      <c r="AP2965">
        <f>IF($E2965="","",IF(OR($U2965=TRUE(),$U2965="TRUE"),1,0))</f>
        <v/>
      </c>
      <c r="AQ2965">
        <f>IF($E2965="","",IF($AD2965="Yes",1,0))</f>
        <v/>
      </c>
      <c r="AR2965">
        <f>IF($AN2965=1,IFERROR(VALUE(MID($E2965,2,20)),1000000000)+ROW()/100000,"")</f>
        <v/>
      </c>
    </row>
    <row r="2966">
      <c r="G2966" s="11" t="n"/>
      <c r="Q2966" s="7">
        <f>IF($E2966="","",P2966*AB2966/100)</f>
        <v/>
      </c>
      <c r="R2966" s="7" t="n"/>
      <c r="X2966" s="7" t="n"/>
      <c r="Y2966" s="7">
        <f>IF($E2966="","",AB2966*AE2966/100)</f>
        <v/>
      </c>
      <c r="Z2966" s="7">
        <f>IF($E2966="","",AB2966-Y2966)</f>
        <v/>
      </c>
      <c r="AA2966" s="7">
        <f>IF($E2966="","",Z2966-Q2966)</f>
        <v/>
      </c>
      <c r="AB2966" s="7" t="n"/>
      <c r="AE2966">
        <f>IF($E2966="","",IF($AQ2966=1,0,IF($AP2966=1,Settings!$C$6,Settings!$C$7))*100)</f>
        <v/>
      </c>
      <c r="AI2966" s="7" t="n"/>
      <c r="AL2966" s="11" t="n"/>
      <c r="AN2966">
        <f>IF($E2966="","",IF(COUNTIF($E$2:$E2966,$E2966)=1,1,0))</f>
        <v/>
      </c>
      <c r="AO2966">
        <f>IF($AN2966=1,SUMPRODUCT(--($AR$2:$AR$3001&lt;$AR2966))+1,"")</f>
        <v/>
      </c>
      <c r="AP2966">
        <f>IF($E2966="","",IF(OR($U2966=TRUE(),$U2966="TRUE"),1,0))</f>
        <v/>
      </c>
      <c r="AQ2966">
        <f>IF($E2966="","",IF($AD2966="Yes",1,0))</f>
        <v/>
      </c>
      <c r="AR2966">
        <f>IF($AN2966=1,IFERROR(VALUE(MID($E2966,2,20)),1000000000)+ROW()/100000,"")</f>
        <v/>
      </c>
    </row>
    <row r="2967">
      <c r="G2967" s="11" t="n"/>
      <c r="Q2967" s="7">
        <f>IF($E2967="","",P2967*AB2967/100)</f>
        <v/>
      </c>
      <c r="R2967" s="7" t="n"/>
      <c r="X2967" s="7" t="n"/>
      <c r="Y2967" s="7">
        <f>IF($E2967="","",AB2967*AE2967/100)</f>
        <v/>
      </c>
      <c r="Z2967" s="7">
        <f>IF($E2967="","",AB2967-Y2967)</f>
        <v/>
      </c>
      <c r="AA2967" s="7">
        <f>IF($E2967="","",Z2967-Q2967)</f>
        <v/>
      </c>
      <c r="AB2967" s="7" t="n"/>
      <c r="AE2967">
        <f>IF($E2967="","",IF($AQ2967=1,0,IF($AP2967=1,Settings!$C$6,Settings!$C$7))*100)</f>
        <v/>
      </c>
      <c r="AI2967" s="7" t="n"/>
      <c r="AL2967" s="11" t="n"/>
      <c r="AN2967">
        <f>IF($E2967="","",IF(COUNTIF($E$2:$E2967,$E2967)=1,1,0))</f>
        <v/>
      </c>
      <c r="AO2967">
        <f>IF($AN2967=1,SUMPRODUCT(--($AR$2:$AR$3001&lt;$AR2967))+1,"")</f>
        <v/>
      </c>
      <c r="AP2967">
        <f>IF($E2967="","",IF(OR($U2967=TRUE(),$U2967="TRUE"),1,0))</f>
        <v/>
      </c>
      <c r="AQ2967">
        <f>IF($E2967="","",IF($AD2967="Yes",1,0))</f>
        <v/>
      </c>
      <c r="AR2967">
        <f>IF($AN2967=1,IFERROR(VALUE(MID($E2967,2,20)),1000000000)+ROW()/100000,"")</f>
        <v/>
      </c>
    </row>
    <row r="2968">
      <c r="G2968" s="11" t="n"/>
      <c r="Q2968" s="7">
        <f>IF($E2968="","",P2968*AB2968/100)</f>
        <v/>
      </c>
      <c r="R2968" s="7" t="n"/>
      <c r="X2968" s="7" t="n"/>
      <c r="Y2968" s="7">
        <f>IF($E2968="","",AB2968*AE2968/100)</f>
        <v/>
      </c>
      <c r="Z2968" s="7">
        <f>IF($E2968="","",AB2968-Y2968)</f>
        <v/>
      </c>
      <c r="AA2968" s="7">
        <f>IF($E2968="","",Z2968-Q2968)</f>
        <v/>
      </c>
      <c r="AB2968" s="7" t="n"/>
      <c r="AE2968">
        <f>IF($E2968="","",IF($AQ2968=1,0,IF($AP2968=1,Settings!$C$6,Settings!$C$7))*100)</f>
        <v/>
      </c>
      <c r="AI2968" s="7" t="n"/>
      <c r="AL2968" s="11" t="n"/>
      <c r="AN2968">
        <f>IF($E2968="","",IF(COUNTIF($E$2:$E2968,$E2968)=1,1,0))</f>
        <v/>
      </c>
      <c r="AO2968">
        <f>IF($AN2968=1,SUMPRODUCT(--($AR$2:$AR$3001&lt;$AR2968))+1,"")</f>
        <v/>
      </c>
      <c r="AP2968">
        <f>IF($E2968="","",IF(OR($U2968=TRUE(),$U2968="TRUE"),1,0))</f>
        <v/>
      </c>
      <c r="AQ2968">
        <f>IF($E2968="","",IF($AD2968="Yes",1,0))</f>
        <v/>
      </c>
      <c r="AR2968">
        <f>IF($AN2968=1,IFERROR(VALUE(MID($E2968,2,20)),1000000000)+ROW()/100000,"")</f>
        <v/>
      </c>
    </row>
    <row r="2969">
      <c r="G2969" s="11" t="n"/>
      <c r="Q2969" s="7">
        <f>IF($E2969="","",P2969*AB2969/100)</f>
        <v/>
      </c>
      <c r="R2969" s="7" t="n"/>
      <c r="X2969" s="7" t="n"/>
      <c r="Y2969" s="7">
        <f>IF($E2969="","",AB2969*AE2969/100)</f>
        <v/>
      </c>
      <c r="Z2969" s="7">
        <f>IF($E2969="","",AB2969-Y2969)</f>
        <v/>
      </c>
      <c r="AA2969" s="7">
        <f>IF($E2969="","",Z2969-Q2969)</f>
        <v/>
      </c>
      <c r="AB2969" s="7" t="n"/>
      <c r="AE2969">
        <f>IF($E2969="","",IF($AQ2969=1,0,IF($AP2969=1,Settings!$C$6,Settings!$C$7))*100)</f>
        <v/>
      </c>
      <c r="AI2969" s="7" t="n"/>
      <c r="AL2969" s="11" t="n"/>
      <c r="AN2969">
        <f>IF($E2969="","",IF(COUNTIF($E$2:$E2969,$E2969)=1,1,0))</f>
        <v/>
      </c>
      <c r="AO2969">
        <f>IF($AN2969=1,SUMPRODUCT(--($AR$2:$AR$3001&lt;$AR2969))+1,"")</f>
        <v/>
      </c>
      <c r="AP2969">
        <f>IF($E2969="","",IF(OR($U2969=TRUE(),$U2969="TRUE"),1,0))</f>
        <v/>
      </c>
      <c r="AQ2969">
        <f>IF($E2969="","",IF($AD2969="Yes",1,0))</f>
        <v/>
      </c>
      <c r="AR2969">
        <f>IF($AN2969=1,IFERROR(VALUE(MID($E2969,2,20)),1000000000)+ROW()/100000,"")</f>
        <v/>
      </c>
    </row>
    <row r="2970">
      <c r="G2970" s="11" t="n"/>
      <c r="Q2970" s="7">
        <f>IF($E2970="","",P2970*AB2970/100)</f>
        <v/>
      </c>
      <c r="R2970" s="7" t="n"/>
      <c r="X2970" s="7" t="n"/>
      <c r="Y2970" s="7">
        <f>IF($E2970="","",AB2970*AE2970/100)</f>
        <v/>
      </c>
      <c r="Z2970" s="7">
        <f>IF($E2970="","",AB2970-Y2970)</f>
        <v/>
      </c>
      <c r="AA2970" s="7">
        <f>IF($E2970="","",Z2970-Q2970)</f>
        <v/>
      </c>
      <c r="AB2970" s="7" t="n"/>
      <c r="AE2970">
        <f>IF($E2970="","",IF($AQ2970=1,0,IF($AP2970=1,Settings!$C$6,Settings!$C$7))*100)</f>
        <v/>
      </c>
      <c r="AI2970" s="7" t="n"/>
      <c r="AL2970" s="11" t="n"/>
      <c r="AN2970">
        <f>IF($E2970="","",IF(COUNTIF($E$2:$E2970,$E2970)=1,1,0))</f>
        <v/>
      </c>
      <c r="AO2970">
        <f>IF($AN2970=1,SUMPRODUCT(--($AR$2:$AR$3001&lt;$AR2970))+1,"")</f>
        <v/>
      </c>
      <c r="AP2970">
        <f>IF($E2970="","",IF(OR($U2970=TRUE(),$U2970="TRUE"),1,0))</f>
        <v/>
      </c>
      <c r="AQ2970">
        <f>IF($E2970="","",IF($AD2970="Yes",1,0))</f>
        <v/>
      </c>
      <c r="AR2970">
        <f>IF($AN2970=1,IFERROR(VALUE(MID($E2970,2,20)),1000000000)+ROW()/100000,"")</f>
        <v/>
      </c>
    </row>
    <row r="2971">
      <c r="G2971" s="11" t="n"/>
      <c r="Q2971" s="7">
        <f>IF($E2971="","",P2971*AB2971/100)</f>
        <v/>
      </c>
      <c r="R2971" s="7" t="n"/>
      <c r="X2971" s="7" t="n"/>
      <c r="Y2971" s="7">
        <f>IF($E2971="","",AB2971*AE2971/100)</f>
        <v/>
      </c>
      <c r="Z2971" s="7">
        <f>IF($E2971="","",AB2971-Y2971)</f>
        <v/>
      </c>
      <c r="AA2971" s="7">
        <f>IF($E2971="","",Z2971-Q2971)</f>
        <v/>
      </c>
      <c r="AB2971" s="7" t="n"/>
      <c r="AE2971">
        <f>IF($E2971="","",IF($AQ2971=1,0,IF($AP2971=1,Settings!$C$6,Settings!$C$7))*100)</f>
        <v/>
      </c>
      <c r="AI2971" s="7" t="n"/>
      <c r="AL2971" s="11" t="n"/>
      <c r="AN2971">
        <f>IF($E2971="","",IF(COUNTIF($E$2:$E2971,$E2971)=1,1,0))</f>
        <v/>
      </c>
      <c r="AO2971">
        <f>IF($AN2971=1,SUMPRODUCT(--($AR$2:$AR$3001&lt;$AR2971))+1,"")</f>
        <v/>
      </c>
      <c r="AP2971">
        <f>IF($E2971="","",IF(OR($U2971=TRUE(),$U2971="TRUE"),1,0))</f>
        <v/>
      </c>
      <c r="AQ2971">
        <f>IF($E2971="","",IF($AD2971="Yes",1,0))</f>
        <v/>
      </c>
      <c r="AR2971">
        <f>IF($AN2971=1,IFERROR(VALUE(MID($E2971,2,20)),1000000000)+ROW()/100000,"")</f>
        <v/>
      </c>
    </row>
    <row r="2972">
      <c r="G2972" s="11" t="n"/>
      <c r="Q2972" s="7">
        <f>IF($E2972="","",P2972*AB2972/100)</f>
        <v/>
      </c>
      <c r="R2972" s="7" t="n"/>
      <c r="X2972" s="7" t="n"/>
      <c r="Y2972" s="7">
        <f>IF($E2972="","",AB2972*AE2972/100)</f>
        <v/>
      </c>
      <c r="Z2972" s="7">
        <f>IF($E2972="","",AB2972-Y2972)</f>
        <v/>
      </c>
      <c r="AA2972" s="7">
        <f>IF($E2972="","",Z2972-Q2972)</f>
        <v/>
      </c>
      <c r="AB2972" s="7" t="n"/>
      <c r="AE2972">
        <f>IF($E2972="","",IF($AQ2972=1,0,IF($AP2972=1,Settings!$C$6,Settings!$C$7))*100)</f>
        <v/>
      </c>
      <c r="AI2972" s="7" t="n"/>
      <c r="AL2972" s="11" t="n"/>
      <c r="AN2972">
        <f>IF($E2972="","",IF(COUNTIF($E$2:$E2972,$E2972)=1,1,0))</f>
        <v/>
      </c>
      <c r="AO2972">
        <f>IF($AN2972=1,SUMPRODUCT(--($AR$2:$AR$3001&lt;$AR2972))+1,"")</f>
        <v/>
      </c>
      <c r="AP2972">
        <f>IF($E2972="","",IF(OR($U2972=TRUE(),$U2972="TRUE"),1,0))</f>
        <v/>
      </c>
      <c r="AQ2972">
        <f>IF($E2972="","",IF($AD2972="Yes",1,0))</f>
        <v/>
      </c>
      <c r="AR2972">
        <f>IF($AN2972=1,IFERROR(VALUE(MID($E2972,2,20)),1000000000)+ROW()/100000,"")</f>
        <v/>
      </c>
    </row>
    <row r="2973">
      <c r="G2973" s="11" t="n"/>
      <c r="Q2973" s="7">
        <f>IF($E2973="","",P2973*AB2973/100)</f>
        <v/>
      </c>
      <c r="R2973" s="7" t="n"/>
      <c r="X2973" s="7" t="n"/>
      <c r="Y2973" s="7">
        <f>IF($E2973="","",AB2973*AE2973/100)</f>
        <v/>
      </c>
      <c r="Z2973" s="7">
        <f>IF($E2973="","",AB2973-Y2973)</f>
        <v/>
      </c>
      <c r="AA2973" s="7">
        <f>IF($E2973="","",Z2973-Q2973)</f>
        <v/>
      </c>
      <c r="AB2973" s="7" t="n"/>
      <c r="AE2973">
        <f>IF($E2973="","",IF($AQ2973=1,0,IF($AP2973=1,Settings!$C$6,Settings!$C$7))*100)</f>
        <v/>
      </c>
      <c r="AI2973" s="7" t="n"/>
      <c r="AL2973" s="11" t="n"/>
      <c r="AN2973">
        <f>IF($E2973="","",IF(COUNTIF($E$2:$E2973,$E2973)=1,1,0))</f>
        <v/>
      </c>
      <c r="AO2973">
        <f>IF($AN2973=1,SUMPRODUCT(--($AR$2:$AR$3001&lt;$AR2973))+1,"")</f>
        <v/>
      </c>
      <c r="AP2973">
        <f>IF($E2973="","",IF(OR($U2973=TRUE(),$U2973="TRUE"),1,0))</f>
        <v/>
      </c>
      <c r="AQ2973">
        <f>IF($E2973="","",IF($AD2973="Yes",1,0))</f>
        <v/>
      </c>
      <c r="AR2973">
        <f>IF($AN2973=1,IFERROR(VALUE(MID($E2973,2,20)),1000000000)+ROW()/100000,"")</f>
        <v/>
      </c>
    </row>
    <row r="2974">
      <c r="G2974" s="11" t="n"/>
      <c r="Q2974" s="7">
        <f>IF($E2974="","",P2974*AB2974/100)</f>
        <v/>
      </c>
      <c r="R2974" s="7" t="n"/>
      <c r="X2974" s="7" t="n"/>
      <c r="Y2974" s="7">
        <f>IF($E2974="","",AB2974*AE2974/100)</f>
        <v/>
      </c>
      <c r="Z2974" s="7">
        <f>IF($E2974="","",AB2974-Y2974)</f>
        <v/>
      </c>
      <c r="AA2974" s="7">
        <f>IF($E2974="","",Z2974-Q2974)</f>
        <v/>
      </c>
      <c r="AB2974" s="7" t="n"/>
      <c r="AE2974">
        <f>IF($E2974="","",IF($AQ2974=1,0,IF($AP2974=1,Settings!$C$6,Settings!$C$7))*100)</f>
        <v/>
      </c>
      <c r="AI2974" s="7" t="n"/>
      <c r="AL2974" s="11" t="n"/>
      <c r="AN2974">
        <f>IF($E2974="","",IF(COUNTIF($E$2:$E2974,$E2974)=1,1,0))</f>
        <v/>
      </c>
      <c r="AO2974">
        <f>IF($AN2974=1,SUMPRODUCT(--($AR$2:$AR$3001&lt;$AR2974))+1,"")</f>
        <v/>
      </c>
      <c r="AP2974">
        <f>IF($E2974="","",IF(OR($U2974=TRUE(),$U2974="TRUE"),1,0))</f>
        <v/>
      </c>
      <c r="AQ2974">
        <f>IF($E2974="","",IF($AD2974="Yes",1,0))</f>
        <v/>
      </c>
      <c r="AR2974">
        <f>IF($AN2974=1,IFERROR(VALUE(MID($E2974,2,20)),1000000000)+ROW()/100000,"")</f>
        <v/>
      </c>
    </row>
    <row r="2975">
      <c r="G2975" s="11" t="n"/>
      <c r="Q2975" s="7">
        <f>IF($E2975="","",P2975*AB2975/100)</f>
        <v/>
      </c>
      <c r="R2975" s="7" t="n"/>
      <c r="X2975" s="7" t="n"/>
      <c r="Y2975" s="7">
        <f>IF($E2975="","",AB2975*AE2975/100)</f>
        <v/>
      </c>
      <c r="Z2975" s="7">
        <f>IF($E2975="","",AB2975-Y2975)</f>
        <v/>
      </c>
      <c r="AA2975" s="7">
        <f>IF($E2975="","",Z2975-Q2975)</f>
        <v/>
      </c>
      <c r="AB2975" s="7" t="n"/>
      <c r="AE2975">
        <f>IF($E2975="","",IF($AQ2975=1,0,IF($AP2975=1,Settings!$C$6,Settings!$C$7))*100)</f>
        <v/>
      </c>
      <c r="AI2975" s="7" t="n"/>
      <c r="AL2975" s="11" t="n"/>
      <c r="AN2975">
        <f>IF($E2975="","",IF(COUNTIF($E$2:$E2975,$E2975)=1,1,0))</f>
        <v/>
      </c>
      <c r="AO2975">
        <f>IF($AN2975=1,SUMPRODUCT(--($AR$2:$AR$3001&lt;$AR2975))+1,"")</f>
        <v/>
      </c>
      <c r="AP2975">
        <f>IF($E2975="","",IF(OR($U2975=TRUE(),$U2975="TRUE"),1,0))</f>
        <v/>
      </c>
      <c r="AQ2975">
        <f>IF($E2975="","",IF($AD2975="Yes",1,0))</f>
        <v/>
      </c>
      <c r="AR2975">
        <f>IF($AN2975=1,IFERROR(VALUE(MID($E2975,2,20)),1000000000)+ROW()/100000,"")</f>
        <v/>
      </c>
    </row>
    <row r="2976">
      <c r="G2976" s="11" t="n"/>
      <c r="Q2976" s="7">
        <f>IF($E2976="","",P2976*AB2976/100)</f>
        <v/>
      </c>
      <c r="R2976" s="7" t="n"/>
      <c r="X2976" s="7" t="n"/>
      <c r="Y2976" s="7">
        <f>IF($E2976="","",AB2976*AE2976/100)</f>
        <v/>
      </c>
      <c r="Z2976" s="7">
        <f>IF($E2976="","",AB2976-Y2976)</f>
        <v/>
      </c>
      <c r="AA2976" s="7">
        <f>IF($E2976="","",Z2976-Q2976)</f>
        <v/>
      </c>
      <c r="AB2976" s="7" t="n"/>
      <c r="AE2976">
        <f>IF($E2976="","",IF($AQ2976=1,0,IF($AP2976=1,Settings!$C$6,Settings!$C$7))*100)</f>
        <v/>
      </c>
      <c r="AI2976" s="7" t="n"/>
      <c r="AL2976" s="11" t="n"/>
      <c r="AN2976">
        <f>IF($E2976="","",IF(COUNTIF($E$2:$E2976,$E2976)=1,1,0))</f>
        <v/>
      </c>
      <c r="AO2976">
        <f>IF($AN2976=1,SUMPRODUCT(--($AR$2:$AR$3001&lt;$AR2976))+1,"")</f>
        <v/>
      </c>
      <c r="AP2976">
        <f>IF($E2976="","",IF(OR($U2976=TRUE(),$U2976="TRUE"),1,0))</f>
        <v/>
      </c>
      <c r="AQ2976">
        <f>IF($E2976="","",IF($AD2976="Yes",1,0))</f>
        <v/>
      </c>
      <c r="AR2976">
        <f>IF($AN2976=1,IFERROR(VALUE(MID($E2976,2,20)),1000000000)+ROW()/100000,"")</f>
        <v/>
      </c>
    </row>
    <row r="2977">
      <c r="G2977" s="11" t="n"/>
      <c r="Q2977" s="7">
        <f>IF($E2977="","",P2977*AB2977/100)</f>
        <v/>
      </c>
      <c r="R2977" s="7" t="n"/>
      <c r="X2977" s="7" t="n"/>
      <c r="Y2977" s="7">
        <f>IF($E2977="","",AB2977*AE2977/100)</f>
        <v/>
      </c>
      <c r="Z2977" s="7">
        <f>IF($E2977="","",AB2977-Y2977)</f>
        <v/>
      </c>
      <c r="AA2977" s="7">
        <f>IF($E2977="","",Z2977-Q2977)</f>
        <v/>
      </c>
      <c r="AB2977" s="7" t="n"/>
      <c r="AE2977">
        <f>IF($E2977="","",IF($AQ2977=1,0,IF($AP2977=1,Settings!$C$6,Settings!$C$7))*100)</f>
        <v/>
      </c>
      <c r="AI2977" s="7" t="n"/>
      <c r="AL2977" s="11" t="n"/>
      <c r="AN2977">
        <f>IF($E2977="","",IF(COUNTIF($E$2:$E2977,$E2977)=1,1,0))</f>
        <v/>
      </c>
      <c r="AO2977">
        <f>IF($AN2977=1,SUMPRODUCT(--($AR$2:$AR$3001&lt;$AR2977))+1,"")</f>
        <v/>
      </c>
      <c r="AP2977">
        <f>IF($E2977="","",IF(OR($U2977=TRUE(),$U2977="TRUE"),1,0))</f>
        <v/>
      </c>
      <c r="AQ2977">
        <f>IF($E2977="","",IF($AD2977="Yes",1,0))</f>
        <v/>
      </c>
      <c r="AR2977">
        <f>IF($AN2977=1,IFERROR(VALUE(MID($E2977,2,20)),1000000000)+ROW()/100000,"")</f>
        <v/>
      </c>
    </row>
    <row r="2978">
      <c r="G2978" s="11" t="n"/>
      <c r="Q2978" s="7">
        <f>IF($E2978="","",P2978*AB2978/100)</f>
        <v/>
      </c>
      <c r="R2978" s="7" t="n"/>
      <c r="X2978" s="7" t="n"/>
      <c r="Y2978" s="7">
        <f>IF($E2978="","",AB2978*AE2978/100)</f>
        <v/>
      </c>
      <c r="Z2978" s="7">
        <f>IF($E2978="","",AB2978-Y2978)</f>
        <v/>
      </c>
      <c r="AA2978" s="7">
        <f>IF($E2978="","",Z2978-Q2978)</f>
        <v/>
      </c>
      <c r="AB2978" s="7" t="n"/>
      <c r="AE2978">
        <f>IF($E2978="","",IF($AQ2978=1,0,IF($AP2978=1,Settings!$C$6,Settings!$C$7))*100)</f>
        <v/>
      </c>
      <c r="AI2978" s="7" t="n"/>
      <c r="AL2978" s="11" t="n"/>
      <c r="AN2978">
        <f>IF($E2978="","",IF(COUNTIF($E$2:$E2978,$E2978)=1,1,0))</f>
        <v/>
      </c>
      <c r="AO2978">
        <f>IF($AN2978=1,SUMPRODUCT(--($AR$2:$AR$3001&lt;$AR2978))+1,"")</f>
        <v/>
      </c>
      <c r="AP2978">
        <f>IF($E2978="","",IF(OR($U2978=TRUE(),$U2978="TRUE"),1,0))</f>
        <v/>
      </c>
      <c r="AQ2978">
        <f>IF($E2978="","",IF($AD2978="Yes",1,0))</f>
        <v/>
      </c>
      <c r="AR2978">
        <f>IF($AN2978=1,IFERROR(VALUE(MID($E2978,2,20)),1000000000)+ROW()/100000,"")</f>
        <v/>
      </c>
    </row>
    <row r="2979">
      <c r="G2979" s="11" t="n"/>
      <c r="Q2979" s="7">
        <f>IF($E2979="","",P2979*AB2979/100)</f>
        <v/>
      </c>
      <c r="R2979" s="7" t="n"/>
      <c r="X2979" s="7" t="n"/>
      <c r="Y2979" s="7">
        <f>IF($E2979="","",AB2979*AE2979/100)</f>
        <v/>
      </c>
      <c r="Z2979" s="7">
        <f>IF($E2979="","",AB2979-Y2979)</f>
        <v/>
      </c>
      <c r="AA2979" s="7">
        <f>IF($E2979="","",Z2979-Q2979)</f>
        <v/>
      </c>
      <c r="AB2979" s="7" t="n"/>
      <c r="AE2979">
        <f>IF($E2979="","",IF($AQ2979=1,0,IF($AP2979=1,Settings!$C$6,Settings!$C$7))*100)</f>
        <v/>
      </c>
      <c r="AI2979" s="7" t="n"/>
      <c r="AL2979" s="11" t="n"/>
      <c r="AN2979">
        <f>IF($E2979="","",IF(COUNTIF($E$2:$E2979,$E2979)=1,1,0))</f>
        <v/>
      </c>
      <c r="AO2979">
        <f>IF($AN2979=1,SUMPRODUCT(--($AR$2:$AR$3001&lt;$AR2979))+1,"")</f>
        <v/>
      </c>
      <c r="AP2979">
        <f>IF($E2979="","",IF(OR($U2979=TRUE(),$U2979="TRUE"),1,0))</f>
        <v/>
      </c>
      <c r="AQ2979">
        <f>IF($E2979="","",IF($AD2979="Yes",1,0))</f>
        <v/>
      </c>
      <c r="AR2979">
        <f>IF($AN2979=1,IFERROR(VALUE(MID($E2979,2,20)),1000000000)+ROW()/100000,"")</f>
        <v/>
      </c>
    </row>
    <row r="2980">
      <c r="G2980" s="11" t="n"/>
      <c r="Q2980" s="7">
        <f>IF($E2980="","",P2980*AB2980/100)</f>
        <v/>
      </c>
      <c r="R2980" s="7" t="n"/>
      <c r="X2980" s="7" t="n"/>
      <c r="Y2980" s="7">
        <f>IF($E2980="","",AB2980*AE2980/100)</f>
        <v/>
      </c>
      <c r="Z2980" s="7">
        <f>IF($E2980="","",AB2980-Y2980)</f>
        <v/>
      </c>
      <c r="AA2980" s="7">
        <f>IF($E2980="","",Z2980-Q2980)</f>
        <v/>
      </c>
      <c r="AB2980" s="7" t="n"/>
      <c r="AE2980">
        <f>IF($E2980="","",IF($AQ2980=1,0,IF($AP2980=1,Settings!$C$6,Settings!$C$7))*100)</f>
        <v/>
      </c>
      <c r="AI2980" s="7" t="n"/>
      <c r="AL2980" s="11" t="n"/>
      <c r="AN2980">
        <f>IF($E2980="","",IF(COUNTIF($E$2:$E2980,$E2980)=1,1,0))</f>
        <v/>
      </c>
      <c r="AO2980">
        <f>IF($AN2980=1,SUMPRODUCT(--($AR$2:$AR$3001&lt;$AR2980))+1,"")</f>
        <v/>
      </c>
      <c r="AP2980">
        <f>IF($E2980="","",IF(OR($U2980=TRUE(),$U2980="TRUE"),1,0))</f>
        <v/>
      </c>
      <c r="AQ2980">
        <f>IF($E2980="","",IF($AD2980="Yes",1,0))</f>
        <v/>
      </c>
      <c r="AR2980">
        <f>IF($AN2980=1,IFERROR(VALUE(MID($E2980,2,20)),1000000000)+ROW()/100000,"")</f>
        <v/>
      </c>
    </row>
    <row r="2981">
      <c r="G2981" s="11" t="n"/>
      <c r="Q2981" s="7">
        <f>IF($E2981="","",P2981*AB2981/100)</f>
        <v/>
      </c>
      <c r="R2981" s="7" t="n"/>
      <c r="X2981" s="7" t="n"/>
      <c r="Y2981" s="7">
        <f>IF($E2981="","",AB2981*AE2981/100)</f>
        <v/>
      </c>
      <c r="Z2981" s="7">
        <f>IF($E2981="","",AB2981-Y2981)</f>
        <v/>
      </c>
      <c r="AA2981" s="7">
        <f>IF($E2981="","",Z2981-Q2981)</f>
        <v/>
      </c>
      <c r="AB2981" s="7" t="n"/>
      <c r="AE2981">
        <f>IF($E2981="","",IF($AQ2981=1,0,IF($AP2981=1,Settings!$C$6,Settings!$C$7))*100)</f>
        <v/>
      </c>
      <c r="AI2981" s="7" t="n"/>
      <c r="AL2981" s="11" t="n"/>
      <c r="AN2981">
        <f>IF($E2981="","",IF(COUNTIF($E$2:$E2981,$E2981)=1,1,0))</f>
        <v/>
      </c>
      <c r="AO2981">
        <f>IF($AN2981=1,SUMPRODUCT(--($AR$2:$AR$3001&lt;$AR2981))+1,"")</f>
        <v/>
      </c>
      <c r="AP2981">
        <f>IF($E2981="","",IF(OR($U2981=TRUE(),$U2981="TRUE"),1,0))</f>
        <v/>
      </c>
      <c r="AQ2981">
        <f>IF($E2981="","",IF($AD2981="Yes",1,0))</f>
        <v/>
      </c>
      <c r="AR2981">
        <f>IF($AN2981=1,IFERROR(VALUE(MID($E2981,2,20)),1000000000)+ROW()/100000,"")</f>
        <v/>
      </c>
    </row>
    <row r="2982">
      <c r="G2982" s="11" t="n"/>
      <c r="Q2982" s="7">
        <f>IF($E2982="","",P2982*AB2982/100)</f>
        <v/>
      </c>
      <c r="R2982" s="7" t="n"/>
      <c r="X2982" s="7" t="n"/>
      <c r="Y2982" s="7">
        <f>IF($E2982="","",AB2982*AE2982/100)</f>
        <v/>
      </c>
      <c r="Z2982" s="7">
        <f>IF($E2982="","",AB2982-Y2982)</f>
        <v/>
      </c>
      <c r="AA2982" s="7">
        <f>IF($E2982="","",Z2982-Q2982)</f>
        <v/>
      </c>
      <c r="AB2982" s="7" t="n"/>
      <c r="AE2982">
        <f>IF($E2982="","",IF($AQ2982=1,0,IF($AP2982=1,Settings!$C$6,Settings!$C$7))*100)</f>
        <v/>
      </c>
      <c r="AI2982" s="7" t="n"/>
      <c r="AL2982" s="11" t="n"/>
      <c r="AN2982">
        <f>IF($E2982="","",IF(COUNTIF($E$2:$E2982,$E2982)=1,1,0))</f>
        <v/>
      </c>
      <c r="AO2982">
        <f>IF($AN2982=1,SUMPRODUCT(--($AR$2:$AR$3001&lt;$AR2982))+1,"")</f>
        <v/>
      </c>
      <c r="AP2982">
        <f>IF($E2982="","",IF(OR($U2982=TRUE(),$U2982="TRUE"),1,0))</f>
        <v/>
      </c>
      <c r="AQ2982">
        <f>IF($E2982="","",IF($AD2982="Yes",1,0))</f>
        <v/>
      </c>
      <c r="AR2982">
        <f>IF($AN2982=1,IFERROR(VALUE(MID($E2982,2,20)),1000000000)+ROW()/100000,"")</f>
        <v/>
      </c>
    </row>
    <row r="2983">
      <c r="G2983" s="11" t="n"/>
      <c r="Q2983" s="7">
        <f>IF($E2983="","",P2983*AB2983/100)</f>
        <v/>
      </c>
      <c r="R2983" s="7" t="n"/>
      <c r="X2983" s="7" t="n"/>
      <c r="Y2983" s="7">
        <f>IF($E2983="","",AB2983*AE2983/100)</f>
        <v/>
      </c>
      <c r="Z2983" s="7">
        <f>IF($E2983="","",AB2983-Y2983)</f>
        <v/>
      </c>
      <c r="AA2983" s="7">
        <f>IF($E2983="","",Z2983-Q2983)</f>
        <v/>
      </c>
      <c r="AB2983" s="7" t="n"/>
      <c r="AE2983">
        <f>IF($E2983="","",IF($AQ2983=1,0,IF($AP2983=1,Settings!$C$6,Settings!$C$7))*100)</f>
        <v/>
      </c>
      <c r="AI2983" s="7" t="n"/>
      <c r="AL2983" s="11" t="n"/>
      <c r="AN2983">
        <f>IF($E2983="","",IF(COUNTIF($E$2:$E2983,$E2983)=1,1,0))</f>
        <v/>
      </c>
      <c r="AO2983">
        <f>IF($AN2983=1,SUMPRODUCT(--($AR$2:$AR$3001&lt;$AR2983))+1,"")</f>
        <v/>
      </c>
      <c r="AP2983">
        <f>IF($E2983="","",IF(OR($U2983=TRUE(),$U2983="TRUE"),1,0))</f>
        <v/>
      </c>
      <c r="AQ2983">
        <f>IF($E2983="","",IF($AD2983="Yes",1,0))</f>
        <v/>
      </c>
      <c r="AR2983">
        <f>IF($AN2983=1,IFERROR(VALUE(MID($E2983,2,20)),1000000000)+ROW()/100000,"")</f>
        <v/>
      </c>
    </row>
    <row r="2984">
      <c r="G2984" s="11" t="n"/>
      <c r="Q2984" s="7">
        <f>IF($E2984="","",P2984*AB2984/100)</f>
        <v/>
      </c>
      <c r="R2984" s="7" t="n"/>
      <c r="X2984" s="7" t="n"/>
      <c r="Y2984" s="7">
        <f>IF($E2984="","",AB2984*AE2984/100)</f>
        <v/>
      </c>
      <c r="Z2984" s="7">
        <f>IF($E2984="","",AB2984-Y2984)</f>
        <v/>
      </c>
      <c r="AA2984" s="7">
        <f>IF($E2984="","",Z2984-Q2984)</f>
        <v/>
      </c>
      <c r="AB2984" s="7" t="n"/>
      <c r="AE2984">
        <f>IF($E2984="","",IF($AQ2984=1,0,IF($AP2984=1,Settings!$C$6,Settings!$C$7))*100)</f>
        <v/>
      </c>
      <c r="AI2984" s="7" t="n"/>
      <c r="AL2984" s="11" t="n"/>
      <c r="AN2984">
        <f>IF($E2984="","",IF(COUNTIF($E$2:$E2984,$E2984)=1,1,0))</f>
        <v/>
      </c>
      <c r="AO2984">
        <f>IF($AN2984=1,SUMPRODUCT(--($AR$2:$AR$3001&lt;$AR2984))+1,"")</f>
        <v/>
      </c>
      <c r="AP2984">
        <f>IF($E2984="","",IF(OR($U2984=TRUE(),$U2984="TRUE"),1,0))</f>
        <v/>
      </c>
      <c r="AQ2984">
        <f>IF($E2984="","",IF($AD2984="Yes",1,0))</f>
        <v/>
      </c>
      <c r="AR2984">
        <f>IF($AN2984=1,IFERROR(VALUE(MID($E2984,2,20)),1000000000)+ROW()/100000,"")</f>
        <v/>
      </c>
    </row>
    <row r="2985">
      <c r="G2985" s="11" t="n"/>
      <c r="Q2985" s="7">
        <f>IF($E2985="","",P2985*AB2985/100)</f>
        <v/>
      </c>
      <c r="R2985" s="7" t="n"/>
      <c r="X2985" s="7" t="n"/>
      <c r="Y2985" s="7">
        <f>IF($E2985="","",AB2985*AE2985/100)</f>
        <v/>
      </c>
      <c r="Z2985" s="7">
        <f>IF($E2985="","",AB2985-Y2985)</f>
        <v/>
      </c>
      <c r="AA2985" s="7">
        <f>IF($E2985="","",Z2985-Q2985)</f>
        <v/>
      </c>
      <c r="AB2985" s="7" t="n"/>
      <c r="AE2985">
        <f>IF($E2985="","",IF($AQ2985=1,0,IF($AP2985=1,Settings!$C$6,Settings!$C$7))*100)</f>
        <v/>
      </c>
      <c r="AI2985" s="7" t="n"/>
      <c r="AL2985" s="11" t="n"/>
      <c r="AN2985">
        <f>IF($E2985="","",IF(COUNTIF($E$2:$E2985,$E2985)=1,1,0))</f>
        <v/>
      </c>
      <c r="AO2985">
        <f>IF($AN2985=1,SUMPRODUCT(--($AR$2:$AR$3001&lt;$AR2985))+1,"")</f>
        <v/>
      </c>
      <c r="AP2985">
        <f>IF($E2985="","",IF(OR($U2985=TRUE(),$U2985="TRUE"),1,0))</f>
        <v/>
      </c>
      <c r="AQ2985">
        <f>IF($E2985="","",IF($AD2985="Yes",1,0))</f>
        <v/>
      </c>
      <c r="AR2985">
        <f>IF($AN2985=1,IFERROR(VALUE(MID($E2985,2,20)),1000000000)+ROW()/100000,"")</f>
        <v/>
      </c>
    </row>
    <row r="2986">
      <c r="G2986" s="11" t="n"/>
      <c r="Q2986" s="7">
        <f>IF($E2986="","",P2986*AB2986/100)</f>
        <v/>
      </c>
      <c r="R2986" s="7" t="n"/>
      <c r="X2986" s="7" t="n"/>
      <c r="Y2986" s="7">
        <f>IF($E2986="","",AB2986*AE2986/100)</f>
        <v/>
      </c>
      <c r="Z2986" s="7">
        <f>IF($E2986="","",AB2986-Y2986)</f>
        <v/>
      </c>
      <c r="AA2986" s="7">
        <f>IF($E2986="","",Z2986-Q2986)</f>
        <v/>
      </c>
      <c r="AB2986" s="7" t="n"/>
      <c r="AE2986">
        <f>IF($E2986="","",IF($AQ2986=1,0,IF($AP2986=1,Settings!$C$6,Settings!$C$7))*100)</f>
        <v/>
      </c>
      <c r="AI2986" s="7" t="n"/>
      <c r="AL2986" s="11" t="n"/>
      <c r="AN2986">
        <f>IF($E2986="","",IF(COUNTIF($E$2:$E2986,$E2986)=1,1,0))</f>
        <v/>
      </c>
      <c r="AO2986">
        <f>IF($AN2986=1,SUMPRODUCT(--($AR$2:$AR$3001&lt;$AR2986))+1,"")</f>
        <v/>
      </c>
      <c r="AP2986">
        <f>IF($E2986="","",IF(OR($U2986=TRUE(),$U2986="TRUE"),1,0))</f>
        <v/>
      </c>
      <c r="AQ2986">
        <f>IF($E2986="","",IF($AD2986="Yes",1,0))</f>
        <v/>
      </c>
      <c r="AR2986">
        <f>IF($AN2986=1,IFERROR(VALUE(MID($E2986,2,20)),1000000000)+ROW()/100000,"")</f>
        <v/>
      </c>
    </row>
    <row r="2987">
      <c r="G2987" s="11" t="n"/>
      <c r="Q2987" s="7">
        <f>IF($E2987="","",P2987*AB2987/100)</f>
        <v/>
      </c>
      <c r="R2987" s="7" t="n"/>
      <c r="X2987" s="7" t="n"/>
      <c r="Y2987" s="7">
        <f>IF($E2987="","",AB2987*AE2987/100)</f>
        <v/>
      </c>
      <c r="Z2987" s="7">
        <f>IF($E2987="","",AB2987-Y2987)</f>
        <v/>
      </c>
      <c r="AA2987" s="7">
        <f>IF($E2987="","",Z2987-Q2987)</f>
        <v/>
      </c>
      <c r="AB2987" s="7" t="n"/>
      <c r="AE2987">
        <f>IF($E2987="","",IF($AQ2987=1,0,IF($AP2987=1,Settings!$C$6,Settings!$C$7))*100)</f>
        <v/>
      </c>
      <c r="AI2987" s="7" t="n"/>
      <c r="AL2987" s="11" t="n"/>
      <c r="AN2987">
        <f>IF($E2987="","",IF(COUNTIF($E$2:$E2987,$E2987)=1,1,0))</f>
        <v/>
      </c>
      <c r="AO2987">
        <f>IF($AN2987=1,SUMPRODUCT(--($AR$2:$AR$3001&lt;$AR2987))+1,"")</f>
        <v/>
      </c>
      <c r="AP2987">
        <f>IF($E2987="","",IF(OR($U2987=TRUE(),$U2987="TRUE"),1,0))</f>
        <v/>
      </c>
      <c r="AQ2987">
        <f>IF($E2987="","",IF($AD2987="Yes",1,0))</f>
        <v/>
      </c>
      <c r="AR2987">
        <f>IF($AN2987=1,IFERROR(VALUE(MID($E2987,2,20)),1000000000)+ROW()/100000,"")</f>
        <v/>
      </c>
    </row>
    <row r="2988">
      <c r="G2988" s="11" t="n"/>
      <c r="Q2988" s="7">
        <f>IF($E2988="","",P2988*AB2988/100)</f>
        <v/>
      </c>
      <c r="R2988" s="7" t="n"/>
      <c r="X2988" s="7" t="n"/>
      <c r="Y2988" s="7">
        <f>IF($E2988="","",AB2988*AE2988/100)</f>
        <v/>
      </c>
      <c r="Z2988" s="7">
        <f>IF($E2988="","",AB2988-Y2988)</f>
        <v/>
      </c>
      <c r="AA2988" s="7">
        <f>IF($E2988="","",Z2988-Q2988)</f>
        <v/>
      </c>
      <c r="AB2988" s="7" t="n"/>
      <c r="AE2988">
        <f>IF($E2988="","",IF($AQ2988=1,0,IF($AP2988=1,Settings!$C$6,Settings!$C$7))*100)</f>
        <v/>
      </c>
      <c r="AI2988" s="7" t="n"/>
      <c r="AL2988" s="11" t="n"/>
      <c r="AN2988">
        <f>IF($E2988="","",IF(COUNTIF($E$2:$E2988,$E2988)=1,1,0))</f>
        <v/>
      </c>
      <c r="AO2988">
        <f>IF($AN2988=1,SUMPRODUCT(--($AR$2:$AR$3001&lt;$AR2988))+1,"")</f>
        <v/>
      </c>
      <c r="AP2988">
        <f>IF($E2988="","",IF(OR($U2988=TRUE(),$U2988="TRUE"),1,0))</f>
        <v/>
      </c>
      <c r="AQ2988">
        <f>IF($E2988="","",IF($AD2988="Yes",1,0))</f>
        <v/>
      </c>
      <c r="AR2988">
        <f>IF($AN2988=1,IFERROR(VALUE(MID($E2988,2,20)),1000000000)+ROW()/100000,"")</f>
        <v/>
      </c>
    </row>
    <row r="2989">
      <c r="G2989" s="11" t="n"/>
      <c r="Q2989" s="7">
        <f>IF($E2989="","",P2989*AB2989/100)</f>
        <v/>
      </c>
      <c r="R2989" s="7" t="n"/>
      <c r="X2989" s="7" t="n"/>
      <c r="Y2989" s="7">
        <f>IF($E2989="","",AB2989*AE2989/100)</f>
        <v/>
      </c>
      <c r="Z2989" s="7">
        <f>IF($E2989="","",AB2989-Y2989)</f>
        <v/>
      </c>
      <c r="AA2989" s="7">
        <f>IF($E2989="","",Z2989-Q2989)</f>
        <v/>
      </c>
      <c r="AB2989" s="7" t="n"/>
      <c r="AE2989">
        <f>IF($E2989="","",IF($AQ2989=1,0,IF($AP2989=1,Settings!$C$6,Settings!$C$7))*100)</f>
        <v/>
      </c>
      <c r="AI2989" s="7" t="n"/>
      <c r="AL2989" s="11" t="n"/>
      <c r="AN2989">
        <f>IF($E2989="","",IF(COUNTIF($E$2:$E2989,$E2989)=1,1,0))</f>
        <v/>
      </c>
      <c r="AO2989">
        <f>IF($AN2989=1,SUMPRODUCT(--($AR$2:$AR$3001&lt;$AR2989))+1,"")</f>
        <v/>
      </c>
      <c r="AP2989">
        <f>IF($E2989="","",IF(OR($U2989=TRUE(),$U2989="TRUE"),1,0))</f>
        <v/>
      </c>
      <c r="AQ2989">
        <f>IF($E2989="","",IF($AD2989="Yes",1,0))</f>
        <v/>
      </c>
      <c r="AR2989">
        <f>IF($AN2989=1,IFERROR(VALUE(MID($E2989,2,20)),1000000000)+ROW()/100000,"")</f>
        <v/>
      </c>
    </row>
    <row r="2990">
      <c r="G2990" s="11" t="n"/>
      <c r="Q2990" s="7">
        <f>IF($E2990="","",P2990*AB2990/100)</f>
        <v/>
      </c>
      <c r="R2990" s="7" t="n"/>
      <c r="X2990" s="7" t="n"/>
      <c r="Y2990" s="7">
        <f>IF($E2990="","",AB2990*AE2990/100)</f>
        <v/>
      </c>
      <c r="Z2990" s="7">
        <f>IF($E2990="","",AB2990-Y2990)</f>
        <v/>
      </c>
      <c r="AA2990" s="7">
        <f>IF($E2990="","",Z2990-Q2990)</f>
        <v/>
      </c>
      <c r="AB2990" s="7" t="n"/>
      <c r="AE2990">
        <f>IF($E2990="","",IF($AQ2990=1,0,IF($AP2990=1,Settings!$C$6,Settings!$C$7))*100)</f>
        <v/>
      </c>
      <c r="AI2990" s="7" t="n"/>
      <c r="AL2990" s="11" t="n"/>
      <c r="AN2990">
        <f>IF($E2990="","",IF(COUNTIF($E$2:$E2990,$E2990)=1,1,0))</f>
        <v/>
      </c>
      <c r="AO2990">
        <f>IF($AN2990=1,SUMPRODUCT(--($AR$2:$AR$3001&lt;$AR2990))+1,"")</f>
        <v/>
      </c>
      <c r="AP2990">
        <f>IF($E2990="","",IF(OR($U2990=TRUE(),$U2990="TRUE"),1,0))</f>
        <v/>
      </c>
      <c r="AQ2990">
        <f>IF($E2990="","",IF($AD2990="Yes",1,0))</f>
        <v/>
      </c>
      <c r="AR2990">
        <f>IF($AN2990=1,IFERROR(VALUE(MID($E2990,2,20)),1000000000)+ROW()/100000,"")</f>
        <v/>
      </c>
    </row>
    <row r="2991">
      <c r="G2991" s="11" t="n"/>
      <c r="Q2991" s="7">
        <f>IF($E2991="","",P2991*AB2991/100)</f>
        <v/>
      </c>
      <c r="R2991" s="7" t="n"/>
      <c r="X2991" s="7" t="n"/>
      <c r="Y2991" s="7">
        <f>IF($E2991="","",AB2991*AE2991/100)</f>
        <v/>
      </c>
      <c r="Z2991" s="7">
        <f>IF($E2991="","",AB2991-Y2991)</f>
        <v/>
      </c>
      <c r="AA2991" s="7">
        <f>IF($E2991="","",Z2991-Q2991)</f>
        <v/>
      </c>
      <c r="AB2991" s="7" t="n"/>
      <c r="AE2991">
        <f>IF($E2991="","",IF($AQ2991=1,0,IF($AP2991=1,Settings!$C$6,Settings!$C$7))*100)</f>
        <v/>
      </c>
      <c r="AI2991" s="7" t="n"/>
      <c r="AL2991" s="11" t="n"/>
      <c r="AN2991">
        <f>IF($E2991="","",IF(COUNTIF($E$2:$E2991,$E2991)=1,1,0))</f>
        <v/>
      </c>
      <c r="AO2991">
        <f>IF($AN2991=1,SUMPRODUCT(--($AR$2:$AR$3001&lt;$AR2991))+1,"")</f>
        <v/>
      </c>
      <c r="AP2991">
        <f>IF($E2991="","",IF(OR($U2991=TRUE(),$U2991="TRUE"),1,0))</f>
        <v/>
      </c>
      <c r="AQ2991">
        <f>IF($E2991="","",IF($AD2991="Yes",1,0))</f>
        <v/>
      </c>
      <c r="AR2991">
        <f>IF($AN2991=1,IFERROR(VALUE(MID($E2991,2,20)),1000000000)+ROW()/100000,"")</f>
        <v/>
      </c>
    </row>
    <row r="2992">
      <c r="G2992" s="11" t="n"/>
      <c r="Q2992" s="7">
        <f>IF($E2992="","",P2992*AB2992/100)</f>
        <v/>
      </c>
      <c r="R2992" s="7" t="n"/>
      <c r="X2992" s="7" t="n"/>
      <c r="Y2992" s="7">
        <f>IF($E2992="","",AB2992*AE2992/100)</f>
        <v/>
      </c>
      <c r="Z2992" s="7">
        <f>IF($E2992="","",AB2992-Y2992)</f>
        <v/>
      </c>
      <c r="AA2992" s="7">
        <f>IF($E2992="","",Z2992-Q2992)</f>
        <v/>
      </c>
      <c r="AB2992" s="7" t="n"/>
      <c r="AE2992">
        <f>IF($E2992="","",IF($AQ2992=1,0,IF($AP2992=1,Settings!$C$6,Settings!$C$7))*100)</f>
        <v/>
      </c>
      <c r="AI2992" s="7" t="n"/>
      <c r="AL2992" s="11" t="n"/>
      <c r="AN2992">
        <f>IF($E2992="","",IF(COUNTIF($E$2:$E2992,$E2992)=1,1,0))</f>
        <v/>
      </c>
      <c r="AO2992">
        <f>IF($AN2992=1,SUMPRODUCT(--($AR$2:$AR$3001&lt;$AR2992))+1,"")</f>
        <v/>
      </c>
      <c r="AP2992">
        <f>IF($E2992="","",IF(OR($U2992=TRUE(),$U2992="TRUE"),1,0))</f>
        <v/>
      </c>
      <c r="AQ2992">
        <f>IF($E2992="","",IF($AD2992="Yes",1,0))</f>
        <v/>
      </c>
      <c r="AR2992">
        <f>IF($AN2992=1,IFERROR(VALUE(MID($E2992,2,20)),1000000000)+ROW()/100000,"")</f>
        <v/>
      </c>
    </row>
    <row r="2993">
      <c r="G2993" s="11" t="n"/>
      <c r="Q2993" s="7">
        <f>IF($E2993="","",P2993*AB2993/100)</f>
        <v/>
      </c>
      <c r="R2993" s="7" t="n"/>
      <c r="X2993" s="7" t="n"/>
      <c r="Y2993" s="7">
        <f>IF($E2993="","",AB2993*AE2993/100)</f>
        <v/>
      </c>
      <c r="Z2993" s="7">
        <f>IF($E2993="","",AB2993-Y2993)</f>
        <v/>
      </c>
      <c r="AA2993" s="7">
        <f>IF($E2993="","",Z2993-Q2993)</f>
        <v/>
      </c>
      <c r="AB2993" s="7" t="n"/>
      <c r="AE2993">
        <f>IF($E2993="","",IF($AQ2993=1,0,IF($AP2993=1,Settings!$C$6,Settings!$C$7))*100)</f>
        <v/>
      </c>
      <c r="AI2993" s="7" t="n"/>
      <c r="AL2993" s="11" t="n"/>
      <c r="AN2993">
        <f>IF($E2993="","",IF(COUNTIF($E$2:$E2993,$E2993)=1,1,0))</f>
        <v/>
      </c>
      <c r="AO2993">
        <f>IF($AN2993=1,SUMPRODUCT(--($AR$2:$AR$3001&lt;$AR2993))+1,"")</f>
        <v/>
      </c>
      <c r="AP2993">
        <f>IF($E2993="","",IF(OR($U2993=TRUE(),$U2993="TRUE"),1,0))</f>
        <v/>
      </c>
      <c r="AQ2993">
        <f>IF($E2993="","",IF($AD2993="Yes",1,0))</f>
        <v/>
      </c>
      <c r="AR2993">
        <f>IF($AN2993=1,IFERROR(VALUE(MID($E2993,2,20)),1000000000)+ROW()/100000,"")</f>
        <v/>
      </c>
    </row>
    <row r="2994">
      <c r="G2994" s="11" t="n"/>
      <c r="Q2994" s="7">
        <f>IF($E2994="","",P2994*AB2994/100)</f>
        <v/>
      </c>
      <c r="R2994" s="7" t="n"/>
      <c r="X2994" s="7" t="n"/>
      <c r="Y2994" s="7">
        <f>IF($E2994="","",AB2994*AE2994/100)</f>
        <v/>
      </c>
      <c r="Z2994" s="7">
        <f>IF($E2994="","",AB2994-Y2994)</f>
        <v/>
      </c>
      <c r="AA2994" s="7">
        <f>IF($E2994="","",Z2994-Q2994)</f>
        <v/>
      </c>
      <c r="AB2994" s="7" t="n"/>
      <c r="AE2994">
        <f>IF($E2994="","",IF($AQ2994=1,0,IF($AP2994=1,Settings!$C$6,Settings!$C$7))*100)</f>
        <v/>
      </c>
      <c r="AI2994" s="7" t="n"/>
      <c r="AL2994" s="11" t="n"/>
      <c r="AN2994">
        <f>IF($E2994="","",IF(COUNTIF($E$2:$E2994,$E2994)=1,1,0))</f>
        <v/>
      </c>
      <c r="AO2994">
        <f>IF($AN2994=1,SUMPRODUCT(--($AR$2:$AR$3001&lt;$AR2994))+1,"")</f>
        <v/>
      </c>
      <c r="AP2994">
        <f>IF($E2994="","",IF(OR($U2994=TRUE(),$U2994="TRUE"),1,0))</f>
        <v/>
      </c>
      <c r="AQ2994">
        <f>IF($E2994="","",IF($AD2994="Yes",1,0))</f>
        <v/>
      </c>
      <c r="AR2994">
        <f>IF($AN2994=1,IFERROR(VALUE(MID($E2994,2,20)),1000000000)+ROW()/100000,"")</f>
        <v/>
      </c>
    </row>
    <row r="2995">
      <c r="G2995" s="11" t="n"/>
      <c r="Q2995" s="7">
        <f>IF($E2995="","",P2995*AB2995/100)</f>
        <v/>
      </c>
      <c r="R2995" s="7" t="n"/>
      <c r="X2995" s="7" t="n"/>
      <c r="Y2995" s="7">
        <f>IF($E2995="","",AB2995*AE2995/100)</f>
        <v/>
      </c>
      <c r="Z2995" s="7">
        <f>IF($E2995="","",AB2995-Y2995)</f>
        <v/>
      </c>
      <c r="AA2995" s="7">
        <f>IF($E2995="","",Z2995-Q2995)</f>
        <v/>
      </c>
      <c r="AB2995" s="7" t="n"/>
      <c r="AE2995">
        <f>IF($E2995="","",IF($AQ2995=1,0,IF($AP2995=1,Settings!$C$6,Settings!$C$7))*100)</f>
        <v/>
      </c>
      <c r="AI2995" s="7" t="n"/>
      <c r="AL2995" s="11" t="n"/>
      <c r="AN2995">
        <f>IF($E2995="","",IF(COUNTIF($E$2:$E2995,$E2995)=1,1,0))</f>
        <v/>
      </c>
      <c r="AO2995">
        <f>IF($AN2995=1,SUMPRODUCT(--($AR$2:$AR$3001&lt;$AR2995))+1,"")</f>
        <v/>
      </c>
      <c r="AP2995">
        <f>IF($E2995="","",IF(OR($U2995=TRUE(),$U2995="TRUE"),1,0))</f>
        <v/>
      </c>
      <c r="AQ2995">
        <f>IF($E2995="","",IF($AD2995="Yes",1,0))</f>
        <v/>
      </c>
      <c r="AR2995">
        <f>IF($AN2995=1,IFERROR(VALUE(MID($E2995,2,20)),1000000000)+ROW()/100000,"")</f>
        <v/>
      </c>
    </row>
    <row r="2996">
      <c r="G2996" s="11" t="n"/>
      <c r="Q2996" s="7">
        <f>IF($E2996="","",P2996*AB2996/100)</f>
        <v/>
      </c>
      <c r="R2996" s="7" t="n"/>
      <c r="X2996" s="7" t="n"/>
      <c r="Y2996" s="7">
        <f>IF($E2996="","",AB2996*AE2996/100)</f>
        <v/>
      </c>
      <c r="Z2996" s="7">
        <f>IF($E2996="","",AB2996-Y2996)</f>
        <v/>
      </c>
      <c r="AA2996" s="7">
        <f>IF($E2996="","",Z2996-Q2996)</f>
        <v/>
      </c>
      <c r="AB2996" s="7" t="n"/>
      <c r="AE2996">
        <f>IF($E2996="","",IF($AQ2996=1,0,IF($AP2996=1,Settings!$C$6,Settings!$C$7))*100)</f>
        <v/>
      </c>
      <c r="AI2996" s="7" t="n"/>
      <c r="AL2996" s="11" t="n"/>
      <c r="AN2996">
        <f>IF($E2996="","",IF(COUNTIF($E$2:$E2996,$E2996)=1,1,0))</f>
        <v/>
      </c>
      <c r="AO2996">
        <f>IF($AN2996=1,SUMPRODUCT(--($AR$2:$AR$3001&lt;$AR2996))+1,"")</f>
        <v/>
      </c>
      <c r="AP2996">
        <f>IF($E2996="","",IF(OR($U2996=TRUE(),$U2996="TRUE"),1,0))</f>
        <v/>
      </c>
      <c r="AQ2996">
        <f>IF($E2996="","",IF($AD2996="Yes",1,0))</f>
        <v/>
      </c>
      <c r="AR2996">
        <f>IF($AN2996=1,IFERROR(VALUE(MID($E2996,2,20)),1000000000)+ROW()/100000,"")</f>
        <v/>
      </c>
    </row>
    <row r="2997">
      <c r="G2997" s="11" t="n"/>
      <c r="Q2997" s="7">
        <f>IF($E2997="","",P2997*AB2997/100)</f>
        <v/>
      </c>
      <c r="R2997" s="7" t="n"/>
      <c r="X2997" s="7" t="n"/>
      <c r="Y2997" s="7">
        <f>IF($E2997="","",AB2997*AE2997/100)</f>
        <v/>
      </c>
      <c r="Z2997" s="7">
        <f>IF($E2997="","",AB2997-Y2997)</f>
        <v/>
      </c>
      <c r="AA2997" s="7">
        <f>IF($E2997="","",Z2997-Q2997)</f>
        <v/>
      </c>
      <c r="AB2997" s="7" t="n"/>
      <c r="AE2997">
        <f>IF($E2997="","",IF($AQ2997=1,0,IF($AP2997=1,Settings!$C$6,Settings!$C$7))*100)</f>
        <v/>
      </c>
      <c r="AI2997" s="7" t="n"/>
      <c r="AL2997" s="11" t="n"/>
      <c r="AN2997">
        <f>IF($E2997="","",IF(COUNTIF($E$2:$E2997,$E2997)=1,1,0))</f>
        <v/>
      </c>
      <c r="AO2997">
        <f>IF($AN2997=1,SUMPRODUCT(--($AR$2:$AR$3001&lt;$AR2997))+1,"")</f>
        <v/>
      </c>
      <c r="AP2997">
        <f>IF($E2997="","",IF(OR($U2997=TRUE(),$U2997="TRUE"),1,0))</f>
        <v/>
      </c>
      <c r="AQ2997">
        <f>IF($E2997="","",IF($AD2997="Yes",1,0))</f>
        <v/>
      </c>
      <c r="AR2997">
        <f>IF($AN2997=1,IFERROR(VALUE(MID($E2997,2,20)),1000000000)+ROW()/100000,"")</f>
        <v/>
      </c>
    </row>
    <row r="2998">
      <c r="G2998" s="11" t="n"/>
      <c r="Q2998" s="7">
        <f>IF($E2998="","",P2998*AB2998/100)</f>
        <v/>
      </c>
      <c r="R2998" s="7" t="n"/>
      <c r="X2998" s="7" t="n"/>
      <c r="Y2998" s="7">
        <f>IF($E2998="","",AB2998*AE2998/100)</f>
        <v/>
      </c>
      <c r="Z2998" s="7">
        <f>IF($E2998="","",AB2998-Y2998)</f>
        <v/>
      </c>
      <c r="AA2998" s="7">
        <f>IF($E2998="","",Z2998-Q2998)</f>
        <v/>
      </c>
      <c r="AB2998" s="7" t="n"/>
      <c r="AE2998">
        <f>IF($E2998="","",IF($AQ2998=1,0,IF($AP2998=1,Settings!$C$6,Settings!$C$7))*100)</f>
        <v/>
      </c>
      <c r="AI2998" s="7" t="n"/>
      <c r="AL2998" s="11" t="n"/>
      <c r="AN2998">
        <f>IF($E2998="","",IF(COUNTIF($E$2:$E2998,$E2998)=1,1,0))</f>
        <v/>
      </c>
      <c r="AO2998">
        <f>IF($AN2998=1,SUMPRODUCT(--($AR$2:$AR$3001&lt;$AR2998))+1,"")</f>
        <v/>
      </c>
      <c r="AP2998">
        <f>IF($E2998="","",IF(OR($U2998=TRUE(),$U2998="TRUE"),1,0))</f>
        <v/>
      </c>
      <c r="AQ2998">
        <f>IF($E2998="","",IF($AD2998="Yes",1,0))</f>
        <v/>
      </c>
      <c r="AR2998">
        <f>IF($AN2998=1,IFERROR(VALUE(MID($E2998,2,20)),1000000000)+ROW()/100000,"")</f>
        <v/>
      </c>
    </row>
    <row r="2999">
      <c r="G2999" s="11" t="n"/>
      <c r="Q2999" s="7">
        <f>IF($E2999="","",P2999*AB2999/100)</f>
        <v/>
      </c>
      <c r="R2999" s="7" t="n"/>
      <c r="X2999" s="7" t="n"/>
      <c r="Y2999" s="7">
        <f>IF($E2999="","",AB2999*AE2999/100)</f>
        <v/>
      </c>
      <c r="Z2999" s="7">
        <f>IF($E2999="","",AB2999-Y2999)</f>
        <v/>
      </c>
      <c r="AA2999" s="7">
        <f>IF($E2999="","",Z2999-Q2999)</f>
        <v/>
      </c>
      <c r="AB2999" s="7" t="n"/>
      <c r="AE2999">
        <f>IF($E2999="","",IF($AQ2999=1,0,IF($AP2999=1,Settings!$C$6,Settings!$C$7))*100)</f>
        <v/>
      </c>
      <c r="AI2999" s="7" t="n"/>
      <c r="AL2999" s="11" t="n"/>
      <c r="AN2999">
        <f>IF($E2999="","",IF(COUNTIF($E$2:$E2999,$E2999)=1,1,0))</f>
        <v/>
      </c>
      <c r="AO2999">
        <f>IF($AN2999=1,SUMPRODUCT(--($AR$2:$AR$3001&lt;$AR2999))+1,"")</f>
        <v/>
      </c>
      <c r="AP2999">
        <f>IF($E2999="","",IF(OR($U2999=TRUE(),$U2999="TRUE"),1,0))</f>
        <v/>
      </c>
      <c r="AQ2999">
        <f>IF($E2999="","",IF($AD2999="Yes",1,0))</f>
        <v/>
      </c>
      <c r="AR2999">
        <f>IF($AN2999=1,IFERROR(VALUE(MID($E2999,2,20)),1000000000)+ROW()/100000,"")</f>
        <v/>
      </c>
    </row>
    <row r="3000">
      <c r="G3000" s="11" t="n"/>
      <c r="Q3000" s="7">
        <f>IF($E3000="","",P3000*AB3000/100)</f>
        <v/>
      </c>
      <c r="R3000" s="7" t="n"/>
      <c r="X3000" s="7" t="n"/>
      <c r="Y3000" s="7">
        <f>IF($E3000="","",AB3000*AE3000/100)</f>
        <v/>
      </c>
      <c r="Z3000" s="7">
        <f>IF($E3000="","",AB3000-Y3000)</f>
        <v/>
      </c>
      <c r="AA3000" s="7">
        <f>IF($E3000="","",Z3000-Q3000)</f>
        <v/>
      </c>
      <c r="AB3000" s="7" t="n"/>
      <c r="AE3000">
        <f>IF($E3000="","",IF($AQ3000=1,0,IF($AP3000=1,Settings!$C$6,Settings!$C$7))*100)</f>
        <v/>
      </c>
      <c r="AI3000" s="7" t="n"/>
      <c r="AL3000" s="11" t="n"/>
      <c r="AN3000">
        <f>IF($E3000="","",IF(COUNTIF($E$2:$E3000,$E3000)=1,1,0))</f>
        <v/>
      </c>
      <c r="AO3000">
        <f>IF($AN3000=1,SUMPRODUCT(--($AR$2:$AR$3001&lt;$AR3000))+1,"")</f>
        <v/>
      </c>
      <c r="AP3000">
        <f>IF($E3000="","",IF(OR($U3000=TRUE(),$U3000="TRUE"),1,0))</f>
        <v/>
      </c>
      <c r="AQ3000">
        <f>IF($E3000="","",IF($AD3000="Yes",1,0))</f>
        <v/>
      </c>
      <c r="AR3000">
        <f>IF($AN3000=1,IFERROR(VALUE(MID($E3000,2,20)),1000000000)+ROW()/100000,"")</f>
        <v/>
      </c>
    </row>
    <row r="3001">
      <c r="G3001" s="11" t="n"/>
      <c r="Q3001" s="7">
        <f>IF($E3001="","",P3001*AB3001/100)</f>
        <v/>
      </c>
      <c r="R3001" s="7" t="n"/>
      <c r="X3001" s="7" t="n"/>
      <c r="Y3001" s="7">
        <f>IF($E3001="","",AB3001*AE3001/100)</f>
        <v/>
      </c>
      <c r="Z3001" s="7">
        <f>IF($E3001="","",AB3001-Y3001)</f>
        <v/>
      </c>
      <c r="AA3001" s="7">
        <f>IF($E3001="","",Z3001-Q3001)</f>
        <v/>
      </c>
      <c r="AB3001" s="7" t="n"/>
      <c r="AE3001">
        <f>IF($E3001="","",IF($AQ3001=1,0,IF($AP3001=1,Settings!$C$6,Settings!$C$7))*100)</f>
        <v/>
      </c>
      <c r="AI3001" s="7" t="n"/>
      <c r="AL3001" s="11" t="n"/>
      <c r="AN3001">
        <f>IF($E3001="","",IF(COUNTIF($E$2:$E3001,$E3001)=1,1,0))</f>
        <v/>
      </c>
      <c r="AO3001">
        <f>IF($AN3001=1,SUMPRODUCT(--($AR$2:$AR$3001&lt;$AR3001))+1,"")</f>
        <v/>
      </c>
      <c r="AP3001">
        <f>IF($E3001="","",IF(OR($U3001=TRUE(),$U3001="TRUE"),1,0))</f>
        <v/>
      </c>
      <c r="AQ3001">
        <f>IF($E3001="","",IF($AD3001="Yes",1,0))</f>
        <v/>
      </c>
      <c r="AR3001">
        <f>IF($AN3001=1,IFERROR(VALUE(MID($E3001,2,20)),1000000000)+ROW()/100000,"")</f>
        <v/>
      </c>
    </row>
  </sheetData>
  <autoFilter ref="A1:AR3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7" customWidth="1" min="7" max="7"/>
    <col width="24" customWidth="1" min="8" max="8"/>
    <col width="18" customWidth="1" min="9" max="9"/>
    <col width="14" customWidth="1" min="10" max="10"/>
    <col width="12" customWidth="1" min="11" max="11"/>
    <col width="26" customWidth="1" min="12" max="12"/>
    <col width="14" customWidth="1" min="13" max="13"/>
    <col width="3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4" customWidth="1" min="31" max="31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Cycle</t>
        </is>
      </c>
      <c r="D1" s="9" t="inlineStr">
        <is>
          <t>Stage</t>
        </is>
      </c>
      <c r="E1" s="9" t="inlineStr">
        <is>
          <t>Ticket #</t>
        </is>
      </c>
      <c r="F1" s="9" t="inlineStr">
        <is>
          <t>Approval Ref</t>
        </is>
      </c>
      <c r="G1" s="9" t="inlineStr">
        <is>
          <t>Create At</t>
        </is>
      </c>
      <c r="H1" s="9" t="inlineStr">
        <is>
          <t>Corporate</t>
        </is>
      </c>
      <c r="I1" s="9" t="inlineStr">
        <is>
          <t>Insurance Company</t>
        </is>
      </c>
      <c r="J1" s="9" t="inlineStr">
        <is>
          <t>Channel</t>
        </is>
      </c>
      <c r="K1" s="9" t="inlineStr">
        <is>
          <t>Card</t>
        </is>
      </c>
      <c r="L1" s="9" t="inlineStr">
        <is>
          <t>Name</t>
        </is>
      </c>
      <c r="M1" s="9" t="inlineStr">
        <is>
          <t>Status</t>
        </is>
      </c>
      <c r="N1" s="9" t="inlineStr">
        <is>
          <t>ERX ID</t>
        </is>
      </c>
      <c r="O1" s="9" t="inlineStr">
        <is>
          <t>CO</t>
        </is>
      </c>
      <c r="P1" s="9" t="inlineStr">
        <is>
          <t>Co val</t>
        </is>
      </c>
      <c r="Q1" s="9" t="inlineStr">
        <is>
          <t>Max Limit</t>
        </is>
      </c>
      <c r="R1" s="9" t="inlineStr">
        <is>
          <t>Exceeding Limit</t>
        </is>
      </c>
      <c r="S1" s="9" t="inlineStr">
        <is>
          <t>Special</t>
        </is>
      </c>
      <c r="T1" s="9" t="inlineStr">
        <is>
          <t>IMP %</t>
        </is>
      </c>
      <c r="U1" s="9" t="inlineStr">
        <is>
          <t>IMP</t>
        </is>
      </c>
      <c r="V1" s="9" t="inlineStr">
        <is>
          <t>IMP VAL</t>
        </is>
      </c>
      <c r="W1" s="9" t="inlineStr">
        <is>
          <t>LOC %</t>
        </is>
      </c>
      <c r="X1" s="9" t="inlineStr">
        <is>
          <t>LOC</t>
        </is>
      </c>
      <c r="Y1" s="9" t="inlineStr">
        <is>
          <t>LOC VAL</t>
        </is>
      </c>
      <c r="Z1" s="9" t="inlineStr">
        <is>
          <t>TOTAL VAL</t>
        </is>
      </c>
      <c r="AA1" s="9" t="inlineStr">
        <is>
          <t>SUBTOTAL</t>
        </is>
      </c>
      <c r="AB1" s="9" t="inlineStr">
        <is>
          <t>Grand Total</t>
        </is>
      </c>
      <c r="AC1" s="9" t="inlineStr">
        <is>
          <t>NET</t>
        </is>
      </c>
      <c r="AD1" s="10" t="inlineStr">
        <is>
          <t>Src Row (helper)</t>
        </is>
      </c>
      <c r="AE1" s="10" t="inlineStr">
        <is>
          <t>Limit Adj (helper)</t>
        </is>
      </c>
    </row>
    <row r="2">
      <c r="A2" s="12" t="n"/>
      <c r="B2">
        <f>IF($AD2="","",INDEX('Per Line'!$E$2:$E$3001,$AD2)&amp;"")</f>
        <v/>
      </c>
      <c r="C2">
        <f>IF($AD2="","",INDEX('Per Line'!$A$2:$A$3001,$AD2)&amp;"")</f>
        <v/>
      </c>
      <c r="D2">
        <f>IF($AD2="","",INDEX('Per Line'!$C$2:$C$3001,$AD2)&amp;"")</f>
        <v/>
      </c>
      <c r="E2">
        <f>IF($AD2="","",INDEX('Per Line'!$B$2:$B$3001,$AD2))</f>
        <v/>
      </c>
      <c r="F2">
        <f>IF($AD2="","",INDEX('Per Line'!$D$2:$D$3001,$AD2)&amp;"")</f>
        <v/>
      </c>
      <c r="G2" s="11">
        <f>IF($AD2="","",INDEX('Per Line'!$G$2:$G$3001,$AD2))</f>
        <v/>
      </c>
      <c r="H2">
        <f>IF($AD2="","",INDEX('Per Line'!$J$2:$J$3001,$AD2)&amp;"")</f>
        <v/>
      </c>
      <c r="I2">
        <f>IF($AD2="","",INDEX('Per Line'!$H$2:$H$3001,$AD2)&amp;"")</f>
        <v/>
      </c>
      <c r="J2">
        <f>IF($AD2="","",INDEX('Per Line'!$F$2:$F$3001,$AD2)&amp;"")</f>
        <v/>
      </c>
      <c r="K2">
        <f>IF($AD2="","",INDEX('Per Line'!$K$2:$K$3001,$AD2)&amp;"")</f>
        <v/>
      </c>
      <c r="L2">
        <f>IF($AD2="","",INDEX('Per Line'!$L$2:$L$3001,$AD2)&amp;"")</f>
        <v/>
      </c>
      <c r="M2">
        <f>IF($AD2="","",INDEX('Per Line'!$M$2:$M$3001,$AD2)&amp;"")</f>
        <v/>
      </c>
      <c r="N2">
        <f>IF($AD2="","",INDEX('Per Line'!$AC$2:$AC$3001,$AD2)&amp;"")</f>
        <v/>
      </c>
      <c r="O2">
        <f>IF($AD2="","",INDEX('Per Line'!$P$2:$P$3001,$AD2))</f>
        <v/>
      </c>
      <c r="P2" s="7">
        <f>IF($AD2="","",IF(AND(ISNUMBER(Q2),Q2&gt;0,AB2&gt;Q2),O2*Q2/100+(AB2-Q2),O2*AB2/100))</f>
        <v/>
      </c>
      <c r="Q2">
        <f>IF($AD2="","",INDEX('Per Line'!$AG$2:$AG$3001,$AD2))</f>
        <v/>
      </c>
      <c r="R2">
        <f>IF($AD2="","",IF(AND(ISNUMBER(Q2),Q2&gt;0),AB2&gt;Q2,FALSE))</f>
        <v/>
      </c>
      <c r="S2" s="7">
        <f>IF($AD2="","",SUMIFS('Per Line'!$AB$2:$AB$3001,'Per Line'!$E$2:$E$3001,$B2,'Per Line'!$AQ$2:$AQ$3001,1))</f>
        <v/>
      </c>
      <c r="T2">
        <f>IF($AD2="","",Settings!$C$7)</f>
        <v/>
      </c>
      <c r="U2" s="7">
        <f>IF($AD2="","",SUMIFS('Per Line'!$AB$2:$AB$3001,'Per Line'!$E$2:$E$3001,$B2,'Per Line'!$AP$2:$AP$3001,0,'Per Line'!$AQ$2:$AQ$3001,0))</f>
        <v/>
      </c>
      <c r="V2" s="7">
        <f>IF($AD2="","",U2*T2)</f>
        <v/>
      </c>
      <c r="W2">
        <f>IF($AD2="","",Settings!$C$6)</f>
        <v/>
      </c>
      <c r="X2" s="7">
        <f>IF($AD2="","",SUMIFS('Per Line'!$AB$2:$AB$3001,'Per Line'!$E$2:$E$3001,$B2,'Per Line'!$AP$2:$AP$3001,1,'Per Line'!$AQ$2:$AQ$3001,0))</f>
        <v/>
      </c>
      <c r="Y2" s="7">
        <f>IF($AD2="","",X2*W2)</f>
        <v/>
      </c>
      <c r="Z2" s="7">
        <f>IF($AD2="","",Y2+V2)</f>
        <v/>
      </c>
      <c r="AA2" s="7">
        <f>IF($AD2="","",AB2-Z2)</f>
        <v/>
      </c>
      <c r="AB2" s="7">
        <f>IF($AD2="","",U2+X2+S2)</f>
        <v/>
      </c>
      <c r="AC2" s="7">
        <f>IF($AD2="","",AB2-Z2-P2)</f>
        <v/>
      </c>
      <c r="AD2" s="13">
        <f>IF(ROWS($AD$2:$AD2)&lt;=MAX('Per Line'!$AO$2:$AO$3001),MATCH(ROWS($AD$2:$AD2),'Per Line'!$AO$2:$AO$3001,0),"")</f>
        <v/>
      </c>
      <c r="AE2" s="14">
        <f>IF($AD2="","",P2-O2*AB2/100)</f>
        <v/>
      </c>
    </row>
    <row r="3">
      <c r="A3" s="12" t="n"/>
      <c r="B3">
        <f>IF($AD3="","",INDEX('Per Line'!$E$2:$E$3001,$AD3)&amp;"")</f>
        <v/>
      </c>
      <c r="C3">
        <f>IF($AD3="","",INDEX('Per Line'!$A$2:$A$3001,$AD3)&amp;"")</f>
        <v/>
      </c>
      <c r="D3">
        <f>IF($AD3="","",INDEX('Per Line'!$C$2:$C$3001,$AD3)&amp;"")</f>
        <v/>
      </c>
      <c r="E3">
        <f>IF($AD3="","",INDEX('Per Line'!$B$2:$B$3001,$AD3))</f>
        <v/>
      </c>
      <c r="F3">
        <f>IF($AD3="","",INDEX('Per Line'!$D$2:$D$3001,$AD3)&amp;"")</f>
        <v/>
      </c>
      <c r="G3" s="11">
        <f>IF($AD3="","",INDEX('Per Line'!$G$2:$G$3001,$AD3))</f>
        <v/>
      </c>
      <c r="H3">
        <f>IF($AD3="","",INDEX('Per Line'!$J$2:$J$3001,$AD3)&amp;"")</f>
        <v/>
      </c>
      <c r="I3">
        <f>IF($AD3="","",INDEX('Per Line'!$H$2:$H$3001,$AD3)&amp;"")</f>
        <v/>
      </c>
      <c r="J3">
        <f>IF($AD3="","",INDEX('Per Line'!$F$2:$F$3001,$AD3)&amp;"")</f>
        <v/>
      </c>
      <c r="K3">
        <f>IF($AD3="","",INDEX('Per Line'!$K$2:$K$3001,$AD3)&amp;"")</f>
        <v/>
      </c>
      <c r="L3">
        <f>IF($AD3="","",INDEX('Per Line'!$L$2:$L$3001,$AD3)&amp;"")</f>
        <v/>
      </c>
      <c r="M3">
        <f>IF($AD3="","",INDEX('Per Line'!$M$2:$M$3001,$AD3)&amp;"")</f>
        <v/>
      </c>
      <c r="N3">
        <f>IF($AD3="","",INDEX('Per Line'!$AC$2:$AC$3001,$AD3)&amp;"")</f>
        <v/>
      </c>
      <c r="O3">
        <f>IF($AD3="","",INDEX('Per Line'!$P$2:$P$3001,$AD3))</f>
        <v/>
      </c>
      <c r="P3" s="7">
        <f>IF($AD3="","",IF(AND(ISNUMBER(Q3),Q3&gt;0,AB3&gt;Q3),O3*Q3/100+(AB3-Q3),O3*AB3/100))</f>
        <v/>
      </c>
      <c r="Q3">
        <f>IF($AD3="","",INDEX('Per Line'!$AG$2:$AG$3001,$AD3))</f>
        <v/>
      </c>
      <c r="R3">
        <f>IF($AD3="","",IF(AND(ISNUMBER(Q3),Q3&gt;0),AB3&gt;Q3,FALSE))</f>
        <v/>
      </c>
      <c r="S3" s="7">
        <f>IF($AD3="","",SUMIFS('Per Line'!$AB$2:$AB$3001,'Per Line'!$E$2:$E$3001,$B3,'Per Line'!$AQ$2:$AQ$3001,1))</f>
        <v/>
      </c>
      <c r="T3">
        <f>IF($AD3="","",Settings!$C$7)</f>
        <v/>
      </c>
      <c r="U3" s="7">
        <f>IF($AD3="","",SUMIFS('Per Line'!$AB$2:$AB$3001,'Per Line'!$E$2:$E$3001,$B3,'Per Line'!$AP$2:$AP$3001,0,'Per Line'!$AQ$2:$AQ$3001,0))</f>
        <v/>
      </c>
      <c r="V3" s="7">
        <f>IF($AD3="","",U3*T3)</f>
        <v/>
      </c>
      <c r="W3">
        <f>IF($AD3="","",Settings!$C$6)</f>
        <v/>
      </c>
      <c r="X3" s="7">
        <f>IF($AD3="","",SUMIFS('Per Line'!$AB$2:$AB$3001,'Per Line'!$E$2:$E$3001,$B3,'Per Line'!$AP$2:$AP$3001,1,'Per Line'!$AQ$2:$AQ$3001,0))</f>
        <v/>
      </c>
      <c r="Y3" s="7">
        <f>IF($AD3="","",X3*W3)</f>
        <v/>
      </c>
      <c r="Z3" s="7">
        <f>IF($AD3="","",Y3+V3)</f>
        <v/>
      </c>
      <c r="AA3" s="7">
        <f>IF($AD3="","",AB3-Z3)</f>
        <v/>
      </c>
      <c r="AB3" s="7">
        <f>IF($AD3="","",U3+X3+S3)</f>
        <v/>
      </c>
      <c r="AC3" s="7">
        <f>IF($AD3="","",AB3-Z3-P3)</f>
        <v/>
      </c>
      <c r="AD3" s="13">
        <f>IF(ROWS($AD$2:$AD3)&lt;=MAX('Per Line'!$AO$2:$AO$3001),MATCH(ROWS($AD$2:$AD3),'Per Line'!$AO$2:$AO$3001,0),"")</f>
        <v/>
      </c>
      <c r="AE3" s="14">
        <f>IF($AD3="","",P3-O3*AB3/100)</f>
        <v/>
      </c>
    </row>
    <row r="4">
      <c r="A4" s="12" t="n"/>
      <c r="B4">
        <f>IF($AD4="","",INDEX('Per Line'!$E$2:$E$3001,$AD4)&amp;"")</f>
        <v/>
      </c>
      <c r="C4">
        <f>IF($AD4="","",INDEX('Per Line'!$A$2:$A$3001,$AD4)&amp;"")</f>
        <v/>
      </c>
      <c r="D4">
        <f>IF($AD4="","",INDEX('Per Line'!$C$2:$C$3001,$AD4)&amp;"")</f>
        <v/>
      </c>
      <c r="E4">
        <f>IF($AD4="","",INDEX('Per Line'!$B$2:$B$3001,$AD4))</f>
        <v/>
      </c>
      <c r="F4">
        <f>IF($AD4="","",INDEX('Per Line'!$D$2:$D$3001,$AD4)&amp;"")</f>
        <v/>
      </c>
      <c r="G4" s="11">
        <f>IF($AD4="","",INDEX('Per Line'!$G$2:$G$3001,$AD4))</f>
        <v/>
      </c>
      <c r="H4">
        <f>IF($AD4="","",INDEX('Per Line'!$J$2:$J$3001,$AD4)&amp;"")</f>
        <v/>
      </c>
      <c r="I4">
        <f>IF($AD4="","",INDEX('Per Line'!$H$2:$H$3001,$AD4)&amp;"")</f>
        <v/>
      </c>
      <c r="J4">
        <f>IF($AD4="","",INDEX('Per Line'!$F$2:$F$3001,$AD4)&amp;"")</f>
        <v/>
      </c>
      <c r="K4">
        <f>IF($AD4="","",INDEX('Per Line'!$K$2:$K$3001,$AD4)&amp;"")</f>
        <v/>
      </c>
      <c r="L4">
        <f>IF($AD4="","",INDEX('Per Line'!$L$2:$L$3001,$AD4)&amp;"")</f>
        <v/>
      </c>
      <c r="M4">
        <f>IF($AD4="","",INDEX('Per Line'!$M$2:$M$3001,$AD4)&amp;"")</f>
        <v/>
      </c>
      <c r="N4">
        <f>IF($AD4="","",INDEX('Per Line'!$AC$2:$AC$3001,$AD4)&amp;"")</f>
        <v/>
      </c>
      <c r="O4">
        <f>IF($AD4="","",INDEX('Per Line'!$P$2:$P$3001,$AD4))</f>
        <v/>
      </c>
      <c r="P4" s="7">
        <f>IF($AD4="","",IF(AND(ISNUMBER(Q4),Q4&gt;0,AB4&gt;Q4),O4*Q4/100+(AB4-Q4),O4*AB4/100))</f>
        <v/>
      </c>
      <c r="Q4">
        <f>IF($AD4="","",INDEX('Per Line'!$AG$2:$AG$3001,$AD4))</f>
        <v/>
      </c>
      <c r="R4">
        <f>IF($AD4="","",IF(AND(ISNUMBER(Q4),Q4&gt;0),AB4&gt;Q4,FALSE))</f>
        <v/>
      </c>
      <c r="S4" s="7">
        <f>IF($AD4="","",SUMIFS('Per Line'!$AB$2:$AB$3001,'Per Line'!$E$2:$E$3001,$B4,'Per Line'!$AQ$2:$AQ$3001,1))</f>
        <v/>
      </c>
      <c r="T4">
        <f>IF($AD4="","",Settings!$C$7)</f>
        <v/>
      </c>
      <c r="U4" s="7">
        <f>IF($AD4="","",SUMIFS('Per Line'!$AB$2:$AB$3001,'Per Line'!$E$2:$E$3001,$B4,'Per Line'!$AP$2:$AP$3001,0,'Per Line'!$AQ$2:$AQ$3001,0))</f>
        <v/>
      </c>
      <c r="V4" s="7">
        <f>IF($AD4="","",U4*T4)</f>
        <v/>
      </c>
      <c r="W4">
        <f>IF($AD4="","",Settings!$C$6)</f>
        <v/>
      </c>
      <c r="X4" s="7">
        <f>IF($AD4="","",SUMIFS('Per Line'!$AB$2:$AB$3001,'Per Line'!$E$2:$E$3001,$B4,'Per Line'!$AP$2:$AP$3001,1,'Per Line'!$AQ$2:$AQ$3001,0))</f>
        <v/>
      </c>
      <c r="Y4" s="7">
        <f>IF($AD4="","",X4*W4)</f>
        <v/>
      </c>
      <c r="Z4" s="7">
        <f>IF($AD4="","",Y4+V4)</f>
        <v/>
      </c>
      <c r="AA4" s="7">
        <f>IF($AD4="","",AB4-Z4)</f>
        <v/>
      </c>
      <c r="AB4" s="7">
        <f>IF($AD4="","",U4+X4+S4)</f>
        <v/>
      </c>
      <c r="AC4" s="7">
        <f>IF($AD4="","",AB4-Z4-P4)</f>
        <v/>
      </c>
      <c r="AD4" s="13">
        <f>IF(ROWS($AD$2:$AD4)&lt;=MAX('Per Line'!$AO$2:$AO$3001),MATCH(ROWS($AD$2:$AD4),'Per Line'!$AO$2:$AO$3001,0),"")</f>
        <v/>
      </c>
      <c r="AE4" s="14">
        <f>IF($AD4="","",P4-O4*AB4/100)</f>
        <v/>
      </c>
    </row>
    <row r="5">
      <c r="A5" s="12" t="n"/>
      <c r="B5">
        <f>IF($AD5="","",INDEX('Per Line'!$E$2:$E$3001,$AD5)&amp;"")</f>
        <v/>
      </c>
      <c r="C5">
        <f>IF($AD5="","",INDEX('Per Line'!$A$2:$A$3001,$AD5)&amp;"")</f>
        <v/>
      </c>
      <c r="D5">
        <f>IF($AD5="","",INDEX('Per Line'!$C$2:$C$3001,$AD5)&amp;"")</f>
        <v/>
      </c>
      <c r="E5">
        <f>IF($AD5="","",INDEX('Per Line'!$B$2:$B$3001,$AD5))</f>
        <v/>
      </c>
      <c r="F5">
        <f>IF($AD5="","",INDEX('Per Line'!$D$2:$D$3001,$AD5)&amp;"")</f>
        <v/>
      </c>
      <c r="G5" s="11">
        <f>IF($AD5="","",INDEX('Per Line'!$G$2:$G$3001,$AD5))</f>
        <v/>
      </c>
      <c r="H5">
        <f>IF($AD5="","",INDEX('Per Line'!$J$2:$J$3001,$AD5)&amp;"")</f>
        <v/>
      </c>
      <c r="I5">
        <f>IF($AD5="","",INDEX('Per Line'!$H$2:$H$3001,$AD5)&amp;"")</f>
        <v/>
      </c>
      <c r="J5">
        <f>IF($AD5="","",INDEX('Per Line'!$F$2:$F$3001,$AD5)&amp;"")</f>
        <v/>
      </c>
      <c r="K5">
        <f>IF($AD5="","",INDEX('Per Line'!$K$2:$K$3001,$AD5)&amp;"")</f>
        <v/>
      </c>
      <c r="L5">
        <f>IF($AD5="","",INDEX('Per Line'!$L$2:$L$3001,$AD5)&amp;"")</f>
        <v/>
      </c>
      <c r="M5">
        <f>IF($AD5="","",INDEX('Per Line'!$M$2:$M$3001,$AD5)&amp;"")</f>
        <v/>
      </c>
      <c r="N5">
        <f>IF($AD5="","",INDEX('Per Line'!$AC$2:$AC$3001,$AD5)&amp;"")</f>
        <v/>
      </c>
      <c r="O5">
        <f>IF($AD5="","",INDEX('Per Line'!$P$2:$P$3001,$AD5))</f>
        <v/>
      </c>
      <c r="P5" s="7">
        <f>IF($AD5="","",IF(AND(ISNUMBER(Q5),Q5&gt;0,AB5&gt;Q5),O5*Q5/100+(AB5-Q5),O5*AB5/100))</f>
        <v/>
      </c>
      <c r="Q5">
        <f>IF($AD5="","",INDEX('Per Line'!$AG$2:$AG$3001,$AD5))</f>
        <v/>
      </c>
      <c r="R5">
        <f>IF($AD5="","",IF(AND(ISNUMBER(Q5),Q5&gt;0),AB5&gt;Q5,FALSE))</f>
        <v/>
      </c>
      <c r="S5" s="7">
        <f>IF($AD5="","",SUMIFS('Per Line'!$AB$2:$AB$3001,'Per Line'!$E$2:$E$3001,$B5,'Per Line'!$AQ$2:$AQ$3001,1))</f>
        <v/>
      </c>
      <c r="T5">
        <f>IF($AD5="","",Settings!$C$7)</f>
        <v/>
      </c>
      <c r="U5" s="7">
        <f>IF($AD5="","",SUMIFS('Per Line'!$AB$2:$AB$3001,'Per Line'!$E$2:$E$3001,$B5,'Per Line'!$AP$2:$AP$3001,0,'Per Line'!$AQ$2:$AQ$3001,0))</f>
        <v/>
      </c>
      <c r="V5" s="7">
        <f>IF($AD5="","",U5*T5)</f>
        <v/>
      </c>
      <c r="W5">
        <f>IF($AD5="","",Settings!$C$6)</f>
        <v/>
      </c>
      <c r="X5" s="7">
        <f>IF($AD5="","",SUMIFS('Per Line'!$AB$2:$AB$3001,'Per Line'!$E$2:$E$3001,$B5,'Per Line'!$AP$2:$AP$3001,1,'Per Line'!$AQ$2:$AQ$3001,0))</f>
        <v/>
      </c>
      <c r="Y5" s="7">
        <f>IF($AD5="","",X5*W5)</f>
        <v/>
      </c>
      <c r="Z5" s="7">
        <f>IF($AD5="","",Y5+V5)</f>
        <v/>
      </c>
      <c r="AA5" s="7">
        <f>IF($AD5="","",AB5-Z5)</f>
        <v/>
      </c>
      <c r="AB5" s="7">
        <f>IF($AD5="","",U5+X5+S5)</f>
        <v/>
      </c>
      <c r="AC5" s="7">
        <f>IF($AD5="","",AB5-Z5-P5)</f>
        <v/>
      </c>
      <c r="AD5" s="13">
        <f>IF(ROWS($AD$2:$AD5)&lt;=MAX('Per Line'!$AO$2:$AO$3001),MATCH(ROWS($AD$2:$AD5),'Per Line'!$AO$2:$AO$3001,0),"")</f>
        <v/>
      </c>
      <c r="AE5" s="14">
        <f>IF($AD5="","",P5-O5*AB5/100)</f>
        <v/>
      </c>
    </row>
    <row r="6">
      <c r="A6" s="12" t="n"/>
      <c r="B6">
        <f>IF($AD6="","",INDEX('Per Line'!$E$2:$E$3001,$AD6)&amp;"")</f>
        <v/>
      </c>
      <c r="C6">
        <f>IF($AD6="","",INDEX('Per Line'!$A$2:$A$3001,$AD6)&amp;"")</f>
        <v/>
      </c>
      <c r="D6">
        <f>IF($AD6="","",INDEX('Per Line'!$C$2:$C$3001,$AD6)&amp;"")</f>
        <v/>
      </c>
      <c r="E6">
        <f>IF($AD6="","",INDEX('Per Line'!$B$2:$B$3001,$AD6))</f>
        <v/>
      </c>
      <c r="F6">
        <f>IF($AD6="","",INDEX('Per Line'!$D$2:$D$3001,$AD6)&amp;"")</f>
        <v/>
      </c>
      <c r="G6" s="11">
        <f>IF($AD6="","",INDEX('Per Line'!$G$2:$G$3001,$AD6))</f>
        <v/>
      </c>
      <c r="H6">
        <f>IF($AD6="","",INDEX('Per Line'!$J$2:$J$3001,$AD6)&amp;"")</f>
        <v/>
      </c>
      <c r="I6">
        <f>IF($AD6="","",INDEX('Per Line'!$H$2:$H$3001,$AD6)&amp;"")</f>
        <v/>
      </c>
      <c r="J6">
        <f>IF($AD6="","",INDEX('Per Line'!$F$2:$F$3001,$AD6)&amp;"")</f>
        <v/>
      </c>
      <c r="K6">
        <f>IF($AD6="","",INDEX('Per Line'!$K$2:$K$3001,$AD6)&amp;"")</f>
        <v/>
      </c>
      <c r="L6">
        <f>IF($AD6="","",INDEX('Per Line'!$L$2:$L$3001,$AD6)&amp;"")</f>
        <v/>
      </c>
      <c r="M6">
        <f>IF($AD6="","",INDEX('Per Line'!$M$2:$M$3001,$AD6)&amp;"")</f>
        <v/>
      </c>
      <c r="N6">
        <f>IF($AD6="","",INDEX('Per Line'!$AC$2:$AC$3001,$AD6)&amp;"")</f>
        <v/>
      </c>
      <c r="O6">
        <f>IF($AD6="","",INDEX('Per Line'!$P$2:$P$3001,$AD6))</f>
        <v/>
      </c>
      <c r="P6" s="7">
        <f>IF($AD6="","",IF(AND(ISNUMBER(Q6),Q6&gt;0,AB6&gt;Q6),O6*Q6/100+(AB6-Q6),O6*AB6/100))</f>
        <v/>
      </c>
      <c r="Q6">
        <f>IF($AD6="","",INDEX('Per Line'!$AG$2:$AG$3001,$AD6))</f>
        <v/>
      </c>
      <c r="R6">
        <f>IF($AD6="","",IF(AND(ISNUMBER(Q6),Q6&gt;0),AB6&gt;Q6,FALSE))</f>
        <v/>
      </c>
      <c r="S6" s="7">
        <f>IF($AD6="","",SUMIFS('Per Line'!$AB$2:$AB$3001,'Per Line'!$E$2:$E$3001,$B6,'Per Line'!$AQ$2:$AQ$3001,1))</f>
        <v/>
      </c>
      <c r="T6">
        <f>IF($AD6="","",Settings!$C$7)</f>
        <v/>
      </c>
      <c r="U6" s="7">
        <f>IF($AD6="","",SUMIFS('Per Line'!$AB$2:$AB$3001,'Per Line'!$E$2:$E$3001,$B6,'Per Line'!$AP$2:$AP$3001,0,'Per Line'!$AQ$2:$AQ$3001,0))</f>
        <v/>
      </c>
      <c r="V6" s="7">
        <f>IF($AD6="","",U6*T6)</f>
        <v/>
      </c>
      <c r="W6">
        <f>IF($AD6="","",Settings!$C$6)</f>
        <v/>
      </c>
      <c r="X6" s="7">
        <f>IF($AD6="","",SUMIFS('Per Line'!$AB$2:$AB$3001,'Per Line'!$E$2:$E$3001,$B6,'Per Line'!$AP$2:$AP$3001,1,'Per Line'!$AQ$2:$AQ$3001,0))</f>
        <v/>
      </c>
      <c r="Y6" s="7">
        <f>IF($AD6="","",X6*W6)</f>
        <v/>
      </c>
      <c r="Z6" s="7">
        <f>IF($AD6="","",Y6+V6)</f>
        <v/>
      </c>
      <c r="AA6" s="7">
        <f>IF($AD6="","",AB6-Z6)</f>
        <v/>
      </c>
      <c r="AB6" s="7">
        <f>IF($AD6="","",U6+X6+S6)</f>
        <v/>
      </c>
      <c r="AC6" s="7">
        <f>IF($AD6="","",AB6-Z6-P6)</f>
        <v/>
      </c>
      <c r="AD6" s="13">
        <f>IF(ROWS($AD$2:$AD6)&lt;=MAX('Per Line'!$AO$2:$AO$3001),MATCH(ROWS($AD$2:$AD6),'Per Line'!$AO$2:$AO$3001,0),"")</f>
        <v/>
      </c>
      <c r="AE6" s="14">
        <f>IF($AD6="","",P6-O6*AB6/100)</f>
        <v/>
      </c>
    </row>
    <row r="7">
      <c r="A7" s="12" t="n"/>
      <c r="B7">
        <f>IF($AD7="","",INDEX('Per Line'!$E$2:$E$3001,$AD7)&amp;"")</f>
        <v/>
      </c>
      <c r="C7">
        <f>IF($AD7="","",INDEX('Per Line'!$A$2:$A$3001,$AD7)&amp;"")</f>
        <v/>
      </c>
      <c r="D7">
        <f>IF($AD7="","",INDEX('Per Line'!$C$2:$C$3001,$AD7)&amp;"")</f>
        <v/>
      </c>
      <c r="E7">
        <f>IF($AD7="","",INDEX('Per Line'!$B$2:$B$3001,$AD7))</f>
        <v/>
      </c>
      <c r="F7">
        <f>IF($AD7="","",INDEX('Per Line'!$D$2:$D$3001,$AD7)&amp;"")</f>
        <v/>
      </c>
      <c r="G7" s="11">
        <f>IF($AD7="","",INDEX('Per Line'!$G$2:$G$3001,$AD7))</f>
        <v/>
      </c>
      <c r="H7">
        <f>IF($AD7="","",INDEX('Per Line'!$J$2:$J$3001,$AD7)&amp;"")</f>
        <v/>
      </c>
      <c r="I7">
        <f>IF($AD7="","",INDEX('Per Line'!$H$2:$H$3001,$AD7)&amp;"")</f>
        <v/>
      </c>
      <c r="J7">
        <f>IF($AD7="","",INDEX('Per Line'!$F$2:$F$3001,$AD7)&amp;"")</f>
        <v/>
      </c>
      <c r="K7">
        <f>IF($AD7="","",INDEX('Per Line'!$K$2:$K$3001,$AD7)&amp;"")</f>
        <v/>
      </c>
      <c r="L7">
        <f>IF($AD7="","",INDEX('Per Line'!$L$2:$L$3001,$AD7)&amp;"")</f>
        <v/>
      </c>
      <c r="M7">
        <f>IF($AD7="","",INDEX('Per Line'!$M$2:$M$3001,$AD7)&amp;"")</f>
        <v/>
      </c>
      <c r="N7">
        <f>IF($AD7="","",INDEX('Per Line'!$AC$2:$AC$3001,$AD7)&amp;"")</f>
        <v/>
      </c>
      <c r="O7">
        <f>IF($AD7="","",INDEX('Per Line'!$P$2:$P$3001,$AD7))</f>
        <v/>
      </c>
      <c r="P7" s="7">
        <f>IF($AD7="","",IF(AND(ISNUMBER(Q7),Q7&gt;0,AB7&gt;Q7),O7*Q7/100+(AB7-Q7),O7*AB7/100))</f>
        <v/>
      </c>
      <c r="Q7">
        <f>IF($AD7="","",INDEX('Per Line'!$AG$2:$AG$3001,$AD7))</f>
        <v/>
      </c>
      <c r="R7">
        <f>IF($AD7="","",IF(AND(ISNUMBER(Q7),Q7&gt;0),AB7&gt;Q7,FALSE))</f>
        <v/>
      </c>
      <c r="S7" s="7">
        <f>IF($AD7="","",SUMIFS('Per Line'!$AB$2:$AB$3001,'Per Line'!$E$2:$E$3001,$B7,'Per Line'!$AQ$2:$AQ$3001,1))</f>
        <v/>
      </c>
      <c r="T7">
        <f>IF($AD7="","",Settings!$C$7)</f>
        <v/>
      </c>
      <c r="U7" s="7">
        <f>IF($AD7="","",SUMIFS('Per Line'!$AB$2:$AB$3001,'Per Line'!$E$2:$E$3001,$B7,'Per Line'!$AP$2:$AP$3001,0,'Per Line'!$AQ$2:$AQ$3001,0))</f>
        <v/>
      </c>
      <c r="V7" s="7">
        <f>IF($AD7="","",U7*T7)</f>
        <v/>
      </c>
      <c r="W7">
        <f>IF($AD7="","",Settings!$C$6)</f>
        <v/>
      </c>
      <c r="X7" s="7">
        <f>IF($AD7="","",SUMIFS('Per Line'!$AB$2:$AB$3001,'Per Line'!$E$2:$E$3001,$B7,'Per Line'!$AP$2:$AP$3001,1,'Per Line'!$AQ$2:$AQ$3001,0))</f>
        <v/>
      </c>
      <c r="Y7" s="7">
        <f>IF($AD7="","",X7*W7)</f>
        <v/>
      </c>
      <c r="Z7" s="7">
        <f>IF($AD7="","",Y7+V7)</f>
        <v/>
      </c>
      <c r="AA7" s="7">
        <f>IF($AD7="","",AB7-Z7)</f>
        <v/>
      </c>
      <c r="AB7" s="7">
        <f>IF($AD7="","",U7+X7+S7)</f>
        <v/>
      </c>
      <c r="AC7" s="7">
        <f>IF($AD7="","",AB7-Z7-P7)</f>
        <v/>
      </c>
      <c r="AD7" s="13">
        <f>IF(ROWS($AD$2:$AD7)&lt;=MAX('Per Line'!$AO$2:$AO$3001),MATCH(ROWS($AD$2:$AD7),'Per Line'!$AO$2:$AO$3001,0),"")</f>
        <v/>
      </c>
      <c r="AE7" s="14">
        <f>IF($AD7="","",P7-O7*AB7/100)</f>
        <v/>
      </c>
    </row>
    <row r="8">
      <c r="A8" s="12" t="n"/>
      <c r="B8">
        <f>IF($AD8="","",INDEX('Per Line'!$E$2:$E$3001,$AD8)&amp;"")</f>
        <v/>
      </c>
      <c r="C8">
        <f>IF($AD8="","",INDEX('Per Line'!$A$2:$A$3001,$AD8)&amp;"")</f>
        <v/>
      </c>
      <c r="D8">
        <f>IF($AD8="","",INDEX('Per Line'!$C$2:$C$3001,$AD8)&amp;"")</f>
        <v/>
      </c>
      <c r="E8">
        <f>IF($AD8="","",INDEX('Per Line'!$B$2:$B$3001,$AD8))</f>
        <v/>
      </c>
      <c r="F8">
        <f>IF($AD8="","",INDEX('Per Line'!$D$2:$D$3001,$AD8)&amp;"")</f>
        <v/>
      </c>
      <c r="G8" s="11">
        <f>IF($AD8="","",INDEX('Per Line'!$G$2:$G$3001,$AD8))</f>
        <v/>
      </c>
      <c r="H8">
        <f>IF($AD8="","",INDEX('Per Line'!$J$2:$J$3001,$AD8)&amp;"")</f>
        <v/>
      </c>
      <c r="I8">
        <f>IF($AD8="","",INDEX('Per Line'!$H$2:$H$3001,$AD8)&amp;"")</f>
        <v/>
      </c>
      <c r="J8">
        <f>IF($AD8="","",INDEX('Per Line'!$F$2:$F$3001,$AD8)&amp;"")</f>
        <v/>
      </c>
      <c r="K8">
        <f>IF($AD8="","",INDEX('Per Line'!$K$2:$K$3001,$AD8)&amp;"")</f>
        <v/>
      </c>
      <c r="L8">
        <f>IF($AD8="","",INDEX('Per Line'!$L$2:$L$3001,$AD8)&amp;"")</f>
        <v/>
      </c>
      <c r="M8">
        <f>IF($AD8="","",INDEX('Per Line'!$M$2:$M$3001,$AD8)&amp;"")</f>
        <v/>
      </c>
      <c r="N8">
        <f>IF($AD8="","",INDEX('Per Line'!$AC$2:$AC$3001,$AD8)&amp;"")</f>
        <v/>
      </c>
      <c r="O8">
        <f>IF($AD8="","",INDEX('Per Line'!$P$2:$P$3001,$AD8))</f>
        <v/>
      </c>
      <c r="P8" s="7">
        <f>IF($AD8="","",IF(AND(ISNUMBER(Q8),Q8&gt;0,AB8&gt;Q8),O8*Q8/100+(AB8-Q8),O8*AB8/100))</f>
        <v/>
      </c>
      <c r="Q8">
        <f>IF($AD8="","",INDEX('Per Line'!$AG$2:$AG$3001,$AD8))</f>
        <v/>
      </c>
      <c r="R8">
        <f>IF($AD8="","",IF(AND(ISNUMBER(Q8),Q8&gt;0),AB8&gt;Q8,FALSE))</f>
        <v/>
      </c>
      <c r="S8" s="7">
        <f>IF($AD8="","",SUMIFS('Per Line'!$AB$2:$AB$3001,'Per Line'!$E$2:$E$3001,$B8,'Per Line'!$AQ$2:$AQ$3001,1))</f>
        <v/>
      </c>
      <c r="T8">
        <f>IF($AD8="","",Settings!$C$7)</f>
        <v/>
      </c>
      <c r="U8" s="7">
        <f>IF($AD8="","",SUMIFS('Per Line'!$AB$2:$AB$3001,'Per Line'!$E$2:$E$3001,$B8,'Per Line'!$AP$2:$AP$3001,0,'Per Line'!$AQ$2:$AQ$3001,0))</f>
        <v/>
      </c>
      <c r="V8" s="7">
        <f>IF($AD8="","",U8*T8)</f>
        <v/>
      </c>
      <c r="W8">
        <f>IF($AD8="","",Settings!$C$6)</f>
        <v/>
      </c>
      <c r="X8" s="7">
        <f>IF($AD8="","",SUMIFS('Per Line'!$AB$2:$AB$3001,'Per Line'!$E$2:$E$3001,$B8,'Per Line'!$AP$2:$AP$3001,1,'Per Line'!$AQ$2:$AQ$3001,0))</f>
        <v/>
      </c>
      <c r="Y8" s="7">
        <f>IF($AD8="","",X8*W8)</f>
        <v/>
      </c>
      <c r="Z8" s="7">
        <f>IF($AD8="","",Y8+V8)</f>
        <v/>
      </c>
      <c r="AA8" s="7">
        <f>IF($AD8="","",AB8-Z8)</f>
        <v/>
      </c>
      <c r="AB8" s="7">
        <f>IF($AD8="","",U8+X8+S8)</f>
        <v/>
      </c>
      <c r="AC8" s="7">
        <f>IF($AD8="","",AB8-Z8-P8)</f>
        <v/>
      </c>
      <c r="AD8" s="13">
        <f>IF(ROWS($AD$2:$AD8)&lt;=MAX('Per Line'!$AO$2:$AO$3001),MATCH(ROWS($AD$2:$AD8),'Per Line'!$AO$2:$AO$3001,0),"")</f>
        <v/>
      </c>
      <c r="AE8" s="14">
        <f>IF($AD8="","",P8-O8*AB8/100)</f>
        <v/>
      </c>
    </row>
    <row r="9">
      <c r="A9" s="12" t="n"/>
      <c r="B9">
        <f>IF($AD9="","",INDEX('Per Line'!$E$2:$E$3001,$AD9)&amp;"")</f>
        <v/>
      </c>
      <c r="C9">
        <f>IF($AD9="","",INDEX('Per Line'!$A$2:$A$3001,$AD9)&amp;"")</f>
        <v/>
      </c>
      <c r="D9">
        <f>IF($AD9="","",INDEX('Per Line'!$C$2:$C$3001,$AD9)&amp;"")</f>
        <v/>
      </c>
      <c r="E9">
        <f>IF($AD9="","",INDEX('Per Line'!$B$2:$B$3001,$AD9))</f>
        <v/>
      </c>
      <c r="F9">
        <f>IF($AD9="","",INDEX('Per Line'!$D$2:$D$3001,$AD9)&amp;"")</f>
        <v/>
      </c>
      <c r="G9" s="11">
        <f>IF($AD9="","",INDEX('Per Line'!$G$2:$G$3001,$AD9))</f>
        <v/>
      </c>
      <c r="H9">
        <f>IF($AD9="","",INDEX('Per Line'!$J$2:$J$3001,$AD9)&amp;"")</f>
        <v/>
      </c>
      <c r="I9">
        <f>IF($AD9="","",INDEX('Per Line'!$H$2:$H$3001,$AD9)&amp;"")</f>
        <v/>
      </c>
      <c r="J9">
        <f>IF($AD9="","",INDEX('Per Line'!$F$2:$F$3001,$AD9)&amp;"")</f>
        <v/>
      </c>
      <c r="K9">
        <f>IF($AD9="","",INDEX('Per Line'!$K$2:$K$3001,$AD9)&amp;"")</f>
        <v/>
      </c>
      <c r="L9">
        <f>IF($AD9="","",INDEX('Per Line'!$L$2:$L$3001,$AD9)&amp;"")</f>
        <v/>
      </c>
      <c r="M9">
        <f>IF($AD9="","",INDEX('Per Line'!$M$2:$M$3001,$AD9)&amp;"")</f>
        <v/>
      </c>
      <c r="N9">
        <f>IF($AD9="","",INDEX('Per Line'!$AC$2:$AC$3001,$AD9)&amp;"")</f>
        <v/>
      </c>
      <c r="O9">
        <f>IF($AD9="","",INDEX('Per Line'!$P$2:$P$3001,$AD9))</f>
        <v/>
      </c>
      <c r="P9" s="7">
        <f>IF($AD9="","",IF(AND(ISNUMBER(Q9),Q9&gt;0,AB9&gt;Q9),O9*Q9/100+(AB9-Q9),O9*AB9/100))</f>
        <v/>
      </c>
      <c r="Q9">
        <f>IF($AD9="","",INDEX('Per Line'!$AG$2:$AG$3001,$AD9))</f>
        <v/>
      </c>
      <c r="R9">
        <f>IF($AD9="","",IF(AND(ISNUMBER(Q9),Q9&gt;0),AB9&gt;Q9,FALSE))</f>
        <v/>
      </c>
      <c r="S9" s="7">
        <f>IF($AD9="","",SUMIFS('Per Line'!$AB$2:$AB$3001,'Per Line'!$E$2:$E$3001,$B9,'Per Line'!$AQ$2:$AQ$3001,1))</f>
        <v/>
      </c>
      <c r="T9">
        <f>IF($AD9="","",Settings!$C$7)</f>
        <v/>
      </c>
      <c r="U9" s="7">
        <f>IF($AD9="","",SUMIFS('Per Line'!$AB$2:$AB$3001,'Per Line'!$E$2:$E$3001,$B9,'Per Line'!$AP$2:$AP$3001,0,'Per Line'!$AQ$2:$AQ$3001,0))</f>
        <v/>
      </c>
      <c r="V9" s="7">
        <f>IF($AD9="","",U9*T9)</f>
        <v/>
      </c>
      <c r="W9">
        <f>IF($AD9="","",Settings!$C$6)</f>
        <v/>
      </c>
      <c r="X9" s="7">
        <f>IF($AD9="","",SUMIFS('Per Line'!$AB$2:$AB$3001,'Per Line'!$E$2:$E$3001,$B9,'Per Line'!$AP$2:$AP$3001,1,'Per Line'!$AQ$2:$AQ$3001,0))</f>
        <v/>
      </c>
      <c r="Y9" s="7">
        <f>IF($AD9="","",X9*W9)</f>
        <v/>
      </c>
      <c r="Z9" s="7">
        <f>IF($AD9="","",Y9+V9)</f>
        <v/>
      </c>
      <c r="AA9" s="7">
        <f>IF($AD9="","",AB9-Z9)</f>
        <v/>
      </c>
      <c r="AB9" s="7">
        <f>IF($AD9="","",U9+X9+S9)</f>
        <v/>
      </c>
      <c r="AC9" s="7">
        <f>IF($AD9="","",AB9-Z9-P9)</f>
        <v/>
      </c>
      <c r="AD9" s="13">
        <f>IF(ROWS($AD$2:$AD9)&lt;=MAX('Per Line'!$AO$2:$AO$3001),MATCH(ROWS($AD$2:$AD9),'Per Line'!$AO$2:$AO$3001,0),"")</f>
        <v/>
      </c>
      <c r="AE9" s="14">
        <f>IF($AD9="","",P9-O9*AB9/100)</f>
        <v/>
      </c>
    </row>
    <row r="10">
      <c r="A10" s="12" t="n"/>
      <c r="B10">
        <f>IF($AD10="","",INDEX('Per Line'!$E$2:$E$3001,$AD10)&amp;"")</f>
        <v/>
      </c>
      <c r="C10">
        <f>IF($AD10="","",INDEX('Per Line'!$A$2:$A$3001,$AD10)&amp;"")</f>
        <v/>
      </c>
      <c r="D10">
        <f>IF($AD10="","",INDEX('Per Line'!$C$2:$C$3001,$AD10)&amp;"")</f>
        <v/>
      </c>
      <c r="E10">
        <f>IF($AD10="","",INDEX('Per Line'!$B$2:$B$3001,$AD10))</f>
        <v/>
      </c>
      <c r="F10">
        <f>IF($AD10="","",INDEX('Per Line'!$D$2:$D$3001,$AD10)&amp;"")</f>
        <v/>
      </c>
      <c r="G10" s="11">
        <f>IF($AD10="","",INDEX('Per Line'!$G$2:$G$3001,$AD10))</f>
        <v/>
      </c>
      <c r="H10">
        <f>IF($AD10="","",INDEX('Per Line'!$J$2:$J$3001,$AD10)&amp;"")</f>
        <v/>
      </c>
      <c r="I10">
        <f>IF($AD10="","",INDEX('Per Line'!$H$2:$H$3001,$AD10)&amp;"")</f>
        <v/>
      </c>
      <c r="J10">
        <f>IF($AD10="","",INDEX('Per Line'!$F$2:$F$3001,$AD10)&amp;"")</f>
        <v/>
      </c>
      <c r="K10">
        <f>IF($AD10="","",INDEX('Per Line'!$K$2:$K$3001,$AD10)&amp;"")</f>
        <v/>
      </c>
      <c r="L10">
        <f>IF($AD10="","",INDEX('Per Line'!$L$2:$L$3001,$AD10)&amp;"")</f>
        <v/>
      </c>
      <c r="M10">
        <f>IF($AD10="","",INDEX('Per Line'!$M$2:$M$3001,$AD10)&amp;"")</f>
        <v/>
      </c>
      <c r="N10">
        <f>IF($AD10="","",INDEX('Per Line'!$AC$2:$AC$3001,$AD10)&amp;"")</f>
        <v/>
      </c>
      <c r="O10">
        <f>IF($AD10="","",INDEX('Per Line'!$P$2:$P$3001,$AD10))</f>
        <v/>
      </c>
      <c r="P10" s="7">
        <f>IF($AD10="","",IF(AND(ISNUMBER(Q10),Q10&gt;0,AB10&gt;Q10),O10*Q10/100+(AB10-Q10),O10*AB10/100))</f>
        <v/>
      </c>
      <c r="Q10">
        <f>IF($AD10="","",INDEX('Per Line'!$AG$2:$AG$3001,$AD10))</f>
        <v/>
      </c>
      <c r="R10">
        <f>IF($AD10="","",IF(AND(ISNUMBER(Q10),Q10&gt;0),AB10&gt;Q10,FALSE))</f>
        <v/>
      </c>
      <c r="S10" s="7">
        <f>IF($AD10="","",SUMIFS('Per Line'!$AB$2:$AB$3001,'Per Line'!$E$2:$E$3001,$B10,'Per Line'!$AQ$2:$AQ$3001,1))</f>
        <v/>
      </c>
      <c r="T10">
        <f>IF($AD10="","",Settings!$C$7)</f>
        <v/>
      </c>
      <c r="U10" s="7">
        <f>IF($AD10="","",SUMIFS('Per Line'!$AB$2:$AB$3001,'Per Line'!$E$2:$E$3001,$B10,'Per Line'!$AP$2:$AP$3001,0,'Per Line'!$AQ$2:$AQ$3001,0))</f>
        <v/>
      </c>
      <c r="V10" s="7">
        <f>IF($AD10="","",U10*T10)</f>
        <v/>
      </c>
      <c r="W10">
        <f>IF($AD10="","",Settings!$C$6)</f>
        <v/>
      </c>
      <c r="X10" s="7">
        <f>IF($AD10="","",SUMIFS('Per Line'!$AB$2:$AB$3001,'Per Line'!$E$2:$E$3001,$B10,'Per Line'!$AP$2:$AP$3001,1,'Per Line'!$AQ$2:$AQ$3001,0))</f>
        <v/>
      </c>
      <c r="Y10" s="7">
        <f>IF($AD10="","",X10*W10)</f>
        <v/>
      </c>
      <c r="Z10" s="7">
        <f>IF($AD10="","",Y10+V10)</f>
        <v/>
      </c>
      <c r="AA10" s="7">
        <f>IF($AD10="","",AB10-Z10)</f>
        <v/>
      </c>
      <c r="AB10" s="7">
        <f>IF($AD10="","",U10+X10+S10)</f>
        <v/>
      </c>
      <c r="AC10" s="7">
        <f>IF($AD10="","",AB10-Z10-P10)</f>
        <v/>
      </c>
      <c r="AD10" s="13">
        <f>IF(ROWS($AD$2:$AD10)&lt;=MAX('Per Line'!$AO$2:$AO$3001),MATCH(ROWS($AD$2:$AD10),'Per Line'!$AO$2:$AO$3001,0),"")</f>
        <v/>
      </c>
      <c r="AE10" s="14">
        <f>IF($AD10="","",P10-O10*AB10/100)</f>
        <v/>
      </c>
    </row>
    <row r="11">
      <c r="A11" s="12" t="n"/>
      <c r="B11">
        <f>IF($AD11="","",INDEX('Per Line'!$E$2:$E$3001,$AD11)&amp;"")</f>
        <v/>
      </c>
      <c r="C11">
        <f>IF($AD11="","",INDEX('Per Line'!$A$2:$A$3001,$AD11)&amp;"")</f>
        <v/>
      </c>
      <c r="D11">
        <f>IF($AD11="","",INDEX('Per Line'!$C$2:$C$3001,$AD11)&amp;"")</f>
        <v/>
      </c>
      <c r="E11">
        <f>IF($AD11="","",INDEX('Per Line'!$B$2:$B$3001,$AD11))</f>
        <v/>
      </c>
      <c r="F11">
        <f>IF($AD11="","",INDEX('Per Line'!$D$2:$D$3001,$AD11)&amp;"")</f>
        <v/>
      </c>
      <c r="G11" s="11">
        <f>IF($AD11="","",INDEX('Per Line'!$G$2:$G$3001,$AD11))</f>
        <v/>
      </c>
      <c r="H11">
        <f>IF($AD11="","",INDEX('Per Line'!$J$2:$J$3001,$AD11)&amp;"")</f>
        <v/>
      </c>
      <c r="I11">
        <f>IF($AD11="","",INDEX('Per Line'!$H$2:$H$3001,$AD11)&amp;"")</f>
        <v/>
      </c>
      <c r="J11">
        <f>IF($AD11="","",INDEX('Per Line'!$F$2:$F$3001,$AD11)&amp;"")</f>
        <v/>
      </c>
      <c r="K11">
        <f>IF($AD11="","",INDEX('Per Line'!$K$2:$K$3001,$AD11)&amp;"")</f>
        <v/>
      </c>
      <c r="L11">
        <f>IF($AD11="","",INDEX('Per Line'!$L$2:$L$3001,$AD11)&amp;"")</f>
        <v/>
      </c>
      <c r="M11">
        <f>IF($AD11="","",INDEX('Per Line'!$M$2:$M$3001,$AD11)&amp;"")</f>
        <v/>
      </c>
      <c r="N11">
        <f>IF($AD11="","",INDEX('Per Line'!$AC$2:$AC$3001,$AD11)&amp;"")</f>
        <v/>
      </c>
      <c r="O11">
        <f>IF($AD11="","",INDEX('Per Line'!$P$2:$P$3001,$AD11))</f>
        <v/>
      </c>
      <c r="P11" s="7">
        <f>IF($AD11="","",IF(AND(ISNUMBER(Q11),Q11&gt;0,AB11&gt;Q11),O11*Q11/100+(AB11-Q11),O11*AB11/100))</f>
        <v/>
      </c>
      <c r="Q11">
        <f>IF($AD11="","",INDEX('Per Line'!$AG$2:$AG$3001,$AD11))</f>
        <v/>
      </c>
      <c r="R11">
        <f>IF($AD11="","",IF(AND(ISNUMBER(Q11),Q11&gt;0),AB11&gt;Q11,FALSE))</f>
        <v/>
      </c>
      <c r="S11" s="7">
        <f>IF($AD11="","",SUMIFS('Per Line'!$AB$2:$AB$3001,'Per Line'!$E$2:$E$3001,$B11,'Per Line'!$AQ$2:$AQ$3001,1))</f>
        <v/>
      </c>
      <c r="T11">
        <f>IF($AD11="","",Settings!$C$7)</f>
        <v/>
      </c>
      <c r="U11" s="7">
        <f>IF($AD11="","",SUMIFS('Per Line'!$AB$2:$AB$3001,'Per Line'!$E$2:$E$3001,$B11,'Per Line'!$AP$2:$AP$3001,0,'Per Line'!$AQ$2:$AQ$3001,0))</f>
        <v/>
      </c>
      <c r="V11" s="7">
        <f>IF($AD11="","",U11*T11)</f>
        <v/>
      </c>
      <c r="W11">
        <f>IF($AD11="","",Settings!$C$6)</f>
        <v/>
      </c>
      <c r="X11" s="7">
        <f>IF($AD11="","",SUMIFS('Per Line'!$AB$2:$AB$3001,'Per Line'!$E$2:$E$3001,$B11,'Per Line'!$AP$2:$AP$3001,1,'Per Line'!$AQ$2:$AQ$3001,0))</f>
        <v/>
      </c>
      <c r="Y11" s="7">
        <f>IF($AD11="","",X11*W11)</f>
        <v/>
      </c>
      <c r="Z11" s="7">
        <f>IF($AD11="","",Y11+V11)</f>
        <v/>
      </c>
      <c r="AA11" s="7">
        <f>IF($AD11="","",AB11-Z11)</f>
        <v/>
      </c>
      <c r="AB11" s="7">
        <f>IF($AD11="","",U11+X11+S11)</f>
        <v/>
      </c>
      <c r="AC11" s="7">
        <f>IF($AD11="","",AB11-Z11-P11)</f>
        <v/>
      </c>
      <c r="AD11" s="13">
        <f>IF(ROWS($AD$2:$AD11)&lt;=MAX('Per Line'!$AO$2:$AO$3001),MATCH(ROWS($AD$2:$AD11),'Per Line'!$AO$2:$AO$3001,0),"")</f>
        <v/>
      </c>
      <c r="AE11" s="14">
        <f>IF($AD11="","",P11-O11*AB11/100)</f>
        <v/>
      </c>
    </row>
    <row r="12">
      <c r="A12" s="12" t="n"/>
      <c r="B12">
        <f>IF($AD12="","",INDEX('Per Line'!$E$2:$E$3001,$AD12)&amp;"")</f>
        <v/>
      </c>
      <c r="C12">
        <f>IF($AD12="","",INDEX('Per Line'!$A$2:$A$3001,$AD12)&amp;"")</f>
        <v/>
      </c>
      <c r="D12">
        <f>IF($AD12="","",INDEX('Per Line'!$C$2:$C$3001,$AD12)&amp;"")</f>
        <v/>
      </c>
      <c r="E12">
        <f>IF($AD12="","",INDEX('Per Line'!$B$2:$B$3001,$AD12))</f>
        <v/>
      </c>
      <c r="F12">
        <f>IF($AD12="","",INDEX('Per Line'!$D$2:$D$3001,$AD12)&amp;"")</f>
        <v/>
      </c>
      <c r="G12" s="11">
        <f>IF($AD12="","",INDEX('Per Line'!$G$2:$G$3001,$AD12))</f>
        <v/>
      </c>
      <c r="H12">
        <f>IF($AD12="","",INDEX('Per Line'!$J$2:$J$3001,$AD12)&amp;"")</f>
        <v/>
      </c>
      <c r="I12">
        <f>IF($AD12="","",INDEX('Per Line'!$H$2:$H$3001,$AD12)&amp;"")</f>
        <v/>
      </c>
      <c r="J12">
        <f>IF($AD12="","",INDEX('Per Line'!$F$2:$F$3001,$AD12)&amp;"")</f>
        <v/>
      </c>
      <c r="K12">
        <f>IF($AD12="","",INDEX('Per Line'!$K$2:$K$3001,$AD12)&amp;"")</f>
        <v/>
      </c>
      <c r="L12">
        <f>IF($AD12="","",INDEX('Per Line'!$L$2:$L$3001,$AD12)&amp;"")</f>
        <v/>
      </c>
      <c r="M12">
        <f>IF($AD12="","",INDEX('Per Line'!$M$2:$M$3001,$AD12)&amp;"")</f>
        <v/>
      </c>
      <c r="N12">
        <f>IF($AD12="","",INDEX('Per Line'!$AC$2:$AC$3001,$AD12)&amp;"")</f>
        <v/>
      </c>
      <c r="O12">
        <f>IF($AD12="","",INDEX('Per Line'!$P$2:$P$3001,$AD12))</f>
        <v/>
      </c>
      <c r="P12" s="7">
        <f>IF($AD12="","",IF(AND(ISNUMBER(Q12),Q12&gt;0,AB12&gt;Q12),O12*Q12/100+(AB12-Q12),O12*AB12/100))</f>
        <v/>
      </c>
      <c r="Q12">
        <f>IF($AD12="","",INDEX('Per Line'!$AG$2:$AG$3001,$AD12))</f>
        <v/>
      </c>
      <c r="R12">
        <f>IF($AD12="","",IF(AND(ISNUMBER(Q12),Q12&gt;0),AB12&gt;Q12,FALSE))</f>
        <v/>
      </c>
      <c r="S12" s="7">
        <f>IF($AD12="","",SUMIFS('Per Line'!$AB$2:$AB$3001,'Per Line'!$E$2:$E$3001,$B12,'Per Line'!$AQ$2:$AQ$3001,1))</f>
        <v/>
      </c>
      <c r="T12">
        <f>IF($AD12="","",Settings!$C$7)</f>
        <v/>
      </c>
      <c r="U12" s="7">
        <f>IF($AD12="","",SUMIFS('Per Line'!$AB$2:$AB$3001,'Per Line'!$E$2:$E$3001,$B12,'Per Line'!$AP$2:$AP$3001,0,'Per Line'!$AQ$2:$AQ$3001,0))</f>
        <v/>
      </c>
      <c r="V12" s="7">
        <f>IF($AD12="","",U12*T12)</f>
        <v/>
      </c>
      <c r="W12">
        <f>IF($AD12="","",Settings!$C$6)</f>
        <v/>
      </c>
      <c r="X12" s="7">
        <f>IF($AD12="","",SUMIFS('Per Line'!$AB$2:$AB$3001,'Per Line'!$E$2:$E$3001,$B12,'Per Line'!$AP$2:$AP$3001,1,'Per Line'!$AQ$2:$AQ$3001,0))</f>
        <v/>
      </c>
      <c r="Y12" s="7">
        <f>IF($AD12="","",X12*W12)</f>
        <v/>
      </c>
      <c r="Z12" s="7">
        <f>IF($AD12="","",Y12+V12)</f>
        <v/>
      </c>
      <c r="AA12" s="7">
        <f>IF($AD12="","",AB12-Z12)</f>
        <v/>
      </c>
      <c r="AB12" s="7">
        <f>IF($AD12="","",U12+X12+S12)</f>
        <v/>
      </c>
      <c r="AC12" s="7">
        <f>IF($AD12="","",AB12-Z12-P12)</f>
        <v/>
      </c>
      <c r="AD12" s="13">
        <f>IF(ROWS($AD$2:$AD12)&lt;=MAX('Per Line'!$AO$2:$AO$3001),MATCH(ROWS($AD$2:$AD12),'Per Line'!$AO$2:$AO$3001,0),"")</f>
        <v/>
      </c>
      <c r="AE12" s="14">
        <f>IF($AD12="","",P12-O12*AB12/100)</f>
        <v/>
      </c>
    </row>
    <row r="13">
      <c r="A13" s="12" t="n"/>
      <c r="B13">
        <f>IF($AD13="","",INDEX('Per Line'!$E$2:$E$3001,$AD13)&amp;"")</f>
        <v/>
      </c>
      <c r="C13">
        <f>IF($AD13="","",INDEX('Per Line'!$A$2:$A$3001,$AD13)&amp;"")</f>
        <v/>
      </c>
      <c r="D13">
        <f>IF($AD13="","",INDEX('Per Line'!$C$2:$C$3001,$AD13)&amp;"")</f>
        <v/>
      </c>
      <c r="E13">
        <f>IF($AD13="","",INDEX('Per Line'!$B$2:$B$3001,$AD13))</f>
        <v/>
      </c>
      <c r="F13">
        <f>IF($AD13="","",INDEX('Per Line'!$D$2:$D$3001,$AD13)&amp;"")</f>
        <v/>
      </c>
      <c r="G13" s="11">
        <f>IF($AD13="","",INDEX('Per Line'!$G$2:$G$3001,$AD13))</f>
        <v/>
      </c>
      <c r="H13">
        <f>IF($AD13="","",INDEX('Per Line'!$J$2:$J$3001,$AD13)&amp;"")</f>
        <v/>
      </c>
      <c r="I13">
        <f>IF($AD13="","",INDEX('Per Line'!$H$2:$H$3001,$AD13)&amp;"")</f>
        <v/>
      </c>
      <c r="J13">
        <f>IF($AD13="","",INDEX('Per Line'!$F$2:$F$3001,$AD13)&amp;"")</f>
        <v/>
      </c>
      <c r="K13">
        <f>IF($AD13="","",INDEX('Per Line'!$K$2:$K$3001,$AD13)&amp;"")</f>
        <v/>
      </c>
      <c r="L13">
        <f>IF($AD13="","",INDEX('Per Line'!$L$2:$L$3001,$AD13)&amp;"")</f>
        <v/>
      </c>
      <c r="M13">
        <f>IF($AD13="","",INDEX('Per Line'!$M$2:$M$3001,$AD13)&amp;"")</f>
        <v/>
      </c>
      <c r="N13">
        <f>IF($AD13="","",INDEX('Per Line'!$AC$2:$AC$3001,$AD13)&amp;"")</f>
        <v/>
      </c>
      <c r="O13">
        <f>IF($AD13="","",INDEX('Per Line'!$P$2:$P$3001,$AD13))</f>
        <v/>
      </c>
      <c r="P13" s="7">
        <f>IF($AD13="","",IF(AND(ISNUMBER(Q13),Q13&gt;0,AB13&gt;Q13),O13*Q13/100+(AB13-Q13),O13*AB13/100))</f>
        <v/>
      </c>
      <c r="Q13">
        <f>IF($AD13="","",INDEX('Per Line'!$AG$2:$AG$3001,$AD13))</f>
        <v/>
      </c>
      <c r="R13">
        <f>IF($AD13="","",IF(AND(ISNUMBER(Q13),Q13&gt;0),AB13&gt;Q13,FALSE))</f>
        <v/>
      </c>
      <c r="S13" s="7">
        <f>IF($AD13="","",SUMIFS('Per Line'!$AB$2:$AB$3001,'Per Line'!$E$2:$E$3001,$B13,'Per Line'!$AQ$2:$AQ$3001,1))</f>
        <v/>
      </c>
      <c r="T13">
        <f>IF($AD13="","",Settings!$C$7)</f>
        <v/>
      </c>
      <c r="U13" s="7">
        <f>IF($AD13="","",SUMIFS('Per Line'!$AB$2:$AB$3001,'Per Line'!$E$2:$E$3001,$B13,'Per Line'!$AP$2:$AP$3001,0,'Per Line'!$AQ$2:$AQ$3001,0))</f>
        <v/>
      </c>
      <c r="V13" s="7">
        <f>IF($AD13="","",U13*T13)</f>
        <v/>
      </c>
      <c r="W13">
        <f>IF($AD13="","",Settings!$C$6)</f>
        <v/>
      </c>
      <c r="X13" s="7">
        <f>IF($AD13="","",SUMIFS('Per Line'!$AB$2:$AB$3001,'Per Line'!$E$2:$E$3001,$B13,'Per Line'!$AP$2:$AP$3001,1,'Per Line'!$AQ$2:$AQ$3001,0))</f>
        <v/>
      </c>
      <c r="Y13" s="7">
        <f>IF($AD13="","",X13*W13)</f>
        <v/>
      </c>
      <c r="Z13" s="7">
        <f>IF($AD13="","",Y13+V13)</f>
        <v/>
      </c>
      <c r="AA13" s="7">
        <f>IF($AD13="","",AB13-Z13)</f>
        <v/>
      </c>
      <c r="AB13" s="7">
        <f>IF($AD13="","",U13+X13+S13)</f>
        <v/>
      </c>
      <c r="AC13" s="7">
        <f>IF($AD13="","",AB13-Z13-P13)</f>
        <v/>
      </c>
      <c r="AD13" s="13">
        <f>IF(ROWS($AD$2:$AD13)&lt;=MAX('Per Line'!$AO$2:$AO$3001),MATCH(ROWS($AD$2:$AD13),'Per Line'!$AO$2:$AO$3001,0),"")</f>
        <v/>
      </c>
      <c r="AE13" s="14">
        <f>IF($AD13="","",P13-O13*AB13/100)</f>
        <v/>
      </c>
    </row>
    <row r="14">
      <c r="A14" s="12" t="n"/>
      <c r="B14">
        <f>IF($AD14="","",INDEX('Per Line'!$E$2:$E$3001,$AD14)&amp;"")</f>
        <v/>
      </c>
      <c r="C14">
        <f>IF($AD14="","",INDEX('Per Line'!$A$2:$A$3001,$AD14)&amp;"")</f>
        <v/>
      </c>
      <c r="D14">
        <f>IF($AD14="","",INDEX('Per Line'!$C$2:$C$3001,$AD14)&amp;"")</f>
        <v/>
      </c>
      <c r="E14">
        <f>IF($AD14="","",INDEX('Per Line'!$B$2:$B$3001,$AD14))</f>
        <v/>
      </c>
      <c r="F14">
        <f>IF($AD14="","",INDEX('Per Line'!$D$2:$D$3001,$AD14)&amp;"")</f>
        <v/>
      </c>
      <c r="G14" s="11">
        <f>IF($AD14="","",INDEX('Per Line'!$G$2:$G$3001,$AD14))</f>
        <v/>
      </c>
      <c r="H14">
        <f>IF($AD14="","",INDEX('Per Line'!$J$2:$J$3001,$AD14)&amp;"")</f>
        <v/>
      </c>
      <c r="I14">
        <f>IF($AD14="","",INDEX('Per Line'!$H$2:$H$3001,$AD14)&amp;"")</f>
        <v/>
      </c>
      <c r="J14">
        <f>IF($AD14="","",INDEX('Per Line'!$F$2:$F$3001,$AD14)&amp;"")</f>
        <v/>
      </c>
      <c r="K14">
        <f>IF($AD14="","",INDEX('Per Line'!$K$2:$K$3001,$AD14)&amp;"")</f>
        <v/>
      </c>
      <c r="L14">
        <f>IF($AD14="","",INDEX('Per Line'!$L$2:$L$3001,$AD14)&amp;"")</f>
        <v/>
      </c>
      <c r="M14">
        <f>IF($AD14="","",INDEX('Per Line'!$M$2:$M$3001,$AD14)&amp;"")</f>
        <v/>
      </c>
      <c r="N14">
        <f>IF($AD14="","",INDEX('Per Line'!$AC$2:$AC$3001,$AD14)&amp;"")</f>
        <v/>
      </c>
      <c r="O14">
        <f>IF($AD14="","",INDEX('Per Line'!$P$2:$P$3001,$AD14))</f>
        <v/>
      </c>
      <c r="P14" s="7">
        <f>IF($AD14="","",IF(AND(ISNUMBER(Q14),Q14&gt;0,AB14&gt;Q14),O14*Q14/100+(AB14-Q14),O14*AB14/100))</f>
        <v/>
      </c>
      <c r="Q14">
        <f>IF($AD14="","",INDEX('Per Line'!$AG$2:$AG$3001,$AD14))</f>
        <v/>
      </c>
      <c r="R14">
        <f>IF($AD14="","",IF(AND(ISNUMBER(Q14),Q14&gt;0),AB14&gt;Q14,FALSE))</f>
        <v/>
      </c>
      <c r="S14" s="7">
        <f>IF($AD14="","",SUMIFS('Per Line'!$AB$2:$AB$3001,'Per Line'!$E$2:$E$3001,$B14,'Per Line'!$AQ$2:$AQ$3001,1))</f>
        <v/>
      </c>
      <c r="T14">
        <f>IF($AD14="","",Settings!$C$7)</f>
        <v/>
      </c>
      <c r="U14" s="7">
        <f>IF($AD14="","",SUMIFS('Per Line'!$AB$2:$AB$3001,'Per Line'!$E$2:$E$3001,$B14,'Per Line'!$AP$2:$AP$3001,0,'Per Line'!$AQ$2:$AQ$3001,0))</f>
        <v/>
      </c>
      <c r="V14" s="7">
        <f>IF($AD14="","",U14*T14)</f>
        <v/>
      </c>
      <c r="W14">
        <f>IF($AD14="","",Settings!$C$6)</f>
        <v/>
      </c>
      <c r="X14" s="7">
        <f>IF($AD14="","",SUMIFS('Per Line'!$AB$2:$AB$3001,'Per Line'!$E$2:$E$3001,$B14,'Per Line'!$AP$2:$AP$3001,1,'Per Line'!$AQ$2:$AQ$3001,0))</f>
        <v/>
      </c>
      <c r="Y14" s="7">
        <f>IF($AD14="","",X14*W14)</f>
        <v/>
      </c>
      <c r="Z14" s="7">
        <f>IF($AD14="","",Y14+V14)</f>
        <v/>
      </c>
      <c r="AA14" s="7">
        <f>IF($AD14="","",AB14-Z14)</f>
        <v/>
      </c>
      <c r="AB14" s="7">
        <f>IF($AD14="","",U14+X14+S14)</f>
        <v/>
      </c>
      <c r="AC14" s="7">
        <f>IF($AD14="","",AB14-Z14-P14)</f>
        <v/>
      </c>
      <c r="AD14" s="13">
        <f>IF(ROWS($AD$2:$AD14)&lt;=MAX('Per Line'!$AO$2:$AO$3001),MATCH(ROWS($AD$2:$AD14),'Per Line'!$AO$2:$AO$3001,0),"")</f>
        <v/>
      </c>
      <c r="AE14" s="14">
        <f>IF($AD14="","",P14-O14*AB14/100)</f>
        <v/>
      </c>
    </row>
    <row r="15">
      <c r="A15" s="12" t="n"/>
      <c r="B15">
        <f>IF($AD15="","",INDEX('Per Line'!$E$2:$E$3001,$AD15)&amp;"")</f>
        <v/>
      </c>
      <c r="C15">
        <f>IF($AD15="","",INDEX('Per Line'!$A$2:$A$3001,$AD15)&amp;"")</f>
        <v/>
      </c>
      <c r="D15">
        <f>IF($AD15="","",INDEX('Per Line'!$C$2:$C$3001,$AD15)&amp;"")</f>
        <v/>
      </c>
      <c r="E15">
        <f>IF($AD15="","",INDEX('Per Line'!$B$2:$B$3001,$AD15))</f>
        <v/>
      </c>
      <c r="F15">
        <f>IF($AD15="","",INDEX('Per Line'!$D$2:$D$3001,$AD15)&amp;"")</f>
        <v/>
      </c>
      <c r="G15" s="11">
        <f>IF($AD15="","",INDEX('Per Line'!$G$2:$G$3001,$AD15))</f>
        <v/>
      </c>
      <c r="H15">
        <f>IF($AD15="","",INDEX('Per Line'!$J$2:$J$3001,$AD15)&amp;"")</f>
        <v/>
      </c>
      <c r="I15">
        <f>IF($AD15="","",INDEX('Per Line'!$H$2:$H$3001,$AD15)&amp;"")</f>
        <v/>
      </c>
      <c r="J15">
        <f>IF($AD15="","",INDEX('Per Line'!$F$2:$F$3001,$AD15)&amp;"")</f>
        <v/>
      </c>
      <c r="K15">
        <f>IF($AD15="","",INDEX('Per Line'!$K$2:$K$3001,$AD15)&amp;"")</f>
        <v/>
      </c>
      <c r="L15">
        <f>IF($AD15="","",INDEX('Per Line'!$L$2:$L$3001,$AD15)&amp;"")</f>
        <v/>
      </c>
      <c r="M15">
        <f>IF($AD15="","",INDEX('Per Line'!$M$2:$M$3001,$AD15)&amp;"")</f>
        <v/>
      </c>
      <c r="N15">
        <f>IF($AD15="","",INDEX('Per Line'!$AC$2:$AC$3001,$AD15)&amp;"")</f>
        <v/>
      </c>
      <c r="O15">
        <f>IF($AD15="","",INDEX('Per Line'!$P$2:$P$3001,$AD15))</f>
        <v/>
      </c>
      <c r="P15" s="7">
        <f>IF($AD15="","",IF(AND(ISNUMBER(Q15),Q15&gt;0,AB15&gt;Q15),O15*Q15/100+(AB15-Q15),O15*AB15/100))</f>
        <v/>
      </c>
      <c r="Q15">
        <f>IF($AD15="","",INDEX('Per Line'!$AG$2:$AG$3001,$AD15))</f>
        <v/>
      </c>
      <c r="R15">
        <f>IF($AD15="","",IF(AND(ISNUMBER(Q15),Q15&gt;0),AB15&gt;Q15,FALSE))</f>
        <v/>
      </c>
      <c r="S15" s="7">
        <f>IF($AD15="","",SUMIFS('Per Line'!$AB$2:$AB$3001,'Per Line'!$E$2:$E$3001,$B15,'Per Line'!$AQ$2:$AQ$3001,1))</f>
        <v/>
      </c>
      <c r="T15">
        <f>IF($AD15="","",Settings!$C$7)</f>
        <v/>
      </c>
      <c r="U15" s="7">
        <f>IF($AD15="","",SUMIFS('Per Line'!$AB$2:$AB$3001,'Per Line'!$E$2:$E$3001,$B15,'Per Line'!$AP$2:$AP$3001,0,'Per Line'!$AQ$2:$AQ$3001,0))</f>
        <v/>
      </c>
      <c r="V15" s="7">
        <f>IF($AD15="","",U15*T15)</f>
        <v/>
      </c>
      <c r="W15">
        <f>IF($AD15="","",Settings!$C$6)</f>
        <v/>
      </c>
      <c r="X15" s="7">
        <f>IF($AD15="","",SUMIFS('Per Line'!$AB$2:$AB$3001,'Per Line'!$E$2:$E$3001,$B15,'Per Line'!$AP$2:$AP$3001,1,'Per Line'!$AQ$2:$AQ$3001,0))</f>
        <v/>
      </c>
      <c r="Y15" s="7">
        <f>IF($AD15="","",X15*W15)</f>
        <v/>
      </c>
      <c r="Z15" s="7">
        <f>IF($AD15="","",Y15+V15)</f>
        <v/>
      </c>
      <c r="AA15" s="7">
        <f>IF($AD15="","",AB15-Z15)</f>
        <v/>
      </c>
      <c r="AB15" s="7">
        <f>IF($AD15="","",U15+X15+S15)</f>
        <v/>
      </c>
      <c r="AC15" s="7">
        <f>IF($AD15="","",AB15-Z15-P15)</f>
        <v/>
      </c>
      <c r="AD15" s="13">
        <f>IF(ROWS($AD$2:$AD15)&lt;=MAX('Per Line'!$AO$2:$AO$3001),MATCH(ROWS($AD$2:$AD15),'Per Line'!$AO$2:$AO$3001,0),"")</f>
        <v/>
      </c>
      <c r="AE15" s="14">
        <f>IF($AD15="","",P15-O15*AB15/100)</f>
        <v/>
      </c>
    </row>
    <row r="16">
      <c r="A16" s="12" t="n"/>
      <c r="B16">
        <f>IF($AD16="","",INDEX('Per Line'!$E$2:$E$3001,$AD16)&amp;"")</f>
        <v/>
      </c>
      <c r="C16">
        <f>IF($AD16="","",INDEX('Per Line'!$A$2:$A$3001,$AD16)&amp;"")</f>
        <v/>
      </c>
      <c r="D16">
        <f>IF($AD16="","",INDEX('Per Line'!$C$2:$C$3001,$AD16)&amp;"")</f>
        <v/>
      </c>
      <c r="E16">
        <f>IF($AD16="","",INDEX('Per Line'!$B$2:$B$3001,$AD16))</f>
        <v/>
      </c>
      <c r="F16">
        <f>IF($AD16="","",INDEX('Per Line'!$D$2:$D$3001,$AD16)&amp;"")</f>
        <v/>
      </c>
      <c r="G16" s="11">
        <f>IF($AD16="","",INDEX('Per Line'!$G$2:$G$3001,$AD16))</f>
        <v/>
      </c>
      <c r="H16">
        <f>IF($AD16="","",INDEX('Per Line'!$J$2:$J$3001,$AD16)&amp;"")</f>
        <v/>
      </c>
      <c r="I16">
        <f>IF($AD16="","",INDEX('Per Line'!$H$2:$H$3001,$AD16)&amp;"")</f>
        <v/>
      </c>
      <c r="J16">
        <f>IF($AD16="","",INDEX('Per Line'!$F$2:$F$3001,$AD16)&amp;"")</f>
        <v/>
      </c>
      <c r="K16">
        <f>IF($AD16="","",INDEX('Per Line'!$K$2:$K$3001,$AD16)&amp;"")</f>
        <v/>
      </c>
      <c r="L16">
        <f>IF($AD16="","",INDEX('Per Line'!$L$2:$L$3001,$AD16)&amp;"")</f>
        <v/>
      </c>
      <c r="M16">
        <f>IF($AD16="","",INDEX('Per Line'!$M$2:$M$3001,$AD16)&amp;"")</f>
        <v/>
      </c>
      <c r="N16">
        <f>IF($AD16="","",INDEX('Per Line'!$AC$2:$AC$3001,$AD16)&amp;"")</f>
        <v/>
      </c>
      <c r="O16">
        <f>IF($AD16="","",INDEX('Per Line'!$P$2:$P$3001,$AD16))</f>
        <v/>
      </c>
      <c r="P16" s="7">
        <f>IF($AD16="","",IF(AND(ISNUMBER(Q16),Q16&gt;0,AB16&gt;Q16),O16*Q16/100+(AB16-Q16),O16*AB16/100))</f>
        <v/>
      </c>
      <c r="Q16">
        <f>IF($AD16="","",INDEX('Per Line'!$AG$2:$AG$3001,$AD16))</f>
        <v/>
      </c>
      <c r="R16">
        <f>IF($AD16="","",IF(AND(ISNUMBER(Q16),Q16&gt;0),AB16&gt;Q16,FALSE))</f>
        <v/>
      </c>
      <c r="S16" s="7">
        <f>IF($AD16="","",SUMIFS('Per Line'!$AB$2:$AB$3001,'Per Line'!$E$2:$E$3001,$B16,'Per Line'!$AQ$2:$AQ$3001,1))</f>
        <v/>
      </c>
      <c r="T16">
        <f>IF($AD16="","",Settings!$C$7)</f>
        <v/>
      </c>
      <c r="U16" s="7">
        <f>IF($AD16="","",SUMIFS('Per Line'!$AB$2:$AB$3001,'Per Line'!$E$2:$E$3001,$B16,'Per Line'!$AP$2:$AP$3001,0,'Per Line'!$AQ$2:$AQ$3001,0))</f>
        <v/>
      </c>
      <c r="V16" s="7">
        <f>IF($AD16="","",U16*T16)</f>
        <v/>
      </c>
      <c r="W16">
        <f>IF($AD16="","",Settings!$C$6)</f>
        <v/>
      </c>
      <c r="X16" s="7">
        <f>IF($AD16="","",SUMIFS('Per Line'!$AB$2:$AB$3001,'Per Line'!$E$2:$E$3001,$B16,'Per Line'!$AP$2:$AP$3001,1,'Per Line'!$AQ$2:$AQ$3001,0))</f>
        <v/>
      </c>
      <c r="Y16" s="7">
        <f>IF($AD16="","",X16*W16)</f>
        <v/>
      </c>
      <c r="Z16" s="7">
        <f>IF($AD16="","",Y16+V16)</f>
        <v/>
      </c>
      <c r="AA16" s="7">
        <f>IF($AD16="","",AB16-Z16)</f>
        <v/>
      </c>
      <c r="AB16" s="7">
        <f>IF($AD16="","",U16+X16+S16)</f>
        <v/>
      </c>
      <c r="AC16" s="7">
        <f>IF($AD16="","",AB16-Z16-P16)</f>
        <v/>
      </c>
      <c r="AD16" s="13">
        <f>IF(ROWS($AD$2:$AD16)&lt;=MAX('Per Line'!$AO$2:$AO$3001),MATCH(ROWS($AD$2:$AD16),'Per Line'!$AO$2:$AO$3001,0),"")</f>
        <v/>
      </c>
      <c r="AE16" s="14">
        <f>IF($AD16="","",P16-O16*AB16/100)</f>
        <v/>
      </c>
    </row>
    <row r="17">
      <c r="A17" s="12" t="n"/>
      <c r="B17">
        <f>IF($AD17="","",INDEX('Per Line'!$E$2:$E$3001,$AD17)&amp;"")</f>
        <v/>
      </c>
      <c r="C17">
        <f>IF($AD17="","",INDEX('Per Line'!$A$2:$A$3001,$AD17)&amp;"")</f>
        <v/>
      </c>
      <c r="D17">
        <f>IF($AD17="","",INDEX('Per Line'!$C$2:$C$3001,$AD17)&amp;"")</f>
        <v/>
      </c>
      <c r="E17">
        <f>IF($AD17="","",INDEX('Per Line'!$B$2:$B$3001,$AD17))</f>
        <v/>
      </c>
      <c r="F17">
        <f>IF($AD17="","",INDEX('Per Line'!$D$2:$D$3001,$AD17)&amp;"")</f>
        <v/>
      </c>
      <c r="G17" s="11">
        <f>IF($AD17="","",INDEX('Per Line'!$G$2:$G$3001,$AD17))</f>
        <v/>
      </c>
      <c r="H17">
        <f>IF($AD17="","",INDEX('Per Line'!$J$2:$J$3001,$AD17)&amp;"")</f>
        <v/>
      </c>
      <c r="I17">
        <f>IF($AD17="","",INDEX('Per Line'!$H$2:$H$3001,$AD17)&amp;"")</f>
        <v/>
      </c>
      <c r="J17">
        <f>IF($AD17="","",INDEX('Per Line'!$F$2:$F$3001,$AD17)&amp;"")</f>
        <v/>
      </c>
      <c r="K17">
        <f>IF($AD17="","",INDEX('Per Line'!$K$2:$K$3001,$AD17)&amp;"")</f>
        <v/>
      </c>
      <c r="L17">
        <f>IF($AD17="","",INDEX('Per Line'!$L$2:$L$3001,$AD17)&amp;"")</f>
        <v/>
      </c>
      <c r="M17">
        <f>IF($AD17="","",INDEX('Per Line'!$M$2:$M$3001,$AD17)&amp;"")</f>
        <v/>
      </c>
      <c r="N17">
        <f>IF($AD17="","",INDEX('Per Line'!$AC$2:$AC$3001,$AD17)&amp;"")</f>
        <v/>
      </c>
      <c r="O17">
        <f>IF($AD17="","",INDEX('Per Line'!$P$2:$P$3001,$AD17))</f>
        <v/>
      </c>
      <c r="P17" s="7">
        <f>IF($AD17="","",IF(AND(ISNUMBER(Q17),Q17&gt;0,AB17&gt;Q17),O17*Q17/100+(AB17-Q17),O17*AB17/100))</f>
        <v/>
      </c>
      <c r="Q17">
        <f>IF($AD17="","",INDEX('Per Line'!$AG$2:$AG$3001,$AD17))</f>
        <v/>
      </c>
      <c r="R17">
        <f>IF($AD17="","",IF(AND(ISNUMBER(Q17),Q17&gt;0),AB17&gt;Q17,FALSE))</f>
        <v/>
      </c>
      <c r="S17" s="7">
        <f>IF($AD17="","",SUMIFS('Per Line'!$AB$2:$AB$3001,'Per Line'!$E$2:$E$3001,$B17,'Per Line'!$AQ$2:$AQ$3001,1))</f>
        <v/>
      </c>
      <c r="T17">
        <f>IF($AD17="","",Settings!$C$7)</f>
        <v/>
      </c>
      <c r="U17" s="7">
        <f>IF($AD17="","",SUMIFS('Per Line'!$AB$2:$AB$3001,'Per Line'!$E$2:$E$3001,$B17,'Per Line'!$AP$2:$AP$3001,0,'Per Line'!$AQ$2:$AQ$3001,0))</f>
        <v/>
      </c>
      <c r="V17" s="7">
        <f>IF($AD17="","",U17*T17)</f>
        <v/>
      </c>
      <c r="W17">
        <f>IF($AD17="","",Settings!$C$6)</f>
        <v/>
      </c>
      <c r="X17" s="7">
        <f>IF($AD17="","",SUMIFS('Per Line'!$AB$2:$AB$3001,'Per Line'!$E$2:$E$3001,$B17,'Per Line'!$AP$2:$AP$3001,1,'Per Line'!$AQ$2:$AQ$3001,0))</f>
        <v/>
      </c>
      <c r="Y17" s="7">
        <f>IF($AD17="","",X17*W17)</f>
        <v/>
      </c>
      <c r="Z17" s="7">
        <f>IF($AD17="","",Y17+V17)</f>
        <v/>
      </c>
      <c r="AA17" s="7">
        <f>IF($AD17="","",AB17-Z17)</f>
        <v/>
      </c>
      <c r="AB17" s="7">
        <f>IF($AD17="","",U17+X17+S17)</f>
        <v/>
      </c>
      <c r="AC17" s="7">
        <f>IF($AD17="","",AB17-Z17-P17)</f>
        <v/>
      </c>
      <c r="AD17" s="13">
        <f>IF(ROWS($AD$2:$AD17)&lt;=MAX('Per Line'!$AO$2:$AO$3001),MATCH(ROWS($AD$2:$AD17),'Per Line'!$AO$2:$AO$3001,0),"")</f>
        <v/>
      </c>
      <c r="AE17" s="14">
        <f>IF($AD17="","",P17-O17*AB17/100)</f>
        <v/>
      </c>
    </row>
    <row r="18">
      <c r="A18" s="12" t="n"/>
      <c r="B18">
        <f>IF($AD18="","",INDEX('Per Line'!$E$2:$E$3001,$AD18)&amp;"")</f>
        <v/>
      </c>
      <c r="C18">
        <f>IF($AD18="","",INDEX('Per Line'!$A$2:$A$3001,$AD18)&amp;"")</f>
        <v/>
      </c>
      <c r="D18">
        <f>IF($AD18="","",INDEX('Per Line'!$C$2:$C$3001,$AD18)&amp;"")</f>
        <v/>
      </c>
      <c r="E18">
        <f>IF($AD18="","",INDEX('Per Line'!$B$2:$B$3001,$AD18))</f>
        <v/>
      </c>
      <c r="F18">
        <f>IF($AD18="","",INDEX('Per Line'!$D$2:$D$3001,$AD18)&amp;"")</f>
        <v/>
      </c>
      <c r="G18" s="11">
        <f>IF($AD18="","",INDEX('Per Line'!$G$2:$G$3001,$AD18))</f>
        <v/>
      </c>
      <c r="H18">
        <f>IF($AD18="","",INDEX('Per Line'!$J$2:$J$3001,$AD18)&amp;"")</f>
        <v/>
      </c>
      <c r="I18">
        <f>IF($AD18="","",INDEX('Per Line'!$H$2:$H$3001,$AD18)&amp;"")</f>
        <v/>
      </c>
      <c r="J18">
        <f>IF($AD18="","",INDEX('Per Line'!$F$2:$F$3001,$AD18)&amp;"")</f>
        <v/>
      </c>
      <c r="K18">
        <f>IF($AD18="","",INDEX('Per Line'!$K$2:$K$3001,$AD18)&amp;"")</f>
        <v/>
      </c>
      <c r="L18">
        <f>IF($AD18="","",INDEX('Per Line'!$L$2:$L$3001,$AD18)&amp;"")</f>
        <v/>
      </c>
      <c r="M18">
        <f>IF($AD18="","",INDEX('Per Line'!$M$2:$M$3001,$AD18)&amp;"")</f>
        <v/>
      </c>
      <c r="N18">
        <f>IF($AD18="","",INDEX('Per Line'!$AC$2:$AC$3001,$AD18)&amp;"")</f>
        <v/>
      </c>
      <c r="O18">
        <f>IF($AD18="","",INDEX('Per Line'!$P$2:$P$3001,$AD18))</f>
        <v/>
      </c>
      <c r="P18" s="7">
        <f>IF($AD18="","",IF(AND(ISNUMBER(Q18),Q18&gt;0,AB18&gt;Q18),O18*Q18/100+(AB18-Q18),O18*AB18/100))</f>
        <v/>
      </c>
      <c r="Q18">
        <f>IF($AD18="","",INDEX('Per Line'!$AG$2:$AG$3001,$AD18))</f>
        <v/>
      </c>
      <c r="R18">
        <f>IF($AD18="","",IF(AND(ISNUMBER(Q18),Q18&gt;0),AB18&gt;Q18,FALSE))</f>
        <v/>
      </c>
      <c r="S18" s="7">
        <f>IF($AD18="","",SUMIFS('Per Line'!$AB$2:$AB$3001,'Per Line'!$E$2:$E$3001,$B18,'Per Line'!$AQ$2:$AQ$3001,1))</f>
        <v/>
      </c>
      <c r="T18">
        <f>IF($AD18="","",Settings!$C$7)</f>
        <v/>
      </c>
      <c r="U18" s="7">
        <f>IF($AD18="","",SUMIFS('Per Line'!$AB$2:$AB$3001,'Per Line'!$E$2:$E$3001,$B18,'Per Line'!$AP$2:$AP$3001,0,'Per Line'!$AQ$2:$AQ$3001,0))</f>
        <v/>
      </c>
      <c r="V18" s="7">
        <f>IF($AD18="","",U18*T18)</f>
        <v/>
      </c>
      <c r="W18">
        <f>IF($AD18="","",Settings!$C$6)</f>
        <v/>
      </c>
      <c r="X18" s="7">
        <f>IF($AD18="","",SUMIFS('Per Line'!$AB$2:$AB$3001,'Per Line'!$E$2:$E$3001,$B18,'Per Line'!$AP$2:$AP$3001,1,'Per Line'!$AQ$2:$AQ$3001,0))</f>
        <v/>
      </c>
      <c r="Y18" s="7">
        <f>IF($AD18="","",X18*W18)</f>
        <v/>
      </c>
      <c r="Z18" s="7">
        <f>IF($AD18="","",Y18+V18)</f>
        <v/>
      </c>
      <c r="AA18" s="7">
        <f>IF($AD18="","",AB18-Z18)</f>
        <v/>
      </c>
      <c r="AB18" s="7">
        <f>IF($AD18="","",U18+X18+S18)</f>
        <v/>
      </c>
      <c r="AC18" s="7">
        <f>IF($AD18="","",AB18-Z18-P18)</f>
        <v/>
      </c>
      <c r="AD18" s="13">
        <f>IF(ROWS($AD$2:$AD18)&lt;=MAX('Per Line'!$AO$2:$AO$3001),MATCH(ROWS($AD$2:$AD18),'Per Line'!$AO$2:$AO$3001,0),"")</f>
        <v/>
      </c>
      <c r="AE18" s="14">
        <f>IF($AD18="","",P18-O18*AB18/100)</f>
        <v/>
      </c>
    </row>
    <row r="19">
      <c r="A19" s="12" t="n"/>
      <c r="B19">
        <f>IF($AD19="","",INDEX('Per Line'!$E$2:$E$3001,$AD19)&amp;"")</f>
        <v/>
      </c>
      <c r="C19">
        <f>IF($AD19="","",INDEX('Per Line'!$A$2:$A$3001,$AD19)&amp;"")</f>
        <v/>
      </c>
      <c r="D19">
        <f>IF($AD19="","",INDEX('Per Line'!$C$2:$C$3001,$AD19)&amp;"")</f>
        <v/>
      </c>
      <c r="E19">
        <f>IF($AD19="","",INDEX('Per Line'!$B$2:$B$3001,$AD19))</f>
        <v/>
      </c>
      <c r="F19">
        <f>IF($AD19="","",INDEX('Per Line'!$D$2:$D$3001,$AD19)&amp;"")</f>
        <v/>
      </c>
      <c r="G19" s="11">
        <f>IF($AD19="","",INDEX('Per Line'!$G$2:$G$3001,$AD19))</f>
        <v/>
      </c>
      <c r="H19">
        <f>IF($AD19="","",INDEX('Per Line'!$J$2:$J$3001,$AD19)&amp;"")</f>
        <v/>
      </c>
      <c r="I19">
        <f>IF($AD19="","",INDEX('Per Line'!$H$2:$H$3001,$AD19)&amp;"")</f>
        <v/>
      </c>
      <c r="J19">
        <f>IF($AD19="","",INDEX('Per Line'!$F$2:$F$3001,$AD19)&amp;"")</f>
        <v/>
      </c>
      <c r="K19">
        <f>IF($AD19="","",INDEX('Per Line'!$K$2:$K$3001,$AD19)&amp;"")</f>
        <v/>
      </c>
      <c r="L19">
        <f>IF($AD19="","",INDEX('Per Line'!$L$2:$L$3001,$AD19)&amp;"")</f>
        <v/>
      </c>
      <c r="M19">
        <f>IF($AD19="","",INDEX('Per Line'!$M$2:$M$3001,$AD19)&amp;"")</f>
        <v/>
      </c>
      <c r="N19">
        <f>IF($AD19="","",INDEX('Per Line'!$AC$2:$AC$3001,$AD19)&amp;"")</f>
        <v/>
      </c>
      <c r="O19">
        <f>IF($AD19="","",INDEX('Per Line'!$P$2:$P$3001,$AD19))</f>
        <v/>
      </c>
      <c r="P19" s="7">
        <f>IF($AD19="","",IF(AND(ISNUMBER(Q19),Q19&gt;0,AB19&gt;Q19),O19*Q19/100+(AB19-Q19),O19*AB19/100))</f>
        <v/>
      </c>
      <c r="Q19">
        <f>IF($AD19="","",INDEX('Per Line'!$AG$2:$AG$3001,$AD19))</f>
        <v/>
      </c>
      <c r="R19">
        <f>IF($AD19="","",IF(AND(ISNUMBER(Q19),Q19&gt;0),AB19&gt;Q19,FALSE))</f>
        <v/>
      </c>
      <c r="S19" s="7">
        <f>IF($AD19="","",SUMIFS('Per Line'!$AB$2:$AB$3001,'Per Line'!$E$2:$E$3001,$B19,'Per Line'!$AQ$2:$AQ$3001,1))</f>
        <v/>
      </c>
      <c r="T19">
        <f>IF($AD19="","",Settings!$C$7)</f>
        <v/>
      </c>
      <c r="U19" s="7">
        <f>IF($AD19="","",SUMIFS('Per Line'!$AB$2:$AB$3001,'Per Line'!$E$2:$E$3001,$B19,'Per Line'!$AP$2:$AP$3001,0,'Per Line'!$AQ$2:$AQ$3001,0))</f>
        <v/>
      </c>
      <c r="V19" s="7">
        <f>IF($AD19="","",U19*T19)</f>
        <v/>
      </c>
      <c r="W19">
        <f>IF($AD19="","",Settings!$C$6)</f>
        <v/>
      </c>
      <c r="X19" s="7">
        <f>IF($AD19="","",SUMIFS('Per Line'!$AB$2:$AB$3001,'Per Line'!$E$2:$E$3001,$B19,'Per Line'!$AP$2:$AP$3001,1,'Per Line'!$AQ$2:$AQ$3001,0))</f>
        <v/>
      </c>
      <c r="Y19" s="7">
        <f>IF($AD19="","",X19*W19)</f>
        <v/>
      </c>
      <c r="Z19" s="7">
        <f>IF($AD19="","",Y19+V19)</f>
        <v/>
      </c>
      <c r="AA19" s="7">
        <f>IF($AD19="","",AB19-Z19)</f>
        <v/>
      </c>
      <c r="AB19" s="7">
        <f>IF($AD19="","",U19+X19+S19)</f>
        <v/>
      </c>
      <c r="AC19" s="7">
        <f>IF($AD19="","",AB19-Z19-P19)</f>
        <v/>
      </c>
      <c r="AD19" s="13">
        <f>IF(ROWS($AD$2:$AD19)&lt;=MAX('Per Line'!$AO$2:$AO$3001),MATCH(ROWS($AD$2:$AD19),'Per Line'!$AO$2:$AO$3001,0),"")</f>
        <v/>
      </c>
      <c r="AE19" s="14">
        <f>IF($AD19="","",P19-O19*AB19/100)</f>
        <v/>
      </c>
    </row>
    <row r="20">
      <c r="A20" s="12" t="n"/>
      <c r="B20">
        <f>IF($AD20="","",INDEX('Per Line'!$E$2:$E$3001,$AD20)&amp;"")</f>
        <v/>
      </c>
      <c r="C20">
        <f>IF($AD20="","",INDEX('Per Line'!$A$2:$A$3001,$AD20)&amp;"")</f>
        <v/>
      </c>
      <c r="D20">
        <f>IF($AD20="","",INDEX('Per Line'!$C$2:$C$3001,$AD20)&amp;"")</f>
        <v/>
      </c>
      <c r="E20">
        <f>IF($AD20="","",INDEX('Per Line'!$B$2:$B$3001,$AD20))</f>
        <v/>
      </c>
      <c r="F20">
        <f>IF($AD20="","",INDEX('Per Line'!$D$2:$D$3001,$AD20)&amp;"")</f>
        <v/>
      </c>
      <c r="G20" s="11">
        <f>IF($AD20="","",INDEX('Per Line'!$G$2:$G$3001,$AD20))</f>
        <v/>
      </c>
      <c r="H20">
        <f>IF($AD20="","",INDEX('Per Line'!$J$2:$J$3001,$AD20)&amp;"")</f>
        <v/>
      </c>
      <c r="I20">
        <f>IF($AD20="","",INDEX('Per Line'!$H$2:$H$3001,$AD20)&amp;"")</f>
        <v/>
      </c>
      <c r="J20">
        <f>IF($AD20="","",INDEX('Per Line'!$F$2:$F$3001,$AD20)&amp;"")</f>
        <v/>
      </c>
      <c r="K20">
        <f>IF($AD20="","",INDEX('Per Line'!$K$2:$K$3001,$AD20)&amp;"")</f>
        <v/>
      </c>
      <c r="L20">
        <f>IF($AD20="","",INDEX('Per Line'!$L$2:$L$3001,$AD20)&amp;"")</f>
        <v/>
      </c>
      <c r="M20">
        <f>IF($AD20="","",INDEX('Per Line'!$M$2:$M$3001,$AD20)&amp;"")</f>
        <v/>
      </c>
      <c r="N20">
        <f>IF($AD20="","",INDEX('Per Line'!$AC$2:$AC$3001,$AD20)&amp;"")</f>
        <v/>
      </c>
      <c r="O20">
        <f>IF($AD20="","",INDEX('Per Line'!$P$2:$P$3001,$AD20))</f>
        <v/>
      </c>
      <c r="P20" s="7">
        <f>IF($AD20="","",IF(AND(ISNUMBER(Q20),Q20&gt;0,AB20&gt;Q20),O20*Q20/100+(AB20-Q20),O20*AB20/100))</f>
        <v/>
      </c>
      <c r="Q20">
        <f>IF($AD20="","",INDEX('Per Line'!$AG$2:$AG$3001,$AD20))</f>
        <v/>
      </c>
      <c r="R20">
        <f>IF($AD20="","",IF(AND(ISNUMBER(Q20),Q20&gt;0),AB20&gt;Q20,FALSE))</f>
        <v/>
      </c>
      <c r="S20" s="7">
        <f>IF($AD20="","",SUMIFS('Per Line'!$AB$2:$AB$3001,'Per Line'!$E$2:$E$3001,$B20,'Per Line'!$AQ$2:$AQ$3001,1))</f>
        <v/>
      </c>
      <c r="T20">
        <f>IF($AD20="","",Settings!$C$7)</f>
        <v/>
      </c>
      <c r="U20" s="7">
        <f>IF($AD20="","",SUMIFS('Per Line'!$AB$2:$AB$3001,'Per Line'!$E$2:$E$3001,$B20,'Per Line'!$AP$2:$AP$3001,0,'Per Line'!$AQ$2:$AQ$3001,0))</f>
        <v/>
      </c>
      <c r="V20" s="7">
        <f>IF($AD20="","",U20*T20)</f>
        <v/>
      </c>
      <c r="W20">
        <f>IF($AD20="","",Settings!$C$6)</f>
        <v/>
      </c>
      <c r="X20" s="7">
        <f>IF($AD20="","",SUMIFS('Per Line'!$AB$2:$AB$3001,'Per Line'!$E$2:$E$3001,$B20,'Per Line'!$AP$2:$AP$3001,1,'Per Line'!$AQ$2:$AQ$3001,0))</f>
        <v/>
      </c>
      <c r="Y20" s="7">
        <f>IF($AD20="","",X20*W20)</f>
        <v/>
      </c>
      <c r="Z20" s="7">
        <f>IF($AD20="","",Y20+V20)</f>
        <v/>
      </c>
      <c r="AA20" s="7">
        <f>IF($AD20="","",AB20-Z20)</f>
        <v/>
      </c>
      <c r="AB20" s="7">
        <f>IF($AD20="","",U20+X20+S20)</f>
        <v/>
      </c>
      <c r="AC20" s="7">
        <f>IF($AD20="","",AB20-Z20-P20)</f>
        <v/>
      </c>
      <c r="AD20" s="13">
        <f>IF(ROWS($AD$2:$AD20)&lt;=MAX('Per Line'!$AO$2:$AO$3001),MATCH(ROWS($AD$2:$AD20),'Per Line'!$AO$2:$AO$3001,0),"")</f>
        <v/>
      </c>
      <c r="AE20" s="14">
        <f>IF($AD20="","",P20-O20*AB20/100)</f>
        <v/>
      </c>
    </row>
    <row r="21">
      <c r="A21" s="12" t="n"/>
      <c r="B21">
        <f>IF($AD21="","",INDEX('Per Line'!$E$2:$E$3001,$AD21)&amp;"")</f>
        <v/>
      </c>
      <c r="C21">
        <f>IF($AD21="","",INDEX('Per Line'!$A$2:$A$3001,$AD21)&amp;"")</f>
        <v/>
      </c>
      <c r="D21">
        <f>IF($AD21="","",INDEX('Per Line'!$C$2:$C$3001,$AD21)&amp;"")</f>
        <v/>
      </c>
      <c r="E21">
        <f>IF($AD21="","",INDEX('Per Line'!$B$2:$B$3001,$AD21))</f>
        <v/>
      </c>
      <c r="F21">
        <f>IF($AD21="","",INDEX('Per Line'!$D$2:$D$3001,$AD21)&amp;"")</f>
        <v/>
      </c>
      <c r="G21" s="11">
        <f>IF($AD21="","",INDEX('Per Line'!$G$2:$G$3001,$AD21))</f>
        <v/>
      </c>
      <c r="H21">
        <f>IF($AD21="","",INDEX('Per Line'!$J$2:$J$3001,$AD21)&amp;"")</f>
        <v/>
      </c>
      <c r="I21">
        <f>IF($AD21="","",INDEX('Per Line'!$H$2:$H$3001,$AD21)&amp;"")</f>
        <v/>
      </c>
      <c r="J21">
        <f>IF($AD21="","",INDEX('Per Line'!$F$2:$F$3001,$AD21)&amp;"")</f>
        <v/>
      </c>
      <c r="K21">
        <f>IF($AD21="","",INDEX('Per Line'!$K$2:$K$3001,$AD21)&amp;"")</f>
        <v/>
      </c>
      <c r="L21">
        <f>IF($AD21="","",INDEX('Per Line'!$L$2:$L$3001,$AD21)&amp;"")</f>
        <v/>
      </c>
      <c r="M21">
        <f>IF($AD21="","",INDEX('Per Line'!$M$2:$M$3001,$AD21)&amp;"")</f>
        <v/>
      </c>
      <c r="N21">
        <f>IF($AD21="","",INDEX('Per Line'!$AC$2:$AC$3001,$AD21)&amp;"")</f>
        <v/>
      </c>
      <c r="O21">
        <f>IF($AD21="","",INDEX('Per Line'!$P$2:$P$3001,$AD21))</f>
        <v/>
      </c>
      <c r="P21" s="7">
        <f>IF($AD21="","",IF(AND(ISNUMBER(Q21),Q21&gt;0,AB21&gt;Q21),O21*Q21/100+(AB21-Q21),O21*AB21/100))</f>
        <v/>
      </c>
      <c r="Q21">
        <f>IF($AD21="","",INDEX('Per Line'!$AG$2:$AG$3001,$AD21))</f>
        <v/>
      </c>
      <c r="R21">
        <f>IF($AD21="","",IF(AND(ISNUMBER(Q21),Q21&gt;0),AB21&gt;Q21,FALSE))</f>
        <v/>
      </c>
      <c r="S21" s="7">
        <f>IF($AD21="","",SUMIFS('Per Line'!$AB$2:$AB$3001,'Per Line'!$E$2:$E$3001,$B21,'Per Line'!$AQ$2:$AQ$3001,1))</f>
        <v/>
      </c>
      <c r="T21">
        <f>IF($AD21="","",Settings!$C$7)</f>
        <v/>
      </c>
      <c r="U21" s="7">
        <f>IF($AD21="","",SUMIFS('Per Line'!$AB$2:$AB$3001,'Per Line'!$E$2:$E$3001,$B21,'Per Line'!$AP$2:$AP$3001,0,'Per Line'!$AQ$2:$AQ$3001,0))</f>
        <v/>
      </c>
      <c r="V21" s="7">
        <f>IF($AD21="","",U21*T21)</f>
        <v/>
      </c>
      <c r="W21">
        <f>IF($AD21="","",Settings!$C$6)</f>
        <v/>
      </c>
      <c r="X21" s="7">
        <f>IF($AD21="","",SUMIFS('Per Line'!$AB$2:$AB$3001,'Per Line'!$E$2:$E$3001,$B21,'Per Line'!$AP$2:$AP$3001,1,'Per Line'!$AQ$2:$AQ$3001,0))</f>
        <v/>
      </c>
      <c r="Y21" s="7">
        <f>IF($AD21="","",X21*W21)</f>
        <v/>
      </c>
      <c r="Z21" s="7">
        <f>IF($AD21="","",Y21+V21)</f>
        <v/>
      </c>
      <c r="AA21" s="7">
        <f>IF($AD21="","",AB21-Z21)</f>
        <v/>
      </c>
      <c r="AB21" s="7">
        <f>IF($AD21="","",U21+X21+S21)</f>
        <v/>
      </c>
      <c r="AC21" s="7">
        <f>IF($AD21="","",AB21-Z21-P21)</f>
        <v/>
      </c>
      <c r="AD21" s="13">
        <f>IF(ROWS($AD$2:$AD21)&lt;=MAX('Per Line'!$AO$2:$AO$3001),MATCH(ROWS($AD$2:$AD21),'Per Line'!$AO$2:$AO$3001,0),"")</f>
        <v/>
      </c>
      <c r="AE21" s="14">
        <f>IF($AD21="","",P21-O21*AB21/100)</f>
        <v/>
      </c>
    </row>
    <row r="22">
      <c r="A22" s="12" t="n"/>
      <c r="B22">
        <f>IF($AD22="","",INDEX('Per Line'!$E$2:$E$3001,$AD22)&amp;"")</f>
        <v/>
      </c>
      <c r="C22">
        <f>IF($AD22="","",INDEX('Per Line'!$A$2:$A$3001,$AD22)&amp;"")</f>
        <v/>
      </c>
      <c r="D22">
        <f>IF($AD22="","",INDEX('Per Line'!$C$2:$C$3001,$AD22)&amp;"")</f>
        <v/>
      </c>
      <c r="E22">
        <f>IF($AD22="","",INDEX('Per Line'!$B$2:$B$3001,$AD22))</f>
        <v/>
      </c>
      <c r="F22">
        <f>IF($AD22="","",INDEX('Per Line'!$D$2:$D$3001,$AD22)&amp;"")</f>
        <v/>
      </c>
      <c r="G22" s="11">
        <f>IF($AD22="","",INDEX('Per Line'!$G$2:$G$3001,$AD22))</f>
        <v/>
      </c>
      <c r="H22">
        <f>IF($AD22="","",INDEX('Per Line'!$J$2:$J$3001,$AD22)&amp;"")</f>
        <v/>
      </c>
      <c r="I22">
        <f>IF($AD22="","",INDEX('Per Line'!$H$2:$H$3001,$AD22)&amp;"")</f>
        <v/>
      </c>
      <c r="J22">
        <f>IF($AD22="","",INDEX('Per Line'!$F$2:$F$3001,$AD22)&amp;"")</f>
        <v/>
      </c>
      <c r="K22">
        <f>IF($AD22="","",INDEX('Per Line'!$K$2:$K$3001,$AD22)&amp;"")</f>
        <v/>
      </c>
      <c r="L22">
        <f>IF($AD22="","",INDEX('Per Line'!$L$2:$L$3001,$AD22)&amp;"")</f>
        <v/>
      </c>
      <c r="M22">
        <f>IF($AD22="","",INDEX('Per Line'!$M$2:$M$3001,$AD22)&amp;"")</f>
        <v/>
      </c>
      <c r="N22">
        <f>IF($AD22="","",INDEX('Per Line'!$AC$2:$AC$3001,$AD22)&amp;"")</f>
        <v/>
      </c>
      <c r="O22">
        <f>IF($AD22="","",INDEX('Per Line'!$P$2:$P$3001,$AD22))</f>
        <v/>
      </c>
      <c r="P22" s="7">
        <f>IF($AD22="","",IF(AND(ISNUMBER(Q22),Q22&gt;0,AB22&gt;Q22),O22*Q22/100+(AB22-Q22),O22*AB22/100))</f>
        <v/>
      </c>
      <c r="Q22">
        <f>IF($AD22="","",INDEX('Per Line'!$AG$2:$AG$3001,$AD22))</f>
        <v/>
      </c>
      <c r="R22">
        <f>IF($AD22="","",IF(AND(ISNUMBER(Q22),Q22&gt;0),AB22&gt;Q22,FALSE))</f>
        <v/>
      </c>
      <c r="S22" s="7">
        <f>IF($AD22="","",SUMIFS('Per Line'!$AB$2:$AB$3001,'Per Line'!$E$2:$E$3001,$B22,'Per Line'!$AQ$2:$AQ$3001,1))</f>
        <v/>
      </c>
      <c r="T22">
        <f>IF($AD22="","",Settings!$C$7)</f>
        <v/>
      </c>
      <c r="U22" s="7">
        <f>IF($AD22="","",SUMIFS('Per Line'!$AB$2:$AB$3001,'Per Line'!$E$2:$E$3001,$B22,'Per Line'!$AP$2:$AP$3001,0,'Per Line'!$AQ$2:$AQ$3001,0))</f>
        <v/>
      </c>
      <c r="V22" s="7">
        <f>IF($AD22="","",U22*T22)</f>
        <v/>
      </c>
      <c r="W22">
        <f>IF($AD22="","",Settings!$C$6)</f>
        <v/>
      </c>
      <c r="X22" s="7">
        <f>IF($AD22="","",SUMIFS('Per Line'!$AB$2:$AB$3001,'Per Line'!$E$2:$E$3001,$B22,'Per Line'!$AP$2:$AP$3001,1,'Per Line'!$AQ$2:$AQ$3001,0))</f>
        <v/>
      </c>
      <c r="Y22" s="7">
        <f>IF($AD22="","",X22*W22)</f>
        <v/>
      </c>
      <c r="Z22" s="7">
        <f>IF($AD22="","",Y22+V22)</f>
        <v/>
      </c>
      <c r="AA22" s="7">
        <f>IF($AD22="","",AB22-Z22)</f>
        <v/>
      </c>
      <c r="AB22" s="7">
        <f>IF($AD22="","",U22+X22+S22)</f>
        <v/>
      </c>
      <c r="AC22" s="7">
        <f>IF($AD22="","",AB22-Z22-P22)</f>
        <v/>
      </c>
      <c r="AD22" s="13">
        <f>IF(ROWS($AD$2:$AD22)&lt;=MAX('Per Line'!$AO$2:$AO$3001),MATCH(ROWS($AD$2:$AD22),'Per Line'!$AO$2:$AO$3001,0),"")</f>
        <v/>
      </c>
      <c r="AE22" s="14">
        <f>IF($AD22="","",P22-O22*AB22/100)</f>
        <v/>
      </c>
    </row>
    <row r="23">
      <c r="A23" s="12" t="n"/>
      <c r="B23">
        <f>IF($AD23="","",INDEX('Per Line'!$E$2:$E$3001,$AD23)&amp;"")</f>
        <v/>
      </c>
      <c r="C23">
        <f>IF($AD23="","",INDEX('Per Line'!$A$2:$A$3001,$AD23)&amp;"")</f>
        <v/>
      </c>
      <c r="D23">
        <f>IF($AD23="","",INDEX('Per Line'!$C$2:$C$3001,$AD23)&amp;"")</f>
        <v/>
      </c>
      <c r="E23">
        <f>IF($AD23="","",INDEX('Per Line'!$B$2:$B$3001,$AD23))</f>
        <v/>
      </c>
      <c r="F23">
        <f>IF($AD23="","",INDEX('Per Line'!$D$2:$D$3001,$AD23)&amp;"")</f>
        <v/>
      </c>
      <c r="G23" s="11">
        <f>IF($AD23="","",INDEX('Per Line'!$G$2:$G$3001,$AD23))</f>
        <v/>
      </c>
      <c r="H23">
        <f>IF($AD23="","",INDEX('Per Line'!$J$2:$J$3001,$AD23)&amp;"")</f>
        <v/>
      </c>
      <c r="I23">
        <f>IF($AD23="","",INDEX('Per Line'!$H$2:$H$3001,$AD23)&amp;"")</f>
        <v/>
      </c>
      <c r="J23">
        <f>IF($AD23="","",INDEX('Per Line'!$F$2:$F$3001,$AD23)&amp;"")</f>
        <v/>
      </c>
      <c r="K23">
        <f>IF($AD23="","",INDEX('Per Line'!$K$2:$K$3001,$AD23)&amp;"")</f>
        <v/>
      </c>
      <c r="L23">
        <f>IF($AD23="","",INDEX('Per Line'!$L$2:$L$3001,$AD23)&amp;"")</f>
        <v/>
      </c>
      <c r="M23">
        <f>IF($AD23="","",INDEX('Per Line'!$M$2:$M$3001,$AD23)&amp;"")</f>
        <v/>
      </c>
      <c r="N23">
        <f>IF($AD23="","",INDEX('Per Line'!$AC$2:$AC$3001,$AD23)&amp;"")</f>
        <v/>
      </c>
      <c r="O23">
        <f>IF($AD23="","",INDEX('Per Line'!$P$2:$P$3001,$AD23))</f>
        <v/>
      </c>
      <c r="P23" s="7">
        <f>IF($AD23="","",IF(AND(ISNUMBER(Q23),Q23&gt;0,AB23&gt;Q23),O23*Q23/100+(AB23-Q23),O23*AB23/100))</f>
        <v/>
      </c>
      <c r="Q23">
        <f>IF($AD23="","",INDEX('Per Line'!$AG$2:$AG$3001,$AD23))</f>
        <v/>
      </c>
      <c r="R23">
        <f>IF($AD23="","",IF(AND(ISNUMBER(Q23),Q23&gt;0),AB23&gt;Q23,FALSE))</f>
        <v/>
      </c>
      <c r="S23" s="7">
        <f>IF($AD23="","",SUMIFS('Per Line'!$AB$2:$AB$3001,'Per Line'!$E$2:$E$3001,$B23,'Per Line'!$AQ$2:$AQ$3001,1))</f>
        <v/>
      </c>
      <c r="T23">
        <f>IF($AD23="","",Settings!$C$7)</f>
        <v/>
      </c>
      <c r="U23" s="7">
        <f>IF($AD23="","",SUMIFS('Per Line'!$AB$2:$AB$3001,'Per Line'!$E$2:$E$3001,$B23,'Per Line'!$AP$2:$AP$3001,0,'Per Line'!$AQ$2:$AQ$3001,0))</f>
        <v/>
      </c>
      <c r="V23" s="7">
        <f>IF($AD23="","",U23*T23)</f>
        <v/>
      </c>
      <c r="W23">
        <f>IF($AD23="","",Settings!$C$6)</f>
        <v/>
      </c>
      <c r="X23" s="7">
        <f>IF($AD23="","",SUMIFS('Per Line'!$AB$2:$AB$3001,'Per Line'!$E$2:$E$3001,$B23,'Per Line'!$AP$2:$AP$3001,1,'Per Line'!$AQ$2:$AQ$3001,0))</f>
        <v/>
      </c>
      <c r="Y23" s="7">
        <f>IF($AD23="","",X23*W23)</f>
        <v/>
      </c>
      <c r="Z23" s="7">
        <f>IF($AD23="","",Y23+V23)</f>
        <v/>
      </c>
      <c r="AA23" s="7">
        <f>IF($AD23="","",AB23-Z23)</f>
        <v/>
      </c>
      <c r="AB23" s="7">
        <f>IF($AD23="","",U23+X23+S23)</f>
        <v/>
      </c>
      <c r="AC23" s="7">
        <f>IF($AD23="","",AB23-Z23-P23)</f>
        <v/>
      </c>
      <c r="AD23" s="13">
        <f>IF(ROWS($AD$2:$AD23)&lt;=MAX('Per Line'!$AO$2:$AO$3001),MATCH(ROWS($AD$2:$AD23),'Per Line'!$AO$2:$AO$3001,0),"")</f>
        <v/>
      </c>
      <c r="AE23" s="14">
        <f>IF($AD23="","",P23-O23*AB23/100)</f>
        <v/>
      </c>
    </row>
    <row r="24">
      <c r="A24" s="12" t="n"/>
      <c r="B24">
        <f>IF($AD24="","",INDEX('Per Line'!$E$2:$E$3001,$AD24)&amp;"")</f>
        <v/>
      </c>
      <c r="C24">
        <f>IF($AD24="","",INDEX('Per Line'!$A$2:$A$3001,$AD24)&amp;"")</f>
        <v/>
      </c>
      <c r="D24">
        <f>IF($AD24="","",INDEX('Per Line'!$C$2:$C$3001,$AD24)&amp;"")</f>
        <v/>
      </c>
      <c r="E24">
        <f>IF($AD24="","",INDEX('Per Line'!$B$2:$B$3001,$AD24))</f>
        <v/>
      </c>
      <c r="F24">
        <f>IF($AD24="","",INDEX('Per Line'!$D$2:$D$3001,$AD24)&amp;"")</f>
        <v/>
      </c>
      <c r="G24" s="11">
        <f>IF($AD24="","",INDEX('Per Line'!$G$2:$G$3001,$AD24))</f>
        <v/>
      </c>
      <c r="H24">
        <f>IF($AD24="","",INDEX('Per Line'!$J$2:$J$3001,$AD24)&amp;"")</f>
        <v/>
      </c>
      <c r="I24">
        <f>IF($AD24="","",INDEX('Per Line'!$H$2:$H$3001,$AD24)&amp;"")</f>
        <v/>
      </c>
      <c r="J24">
        <f>IF($AD24="","",INDEX('Per Line'!$F$2:$F$3001,$AD24)&amp;"")</f>
        <v/>
      </c>
      <c r="K24">
        <f>IF($AD24="","",INDEX('Per Line'!$K$2:$K$3001,$AD24)&amp;"")</f>
        <v/>
      </c>
      <c r="L24">
        <f>IF($AD24="","",INDEX('Per Line'!$L$2:$L$3001,$AD24)&amp;"")</f>
        <v/>
      </c>
      <c r="M24">
        <f>IF($AD24="","",INDEX('Per Line'!$M$2:$M$3001,$AD24)&amp;"")</f>
        <v/>
      </c>
      <c r="N24">
        <f>IF($AD24="","",INDEX('Per Line'!$AC$2:$AC$3001,$AD24)&amp;"")</f>
        <v/>
      </c>
      <c r="O24">
        <f>IF($AD24="","",INDEX('Per Line'!$P$2:$P$3001,$AD24))</f>
        <v/>
      </c>
      <c r="P24" s="7">
        <f>IF($AD24="","",IF(AND(ISNUMBER(Q24),Q24&gt;0,AB24&gt;Q24),O24*Q24/100+(AB24-Q24),O24*AB24/100))</f>
        <v/>
      </c>
      <c r="Q24">
        <f>IF($AD24="","",INDEX('Per Line'!$AG$2:$AG$3001,$AD24))</f>
        <v/>
      </c>
      <c r="R24">
        <f>IF($AD24="","",IF(AND(ISNUMBER(Q24),Q24&gt;0),AB24&gt;Q24,FALSE))</f>
        <v/>
      </c>
      <c r="S24" s="7">
        <f>IF($AD24="","",SUMIFS('Per Line'!$AB$2:$AB$3001,'Per Line'!$E$2:$E$3001,$B24,'Per Line'!$AQ$2:$AQ$3001,1))</f>
        <v/>
      </c>
      <c r="T24">
        <f>IF($AD24="","",Settings!$C$7)</f>
        <v/>
      </c>
      <c r="U24" s="7">
        <f>IF($AD24="","",SUMIFS('Per Line'!$AB$2:$AB$3001,'Per Line'!$E$2:$E$3001,$B24,'Per Line'!$AP$2:$AP$3001,0,'Per Line'!$AQ$2:$AQ$3001,0))</f>
        <v/>
      </c>
      <c r="V24" s="7">
        <f>IF($AD24="","",U24*T24)</f>
        <v/>
      </c>
      <c r="W24">
        <f>IF($AD24="","",Settings!$C$6)</f>
        <v/>
      </c>
      <c r="X24" s="7">
        <f>IF($AD24="","",SUMIFS('Per Line'!$AB$2:$AB$3001,'Per Line'!$E$2:$E$3001,$B24,'Per Line'!$AP$2:$AP$3001,1,'Per Line'!$AQ$2:$AQ$3001,0))</f>
        <v/>
      </c>
      <c r="Y24" s="7">
        <f>IF($AD24="","",X24*W24)</f>
        <v/>
      </c>
      <c r="Z24" s="7">
        <f>IF($AD24="","",Y24+V24)</f>
        <v/>
      </c>
      <c r="AA24" s="7">
        <f>IF($AD24="","",AB24-Z24)</f>
        <v/>
      </c>
      <c r="AB24" s="7">
        <f>IF($AD24="","",U24+X24+S24)</f>
        <v/>
      </c>
      <c r="AC24" s="7">
        <f>IF($AD24="","",AB24-Z24-P24)</f>
        <v/>
      </c>
      <c r="AD24" s="13">
        <f>IF(ROWS($AD$2:$AD24)&lt;=MAX('Per Line'!$AO$2:$AO$3001),MATCH(ROWS($AD$2:$AD24),'Per Line'!$AO$2:$AO$3001,0),"")</f>
        <v/>
      </c>
      <c r="AE24" s="14">
        <f>IF($AD24="","",P24-O24*AB24/100)</f>
        <v/>
      </c>
    </row>
    <row r="25">
      <c r="A25" s="12" t="n"/>
      <c r="B25">
        <f>IF($AD25="","",INDEX('Per Line'!$E$2:$E$3001,$AD25)&amp;"")</f>
        <v/>
      </c>
      <c r="C25">
        <f>IF($AD25="","",INDEX('Per Line'!$A$2:$A$3001,$AD25)&amp;"")</f>
        <v/>
      </c>
      <c r="D25">
        <f>IF($AD25="","",INDEX('Per Line'!$C$2:$C$3001,$AD25)&amp;"")</f>
        <v/>
      </c>
      <c r="E25">
        <f>IF($AD25="","",INDEX('Per Line'!$B$2:$B$3001,$AD25))</f>
        <v/>
      </c>
      <c r="F25">
        <f>IF($AD25="","",INDEX('Per Line'!$D$2:$D$3001,$AD25)&amp;"")</f>
        <v/>
      </c>
      <c r="G25" s="11">
        <f>IF($AD25="","",INDEX('Per Line'!$G$2:$G$3001,$AD25))</f>
        <v/>
      </c>
      <c r="H25">
        <f>IF($AD25="","",INDEX('Per Line'!$J$2:$J$3001,$AD25)&amp;"")</f>
        <v/>
      </c>
      <c r="I25">
        <f>IF($AD25="","",INDEX('Per Line'!$H$2:$H$3001,$AD25)&amp;"")</f>
        <v/>
      </c>
      <c r="J25">
        <f>IF($AD25="","",INDEX('Per Line'!$F$2:$F$3001,$AD25)&amp;"")</f>
        <v/>
      </c>
      <c r="K25">
        <f>IF($AD25="","",INDEX('Per Line'!$K$2:$K$3001,$AD25)&amp;"")</f>
        <v/>
      </c>
      <c r="L25">
        <f>IF($AD25="","",INDEX('Per Line'!$L$2:$L$3001,$AD25)&amp;"")</f>
        <v/>
      </c>
      <c r="M25">
        <f>IF($AD25="","",INDEX('Per Line'!$M$2:$M$3001,$AD25)&amp;"")</f>
        <v/>
      </c>
      <c r="N25">
        <f>IF($AD25="","",INDEX('Per Line'!$AC$2:$AC$3001,$AD25)&amp;"")</f>
        <v/>
      </c>
      <c r="O25">
        <f>IF($AD25="","",INDEX('Per Line'!$P$2:$P$3001,$AD25))</f>
        <v/>
      </c>
      <c r="P25" s="7">
        <f>IF($AD25="","",IF(AND(ISNUMBER(Q25),Q25&gt;0,AB25&gt;Q25),O25*Q25/100+(AB25-Q25),O25*AB25/100))</f>
        <v/>
      </c>
      <c r="Q25">
        <f>IF($AD25="","",INDEX('Per Line'!$AG$2:$AG$3001,$AD25))</f>
        <v/>
      </c>
      <c r="R25">
        <f>IF($AD25="","",IF(AND(ISNUMBER(Q25),Q25&gt;0),AB25&gt;Q25,FALSE))</f>
        <v/>
      </c>
      <c r="S25" s="7">
        <f>IF($AD25="","",SUMIFS('Per Line'!$AB$2:$AB$3001,'Per Line'!$E$2:$E$3001,$B25,'Per Line'!$AQ$2:$AQ$3001,1))</f>
        <v/>
      </c>
      <c r="T25">
        <f>IF($AD25="","",Settings!$C$7)</f>
        <v/>
      </c>
      <c r="U25" s="7">
        <f>IF($AD25="","",SUMIFS('Per Line'!$AB$2:$AB$3001,'Per Line'!$E$2:$E$3001,$B25,'Per Line'!$AP$2:$AP$3001,0,'Per Line'!$AQ$2:$AQ$3001,0))</f>
        <v/>
      </c>
      <c r="V25" s="7">
        <f>IF($AD25="","",U25*T25)</f>
        <v/>
      </c>
      <c r="W25">
        <f>IF($AD25="","",Settings!$C$6)</f>
        <v/>
      </c>
      <c r="X25" s="7">
        <f>IF($AD25="","",SUMIFS('Per Line'!$AB$2:$AB$3001,'Per Line'!$E$2:$E$3001,$B25,'Per Line'!$AP$2:$AP$3001,1,'Per Line'!$AQ$2:$AQ$3001,0))</f>
        <v/>
      </c>
      <c r="Y25" s="7">
        <f>IF($AD25="","",X25*W25)</f>
        <v/>
      </c>
      <c r="Z25" s="7">
        <f>IF($AD25="","",Y25+V25)</f>
        <v/>
      </c>
      <c r="AA25" s="7">
        <f>IF($AD25="","",AB25-Z25)</f>
        <v/>
      </c>
      <c r="AB25" s="7">
        <f>IF($AD25="","",U25+X25+S25)</f>
        <v/>
      </c>
      <c r="AC25" s="7">
        <f>IF($AD25="","",AB25-Z25-P25)</f>
        <v/>
      </c>
      <c r="AD25" s="13">
        <f>IF(ROWS($AD$2:$AD25)&lt;=MAX('Per Line'!$AO$2:$AO$3001),MATCH(ROWS($AD$2:$AD25),'Per Line'!$AO$2:$AO$3001,0),"")</f>
        <v/>
      </c>
      <c r="AE25" s="14">
        <f>IF($AD25="","",P25-O25*AB25/100)</f>
        <v/>
      </c>
    </row>
    <row r="26">
      <c r="A26" s="12" t="n"/>
      <c r="B26">
        <f>IF($AD26="","",INDEX('Per Line'!$E$2:$E$3001,$AD26)&amp;"")</f>
        <v/>
      </c>
      <c r="C26">
        <f>IF($AD26="","",INDEX('Per Line'!$A$2:$A$3001,$AD26)&amp;"")</f>
        <v/>
      </c>
      <c r="D26">
        <f>IF($AD26="","",INDEX('Per Line'!$C$2:$C$3001,$AD26)&amp;"")</f>
        <v/>
      </c>
      <c r="E26">
        <f>IF($AD26="","",INDEX('Per Line'!$B$2:$B$3001,$AD26))</f>
        <v/>
      </c>
      <c r="F26">
        <f>IF($AD26="","",INDEX('Per Line'!$D$2:$D$3001,$AD26)&amp;"")</f>
        <v/>
      </c>
      <c r="G26" s="11">
        <f>IF($AD26="","",INDEX('Per Line'!$G$2:$G$3001,$AD26))</f>
        <v/>
      </c>
      <c r="H26">
        <f>IF($AD26="","",INDEX('Per Line'!$J$2:$J$3001,$AD26)&amp;"")</f>
        <v/>
      </c>
      <c r="I26">
        <f>IF($AD26="","",INDEX('Per Line'!$H$2:$H$3001,$AD26)&amp;"")</f>
        <v/>
      </c>
      <c r="J26">
        <f>IF($AD26="","",INDEX('Per Line'!$F$2:$F$3001,$AD26)&amp;"")</f>
        <v/>
      </c>
      <c r="K26">
        <f>IF($AD26="","",INDEX('Per Line'!$K$2:$K$3001,$AD26)&amp;"")</f>
        <v/>
      </c>
      <c r="L26">
        <f>IF($AD26="","",INDEX('Per Line'!$L$2:$L$3001,$AD26)&amp;"")</f>
        <v/>
      </c>
      <c r="M26">
        <f>IF($AD26="","",INDEX('Per Line'!$M$2:$M$3001,$AD26)&amp;"")</f>
        <v/>
      </c>
      <c r="N26">
        <f>IF($AD26="","",INDEX('Per Line'!$AC$2:$AC$3001,$AD26)&amp;"")</f>
        <v/>
      </c>
      <c r="O26">
        <f>IF($AD26="","",INDEX('Per Line'!$P$2:$P$3001,$AD26))</f>
        <v/>
      </c>
      <c r="P26" s="7">
        <f>IF($AD26="","",IF(AND(ISNUMBER(Q26),Q26&gt;0,AB26&gt;Q26),O26*Q26/100+(AB26-Q26),O26*AB26/100))</f>
        <v/>
      </c>
      <c r="Q26">
        <f>IF($AD26="","",INDEX('Per Line'!$AG$2:$AG$3001,$AD26))</f>
        <v/>
      </c>
      <c r="R26">
        <f>IF($AD26="","",IF(AND(ISNUMBER(Q26),Q26&gt;0),AB26&gt;Q26,FALSE))</f>
        <v/>
      </c>
      <c r="S26" s="7">
        <f>IF($AD26="","",SUMIFS('Per Line'!$AB$2:$AB$3001,'Per Line'!$E$2:$E$3001,$B26,'Per Line'!$AQ$2:$AQ$3001,1))</f>
        <v/>
      </c>
      <c r="T26">
        <f>IF($AD26="","",Settings!$C$7)</f>
        <v/>
      </c>
      <c r="U26" s="7">
        <f>IF($AD26="","",SUMIFS('Per Line'!$AB$2:$AB$3001,'Per Line'!$E$2:$E$3001,$B26,'Per Line'!$AP$2:$AP$3001,0,'Per Line'!$AQ$2:$AQ$3001,0))</f>
        <v/>
      </c>
      <c r="V26" s="7">
        <f>IF($AD26="","",U26*T26)</f>
        <v/>
      </c>
      <c r="W26">
        <f>IF($AD26="","",Settings!$C$6)</f>
        <v/>
      </c>
      <c r="X26" s="7">
        <f>IF($AD26="","",SUMIFS('Per Line'!$AB$2:$AB$3001,'Per Line'!$E$2:$E$3001,$B26,'Per Line'!$AP$2:$AP$3001,1,'Per Line'!$AQ$2:$AQ$3001,0))</f>
        <v/>
      </c>
      <c r="Y26" s="7">
        <f>IF($AD26="","",X26*W26)</f>
        <v/>
      </c>
      <c r="Z26" s="7">
        <f>IF($AD26="","",Y26+V26)</f>
        <v/>
      </c>
      <c r="AA26" s="7">
        <f>IF($AD26="","",AB26-Z26)</f>
        <v/>
      </c>
      <c r="AB26" s="7">
        <f>IF($AD26="","",U26+X26+S26)</f>
        <v/>
      </c>
      <c r="AC26" s="7">
        <f>IF($AD26="","",AB26-Z26-P26)</f>
        <v/>
      </c>
      <c r="AD26" s="13">
        <f>IF(ROWS($AD$2:$AD26)&lt;=MAX('Per Line'!$AO$2:$AO$3001),MATCH(ROWS($AD$2:$AD26),'Per Line'!$AO$2:$AO$3001,0),"")</f>
        <v/>
      </c>
      <c r="AE26" s="14">
        <f>IF($AD26="","",P26-O26*AB26/100)</f>
        <v/>
      </c>
    </row>
    <row r="27">
      <c r="A27" s="12" t="n"/>
      <c r="B27">
        <f>IF($AD27="","",INDEX('Per Line'!$E$2:$E$3001,$AD27)&amp;"")</f>
        <v/>
      </c>
      <c r="C27">
        <f>IF($AD27="","",INDEX('Per Line'!$A$2:$A$3001,$AD27)&amp;"")</f>
        <v/>
      </c>
      <c r="D27">
        <f>IF($AD27="","",INDEX('Per Line'!$C$2:$C$3001,$AD27)&amp;"")</f>
        <v/>
      </c>
      <c r="E27">
        <f>IF($AD27="","",INDEX('Per Line'!$B$2:$B$3001,$AD27))</f>
        <v/>
      </c>
      <c r="F27">
        <f>IF($AD27="","",INDEX('Per Line'!$D$2:$D$3001,$AD27)&amp;"")</f>
        <v/>
      </c>
      <c r="G27" s="11">
        <f>IF($AD27="","",INDEX('Per Line'!$G$2:$G$3001,$AD27))</f>
        <v/>
      </c>
      <c r="H27">
        <f>IF($AD27="","",INDEX('Per Line'!$J$2:$J$3001,$AD27)&amp;"")</f>
        <v/>
      </c>
      <c r="I27">
        <f>IF($AD27="","",INDEX('Per Line'!$H$2:$H$3001,$AD27)&amp;"")</f>
        <v/>
      </c>
      <c r="J27">
        <f>IF($AD27="","",INDEX('Per Line'!$F$2:$F$3001,$AD27)&amp;"")</f>
        <v/>
      </c>
      <c r="K27">
        <f>IF($AD27="","",INDEX('Per Line'!$K$2:$K$3001,$AD27)&amp;"")</f>
        <v/>
      </c>
      <c r="L27">
        <f>IF($AD27="","",INDEX('Per Line'!$L$2:$L$3001,$AD27)&amp;"")</f>
        <v/>
      </c>
      <c r="M27">
        <f>IF($AD27="","",INDEX('Per Line'!$M$2:$M$3001,$AD27)&amp;"")</f>
        <v/>
      </c>
      <c r="N27">
        <f>IF($AD27="","",INDEX('Per Line'!$AC$2:$AC$3001,$AD27)&amp;"")</f>
        <v/>
      </c>
      <c r="O27">
        <f>IF($AD27="","",INDEX('Per Line'!$P$2:$P$3001,$AD27))</f>
        <v/>
      </c>
      <c r="P27" s="7">
        <f>IF($AD27="","",IF(AND(ISNUMBER(Q27),Q27&gt;0,AB27&gt;Q27),O27*Q27/100+(AB27-Q27),O27*AB27/100))</f>
        <v/>
      </c>
      <c r="Q27">
        <f>IF($AD27="","",INDEX('Per Line'!$AG$2:$AG$3001,$AD27))</f>
        <v/>
      </c>
      <c r="R27">
        <f>IF($AD27="","",IF(AND(ISNUMBER(Q27),Q27&gt;0),AB27&gt;Q27,FALSE))</f>
        <v/>
      </c>
      <c r="S27" s="7">
        <f>IF($AD27="","",SUMIFS('Per Line'!$AB$2:$AB$3001,'Per Line'!$E$2:$E$3001,$B27,'Per Line'!$AQ$2:$AQ$3001,1))</f>
        <v/>
      </c>
      <c r="T27">
        <f>IF($AD27="","",Settings!$C$7)</f>
        <v/>
      </c>
      <c r="U27" s="7">
        <f>IF($AD27="","",SUMIFS('Per Line'!$AB$2:$AB$3001,'Per Line'!$E$2:$E$3001,$B27,'Per Line'!$AP$2:$AP$3001,0,'Per Line'!$AQ$2:$AQ$3001,0))</f>
        <v/>
      </c>
      <c r="V27" s="7">
        <f>IF($AD27="","",U27*T27)</f>
        <v/>
      </c>
      <c r="W27">
        <f>IF($AD27="","",Settings!$C$6)</f>
        <v/>
      </c>
      <c r="X27" s="7">
        <f>IF($AD27="","",SUMIFS('Per Line'!$AB$2:$AB$3001,'Per Line'!$E$2:$E$3001,$B27,'Per Line'!$AP$2:$AP$3001,1,'Per Line'!$AQ$2:$AQ$3001,0))</f>
        <v/>
      </c>
      <c r="Y27" s="7">
        <f>IF($AD27="","",X27*W27)</f>
        <v/>
      </c>
      <c r="Z27" s="7">
        <f>IF($AD27="","",Y27+V27)</f>
        <v/>
      </c>
      <c r="AA27" s="7">
        <f>IF($AD27="","",AB27-Z27)</f>
        <v/>
      </c>
      <c r="AB27" s="7">
        <f>IF($AD27="","",U27+X27+S27)</f>
        <v/>
      </c>
      <c r="AC27" s="7">
        <f>IF($AD27="","",AB27-Z27-P27)</f>
        <v/>
      </c>
      <c r="AD27" s="13">
        <f>IF(ROWS($AD$2:$AD27)&lt;=MAX('Per Line'!$AO$2:$AO$3001),MATCH(ROWS($AD$2:$AD27),'Per Line'!$AO$2:$AO$3001,0),"")</f>
        <v/>
      </c>
      <c r="AE27" s="14">
        <f>IF($AD27="","",P27-O27*AB27/100)</f>
        <v/>
      </c>
    </row>
    <row r="28">
      <c r="A28" s="12" t="n"/>
      <c r="B28">
        <f>IF($AD28="","",INDEX('Per Line'!$E$2:$E$3001,$AD28)&amp;"")</f>
        <v/>
      </c>
      <c r="C28">
        <f>IF($AD28="","",INDEX('Per Line'!$A$2:$A$3001,$AD28)&amp;"")</f>
        <v/>
      </c>
      <c r="D28">
        <f>IF($AD28="","",INDEX('Per Line'!$C$2:$C$3001,$AD28)&amp;"")</f>
        <v/>
      </c>
      <c r="E28">
        <f>IF($AD28="","",INDEX('Per Line'!$B$2:$B$3001,$AD28))</f>
        <v/>
      </c>
      <c r="F28">
        <f>IF($AD28="","",INDEX('Per Line'!$D$2:$D$3001,$AD28)&amp;"")</f>
        <v/>
      </c>
      <c r="G28" s="11">
        <f>IF($AD28="","",INDEX('Per Line'!$G$2:$G$3001,$AD28))</f>
        <v/>
      </c>
      <c r="H28">
        <f>IF($AD28="","",INDEX('Per Line'!$J$2:$J$3001,$AD28)&amp;"")</f>
        <v/>
      </c>
      <c r="I28">
        <f>IF($AD28="","",INDEX('Per Line'!$H$2:$H$3001,$AD28)&amp;"")</f>
        <v/>
      </c>
      <c r="J28">
        <f>IF($AD28="","",INDEX('Per Line'!$F$2:$F$3001,$AD28)&amp;"")</f>
        <v/>
      </c>
      <c r="K28">
        <f>IF($AD28="","",INDEX('Per Line'!$K$2:$K$3001,$AD28)&amp;"")</f>
        <v/>
      </c>
      <c r="L28">
        <f>IF($AD28="","",INDEX('Per Line'!$L$2:$L$3001,$AD28)&amp;"")</f>
        <v/>
      </c>
      <c r="M28">
        <f>IF($AD28="","",INDEX('Per Line'!$M$2:$M$3001,$AD28)&amp;"")</f>
        <v/>
      </c>
      <c r="N28">
        <f>IF($AD28="","",INDEX('Per Line'!$AC$2:$AC$3001,$AD28)&amp;"")</f>
        <v/>
      </c>
      <c r="O28">
        <f>IF($AD28="","",INDEX('Per Line'!$P$2:$P$3001,$AD28))</f>
        <v/>
      </c>
      <c r="P28" s="7">
        <f>IF($AD28="","",IF(AND(ISNUMBER(Q28),Q28&gt;0,AB28&gt;Q28),O28*Q28/100+(AB28-Q28),O28*AB28/100))</f>
        <v/>
      </c>
      <c r="Q28">
        <f>IF($AD28="","",INDEX('Per Line'!$AG$2:$AG$3001,$AD28))</f>
        <v/>
      </c>
      <c r="R28">
        <f>IF($AD28="","",IF(AND(ISNUMBER(Q28),Q28&gt;0),AB28&gt;Q28,FALSE))</f>
        <v/>
      </c>
      <c r="S28" s="7">
        <f>IF($AD28="","",SUMIFS('Per Line'!$AB$2:$AB$3001,'Per Line'!$E$2:$E$3001,$B28,'Per Line'!$AQ$2:$AQ$3001,1))</f>
        <v/>
      </c>
      <c r="T28">
        <f>IF($AD28="","",Settings!$C$7)</f>
        <v/>
      </c>
      <c r="U28" s="7">
        <f>IF($AD28="","",SUMIFS('Per Line'!$AB$2:$AB$3001,'Per Line'!$E$2:$E$3001,$B28,'Per Line'!$AP$2:$AP$3001,0,'Per Line'!$AQ$2:$AQ$3001,0))</f>
        <v/>
      </c>
      <c r="V28" s="7">
        <f>IF($AD28="","",U28*T28)</f>
        <v/>
      </c>
      <c r="W28">
        <f>IF($AD28="","",Settings!$C$6)</f>
        <v/>
      </c>
      <c r="X28" s="7">
        <f>IF($AD28="","",SUMIFS('Per Line'!$AB$2:$AB$3001,'Per Line'!$E$2:$E$3001,$B28,'Per Line'!$AP$2:$AP$3001,1,'Per Line'!$AQ$2:$AQ$3001,0))</f>
        <v/>
      </c>
      <c r="Y28" s="7">
        <f>IF($AD28="","",X28*W28)</f>
        <v/>
      </c>
      <c r="Z28" s="7">
        <f>IF($AD28="","",Y28+V28)</f>
        <v/>
      </c>
      <c r="AA28" s="7">
        <f>IF($AD28="","",AB28-Z28)</f>
        <v/>
      </c>
      <c r="AB28" s="7">
        <f>IF($AD28="","",U28+X28+S28)</f>
        <v/>
      </c>
      <c r="AC28" s="7">
        <f>IF($AD28="","",AB28-Z28-P28)</f>
        <v/>
      </c>
      <c r="AD28" s="13">
        <f>IF(ROWS($AD$2:$AD28)&lt;=MAX('Per Line'!$AO$2:$AO$3001),MATCH(ROWS($AD$2:$AD28),'Per Line'!$AO$2:$AO$3001,0),"")</f>
        <v/>
      </c>
      <c r="AE28" s="14">
        <f>IF($AD28="","",P28-O28*AB28/100)</f>
        <v/>
      </c>
    </row>
    <row r="29">
      <c r="A29" s="12" t="n"/>
      <c r="B29">
        <f>IF($AD29="","",INDEX('Per Line'!$E$2:$E$3001,$AD29)&amp;"")</f>
        <v/>
      </c>
      <c r="C29">
        <f>IF($AD29="","",INDEX('Per Line'!$A$2:$A$3001,$AD29)&amp;"")</f>
        <v/>
      </c>
      <c r="D29">
        <f>IF($AD29="","",INDEX('Per Line'!$C$2:$C$3001,$AD29)&amp;"")</f>
        <v/>
      </c>
      <c r="E29">
        <f>IF($AD29="","",INDEX('Per Line'!$B$2:$B$3001,$AD29))</f>
        <v/>
      </c>
      <c r="F29">
        <f>IF($AD29="","",INDEX('Per Line'!$D$2:$D$3001,$AD29)&amp;"")</f>
        <v/>
      </c>
      <c r="G29" s="11">
        <f>IF($AD29="","",INDEX('Per Line'!$G$2:$G$3001,$AD29))</f>
        <v/>
      </c>
      <c r="H29">
        <f>IF($AD29="","",INDEX('Per Line'!$J$2:$J$3001,$AD29)&amp;"")</f>
        <v/>
      </c>
      <c r="I29">
        <f>IF($AD29="","",INDEX('Per Line'!$H$2:$H$3001,$AD29)&amp;"")</f>
        <v/>
      </c>
      <c r="J29">
        <f>IF($AD29="","",INDEX('Per Line'!$F$2:$F$3001,$AD29)&amp;"")</f>
        <v/>
      </c>
      <c r="K29">
        <f>IF($AD29="","",INDEX('Per Line'!$K$2:$K$3001,$AD29)&amp;"")</f>
        <v/>
      </c>
      <c r="L29">
        <f>IF($AD29="","",INDEX('Per Line'!$L$2:$L$3001,$AD29)&amp;"")</f>
        <v/>
      </c>
      <c r="M29">
        <f>IF($AD29="","",INDEX('Per Line'!$M$2:$M$3001,$AD29)&amp;"")</f>
        <v/>
      </c>
      <c r="N29">
        <f>IF($AD29="","",INDEX('Per Line'!$AC$2:$AC$3001,$AD29)&amp;"")</f>
        <v/>
      </c>
      <c r="O29">
        <f>IF($AD29="","",INDEX('Per Line'!$P$2:$P$3001,$AD29))</f>
        <v/>
      </c>
      <c r="P29" s="7">
        <f>IF($AD29="","",IF(AND(ISNUMBER(Q29),Q29&gt;0,AB29&gt;Q29),O29*Q29/100+(AB29-Q29),O29*AB29/100))</f>
        <v/>
      </c>
      <c r="Q29">
        <f>IF($AD29="","",INDEX('Per Line'!$AG$2:$AG$3001,$AD29))</f>
        <v/>
      </c>
      <c r="R29">
        <f>IF($AD29="","",IF(AND(ISNUMBER(Q29),Q29&gt;0),AB29&gt;Q29,FALSE))</f>
        <v/>
      </c>
      <c r="S29" s="7">
        <f>IF($AD29="","",SUMIFS('Per Line'!$AB$2:$AB$3001,'Per Line'!$E$2:$E$3001,$B29,'Per Line'!$AQ$2:$AQ$3001,1))</f>
        <v/>
      </c>
      <c r="T29">
        <f>IF($AD29="","",Settings!$C$7)</f>
        <v/>
      </c>
      <c r="U29" s="7">
        <f>IF($AD29="","",SUMIFS('Per Line'!$AB$2:$AB$3001,'Per Line'!$E$2:$E$3001,$B29,'Per Line'!$AP$2:$AP$3001,0,'Per Line'!$AQ$2:$AQ$3001,0))</f>
        <v/>
      </c>
      <c r="V29" s="7">
        <f>IF($AD29="","",U29*T29)</f>
        <v/>
      </c>
      <c r="W29">
        <f>IF($AD29="","",Settings!$C$6)</f>
        <v/>
      </c>
      <c r="X29" s="7">
        <f>IF($AD29="","",SUMIFS('Per Line'!$AB$2:$AB$3001,'Per Line'!$E$2:$E$3001,$B29,'Per Line'!$AP$2:$AP$3001,1,'Per Line'!$AQ$2:$AQ$3001,0))</f>
        <v/>
      </c>
      <c r="Y29" s="7">
        <f>IF($AD29="","",X29*W29)</f>
        <v/>
      </c>
      <c r="Z29" s="7">
        <f>IF($AD29="","",Y29+V29)</f>
        <v/>
      </c>
      <c r="AA29" s="7">
        <f>IF($AD29="","",AB29-Z29)</f>
        <v/>
      </c>
      <c r="AB29" s="7">
        <f>IF($AD29="","",U29+X29+S29)</f>
        <v/>
      </c>
      <c r="AC29" s="7">
        <f>IF($AD29="","",AB29-Z29-P29)</f>
        <v/>
      </c>
      <c r="AD29" s="13">
        <f>IF(ROWS($AD$2:$AD29)&lt;=MAX('Per Line'!$AO$2:$AO$3001),MATCH(ROWS($AD$2:$AD29),'Per Line'!$AO$2:$AO$3001,0),"")</f>
        <v/>
      </c>
      <c r="AE29" s="14">
        <f>IF($AD29="","",P29-O29*AB29/100)</f>
        <v/>
      </c>
    </row>
    <row r="30">
      <c r="A30" s="12" t="n"/>
      <c r="B30">
        <f>IF($AD30="","",INDEX('Per Line'!$E$2:$E$3001,$AD30)&amp;"")</f>
        <v/>
      </c>
      <c r="C30">
        <f>IF($AD30="","",INDEX('Per Line'!$A$2:$A$3001,$AD30)&amp;"")</f>
        <v/>
      </c>
      <c r="D30">
        <f>IF($AD30="","",INDEX('Per Line'!$C$2:$C$3001,$AD30)&amp;"")</f>
        <v/>
      </c>
      <c r="E30">
        <f>IF($AD30="","",INDEX('Per Line'!$B$2:$B$3001,$AD30))</f>
        <v/>
      </c>
      <c r="F30">
        <f>IF($AD30="","",INDEX('Per Line'!$D$2:$D$3001,$AD30)&amp;"")</f>
        <v/>
      </c>
      <c r="G30" s="11">
        <f>IF($AD30="","",INDEX('Per Line'!$G$2:$G$3001,$AD30))</f>
        <v/>
      </c>
      <c r="H30">
        <f>IF($AD30="","",INDEX('Per Line'!$J$2:$J$3001,$AD30)&amp;"")</f>
        <v/>
      </c>
      <c r="I30">
        <f>IF($AD30="","",INDEX('Per Line'!$H$2:$H$3001,$AD30)&amp;"")</f>
        <v/>
      </c>
      <c r="J30">
        <f>IF($AD30="","",INDEX('Per Line'!$F$2:$F$3001,$AD30)&amp;"")</f>
        <v/>
      </c>
      <c r="K30">
        <f>IF($AD30="","",INDEX('Per Line'!$K$2:$K$3001,$AD30)&amp;"")</f>
        <v/>
      </c>
      <c r="L30">
        <f>IF($AD30="","",INDEX('Per Line'!$L$2:$L$3001,$AD30)&amp;"")</f>
        <v/>
      </c>
      <c r="M30">
        <f>IF($AD30="","",INDEX('Per Line'!$M$2:$M$3001,$AD30)&amp;"")</f>
        <v/>
      </c>
      <c r="N30">
        <f>IF($AD30="","",INDEX('Per Line'!$AC$2:$AC$3001,$AD30)&amp;"")</f>
        <v/>
      </c>
      <c r="O30">
        <f>IF($AD30="","",INDEX('Per Line'!$P$2:$P$3001,$AD30))</f>
        <v/>
      </c>
      <c r="P30" s="7">
        <f>IF($AD30="","",IF(AND(ISNUMBER(Q30),Q30&gt;0,AB30&gt;Q30),O30*Q30/100+(AB30-Q30),O30*AB30/100))</f>
        <v/>
      </c>
      <c r="Q30">
        <f>IF($AD30="","",INDEX('Per Line'!$AG$2:$AG$3001,$AD30))</f>
        <v/>
      </c>
      <c r="R30">
        <f>IF($AD30="","",IF(AND(ISNUMBER(Q30),Q30&gt;0),AB30&gt;Q30,FALSE))</f>
        <v/>
      </c>
      <c r="S30" s="7">
        <f>IF($AD30="","",SUMIFS('Per Line'!$AB$2:$AB$3001,'Per Line'!$E$2:$E$3001,$B30,'Per Line'!$AQ$2:$AQ$3001,1))</f>
        <v/>
      </c>
      <c r="T30">
        <f>IF($AD30="","",Settings!$C$7)</f>
        <v/>
      </c>
      <c r="U30" s="7">
        <f>IF($AD30="","",SUMIFS('Per Line'!$AB$2:$AB$3001,'Per Line'!$E$2:$E$3001,$B30,'Per Line'!$AP$2:$AP$3001,0,'Per Line'!$AQ$2:$AQ$3001,0))</f>
        <v/>
      </c>
      <c r="V30" s="7">
        <f>IF($AD30="","",U30*T30)</f>
        <v/>
      </c>
      <c r="W30">
        <f>IF($AD30="","",Settings!$C$6)</f>
        <v/>
      </c>
      <c r="X30" s="7">
        <f>IF($AD30="","",SUMIFS('Per Line'!$AB$2:$AB$3001,'Per Line'!$E$2:$E$3001,$B30,'Per Line'!$AP$2:$AP$3001,1,'Per Line'!$AQ$2:$AQ$3001,0))</f>
        <v/>
      </c>
      <c r="Y30" s="7">
        <f>IF($AD30="","",X30*W30)</f>
        <v/>
      </c>
      <c r="Z30" s="7">
        <f>IF($AD30="","",Y30+V30)</f>
        <v/>
      </c>
      <c r="AA30" s="7">
        <f>IF($AD30="","",AB30-Z30)</f>
        <v/>
      </c>
      <c r="AB30" s="7">
        <f>IF($AD30="","",U30+X30+S30)</f>
        <v/>
      </c>
      <c r="AC30" s="7">
        <f>IF($AD30="","",AB30-Z30-P30)</f>
        <v/>
      </c>
      <c r="AD30" s="13">
        <f>IF(ROWS($AD$2:$AD30)&lt;=MAX('Per Line'!$AO$2:$AO$3001),MATCH(ROWS($AD$2:$AD30),'Per Line'!$AO$2:$AO$3001,0),"")</f>
        <v/>
      </c>
      <c r="AE30" s="14">
        <f>IF($AD30="","",P30-O30*AB30/100)</f>
        <v/>
      </c>
    </row>
    <row r="31">
      <c r="A31" s="12" t="n"/>
      <c r="B31">
        <f>IF($AD31="","",INDEX('Per Line'!$E$2:$E$3001,$AD31)&amp;"")</f>
        <v/>
      </c>
      <c r="C31">
        <f>IF($AD31="","",INDEX('Per Line'!$A$2:$A$3001,$AD31)&amp;"")</f>
        <v/>
      </c>
      <c r="D31">
        <f>IF($AD31="","",INDEX('Per Line'!$C$2:$C$3001,$AD31)&amp;"")</f>
        <v/>
      </c>
      <c r="E31">
        <f>IF($AD31="","",INDEX('Per Line'!$B$2:$B$3001,$AD31))</f>
        <v/>
      </c>
      <c r="F31">
        <f>IF($AD31="","",INDEX('Per Line'!$D$2:$D$3001,$AD31)&amp;"")</f>
        <v/>
      </c>
      <c r="G31" s="11">
        <f>IF($AD31="","",INDEX('Per Line'!$G$2:$G$3001,$AD31))</f>
        <v/>
      </c>
      <c r="H31">
        <f>IF($AD31="","",INDEX('Per Line'!$J$2:$J$3001,$AD31)&amp;"")</f>
        <v/>
      </c>
      <c r="I31">
        <f>IF($AD31="","",INDEX('Per Line'!$H$2:$H$3001,$AD31)&amp;"")</f>
        <v/>
      </c>
      <c r="J31">
        <f>IF($AD31="","",INDEX('Per Line'!$F$2:$F$3001,$AD31)&amp;"")</f>
        <v/>
      </c>
      <c r="K31">
        <f>IF($AD31="","",INDEX('Per Line'!$K$2:$K$3001,$AD31)&amp;"")</f>
        <v/>
      </c>
      <c r="L31">
        <f>IF($AD31="","",INDEX('Per Line'!$L$2:$L$3001,$AD31)&amp;"")</f>
        <v/>
      </c>
      <c r="M31">
        <f>IF($AD31="","",INDEX('Per Line'!$M$2:$M$3001,$AD31)&amp;"")</f>
        <v/>
      </c>
      <c r="N31">
        <f>IF($AD31="","",INDEX('Per Line'!$AC$2:$AC$3001,$AD31)&amp;"")</f>
        <v/>
      </c>
      <c r="O31">
        <f>IF($AD31="","",INDEX('Per Line'!$P$2:$P$3001,$AD31))</f>
        <v/>
      </c>
      <c r="P31" s="7">
        <f>IF($AD31="","",IF(AND(ISNUMBER(Q31),Q31&gt;0,AB31&gt;Q31),O31*Q31/100+(AB31-Q31),O31*AB31/100))</f>
        <v/>
      </c>
      <c r="Q31">
        <f>IF($AD31="","",INDEX('Per Line'!$AG$2:$AG$3001,$AD31))</f>
        <v/>
      </c>
      <c r="R31">
        <f>IF($AD31="","",IF(AND(ISNUMBER(Q31),Q31&gt;0),AB31&gt;Q31,FALSE))</f>
        <v/>
      </c>
      <c r="S31" s="7">
        <f>IF($AD31="","",SUMIFS('Per Line'!$AB$2:$AB$3001,'Per Line'!$E$2:$E$3001,$B31,'Per Line'!$AQ$2:$AQ$3001,1))</f>
        <v/>
      </c>
      <c r="T31">
        <f>IF($AD31="","",Settings!$C$7)</f>
        <v/>
      </c>
      <c r="U31" s="7">
        <f>IF($AD31="","",SUMIFS('Per Line'!$AB$2:$AB$3001,'Per Line'!$E$2:$E$3001,$B31,'Per Line'!$AP$2:$AP$3001,0,'Per Line'!$AQ$2:$AQ$3001,0))</f>
        <v/>
      </c>
      <c r="V31" s="7">
        <f>IF($AD31="","",U31*T31)</f>
        <v/>
      </c>
      <c r="W31">
        <f>IF($AD31="","",Settings!$C$6)</f>
        <v/>
      </c>
      <c r="X31" s="7">
        <f>IF($AD31="","",SUMIFS('Per Line'!$AB$2:$AB$3001,'Per Line'!$E$2:$E$3001,$B31,'Per Line'!$AP$2:$AP$3001,1,'Per Line'!$AQ$2:$AQ$3001,0))</f>
        <v/>
      </c>
      <c r="Y31" s="7">
        <f>IF($AD31="","",X31*W31)</f>
        <v/>
      </c>
      <c r="Z31" s="7">
        <f>IF($AD31="","",Y31+V31)</f>
        <v/>
      </c>
      <c r="AA31" s="7">
        <f>IF($AD31="","",AB31-Z31)</f>
        <v/>
      </c>
      <c r="AB31" s="7">
        <f>IF($AD31="","",U31+X31+S31)</f>
        <v/>
      </c>
      <c r="AC31" s="7">
        <f>IF($AD31="","",AB31-Z31-P31)</f>
        <v/>
      </c>
      <c r="AD31" s="13">
        <f>IF(ROWS($AD$2:$AD31)&lt;=MAX('Per Line'!$AO$2:$AO$3001),MATCH(ROWS($AD$2:$AD31),'Per Line'!$AO$2:$AO$3001,0),"")</f>
        <v/>
      </c>
      <c r="AE31" s="14">
        <f>IF($AD31="","",P31-O31*AB31/100)</f>
        <v/>
      </c>
    </row>
    <row r="32">
      <c r="A32" s="12" t="n"/>
      <c r="B32">
        <f>IF($AD32="","",INDEX('Per Line'!$E$2:$E$3001,$AD32)&amp;"")</f>
        <v/>
      </c>
      <c r="C32">
        <f>IF($AD32="","",INDEX('Per Line'!$A$2:$A$3001,$AD32)&amp;"")</f>
        <v/>
      </c>
      <c r="D32">
        <f>IF($AD32="","",INDEX('Per Line'!$C$2:$C$3001,$AD32)&amp;"")</f>
        <v/>
      </c>
      <c r="E32">
        <f>IF($AD32="","",INDEX('Per Line'!$B$2:$B$3001,$AD32))</f>
        <v/>
      </c>
      <c r="F32">
        <f>IF($AD32="","",INDEX('Per Line'!$D$2:$D$3001,$AD32)&amp;"")</f>
        <v/>
      </c>
      <c r="G32" s="11">
        <f>IF($AD32="","",INDEX('Per Line'!$G$2:$G$3001,$AD32))</f>
        <v/>
      </c>
      <c r="H32">
        <f>IF($AD32="","",INDEX('Per Line'!$J$2:$J$3001,$AD32)&amp;"")</f>
        <v/>
      </c>
      <c r="I32">
        <f>IF($AD32="","",INDEX('Per Line'!$H$2:$H$3001,$AD32)&amp;"")</f>
        <v/>
      </c>
      <c r="J32">
        <f>IF($AD32="","",INDEX('Per Line'!$F$2:$F$3001,$AD32)&amp;"")</f>
        <v/>
      </c>
      <c r="K32">
        <f>IF($AD32="","",INDEX('Per Line'!$K$2:$K$3001,$AD32)&amp;"")</f>
        <v/>
      </c>
      <c r="L32">
        <f>IF($AD32="","",INDEX('Per Line'!$L$2:$L$3001,$AD32)&amp;"")</f>
        <v/>
      </c>
      <c r="M32">
        <f>IF($AD32="","",INDEX('Per Line'!$M$2:$M$3001,$AD32)&amp;"")</f>
        <v/>
      </c>
      <c r="N32">
        <f>IF($AD32="","",INDEX('Per Line'!$AC$2:$AC$3001,$AD32)&amp;"")</f>
        <v/>
      </c>
      <c r="O32">
        <f>IF($AD32="","",INDEX('Per Line'!$P$2:$P$3001,$AD32))</f>
        <v/>
      </c>
      <c r="P32" s="7">
        <f>IF($AD32="","",IF(AND(ISNUMBER(Q32),Q32&gt;0,AB32&gt;Q32),O32*Q32/100+(AB32-Q32),O32*AB32/100))</f>
        <v/>
      </c>
      <c r="Q32">
        <f>IF($AD32="","",INDEX('Per Line'!$AG$2:$AG$3001,$AD32))</f>
        <v/>
      </c>
      <c r="R32">
        <f>IF($AD32="","",IF(AND(ISNUMBER(Q32),Q32&gt;0),AB32&gt;Q32,FALSE))</f>
        <v/>
      </c>
      <c r="S32" s="7">
        <f>IF($AD32="","",SUMIFS('Per Line'!$AB$2:$AB$3001,'Per Line'!$E$2:$E$3001,$B32,'Per Line'!$AQ$2:$AQ$3001,1))</f>
        <v/>
      </c>
      <c r="T32">
        <f>IF($AD32="","",Settings!$C$7)</f>
        <v/>
      </c>
      <c r="U32" s="7">
        <f>IF($AD32="","",SUMIFS('Per Line'!$AB$2:$AB$3001,'Per Line'!$E$2:$E$3001,$B32,'Per Line'!$AP$2:$AP$3001,0,'Per Line'!$AQ$2:$AQ$3001,0))</f>
        <v/>
      </c>
      <c r="V32" s="7">
        <f>IF($AD32="","",U32*T32)</f>
        <v/>
      </c>
      <c r="W32">
        <f>IF($AD32="","",Settings!$C$6)</f>
        <v/>
      </c>
      <c r="X32" s="7">
        <f>IF($AD32="","",SUMIFS('Per Line'!$AB$2:$AB$3001,'Per Line'!$E$2:$E$3001,$B32,'Per Line'!$AP$2:$AP$3001,1,'Per Line'!$AQ$2:$AQ$3001,0))</f>
        <v/>
      </c>
      <c r="Y32" s="7">
        <f>IF($AD32="","",X32*W32)</f>
        <v/>
      </c>
      <c r="Z32" s="7">
        <f>IF($AD32="","",Y32+V32)</f>
        <v/>
      </c>
      <c r="AA32" s="7">
        <f>IF($AD32="","",AB32-Z32)</f>
        <v/>
      </c>
      <c r="AB32" s="7">
        <f>IF($AD32="","",U32+X32+S32)</f>
        <v/>
      </c>
      <c r="AC32" s="7">
        <f>IF($AD32="","",AB32-Z32-P32)</f>
        <v/>
      </c>
      <c r="AD32" s="13">
        <f>IF(ROWS($AD$2:$AD32)&lt;=MAX('Per Line'!$AO$2:$AO$3001),MATCH(ROWS($AD$2:$AD32),'Per Line'!$AO$2:$AO$3001,0),"")</f>
        <v/>
      </c>
      <c r="AE32" s="14">
        <f>IF($AD32="","",P32-O32*AB32/100)</f>
        <v/>
      </c>
    </row>
    <row r="33">
      <c r="A33" s="12" t="n"/>
      <c r="B33">
        <f>IF($AD33="","",INDEX('Per Line'!$E$2:$E$3001,$AD33)&amp;"")</f>
        <v/>
      </c>
      <c r="C33">
        <f>IF($AD33="","",INDEX('Per Line'!$A$2:$A$3001,$AD33)&amp;"")</f>
        <v/>
      </c>
      <c r="D33">
        <f>IF($AD33="","",INDEX('Per Line'!$C$2:$C$3001,$AD33)&amp;"")</f>
        <v/>
      </c>
      <c r="E33">
        <f>IF($AD33="","",INDEX('Per Line'!$B$2:$B$3001,$AD33))</f>
        <v/>
      </c>
      <c r="F33">
        <f>IF($AD33="","",INDEX('Per Line'!$D$2:$D$3001,$AD33)&amp;"")</f>
        <v/>
      </c>
      <c r="G33" s="11">
        <f>IF($AD33="","",INDEX('Per Line'!$G$2:$G$3001,$AD33))</f>
        <v/>
      </c>
      <c r="H33">
        <f>IF($AD33="","",INDEX('Per Line'!$J$2:$J$3001,$AD33)&amp;"")</f>
        <v/>
      </c>
      <c r="I33">
        <f>IF($AD33="","",INDEX('Per Line'!$H$2:$H$3001,$AD33)&amp;"")</f>
        <v/>
      </c>
      <c r="J33">
        <f>IF($AD33="","",INDEX('Per Line'!$F$2:$F$3001,$AD33)&amp;"")</f>
        <v/>
      </c>
      <c r="K33">
        <f>IF($AD33="","",INDEX('Per Line'!$K$2:$K$3001,$AD33)&amp;"")</f>
        <v/>
      </c>
      <c r="L33">
        <f>IF($AD33="","",INDEX('Per Line'!$L$2:$L$3001,$AD33)&amp;"")</f>
        <v/>
      </c>
      <c r="M33">
        <f>IF($AD33="","",INDEX('Per Line'!$M$2:$M$3001,$AD33)&amp;"")</f>
        <v/>
      </c>
      <c r="N33">
        <f>IF($AD33="","",INDEX('Per Line'!$AC$2:$AC$3001,$AD33)&amp;"")</f>
        <v/>
      </c>
      <c r="O33">
        <f>IF($AD33="","",INDEX('Per Line'!$P$2:$P$3001,$AD33))</f>
        <v/>
      </c>
      <c r="P33" s="7">
        <f>IF($AD33="","",IF(AND(ISNUMBER(Q33),Q33&gt;0,AB33&gt;Q33),O33*Q33/100+(AB33-Q33),O33*AB33/100))</f>
        <v/>
      </c>
      <c r="Q33">
        <f>IF($AD33="","",INDEX('Per Line'!$AG$2:$AG$3001,$AD33))</f>
        <v/>
      </c>
      <c r="R33">
        <f>IF($AD33="","",IF(AND(ISNUMBER(Q33),Q33&gt;0),AB33&gt;Q33,FALSE))</f>
        <v/>
      </c>
      <c r="S33" s="7">
        <f>IF($AD33="","",SUMIFS('Per Line'!$AB$2:$AB$3001,'Per Line'!$E$2:$E$3001,$B33,'Per Line'!$AQ$2:$AQ$3001,1))</f>
        <v/>
      </c>
      <c r="T33">
        <f>IF($AD33="","",Settings!$C$7)</f>
        <v/>
      </c>
      <c r="U33" s="7">
        <f>IF($AD33="","",SUMIFS('Per Line'!$AB$2:$AB$3001,'Per Line'!$E$2:$E$3001,$B33,'Per Line'!$AP$2:$AP$3001,0,'Per Line'!$AQ$2:$AQ$3001,0))</f>
        <v/>
      </c>
      <c r="V33" s="7">
        <f>IF($AD33="","",U33*T33)</f>
        <v/>
      </c>
      <c r="W33">
        <f>IF($AD33="","",Settings!$C$6)</f>
        <v/>
      </c>
      <c r="X33" s="7">
        <f>IF($AD33="","",SUMIFS('Per Line'!$AB$2:$AB$3001,'Per Line'!$E$2:$E$3001,$B33,'Per Line'!$AP$2:$AP$3001,1,'Per Line'!$AQ$2:$AQ$3001,0))</f>
        <v/>
      </c>
      <c r="Y33" s="7">
        <f>IF($AD33="","",X33*W33)</f>
        <v/>
      </c>
      <c r="Z33" s="7">
        <f>IF($AD33="","",Y33+V33)</f>
        <v/>
      </c>
      <c r="AA33" s="7">
        <f>IF($AD33="","",AB33-Z33)</f>
        <v/>
      </c>
      <c r="AB33" s="7">
        <f>IF($AD33="","",U33+X33+S33)</f>
        <v/>
      </c>
      <c r="AC33" s="7">
        <f>IF($AD33="","",AB33-Z33-P33)</f>
        <v/>
      </c>
      <c r="AD33" s="13">
        <f>IF(ROWS($AD$2:$AD33)&lt;=MAX('Per Line'!$AO$2:$AO$3001),MATCH(ROWS($AD$2:$AD33),'Per Line'!$AO$2:$AO$3001,0),"")</f>
        <v/>
      </c>
      <c r="AE33" s="14">
        <f>IF($AD33="","",P33-O33*AB33/100)</f>
        <v/>
      </c>
    </row>
    <row r="34">
      <c r="A34" s="12" t="n"/>
      <c r="B34">
        <f>IF($AD34="","",INDEX('Per Line'!$E$2:$E$3001,$AD34)&amp;"")</f>
        <v/>
      </c>
      <c r="C34">
        <f>IF($AD34="","",INDEX('Per Line'!$A$2:$A$3001,$AD34)&amp;"")</f>
        <v/>
      </c>
      <c r="D34">
        <f>IF($AD34="","",INDEX('Per Line'!$C$2:$C$3001,$AD34)&amp;"")</f>
        <v/>
      </c>
      <c r="E34">
        <f>IF($AD34="","",INDEX('Per Line'!$B$2:$B$3001,$AD34))</f>
        <v/>
      </c>
      <c r="F34">
        <f>IF($AD34="","",INDEX('Per Line'!$D$2:$D$3001,$AD34)&amp;"")</f>
        <v/>
      </c>
      <c r="G34" s="11">
        <f>IF($AD34="","",INDEX('Per Line'!$G$2:$G$3001,$AD34))</f>
        <v/>
      </c>
      <c r="H34">
        <f>IF($AD34="","",INDEX('Per Line'!$J$2:$J$3001,$AD34)&amp;"")</f>
        <v/>
      </c>
      <c r="I34">
        <f>IF($AD34="","",INDEX('Per Line'!$H$2:$H$3001,$AD34)&amp;"")</f>
        <v/>
      </c>
      <c r="J34">
        <f>IF($AD34="","",INDEX('Per Line'!$F$2:$F$3001,$AD34)&amp;"")</f>
        <v/>
      </c>
      <c r="K34">
        <f>IF($AD34="","",INDEX('Per Line'!$K$2:$K$3001,$AD34)&amp;"")</f>
        <v/>
      </c>
      <c r="L34">
        <f>IF($AD34="","",INDEX('Per Line'!$L$2:$L$3001,$AD34)&amp;"")</f>
        <v/>
      </c>
      <c r="M34">
        <f>IF($AD34="","",INDEX('Per Line'!$M$2:$M$3001,$AD34)&amp;"")</f>
        <v/>
      </c>
      <c r="N34">
        <f>IF($AD34="","",INDEX('Per Line'!$AC$2:$AC$3001,$AD34)&amp;"")</f>
        <v/>
      </c>
      <c r="O34">
        <f>IF($AD34="","",INDEX('Per Line'!$P$2:$P$3001,$AD34))</f>
        <v/>
      </c>
      <c r="P34" s="7">
        <f>IF($AD34="","",IF(AND(ISNUMBER(Q34),Q34&gt;0,AB34&gt;Q34),O34*Q34/100+(AB34-Q34),O34*AB34/100))</f>
        <v/>
      </c>
      <c r="Q34">
        <f>IF($AD34="","",INDEX('Per Line'!$AG$2:$AG$3001,$AD34))</f>
        <v/>
      </c>
      <c r="R34">
        <f>IF($AD34="","",IF(AND(ISNUMBER(Q34),Q34&gt;0),AB34&gt;Q34,FALSE))</f>
        <v/>
      </c>
      <c r="S34" s="7">
        <f>IF($AD34="","",SUMIFS('Per Line'!$AB$2:$AB$3001,'Per Line'!$E$2:$E$3001,$B34,'Per Line'!$AQ$2:$AQ$3001,1))</f>
        <v/>
      </c>
      <c r="T34">
        <f>IF($AD34="","",Settings!$C$7)</f>
        <v/>
      </c>
      <c r="U34" s="7">
        <f>IF($AD34="","",SUMIFS('Per Line'!$AB$2:$AB$3001,'Per Line'!$E$2:$E$3001,$B34,'Per Line'!$AP$2:$AP$3001,0,'Per Line'!$AQ$2:$AQ$3001,0))</f>
        <v/>
      </c>
      <c r="V34" s="7">
        <f>IF($AD34="","",U34*T34)</f>
        <v/>
      </c>
      <c r="W34">
        <f>IF($AD34="","",Settings!$C$6)</f>
        <v/>
      </c>
      <c r="X34" s="7">
        <f>IF($AD34="","",SUMIFS('Per Line'!$AB$2:$AB$3001,'Per Line'!$E$2:$E$3001,$B34,'Per Line'!$AP$2:$AP$3001,1,'Per Line'!$AQ$2:$AQ$3001,0))</f>
        <v/>
      </c>
      <c r="Y34" s="7">
        <f>IF($AD34="","",X34*W34)</f>
        <v/>
      </c>
      <c r="Z34" s="7">
        <f>IF($AD34="","",Y34+V34)</f>
        <v/>
      </c>
      <c r="AA34" s="7">
        <f>IF($AD34="","",AB34-Z34)</f>
        <v/>
      </c>
      <c r="AB34" s="7">
        <f>IF($AD34="","",U34+X34+S34)</f>
        <v/>
      </c>
      <c r="AC34" s="7">
        <f>IF($AD34="","",AB34-Z34-P34)</f>
        <v/>
      </c>
      <c r="AD34" s="13">
        <f>IF(ROWS($AD$2:$AD34)&lt;=MAX('Per Line'!$AO$2:$AO$3001),MATCH(ROWS($AD$2:$AD34),'Per Line'!$AO$2:$AO$3001,0),"")</f>
        <v/>
      </c>
      <c r="AE34" s="14">
        <f>IF($AD34="","",P34-O34*AB34/100)</f>
        <v/>
      </c>
    </row>
    <row r="35">
      <c r="A35" s="12" t="n"/>
      <c r="B35">
        <f>IF($AD35="","",INDEX('Per Line'!$E$2:$E$3001,$AD35)&amp;"")</f>
        <v/>
      </c>
      <c r="C35">
        <f>IF($AD35="","",INDEX('Per Line'!$A$2:$A$3001,$AD35)&amp;"")</f>
        <v/>
      </c>
      <c r="D35">
        <f>IF($AD35="","",INDEX('Per Line'!$C$2:$C$3001,$AD35)&amp;"")</f>
        <v/>
      </c>
      <c r="E35">
        <f>IF($AD35="","",INDEX('Per Line'!$B$2:$B$3001,$AD35))</f>
        <v/>
      </c>
      <c r="F35">
        <f>IF($AD35="","",INDEX('Per Line'!$D$2:$D$3001,$AD35)&amp;"")</f>
        <v/>
      </c>
      <c r="G35" s="11">
        <f>IF($AD35="","",INDEX('Per Line'!$G$2:$G$3001,$AD35))</f>
        <v/>
      </c>
      <c r="H35">
        <f>IF($AD35="","",INDEX('Per Line'!$J$2:$J$3001,$AD35)&amp;"")</f>
        <v/>
      </c>
      <c r="I35">
        <f>IF($AD35="","",INDEX('Per Line'!$H$2:$H$3001,$AD35)&amp;"")</f>
        <v/>
      </c>
      <c r="J35">
        <f>IF($AD35="","",INDEX('Per Line'!$F$2:$F$3001,$AD35)&amp;"")</f>
        <v/>
      </c>
      <c r="K35">
        <f>IF($AD35="","",INDEX('Per Line'!$K$2:$K$3001,$AD35)&amp;"")</f>
        <v/>
      </c>
      <c r="L35">
        <f>IF($AD35="","",INDEX('Per Line'!$L$2:$L$3001,$AD35)&amp;"")</f>
        <v/>
      </c>
      <c r="M35">
        <f>IF($AD35="","",INDEX('Per Line'!$M$2:$M$3001,$AD35)&amp;"")</f>
        <v/>
      </c>
      <c r="N35">
        <f>IF($AD35="","",INDEX('Per Line'!$AC$2:$AC$3001,$AD35)&amp;"")</f>
        <v/>
      </c>
      <c r="O35">
        <f>IF($AD35="","",INDEX('Per Line'!$P$2:$P$3001,$AD35))</f>
        <v/>
      </c>
      <c r="P35" s="7">
        <f>IF($AD35="","",IF(AND(ISNUMBER(Q35),Q35&gt;0,AB35&gt;Q35),O35*Q35/100+(AB35-Q35),O35*AB35/100))</f>
        <v/>
      </c>
      <c r="Q35">
        <f>IF($AD35="","",INDEX('Per Line'!$AG$2:$AG$3001,$AD35))</f>
        <v/>
      </c>
      <c r="R35">
        <f>IF($AD35="","",IF(AND(ISNUMBER(Q35),Q35&gt;0),AB35&gt;Q35,FALSE))</f>
        <v/>
      </c>
      <c r="S35" s="7">
        <f>IF($AD35="","",SUMIFS('Per Line'!$AB$2:$AB$3001,'Per Line'!$E$2:$E$3001,$B35,'Per Line'!$AQ$2:$AQ$3001,1))</f>
        <v/>
      </c>
      <c r="T35">
        <f>IF($AD35="","",Settings!$C$7)</f>
        <v/>
      </c>
      <c r="U35" s="7">
        <f>IF($AD35="","",SUMIFS('Per Line'!$AB$2:$AB$3001,'Per Line'!$E$2:$E$3001,$B35,'Per Line'!$AP$2:$AP$3001,0,'Per Line'!$AQ$2:$AQ$3001,0))</f>
        <v/>
      </c>
      <c r="V35" s="7">
        <f>IF($AD35="","",U35*T35)</f>
        <v/>
      </c>
      <c r="W35">
        <f>IF($AD35="","",Settings!$C$6)</f>
        <v/>
      </c>
      <c r="X35" s="7">
        <f>IF($AD35="","",SUMIFS('Per Line'!$AB$2:$AB$3001,'Per Line'!$E$2:$E$3001,$B35,'Per Line'!$AP$2:$AP$3001,1,'Per Line'!$AQ$2:$AQ$3001,0))</f>
        <v/>
      </c>
      <c r="Y35" s="7">
        <f>IF($AD35="","",X35*W35)</f>
        <v/>
      </c>
      <c r="Z35" s="7">
        <f>IF($AD35="","",Y35+V35)</f>
        <v/>
      </c>
      <c r="AA35" s="7">
        <f>IF($AD35="","",AB35-Z35)</f>
        <v/>
      </c>
      <c r="AB35" s="7">
        <f>IF($AD35="","",U35+X35+S35)</f>
        <v/>
      </c>
      <c r="AC35" s="7">
        <f>IF($AD35="","",AB35-Z35-P35)</f>
        <v/>
      </c>
      <c r="AD35" s="13">
        <f>IF(ROWS($AD$2:$AD35)&lt;=MAX('Per Line'!$AO$2:$AO$3001),MATCH(ROWS($AD$2:$AD35),'Per Line'!$AO$2:$AO$3001,0),"")</f>
        <v/>
      </c>
      <c r="AE35" s="14">
        <f>IF($AD35="","",P35-O35*AB35/100)</f>
        <v/>
      </c>
    </row>
    <row r="36">
      <c r="A36" s="12" t="n"/>
      <c r="B36">
        <f>IF($AD36="","",INDEX('Per Line'!$E$2:$E$3001,$AD36)&amp;"")</f>
        <v/>
      </c>
      <c r="C36">
        <f>IF($AD36="","",INDEX('Per Line'!$A$2:$A$3001,$AD36)&amp;"")</f>
        <v/>
      </c>
      <c r="D36">
        <f>IF($AD36="","",INDEX('Per Line'!$C$2:$C$3001,$AD36)&amp;"")</f>
        <v/>
      </c>
      <c r="E36">
        <f>IF($AD36="","",INDEX('Per Line'!$B$2:$B$3001,$AD36))</f>
        <v/>
      </c>
      <c r="F36">
        <f>IF($AD36="","",INDEX('Per Line'!$D$2:$D$3001,$AD36)&amp;"")</f>
        <v/>
      </c>
      <c r="G36" s="11">
        <f>IF($AD36="","",INDEX('Per Line'!$G$2:$G$3001,$AD36))</f>
        <v/>
      </c>
      <c r="H36">
        <f>IF($AD36="","",INDEX('Per Line'!$J$2:$J$3001,$AD36)&amp;"")</f>
        <v/>
      </c>
      <c r="I36">
        <f>IF($AD36="","",INDEX('Per Line'!$H$2:$H$3001,$AD36)&amp;"")</f>
        <v/>
      </c>
      <c r="J36">
        <f>IF($AD36="","",INDEX('Per Line'!$F$2:$F$3001,$AD36)&amp;"")</f>
        <v/>
      </c>
      <c r="K36">
        <f>IF($AD36="","",INDEX('Per Line'!$K$2:$K$3001,$AD36)&amp;"")</f>
        <v/>
      </c>
      <c r="L36">
        <f>IF($AD36="","",INDEX('Per Line'!$L$2:$L$3001,$AD36)&amp;"")</f>
        <v/>
      </c>
      <c r="M36">
        <f>IF($AD36="","",INDEX('Per Line'!$M$2:$M$3001,$AD36)&amp;"")</f>
        <v/>
      </c>
      <c r="N36">
        <f>IF($AD36="","",INDEX('Per Line'!$AC$2:$AC$3001,$AD36)&amp;"")</f>
        <v/>
      </c>
      <c r="O36">
        <f>IF($AD36="","",INDEX('Per Line'!$P$2:$P$3001,$AD36))</f>
        <v/>
      </c>
      <c r="P36" s="7">
        <f>IF($AD36="","",IF(AND(ISNUMBER(Q36),Q36&gt;0,AB36&gt;Q36),O36*Q36/100+(AB36-Q36),O36*AB36/100))</f>
        <v/>
      </c>
      <c r="Q36">
        <f>IF($AD36="","",INDEX('Per Line'!$AG$2:$AG$3001,$AD36))</f>
        <v/>
      </c>
      <c r="R36">
        <f>IF($AD36="","",IF(AND(ISNUMBER(Q36),Q36&gt;0),AB36&gt;Q36,FALSE))</f>
        <v/>
      </c>
      <c r="S36" s="7">
        <f>IF($AD36="","",SUMIFS('Per Line'!$AB$2:$AB$3001,'Per Line'!$E$2:$E$3001,$B36,'Per Line'!$AQ$2:$AQ$3001,1))</f>
        <v/>
      </c>
      <c r="T36">
        <f>IF($AD36="","",Settings!$C$7)</f>
        <v/>
      </c>
      <c r="U36" s="7">
        <f>IF($AD36="","",SUMIFS('Per Line'!$AB$2:$AB$3001,'Per Line'!$E$2:$E$3001,$B36,'Per Line'!$AP$2:$AP$3001,0,'Per Line'!$AQ$2:$AQ$3001,0))</f>
        <v/>
      </c>
      <c r="V36" s="7">
        <f>IF($AD36="","",U36*T36)</f>
        <v/>
      </c>
      <c r="W36">
        <f>IF($AD36="","",Settings!$C$6)</f>
        <v/>
      </c>
      <c r="X36" s="7">
        <f>IF($AD36="","",SUMIFS('Per Line'!$AB$2:$AB$3001,'Per Line'!$E$2:$E$3001,$B36,'Per Line'!$AP$2:$AP$3001,1,'Per Line'!$AQ$2:$AQ$3001,0))</f>
        <v/>
      </c>
      <c r="Y36" s="7">
        <f>IF($AD36="","",X36*W36)</f>
        <v/>
      </c>
      <c r="Z36" s="7">
        <f>IF($AD36="","",Y36+V36)</f>
        <v/>
      </c>
      <c r="AA36" s="7">
        <f>IF($AD36="","",AB36-Z36)</f>
        <v/>
      </c>
      <c r="AB36" s="7">
        <f>IF($AD36="","",U36+X36+S36)</f>
        <v/>
      </c>
      <c r="AC36" s="7">
        <f>IF($AD36="","",AB36-Z36-P36)</f>
        <v/>
      </c>
      <c r="AD36" s="13">
        <f>IF(ROWS($AD$2:$AD36)&lt;=MAX('Per Line'!$AO$2:$AO$3001),MATCH(ROWS($AD$2:$AD36),'Per Line'!$AO$2:$AO$3001,0),"")</f>
        <v/>
      </c>
      <c r="AE36" s="14">
        <f>IF($AD36="","",P36-O36*AB36/100)</f>
        <v/>
      </c>
    </row>
    <row r="37">
      <c r="A37" s="12" t="n"/>
      <c r="B37">
        <f>IF($AD37="","",INDEX('Per Line'!$E$2:$E$3001,$AD37)&amp;"")</f>
        <v/>
      </c>
      <c r="C37">
        <f>IF($AD37="","",INDEX('Per Line'!$A$2:$A$3001,$AD37)&amp;"")</f>
        <v/>
      </c>
      <c r="D37">
        <f>IF($AD37="","",INDEX('Per Line'!$C$2:$C$3001,$AD37)&amp;"")</f>
        <v/>
      </c>
      <c r="E37">
        <f>IF($AD37="","",INDEX('Per Line'!$B$2:$B$3001,$AD37))</f>
        <v/>
      </c>
      <c r="F37">
        <f>IF($AD37="","",INDEX('Per Line'!$D$2:$D$3001,$AD37)&amp;"")</f>
        <v/>
      </c>
      <c r="G37" s="11">
        <f>IF($AD37="","",INDEX('Per Line'!$G$2:$G$3001,$AD37))</f>
        <v/>
      </c>
      <c r="H37">
        <f>IF($AD37="","",INDEX('Per Line'!$J$2:$J$3001,$AD37)&amp;"")</f>
        <v/>
      </c>
      <c r="I37">
        <f>IF($AD37="","",INDEX('Per Line'!$H$2:$H$3001,$AD37)&amp;"")</f>
        <v/>
      </c>
      <c r="J37">
        <f>IF($AD37="","",INDEX('Per Line'!$F$2:$F$3001,$AD37)&amp;"")</f>
        <v/>
      </c>
      <c r="K37">
        <f>IF($AD37="","",INDEX('Per Line'!$K$2:$K$3001,$AD37)&amp;"")</f>
        <v/>
      </c>
      <c r="L37">
        <f>IF($AD37="","",INDEX('Per Line'!$L$2:$L$3001,$AD37)&amp;"")</f>
        <v/>
      </c>
      <c r="M37">
        <f>IF($AD37="","",INDEX('Per Line'!$M$2:$M$3001,$AD37)&amp;"")</f>
        <v/>
      </c>
      <c r="N37">
        <f>IF($AD37="","",INDEX('Per Line'!$AC$2:$AC$3001,$AD37)&amp;"")</f>
        <v/>
      </c>
      <c r="O37">
        <f>IF($AD37="","",INDEX('Per Line'!$P$2:$P$3001,$AD37))</f>
        <v/>
      </c>
      <c r="P37" s="7">
        <f>IF($AD37="","",IF(AND(ISNUMBER(Q37),Q37&gt;0,AB37&gt;Q37),O37*Q37/100+(AB37-Q37),O37*AB37/100))</f>
        <v/>
      </c>
      <c r="Q37">
        <f>IF($AD37="","",INDEX('Per Line'!$AG$2:$AG$3001,$AD37))</f>
        <v/>
      </c>
      <c r="R37">
        <f>IF($AD37="","",IF(AND(ISNUMBER(Q37),Q37&gt;0),AB37&gt;Q37,FALSE))</f>
        <v/>
      </c>
      <c r="S37" s="7">
        <f>IF($AD37="","",SUMIFS('Per Line'!$AB$2:$AB$3001,'Per Line'!$E$2:$E$3001,$B37,'Per Line'!$AQ$2:$AQ$3001,1))</f>
        <v/>
      </c>
      <c r="T37">
        <f>IF($AD37="","",Settings!$C$7)</f>
        <v/>
      </c>
      <c r="U37" s="7">
        <f>IF($AD37="","",SUMIFS('Per Line'!$AB$2:$AB$3001,'Per Line'!$E$2:$E$3001,$B37,'Per Line'!$AP$2:$AP$3001,0,'Per Line'!$AQ$2:$AQ$3001,0))</f>
        <v/>
      </c>
      <c r="V37" s="7">
        <f>IF($AD37="","",U37*T37)</f>
        <v/>
      </c>
      <c r="W37">
        <f>IF($AD37="","",Settings!$C$6)</f>
        <v/>
      </c>
      <c r="X37" s="7">
        <f>IF($AD37="","",SUMIFS('Per Line'!$AB$2:$AB$3001,'Per Line'!$E$2:$E$3001,$B37,'Per Line'!$AP$2:$AP$3001,1,'Per Line'!$AQ$2:$AQ$3001,0))</f>
        <v/>
      </c>
      <c r="Y37" s="7">
        <f>IF($AD37="","",X37*W37)</f>
        <v/>
      </c>
      <c r="Z37" s="7">
        <f>IF($AD37="","",Y37+V37)</f>
        <v/>
      </c>
      <c r="AA37" s="7">
        <f>IF($AD37="","",AB37-Z37)</f>
        <v/>
      </c>
      <c r="AB37" s="7">
        <f>IF($AD37="","",U37+X37+S37)</f>
        <v/>
      </c>
      <c r="AC37" s="7">
        <f>IF($AD37="","",AB37-Z37-P37)</f>
        <v/>
      </c>
      <c r="AD37" s="13">
        <f>IF(ROWS($AD$2:$AD37)&lt;=MAX('Per Line'!$AO$2:$AO$3001),MATCH(ROWS($AD$2:$AD37),'Per Line'!$AO$2:$AO$3001,0),"")</f>
        <v/>
      </c>
      <c r="AE37" s="14">
        <f>IF($AD37="","",P37-O37*AB37/100)</f>
        <v/>
      </c>
    </row>
    <row r="38">
      <c r="A38" s="12" t="n"/>
      <c r="B38">
        <f>IF($AD38="","",INDEX('Per Line'!$E$2:$E$3001,$AD38)&amp;"")</f>
        <v/>
      </c>
      <c r="C38">
        <f>IF($AD38="","",INDEX('Per Line'!$A$2:$A$3001,$AD38)&amp;"")</f>
        <v/>
      </c>
      <c r="D38">
        <f>IF($AD38="","",INDEX('Per Line'!$C$2:$C$3001,$AD38)&amp;"")</f>
        <v/>
      </c>
      <c r="E38">
        <f>IF($AD38="","",INDEX('Per Line'!$B$2:$B$3001,$AD38))</f>
        <v/>
      </c>
      <c r="F38">
        <f>IF($AD38="","",INDEX('Per Line'!$D$2:$D$3001,$AD38)&amp;"")</f>
        <v/>
      </c>
      <c r="G38" s="11">
        <f>IF($AD38="","",INDEX('Per Line'!$G$2:$G$3001,$AD38))</f>
        <v/>
      </c>
      <c r="H38">
        <f>IF($AD38="","",INDEX('Per Line'!$J$2:$J$3001,$AD38)&amp;"")</f>
        <v/>
      </c>
      <c r="I38">
        <f>IF($AD38="","",INDEX('Per Line'!$H$2:$H$3001,$AD38)&amp;"")</f>
        <v/>
      </c>
      <c r="J38">
        <f>IF($AD38="","",INDEX('Per Line'!$F$2:$F$3001,$AD38)&amp;"")</f>
        <v/>
      </c>
      <c r="K38">
        <f>IF($AD38="","",INDEX('Per Line'!$K$2:$K$3001,$AD38)&amp;"")</f>
        <v/>
      </c>
      <c r="L38">
        <f>IF($AD38="","",INDEX('Per Line'!$L$2:$L$3001,$AD38)&amp;"")</f>
        <v/>
      </c>
      <c r="M38">
        <f>IF($AD38="","",INDEX('Per Line'!$M$2:$M$3001,$AD38)&amp;"")</f>
        <v/>
      </c>
      <c r="N38">
        <f>IF($AD38="","",INDEX('Per Line'!$AC$2:$AC$3001,$AD38)&amp;"")</f>
        <v/>
      </c>
      <c r="O38">
        <f>IF($AD38="","",INDEX('Per Line'!$P$2:$P$3001,$AD38))</f>
        <v/>
      </c>
      <c r="P38" s="7">
        <f>IF($AD38="","",IF(AND(ISNUMBER(Q38),Q38&gt;0,AB38&gt;Q38),O38*Q38/100+(AB38-Q38),O38*AB38/100))</f>
        <v/>
      </c>
      <c r="Q38">
        <f>IF($AD38="","",INDEX('Per Line'!$AG$2:$AG$3001,$AD38))</f>
        <v/>
      </c>
      <c r="R38">
        <f>IF($AD38="","",IF(AND(ISNUMBER(Q38),Q38&gt;0),AB38&gt;Q38,FALSE))</f>
        <v/>
      </c>
      <c r="S38" s="7">
        <f>IF($AD38="","",SUMIFS('Per Line'!$AB$2:$AB$3001,'Per Line'!$E$2:$E$3001,$B38,'Per Line'!$AQ$2:$AQ$3001,1))</f>
        <v/>
      </c>
      <c r="T38">
        <f>IF($AD38="","",Settings!$C$7)</f>
        <v/>
      </c>
      <c r="U38" s="7">
        <f>IF($AD38="","",SUMIFS('Per Line'!$AB$2:$AB$3001,'Per Line'!$E$2:$E$3001,$B38,'Per Line'!$AP$2:$AP$3001,0,'Per Line'!$AQ$2:$AQ$3001,0))</f>
        <v/>
      </c>
      <c r="V38" s="7">
        <f>IF($AD38="","",U38*T38)</f>
        <v/>
      </c>
      <c r="W38">
        <f>IF($AD38="","",Settings!$C$6)</f>
        <v/>
      </c>
      <c r="X38" s="7">
        <f>IF($AD38="","",SUMIFS('Per Line'!$AB$2:$AB$3001,'Per Line'!$E$2:$E$3001,$B38,'Per Line'!$AP$2:$AP$3001,1,'Per Line'!$AQ$2:$AQ$3001,0))</f>
        <v/>
      </c>
      <c r="Y38" s="7">
        <f>IF($AD38="","",X38*W38)</f>
        <v/>
      </c>
      <c r="Z38" s="7">
        <f>IF($AD38="","",Y38+V38)</f>
        <v/>
      </c>
      <c r="AA38" s="7">
        <f>IF($AD38="","",AB38-Z38)</f>
        <v/>
      </c>
      <c r="AB38" s="7">
        <f>IF($AD38="","",U38+X38+S38)</f>
        <v/>
      </c>
      <c r="AC38" s="7">
        <f>IF($AD38="","",AB38-Z38-P38)</f>
        <v/>
      </c>
      <c r="AD38" s="13">
        <f>IF(ROWS($AD$2:$AD38)&lt;=MAX('Per Line'!$AO$2:$AO$3001),MATCH(ROWS($AD$2:$AD38),'Per Line'!$AO$2:$AO$3001,0),"")</f>
        <v/>
      </c>
      <c r="AE38" s="14">
        <f>IF($AD38="","",P38-O38*AB38/100)</f>
        <v/>
      </c>
    </row>
    <row r="39">
      <c r="A39" s="12" t="n"/>
      <c r="B39">
        <f>IF($AD39="","",INDEX('Per Line'!$E$2:$E$3001,$AD39)&amp;"")</f>
        <v/>
      </c>
      <c r="C39">
        <f>IF($AD39="","",INDEX('Per Line'!$A$2:$A$3001,$AD39)&amp;"")</f>
        <v/>
      </c>
      <c r="D39">
        <f>IF($AD39="","",INDEX('Per Line'!$C$2:$C$3001,$AD39)&amp;"")</f>
        <v/>
      </c>
      <c r="E39">
        <f>IF($AD39="","",INDEX('Per Line'!$B$2:$B$3001,$AD39))</f>
        <v/>
      </c>
      <c r="F39">
        <f>IF($AD39="","",INDEX('Per Line'!$D$2:$D$3001,$AD39)&amp;"")</f>
        <v/>
      </c>
      <c r="G39" s="11">
        <f>IF($AD39="","",INDEX('Per Line'!$G$2:$G$3001,$AD39))</f>
        <v/>
      </c>
      <c r="H39">
        <f>IF($AD39="","",INDEX('Per Line'!$J$2:$J$3001,$AD39)&amp;"")</f>
        <v/>
      </c>
      <c r="I39">
        <f>IF($AD39="","",INDEX('Per Line'!$H$2:$H$3001,$AD39)&amp;"")</f>
        <v/>
      </c>
      <c r="J39">
        <f>IF($AD39="","",INDEX('Per Line'!$F$2:$F$3001,$AD39)&amp;"")</f>
        <v/>
      </c>
      <c r="K39">
        <f>IF($AD39="","",INDEX('Per Line'!$K$2:$K$3001,$AD39)&amp;"")</f>
        <v/>
      </c>
      <c r="L39">
        <f>IF($AD39="","",INDEX('Per Line'!$L$2:$L$3001,$AD39)&amp;"")</f>
        <v/>
      </c>
      <c r="M39">
        <f>IF($AD39="","",INDEX('Per Line'!$M$2:$M$3001,$AD39)&amp;"")</f>
        <v/>
      </c>
      <c r="N39">
        <f>IF($AD39="","",INDEX('Per Line'!$AC$2:$AC$3001,$AD39)&amp;"")</f>
        <v/>
      </c>
      <c r="O39">
        <f>IF($AD39="","",INDEX('Per Line'!$P$2:$P$3001,$AD39))</f>
        <v/>
      </c>
      <c r="P39" s="7">
        <f>IF($AD39="","",IF(AND(ISNUMBER(Q39),Q39&gt;0,AB39&gt;Q39),O39*Q39/100+(AB39-Q39),O39*AB39/100))</f>
        <v/>
      </c>
      <c r="Q39">
        <f>IF($AD39="","",INDEX('Per Line'!$AG$2:$AG$3001,$AD39))</f>
        <v/>
      </c>
      <c r="R39">
        <f>IF($AD39="","",IF(AND(ISNUMBER(Q39),Q39&gt;0),AB39&gt;Q39,FALSE))</f>
        <v/>
      </c>
      <c r="S39" s="7">
        <f>IF($AD39="","",SUMIFS('Per Line'!$AB$2:$AB$3001,'Per Line'!$E$2:$E$3001,$B39,'Per Line'!$AQ$2:$AQ$3001,1))</f>
        <v/>
      </c>
      <c r="T39">
        <f>IF($AD39="","",Settings!$C$7)</f>
        <v/>
      </c>
      <c r="U39" s="7">
        <f>IF($AD39="","",SUMIFS('Per Line'!$AB$2:$AB$3001,'Per Line'!$E$2:$E$3001,$B39,'Per Line'!$AP$2:$AP$3001,0,'Per Line'!$AQ$2:$AQ$3001,0))</f>
        <v/>
      </c>
      <c r="V39" s="7">
        <f>IF($AD39="","",U39*T39)</f>
        <v/>
      </c>
      <c r="W39">
        <f>IF($AD39="","",Settings!$C$6)</f>
        <v/>
      </c>
      <c r="X39" s="7">
        <f>IF($AD39="","",SUMIFS('Per Line'!$AB$2:$AB$3001,'Per Line'!$E$2:$E$3001,$B39,'Per Line'!$AP$2:$AP$3001,1,'Per Line'!$AQ$2:$AQ$3001,0))</f>
        <v/>
      </c>
      <c r="Y39" s="7">
        <f>IF($AD39="","",X39*W39)</f>
        <v/>
      </c>
      <c r="Z39" s="7">
        <f>IF($AD39="","",Y39+V39)</f>
        <v/>
      </c>
      <c r="AA39" s="7">
        <f>IF($AD39="","",AB39-Z39)</f>
        <v/>
      </c>
      <c r="AB39" s="7">
        <f>IF($AD39="","",U39+X39+S39)</f>
        <v/>
      </c>
      <c r="AC39" s="7">
        <f>IF($AD39="","",AB39-Z39-P39)</f>
        <v/>
      </c>
      <c r="AD39" s="13">
        <f>IF(ROWS($AD$2:$AD39)&lt;=MAX('Per Line'!$AO$2:$AO$3001),MATCH(ROWS($AD$2:$AD39),'Per Line'!$AO$2:$AO$3001,0),"")</f>
        <v/>
      </c>
      <c r="AE39" s="14">
        <f>IF($AD39="","",P39-O39*AB39/100)</f>
        <v/>
      </c>
    </row>
    <row r="40">
      <c r="A40" s="12" t="n"/>
      <c r="B40">
        <f>IF($AD40="","",INDEX('Per Line'!$E$2:$E$3001,$AD40)&amp;"")</f>
        <v/>
      </c>
      <c r="C40">
        <f>IF($AD40="","",INDEX('Per Line'!$A$2:$A$3001,$AD40)&amp;"")</f>
        <v/>
      </c>
      <c r="D40">
        <f>IF($AD40="","",INDEX('Per Line'!$C$2:$C$3001,$AD40)&amp;"")</f>
        <v/>
      </c>
      <c r="E40">
        <f>IF($AD40="","",INDEX('Per Line'!$B$2:$B$3001,$AD40))</f>
        <v/>
      </c>
      <c r="F40">
        <f>IF($AD40="","",INDEX('Per Line'!$D$2:$D$3001,$AD40)&amp;"")</f>
        <v/>
      </c>
      <c r="G40" s="11">
        <f>IF($AD40="","",INDEX('Per Line'!$G$2:$G$3001,$AD40))</f>
        <v/>
      </c>
      <c r="H40">
        <f>IF($AD40="","",INDEX('Per Line'!$J$2:$J$3001,$AD40)&amp;"")</f>
        <v/>
      </c>
      <c r="I40">
        <f>IF($AD40="","",INDEX('Per Line'!$H$2:$H$3001,$AD40)&amp;"")</f>
        <v/>
      </c>
      <c r="J40">
        <f>IF($AD40="","",INDEX('Per Line'!$F$2:$F$3001,$AD40)&amp;"")</f>
        <v/>
      </c>
      <c r="K40">
        <f>IF($AD40="","",INDEX('Per Line'!$K$2:$K$3001,$AD40)&amp;"")</f>
        <v/>
      </c>
      <c r="L40">
        <f>IF($AD40="","",INDEX('Per Line'!$L$2:$L$3001,$AD40)&amp;"")</f>
        <v/>
      </c>
      <c r="M40">
        <f>IF($AD40="","",INDEX('Per Line'!$M$2:$M$3001,$AD40)&amp;"")</f>
        <v/>
      </c>
      <c r="N40">
        <f>IF($AD40="","",INDEX('Per Line'!$AC$2:$AC$3001,$AD40)&amp;"")</f>
        <v/>
      </c>
      <c r="O40">
        <f>IF($AD40="","",INDEX('Per Line'!$P$2:$P$3001,$AD40))</f>
        <v/>
      </c>
      <c r="P40" s="7">
        <f>IF($AD40="","",IF(AND(ISNUMBER(Q40),Q40&gt;0,AB40&gt;Q40),O40*Q40/100+(AB40-Q40),O40*AB40/100))</f>
        <v/>
      </c>
      <c r="Q40">
        <f>IF($AD40="","",INDEX('Per Line'!$AG$2:$AG$3001,$AD40))</f>
        <v/>
      </c>
      <c r="R40">
        <f>IF($AD40="","",IF(AND(ISNUMBER(Q40),Q40&gt;0),AB40&gt;Q40,FALSE))</f>
        <v/>
      </c>
      <c r="S40" s="7">
        <f>IF($AD40="","",SUMIFS('Per Line'!$AB$2:$AB$3001,'Per Line'!$E$2:$E$3001,$B40,'Per Line'!$AQ$2:$AQ$3001,1))</f>
        <v/>
      </c>
      <c r="T40">
        <f>IF($AD40="","",Settings!$C$7)</f>
        <v/>
      </c>
      <c r="U40" s="7">
        <f>IF($AD40="","",SUMIFS('Per Line'!$AB$2:$AB$3001,'Per Line'!$E$2:$E$3001,$B40,'Per Line'!$AP$2:$AP$3001,0,'Per Line'!$AQ$2:$AQ$3001,0))</f>
        <v/>
      </c>
      <c r="V40" s="7">
        <f>IF($AD40="","",U40*T40)</f>
        <v/>
      </c>
      <c r="W40">
        <f>IF($AD40="","",Settings!$C$6)</f>
        <v/>
      </c>
      <c r="X40" s="7">
        <f>IF($AD40="","",SUMIFS('Per Line'!$AB$2:$AB$3001,'Per Line'!$E$2:$E$3001,$B40,'Per Line'!$AP$2:$AP$3001,1,'Per Line'!$AQ$2:$AQ$3001,0))</f>
        <v/>
      </c>
      <c r="Y40" s="7">
        <f>IF($AD40="","",X40*W40)</f>
        <v/>
      </c>
      <c r="Z40" s="7">
        <f>IF($AD40="","",Y40+V40)</f>
        <v/>
      </c>
      <c r="AA40" s="7">
        <f>IF($AD40="","",AB40-Z40)</f>
        <v/>
      </c>
      <c r="AB40" s="7">
        <f>IF($AD40="","",U40+X40+S40)</f>
        <v/>
      </c>
      <c r="AC40" s="7">
        <f>IF($AD40="","",AB40-Z40-P40)</f>
        <v/>
      </c>
      <c r="AD40" s="13">
        <f>IF(ROWS($AD$2:$AD40)&lt;=MAX('Per Line'!$AO$2:$AO$3001),MATCH(ROWS($AD$2:$AD40),'Per Line'!$AO$2:$AO$3001,0),"")</f>
        <v/>
      </c>
      <c r="AE40" s="14">
        <f>IF($AD40="","",P40-O40*AB40/100)</f>
        <v/>
      </c>
    </row>
    <row r="41">
      <c r="A41" s="12" t="n"/>
      <c r="B41">
        <f>IF($AD41="","",INDEX('Per Line'!$E$2:$E$3001,$AD41)&amp;"")</f>
        <v/>
      </c>
      <c r="C41">
        <f>IF($AD41="","",INDEX('Per Line'!$A$2:$A$3001,$AD41)&amp;"")</f>
        <v/>
      </c>
      <c r="D41">
        <f>IF($AD41="","",INDEX('Per Line'!$C$2:$C$3001,$AD41)&amp;"")</f>
        <v/>
      </c>
      <c r="E41">
        <f>IF($AD41="","",INDEX('Per Line'!$B$2:$B$3001,$AD41))</f>
        <v/>
      </c>
      <c r="F41">
        <f>IF($AD41="","",INDEX('Per Line'!$D$2:$D$3001,$AD41)&amp;"")</f>
        <v/>
      </c>
      <c r="G41" s="11">
        <f>IF($AD41="","",INDEX('Per Line'!$G$2:$G$3001,$AD41))</f>
        <v/>
      </c>
      <c r="H41">
        <f>IF($AD41="","",INDEX('Per Line'!$J$2:$J$3001,$AD41)&amp;"")</f>
        <v/>
      </c>
      <c r="I41">
        <f>IF($AD41="","",INDEX('Per Line'!$H$2:$H$3001,$AD41)&amp;"")</f>
        <v/>
      </c>
      <c r="J41">
        <f>IF($AD41="","",INDEX('Per Line'!$F$2:$F$3001,$AD41)&amp;"")</f>
        <v/>
      </c>
      <c r="K41">
        <f>IF($AD41="","",INDEX('Per Line'!$K$2:$K$3001,$AD41)&amp;"")</f>
        <v/>
      </c>
      <c r="L41">
        <f>IF($AD41="","",INDEX('Per Line'!$L$2:$L$3001,$AD41)&amp;"")</f>
        <v/>
      </c>
      <c r="M41">
        <f>IF($AD41="","",INDEX('Per Line'!$M$2:$M$3001,$AD41)&amp;"")</f>
        <v/>
      </c>
      <c r="N41">
        <f>IF($AD41="","",INDEX('Per Line'!$AC$2:$AC$3001,$AD41)&amp;"")</f>
        <v/>
      </c>
      <c r="O41">
        <f>IF($AD41="","",INDEX('Per Line'!$P$2:$P$3001,$AD41))</f>
        <v/>
      </c>
      <c r="P41" s="7">
        <f>IF($AD41="","",IF(AND(ISNUMBER(Q41),Q41&gt;0,AB41&gt;Q41),O41*Q41/100+(AB41-Q41),O41*AB41/100))</f>
        <v/>
      </c>
      <c r="Q41">
        <f>IF($AD41="","",INDEX('Per Line'!$AG$2:$AG$3001,$AD41))</f>
        <v/>
      </c>
      <c r="R41">
        <f>IF($AD41="","",IF(AND(ISNUMBER(Q41),Q41&gt;0),AB41&gt;Q41,FALSE))</f>
        <v/>
      </c>
      <c r="S41" s="7">
        <f>IF($AD41="","",SUMIFS('Per Line'!$AB$2:$AB$3001,'Per Line'!$E$2:$E$3001,$B41,'Per Line'!$AQ$2:$AQ$3001,1))</f>
        <v/>
      </c>
      <c r="T41">
        <f>IF($AD41="","",Settings!$C$7)</f>
        <v/>
      </c>
      <c r="U41" s="7">
        <f>IF($AD41="","",SUMIFS('Per Line'!$AB$2:$AB$3001,'Per Line'!$E$2:$E$3001,$B41,'Per Line'!$AP$2:$AP$3001,0,'Per Line'!$AQ$2:$AQ$3001,0))</f>
        <v/>
      </c>
      <c r="V41" s="7">
        <f>IF($AD41="","",U41*T41)</f>
        <v/>
      </c>
      <c r="W41">
        <f>IF($AD41="","",Settings!$C$6)</f>
        <v/>
      </c>
      <c r="X41" s="7">
        <f>IF($AD41="","",SUMIFS('Per Line'!$AB$2:$AB$3001,'Per Line'!$E$2:$E$3001,$B41,'Per Line'!$AP$2:$AP$3001,1,'Per Line'!$AQ$2:$AQ$3001,0))</f>
        <v/>
      </c>
      <c r="Y41" s="7">
        <f>IF($AD41="","",X41*W41)</f>
        <v/>
      </c>
      <c r="Z41" s="7">
        <f>IF($AD41="","",Y41+V41)</f>
        <v/>
      </c>
      <c r="AA41" s="7">
        <f>IF($AD41="","",AB41-Z41)</f>
        <v/>
      </c>
      <c r="AB41" s="7">
        <f>IF($AD41="","",U41+X41+S41)</f>
        <v/>
      </c>
      <c r="AC41" s="7">
        <f>IF($AD41="","",AB41-Z41-P41)</f>
        <v/>
      </c>
      <c r="AD41" s="13">
        <f>IF(ROWS($AD$2:$AD41)&lt;=MAX('Per Line'!$AO$2:$AO$3001),MATCH(ROWS($AD$2:$AD41),'Per Line'!$AO$2:$AO$3001,0),"")</f>
        <v/>
      </c>
      <c r="AE41" s="14">
        <f>IF($AD41="","",P41-O41*AB41/100)</f>
        <v/>
      </c>
    </row>
    <row r="42">
      <c r="A42" s="12" t="n"/>
      <c r="B42">
        <f>IF($AD42="","",INDEX('Per Line'!$E$2:$E$3001,$AD42)&amp;"")</f>
        <v/>
      </c>
      <c r="C42">
        <f>IF($AD42="","",INDEX('Per Line'!$A$2:$A$3001,$AD42)&amp;"")</f>
        <v/>
      </c>
      <c r="D42">
        <f>IF($AD42="","",INDEX('Per Line'!$C$2:$C$3001,$AD42)&amp;"")</f>
        <v/>
      </c>
      <c r="E42">
        <f>IF($AD42="","",INDEX('Per Line'!$B$2:$B$3001,$AD42))</f>
        <v/>
      </c>
      <c r="F42">
        <f>IF($AD42="","",INDEX('Per Line'!$D$2:$D$3001,$AD42)&amp;"")</f>
        <v/>
      </c>
      <c r="G42" s="11">
        <f>IF($AD42="","",INDEX('Per Line'!$G$2:$G$3001,$AD42))</f>
        <v/>
      </c>
      <c r="H42">
        <f>IF($AD42="","",INDEX('Per Line'!$J$2:$J$3001,$AD42)&amp;"")</f>
        <v/>
      </c>
      <c r="I42">
        <f>IF($AD42="","",INDEX('Per Line'!$H$2:$H$3001,$AD42)&amp;"")</f>
        <v/>
      </c>
      <c r="J42">
        <f>IF($AD42="","",INDEX('Per Line'!$F$2:$F$3001,$AD42)&amp;"")</f>
        <v/>
      </c>
      <c r="K42">
        <f>IF($AD42="","",INDEX('Per Line'!$K$2:$K$3001,$AD42)&amp;"")</f>
        <v/>
      </c>
      <c r="L42">
        <f>IF($AD42="","",INDEX('Per Line'!$L$2:$L$3001,$AD42)&amp;"")</f>
        <v/>
      </c>
      <c r="M42">
        <f>IF($AD42="","",INDEX('Per Line'!$M$2:$M$3001,$AD42)&amp;"")</f>
        <v/>
      </c>
      <c r="N42">
        <f>IF($AD42="","",INDEX('Per Line'!$AC$2:$AC$3001,$AD42)&amp;"")</f>
        <v/>
      </c>
      <c r="O42">
        <f>IF($AD42="","",INDEX('Per Line'!$P$2:$P$3001,$AD42))</f>
        <v/>
      </c>
      <c r="P42" s="7">
        <f>IF($AD42="","",IF(AND(ISNUMBER(Q42),Q42&gt;0,AB42&gt;Q42),O42*Q42/100+(AB42-Q42),O42*AB42/100))</f>
        <v/>
      </c>
      <c r="Q42">
        <f>IF($AD42="","",INDEX('Per Line'!$AG$2:$AG$3001,$AD42))</f>
        <v/>
      </c>
      <c r="R42">
        <f>IF($AD42="","",IF(AND(ISNUMBER(Q42),Q42&gt;0),AB42&gt;Q42,FALSE))</f>
        <v/>
      </c>
      <c r="S42" s="7">
        <f>IF($AD42="","",SUMIFS('Per Line'!$AB$2:$AB$3001,'Per Line'!$E$2:$E$3001,$B42,'Per Line'!$AQ$2:$AQ$3001,1))</f>
        <v/>
      </c>
      <c r="T42">
        <f>IF($AD42="","",Settings!$C$7)</f>
        <v/>
      </c>
      <c r="U42" s="7">
        <f>IF($AD42="","",SUMIFS('Per Line'!$AB$2:$AB$3001,'Per Line'!$E$2:$E$3001,$B42,'Per Line'!$AP$2:$AP$3001,0,'Per Line'!$AQ$2:$AQ$3001,0))</f>
        <v/>
      </c>
      <c r="V42" s="7">
        <f>IF($AD42="","",U42*T42)</f>
        <v/>
      </c>
      <c r="W42">
        <f>IF($AD42="","",Settings!$C$6)</f>
        <v/>
      </c>
      <c r="X42" s="7">
        <f>IF($AD42="","",SUMIFS('Per Line'!$AB$2:$AB$3001,'Per Line'!$E$2:$E$3001,$B42,'Per Line'!$AP$2:$AP$3001,1,'Per Line'!$AQ$2:$AQ$3001,0))</f>
        <v/>
      </c>
      <c r="Y42" s="7">
        <f>IF($AD42="","",X42*W42)</f>
        <v/>
      </c>
      <c r="Z42" s="7">
        <f>IF($AD42="","",Y42+V42)</f>
        <v/>
      </c>
      <c r="AA42" s="7">
        <f>IF($AD42="","",AB42-Z42)</f>
        <v/>
      </c>
      <c r="AB42" s="7">
        <f>IF($AD42="","",U42+X42+S42)</f>
        <v/>
      </c>
      <c r="AC42" s="7">
        <f>IF($AD42="","",AB42-Z42-P42)</f>
        <v/>
      </c>
      <c r="AD42" s="13">
        <f>IF(ROWS($AD$2:$AD42)&lt;=MAX('Per Line'!$AO$2:$AO$3001),MATCH(ROWS($AD$2:$AD42),'Per Line'!$AO$2:$AO$3001,0),"")</f>
        <v/>
      </c>
      <c r="AE42" s="14">
        <f>IF($AD42="","",P42-O42*AB42/100)</f>
        <v/>
      </c>
    </row>
    <row r="43">
      <c r="A43" s="12" t="n"/>
      <c r="B43">
        <f>IF($AD43="","",INDEX('Per Line'!$E$2:$E$3001,$AD43)&amp;"")</f>
        <v/>
      </c>
      <c r="C43">
        <f>IF($AD43="","",INDEX('Per Line'!$A$2:$A$3001,$AD43)&amp;"")</f>
        <v/>
      </c>
      <c r="D43">
        <f>IF($AD43="","",INDEX('Per Line'!$C$2:$C$3001,$AD43)&amp;"")</f>
        <v/>
      </c>
      <c r="E43">
        <f>IF($AD43="","",INDEX('Per Line'!$B$2:$B$3001,$AD43))</f>
        <v/>
      </c>
      <c r="F43">
        <f>IF($AD43="","",INDEX('Per Line'!$D$2:$D$3001,$AD43)&amp;"")</f>
        <v/>
      </c>
      <c r="G43" s="11">
        <f>IF($AD43="","",INDEX('Per Line'!$G$2:$G$3001,$AD43))</f>
        <v/>
      </c>
      <c r="H43">
        <f>IF($AD43="","",INDEX('Per Line'!$J$2:$J$3001,$AD43)&amp;"")</f>
        <v/>
      </c>
      <c r="I43">
        <f>IF($AD43="","",INDEX('Per Line'!$H$2:$H$3001,$AD43)&amp;"")</f>
        <v/>
      </c>
      <c r="J43">
        <f>IF($AD43="","",INDEX('Per Line'!$F$2:$F$3001,$AD43)&amp;"")</f>
        <v/>
      </c>
      <c r="K43">
        <f>IF($AD43="","",INDEX('Per Line'!$K$2:$K$3001,$AD43)&amp;"")</f>
        <v/>
      </c>
      <c r="L43">
        <f>IF($AD43="","",INDEX('Per Line'!$L$2:$L$3001,$AD43)&amp;"")</f>
        <v/>
      </c>
      <c r="M43">
        <f>IF($AD43="","",INDEX('Per Line'!$M$2:$M$3001,$AD43)&amp;"")</f>
        <v/>
      </c>
      <c r="N43">
        <f>IF($AD43="","",INDEX('Per Line'!$AC$2:$AC$3001,$AD43)&amp;"")</f>
        <v/>
      </c>
      <c r="O43">
        <f>IF($AD43="","",INDEX('Per Line'!$P$2:$P$3001,$AD43))</f>
        <v/>
      </c>
      <c r="P43" s="7">
        <f>IF($AD43="","",IF(AND(ISNUMBER(Q43),Q43&gt;0,AB43&gt;Q43),O43*Q43/100+(AB43-Q43),O43*AB43/100))</f>
        <v/>
      </c>
      <c r="Q43">
        <f>IF($AD43="","",INDEX('Per Line'!$AG$2:$AG$3001,$AD43))</f>
        <v/>
      </c>
      <c r="R43">
        <f>IF($AD43="","",IF(AND(ISNUMBER(Q43),Q43&gt;0),AB43&gt;Q43,FALSE))</f>
        <v/>
      </c>
      <c r="S43" s="7">
        <f>IF($AD43="","",SUMIFS('Per Line'!$AB$2:$AB$3001,'Per Line'!$E$2:$E$3001,$B43,'Per Line'!$AQ$2:$AQ$3001,1))</f>
        <v/>
      </c>
      <c r="T43">
        <f>IF($AD43="","",Settings!$C$7)</f>
        <v/>
      </c>
      <c r="U43" s="7">
        <f>IF($AD43="","",SUMIFS('Per Line'!$AB$2:$AB$3001,'Per Line'!$E$2:$E$3001,$B43,'Per Line'!$AP$2:$AP$3001,0,'Per Line'!$AQ$2:$AQ$3001,0))</f>
        <v/>
      </c>
      <c r="V43" s="7">
        <f>IF($AD43="","",U43*T43)</f>
        <v/>
      </c>
      <c r="W43">
        <f>IF($AD43="","",Settings!$C$6)</f>
        <v/>
      </c>
      <c r="X43" s="7">
        <f>IF($AD43="","",SUMIFS('Per Line'!$AB$2:$AB$3001,'Per Line'!$E$2:$E$3001,$B43,'Per Line'!$AP$2:$AP$3001,1,'Per Line'!$AQ$2:$AQ$3001,0))</f>
        <v/>
      </c>
      <c r="Y43" s="7">
        <f>IF($AD43="","",X43*W43)</f>
        <v/>
      </c>
      <c r="Z43" s="7">
        <f>IF($AD43="","",Y43+V43)</f>
        <v/>
      </c>
      <c r="AA43" s="7">
        <f>IF($AD43="","",AB43-Z43)</f>
        <v/>
      </c>
      <c r="AB43" s="7">
        <f>IF($AD43="","",U43+X43+S43)</f>
        <v/>
      </c>
      <c r="AC43" s="7">
        <f>IF($AD43="","",AB43-Z43-P43)</f>
        <v/>
      </c>
      <c r="AD43" s="13">
        <f>IF(ROWS($AD$2:$AD43)&lt;=MAX('Per Line'!$AO$2:$AO$3001),MATCH(ROWS($AD$2:$AD43),'Per Line'!$AO$2:$AO$3001,0),"")</f>
        <v/>
      </c>
      <c r="AE43" s="14">
        <f>IF($AD43="","",P43-O43*AB43/100)</f>
        <v/>
      </c>
    </row>
    <row r="44">
      <c r="A44" s="12" t="n"/>
      <c r="B44">
        <f>IF($AD44="","",INDEX('Per Line'!$E$2:$E$3001,$AD44)&amp;"")</f>
        <v/>
      </c>
      <c r="C44">
        <f>IF($AD44="","",INDEX('Per Line'!$A$2:$A$3001,$AD44)&amp;"")</f>
        <v/>
      </c>
      <c r="D44">
        <f>IF($AD44="","",INDEX('Per Line'!$C$2:$C$3001,$AD44)&amp;"")</f>
        <v/>
      </c>
      <c r="E44">
        <f>IF($AD44="","",INDEX('Per Line'!$B$2:$B$3001,$AD44))</f>
        <v/>
      </c>
      <c r="F44">
        <f>IF($AD44="","",INDEX('Per Line'!$D$2:$D$3001,$AD44)&amp;"")</f>
        <v/>
      </c>
      <c r="G44" s="11">
        <f>IF($AD44="","",INDEX('Per Line'!$G$2:$G$3001,$AD44))</f>
        <v/>
      </c>
      <c r="H44">
        <f>IF($AD44="","",INDEX('Per Line'!$J$2:$J$3001,$AD44)&amp;"")</f>
        <v/>
      </c>
      <c r="I44">
        <f>IF($AD44="","",INDEX('Per Line'!$H$2:$H$3001,$AD44)&amp;"")</f>
        <v/>
      </c>
      <c r="J44">
        <f>IF($AD44="","",INDEX('Per Line'!$F$2:$F$3001,$AD44)&amp;"")</f>
        <v/>
      </c>
      <c r="K44">
        <f>IF($AD44="","",INDEX('Per Line'!$K$2:$K$3001,$AD44)&amp;"")</f>
        <v/>
      </c>
      <c r="L44">
        <f>IF($AD44="","",INDEX('Per Line'!$L$2:$L$3001,$AD44)&amp;"")</f>
        <v/>
      </c>
      <c r="M44">
        <f>IF($AD44="","",INDEX('Per Line'!$M$2:$M$3001,$AD44)&amp;"")</f>
        <v/>
      </c>
      <c r="N44">
        <f>IF($AD44="","",INDEX('Per Line'!$AC$2:$AC$3001,$AD44)&amp;"")</f>
        <v/>
      </c>
      <c r="O44">
        <f>IF($AD44="","",INDEX('Per Line'!$P$2:$P$3001,$AD44))</f>
        <v/>
      </c>
      <c r="P44" s="7">
        <f>IF($AD44="","",IF(AND(ISNUMBER(Q44),Q44&gt;0,AB44&gt;Q44),O44*Q44/100+(AB44-Q44),O44*AB44/100))</f>
        <v/>
      </c>
      <c r="Q44">
        <f>IF($AD44="","",INDEX('Per Line'!$AG$2:$AG$3001,$AD44))</f>
        <v/>
      </c>
      <c r="R44">
        <f>IF($AD44="","",IF(AND(ISNUMBER(Q44),Q44&gt;0),AB44&gt;Q44,FALSE))</f>
        <v/>
      </c>
      <c r="S44" s="7">
        <f>IF($AD44="","",SUMIFS('Per Line'!$AB$2:$AB$3001,'Per Line'!$E$2:$E$3001,$B44,'Per Line'!$AQ$2:$AQ$3001,1))</f>
        <v/>
      </c>
      <c r="T44">
        <f>IF($AD44="","",Settings!$C$7)</f>
        <v/>
      </c>
      <c r="U44" s="7">
        <f>IF($AD44="","",SUMIFS('Per Line'!$AB$2:$AB$3001,'Per Line'!$E$2:$E$3001,$B44,'Per Line'!$AP$2:$AP$3001,0,'Per Line'!$AQ$2:$AQ$3001,0))</f>
        <v/>
      </c>
      <c r="V44" s="7">
        <f>IF($AD44="","",U44*T44)</f>
        <v/>
      </c>
      <c r="W44">
        <f>IF($AD44="","",Settings!$C$6)</f>
        <v/>
      </c>
      <c r="X44" s="7">
        <f>IF($AD44="","",SUMIFS('Per Line'!$AB$2:$AB$3001,'Per Line'!$E$2:$E$3001,$B44,'Per Line'!$AP$2:$AP$3001,1,'Per Line'!$AQ$2:$AQ$3001,0))</f>
        <v/>
      </c>
      <c r="Y44" s="7">
        <f>IF($AD44="","",X44*W44)</f>
        <v/>
      </c>
      <c r="Z44" s="7">
        <f>IF($AD44="","",Y44+V44)</f>
        <v/>
      </c>
      <c r="AA44" s="7">
        <f>IF($AD44="","",AB44-Z44)</f>
        <v/>
      </c>
      <c r="AB44" s="7">
        <f>IF($AD44="","",U44+X44+S44)</f>
        <v/>
      </c>
      <c r="AC44" s="7">
        <f>IF($AD44="","",AB44-Z44-P44)</f>
        <v/>
      </c>
      <c r="AD44" s="13">
        <f>IF(ROWS($AD$2:$AD44)&lt;=MAX('Per Line'!$AO$2:$AO$3001),MATCH(ROWS($AD$2:$AD44),'Per Line'!$AO$2:$AO$3001,0),"")</f>
        <v/>
      </c>
      <c r="AE44" s="14">
        <f>IF($AD44="","",P44-O44*AB44/100)</f>
        <v/>
      </c>
    </row>
    <row r="45">
      <c r="A45" s="12" t="n"/>
      <c r="B45">
        <f>IF($AD45="","",INDEX('Per Line'!$E$2:$E$3001,$AD45)&amp;"")</f>
        <v/>
      </c>
      <c r="C45">
        <f>IF($AD45="","",INDEX('Per Line'!$A$2:$A$3001,$AD45)&amp;"")</f>
        <v/>
      </c>
      <c r="D45">
        <f>IF($AD45="","",INDEX('Per Line'!$C$2:$C$3001,$AD45)&amp;"")</f>
        <v/>
      </c>
      <c r="E45">
        <f>IF($AD45="","",INDEX('Per Line'!$B$2:$B$3001,$AD45))</f>
        <v/>
      </c>
      <c r="F45">
        <f>IF($AD45="","",INDEX('Per Line'!$D$2:$D$3001,$AD45)&amp;"")</f>
        <v/>
      </c>
      <c r="G45" s="11">
        <f>IF($AD45="","",INDEX('Per Line'!$G$2:$G$3001,$AD45))</f>
        <v/>
      </c>
      <c r="H45">
        <f>IF($AD45="","",INDEX('Per Line'!$J$2:$J$3001,$AD45)&amp;"")</f>
        <v/>
      </c>
      <c r="I45">
        <f>IF($AD45="","",INDEX('Per Line'!$H$2:$H$3001,$AD45)&amp;"")</f>
        <v/>
      </c>
      <c r="J45">
        <f>IF($AD45="","",INDEX('Per Line'!$F$2:$F$3001,$AD45)&amp;"")</f>
        <v/>
      </c>
      <c r="K45">
        <f>IF($AD45="","",INDEX('Per Line'!$K$2:$K$3001,$AD45)&amp;"")</f>
        <v/>
      </c>
      <c r="L45">
        <f>IF($AD45="","",INDEX('Per Line'!$L$2:$L$3001,$AD45)&amp;"")</f>
        <v/>
      </c>
      <c r="M45">
        <f>IF($AD45="","",INDEX('Per Line'!$M$2:$M$3001,$AD45)&amp;"")</f>
        <v/>
      </c>
      <c r="N45">
        <f>IF($AD45="","",INDEX('Per Line'!$AC$2:$AC$3001,$AD45)&amp;"")</f>
        <v/>
      </c>
      <c r="O45">
        <f>IF($AD45="","",INDEX('Per Line'!$P$2:$P$3001,$AD45))</f>
        <v/>
      </c>
      <c r="P45" s="7">
        <f>IF($AD45="","",IF(AND(ISNUMBER(Q45),Q45&gt;0,AB45&gt;Q45),O45*Q45/100+(AB45-Q45),O45*AB45/100))</f>
        <v/>
      </c>
      <c r="Q45">
        <f>IF($AD45="","",INDEX('Per Line'!$AG$2:$AG$3001,$AD45))</f>
        <v/>
      </c>
      <c r="R45">
        <f>IF($AD45="","",IF(AND(ISNUMBER(Q45),Q45&gt;0),AB45&gt;Q45,FALSE))</f>
        <v/>
      </c>
      <c r="S45" s="7">
        <f>IF($AD45="","",SUMIFS('Per Line'!$AB$2:$AB$3001,'Per Line'!$E$2:$E$3001,$B45,'Per Line'!$AQ$2:$AQ$3001,1))</f>
        <v/>
      </c>
      <c r="T45">
        <f>IF($AD45="","",Settings!$C$7)</f>
        <v/>
      </c>
      <c r="U45" s="7">
        <f>IF($AD45="","",SUMIFS('Per Line'!$AB$2:$AB$3001,'Per Line'!$E$2:$E$3001,$B45,'Per Line'!$AP$2:$AP$3001,0,'Per Line'!$AQ$2:$AQ$3001,0))</f>
        <v/>
      </c>
      <c r="V45" s="7">
        <f>IF($AD45="","",U45*T45)</f>
        <v/>
      </c>
      <c r="W45">
        <f>IF($AD45="","",Settings!$C$6)</f>
        <v/>
      </c>
      <c r="X45" s="7">
        <f>IF($AD45="","",SUMIFS('Per Line'!$AB$2:$AB$3001,'Per Line'!$E$2:$E$3001,$B45,'Per Line'!$AP$2:$AP$3001,1,'Per Line'!$AQ$2:$AQ$3001,0))</f>
        <v/>
      </c>
      <c r="Y45" s="7">
        <f>IF($AD45="","",X45*W45)</f>
        <v/>
      </c>
      <c r="Z45" s="7">
        <f>IF($AD45="","",Y45+V45)</f>
        <v/>
      </c>
      <c r="AA45" s="7">
        <f>IF($AD45="","",AB45-Z45)</f>
        <v/>
      </c>
      <c r="AB45" s="7">
        <f>IF($AD45="","",U45+X45+S45)</f>
        <v/>
      </c>
      <c r="AC45" s="7">
        <f>IF($AD45="","",AB45-Z45-P45)</f>
        <v/>
      </c>
      <c r="AD45" s="13">
        <f>IF(ROWS($AD$2:$AD45)&lt;=MAX('Per Line'!$AO$2:$AO$3001),MATCH(ROWS($AD$2:$AD45),'Per Line'!$AO$2:$AO$3001,0),"")</f>
        <v/>
      </c>
      <c r="AE45" s="14">
        <f>IF($AD45="","",P45-O45*AB45/100)</f>
        <v/>
      </c>
    </row>
    <row r="46">
      <c r="A46" s="12" t="n"/>
      <c r="B46">
        <f>IF($AD46="","",INDEX('Per Line'!$E$2:$E$3001,$AD46)&amp;"")</f>
        <v/>
      </c>
      <c r="C46">
        <f>IF($AD46="","",INDEX('Per Line'!$A$2:$A$3001,$AD46)&amp;"")</f>
        <v/>
      </c>
      <c r="D46">
        <f>IF($AD46="","",INDEX('Per Line'!$C$2:$C$3001,$AD46)&amp;"")</f>
        <v/>
      </c>
      <c r="E46">
        <f>IF($AD46="","",INDEX('Per Line'!$B$2:$B$3001,$AD46))</f>
        <v/>
      </c>
      <c r="F46">
        <f>IF($AD46="","",INDEX('Per Line'!$D$2:$D$3001,$AD46)&amp;"")</f>
        <v/>
      </c>
      <c r="G46" s="11">
        <f>IF($AD46="","",INDEX('Per Line'!$G$2:$G$3001,$AD46))</f>
        <v/>
      </c>
      <c r="H46">
        <f>IF($AD46="","",INDEX('Per Line'!$J$2:$J$3001,$AD46)&amp;"")</f>
        <v/>
      </c>
      <c r="I46">
        <f>IF($AD46="","",INDEX('Per Line'!$H$2:$H$3001,$AD46)&amp;"")</f>
        <v/>
      </c>
      <c r="J46">
        <f>IF($AD46="","",INDEX('Per Line'!$F$2:$F$3001,$AD46)&amp;"")</f>
        <v/>
      </c>
      <c r="K46">
        <f>IF($AD46="","",INDEX('Per Line'!$K$2:$K$3001,$AD46)&amp;"")</f>
        <v/>
      </c>
      <c r="L46">
        <f>IF($AD46="","",INDEX('Per Line'!$L$2:$L$3001,$AD46)&amp;"")</f>
        <v/>
      </c>
      <c r="M46">
        <f>IF($AD46="","",INDEX('Per Line'!$M$2:$M$3001,$AD46)&amp;"")</f>
        <v/>
      </c>
      <c r="N46">
        <f>IF($AD46="","",INDEX('Per Line'!$AC$2:$AC$3001,$AD46)&amp;"")</f>
        <v/>
      </c>
      <c r="O46">
        <f>IF($AD46="","",INDEX('Per Line'!$P$2:$P$3001,$AD46))</f>
        <v/>
      </c>
      <c r="P46" s="7">
        <f>IF($AD46="","",IF(AND(ISNUMBER(Q46),Q46&gt;0,AB46&gt;Q46),O46*Q46/100+(AB46-Q46),O46*AB46/100))</f>
        <v/>
      </c>
      <c r="Q46">
        <f>IF($AD46="","",INDEX('Per Line'!$AG$2:$AG$3001,$AD46))</f>
        <v/>
      </c>
      <c r="R46">
        <f>IF($AD46="","",IF(AND(ISNUMBER(Q46),Q46&gt;0),AB46&gt;Q46,FALSE))</f>
        <v/>
      </c>
      <c r="S46" s="7">
        <f>IF($AD46="","",SUMIFS('Per Line'!$AB$2:$AB$3001,'Per Line'!$E$2:$E$3001,$B46,'Per Line'!$AQ$2:$AQ$3001,1))</f>
        <v/>
      </c>
      <c r="T46">
        <f>IF($AD46="","",Settings!$C$7)</f>
        <v/>
      </c>
      <c r="U46" s="7">
        <f>IF($AD46="","",SUMIFS('Per Line'!$AB$2:$AB$3001,'Per Line'!$E$2:$E$3001,$B46,'Per Line'!$AP$2:$AP$3001,0,'Per Line'!$AQ$2:$AQ$3001,0))</f>
        <v/>
      </c>
      <c r="V46" s="7">
        <f>IF($AD46="","",U46*T46)</f>
        <v/>
      </c>
      <c r="W46">
        <f>IF($AD46="","",Settings!$C$6)</f>
        <v/>
      </c>
      <c r="X46" s="7">
        <f>IF($AD46="","",SUMIFS('Per Line'!$AB$2:$AB$3001,'Per Line'!$E$2:$E$3001,$B46,'Per Line'!$AP$2:$AP$3001,1,'Per Line'!$AQ$2:$AQ$3001,0))</f>
        <v/>
      </c>
      <c r="Y46" s="7">
        <f>IF($AD46="","",X46*W46)</f>
        <v/>
      </c>
      <c r="Z46" s="7">
        <f>IF($AD46="","",Y46+V46)</f>
        <v/>
      </c>
      <c r="AA46" s="7">
        <f>IF($AD46="","",AB46-Z46)</f>
        <v/>
      </c>
      <c r="AB46" s="7">
        <f>IF($AD46="","",U46+X46+S46)</f>
        <v/>
      </c>
      <c r="AC46" s="7">
        <f>IF($AD46="","",AB46-Z46-P46)</f>
        <v/>
      </c>
      <c r="AD46" s="13">
        <f>IF(ROWS($AD$2:$AD46)&lt;=MAX('Per Line'!$AO$2:$AO$3001),MATCH(ROWS($AD$2:$AD46),'Per Line'!$AO$2:$AO$3001,0),"")</f>
        <v/>
      </c>
      <c r="AE46" s="14">
        <f>IF($AD46="","",P46-O46*AB46/100)</f>
        <v/>
      </c>
    </row>
    <row r="47">
      <c r="A47" s="12" t="n"/>
      <c r="B47">
        <f>IF($AD47="","",INDEX('Per Line'!$E$2:$E$3001,$AD47)&amp;"")</f>
        <v/>
      </c>
      <c r="C47">
        <f>IF($AD47="","",INDEX('Per Line'!$A$2:$A$3001,$AD47)&amp;"")</f>
        <v/>
      </c>
      <c r="D47">
        <f>IF($AD47="","",INDEX('Per Line'!$C$2:$C$3001,$AD47)&amp;"")</f>
        <v/>
      </c>
      <c r="E47">
        <f>IF($AD47="","",INDEX('Per Line'!$B$2:$B$3001,$AD47))</f>
        <v/>
      </c>
      <c r="F47">
        <f>IF($AD47="","",INDEX('Per Line'!$D$2:$D$3001,$AD47)&amp;"")</f>
        <v/>
      </c>
      <c r="G47" s="11">
        <f>IF($AD47="","",INDEX('Per Line'!$G$2:$G$3001,$AD47))</f>
        <v/>
      </c>
      <c r="H47">
        <f>IF($AD47="","",INDEX('Per Line'!$J$2:$J$3001,$AD47)&amp;"")</f>
        <v/>
      </c>
      <c r="I47">
        <f>IF($AD47="","",INDEX('Per Line'!$H$2:$H$3001,$AD47)&amp;"")</f>
        <v/>
      </c>
      <c r="J47">
        <f>IF($AD47="","",INDEX('Per Line'!$F$2:$F$3001,$AD47)&amp;"")</f>
        <v/>
      </c>
      <c r="K47">
        <f>IF($AD47="","",INDEX('Per Line'!$K$2:$K$3001,$AD47)&amp;"")</f>
        <v/>
      </c>
      <c r="L47">
        <f>IF($AD47="","",INDEX('Per Line'!$L$2:$L$3001,$AD47)&amp;"")</f>
        <v/>
      </c>
      <c r="M47">
        <f>IF($AD47="","",INDEX('Per Line'!$M$2:$M$3001,$AD47)&amp;"")</f>
        <v/>
      </c>
      <c r="N47">
        <f>IF($AD47="","",INDEX('Per Line'!$AC$2:$AC$3001,$AD47)&amp;"")</f>
        <v/>
      </c>
      <c r="O47">
        <f>IF($AD47="","",INDEX('Per Line'!$P$2:$P$3001,$AD47))</f>
        <v/>
      </c>
      <c r="P47" s="7">
        <f>IF($AD47="","",IF(AND(ISNUMBER(Q47),Q47&gt;0,AB47&gt;Q47),O47*Q47/100+(AB47-Q47),O47*AB47/100))</f>
        <v/>
      </c>
      <c r="Q47">
        <f>IF($AD47="","",INDEX('Per Line'!$AG$2:$AG$3001,$AD47))</f>
        <v/>
      </c>
      <c r="R47">
        <f>IF($AD47="","",IF(AND(ISNUMBER(Q47),Q47&gt;0),AB47&gt;Q47,FALSE))</f>
        <v/>
      </c>
      <c r="S47" s="7">
        <f>IF($AD47="","",SUMIFS('Per Line'!$AB$2:$AB$3001,'Per Line'!$E$2:$E$3001,$B47,'Per Line'!$AQ$2:$AQ$3001,1))</f>
        <v/>
      </c>
      <c r="T47">
        <f>IF($AD47="","",Settings!$C$7)</f>
        <v/>
      </c>
      <c r="U47" s="7">
        <f>IF($AD47="","",SUMIFS('Per Line'!$AB$2:$AB$3001,'Per Line'!$E$2:$E$3001,$B47,'Per Line'!$AP$2:$AP$3001,0,'Per Line'!$AQ$2:$AQ$3001,0))</f>
        <v/>
      </c>
      <c r="V47" s="7">
        <f>IF($AD47="","",U47*T47)</f>
        <v/>
      </c>
      <c r="W47">
        <f>IF($AD47="","",Settings!$C$6)</f>
        <v/>
      </c>
      <c r="X47" s="7">
        <f>IF($AD47="","",SUMIFS('Per Line'!$AB$2:$AB$3001,'Per Line'!$E$2:$E$3001,$B47,'Per Line'!$AP$2:$AP$3001,1,'Per Line'!$AQ$2:$AQ$3001,0))</f>
        <v/>
      </c>
      <c r="Y47" s="7">
        <f>IF($AD47="","",X47*W47)</f>
        <v/>
      </c>
      <c r="Z47" s="7">
        <f>IF($AD47="","",Y47+V47)</f>
        <v/>
      </c>
      <c r="AA47" s="7">
        <f>IF($AD47="","",AB47-Z47)</f>
        <v/>
      </c>
      <c r="AB47" s="7">
        <f>IF($AD47="","",U47+X47+S47)</f>
        <v/>
      </c>
      <c r="AC47" s="7">
        <f>IF($AD47="","",AB47-Z47-P47)</f>
        <v/>
      </c>
      <c r="AD47" s="13">
        <f>IF(ROWS($AD$2:$AD47)&lt;=MAX('Per Line'!$AO$2:$AO$3001),MATCH(ROWS($AD$2:$AD47),'Per Line'!$AO$2:$AO$3001,0),"")</f>
        <v/>
      </c>
      <c r="AE47" s="14">
        <f>IF($AD47="","",P47-O47*AB47/100)</f>
        <v/>
      </c>
    </row>
    <row r="48">
      <c r="A48" s="12" t="n"/>
      <c r="B48">
        <f>IF($AD48="","",INDEX('Per Line'!$E$2:$E$3001,$AD48)&amp;"")</f>
        <v/>
      </c>
      <c r="C48">
        <f>IF($AD48="","",INDEX('Per Line'!$A$2:$A$3001,$AD48)&amp;"")</f>
        <v/>
      </c>
      <c r="D48">
        <f>IF($AD48="","",INDEX('Per Line'!$C$2:$C$3001,$AD48)&amp;"")</f>
        <v/>
      </c>
      <c r="E48">
        <f>IF($AD48="","",INDEX('Per Line'!$B$2:$B$3001,$AD48))</f>
        <v/>
      </c>
      <c r="F48">
        <f>IF($AD48="","",INDEX('Per Line'!$D$2:$D$3001,$AD48)&amp;"")</f>
        <v/>
      </c>
      <c r="G48" s="11">
        <f>IF($AD48="","",INDEX('Per Line'!$G$2:$G$3001,$AD48))</f>
        <v/>
      </c>
      <c r="H48">
        <f>IF($AD48="","",INDEX('Per Line'!$J$2:$J$3001,$AD48)&amp;"")</f>
        <v/>
      </c>
      <c r="I48">
        <f>IF($AD48="","",INDEX('Per Line'!$H$2:$H$3001,$AD48)&amp;"")</f>
        <v/>
      </c>
      <c r="J48">
        <f>IF($AD48="","",INDEX('Per Line'!$F$2:$F$3001,$AD48)&amp;"")</f>
        <v/>
      </c>
      <c r="K48">
        <f>IF($AD48="","",INDEX('Per Line'!$K$2:$K$3001,$AD48)&amp;"")</f>
        <v/>
      </c>
      <c r="L48">
        <f>IF($AD48="","",INDEX('Per Line'!$L$2:$L$3001,$AD48)&amp;"")</f>
        <v/>
      </c>
      <c r="M48">
        <f>IF($AD48="","",INDEX('Per Line'!$M$2:$M$3001,$AD48)&amp;"")</f>
        <v/>
      </c>
      <c r="N48">
        <f>IF($AD48="","",INDEX('Per Line'!$AC$2:$AC$3001,$AD48)&amp;"")</f>
        <v/>
      </c>
      <c r="O48">
        <f>IF($AD48="","",INDEX('Per Line'!$P$2:$P$3001,$AD48))</f>
        <v/>
      </c>
      <c r="P48" s="7">
        <f>IF($AD48="","",IF(AND(ISNUMBER(Q48),Q48&gt;0,AB48&gt;Q48),O48*Q48/100+(AB48-Q48),O48*AB48/100))</f>
        <v/>
      </c>
      <c r="Q48">
        <f>IF($AD48="","",INDEX('Per Line'!$AG$2:$AG$3001,$AD48))</f>
        <v/>
      </c>
      <c r="R48">
        <f>IF($AD48="","",IF(AND(ISNUMBER(Q48),Q48&gt;0),AB48&gt;Q48,FALSE))</f>
        <v/>
      </c>
      <c r="S48" s="7">
        <f>IF($AD48="","",SUMIFS('Per Line'!$AB$2:$AB$3001,'Per Line'!$E$2:$E$3001,$B48,'Per Line'!$AQ$2:$AQ$3001,1))</f>
        <v/>
      </c>
      <c r="T48">
        <f>IF($AD48="","",Settings!$C$7)</f>
        <v/>
      </c>
      <c r="U48" s="7">
        <f>IF($AD48="","",SUMIFS('Per Line'!$AB$2:$AB$3001,'Per Line'!$E$2:$E$3001,$B48,'Per Line'!$AP$2:$AP$3001,0,'Per Line'!$AQ$2:$AQ$3001,0))</f>
        <v/>
      </c>
      <c r="V48" s="7">
        <f>IF($AD48="","",U48*T48)</f>
        <v/>
      </c>
      <c r="W48">
        <f>IF($AD48="","",Settings!$C$6)</f>
        <v/>
      </c>
      <c r="X48" s="7">
        <f>IF($AD48="","",SUMIFS('Per Line'!$AB$2:$AB$3001,'Per Line'!$E$2:$E$3001,$B48,'Per Line'!$AP$2:$AP$3001,1,'Per Line'!$AQ$2:$AQ$3001,0))</f>
        <v/>
      </c>
      <c r="Y48" s="7">
        <f>IF($AD48="","",X48*W48)</f>
        <v/>
      </c>
      <c r="Z48" s="7">
        <f>IF($AD48="","",Y48+V48)</f>
        <v/>
      </c>
      <c r="AA48" s="7">
        <f>IF($AD48="","",AB48-Z48)</f>
        <v/>
      </c>
      <c r="AB48" s="7">
        <f>IF($AD48="","",U48+X48+S48)</f>
        <v/>
      </c>
      <c r="AC48" s="7">
        <f>IF($AD48="","",AB48-Z48-P48)</f>
        <v/>
      </c>
      <c r="AD48" s="13">
        <f>IF(ROWS($AD$2:$AD48)&lt;=MAX('Per Line'!$AO$2:$AO$3001),MATCH(ROWS($AD$2:$AD48),'Per Line'!$AO$2:$AO$3001,0),"")</f>
        <v/>
      </c>
      <c r="AE48" s="14">
        <f>IF($AD48="","",P48-O48*AB48/100)</f>
        <v/>
      </c>
    </row>
    <row r="49">
      <c r="A49" s="12" t="n"/>
      <c r="B49">
        <f>IF($AD49="","",INDEX('Per Line'!$E$2:$E$3001,$AD49)&amp;"")</f>
        <v/>
      </c>
      <c r="C49">
        <f>IF($AD49="","",INDEX('Per Line'!$A$2:$A$3001,$AD49)&amp;"")</f>
        <v/>
      </c>
      <c r="D49">
        <f>IF($AD49="","",INDEX('Per Line'!$C$2:$C$3001,$AD49)&amp;"")</f>
        <v/>
      </c>
      <c r="E49">
        <f>IF($AD49="","",INDEX('Per Line'!$B$2:$B$3001,$AD49))</f>
        <v/>
      </c>
      <c r="F49">
        <f>IF($AD49="","",INDEX('Per Line'!$D$2:$D$3001,$AD49)&amp;"")</f>
        <v/>
      </c>
      <c r="G49" s="11">
        <f>IF($AD49="","",INDEX('Per Line'!$G$2:$G$3001,$AD49))</f>
        <v/>
      </c>
      <c r="H49">
        <f>IF($AD49="","",INDEX('Per Line'!$J$2:$J$3001,$AD49)&amp;"")</f>
        <v/>
      </c>
      <c r="I49">
        <f>IF($AD49="","",INDEX('Per Line'!$H$2:$H$3001,$AD49)&amp;"")</f>
        <v/>
      </c>
      <c r="J49">
        <f>IF($AD49="","",INDEX('Per Line'!$F$2:$F$3001,$AD49)&amp;"")</f>
        <v/>
      </c>
      <c r="K49">
        <f>IF($AD49="","",INDEX('Per Line'!$K$2:$K$3001,$AD49)&amp;"")</f>
        <v/>
      </c>
      <c r="L49">
        <f>IF($AD49="","",INDEX('Per Line'!$L$2:$L$3001,$AD49)&amp;"")</f>
        <v/>
      </c>
      <c r="M49">
        <f>IF($AD49="","",INDEX('Per Line'!$M$2:$M$3001,$AD49)&amp;"")</f>
        <v/>
      </c>
      <c r="N49">
        <f>IF($AD49="","",INDEX('Per Line'!$AC$2:$AC$3001,$AD49)&amp;"")</f>
        <v/>
      </c>
      <c r="O49">
        <f>IF($AD49="","",INDEX('Per Line'!$P$2:$P$3001,$AD49))</f>
        <v/>
      </c>
      <c r="P49" s="7">
        <f>IF($AD49="","",IF(AND(ISNUMBER(Q49),Q49&gt;0,AB49&gt;Q49),O49*Q49/100+(AB49-Q49),O49*AB49/100))</f>
        <v/>
      </c>
      <c r="Q49">
        <f>IF($AD49="","",INDEX('Per Line'!$AG$2:$AG$3001,$AD49))</f>
        <v/>
      </c>
      <c r="R49">
        <f>IF($AD49="","",IF(AND(ISNUMBER(Q49),Q49&gt;0),AB49&gt;Q49,FALSE))</f>
        <v/>
      </c>
      <c r="S49" s="7">
        <f>IF($AD49="","",SUMIFS('Per Line'!$AB$2:$AB$3001,'Per Line'!$E$2:$E$3001,$B49,'Per Line'!$AQ$2:$AQ$3001,1))</f>
        <v/>
      </c>
      <c r="T49">
        <f>IF($AD49="","",Settings!$C$7)</f>
        <v/>
      </c>
      <c r="U49" s="7">
        <f>IF($AD49="","",SUMIFS('Per Line'!$AB$2:$AB$3001,'Per Line'!$E$2:$E$3001,$B49,'Per Line'!$AP$2:$AP$3001,0,'Per Line'!$AQ$2:$AQ$3001,0))</f>
        <v/>
      </c>
      <c r="V49" s="7">
        <f>IF($AD49="","",U49*T49)</f>
        <v/>
      </c>
      <c r="W49">
        <f>IF($AD49="","",Settings!$C$6)</f>
        <v/>
      </c>
      <c r="X49" s="7">
        <f>IF($AD49="","",SUMIFS('Per Line'!$AB$2:$AB$3001,'Per Line'!$E$2:$E$3001,$B49,'Per Line'!$AP$2:$AP$3001,1,'Per Line'!$AQ$2:$AQ$3001,0))</f>
        <v/>
      </c>
      <c r="Y49" s="7">
        <f>IF($AD49="","",X49*W49)</f>
        <v/>
      </c>
      <c r="Z49" s="7">
        <f>IF($AD49="","",Y49+V49)</f>
        <v/>
      </c>
      <c r="AA49" s="7">
        <f>IF($AD49="","",AB49-Z49)</f>
        <v/>
      </c>
      <c r="AB49" s="7">
        <f>IF($AD49="","",U49+X49+S49)</f>
        <v/>
      </c>
      <c r="AC49" s="7">
        <f>IF($AD49="","",AB49-Z49-P49)</f>
        <v/>
      </c>
      <c r="AD49" s="13">
        <f>IF(ROWS($AD$2:$AD49)&lt;=MAX('Per Line'!$AO$2:$AO$3001),MATCH(ROWS($AD$2:$AD49),'Per Line'!$AO$2:$AO$3001,0),"")</f>
        <v/>
      </c>
      <c r="AE49" s="14">
        <f>IF($AD49="","",P49-O49*AB49/100)</f>
        <v/>
      </c>
    </row>
    <row r="50">
      <c r="A50" s="12" t="n"/>
      <c r="B50">
        <f>IF($AD50="","",INDEX('Per Line'!$E$2:$E$3001,$AD50)&amp;"")</f>
        <v/>
      </c>
      <c r="C50">
        <f>IF($AD50="","",INDEX('Per Line'!$A$2:$A$3001,$AD50)&amp;"")</f>
        <v/>
      </c>
      <c r="D50">
        <f>IF($AD50="","",INDEX('Per Line'!$C$2:$C$3001,$AD50)&amp;"")</f>
        <v/>
      </c>
      <c r="E50">
        <f>IF($AD50="","",INDEX('Per Line'!$B$2:$B$3001,$AD50))</f>
        <v/>
      </c>
      <c r="F50">
        <f>IF($AD50="","",INDEX('Per Line'!$D$2:$D$3001,$AD50)&amp;"")</f>
        <v/>
      </c>
      <c r="G50" s="11">
        <f>IF($AD50="","",INDEX('Per Line'!$G$2:$G$3001,$AD50))</f>
        <v/>
      </c>
      <c r="H50">
        <f>IF($AD50="","",INDEX('Per Line'!$J$2:$J$3001,$AD50)&amp;"")</f>
        <v/>
      </c>
      <c r="I50">
        <f>IF($AD50="","",INDEX('Per Line'!$H$2:$H$3001,$AD50)&amp;"")</f>
        <v/>
      </c>
      <c r="J50">
        <f>IF($AD50="","",INDEX('Per Line'!$F$2:$F$3001,$AD50)&amp;"")</f>
        <v/>
      </c>
      <c r="K50">
        <f>IF($AD50="","",INDEX('Per Line'!$K$2:$K$3001,$AD50)&amp;"")</f>
        <v/>
      </c>
      <c r="L50">
        <f>IF($AD50="","",INDEX('Per Line'!$L$2:$L$3001,$AD50)&amp;"")</f>
        <v/>
      </c>
      <c r="M50">
        <f>IF($AD50="","",INDEX('Per Line'!$M$2:$M$3001,$AD50)&amp;"")</f>
        <v/>
      </c>
      <c r="N50">
        <f>IF($AD50="","",INDEX('Per Line'!$AC$2:$AC$3001,$AD50)&amp;"")</f>
        <v/>
      </c>
      <c r="O50">
        <f>IF($AD50="","",INDEX('Per Line'!$P$2:$P$3001,$AD50))</f>
        <v/>
      </c>
      <c r="P50" s="7">
        <f>IF($AD50="","",IF(AND(ISNUMBER(Q50),Q50&gt;0,AB50&gt;Q50),O50*Q50/100+(AB50-Q50),O50*AB50/100))</f>
        <v/>
      </c>
      <c r="Q50">
        <f>IF($AD50="","",INDEX('Per Line'!$AG$2:$AG$3001,$AD50))</f>
        <v/>
      </c>
      <c r="R50">
        <f>IF($AD50="","",IF(AND(ISNUMBER(Q50),Q50&gt;0),AB50&gt;Q50,FALSE))</f>
        <v/>
      </c>
      <c r="S50" s="7">
        <f>IF($AD50="","",SUMIFS('Per Line'!$AB$2:$AB$3001,'Per Line'!$E$2:$E$3001,$B50,'Per Line'!$AQ$2:$AQ$3001,1))</f>
        <v/>
      </c>
      <c r="T50">
        <f>IF($AD50="","",Settings!$C$7)</f>
        <v/>
      </c>
      <c r="U50" s="7">
        <f>IF($AD50="","",SUMIFS('Per Line'!$AB$2:$AB$3001,'Per Line'!$E$2:$E$3001,$B50,'Per Line'!$AP$2:$AP$3001,0,'Per Line'!$AQ$2:$AQ$3001,0))</f>
        <v/>
      </c>
      <c r="V50" s="7">
        <f>IF($AD50="","",U50*T50)</f>
        <v/>
      </c>
      <c r="W50">
        <f>IF($AD50="","",Settings!$C$6)</f>
        <v/>
      </c>
      <c r="X50" s="7">
        <f>IF($AD50="","",SUMIFS('Per Line'!$AB$2:$AB$3001,'Per Line'!$E$2:$E$3001,$B50,'Per Line'!$AP$2:$AP$3001,1,'Per Line'!$AQ$2:$AQ$3001,0))</f>
        <v/>
      </c>
      <c r="Y50" s="7">
        <f>IF($AD50="","",X50*W50)</f>
        <v/>
      </c>
      <c r="Z50" s="7">
        <f>IF($AD50="","",Y50+V50)</f>
        <v/>
      </c>
      <c r="AA50" s="7">
        <f>IF($AD50="","",AB50-Z50)</f>
        <v/>
      </c>
      <c r="AB50" s="7">
        <f>IF($AD50="","",U50+X50+S50)</f>
        <v/>
      </c>
      <c r="AC50" s="7">
        <f>IF($AD50="","",AB50-Z50-P50)</f>
        <v/>
      </c>
      <c r="AD50" s="13">
        <f>IF(ROWS($AD$2:$AD50)&lt;=MAX('Per Line'!$AO$2:$AO$3001),MATCH(ROWS($AD$2:$AD50),'Per Line'!$AO$2:$AO$3001,0),"")</f>
        <v/>
      </c>
      <c r="AE50" s="14">
        <f>IF($AD50="","",P50-O50*AB50/100)</f>
        <v/>
      </c>
    </row>
    <row r="51">
      <c r="A51" s="12" t="n"/>
      <c r="B51">
        <f>IF($AD51="","",INDEX('Per Line'!$E$2:$E$3001,$AD51)&amp;"")</f>
        <v/>
      </c>
      <c r="C51">
        <f>IF($AD51="","",INDEX('Per Line'!$A$2:$A$3001,$AD51)&amp;"")</f>
        <v/>
      </c>
      <c r="D51">
        <f>IF($AD51="","",INDEX('Per Line'!$C$2:$C$3001,$AD51)&amp;"")</f>
        <v/>
      </c>
      <c r="E51">
        <f>IF($AD51="","",INDEX('Per Line'!$B$2:$B$3001,$AD51))</f>
        <v/>
      </c>
      <c r="F51">
        <f>IF($AD51="","",INDEX('Per Line'!$D$2:$D$3001,$AD51)&amp;"")</f>
        <v/>
      </c>
      <c r="G51" s="11">
        <f>IF($AD51="","",INDEX('Per Line'!$G$2:$G$3001,$AD51))</f>
        <v/>
      </c>
      <c r="H51">
        <f>IF($AD51="","",INDEX('Per Line'!$J$2:$J$3001,$AD51)&amp;"")</f>
        <v/>
      </c>
      <c r="I51">
        <f>IF($AD51="","",INDEX('Per Line'!$H$2:$H$3001,$AD51)&amp;"")</f>
        <v/>
      </c>
      <c r="J51">
        <f>IF($AD51="","",INDEX('Per Line'!$F$2:$F$3001,$AD51)&amp;"")</f>
        <v/>
      </c>
      <c r="K51">
        <f>IF($AD51="","",INDEX('Per Line'!$K$2:$K$3001,$AD51)&amp;"")</f>
        <v/>
      </c>
      <c r="L51">
        <f>IF($AD51="","",INDEX('Per Line'!$L$2:$L$3001,$AD51)&amp;"")</f>
        <v/>
      </c>
      <c r="M51">
        <f>IF($AD51="","",INDEX('Per Line'!$M$2:$M$3001,$AD51)&amp;"")</f>
        <v/>
      </c>
      <c r="N51">
        <f>IF($AD51="","",INDEX('Per Line'!$AC$2:$AC$3001,$AD51)&amp;"")</f>
        <v/>
      </c>
      <c r="O51">
        <f>IF($AD51="","",INDEX('Per Line'!$P$2:$P$3001,$AD51))</f>
        <v/>
      </c>
      <c r="P51" s="7">
        <f>IF($AD51="","",IF(AND(ISNUMBER(Q51),Q51&gt;0,AB51&gt;Q51),O51*Q51/100+(AB51-Q51),O51*AB51/100))</f>
        <v/>
      </c>
      <c r="Q51">
        <f>IF($AD51="","",INDEX('Per Line'!$AG$2:$AG$3001,$AD51))</f>
        <v/>
      </c>
      <c r="R51">
        <f>IF($AD51="","",IF(AND(ISNUMBER(Q51),Q51&gt;0),AB51&gt;Q51,FALSE))</f>
        <v/>
      </c>
      <c r="S51" s="7">
        <f>IF($AD51="","",SUMIFS('Per Line'!$AB$2:$AB$3001,'Per Line'!$E$2:$E$3001,$B51,'Per Line'!$AQ$2:$AQ$3001,1))</f>
        <v/>
      </c>
      <c r="T51">
        <f>IF($AD51="","",Settings!$C$7)</f>
        <v/>
      </c>
      <c r="U51" s="7">
        <f>IF($AD51="","",SUMIFS('Per Line'!$AB$2:$AB$3001,'Per Line'!$E$2:$E$3001,$B51,'Per Line'!$AP$2:$AP$3001,0,'Per Line'!$AQ$2:$AQ$3001,0))</f>
        <v/>
      </c>
      <c r="V51" s="7">
        <f>IF($AD51="","",U51*T51)</f>
        <v/>
      </c>
      <c r="W51">
        <f>IF($AD51="","",Settings!$C$6)</f>
        <v/>
      </c>
      <c r="X51" s="7">
        <f>IF($AD51="","",SUMIFS('Per Line'!$AB$2:$AB$3001,'Per Line'!$E$2:$E$3001,$B51,'Per Line'!$AP$2:$AP$3001,1,'Per Line'!$AQ$2:$AQ$3001,0))</f>
        <v/>
      </c>
      <c r="Y51" s="7">
        <f>IF($AD51="","",X51*W51)</f>
        <v/>
      </c>
      <c r="Z51" s="7">
        <f>IF($AD51="","",Y51+V51)</f>
        <v/>
      </c>
      <c r="AA51" s="7">
        <f>IF($AD51="","",AB51-Z51)</f>
        <v/>
      </c>
      <c r="AB51" s="7">
        <f>IF($AD51="","",U51+X51+S51)</f>
        <v/>
      </c>
      <c r="AC51" s="7">
        <f>IF($AD51="","",AB51-Z51-P51)</f>
        <v/>
      </c>
      <c r="AD51" s="13">
        <f>IF(ROWS($AD$2:$AD51)&lt;=MAX('Per Line'!$AO$2:$AO$3001),MATCH(ROWS($AD$2:$AD51),'Per Line'!$AO$2:$AO$3001,0),"")</f>
        <v/>
      </c>
      <c r="AE51" s="14">
        <f>IF($AD51="","",P51-O51*AB51/100)</f>
        <v/>
      </c>
    </row>
    <row r="52">
      <c r="A52" s="12" t="n"/>
      <c r="B52">
        <f>IF($AD52="","",INDEX('Per Line'!$E$2:$E$3001,$AD52)&amp;"")</f>
        <v/>
      </c>
      <c r="C52">
        <f>IF($AD52="","",INDEX('Per Line'!$A$2:$A$3001,$AD52)&amp;"")</f>
        <v/>
      </c>
      <c r="D52">
        <f>IF($AD52="","",INDEX('Per Line'!$C$2:$C$3001,$AD52)&amp;"")</f>
        <v/>
      </c>
      <c r="E52">
        <f>IF($AD52="","",INDEX('Per Line'!$B$2:$B$3001,$AD52))</f>
        <v/>
      </c>
      <c r="F52">
        <f>IF($AD52="","",INDEX('Per Line'!$D$2:$D$3001,$AD52)&amp;"")</f>
        <v/>
      </c>
      <c r="G52" s="11">
        <f>IF($AD52="","",INDEX('Per Line'!$G$2:$G$3001,$AD52))</f>
        <v/>
      </c>
      <c r="H52">
        <f>IF($AD52="","",INDEX('Per Line'!$J$2:$J$3001,$AD52)&amp;"")</f>
        <v/>
      </c>
      <c r="I52">
        <f>IF($AD52="","",INDEX('Per Line'!$H$2:$H$3001,$AD52)&amp;"")</f>
        <v/>
      </c>
      <c r="J52">
        <f>IF($AD52="","",INDEX('Per Line'!$F$2:$F$3001,$AD52)&amp;"")</f>
        <v/>
      </c>
      <c r="K52">
        <f>IF($AD52="","",INDEX('Per Line'!$K$2:$K$3001,$AD52)&amp;"")</f>
        <v/>
      </c>
      <c r="L52">
        <f>IF($AD52="","",INDEX('Per Line'!$L$2:$L$3001,$AD52)&amp;"")</f>
        <v/>
      </c>
      <c r="M52">
        <f>IF($AD52="","",INDEX('Per Line'!$M$2:$M$3001,$AD52)&amp;"")</f>
        <v/>
      </c>
      <c r="N52">
        <f>IF($AD52="","",INDEX('Per Line'!$AC$2:$AC$3001,$AD52)&amp;"")</f>
        <v/>
      </c>
      <c r="O52">
        <f>IF($AD52="","",INDEX('Per Line'!$P$2:$P$3001,$AD52))</f>
        <v/>
      </c>
      <c r="P52" s="7">
        <f>IF($AD52="","",IF(AND(ISNUMBER(Q52),Q52&gt;0,AB52&gt;Q52),O52*Q52/100+(AB52-Q52),O52*AB52/100))</f>
        <v/>
      </c>
      <c r="Q52">
        <f>IF($AD52="","",INDEX('Per Line'!$AG$2:$AG$3001,$AD52))</f>
        <v/>
      </c>
      <c r="R52">
        <f>IF($AD52="","",IF(AND(ISNUMBER(Q52),Q52&gt;0),AB52&gt;Q52,FALSE))</f>
        <v/>
      </c>
      <c r="S52" s="7">
        <f>IF($AD52="","",SUMIFS('Per Line'!$AB$2:$AB$3001,'Per Line'!$E$2:$E$3001,$B52,'Per Line'!$AQ$2:$AQ$3001,1))</f>
        <v/>
      </c>
      <c r="T52">
        <f>IF($AD52="","",Settings!$C$7)</f>
        <v/>
      </c>
      <c r="U52" s="7">
        <f>IF($AD52="","",SUMIFS('Per Line'!$AB$2:$AB$3001,'Per Line'!$E$2:$E$3001,$B52,'Per Line'!$AP$2:$AP$3001,0,'Per Line'!$AQ$2:$AQ$3001,0))</f>
        <v/>
      </c>
      <c r="V52" s="7">
        <f>IF($AD52="","",U52*T52)</f>
        <v/>
      </c>
      <c r="W52">
        <f>IF($AD52="","",Settings!$C$6)</f>
        <v/>
      </c>
      <c r="X52" s="7">
        <f>IF($AD52="","",SUMIFS('Per Line'!$AB$2:$AB$3001,'Per Line'!$E$2:$E$3001,$B52,'Per Line'!$AP$2:$AP$3001,1,'Per Line'!$AQ$2:$AQ$3001,0))</f>
        <v/>
      </c>
      <c r="Y52" s="7">
        <f>IF($AD52="","",X52*W52)</f>
        <v/>
      </c>
      <c r="Z52" s="7">
        <f>IF($AD52="","",Y52+V52)</f>
        <v/>
      </c>
      <c r="AA52" s="7">
        <f>IF($AD52="","",AB52-Z52)</f>
        <v/>
      </c>
      <c r="AB52" s="7">
        <f>IF($AD52="","",U52+X52+S52)</f>
        <v/>
      </c>
      <c r="AC52" s="7">
        <f>IF($AD52="","",AB52-Z52-P52)</f>
        <v/>
      </c>
      <c r="AD52" s="13">
        <f>IF(ROWS($AD$2:$AD52)&lt;=MAX('Per Line'!$AO$2:$AO$3001),MATCH(ROWS($AD$2:$AD52),'Per Line'!$AO$2:$AO$3001,0),"")</f>
        <v/>
      </c>
      <c r="AE52" s="14">
        <f>IF($AD52="","",P52-O52*AB52/100)</f>
        <v/>
      </c>
    </row>
    <row r="53">
      <c r="A53" s="12" t="n"/>
      <c r="B53">
        <f>IF($AD53="","",INDEX('Per Line'!$E$2:$E$3001,$AD53)&amp;"")</f>
        <v/>
      </c>
      <c r="C53">
        <f>IF($AD53="","",INDEX('Per Line'!$A$2:$A$3001,$AD53)&amp;"")</f>
        <v/>
      </c>
      <c r="D53">
        <f>IF($AD53="","",INDEX('Per Line'!$C$2:$C$3001,$AD53)&amp;"")</f>
        <v/>
      </c>
      <c r="E53">
        <f>IF($AD53="","",INDEX('Per Line'!$B$2:$B$3001,$AD53))</f>
        <v/>
      </c>
      <c r="F53">
        <f>IF($AD53="","",INDEX('Per Line'!$D$2:$D$3001,$AD53)&amp;"")</f>
        <v/>
      </c>
      <c r="G53" s="11">
        <f>IF($AD53="","",INDEX('Per Line'!$G$2:$G$3001,$AD53))</f>
        <v/>
      </c>
      <c r="H53">
        <f>IF($AD53="","",INDEX('Per Line'!$J$2:$J$3001,$AD53)&amp;"")</f>
        <v/>
      </c>
      <c r="I53">
        <f>IF($AD53="","",INDEX('Per Line'!$H$2:$H$3001,$AD53)&amp;"")</f>
        <v/>
      </c>
      <c r="J53">
        <f>IF($AD53="","",INDEX('Per Line'!$F$2:$F$3001,$AD53)&amp;"")</f>
        <v/>
      </c>
      <c r="K53">
        <f>IF($AD53="","",INDEX('Per Line'!$K$2:$K$3001,$AD53)&amp;"")</f>
        <v/>
      </c>
      <c r="L53">
        <f>IF($AD53="","",INDEX('Per Line'!$L$2:$L$3001,$AD53)&amp;"")</f>
        <v/>
      </c>
      <c r="M53">
        <f>IF($AD53="","",INDEX('Per Line'!$M$2:$M$3001,$AD53)&amp;"")</f>
        <v/>
      </c>
      <c r="N53">
        <f>IF($AD53="","",INDEX('Per Line'!$AC$2:$AC$3001,$AD53)&amp;"")</f>
        <v/>
      </c>
      <c r="O53">
        <f>IF($AD53="","",INDEX('Per Line'!$P$2:$P$3001,$AD53))</f>
        <v/>
      </c>
      <c r="P53" s="7">
        <f>IF($AD53="","",IF(AND(ISNUMBER(Q53),Q53&gt;0,AB53&gt;Q53),O53*Q53/100+(AB53-Q53),O53*AB53/100))</f>
        <v/>
      </c>
      <c r="Q53">
        <f>IF($AD53="","",INDEX('Per Line'!$AG$2:$AG$3001,$AD53))</f>
        <v/>
      </c>
      <c r="R53">
        <f>IF($AD53="","",IF(AND(ISNUMBER(Q53),Q53&gt;0),AB53&gt;Q53,FALSE))</f>
        <v/>
      </c>
      <c r="S53" s="7">
        <f>IF($AD53="","",SUMIFS('Per Line'!$AB$2:$AB$3001,'Per Line'!$E$2:$E$3001,$B53,'Per Line'!$AQ$2:$AQ$3001,1))</f>
        <v/>
      </c>
      <c r="T53">
        <f>IF($AD53="","",Settings!$C$7)</f>
        <v/>
      </c>
      <c r="U53" s="7">
        <f>IF($AD53="","",SUMIFS('Per Line'!$AB$2:$AB$3001,'Per Line'!$E$2:$E$3001,$B53,'Per Line'!$AP$2:$AP$3001,0,'Per Line'!$AQ$2:$AQ$3001,0))</f>
        <v/>
      </c>
      <c r="V53" s="7">
        <f>IF($AD53="","",U53*T53)</f>
        <v/>
      </c>
      <c r="W53">
        <f>IF($AD53="","",Settings!$C$6)</f>
        <v/>
      </c>
      <c r="X53" s="7">
        <f>IF($AD53="","",SUMIFS('Per Line'!$AB$2:$AB$3001,'Per Line'!$E$2:$E$3001,$B53,'Per Line'!$AP$2:$AP$3001,1,'Per Line'!$AQ$2:$AQ$3001,0))</f>
        <v/>
      </c>
      <c r="Y53" s="7">
        <f>IF($AD53="","",X53*W53)</f>
        <v/>
      </c>
      <c r="Z53" s="7">
        <f>IF($AD53="","",Y53+V53)</f>
        <v/>
      </c>
      <c r="AA53" s="7">
        <f>IF($AD53="","",AB53-Z53)</f>
        <v/>
      </c>
      <c r="AB53" s="7">
        <f>IF($AD53="","",U53+X53+S53)</f>
        <v/>
      </c>
      <c r="AC53" s="7">
        <f>IF($AD53="","",AB53-Z53-P53)</f>
        <v/>
      </c>
      <c r="AD53" s="13">
        <f>IF(ROWS($AD$2:$AD53)&lt;=MAX('Per Line'!$AO$2:$AO$3001),MATCH(ROWS($AD$2:$AD53),'Per Line'!$AO$2:$AO$3001,0),"")</f>
        <v/>
      </c>
      <c r="AE53" s="14">
        <f>IF($AD53="","",P53-O53*AB53/100)</f>
        <v/>
      </c>
    </row>
    <row r="54">
      <c r="A54" s="12" t="n"/>
      <c r="B54">
        <f>IF($AD54="","",INDEX('Per Line'!$E$2:$E$3001,$AD54)&amp;"")</f>
        <v/>
      </c>
      <c r="C54">
        <f>IF($AD54="","",INDEX('Per Line'!$A$2:$A$3001,$AD54)&amp;"")</f>
        <v/>
      </c>
      <c r="D54">
        <f>IF($AD54="","",INDEX('Per Line'!$C$2:$C$3001,$AD54)&amp;"")</f>
        <v/>
      </c>
      <c r="E54">
        <f>IF($AD54="","",INDEX('Per Line'!$B$2:$B$3001,$AD54))</f>
        <v/>
      </c>
      <c r="F54">
        <f>IF($AD54="","",INDEX('Per Line'!$D$2:$D$3001,$AD54)&amp;"")</f>
        <v/>
      </c>
      <c r="G54" s="11">
        <f>IF($AD54="","",INDEX('Per Line'!$G$2:$G$3001,$AD54))</f>
        <v/>
      </c>
      <c r="H54">
        <f>IF($AD54="","",INDEX('Per Line'!$J$2:$J$3001,$AD54)&amp;"")</f>
        <v/>
      </c>
      <c r="I54">
        <f>IF($AD54="","",INDEX('Per Line'!$H$2:$H$3001,$AD54)&amp;"")</f>
        <v/>
      </c>
      <c r="J54">
        <f>IF($AD54="","",INDEX('Per Line'!$F$2:$F$3001,$AD54)&amp;"")</f>
        <v/>
      </c>
      <c r="K54">
        <f>IF($AD54="","",INDEX('Per Line'!$K$2:$K$3001,$AD54)&amp;"")</f>
        <v/>
      </c>
      <c r="L54">
        <f>IF($AD54="","",INDEX('Per Line'!$L$2:$L$3001,$AD54)&amp;"")</f>
        <v/>
      </c>
      <c r="M54">
        <f>IF($AD54="","",INDEX('Per Line'!$M$2:$M$3001,$AD54)&amp;"")</f>
        <v/>
      </c>
      <c r="N54">
        <f>IF($AD54="","",INDEX('Per Line'!$AC$2:$AC$3001,$AD54)&amp;"")</f>
        <v/>
      </c>
      <c r="O54">
        <f>IF($AD54="","",INDEX('Per Line'!$P$2:$P$3001,$AD54))</f>
        <v/>
      </c>
      <c r="P54" s="7">
        <f>IF($AD54="","",IF(AND(ISNUMBER(Q54),Q54&gt;0,AB54&gt;Q54),O54*Q54/100+(AB54-Q54),O54*AB54/100))</f>
        <v/>
      </c>
      <c r="Q54">
        <f>IF($AD54="","",INDEX('Per Line'!$AG$2:$AG$3001,$AD54))</f>
        <v/>
      </c>
      <c r="R54">
        <f>IF($AD54="","",IF(AND(ISNUMBER(Q54),Q54&gt;0),AB54&gt;Q54,FALSE))</f>
        <v/>
      </c>
      <c r="S54" s="7">
        <f>IF($AD54="","",SUMIFS('Per Line'!$AB$2:$AB$3001,'Per Line'!$E$2:$E$3001,$B54,'Per Line'!$AQ$2:$AQ$3001,1))</f>
        <v/>
      </c>
      <c r="T54">
        <f>IF($AD54="","",Settings!$C$7)</f>
        <v/>
      </c>
      <c r="U54" s="7">
        <f>IF($AD54="","",SUMIFS('Per Line'!$AB$2:$AB$3001,'Per Line'!$E$2:$E$3001,$B54,'Per Line'!$AP$2:$AP$3001,0,'Per Line'!$AQ$2:$AQ$3001,0))</f>
        <v/>
      </c>
      <c r="V54" s="7">
        <f>IF($AD54="","",U54*T54)</f>
        <v/>
      </c>
      <c r="W54">
        <f>IF($AD54="","",Settings!$C$6)</f>
        <v/>
      </c>
      <c r="X54" s="7">
        <f>IF($AD54="","",SUMIFS('Per Line'!$AB$2:$AB$3001,'Per Line'!$E$2:$E$3001,$B54,'Per Line'!$AP$2:$AP$3001,1,'Per Line'!$AQ$2:$AQ$3001,0))</f>
        <v/>
      </c>
      <c r="Y54" s="7">
        <f>IF($AD54="","",X54*W54)</f>
        <v/>
      </c>
      <c r="Z54" s="7">
        <f>IF($AD54="","",Y54+V54)</f>
        <v/>
      </c>
      <c r="AA54" s="7">
        <f>IF($AD54="","",AB54-Z54)</f>
        <v/>
      </c>
      <c r="AB54" s="7">
        <f>IF($AD54="","",U54+X54+S54)</f>
        <v/>
      </c>
      <c r="AC54" s="7">
        <f>IF($AD54="","",AB54-Z54-P54)</f>
        <v/>
      </c>
      <c r="AD54" s="13">
        <f>IF(ROWS($AD$2:$AD54)&lt;=MAX('Per Line'!$AO$2:$AO$3001),MATCH(ROWS($AD$2:$AD54),'Per Line'!$AO$2:$AO$3001,0),"")</f>
        <v/>
      </c>
      <c r="AE54" s="14">
        <f>IF($AD54="","",P54-O54*AB54/100)</f>
        <v/>
      </c>
    </row>
    <row r="55">
      <c r="A55" s="12" t="n"/>
      <c r="B55">
        <f>IF($AD55="","",INDEX('Per Line'!$E$2:$E$3001,$AD55)&amp;"")</f>
        <v/>
      </c>
      <c r="C55">
        <f>IF($AD55="","",INDEX('Per Line'!$A$2:$A$3001,$AD55)&amp;"")</f>
        <v/>
      </c>
      <c r="D55">
        <f>IF($AD55="","",INDEX('Per Line'!$C$2:$C$3001,$AD55)&amp;"")</f>
        <v/>
      </c>
      <c r="E55">
        <f>IF($AD55="","",INDEX('Per Line'!$B$2:$B$3001,$AD55))</f>
        <v/>
      </c>
      <c r="F55">
        <f>IF($AD55="","",INDEX('Per Line'!$D$2:$D$3001,$AD55)&amp;"")</f>
        <v/>
      </c>
      <c r="G55" s="11">
        <f>IF($AD55="","",INDEX('Per Line'!$G$2:$G$3001,$AD55))</f>
        <v/>
      </c>
      <c r="H55">
        <f>IF($AD55="","",INDEX('Per Line'!$J$2:$J$3001,$AD55)&amp;"")</f>
        <v/>
      </c>
      <c r="I55">
        <f>IF($AD55="","",INDEX('Per Line'!$H$2:$H$3001,$AD55)&amp;"")</f>
        <v/>
      </c>
      <c r="J55">
        <f>IF($AD55="","",INDEX('Per Line'!$F$2:$F$3001,$AD55)&amp;"")</f>
        <v/>
      </c>
      <c r="K55">
        <f>IF($AD55="","",INDEX('Per Line'!$K$2:$K$3001,$AD55)&amp;"")</f>
        <v/>
      </c>
      <c r="L55">
        <f>IF($AD55="","",INDEX('Per Line'!$L$2:$L$3001,$AD55)&amp;"")</f>
        <v/>
      </c>
      <c r="M55">
        <f>IF($AD55="","",INDEX('Per Line'!$M$2:$M$3001,$AD55)&amp;"")</f>
        <v/>
      </c>
      <c r="N55">
        <f>IF($AD55="","",INDEX('Per Line'!$AC$2:$AC$3001,$AD55)&amp;"")</f>
        <v/>
      </c>
      <c r="O55">
        <f>IF($AD55="","",INDEX('Per Line'!$P$2:$P$3001,$AD55))</f>
        <v/>
      </c>
      <c r="P55" s="7">
        <f>IF($AD55="","",IF(AND(ISNUMBER(Q55),Q55&gt;0,AB55&gt;Q55),O55*Q55/100+(AB55-Q55),O55*AB55/100))</f>
        <v/>
      </c>
      <c r="Q55">
        <f>IF($AD55="","",INDEX('Per Line'!$AG$2:$AG$3001,$AD55))</f>
        <v/>
      </c>
      <c r="R55">
        <f>IF($AD55="","",IF(AND(ISNUMBER(Q55),Q55&gt;0),AB55&gt;Q55,FALSE))</f>
        <v/>
      </c>
      <c r="S55" s="7">
        <f>IF($AD55="","",SUMIFS('Per Line'!$AB$2:$AB$3001,'Per Line'!$E$2:$E$3001,$B55,'Per Line'!$AQ$2:$AQ$3001,1))</f>
        <v/>
      </c>
      <c r="T55">
        <f>IF($AD55="","",Settings!$C$7)</f>
        <v/>
      </c>
      <c r="U55" s="7">
        <f>IF($AD55="","",SUMIFS('Per Line'!$AB$2:$AB$3001,'Per Line'!$E$2:$E$3001,$B55,'Per Line'!$AP$2:$AP$3001,0,'Per Line'!$AQ$2:$AQ$3001,0))</f>
        <v/>
      </c>
      <c r="V55" s="7">
        <f>IF($AD55="","",U55*T55)</f>
        <v/>
      </c>
      <c r="W55">
        <f>IF($AD55="","",Settings!$C$6)</f>
        <v/>
      </c>
      <c r="X55" s="7">
        <f>IF($AD55="","",SUMIFS('Per Line'!$AB$2:$AB$3001,'Per Line'!$E$2:$E$3001,$B55,'Per Line'!$AP$2:$AP$3001,1,'Per Line'!$AQ$2:$AQ$3001,0))</f>
        <v/>
      </c>
      <c r="Y55" s="7">
        <f>IF($AD55="","",X55*W55)</f>
        <v/>
      </c>
      <c r="Z55" s="7">
        <f>IF($AD55="","",Y55+V55)</f>
        <v/>
      </c>
      <c r="AA55" s="7">
        <f>IF($AD55="","",AB55-Z55)</f>
        <v/>
      </c>
      <c r="AB55" s="7">
        <f>IF($AD55="","",U55+X55+S55)</f>
        <v/>
      </c>
      <c r="AC55" s="7">
        <f>IF($AD55="","",AB55-Z55-P55)</f>
        <v/>
      </c>
      <c r="AD55" s="13">
        <f>IF(ROWS($AD$2:$AD55)&lt;=MAX('Per Line'!$AO$2:$AO$3001),MATCH(ROWS($AD$2:$AD55),'Per Line'!$AO$2:$AO$3001,0),"")</f>
        <v/>
      </c>
      <c r="AE55" s="14">
        <f>IF($AD55="","",P55-O55*AB55/100)</f>
        <v/>
      </c>
    </row>
    <row r="56">
      <c r="A56" s="12" t="n"/>
      <c r="B56">
        <f>IF($AD56="","",INDEX('Per Line'!$E$2:$E$3001,$AD56)&amp;"")</f>
        <v/>
      </c>
      <c r="C56">
        <f>IF($AD56="","",INDEX('Per Line'!$A$2:$A$3001,$AD56)&amp;"")</f>
        <v/>
      </c>
      <c r="D56">
        <f>IF($AD56="","",INDEX('Per Line'!$C$2:$C$3001,$AD56)&amp;"")</f>
        <v/>
      </c>
      <c r="E56">
        <f>IF($AD56="","",INDEX('Per Line'!$B$2:$B$3001,$AD56))</f>
        <v/>
      </c>
      <c r="F56">
        <f>IF($AD56="","",INDEX('Per Line'!$D$2:$D$3001,$AD56)&amp;"")</f>
        <v/>
      </c>
      <c r="G56" s="11">
        <f>IF($AD56="","",INDEX('Per Line'!$G$2:$G$3001,$AD56))</f>
        <v/>
      </c>
      <c r="H56">
        <f>IF($AD56="","",INDEX('Per Line'!$J$2:$J$3001,$AD56)&amp;"")</f>
        <v/>
      </c>
      <c r="I56">
        <f>IF($AD56="","",INDEX('Per Line'!$H$2:$H$3001,$AD56)&amp;"")</f>
        <v/>
      </c>
      <c r="J56">
        <f>IF($AD56="","",INDEX('Per Line'!$F$2:$F$3001,$AD56)&amp;"")</f>
        <v/>
      </c>
      <c r="K56">
        <f>IF($AD56="","",INDEX('Per Line'!$K$2:$K$3001,$AD56)&amp;"")</f>
        <v/>
      </c>
      <c r="L56">
        <f>IF($AD56="","",INDEX('Per Line'!$L$2:$L$3001,$AD56)&amp;"")</f>
        <v/>
      </c>
      <c r="M56">
        <f>IF($AD56="","",INDEX('Per Line'!$M$2:$M$3001,$AD56)&amp;"")</f>
        <v/>
      </c>
      <c r="N56">
        <f>IF($AD56="","",INDEX('Per Line'!$AC$2:$AC$3001,$AD56)&amp;"")</f>
        <v/>
      </c>
      <c r="O56">
        <f>IF($AD56="","",INDEX('Per Line'!$P$2:$P$3001,$AD56))</f>
        <v/>
      </c>
      <c r="P56" s="7">
        <f>IF($AD56="","",IF(AND(ISNUMBER(Q56),Q56&gt;0,AB56&gt;Q56),O56*Q56/100+(AB56-Q56),O56*AB56/100))</f>
        <v/>
      </c>
      <c r="Q56">
        <f>IF($AD56="","",INDEX('Per Line'!$AG$2:$AG$3001,$AD56))</f>
        <v/>
      </c>
      <c r="R56">
        <f>IF($AD56="","",IF(AND(ISNUMBER(Q56),Q56&gt;0),AB56&gt;Q56,FALSE))</f>
        <v/>
      </c>
      <c r="S56" s="7">
        <f>IF($AD56="","",SUMIFS('Per Line'!$AB$2:$AB$3001,'Per Line'!$E$2:$E$3001,$B56,'Per Line'!$AQ$2:$AQ$3001,1))</f>
        <v/>
      </c>
      <c r="T56">
        <f>IF($AD56="","",Settings!$C$7)</f>
        <v/>
      </c>
      <c r="U56" s="7">
        <f>IF($AD56="","",SUMIFS('Per Line'!$AB$2:$AB$3001,'Per Line'!$E$2:$E$3001,$B56,'Per Line'!$AP$2:$AP$3001,0,'Per Line'!$AQ$2:$AQ$3001,0))</f>
        <v/>
      </c>
      <c r="V56" s="7">
        <f>IF($AD56="","",U56*T56)</f>
        <v/>
      </c>
      <c r="W56">
        <f>IF($AD56="","",Settings!$C$6)</f>
        <v/>
      </c>
      <c r="X56" s="7">
        <f>IF($AD56="","",SUMIFS('Per Line'!$AB$2:$AB$3001,'Per Line'!$E$2:$E$3001,$B56,'Per Line'!$AP$2:$AP$3001,1,'Per Line'!$AQ$2:$AQ$3001,0))</f>
        <v/>
      </c>
      <c r="Y56" s="7">
        <f>IF($AD56="","",X56*W56)</f>
        <v/>
      </c>
      <c r="Z56" s="7">
        <f>IF($AD56="","",Y56+V56)</f>
        <v/>
      </c>
      <c r="AA56" s="7">
        <f>IF($AD56="","",AB56-Z56)</f>
        <v/>
      </c>
      <c r="AB56" s="7">
        <f>IF($AD56="","",U56+X56+S56)</f>
        <v/>
      </c>
      <c r="AC56" s="7">
        <f>IF($AD56="","",AB56-Z56-P56)</f>
        <v/>
      </c>
      <c r="AD56" s="13">
        <f>IF(ROWS($AD$2:$AD56)&lt;=MAX('Per Line'!$AO$2:$AO$3001),MATCH(ROWS($AD$2:$AD56),'Per Line'!$AO$2:$AO$3001,0),"")</f>
        <v/>
      </c>
      <c r="AE56" s="14">
        <f>IF($AD56="","",P56-O56*AB56/100)</f>
        <v/>
      </c>
    </row>
    <row r="57">
      <c r="A57" s="12" t="n"/>
      <c r="B57">
        <f>IF($AD57="","",INDEX('Per Line'!$E$2:$E$3001,$AD57)&amp;"")</f>
        <v/>
      </c>
      <c r="C57">
        <f>IF($AD57="","",INDEX('Per Line'!$A$2:$A$3001,$AD57)&amp;"")</f>
        <v/>
      </c>
      <c r="D57">
        <f>IF($AD57="","",INDEX('Per Line'!$C$2:$C$3001,$AD57)&amp;"")</f>
        <v/>
      </c>
      <c r="E57">
        <f>IF($AD57="","",INDEX('Per Line'!$B$2:$B$3001,$AD57))</f>
        <v/>
      </c>
      <c r="F57">
        <f>IF($AD57="","",INDEX('Per Line'!$D$2:$D$3001,$AD57)&amp;"")</f>
        <v/>
      </c>
      <c r="G57" s="11">
        <f>IF($AD57="","",INDEX('Per Line'!$G$2:$G$3001,$AD57))</f>
        <v/>
      </c>
      <c r="H57">
        <f>IF($AD57="","",INDEX('Per Line'!$J$2:$J$3001,$AD57)&amp;"")</f>
        <v/>
      </c>
      <c r="I57">
        <f>IF($AD57="","",INDEX('Per Line'!$H$2:$H$3001,$AD57)&amp;"")</f>
        <v/>
      </c>
      <c r="J57">
        <f>IF($AD57="","",INDEX('Per Line'!$F$2:$F$3001,$AD57)&amp;"")</f>
        <v/>
      </c>
      <c r="K57">
        <f>IF($AD57="","",INDEX('Per Line'!$K$2:$K$3001,$AD57)&amp;"")</f>
        <v/>
      </c>
      <c r="L57">
        <f>IF($AD57="","",INDEX('Per Line'!$L$2:$L$3001,$AD57)&amp;"")</f>
        <v/>
      </c>
      <c r="M57">
        <f>IF($AD57="","",INDEX('Per Line'!$M$2:$M$3001,$AD57)&amp;"")</f>
        <v/>
      </c>
      <c r="N57">
        <f>IF($AD57="","",INDEX('Per Line'!$AC$2:$AC$3001,$AD57)&amp;"")</f>
        <v/>
      </c>
      <c r="O57">
        <f>IF($AD57="","",INDEX('Per Line'!$P$2:$P$3001,$AD57))</f>
        <v/>
      </c>
      <c r="P57" s="7">
        <f>IF($AD57="","",IF(AND(ISNUMBER(Q57),Q57&gt;0,AB57&gt;Q57),O57*Q57/100+(AB57-Q57),O57*AB57/100))</f>
        <v/>
      </c>
      <c r="Q57">
        <f>IF($AD57="","",INDEX('Per Line'!$AG$2:$AG$3001,$AD57))</f>
        <v/>
      </c>
      <c r="R57">
        <f>IF($AD57="","",IF(AND(ISNUMBER(Q57),Q57&gt;0),AB57&gt;Q57,FALSE))</f>
        <v/>
      </c>
      <c r="S57" s="7">
        <f>IF($AD57="","",SUMIFS('Per Line'!$AB$2:$AB$3001,'Per Line'!$E$2:$E$3001,$B57,'Per Line'!$AQ$2:$AQ$3001,1))</f>
        <v/>
      </c>
      <c r="T57">
        <f>IF($AD57="","",Settings!$C$7)</f>
        <v/>
      </c>
      <c r="U57" s="7">
        <f>IF($AD57="","",SUMIFS('Per Line'!$AB$2:$AB$3001,'Per Line'!$E$2:$E$3001,$B57,'Per Line'!$AP$2:$AP$3001,0,'Per Line'!$AQ$2:$AQ$3001,0))</f>
        <v/>
      </c>
      <c r="V57" s="7">
        <f>IF($AD57="","",U57*T57)</f>
        <v/>
      </c>
      <c r="W57">
        <f>IF($AD57="","",Settings!$C$6)</f>
        <v/>
      </c>
      <c r="X57" s="7">
        <f>IF($AD57="","",SUMIFS('Per Line'!$AB$2:$AB$3001,'Per Line'!$E$2:$E$3001,$B57,'Per Line'!$AP$2:$AP$3001,1,'Per Line'!$AQ$2:$AQ$3001,0))</f>
        <v/>
      </c>
      <c r="Y57" s="7">
        <f>IF($AD57="","",X57*W57)</f>
        <v/>
      </c>
      <c r="Z57" s="7">
        <f>IF($AD57="","",Y57+V57)</f>
        <v/>
      </c>
      <c r="AA57" s="7">
        <f>IF($AD57="","",AB57-Z57)</f>
        <v/>
      </c>
      <c r="AB57" s="7">
        <f>IF($AD57="","",U57+X57+S57)</f>
        <v/>
      </c>
      <c r="AC57" s="7">
        <f>IF($AD57="","",AB57-Z57-P57)</f>
        <v/>
      </c>
      <c r="AD57" s="13">
        <f>IF(ROWS($AD$2:$AD57)&lt;=MAX('Per Line'!$AO$2:$AO$3001),MATCH(ROWS($AD$2:$AD57),'Per Line'!$AO$2:$AO$3001,0),"")</f>
        <v/>
      </c>
      <c r="AE57" s="14">
        <f>IF($AD57="","",P57-O57*AB57/100)</f>
        <v/>
      </c>
    </row>
    <row r="58">
      <c r="A58" s="12" t="n"/>
      <c r="B58">
        <f>IF($AD58="","",INDEX('Per Line'!$E$2:$E$3001,$AD58)&amp;"")</f>
        <v/>
      </c>
      <c r="C58">
        <f>IF($AD58="","",INDEX('Per Line'!$A$2:$A$3001,$AD58)&amp;"")</f>
        <v/>
      </c>
      <c r="D58">
        <f>IF($AD58="","",INDEX('Per Line'!$C$2:$C$3001,$AD58)&amp;"")</f>
        <v/>
      </c>
      <c r="E58">
        <f>IF($AD58="","",INDEX('Per Line'!$B$2:$B$3001,$AD58))</f>
        <v/>
      </c>
      <c r="F58">
        <f>IF($AD58="","",INDEX('Per Line'!$D$2:$D$3001,$AD58)&amp;"")</f>
        <v/>
      </c>
      <c r="G58" s="11">
        <f>IF($AD58="","",INDEX('Per Line'!$G$2:$G$3001,$AD58))</f>
        <v/>
      </c>
      <c r="H58">
        <f>IF($AD58="","",INDEX('Per Line'!$J$2:$J$3001,$AD58)&amp;"")</f>
        <v/>
      </c>
      <c r="I58">
        <f>IF($AD58="","",INDEX('Per Line'!$H$2:$H$3001,$AD58)&amp;"")</f>
        <v/>
      </c>
      <c r="J58">
        <f>IF($AD58="","",INDEX('Per Line'!$F$2:$F$3001,$AD58)&amp;"")</f>
        <v/>
      </c>
      <c r="K58">
        <f>IF($AD58="","",INDEX('Per Line'!$K$2:$K$3001,$AD58)&amp;"")</f>
        <v/>
      </c>
      <c r="L58">
        <f>IF($AD58="","",INDEX('Per Line'!$L$2:$L$3001,$AD58)&amp;"")</f>
        <v/>
      </c>
      <c r="M58">
        <f>IF($AD58="","",INDEX('Per Line'!$M$2:$M$3001,$AD58)&amp;"")</f>
        <v/>
      </c>
      <c r="N58">
        <f>IF($AD58="","",INDEX('Per Line'!$AC$2:$AC$3001,$AD58)&amp;"")</f>
        <v/>
      </c>
      <c r="O58">
        <f>IF($AD58="","",INDEX('Per Line'!$P$2:$P$3001,$AD58))</f>
        <v/>
      </c>
      <c r="P58" s="7">
        <f>IF($AD58="","",IF(AND(ISNUMBER(Q58),Q58&gt;0,AB58&gt;Q58),O58*Q58/100+(AB58-Q58),O58*AB58/100))</f>
        <v/>
      </c>
      <c r="Q58">
        <f>IF($AD58="","",INDEX('Per Line'!$AG$2:$AG$3001,$AD58))</f>
        <v/>
      </c>
      <c r="R58">
        <f>IF($AD58="","",IF(AND(ISNUMBER(Q58),Q58&gt;0),AB58&gt;Q58,FALSE))</f>
        <v/>
      </c>
      <c r="S58" s="7">
        <f>IF($AD58="","",SUMIFS('Per Line'!$AB$2:$AB$3001,'Per Line'!$E$2:$E$3001,$B58,'Per Line'!$AQ$2:$AQ$3001,1))</f>
        <v/>
      </c>
      <c r="T58">
        <f>IF($AD58="","",Settings!$C$7)</f>
        <v/>
      </c>
      <c r="U58" s="7">
        <f>IF($AD58="","",SUMIFS('Per Line'!$AB$2:$AB$3001,'Per Line'!$E$2:$E$3001,$B58,'Per Line'!$AP$2:$AP$3001,0,'Per Line'!$AQ$2:$AQ$3001,0))</f>
        <v/>
      </c>
      <c r="V58" s="7">
        <f>IF($AD58="","",U58*T58)</f>
        <v/>
      </c>
      <c r="W58">
        <f>IF($AD58="","",Settings!$C$6)</f>
        <v/>
      </c>
      <c r="X58" s="7">
        <f>IF($AD58="","",SUMIFS('Per Line'!$AB$2:$AB$3001,'Per Line'!$E$2:$E$3001,$B58,'Per Line'!$AP$2:$AP$3001,1,'Per Line'!$AQ$2:$AQ$3001,0))</f>
        <v/>
      </c>
      <c r="Y58" s="7">
        <f>IF($AD58="","",X58*W58)</f>
        <v/>
      </c>
      <c r="Z58" s="7">
        <f>IF($AD58="","",Y58+V58)</f>
        <v/>
      </c>
      <c r="AA58" s="7">
        <f>IF($AD58="","",AB58-Z58)</f>
        <v/>
      </c>
      <c r="AB58" s="7">
        <f>IF($AD58="","",U58+X58+S58)</f>
        <v/>
      </c>
      <c r="AC58" s="7">
        <f>IF($AD58="","",AB58-Z58-P58)</f>
        <v/>
      </c>
      <c r="AD58" s="13">
        <f>IF(ROWS($AD$2:$AD58)&lt;=MAX('Per Line'!$AO$2:$AO$3001),MATCH(ROWS($AD$2:$AD58),'Per Line'!$AO$2:$AO$3001,0),"")</f>
        <v/>
      </c>
      <c r="AE58" s="14">
        <f>IF($AD58="","",P58-O58*AB58/100)</f>
        <v/>
      </c>
    </row>
    <row r="59">
      <c r="A59" s="12" t="n"/>
      <c r="B59">
        <f>IF($AD59="","",INDEX('Per Line'!$E$2:$E$3001,$AD59)&amp;"")</f>
        <v/>
      </c>
      <c r="C59">
        <f>IF($AD59="","",INDEX('Per Line'!$A$2:$A$3001,$AD59)&amp;"")</f>
        <v/>
      </c>
      <c r="D59">
        <f>IF($AD59="","",INDEX('Per Line'!$C$2:$C$3001,$AD59)&amp;"")</f>
        <v/>
      </c>
      <c r="E59">
        <f>IF($AD59="","",INDEX('Per Line'!$B$2:$B$3001,$AD59))</f>
        <v/>
      </c>
      <c r="F59">
        <f>IF($AD59="","",INDEX('Per Line'!$D$2:$D$3001,$AD59)&amp;"")</f>
        <v/>
      </c>
      <c r="G59" s="11">
        <f>IF($AD59="","",INDEX('Per Line'!$G$2:$G$3001,$AD59))</f>
        <v/>
      </c>
      <c r="H59">
        <f>IF($AD59="","",INDEX('Per Line'!$J$2:$J$3001,$AD59)&amp;"")</f>
        <v/>
      </c>
      <c r="I59">
        <f>IF($AD59="","",INDEX('Per Line'!$H$2:$H$3001,$AD59)&amp;"")</f>
        <v/>
      </c>
      <c r="J59">
        <f>IF($AD59="","",INDEX('Per Line'!$F$2:$F$3001,$AD59)&amp;"")</f>
        <v/>
      </c>
      <c r="K59">
        <f>IF($AD59="","",INDEX('Per Line'!$K$2:$K$3001,$AD59)&amp;"")</f>
        <v/>
      </c>
      <c r="L59">
        <f>IF($AD59="","",INDEX('Per Line'!$L$2:$L$3001,$AD59)&amp;"")</f>
        <v/>
      </c>
      <c r="M59">
        <f>IF($AD59="","",INDEX('Per Line'!$M$2:$M$3001,$AD59)&amp;"")</f>
        <v/>
      </c>
      <c r="N59">
        <f>IF($AD59="","",INDEX('Per Line'!$AC$2:$AC$3001,$AD59)&amp;"")</f>
        <v/>
      </c>
      <c r="O59">
        <f>IF($AD59="","",INDEX('Per Line'!$P$2:$P$3001,$AD59))</f>
        <v/>
      </c>
      <c r="P59" s="7">
        <f>IF($AD59="","",IF(AND(ISNUMBER(Q59),Q59&gt;0,AB59&gt;Q59),O59*Q59/100+(AB59-Q59),O59*AB59/100))</f>
        <v/>
      </c>
      <c r="Q59">
        <f>IF($AD59="","",INDEX('Per Line'!$AG$2:$AG$3001,$AD59))</f>
        <v/>
      </c>
      <c r="R59">
        <f>IF($AD59="","",IF(AND(ISNUMBER(Q59),Q59&gt;0),AB59&gt;Q59,FALSE))</f>
        <v/>
      </c>
      <c r="S59" s="7">
        <f>IF($AD59="","",SUMIFS('Per Line'!$AB$2:$AB$3001,'Per Line'!$E$2:$E$3001,$B59,'Per Line'!$AQ$2:$AQ$3001,1))</f>
        <v/>
      </c>
      <c r="T59">
        <f>IF($AD59="","",Settings!$C$7)</f>
        <v/>
      </c>
      <c r="U59" s="7">
        <f>IF($AD59="","",SUMIFS('Per Line'!$AB$2:$AB$3001,'Per Line'!$E$2:$E$3001,$B59,'Per Line'!$AP$2:$AP$3001,0,'Per Line'!$AQ$2:$AQ$3001,0))</f>
        <v/>
      </c>
      <c r="V59" s="7">
        <f>IF($AD59="","",U59*T59)</f>
        <v/>
      </c>
      <c r="W59">
        <f>IF($AD59="","",Settings!$C$6)</f>
        <v/>
      </c>
      <c r="X59" s="7">
        <f>IF($AD59="","",SUMIFS('Per Line'!$AB$2:$AB$3001,'Per Line'!$E$2:$E$3001,$B59,'Per Line'!$AP$2:$AP$3001,1,'Per Line'!$AQ$2:$AQ$3001,0))</f>
        <v/>
      </c>
      <c r="Y59" s="7">
        <f>IF($AD59="","",X59*W59)</f>
        <v/>
      </c>
      <c r="Z59" s="7">
        <f>IF($AD59="","",Y59+V59)</f>
        <v/>
      </c>
      <c r="AA59" s="7">
        <f>IF($AD59="","",AB59-Z59)</f>
        <v/>
      </c>
      <c r="AB59" s="7">
        <f>IF($AD59="","",U59+X59+S59)</f>
        <v/>
      </c>
      <c r="AC59" s="7">
        <f>IF($AD59="","",AB59-Z59-P59)</f>
        <v/>
      </c>
      <c r="AD59" s="13">
        <f>IF(ROWS($AD$2:$AD59)&lt;=MAX('Per Line'!$AO$2:$AO$3001),MATCH(ROWS($AD$2:$AD59),'Per Line'!$AO$2:$AO$3001,0),"")</f>
        <v/>
      </c>
      <c r="AE59" s="14">
        <f>IF($AD59="","",P59-O59*AB59/100)</f>
        <v/>
      </c>
    </row>
    <row r="60">
      <c r="A60" s="12" t="n"/>
      <c r="B60">
        <f>IF($AD60="","",INDEX('Per Line'!$E$2:$E$3001,$AD60)&amp;"")</f>
        <v/>
      </c>
      <c r="C60">
        <f>IF($AD60="","",INDEX('Per Line'!$A$2:$A$3001,$AD60)&amp;"")</f>
        <v/>
      </c>
      <c r="D60">
        <f>IF($AD60="","",INDEX('Per Line'!$C$2:$C$3001,$AD60)&amp;"")</f>
        <v/>
      </c>
      <c r="E60">
        <f>IF($AD60="","",INDEX('Per Line'!$B$2:$B$3001,$AD60))</f>
        <v/>
      </c>
      <c r="F60">
        <f>IF($AD60="","",INDEX('Per Line'!$D$2:$D$3001,$AD60)&amp;"")</f>
        <v/>
      </c>
      <c r="G60" s="11">
        <f>IF($AD60="","",INDEX('Per Line'!$G$2:$G$3001,$AD60))</f>
        <v/>
      </c>
      <c r="H60">
        <f>IF($AD60="","",INDEX('Per Line'!$J$2:$J$3001,$AD60)&amp;"")</f>
        <v/>
      </c>
      <c r="I60">
        <f>IF($AD60="","",INDEX('Per Line'!$H$2:$H$3001,$AD60)&amp;"")</f>
        <v/>
      </c>
      <c r="J60">
        <f>IF($AD60="","",INDEX('Per Line'!$F$2:$F$3001,$AD60)&amp;"")</f>
        <v/>
      </c>
      <c r="K60">
        <f>IF($AD60="","",INDEX('Per Line'!$K$2:$K$3001,$AD60)&amp;"")</f>
        <v/>
      </c>
      <c r="L60">
        <f>IF($AD60="","",INDEX('Per Line'!$L$2:$L$3001,$AD60)&amp;"")</f>
        <v/>
      </c>
      <c r="M60">
        <f>IF($AD60="","",INDEX('Per Line'!$M$2:$M$3001,$AD60)&amp;"")</f>
        <v/>
      </c>
      <c r="N60">
        <f>IF($AD60="","",INDEX('Per Line'!$AC$2:$AC$3001,$AD60)&amp;"")</f>
        <v/>
      </c>
      <c r="O60">
        <f>IF($AD60="","",INDEX('Per Line'!$P$2:$P$3001,$AD60))</f>
        <v/>
      </c>
      <c r="P60" s="7">
        <f>IF($AD60="","",IF(AND(ISNUMBER(Q60),Q60&gt;0,AB60&gt;Q60),O60*Q60/100+(AB60-Q60),O60*AB60/100))</f>
        <v/>
      </c>
      <c r="Q60">
        <f>IF($AD60="","",INDEX('Per Line'!$AG$2:$AG$3001,$AD60))</f>
        <v/>
      </c>
      <c r="R60">
        <f>IF($AD60="","",IF(AND(ISNUMBER(Q60),Q60&gt;0),AB60&gt;Q60,FALSE))</f>
        <v/>
      </c>
      <c r="S60" s="7">
        <f>IF($AD60="","",SUMIFS('Per Line'!$AB$2:$AB$3001,'Per Line'!$E$2:$E$3001,$B60,'Per Line'!$AQ$2:$AQ$3001,1))</f>
        <v/>
      </c>
      <c r="T60">
        <f>IF($AD60="","",Settings!$C$7)</f>
        <v/>
      </c>
      <c r="U60" s="7">
        <f>IF($AD60="","",SUMIFS('Per Line'!$AB$2:$AB$3001,'Per Line'!$E$2:$E$3001,$B60,'Per Line'!$AP$2:$AP$3001,0,'Per Line'!$AQ$2:$AQ$3001,0))</f>
        <v/>
      </c>
      <c r="V60" s="7">
        <f>IF($AD60="","",U60*T60)</f>
        <v/>
      </c>
      <c r="W60">
        <f>IF($AD60="","",Settings!$C$6)</f>
        <v/>
      </c>
      <c r="X60" s="7">
        <f>IF($AD60="","",SUMIFS('Per Line'!$AB$2:$AB$3001,'Per Line'!$E$2:$E$3001,$B60,'Per Line'!$AP$2:$AP$3001,1,'Per Line'!$AQ$2:$AQ$3001,0))</f>
        <v/>
      </c>
      <c r="Y60" s="7">
        <f>IF($AD60="","",X60*W60)</f>
        <v/>
      </c>
      <c r="Z60" s="7">
        <f>IF($AD60="","",Y60+V60)</f>
        <v/>
      </c>
      <c r="AA60" s="7">
        <f>IF($AD60="","",AB60-Z60)</f>
        <v/>
      </c>
      <c r="AB60" s="7">
        <f>IF($AD60="","",U60+X60+S60)</f>
        <v/>
      </c>
      <c r="AC60" s="7">
        <f>IF($AD60="","",AB60-Z60-P60)</f>
        <v/>
      </c>
      <c r="AD60" s="13">
        <f>IF(ROWS($AD$2:$AD60)&lt;=MAX('Per Line'!$AO$2:$AO$3001),MATCH(ROWS($AD$2:$AD60),'Per Line'!$AO$2:$AO$3001,0),"")</f>
        <v/>
      </c>
      <c r="AE60" s="14">
        <f>IF($AD60="","",P60-O60*AB60/100)</f>
        <v/>
      </c>
    </row>
    <row r="61">
      <c r="A61" s="12" t="n"/>
      <c r="B61">
        <f>IF($AD61="","",INDEX('Per Line'!$E$2:$E$3001,$AD61)&amp;"")</f>
        <v/>
      </c>
      <c r="C61">
        <f>IF($AD61="","",INDEX('Per Line'!$A$2:$A$3001,$AD61)&amp;"")</f>
        <v/>
      </c>
      <c r="D61">
        <f>IF($AD61="","",INDEX('Per Line'!$C$2:$C$3001,$AD61)&amp;"")</f>
        <v/>
      </c>
      <c r="E61">
        <f>IF($AD61="","",INDEX('Per Line'!$B$2:$B$3001,$AD61))</f>
        <v/>
      </c>
      <c r="F61">
        <f>IF($AD61="","",INDEX('Per Line'!$D$2:$D$3001,$AD61)&amp;"")</f>
        <v/>
      </c>
      <c r="G61" s="11">
        <f>IF($AD61="","",INDEX('Per Line'!$G$2:$G$3001,$AD61))</f>
        <v/>
      </c>
      <c r="H61">
        <f>IF($AD61="","",INDEX('Per Line'!$J$2:$J$3001,$AD61)&amp;"")</f>
        <v/>
      </c>
      <c r="I61">
        <f>IF($AD61="","",INDEX('Per Line'!$H$2:$H$3001,$AD61)&amp;"")</f>
        <v/>
      </c>
      <c r="J61">
        <f>IF($AD61="","",INDEX('Per Line'!$F$2:$F$3001,$AD61)&amp;"")</f>
        <v/>
      </c>
      <c r="K61">
        <f>IF($AD61="","",INDEX('Per Line'!$K$2:$K$3001,$AD61)&amp;"")</f>
        <v/>
      </c>
      <c r="L61">
        <f>IF($AD61="","",INDEX('Per Line'!$L$2:$L$3001,$AD61)&amp;"")</f>
        <v/>
      </c>
      <c r="M61">
        <f>IF($AD61="","",INDEX('Per Line'!$M$2:$M$3001,$AD61)&amp;"")</f>
        <v/>
      </c>
      <c r="N61">
        <f>IF($AD61="","",INDEX('Per Line'!$AC$2:$AC$3001,$AD61)&amp;"")</f>
        <v/>
      </c>
      <c r="O61">
        <f>IF($AD61="","",INDEX('Per Line'!$P$2:$P$3001,$AD61))</f>
        <v/>
      </c>
      <c r="P61" s="7">
        <f>IF($AD61="","",IF(AND(ISNUMBER(Q61),Q61&gt;0,AB61&gt;Q61),O61*Q61/100+(AB61-Q61),O61*AB61/100))</f>
        <v/>
      </c>
      <c r="Q61">
        <f>IF($AD61="","",INDEX('Per Line'!$AG$2:$AG$3001,$AD61))</f>
        <v/>
      </c>
      <c r="R61">
        <f>IF($AD61="","",IF(AND(ISNUMBER(Q61),Q61&gt;0),AB61&gt;Q61,FALSE))</f>
        <v/>
      </c>
      <c r="S61" s="7">
        <f>IF($AD61="","",SUMIFS('Per Line'!$AB$2:$AB$3001,'Per Line'!$E$2:$E$3001,$B61,'Per Line'!$AQ$2:$AQ$3001,1))</f>
        <v/>
      </c>
      <c r="T61">
        <f>IF($AD61="","",Settings!$C$7)</f>
        <v/>
      </c>
      <c r="U61" s="7">
        <f>IF($AD61="","",SUMIFS('Per Line'!$AB$2:$AB$3001,'Per Line'!$E$2:$E$3001,$B61,'Per Line'!$AP$2:$AP$3001,0,'Per Line'!$AQ$2:$AQ$3001,0))</f>
        <v/>
      </c>
      <c r="V61" s="7">
        <f>IF($AD61="","",U61*T61)</f>
        <v/>
      </c>
      <c r="W61">
        <f>IF($AD61="","",Settings!$C$6)</f>
        <v/>
      </c>
      <c r="X61" s="7">
        <f>IF($AD61="","",SUMIFS('Per Line'!$AB$2:$AB$3001,'Per Line'!$E$2:$E$3001,$B61,'Per Line'!$AP$2:$AP$3001,1,'Per Line'!$AQ$2:$AQ$3001,0))</f>
        <v/>
      </c>
      <c r="Y61" s="7">
        <f>IF($AD61="","",X61*W61)</f>
        <v/>
      </c>
      <c r="Z61" s="7">
        <f>IF($AD61="","",Y61+V61)</f>
        <v/>
      </c>
      <c r="AA61" s="7">
        <f>IF($AD61="","",AB61-Z61)</f>
        <v/>
      </c>
      <c r="AB61" s="7">
        <f>IF($AD61="","",U61+X61+S61)</f>
        <v/>
      </c>
      <c r="AC61" s="7">
        <f>IF($AD61="","",AB61-Z61-P61)</f>
        <v/>
      </c>
      <c r="AD61" s="13">
        <f>IF(ROWS($AD$2:$AD61)&lt;=MAX('Per Line'!$AO$2:$AO$3001),MATCH(ROWS($AD$2:$AD61),'Per Line'!$AO$2:$AO$3001,0),"")</f>
        <v/>
      </c>
      <c r="AE61" s="14">
        <f>IF($AD61="","",P61-O61*AB61/100)</f>
        <v/>
      </c>
    </row>
    <row r="62">
      <c r="A62" s="12" t="n"/>
      <c r="B62">
        <f>IF($AD62="","",INDEX('Per Line'!$E$2:$E$3001,$AD62)&amp;"")</f>
        <v/>
      </c>
      <c r="C62">
        <f>IF($AD62="","",INDEX('Per Line'!$A$2:$A$3001,$AD62)&amp;"")</f>
        <v/>
      </c>
      <c r="D62">
        <f>IF($AD62="","",INDEX('Per Line'!$C$2:$C$3001,$AD62)&amp;"")</f>
        <v/>
      </c>
      <c r="E62">
        <f>IF($AD62="","",INDEX('Per Line'!$B$2:$B$3001,$AD62))</f>
        <v/>
      </c>
      <c r="F62">
        <f>IF($AD62="","",INDEX('Per Line'!$D$2:$D$3001,$AD62)&amp;"")</f>
        <v/>
      </c>
      <c r="G62" s="11">
        <f>IF($AD62="","",INDEX('Per Line'!$G$2:$G$3001,$AD62))</f>
        <v/>
      </c>
      <c r="H62">
        <f>IF($AD62="","",INDEX('Per Line'!$J$2:$J$3001,$AD62)&amp;"")</f>
        <v/>
      </c>
      <c r="I62">
        <f>IF($AD62="","",INDEX('Per Line'!$H$2:$H$3001,$AD62)&amp;"")</f>
        <v/>
      </c>
      <c r="J62">
        <f>IF($AD62="","",INDEX('Per Line'!$F$2:$F$3001,$AD62)&amp;"")</f>
        <v/>
      </c>
      <c r="K62">
        <f>IF($AD62="","",INDEX('Per Line'!$K$2:$K$3001,$AD62)&amp;"")</f>
        <v/>
      </c>
      <c r="L62">
        <f>IF($AD62="","",INDEX('Per Line'!$L$2:$L$3001,$AD62)&amp;"")</f>
        <v/>
      </c>
      <c r="M62">
        <f>IF($AD62="","",INDEX('Per Line'!$M$2:$M$3001,$AD62)&amp;"")</f>
        <v/>
      </c>
      <c r="N62">
        <f>IF($AD62="","",INDEX('Per Line'!$AC$2:$AC$3001,$AD62)&amp;"")</f>
        <v/>
      </c>
      <c r="O62">
        <f>IF($AD62="","",INDEX('Per Line'!$P$2:$P$3001,$AD62))</f>
        <v/>
      </c>
      <c r="P62" s="7">
        <f>IF($AD62="","",IF(AND(ISNUMBER(Q62),Q62&gt;0,AB62&gt;Q62),O62*Q62/100+(AB62-Q62),O62*AB62/100))</f>
        <v/>
      </c>
      <c r="Q62">
        <f>IF($AD62="","",INDEX('Per Line'!$AG$2:$AG$3001,$AD62))</f>
        <v/>
      </c>
      <c r="R62">
        <f>IF($AD62="","",IF(AND(ISNUMBER(Q62),Q62&gt;0),AB62&gt;Q62,FALSE))</f>
        <v/>
      </c>
      <c r="S62" s="7">
        <f>IF($AD62="","",SUMIFS('Per Line'!$AB$2:$AB$3001,'Per Line'!$E$2:$E$3001,$B62,'Per Line'!$AQ$2:$AQ$3001,1))</f>
        <v/>
      </c>
      <c r="T62">
        <f>IF($AD62="","",Settings!$C$7)</f>
        <v/>
      </c>
      <c r="U62" s="7">
        <f>IF($AD62="","",SUMIFS('Per Line'!$AB$2:$AB$3001,'Per Line'!$E$2:$E$3001,$B62,'Per Line'!$AP$2:$AP$3001,0,'Per Line'!$AQ$2:$AQ$3001,0))</f>
        <v/>
      </c>
      <c r="V62" s="7">
        <f>IF($AD62="","",U62*T62)</f>
        <v/>
      </c>
      <c r="W62">
        <f>IF($AD62="","",Settings!$C$6)</f>
        <v/>
      </c>
      <c r="X62" s="7">
        <f>IF($AD62="","",SUMIFS('Per Line'!$AB$2:$AB$3001,'Per Line'!$E$2:$E$3001,$B62,'Per Line'!$AP$2:$AP$3001,1,'Per Line'!$AQ$2:$AQ$3001,0))</f>
        <v/>
      </c>
      <c r="Y62" s="7">
        <f>IF($AD62="","",X62*W62)</f>
        <v/>
      </c>
      <c r="Z62" s="7">
        <f>IF($AD62="","",Y62+V62)</f>
        <v/>
      </c>
      <c r="AA62" s="7">
        <f>IF($AD62="","",AB62-Z62)</f>
        <v/>
      </c>
      <c r="AB62" s="7">
        <f>IF($AD62="","",U62+X62+S62)</f>
        <v/>
      </c>
      <c r="AC62" s="7">
        <f>IF($AD62="","",AB62-Z62-P62)</f>
        <v/>
      </c>
      <c r="AD62" s="13">
        <f>IF(ROWS($AD$2:$AD62)&lt;=MAX('Per Line'!$AO$2:$AO$3001),MATCH(ROWS($AD$2:$AD62),'Per Line'!$AO$2:$AO$3001,0),"")</f>
        <v/>
      </c>
      <c r="AE62" s="14">
        <f>IF($AD62="","",P62-O62*AB62/100)</f>
        <v/>
      </c>
    </row>
    <row r="63">
      <c r="A63" s="12" t="n"/>
      <c r="B63">
        <f>IF($AD63="","",INDEX('Per Line'!$E$2:$E$3001,$AD63)&amp;"")</f>
        <v/>
      </c>
      <c r="C63">
        <f>IF($AD63="","",INDEX('Per Line'!$A$2:$A$3001,$AD63)&amp;"")</f>
        <v/>
      </c>
      <c r="D63">
        <f>IF($AD63="","",INDEX('Per Line'!$C$2:$C$3001,$AD63)&amp;"")</f>
        <v/>
      </c>
      <c r="E63">
        <f>IF($AD63="","",INDEX('Per Line'!$B$2:$B$3001,$AD63))</f>
        <v/>
      </c>
      <c r="F63">
        <f>IF($AD63="","",INDEX('Per Line'!$D$2:$D$3001,$AD63)&amp;"")</f>
        <v/>
      </c>
      <c r="G63" s="11">
        <f>IF($AD63="","",INDEX('Per Line'!$G$2:$G$3001,$AD63))</f>
        <v/>
      </c>
      <c r="H63">
        <f>IF($AD63="","",INDEX('Per Line'!$J$2:$J$3001,$AD63)&amp;"")</f>
        <v/>
      </c>
      <c r="I63">
        <f>IF($AD63="","",INDEX('Per Line'!$H$2:$H$3001,$AD63)&amp;"")</f>
        <v/>
      </c>
      <c r="J63">
        <f>IF($AD63="","",INDEX('Per Line'!$F$2:$F$3001,$AD63)&amp;"")</f>
        <v/>
      </c>
      <c r="K63">
        <f>IF($AD63="","",INDEX('Per Line'!$K$2:$K$3001,$AD63)&amp;"")</f>
        <v/>
      </c>
      <c r="L63">
        <f>IF($AD63="","",INDEX('Per Line'!$L$2:$L$3001,$AD63)&amp;"")</f>
        <v/>
      </c>
      <c r="M63">
        <f>IF($AD63="","",INDEX('Per Line'!$M$2:$M$3001,$AD63)&amp;"")</f>
        <v/>
      </c>
      <c r="N63">
        <f>IF($AD63="","",INDEX('Per Line'!$AC$2:$AC$3001,$AD63)&amp;"")</f>
        <v/>
      </c>
      <c r="O63">
        <f>IF($AD63="","",INDEX('Per Line'!$P$2:$P$3001,$AD63))</f>
        <v/>
      </c>
      <c r="P63" s="7">
        <f>IF($AD63="","",IF(AND(ISNUMBER(Q63),Q63&gt;0,AB63&gt;Q63),O63*Q63/100+(AB63-Q63),O63*AB63/100))</f>
        <v/>
      </c>
      <c r="Q63">
        <f>IF($AD63="","",INDEX('Per Line'!$AG$2:$AG$3001,$AD63))</f>
        <v/>
      </c>
      <c r="R63">
        <f>IF($AD63="","",IF(AND(ISNUMBER(Q63),Q63&gt;0),AB63&gt;Q63,FALSE))</f>
        <v/>
      </c>
      <c r="S63" s="7">
        <f>IF($AD63="","",SUMIFS('Per Line'!$AB$2:$AB$3001,'Per Line'!$E$2:$E$3001,$B63,'Per Line'!$AQ$2:$AQ$3001,1))</f>
        <v/>
      </c>
      <c r="T63">
        <f>IF($AD63="","",Settings!$C$7)</f>
        <v/>
      </c>
      <c r="U63" s="7">
        <f>IF($AD63="","",SUMIFS('Per Line'!$AB$2:$AB$3001,'Per Line'!$E$2:$E$3001,$B63,'Per Line'!$AP$2:$AP$3001,0,'Per Line'!$AQ$2:$AQ$3001,0))</f>
        <v/>
      </c>
      <c r="V63" s="7">
        <f>IF($AD63="","",U63*T63)</f>
        <v/>
      </c>
      <c r="W63">
        <f>IF($AD63="","",Settings!$C$6)</f>
        <v/>
      </c>
      <c r="X63" s="7">
        <f>IF($AD63="","",SUMIFS('Per Line'!$AB$2:$AB$3001,'Per Line'!$E$2:$E$3001,$B63,'Per Line'!$AP$2:$AP$3001,1,'Per Line'!$AQ$2:$AQ$3001,0))</f>
        <v/>
      </c>
      <c r="Y63" s="7">
        <f>IF($AD63="","",X63*W63)</f>
        <v/>
      </c>
      <c r="Z63" s="7">
        <f>IF($AD63="","",Y63+V63)</f>
        <v/>
      </c>
      <c r="AA63" s="7">
        <f>IF($AD63="","",AB63-Z63)</f>
        <v/>
      </c>
      <c r="AB63" s="7">
        <f>IF($AD63="","",U63+X63+S63)</f>
        <v/>
      </c>
      <c r="AC63" s="7">
        <f>IF($AD63="","",AB63-Z63-P63)</f>
        <v/>
      </c>
      <c r="AD63" s="13">
        <f>IF(ROWS($AD$2:$AD63)&lt;=MAX('Per Line'!$AO$2:$AO$3001),MATCH(ROWS($AD$2:$AD63),'Per Line'!$AO$2:$AO$3001,0),"")</f>
        <v/>
      </c>
      <c r="AE63" s="14">
        <f>IF($AD63="","",P63-O63*AB63/100)</f>
        <v/>
      </c>
    </row>
    <row r="64">
      <c r="A64" s="12" t="n"/>
      <c r="B64">
        <f>IF($AD64="","",INDEX('Per Line'!$E$2:$E$3001,$AD64)&amp;"")</f>
        <v/>
      </c>
      <c r="C64">
        <f>IF($AD64="","",INDEX('Per Line'!$A$2:$A$3001,$AD64)&amp;"")</f>
        <v/>
      </c>
      <c r="D64">
        <f>IF($AD64="","",INDEX('Per Line'!$C$2:$C$3001,$AD64)&amp;"")</f>
        <v/>
      </c>
      <c r="E64">
        <f>IF($AD64="","",INDEX('Per Line'!$B$2:$B$3001,$AD64))</f>
        <v/>
      </c>
      <c r="F64">
        <f>IF($AD64="","",INDEX('Per Line'!$D$2:$D$3001,$AD64)&amp;"")</f>
        <v/>
      </c>
      <c r="G64" s="11">
        <f>IF($AD64="","",INDEX('Per Line'!$G$2:$G$3001,$AD64))</f>
        <v/>
      </c>
      <c r="H64">
        <f>IF($AD64="","",INDEX('Per Line'!$J$2:$J$3001,$AD64)&amp;"")</f>
        <v/>
      </c>
      <c r="I64">
        <f>IF($AD64="","",INDEX('Per Line'!$H$2:$H$3001,$AD64)&amp;"")</f>
        <v/>
      </c>
      <c r="J64">
        <f>IF($AD64="","",INDEX('Per Line'!$F$2:$F$3001,$AD64)&amp;"")</f>
        <v/>
      </c>
      <c r="K64">
        <f>IF($AD64="","",INDEX('Per Line'!$K$2:$K$3001,$AD64)&amp;"")</f>
        <v/>
      </c>
      <c r="L64">
        <f>IF($AD64="","",INDEX('Per Line'!$L$2:$L$3001,$AD64)&amp;"")</f>
        <v/>
      </c>
      <c r="M64">
        <f>IF($AD64="","",INDEX('Per Line'!$M$2:$M$3001,$AD64)&amp;"")</f>
        <v/>
      </c>
      <c r="N64">
        <f>IF($AD64="","",INDEX('Per Line'!$AC$2:$AC$3001,$AD64)&amp;"")</f>
        <v/>
      </c>
      <c r="O64">
        <f>IF($AD64="","",INDEX('Per Line'!$P$2:$P$3001,$AD64))</f>
        <v/>
      </c>
      <c r="P64" s="7">
        <f>IF($AD64="","",IF(AND(ISNUMBER(Q64),Q64&gt;0,AB64&gt;Q64),O64*Q64/100+(AB64-Q64),O64*AB64/100))</f>
        <v/>
      </c>
      <c r="Q64">
        <f>IF($AD64="","",INDEX('Per Line'!$AG$2:$AG$3001,$AD64))</f>
        <v/>
      </c>
      <c r="R64">
        <f>IF($AD64="","",IF(AND(ISNUMBER(Q64),Q64&gt;0),AB64&gt;Q64,FALSE))</f>
        <v/>
      </c>
      <c r="S64" s="7">
        <f>IF($AD64="","",SUMIFS('Per Line'!$AB$2:$AB$3001,'Per Line'!$E$2:$E$3001,$B64,'Per Line'!$AQ$2:$AQ$3001,1))</f>
        <v/>
      </c>
      <c r="T64">
        <f>IF($AD64="","",Settings!$C$7)</f>
        <v/>
      </c>
      <c r="U64" s="7">
        <f>IF($AD64="","",SUMIFS('Per Line'!$AB$2:$AB$3001,'Per Line'!$E$2:$E$3001,$B64,'Per Line'!$AP$2:$AP$3001,0,'Per Line'!$AQ$2:$AQ$3001,0))</f>
        <v/>
      </c>
      <c r="V64" s="7">
        <f>IF($AD64="","",U64*T64)</f>
        <v/>
      </c>
      <c r="W64">
        <f>IF($AD64="","",Settings!$C$6)</f>
        <v/>
      </c>
      <c r="X64" s="7">
        <f>IF($AD64="","",SUMIFS('Per Line'!$AB$2:$AB$3001,'Per Line'!$E$2:$E$3001,$B64,'Per Line'!$AP$2:$AP$3001,1,'Per Line'!$AQ$2:$AQ$3001,0))</f>
        <v/>
      </c>
      <c r="Y64" s="7">
        <f>IF($AD64="","",X64*W64)</f>
        <v/>
      </c>
      <c r="Z64" s="7">
        <f>IF($AD64="","",Y64+V64)</f>
        <v/>
      </c>
      <c r="AA64" s="7">
        <f>IF($AD64="","",AB64-Z64)</f>
        <v/>
      </c>
      <c r="AB64" s="7">
        <f>IF($AD64="","",U64+X64+S64)</f>
        <v/>
      </c>
      <c r="AC64" s="7">
        <f>IF($AD64="","",AB64-Z64-P64)</f>
        <v/>
      </c>
      <c r="AD64" s="13">
        <f>IF(ROWS($AD$2:$AD64)&lt;=MAX('Per Line'!$AO$2:$AO$3001),MATCH(ROWS($AD$2:$AD64),'Per Line'!$AO$2:$AO$3001,0),"")</f>
        <v/>
      </c>
      <c r="AE64" s="14">
        <f>IF($AD64="","",P64-O64*AB64/100)</f>
        <v/>
      </c>
    </row>
    <row r="65">
      <c r="A65" s="12" t="n"/>
      <c r="B65">
        <f>IF($AD65="","",INDEX('Per Line'!$E$2:$E$3001,$AD65)&amp;"")</f>
        <v/>
      </c>
      <c r="C65">
        <f>IF($AD65="","",INDEX('Per Line'!$A$2:$A$3001,$AD65)&amp;"")</f>
        <v/>
      </c>
      <c r="D65">
        <f>IF($AD65="","",INDEX('Per Line'!$C$2:$C$3001,$AD65)&amp;"")</f>
        <v/>
      </c>
      <c r="E65">
        <f>IF($AD65="","",INDEX('Per Line'!$B$2:$B$3001,$AD65))</f>
        <v/>
      </c>
      <c r="F65">
        <f>IF($AD65="","",INDEX('Per Line'!$D$2:$D$3001,$AD65)&amp;"")</f>
        <v/>
      </c>
      <c r="G65" s="11">
        <f>IF($AD65="","",INDEX('Per Line'!$G$2:$G$3001,$AD65))</f>
        <v/>
      </c>
      <c r="H65">
        <f>IF($AD65="","",INDEX('Per Line'!$J$2:$J$3001,$AD65)&amp;"")</f>
        <v/>
      </c>
      <c r="I65">
        <f>IF($AD65="","",INDEX('Per Line'!$H$2:$H$3001,$AD65)&amp;"")</f>
        <v/>
      </c>
      <c r="J65">
        <f>IF($AD65="","",INDEX('Per Line'!$F$2:$F$3001,$AD65)&amp;"")</f>
        <v/>
      </c>
      <c r="K65">
        <f>IF($AD65="","",INDEX('Per Line'!$K$2:$K$3001,$AD65)&amp;"")</f>
        <v/>
      </c>
      <c r="L65">
        <f>IF($AD65="","",INDEX('Per Line'!$L$2:$L$3001,$AD65)&amp;"")</f>
        <v/>
      </c>
      <c r="M65">
        <f>IF($AD65="","",INDEX('Per Line'!$M$2:$M$3001,$AD65)&amp;"")</f>
        <v/>
      </c>
      <c r="N65">
        <f>IF($AD65="","",INDEX('Per Line'!$AC$2:$AC$3001,$AD65)&amp;"")</f>
        <v/>
      </c>
      <c r="O65">
        <f>IF($AD65="","",INDEX('Per Line'!$P$2:$P$3001,$AD65))</f>
        <v/>
      </c>
      <c r="P65" s="7">
        <f>IF($AD65="","",IF(AND(ISNUMBER(Q65),Q65&gt;0,AB65&gt;Q65),O65*Q65/100+(AB65-Q65),O65*AB65/100))</f>
        <v/>
      </c>
      <c r="Q65">
        <f>IF($AD65="","",INDEX('Per Line'!$AG$2:$AG$3001,$AD65))</f>
        <v/>
      </c>
      <c r="R65">
        <f>IF($AD65="","",IF(AND(ISNUMBER(Q65),Q65&gt;0),AB65&gt;Q65,FALSE))</f>
        <v/>
      </c>
      <c r="S65" s="7">
        <f>IF($AD65="","",SUMIFS('Per Line'!$AB$2:$AB$3001,'Per Line'!$E$2:$E$3001,$B65,'Per Line'!$AQ$2:$AQ$3001,1))</f>
        <v/>
      </c>
      <c r="T65">
        <f>IF($AD65="","",Settings!$C$7)</f>
        <v/>
      </c>
      <c r="U65" s="7">
        <f>IF($AD65="","",SUMIFS('Per Line'!$AB$2:$AB$3001,'Per Line'!$E$2:$E$3001,$B65,'Per Line'!$AP$2:$AP$3001,0,'Per Line'!$AQ$2:$AQ$3001,0))</f>
        <v/>
      </c>
      <c r="V65" s="7">
        <f>IF($AD65="","",U65*T65)</f>
        <v/>
      </c>
      <c r="W65">
        <f>IF($AD65="","",Settings!$C$6)</f>
        <v/>
      </c>
      <c r="X65" s="7">
        <f>IF($AD65="","",SUMIFS('Per Line'!$AB$2:$AB$3001,'Per Line'!$E$2:$E$3001,$B65,'Per Line'!$AP$2:$AP$3001,1,'Per Line'!$AQ$2:$AQ$3001,0))</f>
        <v/>
      </c>
      <c r="Y65" s="7">
        <f>IF($AD65="","",X65*W65)</f>
        <v/>
      </c>
      <c r="Z65" s="7">
        <f>IF($AD65="","",Y65+V65)</f>
        <v/>
      </c>
      <c r="AA65" s="7">
        <f>IF($AD65="","",AB65-Z65)</f>
        <v/>
      </c>
      <c r="AB65" s="7">
        <f>IF($AD65="","",U65+X65+S65)</f>
        <v/>
      </c>
      <c r="AC65" s="7">
        <f>IF($AD65="","",AB65-Z65-P65)</f>
        <v/>
      </c>
      <c r="AD65" s="13">
        <f>IF(ROWS($AD$2:$AD65)&lt;=MAX('Per Line'!$AO$2:$AO$3001),MATCH(ROWS($AD$2:$AD65),'Per Line'!$AO$2:$AO$3001,0),"")</f>
        <v/>
      </c>
      <c r="AE65" s="14">
        <f>IF($AD65="","",P65-O65*AB65/100)</f>
        <v/>
      </c>
    </row>
    <row r="66">
      <c r="A66" s="12" t="n"/>
      <c r="B66">
        <f>IF($AD66="","",INDEX('Per Line'!$E$2:$E$3001,$AD66)&amp;"")</f>
        <v/>
      </c>
      <c r="C66">
        <f>IF($AD66="","",INDEX('Per Line'!$A$2:$A$3001,$AD66)&amp;"")</f>
        <v/>
      </c>
      <c r="D66">
        <f>IF($AD66="","",INDEX('Per Line'!$C$2:$C$3001,$AD66)&amp;"")</f>
        <v/>
      </c>
      <c r="E66">
        <f>IF($AD66="","",INDEX('Per Line'!$B$2:$B$3001,$AD66))</f>
        <v/>
      </c>
      <c r="F66">
        <f>IF($AD66="","",INDEX('Per Line'!$D$2:$D$3001,$AD66)&amp;"")</f>
        <v/>
      </c>
      <c r="G66" s="11">
        <f>IF($AD66="","",INDEX('Per Line'!$G$2:$G$3001,$AD66))</f>
        <v/>
      </c>
      <c r="H66">
        <f>IF($AD66="","",INDEX('Per Line'!$J$2:$J$3001,$AD66)&amp;"")</f>
        <v/>
      </c>
      <c r="I66">
        <f>IF($AD66="","",INDEX('Per Line'!$H$2:$H$3001,$AD66)&amp;"")</f>
        <v/>
      </c>
      <c r="J66">
        <f>IF($AD66="","",INDEX('Per Line'!$F$2:$F$3001,$AD66)&amp;"")</f>
        <v/>
      </c>
      <c r="K66">
        <f>IF($AD66="","",INDEX('Per Line'!$K$2:$K$3001,$AD66)&amp;"")</f>
        <v/>
      </c>
      <c r="L66">
        <f>IF($AD66="","",INDEX('Per Line'!$L$2:$L$3001,$AD66)&amp;"")</f>
        <v/>
      </c>
      <c r="M66">
        <f>IF($AD66="","",INDEX('Per Line'!$M$2:$M$3001,$AD66)&amp;"")</f>
        <v/>
      </c>
      <c r="N66">
        <f>IF($AD66="","",INDEX('Per Line'!$AC$2:$AC$3001,$AD66)&amp;"")</f>
        <v/>
      </c>
      <c r="O66">
        <f>IF($AD66="","",INDEX('Per Line'!$P$2:$P$3001,$AD66))</f>
        <v/>
      </c>
      <c r="P66" s="7">
        <f>IF($AD66="","",IF(AND(ISNUMBER(Q66),Q66&gt;0,AB66&gt;Q66),O66*Q66/100+(AB66-Q66),O66*AB66/100))</f>
        <v/>
      </c>
      <c r="Q66">
        <f>IF($AD66="","",INDEX('Per Line'!$AG$2:$AG$3001,$AD66))</f>
        <v/>
      </c>
      <c r="R66">
        <f>IF($AD66="","",IF(AND(ISNUMBER(Q66),Q66&gt;0),AB66&gt;Q66,FALSE))</f>
        <v/>
      </c>
      <c r="S66" s="7">
        <f>IF($AD66="","",SUMIFS('Per Line'!$AB$2:$AB$3001,'Per Line'!$E$2:$E$3001,$B66,'Per Line'!$AQ$2:$AQ$3001,1))</f>
        <v/>
      </c>
      <c r="T66">
        <f>IF($AD66="","",Settings!$C$7)</f>
        <v/>
      </c>
      <c r="U66" s="7">
        <f>IF($AD66="","",SUMIFS('Per Line'!$AB$2:$AB$3001,'Per Line'!$E$2:$E$3001,$B66,'Per Line'!$AP$2:$AP$3001,0,'Per Line'!$AQ$2:$AQ$3001,0))</f>
        <v/>
      </c>
      <c r="V66" s="7">
        <f>IF($AD66="","",U66*T66)</f>
        <v/>
      </c>
      <c r="W66">
        <f>IF($AD66="","",Settings!$C$6)</f>
        <v/>
      </c>
      <c r="X66" s="7">
        <f>IF($AD66="","",SUMIFS('Per Line'!$AB$2:$AB$3001,'Per Line'!$E$2:$E$3001,$B66,'Per Line'!$AP$2:$AP$3001,1,'Per Line'!$AQ$2:$AQ$3001,0))</f>
        <v/>
      </c>
      <c r="Y66" s="7">
        <f>IF($AD66="","",X66*W66)</f>
        <v/>
      </c>
      <c r="Z66" s="7">
        <f>IF($AD66="","",Y66+V66)</f>
        <v/>
      </c>
      <c r="AA66" s="7">
        <f>IF($AD66="","",AB66-Z66)</f>
        <v/>
      </c>
      <c r="AB66" s="7">
        <f>IF($AD66="","",U66+X66+S66)</f>
        <v/>
      </c>
      <c r="AC66" s="7">
        <f>IF($AD66="","",AB66-Z66-P66)</f>
        <v/>
      </c>
      <c r="AD66" s="13">
        <f>IF(ROWS($AD$2:$AD66)&lt;=MAX('Per Line'!$AO$2:$AO$3001),MATCH(ROWS($AD$2:$AD66),'Per Line'!$AO$2:$AO$3001,0),"")</f>
        <v/>
      </c>
      <c r="AE66" s="14">
        <f>IF($AD66="","",P66-O66*AB66/100)</f>
        <v/>
      </c>
    </row>
    <row r="67">
      <c r="A67" s="12" t="n"/>
      <c r="B67">
        <f>IF($AD67="","",INDEX('Per Line'!$E$2:$E$3001,$AD67)&amp;"")</f>
        <v/>
      </c>
      <c r="C67">
        <f>IF($AD67="","",INDEX('Per Line'!$A$2:$A$3001,$AD67)&amp;"")</f>
        <v/>
      </c>
      <c r="D67">
        <f>IF($AD67="","",INDEX('Per Line'!$C$2:$C$3001,$AD67)&amp;"")</f>
        <v/>
      </c>
      <c r="E67">
        <f>IF($AD67="","",INDEX('Per Line'!$B$2:$B$3001,$AD67))</f>
        <v/>
      </c>
      <c r="F67">
        <f>IF($AD67="","",INDEX('Per Line'!$D$2:$D$3001,$AD67)&amp;"")</f>
        <v/>
      </c>
      <c r="G67" s="11">
        <f>IF($AD67="","",INDEX('Per Line'!$G$2:$G$3001,$AD67))</f>
        <v/>
      </c>
      <c r="H67">
        <f>IF($AD67="","",INDEX('Per Line'!$J$2:$J$3001,$AD67)&amp;"")</f>
        <v/>
      </c>
      <c r="I67">
        <f>IF($AD67="","",INDEX('Per Line'!$H$2:$H$3001,$AD67)&amp;"")</f>
        <v/>
      </c>
      <c r="J67">
        <f>IF($AD67="","",INDEX('Per Line'!$F$2:$F$3001,$AD67)&amp;"")</f>
        <v/>
      </c>
      <c r="K67">
        <f>IF($AD67="","",INDEX('Per Line'!$K$2:$K$3001,$AD67)&amp;"")</f>
        <v/>
      </c>
      <c r="L67">
        <f>IF($AD67="","",INDEX('Per Line'!$L$2:$L$3001,$AD67)&amp;"")</f>
        <v/>
      </c>
      <c r="M67">
        <f>IF($AD67="","",INDEX('Per Line'!$M$2:$M$3001,$AD67)&amp;"")</f>
        <v/>
      </c>
      <c r="N67">
        <f>IF($AD67="","",INDEX('Per Line'!$AC$2:$AC$3001,$AD67)&amp;"")</f>
        <v/>
      </c>
      <c r="O67">
        <f>IF($AD67="","",INDEX('Per Line'!$P$2:$P$3001,$AD67))</f>
        <v/>
      </c>
      <c r="P67" s="7">
        <f>IF($AD67="","",IF(AND(ISNUMBER(Q67),Q67&gt;0,AB67&gt;Q67),O67*Q67/100+(AB67-Q67),O67*AB67/100))</f>
        <v/>
      </c>
      <c r="Q67">
        <f>IF($AD67="","",INDEX('Per Line'!$AG$2:$AG$3001,$AD67))</f>
        <v/>
      </c>
      <c r="R67">
        <f>IF($AD67="","",IF(AND(ISNUMBER(Q67),Q67&gt;0),AB67&gt;Q67,FALSE))</f>
        <v/>
      </c>
      <c r="S67" s="7">
        <f>IF($AD67="","",SUMIFS('Per Line'!$AB$2:$AB$3001,'Per Line'!$E$2:$E$3001,$B67,'Per Line'!$AQ$2:$AQ$3001,1))</f>
        <v/>
      </c>
      <c r="T67">
        <f>IF($AD67="","",Settings!$C$7)</f>
        <v/>
      </c>
      <c r="U67" s="7">
        <f>IF($AD67="","",SUMIFS('Per Line'!$AB$2:$AB$3001,'Per Line'!$E$2:$E$3001,$B67,'Per Line'!$AP$2:$AP$3001,0,'Per Line'!$AQ$2:$AQ$3001,0))</f>
        <v/>
      </c>
      <c r="V67" s="7">
        <f>IF($AD67="","",U67*T67)</f>
        <v/>
      </c>
      <c r="W67">
        <f>IF($AD67="","",Settings!$C$6)</f>
        <v/>
      </c>
      <c r="X67" s="7">
        <f>IF($AD67="","",SUMIFS('Per Line'!$AB$2:$AB$3001,'Per Line'!$E$2:$E$3001,$B67,'Per Line'!$AP$2:$AP$3001,1,'Per Line'!$AQ$2:$AQ$3001,0))</f>
        <v/>
      </c>
      <c r="Y67" s="7">
        <f>IF($AD67="","",X67*W67)</f>
        <v/>
      </c>
      <c r="Z67" s="7">
        <f>IF($AD67="","",Y67+V67)</f>
        <v/>
      </c>
      <c r="AA67" s="7">
        <f>IF($AD67="","",AB67-Z67)</f>
        <v/>
      </c>
      <c r="AB67" s="7">
        <f>IF($AD67="","",U67+X67+S67)</f>
        <v/>
      </c>
      <c r="AC67" s="7">
        <f>IF($AD67="","",AB67-Z67-P67)</f>
        <v/>
      </c>
      <c r="AD67" s="13">
        <f>IF(ROWS($AD$2:$AD67)&lt;=MAX('Per Line'!$AO$2:$AO$3001),MATCH(ROWS($AD$2:$AD67),'Per Line'!$AO$2:$AO$3001,0),"")</f>
        <v/>
      </c>
      <c r="AE67" s="14">
        <f>IF($AD67="","",P67-O67*AB67/100)</f>
        <v/>
      </c>
    </row>
    <row r="68">
      <c r="A68" s="12" t="n"/>
      <c r="B68">
        <f>IF($AD68="","",INDEX('Per Line'!$E$2:$E$3001,$AD68)&amp;"")</f>
        <v/>
      </c>
      <c r="C68">
        <f>IF($AD68="","",INDEX('Per Line'!$A$2:$A$3001,$AD68)&amp;"")</f>
        <v/>
      </c>
      <c r="D68">
        <f>IF($AD68="","",INDEX('Per Line'!$C$2:$C$3001,$AD68)&amp;"")</f>
        <v/>
      </c>
      <c r="E68">
        <f>IF($AD68="","",INDEX('Per Line'!$B$2:$B$3001,$AD68))</f>
        <v/>
      </c>
      <c r="F68">
        <f>IF($AD68="","",INDEX('Per Line'!$D$2:$D$3001,$AD68)&amp;"")</f>
        <v/>
      </c>
      <c r="G68" s="11">
        <f>IF($AD68="","",INDEX('Per Line'!$G$2:$G$3001,$AD68))</f>
        <v/>
      </c>
      <c r="H68">
        <f>IF($AD68="","",INDEX('Per Line'!$J$2:$J$3001,$AD68)&amp;"")</f>
        <v/>
      </c>
      <c r="I68">
        <f>IF($AD68="","",INDEX('Per Line'!$H$2:$H$3001,$AD68)&amp;"")</f>
        <v/>
      </c>
      <c r="J68">
        <f>IF($AD68="","",INDEX('Per Line'!$F$2:$F$3001,$AD68)&amp;"")</f>
        <v/>
      </c>
      <c r="K68">
        <f>IF($AD68="","",INDEX('Per Line'!$K$2:$K$3001,$AD68)&amp;"")</f>
        <v/>
      </c>
      <c r="L68">
        <f>IF($AD68="","",INDEX('Per Line'!$L$2:$L$3001,$AD68)&amp;"")</f>
        <v/>
      </c>
      <c r="M68">
        <f>IF($AD68="","",INDEX('Per Line'!$M$2:$M$3001,$AD68)&amp;"")</f>
        <v/>
      </c>
      <c r="N68">
        <f>IF($AD68="","",INDEX('Per Line'!$AC$2:$AC$3001,$AD68)&amp;"")</f>
        <v/>
      </c>
      <c r="O68">
        <f>IF($AD68="","",INDEX('Per Line'!$P$2:$P$3001,$AD68))</f>
        <v/>
      </c>
      <c r="P68" s="7">
        <f>IF($AD68="","",IF(AND(ISNUMBER(Q68),Q68&gt;0,AB68&gt;Q68),O68*Q68/100+(AB68-Q68),O68*AB68/100))</f>
        <v/>
      </c>
      <c r="Q68">
        <f>IF($AD68="","",INDEX('Per Line'!$AG$2:$AG$3001,$AD68))</f>
        <v/>
      </c>
      <c r="R68">
        <f>IF($AD68="","",IF(AND(ISNUMBER(Q68),Q68&gt;0),AB68&gt;Q68,FALSE))</f>
        <v/>
      </c>
      <c r="S68" s="7">
        <f>IF($AD68="","",SUMIFS('Per Line'!$AB$2:$AB$3001,'Per Line'!$E$2:$E$3001,$B68,'Per Line'!$AQ$2:$AQ$3001,1))</f>
        <v/>
      </c>
      <c r="T68">
        <f>IF($AD68="","",Settings!$C$7)</f>
        <v/>
      </c>
      <c r="U68" s="7">
        <f>IF($AD68="","",SUMIFS('Per Line'!$AB$2:$AB$3001,'Per Line'!$E$2:$E$3001,$B68,'Per Line'!$AP$2:$AP$3001,0,'Per Line'!$AQ$2:$AQ$3001,0))</f>
        <v/>
      </c>
      <c r="V68" s="7">
        <f>IF($AD68="","",U68*T68)</f>
        <v/>
      </c>
      <c r="W68">
        <f>IF($AD68="","",Settings!$C$6)</f>
        <v/>
      </c>
      <c r="X68" s="7">
        <f>IF($AD68="","",SUMIFS('Per Line'!$AB$2:$AB$3001,'Per Line'!$E$2:$E$3001,$B68,'Per Line'!$AP$2:$AP$3001,1,'Per Line'!$AQ$2:$AQ$3001,0))</f>
        <v/>
      </c>
      <c r="Y68" s="7">
        <f>IF($AD68="","",X68*W68)</f>
        <v/>
      </c>
      <c r="Z68" s="7">
        <f>IF($AD68="","",Y68+V68)</f>
        <v/>
      </c>
      <c r="AA68" s="7">
        <f>IF($AD68="","",AB68-Z68)</f>
        <v/>
      </c>
      <c r="AB68" s="7">
        <f>IF($AD68="","",U68+X68+S68)</f>
        <v/>
      </c>
      <c r="AC68" s="7">
        <f>IF($AD68="","",AB68-Z68-P68)</f>
        <v/>
      </c>
      <c r="AD68" s="13">
        <f>IF(ROWS($AD$2:$AD68)&lt;=MAX('Per Line'!$AO$2:$AO$3001),MATCH(ROWS($AD$2:$AD68),'Per Line'!$AO$2:$AO$3001,0),"")</f>
        <v/>
      </c>
      <c r="AE68" s="14">
        <f>IF($AD68="","",P68-O68*AB68/100)</f>
        <v/>
      </c>
    </row>
    <row r="69">
      <c r="A69" s="12" t="n"/>
      <c r="B69">
        <f>IF($AD69="","",INDEX('Per Line'!$E$2:$E$3001,$AD69)&amp;"")</f>
        <v/>
      </c>
      <c r="C69">
        <f>IF($AD69="","",INDEX('Per Line'!$A$2:$A$3001,$AD69)&amp;"")</f>
        <v/>
      </c>
      <c r="D69">
        <f>IF($AD69="","",INDEX('Per Line'!$C$2:$C$3001,$AD69)&amp;"")</f>
        <v/>
      </c>
      <c r="E69">
        <f>IF($AD69="","",INDEX('Per Line'!$B$2:$B$3001,$AD69))</f>
        <v/>
      </c>
      <c r="F69">
        <f>IF($AD69="","",INDEX('Per Line'!$D$2:$D$3001,$AD69)&amp;"")</f>
        <v/>
      </c>
      <c r="G69" s="11">
        <f>IF($AD69="","",INDEX('Per Line'!$G$2:$G$3001,$AD69))</f>
        <v/>
      </c>
      <c r="H69">
        <f>IF($AD69="","",INDEX('Per Line'!$J$2:$J$3001,$AD69)&amp;"")</f>
        <v/>
      </c>
      <c r="I69">
        <f>IF($AD69="","",INDEX('Per Line'!$H$2:$H$3001,$AD69)&amp;"")</f>
        <v/>
      </c>
      <c r="J69">
        <f>IF($AD69="","",INDEX('Per Line'!$F$2:$F$3001,$AD69)&amp;"")</f>
        <v/>
      </c>
      <c r="K69">
        <f>IF($AD69="","",INDEX('Per Line'!$K$2:$K$3001,$AD69)&amp;"")</f>
        <v/>
      </c>
      <c r="L69">
        <f>IF($AD69="","",INDEX('Per Line'!$L$2:$L$3001,$AD69)&amp;"")</f>
        <v/>
      </c>
      <c r="M69">
        <f>IF($AD69="","",INDEX('Per Line'!$M$2:$M$3001,$AD69)&amp;"")</f>
        <v/>
      </c>
      <c r="N69">
        <f>IF($AD69="","",INDEX('Per Line'!$AC$2:$AC$3001,$AD69)&amp;"")</f>
        <v/>
      </c>
      <c r="O69">
        <f>IF($AD69="","",INDEX('Per Line'!$P$2:$P$3001,$AD69))</f>
        <v/>
      </c>
      <c r="P69" s="7">
        <f>IF($AD69="","",IF(AND(ISNUMBER(Q69),Q69&gt;0,AB69&gt;Q69),O69*Q69/100+(AB69-Q69),O69*AB69/100))</f>
        <v/>
      </c>
      <c r="Q69">
        <f>IF($AD69="","",INDEX('Per Line'!$AG$2:$AG$3001,$AD69))</f>
        <v/>
      </c>
      <c r="R69">
        <f>IF($AD69="","",IF(AND(ISNUMBER(Q69),Q69&gt;0),AB69&gt;Q69,FALSE))</f>
        <v/>
      </c>
      <c r="S69" s="7">
        <f>IF($AD69="","",SUMIFS('Per Line'!$AB$2:$AB$3001,'Per Line'!$E$2:$E$3001,$B69,'Per Line'!$AQ$2:$AQ$3001,1))</f>
        <v/>
      </c>
      <c r="T69">
        <f>IF($AD69="","",Settings!$C$7)</f>
        <v/>
      </c>
      <c r="U69" s="7">
        <f>IF($AD69="","",SUMIFS('Per Line'!$AB$2:$AB$3001,'Per Line'!$E$2:$E$3001,$B69,'Per Line'!$AP$2:$AP$3001,0,'Per Line'!$AQ$2:$AQ$3001,0))</f>
        <v/>
      </c>
      <c r="V69" s="7">
        <f>IF($AD69="","",U69*T69)</f>
        <v/>
      </c>
      <c r="W69">
        <f>IF($AD69="","",Settings!$C$6)</f>
        <v/>
      </c>
      <c r="X69" s="7">
        <f>IF($AD69="","",SUMIFS('Per Line'!$AB$2:$AB$3001,'Per Line'!$E$2:$E$3001,$B69,'Per Line'!$AP$2:$AP$3001,1,'Per Line'!$AQ$2:$AQ$3001,0))</f>
        <v/>
      </c>
      <c r="Y69" s="7">
        <f>IF($AD69="","",X69*W69)</f>
        <v/>
      </c>
      <c r="Z69" s="7">
        <f>IF($AD69="","",Y69+V69)</f>
        <v/>
      </c>
      <c r="AA69" s="7">
        <f>IF($AD69="","",AB69-Z69)</f>
        <v/>
      </c>
      <c r="AB69" s="7">
        <f>IF($AD69="","",U69+X69+S69)</f>
        <v/>
      </c>
      <c r="AC69" s="7">
        <f>IF($AD69="","",AB69-Z69-P69)</f>
        <v/>
      </c>
      <c r="AD69" s="13">
        <f>IF(ROWS($AD$2:$AD69)&lt;=MAX('Per Line'!$AO$2:$AO$3001),MATCH(ROWS($AD$2:$AD69),'Per Line'!$AO$2:$AO$3001,0),"")</f>
        <v/>
      </c>
      <c r="AE69" s="14">
        <f>IF($AD69="","",P69-O69*AB69/100)</f>
        <v/>
      </c>
    </row>
    <row r="70">
      <c r="A70" s="12" t="n"/>
      <c r="B70">
        <f>IF($AD70="","",INDEX('Per Line'!$E$2:$E$3001,$AD70)&amp;"")</f>
        <v/>
      </c>
      <c r="C70">
        <f>IF($AD70="","",INDEX('Per Line'!$A$2:$A$3001,$AD70)&amp;"")</f>
        <v/>
      </c>
      <c r="D70">
        <f>IF($AD70="","",INDEX('Per Line'!$C$2:$C$3001,$AD70)&amp;"")</f>
        <v/>
      </c>
      <c r="E70">
        <f>IF($AD70="","",INDEX('Per Line'!$B$2:$B$3001,$AD70))</f>
        <v/>
      </c>
      <c r="F70">
        <f>IF($AD70="","",INDEX('Per Line'!$D$2:$D$3001,$AD70)&amp;"")</f>
        <v/>
      </c>
      <c r="G70" s="11">
        <f>IF($AD70="","",INDEX('Per Line'!$G$2:$G$3001,$AD70))</f>
        <v/>
      </c>
      <c r="H70">
        <f>IF($AD70="","",INDEX('Per Line'!$J$2:$J$3001,$AD70)&amp;"")</f>
        <v/>
      </c>
      <c r="I70">
        <f>IF($AD70="","",INDEX('Per Line'!$H$2:$H$3001,$AD70)&amp;"")</f>
        <v/>
      </c>
      <c r="J70">
        <f>IF($AD70="","",INDEX('Per Line'!$F$2:$F$3001,$AD70)&amp;"")</f>
        <v/>
      </c>
      <c r="K70">
        <f>IF($AD70="","",INDEX('Per Line'!$K$2:$K$3001,$AD70)&amp;"")</f>
        <v/>
      </c>
      <c r="L70">
        <f>IF($AD70="","",INDEX('Per Line'!$L$2:$L$3001,$AD70)&amp;"")</f>
        <v/>
      </c>
      <c r="M70">
        <f>IF($AD70="","",INDEX('Per Line'!$M$2:$M$3001,$AD70)&amp;"")</f>
        <v/>
      </c>
      <c r="N70">
        <f>IF($AD70="","",INDEX('Per Line'!$AC$2:$AC$3001,$AD70)&amp;"")</f>
        <v/>
      </c>
      <c r="O70">
        <f>IF($AD70="","",INDEX('Per Line'!$P$2:$P$3001,$AD70))</f>
        <v/>
      </c>
      <c r="P70" s="7">
        <f>IF($AD70="","",IF(AND(ISNUMBER(Q70),Q70&gt;0,AB70&gt;Q70),O70*Q70/100+(AB70-Q70),O70*AB70/100))</f>
        <v/>
      </c>
      <c r="Q70">
        <f>IF($AD70="","",INDEX('Per Line'!$AG$2:$AG$3001,$AD70))</f>
        <v/>
      </c>
      <c r="R70">
        <f>IF($AD70="","",IF(AND(ISNUMBER(Q70),Q70&gt;0),AB70&gt;Q70,FALSE))</f>
        <v/>
      </c>
      <c r="S70" s="7">
        <f>IF($AD70="","",SUMIFS('Per Line'!$AB$2:$AB$3001,'Per Line'!$E$2:$E$3001,$B70,'Per Line'!$AQ$2:$AQ$3001,1))</f>
        <v/>
      </c>
      <c r="T70">
        <f>IF($AD70="","",Settings!$C$7)</f>
        <v/>
      </c>
      <c r="U70" s="7">
        <f>IF($AD70="","",SUMIFS('Per Line'!$AB$2:$AB$3001,'Per Line'!$E$2:$E$3001,$B70,'Per Line'!$AP$2:$AP$3001,0,'Per Line'!$AQ$2:$AQ$3001,0))</f>
        <v/>
      </c>
      <c r="V70" s="7">
        <f>IF($AD70="","",U70*T70)</f>
        <v/>
      </c>
      <c r="W70">
        <f>IF($AD70="","",Settings!$C$6)</f>
        <v/>
      </c>
      <c r="X70" s="7">
        <f>IF($AD70="","",SUMIFS('Per Line'!$AB$2:$AB$3001,'Per Line'!$E$2:$E$3001,$B70,'Per Line'!$AP$2:$AP$3001,1,'Per Line'!$AQ$2:$AQ$3001,0))</f>
        <v/>
      </c>
      <c r="Y70" s="7">
        <f>IF($AD70="","",X70*W70)</f>
        <v/>
      </c>
      <c r="Z70" s="7">
        <f>IF($AD70="","",Y70+V70)</f>
        <v/>
      </c>
      <c r="AA70" s="7">
        <f>IF($AD70="","",AB70-Z70)</f>
        <v/>
      </c>
      <c r="AB70" s="7">
        <f>IF($AD70="","",U70+X70+S70)</f>
        <v/>
      </c>
      <c r="AC70" s="7">
        <f>IF($AD70="","",AB70-Z70-P70)</f>
        <v/>
      </c>
      <c r="AD70" s="13">
        <f>IF(ROWS($AD$2:$AD70)&lt;=MAX('Per Line'!$AO$2:$AO$3001),MATCH(ROWS($AD$2:$AD70),'Per Line'!$AO$2:$AO$3001,0),"")</f>
        <v/>
      </c>
      <c r="AE70" s="14">
        <f>IF($AD70="","",P70-O70*AB70/100)</f>
        <v/>
      </c>
    </row>
    <row r="71">
      <c r="A71" s="12" t="n"/>
      <c r="B71">
        <f>IF($AD71="","",INDEX('Per Line'!$E$2:$E$3001,$AD71)&amp;"")</f>
        <v/>
      </c>
      <c r="C71">
        <f>IF($AD71="","",INDEX('Per Line'!$A$2:$A$3001,$AD71)&amp;"")</f>
        <v/>
      </c>
      <c r="D71">
        <f>IF($AD71="","",INDEX('Per Line'!$C$2:$C$3001,$AD71)&amp;"")</f>
        <v/>
      </c>
      <c r="E71">
        <f>IF($AD71="","",INDEX('Per Line'!$B$2:$B$3001,$AD71))</f>
        <v/>
      </c>
      <c r="F71">
        <f>IF($AD71="","",INDEX('Per Line'!$D$2:$D$3001,$AD71)&amp;"")</f>
        <v/>
      </c>
      <c r="G71" s="11">
        <f>IF($AD71="","",INDEX('Per Line'!$G$2:$G$3001,$AD71))</f>
        <v/>
      </c>
      <c r="H71">
        <f>IF($AD71="","",INDEX('Per Line'!$J$2:$J$3001,$AD71)&amp;"")</f>
        <v/>
      </c>
      <c r="I71">
        <f>IF($AD71="","",INDEX('Per Line'!$H$2:$H$3001,$AD71)&amp;"")</f>
        <v/>
      </c>
      <c r="J71">
        <f>IF($AD71="","",INDEX('Per Line'!$F$2:$F$3001,$AD71)&amp;"")</f>
        <v/>
      </c>
      <c r="K71">
        <f>IF($AD71="","",INDEX('Per Line'!$K$2:$K$3001,$AD71)&amp;"")</f>
        <v/>
      </c>
      <c r="L71">
        <f>IF($AD71="","",INDEX('Per Line'!$L$2:$L$3001,$AD71)&amp;"")</f>
        <v/>
      </c>
      <c r="M71">
        <f>IF($AD71="","",INDEX('Per Line'!$M$2:$M$3001,$AD71)&amp;"")</f>
        <v/>
      </c>
      <c r="N71">
        <f>IF($AD71="","",INDEX('Per Line'!$AC$2:$AC$3001,$AD71)&amp;"")</f>
        <v/>
      </c>
      <c r="O71">
        <f>IF($AD71="","",INDEX('Per Line'!$P$2:$P$3001,$AD71))</f>
        <v/>
      </c>
      <c r="P71" s="7">
        <f>IF($AD71="","",IF(AND(ISNUMBER(Q71),Q71&gt;0,AB71&gt;Q71),O71*Q71/100+(AB71-Q71),O71*AB71/100))</f>
        <v/>
      </c>
      <c r="Q71">
        <f>IF($AD71="","",INDEX('Per Line'!$AG$2:$AG$3001,$AD71))</f>
        <v/>
      </c>
      <c r="R71">
        <f>IF($AD71="","",IF(AND(ISNUMBER(Q71),Q71&gt;0),AB71&gt;Q71,FALSE))</f>
        <v/>
      </c>
      <c r="S71" s="7">
        <f>IF($AD71="","",SUMIFS('Per Line'!$AB$2:$AB$3001,'Per Line'!$E$2:$E$3001,$B71,'Per Line'!$AQ$2:$AQ$3001,1))</f>
        <v/>
      </c>
      <c r="T71">
        <f>IF($AD71="","",Settings!$C$7)</f>
        <v/>
      </c>
      <c r="U71" s="7">
        <f>IF($AD71="","",SUMIFS('Per Line'!$AB$2:$AB$3001,'Per Line'!$E$2:$E$3001,$B71,'Per Line'!$AP$2:$AP$3001,0,'Per Line'!$AQ$2:$AQ$3001,0))</f>
        <v/>
      </c>
      <c r="V71" s="7">
        <f>IF($AD71="","",U71*T71)</f>
        <v/>
      </c>
      <c r="W71">
        <f>IF($AD71="","",Settings!$C$6)</f>
        <v/>
      </c>
      <c r="X71" s="7">
        <f>IF($AD71="","",SUMIFS('Per Line'!$AB$2:$AB$3001,'Per Line'!$E$2:$E$3001,$B71,'Per Line'!$AP$2:$AP$3001,1,'Per Line'!$AQ$2:$AQ$3001,0))</f>
        <v/>
      </c>
      <c r="Y71" s="7">
        <f>IF($AD71="","",X71*W71)</f>
        <v/>
      </c>
      <c r="Z71" s="7">
        <f>IF($AD71="","",Y71+V71)</f>
        <v/>
      </c>
      <c r="AA71" s="7">
        <f>IF($AD71="","",AB71-Z71)</f>
        <v/>
      </c>
      <c r="AB71" s="7">
        <f>IF($AD71="","",U71+X71+S71)</f>
        <v/>
      </c>
      <c r="AC71" s="7">
        <f>IF($AD71="","",AB71-Z71-P71)</f>
        <v/>
      </c>
      <c r="AD71" s="13">
        <f>IF(ROWS($AD$2:$AD71)&lt;=MAX('Per Line'!$AO$2:$AO$3001),MATCH(ROWS($AD$2:$AD71),'Per Line'!$AO$2:$AO$3001,0),"")</f>
        <v/>
      </c>
      <c r="AE71" s="14">
        <f>IF($AD71="","",P71-O71*AB71/100)</f>
        <v/>
      </c>
    </row>
    <row r="72">
      <c r="A72" s="12" t="n"/>
      <c r="B72">
        <f>IF($AD72="","",INDEX('Per Line'!$E$2:$E$3001,$AD72)&amp;"")</f>
        <v/>
      </c>
      <c r="C72">
        <f>IF($AD72="","",INDEX('Per Line'!$A$2:$A$3001,$AD72)&amp;"")</f>
        <v/>
      </c>
      <c r="D72">
        <f>IF($AD72="","",INDEX('Per Line'!$C$2:$C$3001,$AD72)&amp;"")</f>
        <v/>
      </c>
      <c r="E72">
        <f>IF($AD72="","",INDEX('Per Line'!$B$2:$B$3001,$AD72))</f>
        <v/>
      </c>
      <c r="F72">
        <f>IF($AD72="","",INDEX('Per Line'!$D$2:$D$3001,$AD72)&amp;"")</f>
        <v/>
      </c>
      <c r="G72" s="11">
        <f>IF($AD72="","",INDEX('Per Line'!$G$2:$G$3001,$AD72))</f>
        <v/>
      </c>
      <c r="H72">
        <f>IF($AD72="","",INDEX('Per Line'!$J$2:$J$3001,$AD72)&amp;"")</f>
        <v/>
      </c>
      <c r="I72">
        <f>IF($AD72="","",INDEX('Per Line'!$H$2:$H$3001,$AD72)&amp;"")</f>
        <v/>
      </c>
      <c r="J72">
        <f>IF($AD72="","",INDEX('Per Line'!$F$2:$F$3001,$AD72)&amp;"")</f>
        <v/>
      </c>
      <c r="K72">
        <f>IF($AD72="","",INDEX('Per Line'!$K$2:$K$3001,$AD72)&amp;"")</f>
        <v/>
      </c>
      <c r="L72">
        <f>IF($AD72="","",INDEX('Per Line'!$L$2:$L$3001,$AD72)&amp;"")</f>
        <v/>
      </c>
      <c r="M72">
        <f>IF($AD72="","",INDEX('Per Line'!$M$2:$M$3001,$AD72)&amp;"")</f>
        <v/>
      </c>
      <c r="N72">
        <f>IF($AD72="","",INDEX('Per Line'!$AC$2:$AC$3001,$AD72)&amp;"")</f>
        <v/>
      </c>
      <c r="O72">
        <f>IF($AD72="","",INDEX('Per Line'!$P$2:$P$3001,$AD72))</f>
        <v/>
      </c>
      <c r="P72" s="7">
        <f>IF($AD72="","",IF(AND(ISNUMBER(Q72),Q72&gt;0,AB72&gt;Q72),O72*Q72/100+(AB72-Q72),O72*AB72/100))</f>
        <v/>
      </c>
      <c r="Q72">
        <f>IF($AD72="","",INDEX('Per Line'!$AG$2:$AG$3001,$AD72))</f>
        <v/>
      </c>
      <c r="R72">
        <f>IF($AD72="","",IF(AND(ISNUMBER(Q72),Q72&gt;0),AB72&gt;Q72,FALSE))</f>
        <v/>
      </c>
      <c r="S72" s="7">
        <f>IF($AD72="","",SUMIFS('Per Line'!$AB$2:$AB$3001,'Per Line'!$E$2:$E$3001,$B72,'Per Line'!$AQ$2:$AQ$3001,1))</f>
        <v/>
      </c>
      <c r="T72">
        <f>IF($AD72="","",Settings!$C$7)</f>
        <v/>
      </c>
      <c r="U72" s="7">
        <f>IF($AD72="","",SUMIFS('Per Line'!$AB$2:$AB$3001,'Per Line'!$E$2:$E$3001,$B72,'Per Line'!$AP$2:$AP$3001,0,'Per Line'!$AQ$2:$AQ$3001,0))</f>
        <v/>
      </c>
      <c r="V72" s="7">
        <f>IF($AD72="","",U72*T72)</f>
        <v/>
      </c>
      <c r="W72">
        <f>IF($AD72="","",Settings!$C$6)</f>
        <v/>
      </c>
      <c r="X72" s="7">
        <f>IF($AD72="","",SUMIFS('Per Line'!$AB$2:$AB$3001,'Per Line'!$E$2:$E$3001,$B72,'Per Line'!$AP$2:$AP$3001,1,'Per Line'!$AQ$2:$AQ$3001,0))</f>
        <v/>
      </c>
      <c r="Y72" s="7">
        <f>IF($AD72="","",X72*W72)</f>
        <v/>
      </c>
      <c r="Z72" s="7">
        <f>IF($AD72="","",Y72+V72)</f>
        <v/>
      </c>
      <c r="AA72" s="7">
        <f>IF($AD72="","",AB72-Z72)</f>
        <v/>
      </c>
      <c r="AB72" s="7">
        <f>IF($AD72="","",U72+X72+S72)</f>
        <v/>
      </c>
      <c r="AC72" s="7">
        <f>IF($AD72="","",AB72-Z72-P72)</f>
        <v/>
      </c>
      <c r="AD72" s="13">
        <f>IF(ROWS($AD$2:$AD72)&lt;=MAX('Per Line'!$AO$2:$AO$3001),MATCH(ROWS($AD$2:$AD72),'Per Line'!$AO$2:$AO$3001,0),"")</f>
        <v/>
      </c>
      <c r="AE72" s="14">
        <f>IF($AD72="","",P72-O72*AB72/100)</f>
        <v/>
      </c>
    </row>
    <row r="73">
      <c r="A73" s="12" t="n"/>
      <c r="B73">
        <f>IF($AD73="","",INDEX('Per Line'!$E$2:$E$3001,$AD73)&amp;"")</f>
        <v/>
      </c>
      <c r="C73">
        <f>IF($AD73="","",INDEX('Per Line'!$A$2:$A$3001,$AD73)&amp;"")</f>
        <v/>
      </c>
      <c r="D73">
        <f>IF($AD73="","",INDEX('Per Line'!$C$2:$C$3001,$AD73)&amp;"")</f>
        <v/>
      </c>
      <c r="E73">
        <f>IF($AD73="","",INDEX('Per Line'!$B$2:$B$3001,$AD73))</f>
        <v/>
      </c>
      <c r="F73">
        <f>IF($AD73="","",INDEX('Per Line'!$D$2:$D$3001,$AD73)&amp;"")</f>
        <v/>
      </c>
      <c r="G73" s="11">
        <f>IF($AD73="","",INDEX('Per Line'!$G$2:$G$3001,$AD73))</f>
        <v/>
      </c>
      <c r="H73">
        <f>IF($AD73="","",INDEX('Per Line'!$J$2:$J$3001,$AD73)&amp;"")</f>
        <v/>
      </c>
      <c r="I73">
        <f>IF($AD73="","",INDEX('Per Line'!$H$2:$H$3001,$AD73)&amp;"")</f>
        <v/>
      </c>
      <c r="J73">
        <f>IF($AD73="","",INDEX('Per Line'!$F$2:$F$3001,$AD73)&amp;"")</f>
        <v/>
      </c>
      <c r="K73">
        <f>IF($AD73="","",INDEX('Per Line'!$K$2:$K$3001,$AD73)&amp;"")</f>
        <v/>
      </c>
      <c r="L73">
        <f>IF($AD73="","",INDEX('Per Line'!$L$2:$L$3001,$AD73)&amp;"")</f>
        <v/>
      </c>
      <c r="M73">
        <f>IF($AD73="","",INDEX('Per Line'!$M$2:$M$3001,$AD73)&amp;"")</f>
        <v/>
      </c>
      <c r="N73">
        <f>IF($AD73="","",INDEX('Per Line'!$AC$2:$AC$3001,$AD73)&amp;"")</f>
        <v/>
      </c>
      <c r="O73">
        <f>IF($AD73="","",INDEX('Per Line'!$P$2:$P$3001,$AD73))</f>
        <v/>
      </c>
      <c r="P73" s="7">
        <f>IF($AD73="","",IF(AND(ISNUMBER(Q73),Q73&gt;0,AB73&gt;Q73),O73*Q73/100+(AB73-Q73),O73*AB73/100))</f>
        <v/>
      </c>
      <c r="Q73">
        <f>IF($AD73="","",INDEX('Per Line'!$AG$2:$AG$3001,$AD73))</f>
        <v/>
      </c>
      <c r="R73">
        <f>IF($AD73="","",IF(AND(ISNUMBER(Q73),Q73&gt;0),AB73&gt;Q73,FALSE))</f>
        <v/>
      </c>
      <c r="S73" s="7">
        <f>IF($AD73="","",SUMIFS('Per Line'!$AB$2:$AB$3001,'Per Line'!$E$2:$E$3001,$B73,'Per Line'!$AQ$2:$AQ$3001,1))</f>
        <v/>
      </c>
      <c r="T73">
        <f>IF($AD73="","",Settings!$C$7)</f>
        <v/>
      </c>
      <c r="U73" s="7">
        <f>IF($AD73="","",SUMIFS('Per Line'!$AB$2:$AB$3001,'Per Line'!$E$2:$E$3001,$B73,'Per Line'!$AP$2:$AP$3001,0,'Per Line'!$AQ$2:$AQ$3001,0))</f>
        <v/>
      </c>
      <c r="V73" s="7">
        <f>IF($AD73="","",U73*T73)</f>
        <v/>
      </c>
      <c r="W73">
        <f>IF($AD73="","",Settings!$C$6)</f>
        <v/>
      </c>
      <c r="X73" s="7">
        <f>IF($AD73="","",SUMIFS('Per Line'!$AB$2:$AB$3001,'Per Line'!$E$2:$E$3001,$B73,'Per Line'!$AP$2:$AP$3001,1,'Per Line'!$AQ$2:$AQ$3001,0))</f>
        <v/>
      </c>
      <c r="Y73" s="7">
        <f>IF($AD73="","",X73*W73)</f>
        <v/>
      </c>
      <c r="Z73" s="7">
        <f>IF($AD73="","",Y73+V73)</f>
        <v/>
      </c>
      <c r="AA73" s="7">
        <f>IF($AD73="","",AB73-Z73)</f>
        <v/>
      </c>
      <c r="AB73" s="7">
        <f>IF($AD73="","",U73+X73+S73)</f>
        <v/>
      </c>
      <c r="AC73" s="7">
        <f>IF($AD73="","",AB73-Z73-P73)</f>
        <v/>
      </c>
      <c r="AD73" s="13">
        <f>IF(ROWS($AD$2:$AD73)&lt;=MAX('Per Line'!$AO$2:$AO$3001),MATCH(ROWS($AD$2:$AD73),'Per Line'!$AO$2:$AO$3001,0),"")</f>
        <v/>
      </c>
      <c r="AE73" s="14">
        <f>IF($AD73="","",P73-O73*AB73/100)</f>
        <v/>
      </c>
    </row>
    <row r="74">
      <c r="A74" s="12" t="n"/>
      <c r="B74">
        <f>IF($AD74="","",INDEX('Per Line'!$E$2:$E$3001,$AD74)&amp;"")</f>
        <v/>
      </c>
      <c r="C74">
        <f>IF($AD74="","",INDEX('Per Line'!$A$2:$A$3001,$AD74)&amp;"")</f>
        <v/>
      </c>
      <c r="D74">
        <f>IF($AD74="","",INDEX('Per Line'!$C$2:$C$3001,$AD74)&amp;"")</f>
        <v/>
      </c>
      <c r="E74">
        <f>IF($AD74="","",INDEX('Per Line'!$B$2:$B$3001,$AD74))</f>
        <v/>
      </c>
      <c r="F74">
        <f>IF($AD74="","",INDEX('Per Line'!$D$2:$D$3001,$AD74)&amp;"")</f>
        <v/>
      </c>
      <c r="G74" s="11">
        <f>IF($AD74="","",INDEX('Per Line'!$G$2:$G$3001,$AD74))</f>
        <v/>
      </c>
      <c r="H74">
        <f>IF($AD74="","",INDEX('Per Line'!$J$2:$J$3001,$AD74)&amp;"")</f>
        <v/>
      </c>
      <c r="I74">
        <f>IF($AD74="","",INDEX('Per Line'!$H$2:$H$3001,$AD74)&amp;"")</f>
        <v/>
      </c>
      <c r="J74">
        <f>IF($AD74="","",INDEX('Per Line'!$F$2:$F$3001,$AD74)&amp;"")</f>
        <v/>
      </c>
      <c r="K74">
        <f>IF($AD74="","",INDEX('Per Line'!$K$2:$K$3001,$AD74)&amp;"")</f>
        <v/>
      </c>
      <c r="L74">
        <f>IF($AD74="","",INDEX('Per Line'!$L$2:$L$3001,$AD74)&amp;"")</f>
        <v/>
      </c>
      <c r="M74">
        <f>IF($AD74="","",INDEX('Per Line'!$M$2:$M$3001,$AD74)&amp;"")</f>
        <v/>
      </c>
      <c r="N74">
        <f>IF($AD74="","",INDEX('Per Line'!$AC$2:$AC$3001,$AD74)&amp;"")</f>
        <v/>
      </c>
      <c r="O74">
        <f>IF($AD74="","",INDEX('Per Line'!$P$2:$P$3001,$AD74))</f>
        <v/>
      </c>
      <c r="P74" s="7">
        <f>IF($AD74="","",IF(AND(ISNUMBER(Q74),Q74&gt;0,AB74&gt;Q74),O74*Q74/100+(AB74-Q74),O74*AB74/100))</f>
        <v/>
      </c>
      <c r="Q74">
        <f>IF($AD74="","",INDEX('Per Line'!$AG$2:$AG$3001,$AD74))</f>
        <v/>
      </c>
      <c r="R74">
        <f>IF($AD74="","",IF(AND(ISNUMBER(Q74),Q74&gt;0),AB74&gt;Q74,FALSE))</f>
        <v/>
      </c>
      <c r="S74" s="7">
        <f>IF($AD74="","",SUMIFS('Per Line'!$AB$2:$AB$3001,'Per Line'!$E$2:$E$3001,$B74,'Per Line'!$AQ$2:$AQ$3001,1))</f>
        <v/>
      </c>
      <c r="T74">
        <f>IF($AD74="","",Settings!$C$7)</f>
        <v/>
      </c>
      <c r="U74" s="7">
        <f>IF($AD74="","",SUMIFS('Per Line'!$AB$2:$AB$3001,'Per Line'!$E$2:$E$3001,$B74,'Per Line'!$AP$2:$AP$3001,0,'Per Line'!$AQ$2:$AQ$3001,0))</f>
        <v/>
      </c>
      <c r="V74" s="7">
        <f>IF($AD74="","",U74*T74)</f>
        <v/>
      </c>
      <c r="W74">
        <f>IF($AD74="","",Settings!$C$6)</f>
        <v/>
      </c>
      <c r="X74" s="7">
        <f>IF($AD74="","",SUMIFS('Per Line'!$AB$2:$AB$3001,'Per Line'!$E$2:$E$3001,$B74,'Per Line'!$AP$2:$AP$3001,1,'Per Line'!$AQ$2:$AQ$3001,0))</f>
        <v/>
      </c>
      <c r="Y74" s="7">
        <f>IF($AD74="","",X74*W74)</f>
        <v/>
      </c>
      <c r="Z74" s="7">
        <f>IF($AD74="","",Y74+V74)</f>
        <v/>
      </c>
      <c r="AA74" s="7">
        <f>IF($AD74="","",AB74-Z74)</f>
        <v/>
      </c>
      <c r="AB74" s="7">
        <f>IF($AD74="","",U74+X74+S74)</f>
        <v/>
      </c>
      <c r="AC74" s="7">
        <f>IF($AD74="","",AB74-Z74-P74)</f>
        <v/>
      </c>
      <c r="AD74" s="13">
        <f>IF(ROWS($AD$2:$AD74)&lt;=MAX('Per Line'!$AO$2:$AO$3001),MATCH(ROWS($AD$2:$AD74),'Per Line'!$AO$2:$AO$3001,0),"")</f>
        <v/>
      </c>
      <c r="AE74" s="14">
        <f>IF($AD74="","",P74-O74*AB74/100)</f>
        <v/>
      </c>
    </row>
    <row r="75">
      <c r="A75" s="12" t="n"/>
      <c r="B75">
        <f>IF($AD75="","",INDEX('Per Line'!$E$2:$E$3001,$AD75)&amp;"")</f>
        <v/>
      </c>
      <c r="C75">
        <f>IF($AD75="","",INDEX('Per Line'!$A$2:$A$3001,$AD75)&amp;"")</f>
        <v/>
      </c>
      <c r="D75">
        <f>IF($AD75="","",INDEX('Per Line'!$C$2:$C$3001,$AD75)&amp;"")</f>
        <v/>
      </c>
      <c r="E75">
        <f>IF($AD75="","",INDEX('Per Line'!$B$2:$B$3001,$AD75))</f>
        <v/>
      </c>
      <c r="F75">
        <f>IF($AD75="","",INDEX('Per Line'!$D$2:$D$3001,$AD75)&amp;"")</f>
        <v/>
      </c>
      <c r="G75" s="11">
        <f>IF($AD75="","",INDEX('Per Line'!$G$2:$G$3001,$AD75))</f>
        <v/>
      </c>
      <c r="H75">
        <f>IF($AD75="","",INDEX('Per Line'!$J$2:$J$3001,$AD75)&amp;"")</f>
        <v/>
      </c>
      <c r="I75">
        <f>IF($AD75="","",INDEX('Per Line'!$H$2:$H$3001,$AD75)&amp;"")</f>
        <v/>
      </c>
      <c r="J75">
        <f>IF($AD75="","",INDEX('Per Line'!$F$2:$F$3001,$AD75)&amp;"")</f>
        <v/>
      </c>
      <c r="K75">
        <f>IF($AD75="","",INDEX('Per Line'!$K$2:$K$3001,$AD75)&amp;"")</f>
        <v/>
      </c>
      <c r="L75">
        <f>IF($AD75="","",INDEX('Per Line'!$L$2:$L$3001,$AD75)&amp;"")</f>
        <v/>
      </c>
      <c r="M75">
        <f>IF($AD75="","",INDEX('Per Line'!$M$2:$M$3001,$AD75)&amp;"")</f>
        <v/>
      </c>
      <c r="N75">
        <f>IF($AD75="","",INDEX('Per Line'!$AC$2:$AC$3001,$AD75)&amp;"")</f>
        <v/>
      </c>
      <c r="O75">
        <f>IF($AD75="","",INDEX('Per Line'!$P$2:$P$3001,$AD75))</f>
        <v/>
      </c>
      <c r="P75" s="7">
        <f>IF($AD75="","",IF(AND(ISNUMBER(Q75),Q75&gt;0,AB75&gt;Q75),O75*Q75/100+(AB75-Q75),O75*AB75/100))</f>
        <v/>
      </c>
      <c r="Q75">
        <f>IF($AD75="","",INDEX('Per Line'!$AG$2:$AG$3001,$AD75))</f>
        <v/>
      </c>
      <c r="R75">
        <f>IF($AD75="","",IF(AND(ISNUMBER(Q75),Q75&gt;0),AB75&gt;Q75,FALSE))</f>
        <v/>
      </c>
      <c r="S75" s="7">
        <f>IF($AD75="","",SUMIFS('Per Line'!$AB$2:$AB$3001,'Per Line'!$E$2:$E$3001,$B75,'Per Line'!$AQ$2:$AQ$3001,1))</f>
        <v/>
      </c>
      <c r="T75">
        <f>IF($AD75="","",Settings!$C$7)</f>
        <v/>
      </c>
      <c r="U75" s="7">
        <f>IF($AD75="","",SUMIFS('Per Line'!$AB$2:$AB$3001,'Per Line'!$E$2:$E$3001,$B75,'Per Line'!$AP$2:$AP$3001,0,'Per Line'!$AQ$2:$AQ$3001,0))</f>
        <v/>
      </c>
      <c r="V75" s="7">
        <f>IF($AD75="","",U75*T75)</f>
        <v/>
      </c>
      <c r="W75">
        <f>IF($AD75="","",Settings!$C$6)</f>
        <v/>
      </c>
      <c r="X75" s="7">
        <f>IF($AD75="","",SUMIFS('Per Line'!$AB$2:$AB$3001,'Per Line'!$E$2:$E$3001,$B75,'Per Line'!$AP$2:$AP$3001,1,'Per Line'!$AQ$2:$AQ$3001,0))</f>
        <v/>
      </c>
      <c r="Y75" s="7">
        <f>IF($AD75="","",X75*W75)</f>
        <v/>
      </c>
      <c r="Z75" s="7">
        <f>IF($AD75="","",Y75+V75)</f>
        <v/>
      </c>
      <c r="AA75" s="7">
        <f>IF($AD75="","",AB75-Z75)</f>
        <v/>
      </c>
      <c r="AB75" s="7">
        <f>IF($AD75="","",U75+X75+S75)</f>
        <v/>
      </c>
      <c r="AC75" s="7">
        <f>IF($AD75="","",AB75-Z75-P75)</f>
        <v/>
      </c>
      <c r="AD75" s="13">
        <f>IF(ROWS($AD$2:$AD75)&lt;=MAX('Per Line'!$AO$2:$AO$3001),MATCH(ROWS($AD$2:$AD75),'Per Line'!$AO$2:$AO$3001,0),"")</f>
        <v/>
      </c>
      <c r="AE75" s="14">
        <f>IF($AD75="","",P75-O75*AB75/100)</f>
        <v/>
      </c>
    </row>
    <row r="76">
      <c r="A76" s="12" t="n"/>
      <c r="B76">
        <f>IF($AD76="","",INDEX('Per Line'!$E$2:$E$3001,$AD76)&amp;"")</f>
        <v/>
      </c>
      <c r="C76">
        <f>IF($AD76="","",INDEX('Per Line'!$A$2:$A$3001,$AD76)&amp;"")</f>
        <v/>
      </c>
      <c r="D76">
        <f>IF($AD76="","",INDEX('Per Line'!$C$2:$C$3001,$AD76)&amp;"")</f>
        <v/>
      </c>
      <c r="E76">
        <f>IF($AD76="","",INDEX('Per Line'!$B$2:$B$3001,$AD76))</f>
        <v/>
      </c>
      <c r="F76">
        <f>IF($AD76="","",INDEX('Per Line'!$D$2:$D$3001,$AD76)&amp;"")</f>
        <v/>
      </c>
      <c r="G76" s="11">
        <f>IF($AD76="","",INDEX('Per Line'!$G$2:$G$3001,$AD76))</f>
        <v/>
      </c>
      <c r="H76">
        <f>IF($AD76="","",INDEX('Per Line'!$J$2:$J$3001,$AD76)&amp;"")</f>
        <v/>
      </c>
      <c r="I76">
        <f>IF($AD76="","",INDEX('Per Line'!$H$2:$H$3001,$AD76)&amp;"")</f>
        <v/>
      </c>
      <c r="J76">
        <f>IF($AD76="","",INDEX('Per Line'!$F$2:$F$3001,$AD76)&amp;"")</f>
        <v/>
      </c>
      <c r="K76">
        <f>IF($AD76="","",INDEX('Per Line'!$K$2:$K$3001,$AD76)&amp;"")</f>
        <v/>
      </c>
      <c r="L76">
        <f>IF($AD76="","",INDEX('Per Line'!$L$2:$L$3001,$AD76)&amp;"")</f>
        <v/>
      </c>
      <c r="M76">
        <f>IF($AD76="","",INDEX('Per Line'!$M$2:$M$3001,$AD76)&amp;"")</f>
        <v/>
      </c>
      <c r="N76">
        <f>IF($AD76="","",INDEX('Per Line'!$AC$2:$AC$3001,$AD76)&amp;"")</f>
        <v/>
      </c>
      <c r="O76">
        <f>IF($AD76="","",INDEX('Per Line'!$P$2:$P$3001,$AD76))</f>
        <v/>
      </c>
      <c r="P76" s="7">
        <f>IF($AD76="","",IF(AND(ISNUMBER(Q76),Q76&gt;0,AB76&gt;Q76),O76*Q76/100+(AB76-Q76),O76*AB76/100))</f>
        <v/>
      </c>
      <c r="Q76">
        <f>IF($AD76="","",INDEX('Per Line'!$AG$2:$AG$3001,$AD76))</f>
        <v/>
      </c>
      <c r="R76">
        <f>IF($AD76="","",IF(AND(ISNUMBER(Q76),Q76&gt;0),AB76&gt;Q76,FALSE))</f>
        <v/>
      </c>
      <c r="S76" s="7">
        <f>IF($AD76="","",SUMIFS('Per Line'!$AB$2:$AB$3001,'Per Line'!$E$2:$E$3001,$B76,'Per Line'!$AQ$2:$AQ$3001,1))</f>
        <v/>
      </c>
      <c r="T76">
        <f>IF($AD76="","",Settings!$C$7)</f>
        <v/>
      </c>
      <c r="U76" s="7">
        <f>IF($AD76="","",SUMIFS('Per Line'!$AB$2:$AB$3001,'Per Line'!$E$2:$E$3001,$B76,'Per Line'!$AP$2:$AP$3001,0,'Per Line'!$AQ$2:$AQ$3001,0))</f>
        <v/>
      </c>
      <c r="V76" s="7">
        <f>IF($AD76="","",U76*T76)</f>
        <v/>
      </c>
      <c r="W76">
        <f>IF($AD76="","",Settings!$C$6)</f>
        <v/>
      </c>
      <c r="X76" s="7">
        <f>IF($AD76="","",SUMIFS('Per Line'!$AB$2:$AB$3001,'Per Line'!$E$2:$E$3001,$B76,'Per Line'!$AP$2:$AP$3001,1,'Per Line'!$AQ$2:$AQ$3001,0))</f>
        <v/>
      </c>
      <c r="Y76" s="7">
        <f>IF($AD76="","",X76*W76)</f>
        <v/>
      </c>
      <c r="Z76" s="7">
        <f>IF($AD76="","",Y76+V76)</f>
        <v/>
      </c>
      <c r="AA76" s="7">
        <f>IF($AD76="","",AB76-Z76)</f>
        <v/>
      </c>
      <c r="AB76" s="7">
        <f>IF($AD76="","",U76+X76+S76)</f>
        <v/>
      </c>
      <c r="AC76" s="7">
        <f>IF($AD76="","",AB76-Z76-P76)</f>
        <v/>
      </c>
      <c r="AD76" s="13">
        <f>IF(ROWS($AD$2:$AD76)&lt;=MAX('Per Line'!$AO$2:$AO$3001),MATCH(ROWS($AD$2:$AD76),'Per Line'!$AO$2:$AO$3001,0),"")</f>
        <v/>
      </c>
      <c r="AE76" s="14">
        <f>IF($AD76="","",P76-O76*AB76/100)</f>
        <v/>
      </c>
    </row>
    <row r="77">
      <c r="A77" s="12" t="n"/>
      <c r="B77">
        <f>IF($AD77="","",INDEX('Per Line'!$E$2:$E$3001,$AD77)&amp;"")</f>
        <v/>
      </c>
      <c r="C77">
        <f>IF($AD77="","",INDEX('Per Line'!$A$2:$A$3001,$AD77)&amp;"")</f>
        <v/>
      </c>
      <c r="D77">
        <f>IF($AD77="","",INDEX('Per Line'!$C$2:$C$3001,$AD77)&amp;"")</f>
        <v/>
      </c>
      <c r="E77">
        <f>IF($AD77="","",INDEX('Per Line'!$B$2:$B$3001,$AD77))</f>
        <v/>
      </c>
      <c r="F77">
        <f>IF($AD77="","",INDEX('Per Line'!$D$2:$D$3001,$AD77)&amp;"")</f>
        <v/>
      </c>
      <c r="G77" s="11">
        <f>IF($AD77="","",INDEX('Per Line'!$G$2:$G$3001,$AD77))</f>
        <v/>
      </c>
      <c r="H77">
        <f>IF($AD77="","",INDEX('Per Line'!$J$2:$J$3001,$AD77)&amp;"")</f>
        <v/>
      </c>
      <c r="I77">
        <f>IF($AD77="","",INDEX('Per Line'!$H$2:$H$3001,$AD77)&amp;"")</f>
        <v/>
      </c>
      <c r="J77">
        <f>IF($AD77="","",INDEX('Per Line'!$F$2:$F$3001,$AD77)&amp;"")</f>
        <v/>
      </c>
      <c r="K77">
        <f>IF($AD77="","",INDEX('Per Line'!$K$2:$K$3001,$AD77)&amp;"")</f>
        <v/>
      </c>
      <c r="L77">
        <f>IF($AD77="","",INDEX('Per Line'!$L$2:$L$3001,$AD77)&amp;"")</f>
        <v/>
      </c>
      <c r="M77">
        <f>IF($AD77="","",INDEX('Per Line'!$M$2:$M$3001,$AD77)&amp;"")</f>
        <v/>
      </c>
      <c r="N77">
        <f>IF($AD77="","",INDEX('Per Line'!$AC$2:$AC$3001,$AD77)&amp;"")</f>
        <v/>
      </c>
      <c r="O77">
        <f>IF($AD77="","",INDEX('Per Line'!$P$2:$P$3001,$AD77))</f>
        <v/>
      </c>
      <c r="P77" s="7">
        <f>IF($AD77="","",IF(AND(ISNUMBER(Q77),Q77&gt;0,AB77&gt;Q77),O77*Q77/100+(AB77-Q77),O77*AB77/100))</f>
        <v/>
      </c>
      <c r="Q77">
        <f>IF($AD77="","",INDEX('Per Line'!$AG$2:$AG$3001,$AD77))</f>
        <v/>
      </c>
      <c r="R77">
        <f>IF($AD77="","",IF(AND(ISNUMBER(Q77),Q77&gt;0),AB77&gt;Q77,FALSE))</f>
        <v/>
      </c>
      <c r="S77" s="7">
        <f>IF($AD77="","",SUMIFS('Per Line'!$AB$2:$AB$3001,'Per Line'!$E$2:$E$3001,$B77,'Per Line'!$AQ$2:$AQ$3001,1))</f>
        <v/>
      </c>
      <c r="T77">
        <f>IF($AD77="","",Settings!$C$7)</f>
        <v/>
      </c>
      <c r="U77" s="7">
        <f>IF($AD77="","",SUMIFS('Per Line'!$AB$2:$AB$3001,'Per Line'!$E$2:$E$3001,$B77,'Per Line'!$AP$2:$AP$3001,0,'Per Line'!$AQ$2:$AQ$3001,0))</f>
        <v/>
      </c>
      <c r="V77" s="7">
        <f>IF($AD77="","",U77*T77)</f>
        <v/>
      </c>
      <c r="W77">
        <f>IF($AD77="","",Settings!$C$6)</f>
        <v/>
      </c>
      <c r="X77" s="7">
        <f>IF($AD77="","",SUMIFS('Per Line'!$AB$2:$AB$3001,'Per Line'!$E$2:$E$3001,$B77,'Per Line'!$AP$2:$AP$3001,1,'Per Line'!$AQ$2:$AQ$3001,0))</f>
        <v/>
      </c>
      <c r="Y77" s="7">
        <f>IF($AD77="","",X77*W77)</f>
        <v/>
      </c>
      <c r="Z77" s="7">
        <f>IF($AD77="","",Y77+V77)</f>
        <v/>
      </c>
      <c r="AA77" s="7">
        <f>IF($AD77="","",AB77-Z77)</f>
        <v/>
      </c>
      <c r="AB77" s="7">
        <f>IF($AD77="","",U77+X77+S77)</f>
        <v/>
      </c>
      <c r="AC77" s="7">
        <f>IF($AD77="","",AB77-Z77-P77)</f>
        <v/>
      </c>
      <c r="AD77" s="13">
        <f>IF(ROWS($AD$2:$AD77)&lt;=MAX('Per Line'!$AO$2:$AO$3001),MATCH(ROWS($AD$2:$AD77),'Per Line'!$AO$2:$AO$3001,0),"")</f>
        <v/>
      </c>
      <c r="AE77" s="14">
        <f>IF($AD77="","",P77-O77*AB77/100)</f>
        <v/>
      </c>
    </row>
    <row r="78">
      <c r="A78" s="12" t="n"/>
      <c r="B78">
        <f>IF($AD78="","",INDEX('Per Line'!$E$2:$E$3001,$AD78)&amp;"")</f>
        <v/>
      </c>
      <c r="C78">
        <f>IF($AD78="","",INDEX('Per Line'!$A$2:$A$3001,$AD78)&amp;"")</f>
        <v/>
      </c>
      <c r="D78">
        <f>IF($AD78="","",INDEX('Per Line'!$C$2:$C$3001,$AD78)&amp;"")</f>
        <v/>
      </c>
      <c r="E78">
        <f>IF($AD78="","",INDEX('Per Line'!$B$2:$B$3001,$AD78))</f>
        <v/>
      </c>
      <c r="F78">
        <f>IF($AD78="","",INDEX('Per Line'!$D$2:$D$3001,$AD78)&amp;"")</f>
        <v/>
      </c>
      <c r="G78" s="11">
        <f>IF($AD78="","",INDEX('Per Line'!$G$2:$G$3001,$AD78))</f>
        <v/>
      </c>
      <c r="H78">
        <f>IF($AD78="","",INDEX('Per Line'!$J$2:$J$3001,$AD78)&amp;"")</f>
        <v/>
      </c>
      <c r="I78">
        <f>IF($AD78="","",INDEX('Per Line'!$H$2:$H$3001,$AD78)&amp;"")</f>
        <v/>
      </c>
      <c r="J78">
        <f>IF($AD78="","",INDEX('Per Line'!$F$2:$F$3001,$AD78)&amp;"")</f>
        <v/>
      </c>
      <c r="K78">
        <f>IF($AD78="","",INDEX('Per Line'!$K$2:$K$3001,$AD78)&amp;"")</f>
        <v/>
      </c>
      <c r="L78">
        <f>IF($AD78="","",INDEX('Per Line'!$L$2:$L$3001,$AD78)&amp;"")</f>
        <v/>
      </c>
      <c r="M78">
        <f>IF($AD78="","",INDEX('Per Line'!$M$2:$M$3001,$AD78)&amp;"")</f>
        <v/>
      </c>
      <c r="N78">
        <f>IF($AD78="","",INDEX('Per Line'!$AC$2:$AC$3001,$AD78)&amp;"")</f>
        <v/>
      </c>
      <c r="O78">
        <f>IF($AD78="","",INDEX('Per Line'!$P$2:$P$3001,$AD78))</f>
        <v/>
      </c>
      <c r="P78" s="7">
        <f>IF($AD78="","",IF(AND(ISNUMBER(Q78),Q78&gt;0,AB78&gt;Q78),O78*Q78/100+(AB78-Q78),O78*AB78/100))</f>
        <v/>
      </c>
      <c r="Q78">
        <f>IF($AD78="","",INDEX('Per Line'!$AG$2:$AG$3001,$AD78))</f>
        <v/>
      </c>
      <c r="R78">
        <f>IF($AD78="","",IF(AND(ISNUMBER(Q78),Q78&gt;0),AB78&gt;Q78,FALSE))</f>
        <v/>
      </c>
      <c r="S78" s="7">
        <f>IF($AD78="","",SUMIFS('Per Line'!$AB$2:$AB$3001,'Per Line'!$E$2:$E$3001,$B78,'Per Line'!$AQ$2:$AQ$3001,1))</f>
        <v/>
      </c>
      <c r="T78">
        <f>IF($AD78="","",Settings!$C$7)</f>
        <v/>
      </c>
      <c r="U78" s="7">
        <f>IF($AD78="","",SUMIFS('Per Line'!$AB$2:$AB$3001,'Per Line'!$E$2:$E$3001,$B78,'Per Line'!$AP$2:$AP$3001,0,'Per Line'!$AQ$2:$AQ$3001,0))</f>
        <v/>
      </c>
      <c r="V78" s="7">
        <f>IF($AD78="","",U78*T78)</f>
        <v/>
      </c>
      <c r="W78">
        <f>IF($AD78="","",Settings!$C$6)</f>
        <v/>
      </c>
      <c r="X78" s="7">
        <f>IF($AD78="","",SUMIFS('Per Line'!$AB$2:$AB$3001,'Per Line'!$E$2:$E$3001,$B78,'Per Line'!$AP$2:$AP$3001,1,'Per Line'!$AQ$2:$AQ$3001,0))</f>
        <v/>
      </c>
      <c r="Y78" s="7">
        <f>IF($AD78="","",X78*W78)</f>
        <v/>
      </c>
      <c r="Z78" s="7">
        <f>IF($AD78="","",Y78+V78)</f>
        <v/>
      </c>
      <c r="AA78" s="7">
        <f>IF($AD78="","",AB78-Z78)</f>
        <v/>
      </c>
      <c r="AB78" s="7">
        <f>IF($AD78="","",U78+X78+S78)</f>
        <v/>
      </c>
      <c r="AC78" s="7">
        <f>IF($AD78="","",AB78-Z78-P78)</f>
        <v/>
      </c>
      <c r="AD78" s="13">
        <f>IF(ROWS($AD$2:$AD78)&lt;=MAX('Per Line'!$AO$2:$AO$3001),MATCH(ROWS($AD$2:$AD78),'Per Line'!$AO$2:$AO$3001,0),"")</f>
        <v/>
      </c>
      <c r="AE78" s="14">
        <f>IF($AD78="","",P78-O78*AB78/100)</f>
        <v/>
      </c>
    </row>
    <row r="79">
      <c r="A79" s="12" t="n"/>
      <c r="B79">
        <f>IF($AD79="","",INDEX('Per Line'!$E$2:$E$3001,$AD79)&amp;"")</f>
        <v/>
      </c>
      <c r="C79">
        <f>IF($AD79="","",INDEX('Per Line'!$A$2:$A$3001,$AD79)&amp;"")</f>
        <v/>
      </c>
      <c r="D79">
        <f>IF($AD79="","",INDEX('Per Line'!$C$2:$C$3001,$AD79)&amp;"")</f>
        <v/>
      </c>
      <c r="E79">
        <f>IF($AD79="","",INDEX('Per Line'!$B$2:$B$3001,$AD79))</f>
        <v/>
      </c>
      <c r="F79">
        <f>IF($AD79="","",INDEX('Per Line'!$D$2:$D$3001,$AD79)&amp;"")</f>
        <v/>
      </c>
      <c r="G79" s="11">
        <f>IF($AD79="","",INDEX('Per Line'!$G$2:$G$3001,$AD79))</f>
        <v/>
      </c>
      <c r="H79">
        <f>IF($AD79="","",INDEX('Per Line'!$J$2:$J$3001,$AD79)&amp;"")</f>
        <v/>
      </c>
      <c r="I79">
        <f>IF($AD79="","",INDEX('Per Line'!$H$2:$H$3001,$AD79)&amp;"")</f>
        <v/>
      </c>
      <c r="J79">
        <f>IF($AD79="","",INDEX('Per Line'!$F$2:$F$3001,$AD79)&amp;"")</f>
        <v/>
      </c>
      <c r="K79">
        <f>IF($AD79="","",INDEX('Per Line'!$K$2:$K$3001,$AD79)&amp;"")</f>
        <v/>
      </c>
      <c r="L79">
        <f>IF($AD79="","",INDEX('Per Line'!$L$2:$L$3001,$AD79)&amp;"")</f>
        <v/>
      </c>
      <c r="M79">
        <f>IF($AD79="","",INDEX('Per Line'!$M$2:$M$3001,$AD79)&amp;"")</f>
        <v/>
      </c>
      <c r="N79">
        <f>IF($AD79="","",INDEX('Per Line'!$AC$2:$AC$3001,$AD79)&amp;"")</f>
        <v/>
      </c>
      <c r="O79">
        <f>IF($AD79="","",INDEX('Per Line'!$P$2:$P$3001,$AD79))</f>
        <v/>
      </c>
      <c r="P79" s="7">
        <f>IF($AD79="","",IF(AND(ISNUMBER(Q79),Q79&gt;0,AB79&gt;Q79),O79*Q79/100+(AB79-Q79),O79*AB79/100))</f>
        <v/>
      </c>
      <c r="Q79">
        <f>IF($AD79="","",INDEX('Per Line'!$AG$2:$AG$3001,$AD79))</f>
        <v/>
      </c>
      <c r="R79">
        <f>IF($AD79="","",IF(AND(ISNUMBER(Q79),Q79&gt;0),AB79&gt;Q79,FALSE))</f>
        <v/>
      </c>
      <c r="S79" s="7">
        <f>IF($AD79="","",SUMIFS('Per Line'!$AB$2:$AB$3001,'Per Line'!$E$2:$E$3001,$B79,'Per Line'!$AQ$2:$AQ$3001,1))</f>
        <v/>
      </c>
      <c r="T79">
        <f>IF($AD79="","",Settings!$C$7)</f>
        <v/>
      </c>
      <c r="U79" s="7">
        <f>IF($AD79="","",SUMIFS('Per Line'!$AB$2:$AB$3001,'Per Line'!$E$2:$E$3001,$B79,'Per Line'!$AP$2:$AP$3001,0,'Per Line'!$AQ$2:$AQ$3001,0))</f>
        <v/>
      </c>
      <c r="V79" s="7">
        <f>IF($AD79="","",U79*T79)</f>
        <v/>
      </c>
      <c r="W79">
        <f>IF($AD79="","",Settings!$C$6)</f>
        <v/>
      </c>
      <c r="X79" s="7">
        <f>IF($AD79="","",SUMIFS('Per Line'!$AB$2:$AB$3001,'Per Line'!$E$2:$E$3001,$B79,'Per Line'!$AP$2:$AP$3001,1,'Per Line'!$AQ$2:$AQ$3001,0))</f>
        <v/>
      </c>
      <c r="Y79" s="7">
        <f>IF($AD79="","",X79*W79)</f>
        <v/>
      </c>
      <c r="Z79" s="7">
        <f>IF($AD79="","",Y79+V79)</f>
        <v/>
      </c>
      <c r="AA79" s="7">
        <f>IF($AD79="","",AB79-Z79)</f>
        <v/>
      </c>
      <c r="AB79" s="7">
        <f>IF($AD79="","",U79+X79+S79)</f>
        <v/>
      </c>
      <c r="AC79" s="7">
        <f>IF($AD79="","",AB79-Z79-P79)</f>
        <v/>
      </c>
      <c r="AD79" s="13">
        <f>IF(ROWS($AD$2:$AD79)&lt;=MAX('Per Line'!$AO$2:$AO$3001),MATCH(ROWS($AD$2:$AD79),'Per Line'!$AO$2:$AO$3001,0),"")</f>
        <v/>
      </c>
      <c r="AE79" s="14">
        <f>IF($AD79="","",P79-O79*AB79/100)</f>
        <v/>
      </c>
    </row>
    <row r="80">
      <c r="A80" s="12" t="n"/>
      <c r="B80">
        <f>IF($AD80="","",INDEX('Per Line'!$E$2:$E$3001,$AD80)&amp;"")</f>
        <v/>
      </c>
      <c r="C80">
        <f>IF($AD80="","",INDEX('Per Line'!$A$2:$A$3001,$AD80)&amp;"")</f>
        <v/>
      </c>
      <c r="D80">
        <f>IF($AD80="","",INDEX('Per Line'!$C$2:$C$3001,$AD80)&amp;"")</f>
        <v/>
      </c>
      <c r="E80">
        <f>IF($AD80="","",INDEX('Per Line'!$B$2:$B$3001,$AD80))</f>
        <v/>
      </c>
      <c r="F80">
        <f>IF($AD80="","",INDEX('Per Line'!$D$2:$D$3001,$AD80)&amp;"")</f>
        <v/>
      </c>
      <c r="G80" s="11">
        <f>IF($AD80="","",INDEX('Per Line'!$G$2:$G$3001,$AD80))</f>
        <v/>
      </c>
      <c r="H80">
        <f>IF($AD80="","",INDEX('Per Line'!$J$2:$J$3001,$AD80)&amp;"")</f>
        <v/>
      </c>
      <c r="I80">
        <f>IF($AD80="","",INDEX('Per Line'!$H$2:$H$3001,$AD80)&amp;"")</f>
        <v/>
      </c>
      <c r="J80">
        <f>IF($AD80="","",INDEX('Per Line'!$F$2:$F$3001,$AD80)&amp;"")</f>
        <v/>
      </c>
      <c r="K80">
        <f>IF($AD80="","",INDEX('Per Line'!$K$2:$K$3001,$AD80)&amp;"")</f>
        <v/>
      </c>
      <c r="L80">
        <f>IF($AD80="","",INDEX('Per Line'!$L$2:$L$3001,$AD80)&amp;"")</f>
        <v/>
      </c>
      <c r="M80">
        <f>IF($AD80="","",INDEX('Per Line'!$M$2:$M$3001,$AD80)&amp;"")</f>
        <v/>
      </c>
      <c r="N80">
        <f>IF($AD80="","",INDEX('Per Line'!$AC$2:$AC$3001,$AD80)&amp;"")</f>
        <v/>
      </c>
      <c r="O80">
        <f>IF($AD80="","",INDEX('Per Line'!$P$2:$P$3001,$AD80))</f>
        <v/>
      </c>
      <c r="P80" s="7">
        <f>IF($AD80="","",IF(AND(ISNUMBER(Q80),Q80&gt;0,AB80&gt;Q80),O80*Q80/100+(AB80-Q80),O80*AB80/100))</f>
        <v/>
      </c>
      <c r="Q80">
        <f>IF($AD80="","",INDEX('Per Line'!$AG$2:$AG$3001,$AD80))</f>
        <v/>
      </c>
      <c r="R80">
        <f>IF($AD80="","",IF(AND(ISNUMBER(Q80),Q80&gt;0),AB80&gt;Q80,FALSE))</f>
        <v/>
      </c>
      <c r="S80" s="7">
        <f>IF($AD80="","",SUMIFS('Per Line'!$AB$2:$AB$3001,'Per Line'!$E$2:$E$3001,$B80,'Per Line'!$AQ$2:$AQ$3001,1))</f>
        <v/>
      </c>
      <c r="T80">
        <f>IF($AD80="","",Settings!$C$7)</f>
        <v/>
      </c>
      <c r="U80" s="7">
        <f>IF($AD80="","",SUMIFS('Per Line'!$AB$2:$AB$3001,'Per Line'!$E$2:$E$3001,$B80,'Per Line'!$AP$2:$AP$3001,0,'Per Line'!$AQ$2:$AQ$3001,0))</f>
        <v/>
      </c>
      <c r="V80" s="7">
        <f>IF($AD80="","",U80*T80)</f>
        <v/>
      </c>
      <c r="W80">
        <f>IF($AD80="","",Settings!$C$6)</f>
        <v/>
      </c>
      <c r="X80" s="7">
        <f>IF($AD80="","",SUMIFS('Per Line'!$AB$2:$AB$3001,'Per Line'!$E$2:$E$3001,$B80,'Per Line'!$AP$2:$AP$3001,1,'Per Line'!$AQ$2:$AQ$3001,0))</f>
        <v/>
      </c>
      <c r="Y80" s="7">
        <f>IF($AD80="","",X80*W80)</f>
        <v/>
      </c>
      <c r="Z80" s="7">
        <f>IF($AD80="","",Y80+V80)</f>
        <v/>
      </c>
      <c r="AA80" s="7">
        <f>IF($AD80="","",AB80-Z80)</f>
        <v/>
      </c>
      <c r="AB80" s="7">
        <f>IF($AD80="","",U80+X80+S80)</f>
        <v/>
      </c>
      <c r="AC80" s="7">
        <f>IF($AD80="","",AB80-Z80-P80)</f>
        <v/>
      </c>
      <c r="AD80" s="13">
        <f>IF(ROWS($AD$2:$AD80)&lt;=MAX('Per Line'!$AO$2:$AO$3001),MATCH(ROWS($AD$2:$AD80),'Per Line'!$AO$2:$AO$3001,0),"")</f>
        <v/>
      </c>
      <c r="AE80" s="14">
        <f>IF($AD80="","",P80-O80*AB80/100)</f>
        <v/>
      </c>
    </row>
    <row r="81">
      <c r="A81" s="12" t="n"/>
      <c r="B81">
        <f>IF($AD81="","",INDEX('Per Line'!$E$2:$E$3001,$AD81)&amp;"")</f>
        <v/>
      </c>
      <c r="C81">
        <f>IF($AD81="","",INDEX('Per Line'!$A$2:$A$3001,$AD81)&amp;"")</f>
        <v/>
      </c>
      <c r="D81">
        <f>IF($AD81="","",INDEX('Per Line'!$C$2:$C$3001,$AD81)&amp;"")</f>
        <v/>
      </c>
      <c r="E81">
        <f>IF($AD81="","",INDEX('Per Line'!$B$2:$B$3001,$AD81))</f>
        <v/>
      </c>
      <c r="F81">
        <f>IF($AD81="","",INDEX('Per Line'!$D$2:$D$3001,$AD81)&amp;"")</f>
        <v/>
      </c>
      <c r="G81" s="11">
        <f>IF($AD81="","",INDEX('Per Line'!$G$2:$G$3001,$AD81))</f>
        <v/>
      </c>
      <c r="H81">
        <f>IF($AD81="","",INDEX('Per Line'!$J$2:$J$3001,$AD81)&amp;"")</f>
        <v/>
      </c>
      <c r="I81">
        <f>IF($AD81="","",INDEX('Per Line'!$H$2:$H$3001,$AD81)&amp;"")</f>
        <v/>
      </c>
      <c r="J81">
        <f>IF($AD81="","",INDEX('Per Line'!$F$2:$F$3001,$AD81)&amp;"")</f>
        <v/>
      </c>
      <c r="K81">
        <f>IF($AD81="","",INDEX('Per Line'!$K$2:$K$3001,$AD81)&amp;"")</f>
        <v/>
      </c>
      <c r="L81">
        <f>IF($AD81="","",INDEX('Per Line'!$L$2:$L$3001,$AD81)&amp;"")</f>
        <v/>
      </c>
      <c r="M81">
        <f>IF($AD81="","",INDEX('Per Line'!$M$2:$M$3001,$AD81)&amp;"")</f>
        <v/>
      </c>
      <c r="N81">
        <f>IF($AD81="","",INDEX('Per Line'!$AC$2:$AC$3001,$AD81)&amp;"")</f>
        <v/>
      </c>
      <c r="O81">
        <f>IF($AD81="","",INDEX('Per Line'!$P$2:$P$3001,$AD81))</f>
        <v/>
      </c>
      <c r="P81" s="7">
        <f>IF($AD81="","",IF(AND(ISNUMBER(Q81),Q81&gt;0,AB81&gt;Q81),O81*Q81/100+(AB81-Q81),O81*AB81/100))</f>
        <v/>
      </c>
      <c r="Q81">
        <f>IF($AD81="","",INDEX('Per Line'!$AG$2:$AG$3001,$AD81))</f>
        <v/>
      </c>
      <c r="R81">
        <f>IF($AD81="","",IF(AND(ISNUMBER(Q81),Q81&gt;0),AB81&gt;Q81,FALSE))</f>
        <v/>
      </c>
      <c r="S81" s="7">
        <f>IF($AD81="","",SUMIFS('Per Line'!$AB$2:$AB$3001,'Per Line'!$E$2:$E$3001,$B81,'Per Line'!$AQ$2:$AQ$3001,1))</f>
        <v/>
      </c>
      <c r="T81">
        <f>IF($AD81="","",Settings!$C$7)</f>
        <v/>
      </c>
      <c r="U81" s="7">
        <f>IF($AD81="","",SUMIFS('Per Line'!$AB$2:$AB$3001,'Per Line'!$E$2:$E$3001,$B81,'Per Line'!$AP$2:$AP$3001,0,'Per Line'!$AQ$2:$AQ$3001,0))</f>
        <v/>
      </c>
      <c r="V81" s="7">
        <f>IF($AD81="","",U81*T81)</f>
        <v/>
      </c>
      <c r="W81">
        <f>IF($AD81="","",Settings!$C$6)</f>
        <v/>
      </c>
      <c r="X81" s="7">
        <f>IF($AD81="","",SUMIFS('Per Line'!$AB$2:$AB$3001,'Per Line'!$E$2:$E$3001,$B81,'Per Line'!$AP$2:$AP$3001,1,'Per Line'!$AQ$2:$AQ$3001,0))</f>
        <v/>
      </c>
      <c r="Y81" s="7">
        <f>IF($AD81="","",X81*W81)</f>
        <v/>
      </c>
      <c r="Z81" s="7">
        <f>IF($AD81="","",Y81+V81)</f>
        <v/>
      </c>
      <c r="AA81" s="7">
        <f>IF($AD81="","",AB81-Z81)</f>
        <v/>
      </c>
      <c r="AB81" s="7">
        <f>IF($AD81="","",U81+X81+S81)</f>
        <v/>
      </c>
      <c r="AC81" s="7">
        <f>IF($AD81="","",AB81-Z81-P81)</f>
        <v/>
      </c>
      <c r="AD81" s="13">
        <f>IF(ROWS($AD$2:$AD81)&lt;=MAX('Per Line'!$AO$2:$AO$3001),MATCH(ROWS($AD$2:$AD81),'Per Line'!$AO$2:$AO$3001,0),"")</f>
        <v/>
      </c>
      <c r="AE81" s="14">
        <f>IF($AD81="","",P81-O81*AB81/100)</f>
        <v/>
      </c>
    </row>
    <row r="82">
      <c r="A82" s="12" t="n"/>
      <c r="B82">
        <f>IF($AD82="","",INDEX('Per Line'!$E$2:$E$3001,$AD82)&amp;"")</f>
        <v/>
      </c>
      <c r="C82">
        <f>IF($AD82="","",INDEX('Per Line'!$A$2:$A$3001,$AD82)&amp;"")</f>
        <v/>
      </c>
      <c r="D82">
        <f>IF($AD82="","",INDEX('Per Line'!$C$2:$C$3001,$AD82)&amp;"")</f>
        <v/>
      </c>
      <c r="E82">
        <f>IF($AD82="","",INDEX('Per Line'!$B$2:$B$3001,$AD82))</f>
        <v/>
      </c>
      <c r="F82">
        <f>IF($AD82="","",INDEX('Per Line'!$D$2:$D$3001,$AD82)&amp;"")</f>
        <v/>
      </c>
      <c r="G82" s="11">
        <f>IF($AD82="","",INDEX('Per Line'!$G$2:$G$3001,$AD82))</f>
        <v/>
      </c>
      <c r="H82">
        <f>IF($AD82="","",INDEX('Per Line'!$J$2:$J$3001,$AD82)&amp;"")</f>
        <v/>
      </c>
      <c r="I82">
        <f>IF($AD82="","",INDEX('Per Line'!$H$2:$H$3001,$AD82)&amp;"")</f>
        <v/>
      </c>
      <c r="J82">
        <f>IF($AD82="","",INDEX('Per Line'!$F$2:$F$3001,$AD82)&amp;"")</f>
        <v/>
      </c>
      <c r="K82">
        <f>IF($AD82="","",INDEX('Per Line'!$K$2:$K$3001,$AD82)&amp;"")</f>
        <v/>
      </c>
      <c r="L82">
        <f>IF($AD82="","",INDEX('Per Line'!$L$2:$L$3001,$AD82)&amp;"")</f>
        <v/>
      </c>
      <c r="M82">
        <f>IF($AD82="","",INDEX('Per Line'!$M$2:$M$3001,$AD82)&amp;"")</f>
        <v/>
      </c>
      <c r="N82">
        <f>IF($AD82="","",INDEX('Per Line'!$AC$2:$AC$3001,$AD82)&amp;"")</f>
        <v/>
      </c>
      <c r="O82">
        <f>IF($AD82="","",INDEX('Per Line'!$P$2:$P$3001,$AD82))</f>
        <v/>
      </c>
      <c r="P82" s="7">
        <f>IF($AD82="","",IF(AND(ISNUMBER(Q82),Q82&gt;0,AB82&gt;Q82),O82*Q82/100+(AB82-Q82),O82*AB82/100))</f>
        <v/>
      </c>
      <c r="Q82">
        <f>IF($AD82="","",INDEX('Per Line'!$AG$2:$AG$3001,$AD82))</f>
        <v/>
      </c>
      <c r="R82">
        <f>IF($AD82="","",IF(AND(ISNUMBER(Q82),Q82&gt;0),AB82&gt;Q82,FALSE))</f>
        <v/>
      </c>
      <c r="S82" s="7">
        <f>IF($AD82="","",SUMIFS('Per Line'!$AB$2:$AB$3001,'Per Line'!$E$2:$E$3001,$B82,'Per Line'!$AQ$2:$AQ$3001,1))</f>
        <v/>
      </c>
      <c r="T82">
        <f>IF($AD82="","",Settings!$C$7)</f>
        <v/>
      </c>
      <c r="U82" s="7">
        <f>IF($AD82="","",SUMIFS('Per Line'!$AB$2:$AB$3001,'Per Line'!$E$2:$E$3001,$B82,'Per Line'!$AP$2:$AP$3001,0,'Per Line'!$AQ$2:$AQ$3001,0))</f>
        <v/>
      </c>
      <c r="V82" s="7">
        <f>IF($AD82="","",U82*T82)</f>
        <v/>
      </c>
      <c r="W82">
        <f>IF($AD82="","",Settings!$C$6)</f>
        <v/>
      </c>
      <c r="X82" s="7">
        <f>IF($AD82="","",SUMIFS('Per Line'!$AB$2:$AB$3001,'Per Line'!$E$2:$E$3001,$B82,'Per Line'!$AP$2:$AP$3001,1,'Per Line'!$AQ$2:$AQ$3001,0))</f>
        <v/>
      </c>
      <c r="Y82" s="7">
        <f>IF($AD82="","",X82*W82)</f>
        <v/>
      </c>
      <c r="Z82" s="7">
        <f>IF($AD82="","",Y82+V82)</f>
        <v/>
      </c>
      <c r="AA82" s="7">
        <f>IF($AD82="","",AB82-Z82)</f>
        <v/>
      </c>
      <c r="AB82" s="7">
        <f>IF($AD82="","",U82+X82+S82)</f>
        <v/>
      </c>
      <c r="AC82" s="7">
        <f>IF($AD82="","",AB82-Z82-P82)</f>
        <v/>
      </c>
      <c r="AD82" s="13">
        <f>IF(ROWS($AD$2:$AD82)&lt;=MAX('Per Line'!$AO$2:$AO$3001),MATCH(ROWS($AD$2:$AD82),'Per Line'!$AO$2:$AO$3001,0),"")</f>
        <v/>
      </c>
      <c r="AE82" s="14">
        <f>IF($AD82="","",P82-O82*AB82/100)</f>
        <v/>
      </c>
    </row>
    <row r="83">
      <c r="A83" s="12" t="n"/>
      <c r="B83">
        <f>IF($AD83="","",INDEX('Per Line'!$E$2:$E$3001,$AD83)&amp;"")</f>
        <v/>
      </c>
      <c r="C83">
        <f>IF($AD83="","",INDEX('Per Line'!$A$2:$A$3001,$AD83)&amp;"")</f>
        <v/>
      </c>
      <c r="D83">
        <f>IF($AD83="","",INDEX('Per Line'!$C$2:$C$3001,$AD83)&amp;"")</f>
        <v/>
      </c>
      <c r="E83">
        <f>IF($AD83="","",INDEX('Per Line'!$B$2:$B$3001,$AD83))</f>
        <v/>
      </c>
      <c r="F83">
        <f>IF($AD83="","",INDEX('Per Line'!$D$2:$D$3001,$AD83)&amp;"")</f>
        <v/>
      </c>
      <c r="G83" s="11">
        <f>IF($AD83="","",INDEX('Per Line'!$G$2:$G$3001,$AD83))</f>
        <v/>
      </c>
      <c r="H83">
        <f>IF($AD83="","",INDEX('Per Line'!$J$2:$J$3001,$AD83)&amp;"")</f>
        <v/>
      </c>
      <c r="I83">
        <f>IF($AD83="","",INDEX('Per Line'!$H$2:$H$3001,$AD83)&amp;"")</f>
        <v/>
      </c>
      <c r="J83">
        <f>IF($AD83="","",INDEX('Per Line'!$F$2:$F$3001,$AD83)&amp;"")</f>
        <v/>
      </c>
      <c r="K83">
        <f>IF($AD83="","",INDEX('Per Line'!$K$2:$K$3001,$AD83)&amp;"")</f>
        <v/>
      </c>
      <c r="L83">
        <f>IF($AD83="","",INDEX('Per Line'!$L$2:$L$3001,$AD83)&amp;"")</f>
        <v/>
      </c>
      <c r="M83">
        <f>IF($AD83="","",INDEX('Per Line'!$M$2:$M$3001,$AD83)&amp;"")</f>
        <v/>
      </c>
      <c r="N83">
        <f>IF($AD83="","",INDEX('Per Line'!$AC$2:$AC$3001,$AD83)&amp;"")</f>
        <v/>
      </c>
      <c r="O83">
        <f>IF($AD83="","",INDEX('Per Line'!$P$2:$P$3001,$AD83))</f>
        <v/>
      </c>
      <c r="P83" s="7">
        <f>IF($AD83="","",IF(AND(ISNUMBER(Q83),Q83&gt;0,AB83&gt;Q83),O83*Q83/100+(AB83-Q83),O83*AB83/100))</f>
        <v/>
      </c>
      <c r="Q83">
        <f>IF($AD83="","",INDEX('Per Line'!$AG$2:$AG$3001,$AD83))</f>
        <v/>
      </c>
      <c r="R83">
        <f>IF($AD83="","",IF(AND(ISNUMBER(Q83),Q83&gt;0),AB83&gt;Q83,FALSE))</f>
        <v/>
      </c>
      <c r="S83" s="7">
        <f>IF($AD83="","",SUMIFS('Per Line'!$AB$2:$AB$3001,'Per Line'!$E$2:$E$3001,$B83,'Per Line'!$AQ$2:$AQ$3001,1))</f>
        <v/>
      </c>
      <c r="T83">
        <f>IF($AD83="","",Settings!$C$7)</f>
        <v/>
      </c>
      <c r="U83" s="7">
        <f>IF($AD83="","",SUMIFS('Per Line'!$AB$2:$AB$3001,'Per Line'!$E$2:$E$3001,$B83,'Per Line'!$AP$2:$AP$3001,0,'Per Line'!$AQ$2:$AQ$3001,0))</f>
        <v/>
      </c>
      <c r="V83" s="7">
        <f>IF($AD83="","",U83*T83)</f>
        <v/>
      </c>
      <c r="W83">
        <f>IF($AD83="","",Settings!$C$6)</f>
        <v/>
      </c>
      <c r="X83" s="7">
        <f>IF($AD83="","",SUMIFS('Per Line'!$AB$2:$AB$3001,'Per Line'!$E$2:$E$3001,$B83,'Per Line'!$AP$2:$AP$3001,1,'Per Line'!$AQ$2:$AQ$3001,0))</f>
        <v/>
      </c>
      <c r="Y83" s="7">
        <f>IF($AD83="","",X83*W83)</f>
        <v/>
      </c>
      <c r="Z83" s="7">
        <f>IF($AD83="","",Y83+V83)</f>
        <v/>
      </c>
      <c r="AA83" s="7">
        <f>IF($AD83="","",AB83-Z83)</f>
        <v/>
      </c>
      <c r="AB83" s="7">
        <f>IF($AD83="","",U83+X83+S83)</f>
        <v/>
      </c>
      <c r="AC83" s="7">
        <f>IF($AD83="","",AB83-Z83-P83)</f>
        <v/>
      </c>
      <c r="AD83" s="13">
        <f>IF(ROWS($AD$2:$AD83)&lt;=MAX('Per Line'!$AO$2:$AO$3001),MATCH(ROWS($AD$2:$AD83),'Per Line'!$AO$2:$AO$3001,0),"")</f>
        <v/>
      </c>
      <c r="AE83" s="14">
        <f>IF($AD83="","",P83-O83*AB83/100)</f>
        <v/>
      </c>
    </row>
    <row r="84">
      <c r="A84" s="12" t="n"/>
      <c r="B84">
        <f>IF($AD84="","",INDEX('Per Line'!$E$2:$E$3001,$AD84)&amp;"")</f>
        <v/>
      </c>
      <c r="C84">
        <f>IF($AD84="","",INDEX('Per Line'!$A$2:$A$3001,$AD84)&amp;"")</f>
        <v/>
      </c>
      <c r="D84">
        <f>IF($AD84="","",INDEX('Per Line'!$C$2:$C$3001,$AD84)&amp;"")</f>
        <v/>
      </c>
      <c r="E84">
        <f>IF($AD84="","",INDEX('Per Line'!$B$2:$B$3001,$AD84))</f>
        <v/>
      </c>
      <c r="F84">
        <f>IF($AD84="","",INDEX('Per Line'!$D$2:$D$3001,$AD84)&amp;"")</f>
        <v/>
      </c>
      <c r="G84" s="11">
        <f>IF($AD84="","",INDEX('Per Line'!$G$2:$G$3001,$AD84))</f>
        <v/>
      </c>
      <c r="H84">
        <f>IF($AD84="","",INDEX('Per Line'!$J$2:$J$3001,$AD84)&amp;"")</f>
        <v/>
      </c>
      <c r="I84">
        <f>IF($AD84="","",INDEX('Per Line'!$H$2:$H$3001,$AD84)&amp;"")</f>
        <v/>
      </c>
      <c r="J84">
        <f>IF($AD84="","",INDEX('Per Line'!$F$2:$F$3001,$AD84)&amp;"")</f>
        <v/>
      </c>
      <c r="K84">
        <f>IF($AD84="","",INDEX('Per Line'!$K$2:$K$3001,$AD84)&amp;"")</f>
        <v/>
      </c>
      <c r="L84">
        <f>IF($AD84="","",INDEX('Per Line'!$L$2:$L$3001,$AD84)&amp;"")</f>
        <v/>
      </c>
      <c r="M84">
        <f>IF($AD84="","",INDEX('Per Line'!$M$2:$M$3001,$AD84)&amp;"")</f>
        <v/>
      </c>
      <c r="N84">
        <f>IF($AD84="","",INDEX('Per Line'!$AC$2:$AC$3001,$AD84)&amp;"")</f>
        <v/>
      </c>
      <c r="O84">
        <f>IF($AD84="","",INDEX('Per Line'!$P$2:$P$3001,$AD84))</f>
        <v/>
      </c>
      <c r="P84" s="7">
        <f>IF($AD84="","",IF(AND(ISNUMBER(Q84),Q84&gt;0,AB84&gt;Q84),O84*Q84/100+(AB84-Q84),O84*AB84/100))</f>
        <v/>
      </c>
      <c r="Q84">
        <f>IF($AD84="","",INDEX('Per Line'!$AG$2:$AG$3001,$AD84))</f>
        <v/>
      </c>
      <c r="R84">
        <f>IF($AD84="","",IF(AND(ISNUMBER(Q84),Q84&gt;0),AB84&gt;Q84,FALSE))</f>
        <v/>
      </c>
      <c r="S84" s="7">
        <f>IF($AD84="","",SUMIFS('Per Line'!$AB$2:$AB$3001,'Per Line'!$E$2:$E$3001,$B84,'Per Line'!$AQ$2:$AQ$3001,1))</f>
        <v/>
      </c>
      <c r="T84">
        <f>IF($AD84="","",Settings!$C$7)</f>
        <v/>
      </c>
      <c r="U84" s="7">
        <f>IF($AD84="","",SUMIFS('Per Line'!$AB$2:$AB$3001,'Per Line'!$E$2:$E$3001,$B84,'Per Line'!$AP$2:$AP$3001,0,'Per Line'!$AQ$2:$AQ$3001,0))</f>
        <v/>
      </c>
      <c r="V84" s="7">
        <f>IF($AD84="","",U84*T84)</f>
        <v/>
      </c>
      <c r="W84">
        <f>IF($AD84="","",Settings!$C$6)</f>
        <v/>
      </c>
      <c r="X84" s="7">
        <f>IF($AD84="","",SUMIFS('Per Line'!$AB$2:$AB$3001,'Per Line'!$E$2:$E$3001,$B84,'Per Line'!$AP$2:$AP$3001,1,'Per Line'!$AQ$2:$AQ$3001,0))</f>
        <v/>
      </c>
      <c r="Y84" s="7">
        <f>IF($AD84="","",X84*W84)</f>
        <v/>
      </c>
      <c r="Z84" s="7">
        <f>IF($AD84="","",Y84+V84)</f>
        <v/>
      </c>
      <c r="AA84" s="7">
        <f>IF($AD84="","",AB84-Z84)</f>
        <v/>
      </c>
      <c r="AB84" s="7">
        <f>IF($AD84="","",U84+X84+S84)</f>
        <v/>
      </c>
      <c r="AC84" s="7">
        <f>IF($AD84="","",AB84-Z84-P84)</f>
        <v/>
      </c>
      <c r="AD84" s="13">
        <f>IF(ROWS($AD$2:$AD84)&lt;=MAX('Per Line'!$AO$2:$AO$3001),MATCH(ROWS($AD$2:$AD84),'Per Line'!$AO$2:$AO$3001,0),"")</f>
        <v/>
      </c>
      <c r="AE84" s="14">
        <f>IF($AD84="","",P84-O84*AB84/100)</f>
        <v/>
      </c>
    </row>
    <row r="85">
      <c r="A85" s="12" t="n"/>
      <c r="B85">
        <f>IF($AD85="","",INDEX('Per Line'!$E$2:$E$3001,$AD85)&amp;"")</f>
        <v/>
      </c>
      <c r="C85">
        <f>IF($AD85="","",INDEX('Per Line'!$A$2:$A$3001,$AD85)&amp;"")</f>
        <v/>
      </c>
      <c r="D85">
        <f>IF($AD85="","",INDEX('Per Line'!$C$2:$C$3001,$AD85)&amp;"")</f>
        <v/>
      </c>
      <c r="E85">
        <f>IF($AD85="","",INDEX('Per Line'!$B$2:$B$3001,$AD85))</f>
        <v/>
      </c>
      <c r="F85">
        <f>IF($AD85="","",INDEX('Per Line'!$D$2:$D$3001,$AD85)&amp;"")</f>
        <v/>
      </c>
      <c r="G85" s="11">
        <f>IF($AD85="","",INDEX('Per Line'!$G$2:$G$3001,$AD85))</f>
        <v/>
      </c>
      <c r="H85">
        <f>IF($AD85="","",INDEX('Per Line'!$J$2:$J$3001,$AD85)&amp;"")</f>
        <v/>
      </c>
      <c r="I85">
        <f>IF($AD85="","",INDEX('Per Line'!$H$2:$H$3001,$AD85)&amp;"")</f>
        <v/>
      </c>
      <c r="J85">
        <f>IF($AD85="","",INDEX('Per Line'!$F$2:$F$3001,$AD85)&amp;"")</f>
        <v/>
      </c>
      <c r="K85">
        <f>IF($AD85="","",INDEX('Per Line'!$K$2:$K$3001,$AD85)&amp;"")</f>
        <v/>
      </c>
      <c r="L85">
        <f>IF($AD85="","",INDEX('Per Line'!$L$2:$L$3001,$AD85)&amp;"")</f>
        <v/>
      </c>
      <c r="M85">
        <f>IF($AD85="","",INDEX('Per Line'!$M$2:$M$3001,$AD85)&amp;"")</f>
        <v/>
      </c>
      <c r="N85">
        <f>IF($AD85="","",INDEX('Per Line'!$AC$2:$AC$3001,$AD85)&amp;"")</f>
        <v/>
      </c>
      <c r="O85">
        <f>IF($AD85="","",INDEX('Per Line'!$P$2:$P$3001,$AD85))</f>
        <v/>
      </c>
      <c r="P85" s="7">
        <f>IF($AD85="","",IF(AND(ISNUMBER(Q85),Q85&gt;0,AB85&gt;Q85),O85*Q85/100+(AB85-Q85),O85*AB85/100))</f>
        <v/>
      </c>
      <c r="Q85">
        <f>IF($AD85="","",INDEX('Per Line'!$AG$2:$AG$3001,$AD85))</f>
        <v/>
      </c>
      <c r="R85">
        <f>IF($AD85="","",IF(AND(ISNUMBER(Q85),Q85&gt;0),AB85&gt;Q85,FALSE))</f>
        <v/>
      </c>
      <c r="S85" s="7">
        <f>IF($AD85="","",SUMIFS('Per Line'!$AB$2:$AB$3001,'Per Line'!$E$2:$E$3001,$B85,'Per Line'!$AQ$2:$AQ$3001,1))</f>
        <v/>
      </c>
      <c r="T85">
        <f>IF($AD85="","",Settings!$C$7)</f>
        <v/>
      </c>
      <c r="U85" s="7">
        <f>IF($AD85="","",SUMIFS('Per Line'!$AB$2:$AB$3001,'Per Line'!$E$2:$E$3001,$B85,'Per Line'!$AP$2:$AP$3001,0,'Per Line'!$AQ$2:$AQ$3001,0))</f>
        <v/>
      </c>
      <c r="V85" s="7">
        <f>IF($AD85="","",U85*T85)</f>
        <v/>
      </c>
      <c r="W85">
        <f>IF($AD85="","",Settings!$C$6)</f>
        <v/>
      </c>
      <c r="X85" s="7">
        <f>IF($AD85="","",SUMIFS('Per Line'!$AB$2:$AB$3001,'Per Line'!$E$2:$E$3001,$B85,'Per Line'!$AP$2:$AP$3001,1,'Per Line'!$AQ$2:$AQ$3001,0))</f>
        <v/>
      </c>
      <c r="Y85" s="7">
        <f>IF($AD85="","",X85*W85)</f>
        <v/>
      </c>
      <c r="Z85" s="7">
        <f>IF($AD85="","",Y85+V85)</f>
        <v/>
      </c>
      <c r="AA85" s="7">
        <f>IF($AD85="","",AB85-Z85)</f>
        <v/>
      </c>
      <c r="AB85" s="7">
        <f>IF($AD85="","",U85+X85+S85)</f>
        <v/>
      </c>
      <c r="AC85" s="7">
        <f>IF($AD85="","",AB85-Z85-P85)</f>
        <v/>
      </c>
      <c r="AD85" s="13">
        <f>IF(ROWS($AD$2:$AD85)&lt;=MAX('Per Line'!$AO$2:$AO$3001),MATCH(ROWS($AD$2:$AD85),'Per Line'!$AO$2:$AO$3001,0),"")</f>
        <v/>
      </c>
      <c r="AE85" s="14">
        <f>IF($AD85="","",P85-O85*AB85/100)</f>
        <v/>
      </c>
    </row>
    <row r="86">
      <c r="A86" s="12" t="n"/>
      <c r="B86">
        <f>IF($AD86="","",INDEX('Per Line'!$E$2:$E$3001,$AD86)&amp;"")</f>
        <v/>
      </c>
      <c r="C86">
        <f>IF($AD86="","",INDEX('Per Line'!$A$2:$A$3001,$AD86)&amp;"")</f>
        <v/>
      </c>
      <c r="D86">
        <f>IF($AD86="","",INDEX('Per Line'!$C$2:$C$3001,$AD86)&amp;"")</f>
        <v/>
      </c>
      <c r="E86">
        <f>IF($AD86="","",INDEX('Per Line'!$B$2:$B$3001,$AD86))</f>
        <v/>
      </c>
      <c r="F86">
        <f>IF($AD86="","",INDEX('Per Line'!$D$2:$D$3001,$AD86)&amp;"")</f>
        <v/>
      </c>
      <c r="G86" s="11">
        <f>IF($AD86="","",INDEX('Per Line'!$G$2:$G$3001,$AD86))</f>
        <v/>
      </c>
      <c r="H86">
        <f>IF($AD86="","",INDEX('Per Line'!$J$2:$J$3001,$AD86)&amp;"")</f>
        <v/>
      </c>
      <c r="I86">
        <f>IF($AD86="","",INDEX('Per Line'!$H$2:$H$3001,$AD86)&amp;"")</f>
        <v/>
      </c>
      <c r="J86">
        <f>IF($AD86="","",INDEX('Per Line'!$F$2:$F$3001,$AD86)&amp;"")</f>
        <v/>
      </c>
      <c r="K86">
        <f>IF($AD86="","",INDEX('Per Line'!$K$2:$K$3001,$AD86)&amp;"")</f>
        <v/>
      </c>
      <c r="L86">
        <f>IF($AD86="","",INDEX('Per Line'!$L$2:$L$3001,$AD86)&amp;"")</f>
        <v/>
      </c>
      <c r="M86">
        <f>IF($AD86="","",INDEX('Per Line'!$M$2:$M$3001,$AD86)&amp;"")</f>
        <v/>
      </c>
      <c r="N86">
        <f>IF($AD86="","",INDEX('Per Line'!$AC$2:$AC$3001,$AD86)&amp;"")</f>
        <v/>
      </c>
      <c r="O86">
        <f>IF($AD86="","",INDEX('Per Line'!$P$2:$P$3001,$AD86))</f>
        <v/>
      </c>
      <c r="P86" s="7">
        <f>IF($AD86="","",IF(AND(ISNUMBER(Q86),Q86&gt;0,AB86&gt;Q86),O86*Q86/100+(AB86-Q86),O86*AB86/100))</f>
        <v/>
      </c>
      <c r="Q86">
        <f>IF($AD86="","",INDEX('Per Line'!$AG$2:$AG$3001,$AD86))</f>
        <v/>
      </c>
      <c r="R86">
        <f>IF($AD86="","",IF(AND(ISNUMBER(Q86),Q86&gt;0),AB86&gt;Q86,FALSE))</f>
        <v/>
      </c>
      <c r="S86" s="7">
        <f>IF($AD86="","",SUMIFS('Per Line'!$AB$2:$AB$3001,'Per Line'!$E$2:$E$3001,$B86,'Per Line'!$AQ$2:$AQ$3001,1))</f>
        <v/>
      </c>
      <c r="T86">
        <f>IF($AD86="","",Settings!$C$7)</f>
        <v/>
      </c>
      <c r="U86" s="7">
        <f>IF($AD86="","",SUMIFS('Per Line'!$AB$2:$AB$3001,'Per Line'!$E$2:$E$3001,$B86,'Per Line'!$AP$2:$AP$3001,0,'Per Line'!$AQ$2:$AQ$3001,0))</f>
        <v/>
      </c>
      <c r="V86" s="7">
        <f>IF($AD86="","",U86*T86)</f>
        <v/>
      </c>
      <c r="W86">
        <f>IF($AD86="","",Settings!$C$6)</f>
        <v/>
      </c>
      <c r="X86" s="7">
        <f>IF($AD86="","",SUMIFS('Per Line'!$AB$2:$AB$3001,'Per Line'!$E$2:$E$3001,$B86,'Per Line'!$AP$2:$AP$3001,1,'Per Line'!$AQ$2:$AQ$3001,0))</f>
        <v/>
      </c>
      <c r="Y86" s="7">
        <f>IF($AD86="","",X86*W86)</f>
        <v/>
      </c>
      <c r="Z86" s="7">
        <f>IF($AD86="","",Y86+V86)</f>
        <v/>
      </c>
      <c r="AA86" s="7">
        <f>IF($AD86="","",AB86-Z86)</f>
        <v/>
      </c>
      <c r="AB86" s="7">
        <f>IF($AD86="","",U86+X86+S86)</f>
        <v/>
      </c>
      <c r="AC86" s="7">
        <f>IF($AD86="","",AB86-Z86-P86)</f>
        <v/>
      </c>
      <c r="AD86" s="13">
        <f>IF(ROWS($AD$2:$AD86)&lt;=MAX('Per Line'!$AO$2:$AO$3001),MATCH(ROWS($AD$2:$AD86),'Per Line'!$AO$2:$AO$3001,0),"")</f>
        <v/>
      </c>
      <c r="AE86" s="14">
        <f>IF($AD86="","",P86-O86*AB86/100)</f>
        <v/>
      </c>
    </row>
    <row r="87">
      <c r="A87" s="12" t="n"/>
      <c r="B87">
        <f>IF($AD87="","",INDEX('Per Line'!$E$2:$E$3001,$AD87)&amp;"")</f>
        <v/>
      </c>
      <c r="C87">
        <f>IF($AD87="","",INDEX('Per Line'!$A$2:$A$3001,$AD87)&amp;"")</f>
        <v/>
      </c>
      <c r="D87">
        <f>IF($AD87="","",INDEX('Per Line'!$C$2:$C$3001,$AD87)&amp;"")</f>
        <v/>
      </c>
      <c r="E87">
        <f>IF($AD87="","",INDEX('Per Line'!$B$2:$B$3001,$AD87))</f>
        <v/>
      </c>
      <c r="F87">
        <f>IF($AD87="","",INDEX('Per Line'!$D$2:$D$3001,$AD87)&amp;"")</f>
        <v/>
      </c>
      <c r="G87" s="11">
        <f>IF($AD87="","",INDEX('Per Line'!$G$2:$G$3001,$AD87))</f>
        <v/>
      </c>
      <c r="H87">
        <f>IF($AD87="","",INDEX('Per Line'!$J$2:$J$3001,$AD87)&amp;"")</f>
        <v/>
      </c>
      <c r="I87">
        <f>IF($AD87="","",INDEX('Per Line'!$H$2:$H$3001,$AD87)&amp;"")</f>
        <v/>
      </c>
      <c r="J87">
        <f>IF($AD87="","",INDEX('Per Line'!$F$2:$F$3001,$AD87)&amp;"")</f>
        <v/>
      </c>
      <c r="K87">
        <f>IF($AD87="","",INDEX('Per Line'!$K$2:$K$3001,$AD87)&amp;"")</f>
        <v/>
      </c>
      <c r="L87">
        <f>IF($AD87="","",INDEX('Per Line'!$L$2:$L$3001,$AD87)&amp;"")</f>
        <v/>
      </c>
      <c r="M87">
        <f>IF($AD87="","",INDEX('Per Line'!$M$2:$M$3001,$AD87)&amp;"")</f>
        <v/>
      </c>
      <c r="N87">
        <f>IF($AD87="","",INDEX('Per Line'!$AC$2:$AC$3001,$AD87)&amp;"")</f>
        <v/>
      </c>
      <c r="O87">
        <f>IF($AD87="","",INDEX('Per Line'!$P$2:$P$3001,$AD87))</f>
        <v/>
      </c>
      <c r="P87" s="7">
        <f>IF($AD87="","",IF(AND(ISNUMBER(Q87),Q87&gt;0,AB87&gt;Q87),O87*Q87/100+(AB87-Q87),O87*AB87/100))</f>
        <v/>
      </c>
      <c r="Q87">
        <f>IF($AD87="","",INDEX('Per Line'!$AG$2:$AG$3001,$AD87))</f>
        <v/>
      </c>
      <c r="R87">
        <f>IF($AD87="","",IF(AND(ISNUMBER(Q87),Q87&gt;0),AB87&gt;Q87,FALSE))</f>
        <v/>
      </c>
      <c r="S87" s="7">
        <f>IF($AD87="","",SUMIFS('Per Line'!$AB$2:$AB$3001,'Per Line'!$E$2:$E$3001,$B87,'Per Line'!$AQ$2:$AQ$3001,1))</f>
        <v/>
      </c>
      <c r="T87">
        <f>IF($AD87="","",Settings!$C$7)</f>
        <v/>
      </c>
      <c r="U87" s="7">
        <f>IF($AD87="","",SUMIFS('Per Line'!$AB$2:$AB$3001,'Per Line'!$E$2:$E$3001,$B87,'Per Line'!$AP$2:$AP$3001,0,'Per Line'!$AQ$2:$AQ$3001,0))</f>
        <v/>
      </c>
      <c r="V87" s="7">
        <f>IF($AD87="","",U87*T87)</f>
        <v/>
      </c>
      <c r="W87">
        <f>IF($AD87="","",Settings!$C$6)</f>
        <v/>
      </c>
      <c r="X87" s="7">
        <f>IF($AD87="","",SUMIFS('Per Line'!$AB$2:$AB$3001,'Per Line'!$E$2:$E$3001,$B87,'Per Line'!$AP$2:$AP$3001,1,'Per Line'!$AQ$2:$AQ$3001,0))</f>
        <v/>
      </c>
      <c r="Y87" s="7">
        <f>IF($AD87="","",X87*W87)</f>
        <v/>
      </c>
      <c r="Z87" s="7">
        <f>IF($AD87="","",Y87+V87)</f>
        <v/>
      </c>
      <c r="AA87" s="7">
        <f>IF($AD87="","",AB87-Z87)</f>
        <v/>
      </c>
      <c r="AB87" s="7">
        <f>IF($AD87="","",U87+X87+S87)</f>
        <v/>
      </c>
      <c r="AC87" s="7">
        <f>IF($AD87="","",AB87-Z87-P87)</f>
        <v/>
      </c>
      <c r="AD87" s="13">
        <f>IF(ROWS($AD$2:$AD87)&lt;=MAX('Per Line'!$AO$2:$AO$3001),MATCH(ROWS($AD$2:$AD87),'Per Line'!$AO$2:$AO$3001,0),"")</f>
        <v/>
      </c>
      <c r="AE87" s="14">
        <f>IF($AD87="","",P87-O87*AB87/100)</f>
        <v/>
      </c>
    </row>
    <row r="88">
      <c r="A88" s="12" t="n"/>
      <c r="B88">
        <f>IF($AD88="","",INDEX('Per Line'!$E$2:$E$3001,$AD88)&amp;"")</f>
        <v/>
      </c>
      <c r="C88">
        <f>IF($AD88="","",INDEX('Per Line'!$A$2:$A$3001,$AD88)&amp;"")</f>
        <v/>
      </c>
      <c r="D88">
        <f>IF($AD88="","",INDEX('Per Line'!$C$2:$C$3001,$AD88)&amp;"")</f>
        <v/>
      </c>
      <c r="E88">
        <f>IF($AD88="","",INDEX('Per Line'!$B$2:$B$3001,$AD88))</f>
        <v/>
      </c>
      <c r="F88">
        <f>IF($AD88="","",INDEX('Per Line'!$D$2:$D$3001,$AD88)&amp;"")</f>
        <v/>
      </c>
      <c r="G88" s="11">
        <f>IF($AD88="","",INDEX('Per Line'!$G$2:$G$3001,$AD88))</f>
        <v/>
      </c>
      <c r="H88">
        <f>IF($AD88="","",INDEX('Per Line'!$J$2:$J$3001,$AD88)&amp;"")</f>
        <v/>
      </c>
      <c r="I88">
        <f>IF($AD88="","",INDEX('Per Line'!$H$2:$H$3001,$AD88)&amp;"")</f>
        <v/>
      </c>
      <c r="J88">
        <f>IF($AD88="","",INDEX('Per Line'!$F$2:$F$3001,$AD88)&amp;"")</f>
        <v/>
      </c>
      <c r="K88">
        <f>IF($AD88="","",INDEX('Per Line'!$K$2:$K$3001,$AD88)&amp;"")</f>
        <v/>
      </c>
      <c r="L88">
        <f>IF($AD88="","",INDEX('Per Line'!$L$2:$L$3001,$AD88)&amp;"")</f>
        <v/>
      </c>
      <c r="M88">
        <f>IF($AD88="","",INDEX('Per Line'!$M$2:$M$3001,$AD88)&amp;"")</f>
        <v/>
      </c>
      <c r="N88">
        <f>IF($AD88="","",INDEX('Per Line'!$AC$2:$AC$3001,$AD88)&amp;"")</f>
        <v/>
      </c>
      <c r="O88">
        <f>IF($AD88="","",INDEX('Per Line'!$P$2:$P$3001,$AD88))</f>
        <v/>
      </c>
      <c r="P88" s="7">
        <f>IF($AD88="","",IF(AND(ISNUMBER(Q88),Q88&gt;0,AB88&gt;Q88),O88*Q88/100+(AB88-Q88),O88*AB88/100))</f>
        <v/>
      </c>
      <c r="Q88">
        <f>IF($AD88="","",INDEX('Per Line'!$AG$2:$AG$3001,$AD88))</f>
        <v/>
      </c>
      <c r="R88">
        <f>IF($AD88="","",IF(AND(ISNUMBER(Q88),Q88&gt;0),AB88&gt;Q88,FALSE))</f>
        <v/>
      </c>
      <c r="S88" s="7">
        <f>IF($AD88="","",SUMIFS('Per Line'!$AB$2:$AB$3001,'Per Line'!$E$2:$E$3001,$B88,'Per Line'!$AQ$2:$AQ$3001,1))</f>
        <v/>
      </c>
      <c r="T88">
        <f>IF($AD88="","",Settings!$C$7)</f>
        <v/>
      </c>
      <c r="U88" s="7">
        <f>IF($AD88="","",SUMIFS('Per Line'!$AB$2:$AB$3001,'Per Line'!$E$2:$E$3001,$B88,'Per Line'!$AP$2:$AP$3001,0,'Per Line'!$AQ$2:$AQ$3001,0))</f>
        <v/>
      </c>
      <c r="V88" s="7">
        <f>IF($AD88="","",U88*T88)</f>
        <v/>
      </c>
      <c r="W88">
        <f>IF($AD88="","",Settings!$C$6)</f>
        <v/>
      </c>
      <c r="X88" s="7">
        <f>IF($AD88="","",SUMIFS('Per Line'!$AB$2:$AB$3001,'Per Line'!$E$2:$E$3001,$B88,'Per Line'!$AP$2:$AP$3001,1,'Per Line'!$AQ$2:$AQ$3001,0))</f>
        <v/>
      </c>
      <c r="Y88" s="7">
        <f>IF($AD88="","",X88*W88)</f>
        <v/>
      </c>
      <c r="Z88" s="7">
        <f>IF($AD88="","",Y88+V88)</f>
        <v/>
      </c>
      <c r="AA88" s="7">
        <f>IF($AD88="","",AB88-Z88)</f>
        <v/>
      </c>
      <c r="AB88" s="7">
        <f>IF($AD88="","",U88+X88+S88)</f>
        <v/>
      </c>
      <c r="AC88" s="7">
        <f>IF($AD88="","",AB88-Z88-P88)</f>
        <v/>
      </c>
      <c r="AD88" s="13">
        <f>IF(ROWS($AD$2:$AD88)&lt;=MAX('Per Line'!$AO$2:$AO$3001),MATCH(ROWS($AD$2:$AD88),'Per Line'!$AO$2:$AO$3001,0),"")</f>
        <v/>
      </c>
      <c r="AE88" s="14">
        <f>IF($AD88="","",P88-O88*AB88/100)</f>
        <v/>
      </c>
    </row>
    <row r="89">
      <c r="A89" s="12" t="n"/>
      <c r="B89">
        <f>IF($AD89="","",INDEX('Per Line'!$E$2:$E$3001,$AD89)&amp;"")</f>
        <v/>
      </c>
      <c r="C89">
        <f>IF($AD89="","",INDEX('Per Line'!$A$2:$A$3001,$AD89)&amp;"")</f>
        <v/>
      </c>
      <c r="D89">
        <f>IF($AD89="","",INDEX('Per Line'!$C$2:$C$3001,$AD89)&amp;"")</f>
        <v/>
      </c>
      <c r="E89">
        <f>IF($AD89="","",INDEX('Per Line'!$B$2:$B$3001,$AD89))</f>
        <v/>
      </c>
      <c r="F89">
        <f>IF($AD89="","",INDEX('Per Line'!$D$2:$D$3001,$AD89)&amp;"")</f>
        <v/>
      </c>
      <c r="G89" s="11">
        <f>IF($AD89="","",INDEX('Per Line'!$G$2:$G$3001,$AD89))</f>
        <v/>
      </c>
      <c r="H89">
        <f>IF($AD89="","",INDEX('Per Line'!$J$2:$J$3001,$AD89)&amp;"")</f>
        <v/>
      </c>
      <c r="I89">
        <f>IF($AD89="","",INDEX('Per Line'!$H$2:$H$3001,$AD89)&amp;"")</f>
        <v/>
      </c>
      <c r="J89">
        <f>IF($AD89="","",INDEX('Per Line'!$F$2:$F$3001,$AD89)&amp;"")</f>
        <v/>
      </c>
      <c r="K89">
        <f>IF($AD89="","",INDEX('Per Line'!$K$2:$K$3001,$AD89)&amp;"")</f>
        <v/>
      </c>
      <c r="L89">
        <f>IF($AD89="","",INDEX('Per Line'!$L$2:$L$3001,$AD89)&amp;"")</f>
        <v/>
      </c>
      <c r="M89">
        <f>IF($AD89="","",INDEX('Per Line'!$M$2:$M$3001,$AD89)&amp;"")</f>
        <v/>
      </c>
      <c r="N89">
        <f>IF($AD89="","",INDEX('Per Line'!$AC$2:$AC$3001,$AD89)&amp;"")</f>
        <v/>
      </c>
      <c r="O89">
        <f>IF($AD89="","",INDEX('Per Line'!$P$2:$P$3001,$AD89))</f>
        <v/>
      </c>
      <c r="P89" s="7">
        <f>IF($AD89="","",IF(AND(ISNUMBER(Q89),Q89&gt;0,AB89&gt;Q89),O89*Q89/100+(AB89-Q89),O89*AB89/100))</f>
        <v/>
      </c>
      <c r="Q89">
        <f>IF($AD89="","",INDEX('Per Line'!$AG$2:$AG$3001,$AD89))</f>
        <v/>
      </c>
      <c r="R89">
        <f>IF($AD89="","",IF(AND(ISNUMBER(Q89),Q89&gt;0),AB89&gt;Q89,FALSE))</f>
        <v/>
      </c>
      <c r="S89" s="7">
        <f>IF($AD89="","",SUMIFS('Per Line'!$AB$2:$AB$3001,'Per Line'!$E$2:$E$3001,$B89,'Per Line'!$AQ$2:$AQ$3001,1))</f>
        <v/>
      </c>
      <c r="T89">
        <f>IF($AD89="","",Settings!$C$7)</f>
        <v/>
      </c>
      <c r="U89" s="7">
        <f>IF($AD89="","",SUMIFS('Per Line'!$AB$2:$AB$3001,'Per Line'!$E$2:$E$3001,$B89,'Per Line'!$AP$2:$AP$3001,0,'Per Line'!$AQ$2:$AQ$3001,0))</f>
        <v/>
      </c>
      <c r="V89" s="7">
        <f>IF($AD89="","",U89*T89)</f>
        <v/>
      </c>
      <c r="W89">
        <f>IF($AD89="","",Settings!$C$6)</f>
        <v/>
      </c>
      <c r="X89" s="7">
        <f>IF($AD89="","",SUMIFS('Per Line'!$AB$2:$AB$3001,'Per Line'!$E$2:$E$3001,$B89,'Per Line'!$AP$2:$AP$3001,1,'Per Line'!$AQ$2:$AQ$3001,0))</f>
        <v/>
      </c>
      <c r="Y89" s="7">
        <f>IF($AD89="","",X89*W89)</f>
        <v/>
      </c>
      <c r="Z89" s="7">
        <f>IF($AD89="","",Y89+V89)</f>
        <v/>
      </c>
      <c r="AA89" s="7">
        <f>IF($AD89="","",AB89-Z89)</f>
        <v/>
      </c>
      <c r="AB89" s="7">
        <f>IF($AD89="","",U89+X89+S89)</f>
        <v/>
      </c>
      <c r="AC89" s="7">
        <f>IF($AD89="","",AB89-Z89-P89)</f>
        <v/>
      </c>
      <c r="AD89" s="13">
        <f>IF(ROWS($AD$2:$AD89)&lt;=MAX('Per Line'!$AO$2:$AO$3001),MATCH(ROWS($AD$2:$AD89),'Per Line'!$AO$2:$AO$3001,0),"")</f>
        <v/>
      </c>
      <c r="AE89" s="14">
        <f>IF($AD89="","",P89-O89*AB89/100)</f>
        <v/>
      </c>
    </row>
    <row r="90">
      <c r="A90" s="12" t="n"/>
      <c r="B90">
        <f>IF($AD90="","",INDEX('Per Line'!$E$2:$E$3001,$AD90)&amp;"")</f>
        <v/>
      </c>
      <c r="C90">
        <f>IF($AD90="","",INDEX('Per Line'!$A$2:$A$3001,$AD90)&amp;"")</f>
        <v/>
      </c>
      <c r="D90">
        <f>IF($AD90="","",INDEX('Per Line'!$C$2:$C$3001,$AD90)&amp;"")</f>
        <v/>
      </c>
      <c r="E90">
        <f>IF($AD90="","",INDEX('Per Line'!$B$2:$B$3001,$AD90))</f>
        <v/>
      </c>
      <c r="F90">
        <f>IF($AD90="","",INDEX('Per Line'!$D$2:$D$3001,$AD90)&amp;"")</f>
        <v/>
      </c>
      <c r="G90" s="11">
        <f>IF($AD90="","",INDEX('Per Line'!$G$2:$G$3001,$AD90))</f>
        <v/>
      </c>
      <c r="H90">
        <f>IF($AD90="","",INDEX('Per Line'!$J$2:$J$3001,$AD90)&amp;"")</f>
        <v/>
      </c>
      <c r="I90">
        <f>IF($AD90="","",INDEX('Per Line'!$H$2:$H$3001,$AD90)&amp;"")</f>
        <v/>
      </c>
      <c r="J90">
        <f>IF($AD90="","",INDEX('Per Line'!$F$2:$F$3001,$AD90)&amp;"")</f>
        <v/>
      </c>
      <c r="K90">
        <f>IF($AD90="","",INDEX('Per Line'!$K$2:$K$3001,$AD90)&amp;"")</f>
        <v/>
      </c>
      <c r="L90">
        <f>IF($AD90="","",INDEX('Per Line'!$L$2:$L$3001,$AD90)&amp;"")</f>
        <v/>
      </c>
      <c r="M90">
        <f>IF($AD90="","",INDEX('Per Line'!$M$2:$M$3001,$AD90)&amp;"")</f>
        <v/>
      </c>
      <c r="N90">
        <f>IF($AD90="","",INDEX('Per Line'!$AC$2:$AC$3001,$AD90)&amp;"")</f>
        <v/>
      </c>
      <c r="O90">
        <f>IF($AD90="","",INDEX('Per Line'!$P$2:$P$3001,$AD90))</f>
        <v/>
      </c>
      <c r="P90" s="7">
        <f>IF($AD90="","",IF(AND(ISNUMBER(Q90),Q90&gt;0,AB90&gt;Q90),O90*Q90/100+(AB90-Q90),O90*AB90/100))</f>
        <v/>
      </c>
      <c r="Q90">
        <f>IF($AD90="","",INDEX('Per Line'!$AG$2:$AG$3001,$AD90))</f>
        <v/>
      </c>
      <c r="R90">
        <f>IF($AD90="","",IF(AND(ISNUMBER(Q90),Q90&gt;0),AB90&gt;Q90,FALSE))</f>
        <v/>
      </c>
      <c r="S90" s="7">
        <f>IF($AD90="","",SUMIFS('Per Line'!$AB$2:$AB$3001,'Per Line'!$E$2:$E$3001,$B90,'Per Line'!$AQ$2:$AQ$3001,1))</f>
        <v/>
      </c>
      <c r="T90">
        <f>IF($AD90="","",Settings!$C$7)</f>
        <v/>
      </c>
      <c r="U90" s="7">
        <f>IF($AD90="","",SUMIFS('Per Line'!$AB$2:$AB$3001,'Per Line'!$E$2:$E$3001,$B90,'Per Line'!$AP$2:$AP$3001,0,'Per Line'!$AQ$2:$AQ$3001,0))</f>
        <v/>
      </c>
      <c r="V90" s="7">
        <f>IF($AD90="","",U90*T90)</f>
        <v/>
      </c>
      <c r="W90">
        <f>IF($AD90="","",Settings!$C$6)</f>
        <v/>
      </c>
      <c r="X90" s="7">
        <f>IF($AD90="","",SUMIFS('Per Line'!$AB$2:$AB$3001,'Per Line'!$E$2:$E$3001,$B90,'Per Line'!$AP$2:$AP$3001,1,'Per Line'!$AQ$2:$AQ$3001,0))</f>
        <v/>
      </c>
      <c r="Y90" s="7">
        <f>IF($AD90="","",X90*W90)</f>
        <v/>
      </c>
      <c r="Z90" s="7">
        <f>IF($AD90="","",Y90+V90)</f>
        <v/>
      </c>
      <c r="AA90" s="7">
        <f>IF($AD90="","",AB90-Z90)</f>
        <v/>
      </c>
      <c r="AB90" s="7">
        <f>IF($AD90="","",U90+X90+S90)</f>
        <v/>
      </c>
      <c r="AC90" s="7">
        <f>IF($AD90="","",AB90-Z90-P90)</f>
        <v/>
      </c>
      <c r="AD90" s="13">
        <f>IF(ROWS($AD$2:$AD90)&lt;=MAX('Per Line'!$AO$2:$AO$3001),MATCH(ROWS($AD$2:$AD90),'Per Line'!$AO$2:$AO$3001,0),"")</f>
        <v/>
      </c>
      <c r="AE90" s="14">
        <f>IF($AD90="","",P90-O90*AB90/100)</f>
        <v/>
      </c>
    </row>
    <row r="91">
      <c r="A91" s="12" t="n"/>
      <c r="B91">
        <f>IF($AD91="","",INDEX('Per Line'!$E$2:$E$3001,$AD91)&amp;"")</f>
        <v/>
      </c>
      <c r="C91">
        <f>IF($AD91="","",INDEX('Per Line'!$A$2:$A$3001,$AD91)&amp;"")</f>
        <v/>
      </c>
      <c r="D91">
        <f>IF($AD91="","",INDEX('Per Line'!$C$2:$C$3001,$AD91)&amp;"")</f>
        <v/>
      </c>
      <c r="E91">
        <f>IF($AD91="","",INDEX('Per Line'!$B$2:$B$3001,$AD91))</f>
        <v/>
      </c>
      <c r="F91">
        <f>IF($AD91="","",INDEX('Per Line'!$D$2:$D$3001,$AD91)&amp;"")</f>
        <v/>
      </c>
      <c r="G91" s="11">
        <f>IF($AD91="","",INDEX('Per Line'!$G$2:$G$3001,$AD91))</f>
        <v/>
      </c>
      <c r="H91">
        <f>IF($AD91="","",INDEX('Per Line'!$J$2:$J$3001,$AD91)&amp;"")</f>
        <v/>
      </c>
      <c r="I91">
        <f>IF($AD91="","",INDEX('Per Line'!$H$2:$H$3001,$AD91)&amp;"")</f>
        <v/>
      </c>
      <c r="J91">
        <f>IF($AD91="","",INDEX('Per Line'!$F$2:$F$3001,$AD91)&amp;"")</f>
        <v/>
      </c>
      <c r="K91">
        <f>IF($AD91="","",INDEX('Per Line'!$K$2:$K$3001,$AD91)&amp;"")</f>
        <v/>
      </c>
      <c r="L91">
        <f>IF($AD91="","",INDEX('Per Line'!$L$2:$L$3001,$AD91)&amp;"")</f>
        <v/>
      </c>
      <c r="M91">
        <f>IF($AD91="","",INDEX('Per Line'!$M$2:$M$3001,$AD91)&amp;"")</f>
        <v/>
      </c>
      <c r="N91">
        <f>IF($AD91="","",INDEX('Per Line'!$AC$2:$AC$3001,$AD91)&amp;"")</f>
        <v/>
      </c>
      <c r="O91">
        <f>IF($AD91="","",INDEX('Per Line'!$P$2:$P$3001,$AD91))</f>
        <v/>
      </c>
      <c r="P91" s="7">
        <f>IF($AD91="","",IF(AND(ISNUMBER(Q91),Q91&gt;0,AB91&gt;Q91),O91*Q91/100+(AB91-Q91),O91*AB91/100))</f>
        <v/>
      </c>
      <c r="Q91">
        <f>IF($AD91="","",INDEX('Per Line'!$AG$2:$AG$3001,$AD91))</f>
        <v/>
      </c>
      <c r="R91">
        <f>IF($AD91="","",IF(AND(ISNUMBER(Q91),Q91&gt;0),AB91&gt;Q91,FALSE))</f>
        <v/>
      </c>
      <c r="S91" s="7">
        <f>IF($AD91="","",SUMIFS('Per Line'!$AB$2:$AB$3001,'Per Line'!$E$2:$E$3001,$B91,'Per Line'!$AQ$2:$AQ$3001,1))</f>
        <v/>
      </c>
      <c r="T91">
        <f>IF($AD91="","",Settings!$C$7)</f>
        <v/>
      </c>
      <c r="U91" s="7">
        <f>IF($AD91="","",SUMIFS('Per Line'!$AB$2:$AB$3001,'Per Line'!$E$2:$E$3001,$B91,'Per Line'!$AP$2:$AP$3001,0,'Per Line'!$AQ$2:$AQ$3001,0))</f>
        <v/>
      </c>
      <c r="V91" s="7">
        <f>IF($AD91="","",U91*T91)</f>
        <v/>
      </c>
      <c r="W91">
        <f>IF($AD91="","",Settings!$C$6)</f>
        <v/>
      </c>
      <c r="X91" s="7">
        <f>IF($AD91="","",SUMIFS('Per Line'!$AB$2:$AB$3001,'Per Line'!$E$2:$E$3001,$B91,'Per Line'!$AP$2:$AP$3001,1,'Per Line'!$AQ$2:$AQ$3001,0))</f>
        <v/>
      </c>
      <c r="Y91" s="7">
        <f>IF($AD91="","",X91*W91)</f>
        <v/>
      </c>
      <c r="Z91" s="7">
        <f>IF($AD91="","",Y91+V91)</f>
        <v/>
      </c>
      <c r="AA91" s="7">
        <f>IF($AD91="","",AB91-Z91)</f>
        <v/>
      </c>
      <c r="AB91" s="7">
        <f>IF($AD91="","",U91+X91+S91)</f>
        <v/>
      </c>
      <c r="AC91" s="7">
        <f>IF($AD91="","",AB91-Z91-P91)</f>
        <v/>
      </c>
      <c r="AD91" s="13">
        <f>IF(ROWS($AD$2:$AD91)&lt;=MAX('Per Line'!$AO$2:$AO$3001),MATCH(ROWS($AD$2:$AD91),'Per Line'!$AO$2:$AO$3001,0),"")</f>
        <v/>
      </c>
      <c r="AE91" s="14">
        <f>IF($AD91="","",P91-O91*AB91/100)</f>
        <v/>
      </c>
    </row>
    <row r="92">
      <c r="A92" s="12" t="n"/>
      <c r="B92">
        <f>IF($AD92="","",INDEX('Per Line'!$E$2:$E$3001,$AD92)&amp;"")</f>
        <v/>
      </c>
      <c r="C92">
        <f>IF($AD92="","",INDEX('Per Line'!$A$2:$A$3001,$AD92)&amp;"")</f>
        <v/>
      </c>
      <c r="D92">
        <f>IF($AD92="","",INDEX('Per Line'!$C$2:$C$3001,$AD92)&amp;"")</f>
        <v/>
      </c>
      <c r="E92">
        <f>IF($AD92="","",INDEX('Per Line'!$B$2:$B$3001,$AD92))</f>
        <v/>
      </c>
      <c r="F92">
        <f>IF($AD92="","",INDEX('Per Line'!$D$2:$D$3001,$AD92)&amp;"")</f>
        <v/>
      </c>
      <c r="G92" s="11">
        <f>IF($AD92="","",INDEX('Per Line'!$G$2:$G$3001,$AD92))</f>
        <v/>
      </c>
      <c r="H92">
        <f>IF($AD92="","",INDEX('Per Line'!$J$2:$J$3001,$AD92)&amp;"")</f>
        <v/>
      </c>
      <c r="I92">
        <f>IF($AD92="","",INDEX('Per Line'!$H$2:$H$3001,$AD92)&amp;"")</f>
        <v/>
      </c>
      <c r="J92">
        <f>IF($AD92="","",INDEX('Per Line'!$F$2:$F$3001,$AD92)&amp;"")</f>
        <v/>
      </c>
      <c r="K92">
        <f>IF($AD92="","",INDEX('Per Line'!$K$2:$K$3001,$AD92)&amp;"")</f>
        <v/>
      </c>
      <c r="L92">
        <f>IF($AD92="","",INDEX('Per Line'!$L$2:$L$3001,$AD92)&amp;"")</f>
        <v/>
      </c>
      <c r="M92">
        <f>IF($AD92="","",INDEX('Per Line'!$M$2:$M$3001,$AD92)&amp;"")</f>
        <v/>
      </c>
      <c r="N92">
        <f>IF($AD92="","",INDEX('Per Line'!$AC$2:$AC$3001,$AD92)&amp;"")</f>
        <v/>
      </c>
      <c r="O92">
        <f>IF($AD92="","",INDEX('Per Line'!$P$2:$P$3001,$AD92))</f>
        <v/>
      </c>
      <c r="P92" s="7">
        <f>IF($AD92="","",IF(AND(ISNUMBER(Q92),Q92&gt;0,AB92&gt;Q92),O92*Q92/100+(AB92-Q92),O92*AB92/100))</f>
        <v/>
      </c>
      <c r="Q92">
        <f>IF($AD92="","",INDEX('Per Line'!$AG$2:$AG$3001,$AD92))</f>
        <v/>
      </c>
      <c r="R92">
        <f>IF($AD92="","",IF(AND(ISNUMBER(Q92),Q92&gt;0),AB92&gt;Q92,FALSE))</f>
        <v/>
      </c>
      <c r="S92" s="7">
        <f>IF($AD92="","",SUMIFS('Per Line'!$AB$2:$AB$3001,'Per Line'!$E$2:$E$3001,$B92,'Per Line'!$AQ$2:$AQ$3001,1))</f>
        <v/>
      </c>
      <c r="T92">
        <f>IF($AD92="","",Settings!$C$7)</f>
        <v/>
      </c>
      <c r="U92" s="7">
        <f>IF($AD92="","",SUMIFS('Per Line'!$AB$2:$AB$3001,'Per Line'!$E$2:$E$3001,$B92,'Per Line'!$AP$2:$AP$3001,0,'Per Line'!$AQ$2:$AQ$3001,0))</f>
        <v/>
      </c>
      <c r="V92" s="7">
        <f>IF($AD92="","",U92*T92)</f>
        <v/>
      </c>
      <c r="W92">
        <f>IF($AD92="","",Settings!$C$6)</f>
        <v/>
      </c>
      <c r="X92" s="7">
        <f>IF($AD92="","",SUMIFS('Per Line'!$AB$2:$AB$3001,'Per Line'!$E$2:$E$3001,$B92,'Per Line'!$AP$2:$AP$3001,1,'Per Line'!$AQ$2:$AQ$3001,0))</f>
        <v/>
      </c>
      <c r="Y92" s="7">
        <f>IF($AD92="","",X92*W92)</f>
        <v/>
      </c>
      <c r="Z92" s="7">
        <f>IF($AD92="","",Y92+V92)</f>
        <v/>
      </c>
      <c r="AA92" s="7">
        <f>IF($AD92="","",AB92-Z92)</f>
        <v/>
      </c>
      <c r="AB92" s="7">
        <f>IF($AD92="","",U92+X92+S92)</f>
        <v/>
      </c>
      <c r="AC92" s="7">
        <f>IF($AD92="","",AB92-Z92-P92)</f>
        <v/>
      </c>
      <c r="AD92" s="13">
        <f>IF(ROWS($AD$2:$AD92)&lt;=MAX('Per Line'!$AO$2:$AO$3001),MATCH(ROWS($AD$2:$AD92),'Per Line'!$AO$2:$AO$3001,0),"")</f>
        <v/>
      </c>
      <c r="AE92" s="14">
        <f>IF($AD92="","",P92-O92*AB92/100)</f>
        <v/>
      </c>
    </row>
    <row r="93">
      <c r="A93" s="12" t="n"/>
      <c r="B93">
        <f>IF($AD93="","",INDEX('Per Line'!$E$2:$E$3001,$AD93)&amp;"")</f>
        <v/>
      </c>
      <c r="C93">
        <f>IF($AD93="","",INDEX('Per Line'!$A$2:$A$3001,$AD93)&amp;"")</f>
        <v/>
      </c>
      <c r="D93">
        <f>IF($AD93="","",INDEX('Per Line'!$C$2:$C$3001,$AD93)&amp;"")</f>
        <v/>
      </c>
      <c r="E93">
        <f>IF($AD93="","",INDEX('Per Line'!$B$2:$B$3001,$AD93))</f>
        <v/>
      </c>
      <c r="F93">
        <f>IF($AD93="","",INDEX('Per Line'!$D$2:$D$3001,$AD93)&amp;"")</f>
        <v/>
      </c>
      <c r="G93" s="11">
        <f>IF($AD93="","",INDEX('Per Line'!$G$2:$G$3001,$AD93))</f>
        <v/>
      </c>
      <c r="H93">
        <f>IF($AD93="","",INDEX('Per Line'!$J$2:$J$3001,$AD93)&amp;"")</f>
        <v/>
      </c>
      <c r="I93">
        <f>IF($AD93="","",INDEX('Per Line'!$H$2:$H$3001,$AD93)&amp;"")</f>
        <v/>
      </c>
      <c r="J93">
        <f>IF($AD93="","",INDEX('Per Line'!$F$2:$F$3001,$AD93)&amp;"")</f>
        <v/>
      </c>
      <c r="K93">
        <f>IF($AD93="","",INDEX('Per Line'!$K$2:$K$3001,$AD93)&amp;"")</f>
        <v/>
      </c>
      <c r="L93">
        <f>IF($AD93="","",INDEX('Per Line'!$L$2:$L$3001,$AD93)&amp;"")</f>
        <v/>
      </c>
      <c r="M93">
        <f>IF($AD93="","",INDEX('Per Line'!$M$2:$M$3001,$AD93)&amp;"")</f>
        <v/>
      </c>
      <c r="N93">
        <f>IF($AD93="","",INDEX('Per Line'!$AC$2:$AC$3001,$AD93)&amp;"")</f>
        <v/>
      </c>
      <c r="O93">
        <f>IF($AD93="","",INDEX('Per Line'!$P$2:$P$3001,$AD93))</f>
        <v/>
      </c>
      <c r="P93" s="7">
        <f>IF($AD93="","",IF(AND(ISNUMBER(Q93),Q93&gt;0,AB93&gt;Q93),O93*Q93/100+(AB93-Q93),O93*AB93/100))</f>
        <v/>
      </c>
      <c r="Q93">
        <f>IF($AD93="","",INDEX('Per Line'!$AG$2:$AG$3001,$AD93))</f>
        <v/>
      </c>
      <c r="R93">
        <f>IF($AD93="","",IF(AND(ISNUMBER(Q93),Q93&gt;0),AB93&gt;Q93,FALSE))</f>
        <v/>
      </c>
      <c r="S93" s="7">
        <f>IF($AD93="","",SUMIFS('Per Line'!$AB$2:$AB$3001,'Per Line'!$E$2:$E$3001,$B93,'Per Line'!$AQ$2:$AQ$3001,1))</f>
        <v/>
      </c>
      <c r="T93">
        <f>IF($AD93="","",Settings!$C$7)</f>
        <v/>
      </c>
      <c r="U93" s="7">
        <f>IF($AD93="","",SUMIFS('Per Line'!$AB$2:$AB$3001,'Per Line'!$E$2:$E$3001,$B93,'Per Line'!$AP$2:$AP$3001,0,'Per Line'!$AQ$2:$AQ$3001,0))</f>
        <v/>
      </c>
      <c r="V93" s="7">
        <f>IF($AD93="","",U93*T93)</f>
        <v/>
      </c>
      <c r="W93">
        <f>IF($AD93="","",Settings!$C$6)</f>
        <v/>
      </c>
      <c r="X93" s="7">
        <f>IF($AD93="","",SUMIFS('Per Line'!$AB$2:$AB$3001,'Per Line'!$E$2:$E$3001,$B93,'Per Line'!$AP$2:$AP$3001,1,'Per Line'!$AQ$2:$AQ$3001,0))</f>
        <v/>
      </c>
      <c r="Y93" s="7">
        <f>IF($AD93="","",X93*W93)</f>
        <v/>
      </c>
      <c r="Z93" s="7">
        <f>IF($AD93="","",Y93+V93)</f>
        <v/>
      </c>
      <c r="AA93" s="7">
        <f>IF($AD93="","",AB93-Z93)</f>
        <v/>
      </c>
      <c r="AB93" s="7">
        <f>IF($AD93="","",U93+X93+S93)</f>
        <v/>
      </c>
      <c r="AC93" s="7">
        <f>IF($AD93="","",AB93-Z93-P93)</f>
        <v/>
      </c>
      <c r="AD93" s="13">
        <f>IF(ROWS($AD$2:$AD93)&lt;=MAX('Per Line'!$AO$2:$AO$3001),MATCH(ROWS($AD$2:$AD93),'Per Line'!$AO$2:$AO$3001,0),"")</f>
        <v/>
      </c>
      <c r="AE93" s="14">
        <f>IF($AD93="","",P93-O93*AB93/100)</f>
        <v/>
      </c>
    </row>
    <row r="94">
      <c r="A94" s="12" t="n"/>
      <c r="B94">
        <f>IF($AD94="","",INDEX('Per Line'!$E$2:$E$3001,$AD94)&amp;"")</f>
        <v/>
      </c>
      <c r="C94">
        <f>IF($AD94="","",INDEX('Per Line'!$A$2:$A$3001,$AD94)&amp;"")</f>
        <v/>
      </c>
      <c r="D94">
        <f>IF($AD94="","",INDEX('Per Line'!$C$2:$C$3001,$AD94)&amp;"")</f>
        <v/>
      </c>
      <c r="E94">
        <f>IF($AD94="","",INDEX('Per Line'!$B$2:$B$3001,$AD94))</f>
        <v/>
      </c>
      <c r="F94">
        <f>IF($AD94="","",INDEX('Per Line'!$D$2:$D$3001,$AD94)&amp;"")</f>
        <v/>
      </c>
      <c r="G94" s="11">
        <f>IF($AD94="","",INDEX('Per Line'!$G$2:$G$3001,$AD94))</f>
        <v/>
      </c>
      <c r="H94">
        <f>IF($AD94="","",INDEX('Per Line'!$J$2:$J$3001,$AD94)&amp;"")</f>
        <v/>
      </c>
      <c r="I94">
        <f>IF($AD94="","",INDEX('Per Line'!$H$2:$H$3001,$AD94)&amp;"")</f>
        <v/>
      </c>
      <c r="J94">
        <f>IF($AD94="","",INDEX('Per Line'!$F$2:$F$3001,$AD94)&amp;"")</f>
        <v/>
      </c>
      <c r="K94">
        <f>IF($AD94="","",INDEX('Per Line'!$K$2:$K$3001,$AD94)&amp;"")</f>
        <v/>
      </c>
      <c r="L94">
        <f>IF($AD94="","",INDEX('Per Line'!$L$2:$L$3001,$AD94)&amp;"")</f>
        <v/>
      </c>
      <c r="M94">
        <f>IF($AD94="","",INDEX('Per Line'!$M$2:$M$3001,$AD94)&amp;"")</f>
        <v/>
      </c>
      <c r="N94">
        <f>IF($AD94="","",INDEX('Per Line'!$AC$2:$AC$3001,$AD94)&amp;"")</f>
        <v/>
      </c>
      <c r="O94">
        <f>IF($AD94="","",INDEX('Per Line'!$P$2:$P$3001,$AD94))</f>
        <v/>
      </c>
      <c r="P94" s="7">
        <f>IF($AD94="","",IF(AND(ISNUMBER(Q94),Q94&gt;0,AB94&gt;Q94),O94*Q94/100+(AB94-Q94),O94*AB94/100))</f>
        <v/>
      </c>
      <c r="Q94">
        <f>IF($AD94="","",INDEX('Per Line'!$AG$2:$AG$3001,$AD94))</f>
        <v/>
      </c>
      <c r="R94">
        <f>IF($AD94="","",IF(AND(ISNUMBER(Q94),Q94&gt;0),AB94&gt;Q94,FALSE))</f>
        <v/>
      </c>
      <c r="S94" s="7">
        <f>IF($AD94="","",SUMIFS('Per Line'!$AB$2:$AB$3001,'Per Line'!$E$2:$E$3001,$B94,'Per Line'!$AQ$2:$AQ$3001,1))</f>
        <v/>
      </c>
      <c r="T94">
        <f>IF($AD94="","",Settings!$C$7)</f>
        <v/>
      </c>
      <c r="U94" s="7">
        <f>IF($AD94="","",SUMIFS('Per Line'!$AB$2:$AB$3001,'Per Line'!$E$2:$E$3001,$B94,'Per Line'!$AP$2:$AP$3001,0,'Per Line'!$AQ$2:$AQ$3001,0))</f>
        <v/>
      </c>
      <c r="V94" s="7">
        <f>IF($AD94="","",U94*T94)</f>
        <v/>
      </c>
      <c r="W94">
        <f>IF($AD94="","",Settings!$C$6)</f>
        <v/>
      </c>
      <c r="X94" s="7">
        <f>IF($AD94="","",SUMIFS('Per Line'!$AB$2:$AB$3001,'Per Line'!$E$2:$E$3001,$B94,'Per Line'!$AP$2:$AP$3001,1,'Per Line'!$AQ$2:$AQ$3001,0))</f>
        <v/>
      </c>
      <c r="Y94" s="7">
        <f>IF($AD94="","",X94*W94)</f>
        <v/>
      </c>
      <c r="Z94" s="7">
        <f>IF($AD94="","",Y94+V94)</f>
        <v/>
      </c>
      <c r="AA94" s="7">
        <f>IF($AD94="","",AB94-Z94)</f>
        <v/>
      </c>
      <c r="AB94" s="7">
        <f>IF($AD94="","",U94+X94+S94)</f>
        <v/>
      </c>
      <c r="AC94" s="7">
        <f>IF($AD94="","",AB94-Z94-P94)</f>
        <v/>
      </c>
      <c r="AD94" s="13">
        <f>IF(ROWS($AD$2:$AD94)&lt;=MAX('Per Line'!$AO$2:$AO$3001),MATCH(ROWS($AD$2:$AD94),'Per Line'!$AO$2:$AO$3001,0),"")</f>
        <v/>
      </c>
      <c r="AE94" s="14">
        <f>IF($AD94="","",P94-O94*AB94/100)</f>
        <v/>
      </c>
    </row>
    <row r="95">
      <c r="A95" s="12" t="n"/>
      <c r="B95">
        <f>IF($AD95="","",INDEX('Per Line'!$E$2:$E$3001,$AD95)&amp;"")</f>
        <v/>
      </c>
      <c r="C95">
        <f>IF($AD95="","",INDEX('Per Line'!$A$2:$A$3001,$AD95)&amp;"")</f>
        <v/>
      </c>
      <c r="D95">
        <f>IF($AD95="","",INDEX('Per Line'!$C$2:$C$3001,$AD95)&amp;"")</f>
        <v/>
      </c>
      <c r="E95">
        <f>IF($AD95="","",INDEX('Per Line'!$B$2:$B$3001,$AD95))</f>
        <v/>
      </c>
      <c r="F95">
        <f>IF($AD95="","",INDEX('Per Line'!$D$2:$D$3001,$AD95)&amp;"")</f>
        <v/>
      </c>
      <c r="G95" s="11">
        <f>IF($AD95="","",INDEX('Per Line'!$G$2:$G$3001,$AD95))</f>
        <v/>
      </c>
      <c r="H95">
        <f>IF($AD95="","",INDEX('Per Line'!$J$2:$J$3001,$AD95)&amp;"")</f>
        <v/>
      </c>
      <c r="I95">
        <f>IF($AD95="","",INDEX('Per Line'!$H$2:$H$3001,$AD95)&amp;"")</f>
        <v/>
      </c>
      <c r="J95">
        <f>IF($AD95="","",INDEX('Per Line'!$F$2:$F$3001,$AD95)&amp;"")</f>
        <v/>
      </c>
      <c r="K95">
        <f>IF($AD95="","",INDEX('Per Line'!$K$2:$K$3001,$AD95)&amp;"")</f>
        <v/>
      </c>
      <c r="L95">
        <f>IF($AD95="","",INDEX('Per Line'!$L$2:$L$3001,$AD95)&amp;"")</f>
        <v/>
      </c>
      <c r="M95">
        <f>IF($AD95="","",INDEX('Per Line'!$M$2:$M$3001,$AD95)&amp;"")</f>
        <v/>
      </c>
      <c r="N95">
        <f>IF($AD95="","",INDEX('Per Line'!$AC$2:$AC$3001,$AD95)&amp;"")</f>
        <v/>
      </c>
      <c r="O95">
        <f>IF($AD95="","",INDEX('Per Line'!$P$2:$P$3001,$AD95))</f>
        <v/>
      </c>
      <c r="P95" s="7">
        <f>IF($AD95="","",IF(AND(ISNUMBER(Q95),Q95&gt;0,AB95&gt;Q95),O95*Q95/100+(AB95-Q95),O95*AB95/100))</f>
        <v/>
      </c>
      <c r="Q95">
        <f>IF($AD95="","",INDEX('Per Line'!$AG$2:$AG$3001,$AD95))</f>
        <v/>
      </c>
      <c r="R95">
        <f>IF($AD95="","",IF(AND(ISNUMBER(Q95),Q95&gt;0),AB95&gt;Q95,FALSE))</f>
        <v/>
      </c>
      <c r="S95" s="7">
        <f>IF($AD95="","",SUMIFS('Per Line'!$AB$2:$AB$3001,'Per Line'!$E$2:$E$3001,$B95,'Per Line'!$AQ$2:$AQ$3001,1))</f>
        <v/>
      </c>
      <c r="T95">
        <f>IF($AD95="","",Settings!$C$7)</f>
        <v/>
      </c>
      <c r="U95" s="7">
        <f>IF($AD95="","",SUMIFS('Per Line'!$AB$2:$AB$3001,'Per Line'!$E$2:$E$3001,$B95,'Per Line'!$AP$2:$AP$3001,0,'Per Line'!$AQ$2:$AQ$3001,0))</f>
        <v/>
      </c>
      <c r="V95" s="7">
        <f>IF($AD95="","",U95*T95)</f>
        <v/>
      </c>
      <c r="W95">
        <f>IF($AD95="","",Settings!$C$6)</f>
        <v/>
      </c>
      <c r="X95" s="7">
        <f>IF($AD95="","",SUMIFS('Per Line'!$AB$2:$AB$3001,'Per Line'!$E$2:$E$3001,$B95,'Per Line'!$AP$2:$AP$3001,1,'Per Line'!$AQ$2:$AQ$3001,0))</f>
        <v/>
      </c>
      <c r="Y95" s="7">
        <f>IF($AD95="","",X95*W95)</f>
        <v/>
      </c>
      <c r="Z95" s="7">
        <f>IF($AD95="","",Y95+V95)</f>
        <v/>
      </c>
      <c r="AA95" s="7">
        <f>IF($AD95="","",AB95-Z95)</f>
        <v/>
      </c>
      <c r="AB95" s="7">
        <f>IF($AD95="","",U95+X95+S95)</f>
        <v/>
      </c>
      <c r="AC95" s="7">
        <f>IF($AD95="","",AB95-Z95-P95)</f>
        <v/>
      </c>
      <c r="AD95" s="13">
        <f>IF(ROWS($AD$2:$AD95)&lt;=MAX('Per Line'!$AO$2:$AO$3001),MATCH(ROWS($AD$2:$AD95),'Per Line'!$AO$2:$AO$3001,0),"")</f>
        <v/>
      </c>
      <c r="AE95" s="14">
        <f>IF($AD95="","",P95-O95*AB95/100)</f>
        <v/>
      </c>
    </row>
    <row r="96">
      <c r="A96" s="12" t="n"/>
      <c r="B96">
        <f>IF($AD96="","",INDEX('Per Line'!$E$2:$E$3001,$AD96)&amp;"")</f>
        <v/>
      </c>
      <c r="C96">
        <f>IF($AD96="","",INDEX('Per Line'!$A$2:$A$3001,$AD96)&amp;"")</f>
        <v/>
      </c>
      <c r="D96">
        <f>IF($AD96="","",INDEX('Per Line'!$C$2:$C$3001,$AD96)&amp;"")</f>
        <v/>
      </c>
      <c r="E96">
        <f>IF($AD96="","",INDEX('Per Line'!$B$2:$B$3001,$AD96))</f>
        <v/>
      </c>
      <c r="F96">
        <f>IF($AD96="","",INDEX('Per Line'!$D$2:$D$3001,$AD96)&amp;"")</f>
        <v/>
      </c>
      <c r="G96" s="11">
        <f>IF($AD96="","",INDEX('Per Line'!$G$2:$G$3001,$AD96))</f>
        <v/>
      </c>
      <c r="H96">
        <f>IF($AD96="","",INDEX('Per Line'!$J$2:$J$3001,$AD96)&amp;"")</f>
        <v/>
      </c>
      <c r="I96">
        <f>IF($AD96="","",INDEX('Per Line'!$H$2:$H$3001,$AD96)&amp;"")</f>
        <v/>
      </c>
      <c r="J96">
        <f>IF($AD96="","",INDEX('Per Line'!$F$2:$F$3001,$AD96)&amp;"")</f>
        <v/>
      </c>
      <c r="K96">
        <f>IF($AD96="","",INDEX('Per Line'!$K$2:$K$3001,$AD96)&amp;"")</f>
        <v/>
      </c>
      <c r="L96">
        <f>IF($AD96="","",INDEX('Per Line'!$L$2:$L$3001,$AD96)&amp;"")</f>
        <v/>
      </c>
      <c r="M96">
        <f>IF($AD96="","",INDEX('Per Line'!$M$2:$M$3001,$AD96)&amp;"")</f>
        <v/>
      </c>
      <c r="N96">
        <f>IF($AD96="","",INDEX('Per Line'!$AC$2:$AC$3001,$AD96)&amp;"")</f>
        <v/>
      </c>
      <c r="O96">
        <f>IF($AD96="","",INDEX('Per Line'!$P$2:$P$3001,$AD96))</f>
        <v/>
      </c>
      <c r="P96" s="7">
        <f>IF($AD96="","",IF(AND(ISNUMBER(Q96),Q96&gt;0,AB96&gt;Q96),O96*Q96/100+(AB96-Q96),O96*AB96/100))</f>
        <v/>
      </c>
      <c r="Q96">
        <f>IF($AD96="","",INDEX('Per Line'!$AG$2:$AG$3001,$AD96))</f>
        <v/>
      </c>
      <c r="R96">
        <f>IF($AD96="","",IF(AND(ISNUMBER(Q96),Q96&gt;0),AB96&gt;Q96,FALSE))</f>
        <v/>
      </c>
      <c r="S96" s="7">
        <f>IF($AD96="","",SUMIFS('Per Line'!$AB$2:$AB$3001,'Per Line'!$E$2:$E$3001,$B96,'Per Line'!$AQ$2:$AQ$3001,1))</f>
        <v/>
      </c>
      <c r="T96">
        <f>IF($AD96="","",Settings!$C$7)</f>
        <v/>
      </c>
      <c r="U96" s="7">
        <f>IF($AD96="","",SUMIFS('Per Line'!$AB$2:$AB$3001,'Per Line'!$E$2:$E$3001,$B96,'Per Line'!$AP$2:$AP$3001,0,'Per Line'!$AQ$2:$AQ$3001,0))</f>
        <v/>
      </c>
      <c r="V96" s="7">
        <f>IF($AD96="","",U96*T96)</f>
        <v/>
      </c>
      <c r="W96">
        <f>IF($AD96="","",Settings!$C$6)</f>
        <v/>
      </c>
      <c r="X96" s="7">
        <f>IF($AD96="","",SUMIFS('Per Line'!$AB$2:$AB$3001,'Per Line'!$E$2:$E$3001,$B96,'Per Line'!$AP$2:$AP$3001,1,'Per Line'!$AQ$2:$AQ$3001,0))</f>
        <v/>
      </c>
      <c r="Y96" s="7">
        <f>IF($AD96="","",X96*W96)</f>
        <v/>
      </c>
      <c r="Z96" s="7">
        <f>IF($AD96="","",Y96+V96)</f>
        <v/>
      </c>
      <c r="AA96" s="7">
        <f>IF($AD96="","",AB96-Z96)</f>
        <v/>
      </c>
      <c r="AB96" s="7">
        <f>IF($AD96="","",U96+X96+S96)</f>
        <v/>
      </c>
      <c r="AC96" s="7">
        <f>IF($AD96="","",AB96-Z96-P96)</f>
        <v/>
      </c>
      <c r="AD96" s="13">
        <f>IF(ROWS($AD$2:$AD96)&lt;=MAX('Per Line'!$AO$2:$AO$3001),MATCH(ROWS($AD$2:$AD96),'Per Line'!$AO$2:$AO$3001,0),"")</f>
        <v/>
      </c>
      <c r="AE96" s="14">
        <f>IF($AD96="","",P96-O96*AB96/100)</f>
        <v/>
      </c>
    </row>
    <row r="97">
      <c r="A97" s="12" t="n"/>
      <c r="B97">
        <f>IF($AD97="","",INDEX('Per Line'!$E$2:$E$3001,$AD97)&amp;"")</f>
        <v/>
      </c>
      <c r="C97">
        <f>IF($AD97="","",INDEX('Per Line'!$A$2:$A$3001,$AD97)&amp;"")</f>
        <v/>
      </c>
      <c r="D97">
        <f>IF($AD97="","",INDEX('Per Line'!$C$2:$C$3001,$AD97)&amp;"")</f>
        <v/>
      </c>
      <c r="E97">
        <f>IF($AD97="","",INDEX('Per Line'!$B$2:$B$3001,$AD97))</f>
        <v/>
      </c>
      <c r="F97">
        <f>IF($AD97="","",INDEX('Per Line'!$D$2:$D$3001,$AD97)&amp;"")</f>
        <v/>
      </c>
      <c r="G97" s="11">
        <f>IF($AD97="","",INDEX('Per Line'!$G$2:$G$3001,$AD97))</f>
        <v/>
      </c>
      <c r="H97">
        <f>IF($AD97="","",INDEX('Per Line'!$J$2:$J$3001,$AD97)&amp;"")</f>
        <v/>
      </c>
      <c r="I97">
        <f>IF($AD97="","",INDEX('Per Line'!$H$2:$H$3001,$AD97)&amp;"")</f>
        <v/>
      </c>
      <c r="J97">
        <f>IF($AD97="","",INDEX('Per Line'!$F$2:$F$3001,$AD97)&amp;"")</f>
        <v/>
      </c>
      <c r="K97">
        <f>IF($AD97="","",INDEX('Per Line'!$K$2:$K$3001,$AD97)&amp;"")</f>
        <v/>
      </c>
      <c r="L97">
        <f>IF($AD97="","",INDEX('Per Line'!$L$2:$L$3001,$AD97)&amp;"")</f>
        <v/>
      </c>
      <c r="M97">
        <f>IF($AD97="","",INDEX('Per Line'!$M$2:$M$3001,$AD97)&amp;"")</f>
        <v/>
      </c>
      <c r="N97">
        <f>IF($AD97="","",INDEX('Per Line'!$AC$2:$AC$3001,$AD97)&amp;"")</f>
        <v/>
      </c>
      <c r="O97">
        <f>IF($AD97="","",INDEX('Per Line'!$P$2:$P$3001,$AD97))</f>
        <v/>
      </c>
      <c r="P97" s="7">
        <f>IF($AD97="","",IF(AND(ISNUMBER(Q97),Q97&gt;0,AB97&gt;Q97),O97*Q97/100+(AB97-Q97),O97*AB97/100))</f>
        <v/>
      </c>
      <c r="Q97">
        <f>IF($AD97="","",INDEX('Per Line'!$AG$2:$AG$3001,$AD97))</f>
        <v/>
      </c>
      <c r="R97">
        <f>IF($AD97="","",IF(AND(ISNUMBER(Q97),Q97&gt;0),AB97&gt;Q97,FALSE))</f>
        <v/>
      </c>
      <c r="S97" s="7">
        <f>IF($AD97="","",SUMIFS('Per Line'!$AB$2:$AB$3001,'Per Line'!$E$2:$E$3001,$B97,'Per Line'!$AQ$2:$AQ$3001,1))</f>
        <v/>
      </c>
      <c r="T97">
        <f>IF($AD97="","",Settings!$C$7)</f>
        <v/>
      </c>
      <c r="U97" s="7">
        <f>IF($AD97="","",SUMIFS('Per Line'!$AB$2:$AB$3001,'Per Line'!$E$2:$E$3001,$B97,'Per Line'!$AP$2:$AP$3001,0,'Per Line'!$AQ$2:$AQ$3001,0))</f>
        <v/>
      </c>
      <c r="V97" s="7">
        <f>IF($AD97="","",U97*T97)</f>
        <v/>
      </c>
      <c r="W97">
        <f>IF($AD97="","",Settings!$C$6)</f>
        <v/>
      </c>
      <c r="X97" s="7">
        <f>IF($AD97="","",SUMIFS('Per Line'!$AB$2:$AB$3001,'Per Line'!$E$2:$E$3001,$B97,'Per Line'!$AP$2:$AP$3001,1,'Per Line'!$AQ$2:$AQ$3001,0))</f>
        <v/>
      </c>
      <c r="Y97" s="7">
        <f>IF($AD97="","",X97*W97)</f>
        <v/>
      </c>
      <c r="Z97" s="7">
        <f>IF($AD97="","",Y97+V97)</f>
        <v/>
      </c>
      <c r="AA97" s="7">
        <f>IF($AD97="","",AB97-Z97)</f>
        <v/>
      </c>
      <c r="AB97" s="7">
        <f>IF($AD97="","",U97+X97+S97)</f>
        <v/>
      </c>
      <c r="AC97" s="7">
        <f>IF($AD97="","",AB97-Z97-P97)</f>
        <v/>
      </c>
      <c r="AD97" s="13">
        <f>IF(ROWS($AD$2:$AD97)&lt;=MAX('Per Line'!$AO$2:$AO$3001),MATCH(ROWS($AD$2:$AD97),'Per Line'!$AO$2:$AO$3001,0),"")</f>
        <v/>
      </c>
      <c r="AE97" s="14">
        <f>IF($AD97="","",P97-O97*AB97/100)</f>
        <v/>
      </c>
    </row>
    <row r="98">
      <c r="A98" s="12" t="n"/>
      <c r="B98">
        <f>IF($AD98="","",INDEX('Per Line'!$E$2:$E$3001,$AD98)&amp;"")</f>
        <v/>
      </c>
      <c r="C98">
        <f>IF($AD98="","",INDEX('Per Line'!$A$2:$A$3001,$AD98)&amp;"")</f>
        <v/>
      </c>
      <c r="D98">
        <f>IF($AD98="","",INDEX('Per Line'!$C$2:$C$3001,$AD98)&amp;"")</f>
        <v/>
      </c>
      <c r="E98">
        <f>IF($AD98="","",INDEX('Per Line'!$B$2:$B$3001,$AD98))</f>
        <v/>
      </c>
      <c r="F98">
        <f>IF($AD98="","",INDEX('Per Line'!$D$2:$D$3001,$AD98)&amp;"")</f>
        <v/>
      </c>
      <c r="G98" s="11">
        <f>IF($AD98="","",INDEX('Per Line'!$G$2:$G$3001,$AD98))</f>
        <v/>
      </c>
      <c r="H98">
        <f>IF($AD98="","",INDEX('Per Line'!$J$2:$J$3001,$AD98)&amp;"")</f>
        <v/>
      </c>
      <c r="I98">
        <f>IF($AD98="","",INDEX('Per Line'!$H$2:$H$3001,$AD98)&amp;"")</f>
        <v/>
      </c>
      <c r="J98">
        <f>IF($AD98="","",INDEX('Per Line'!$F$2:$F$3001,$AD98)&amp;"")</f>
        <v/>
      </c>
      <c r="K98">
        <f>IF($AD98="","",INDEX('Per Line'!$K$2:$K$3001,$AD98)&amp;"")</f>
        <v/>
      </c>
      <c r="L98">
        <f>IF($AD98="","",INDEX('Per Line'!$L$2:$L$3001,$AD98)&amp;"")</f>
        <v/>
      </c>
      <c r="M98">
        <f>IF($AD98="","",INDEX('Per Line'!$M$2:$M$3001,$AD98)&amp;"")</f>
        <v/>
      </c>
      <c r="N98">
        <f>IF($AD98="","",INDEX('Per Line'!$AC$2:$AC$3001,$AD98)&amp;"")</f>
        <v/>
      </c>
      <c r="O98">
        <f>IF($AD98="","",INDEX('Per Line'!$P$2:$P$3001,$AD98))</f>
        <v/>
      </c>
      <c r="P98" s="7">
        <f>IF($AD98="","",IF(AND(ISNUMBER(Q98),Q98&gt;0,AB98&gt;Q98),O98*Q98/100+(AB98-Q98),O98*AB98/100))</f>
        <v/>
      </c>
      <c r="Q98">
        <f>IF($AD98="","",INDEX('Per Line'!$AG$2:$AG$3001,$AD98))</f>
        <v/>
      </c>
      <c r="R98">
        <f>IF($AD98="","",IF(AND(ISNUMBER(Q98),Q98&gt;0),AB98&gt;Q98,FALSE))</f>
        <v/>
      </c>
      <c r="S98" s="7">
        <f>IF($AD98="","",SUMIFS('Per Line'!$AB$2:$AB$3001,'Per Line'!$E$2:$E$3001,$B98,'Per Line'!$AQ$2:$AQ$3001,1))</f>
        <v/>
      </c>
      <c r="T98">
        <f>IF($AD98="","",Settings!$C$7)</f>
        <v/>
      </c>
      <c r="U98" s="7">
        <f>IF($AD98="","",SUMIFS('Per Line'!$AB$2:$AB$3001,'Per Line'!$E$2:$E$3001,$B98,'Per Line'!$AP$2:$AP$3001,0,'Per Line'!$AQ$2:$AQ$3001,0))</f>
        <v/>
      </c>
      <c r="V98" s="7">
        <f>IF($AD98="","",U98*T98)</f>
        <v/>
      </c>
      <c r="W98">
        <f>IF($AD98="","",Settings!$C$6)</f>
        <v/>
      </c>
      <c r="X98" s="7">
        <f>IF($AD98="","",SUMIFS('Per Line'!$AB$2:$AB$3001,'Per Line'!$E$2:$E$3001,$B98,'Per Line'!$AP$2:$AP$3001,1,'Per Line'!$AQ$2:$AQ$3001,0))</f>
        <v/>
      </c>
      <c r="Y98" s="7">
        <f>IF($AD98="","",X98*W98)</f>
        <v/>
      </c>
      <c r="Z98" s="7">
        <f>IF($AD98="","",Y98+V98)</f>
        <v/>
      </c>
      <c r="AA98" s="7">
        <f>IF($AD98="","",AB98-Z98)</f>
        <v/>
      </c>
      <c r="AB98" s="7">
        <f>IF($AD98="","",U98+X98+S98)</f>
        <v/>
      </c>
      <c r="AC98" s="7">
        <f>IF($AD98="","",AB98-Z98-P98)</f>
        <v/>
      </c>
      <c r="AD98" s="13">
        <f>IF(ROWS($AD$2:$AD98)&lt;=MAX('Per Line'!$AO$2:$AO$3001),MATCH(ROWS($AD$2:$AD98),'Per Line'!$AO$2:$AO$3001,0),"")</f>
        <v/>
      </c>
      <c r="AE98" s="14">
        <f>IF($AD98="","",P98-O98*AB98/100)</f>
        <v/>
      </c>
    </row>
    <row r="99">
      <c r="A99" s="12" t="n"/>
      <c r="B99">
        <f>IF($AD99="","",INDEX('Per Line'!$E$2:$E$3001,$AD99)&amp;"")</f>
        <v/>
      </c>
      <c r="C99">
        <f>IF($AD99="","",INDEX('Per Line'!$A$2:$A$3001,$AD99)&amp;"")</f>
        <v/>
      </c>
      <c r="D99">
        <f>IF($AD99="","",INDEX('Per Line'!$C$2:$C$3001,$AD99)&amp;"")</f>
        <v/>
      </c>
      <c r="E99">
        <f>IF($AD99="","",INDEX('Per Line'!$B$2:$B$3001,$AD99))</f>
        <v/>
      </c>
      <c r="F99">
        <f>IF($AD99="","",INDEX('Per Line'!$D$2:$D$3001,$AD99)&amp;"")</f>
        <v/>
      </c>
      <c r="G99" s="11">
        <f>IF($AD99="","",INDEX('Per Line'!$G$2:$G$3001,$AD99))</f>
        <v/>
      </c>
      <c r="H99">
        <f>IF($AD99="","",INDEX('Per Line'!$J$2:$J$3001,$AD99)&amp;"")</f>
        <v/>
      </c>
      <c r="I99">
        <f>IF($AD99="","",INDEX('Per Line'!$H$2:$H$3001,$AD99)&amp;"")</f>
        <v/>
      </c>
      <c r="J99">
        <f>IF($AD99="","",INDEX('Per Line'!$F$2:$F$3001,$AD99)&amp;"")</f>
        <v/>
      </c>
      <c r="K99">
        <f>IF($AD99="","",INDEX('Per Line'!$K$2:$K$3001,$AD99)&amp;"")</f>
        <v/>
      </c>
      <c r="L99">
        <f>IF($AD99="","",INDEX('Per Line'!$L$2:$L$3001,$AD99)&amp;"")</f>
        <v/>
      </c>
      <c r="M99">
        <f>IF($AD99="","",INDEX('Per Line'!$M$2:$M$3001,$AD99)&amp;"")</f>
        <v/>
      </c>
      <c r="N99">
        <f>IF($AD99="","",INDEX('Per Line'!$AC$2:$AC$3001,$AD99)&amp;"")</f>
        <v/>
      </c>
      <c r="O99">
        <f>IF($AD99="","",INDEX('Per Line'!$P$2:$P$3001,$AD99))</f>
        <v/>
      </c>
      <c r="P99" s="7">
        <f>IF($AD99="","",IF(AND(ISNUMBER(Q99),Q99&gt;0,AB99&gt;Q99),O99*Q99/100+(AB99-Q99),O99*AB99/100))</f>
        <v/>
      </c>
      <c r="Q99">
        <f>IF($AD99="","",INDEX('Per Line'!$AG$2:$AG$3001,$AD99))</f>
        <v/>
      </c>
      <c r="R99">
        <f>IF($AD99="","",IF(AND(ISNUMBER(Q99),Q99&gt;0),AB99&gt;Q99,FALSE))</f>
        <v/>
      </c>
      <c r="S99" s="7">
        <f>IF($AD99="","",SUMIFS('Per Line'!$AB$2:$AB$3001,'Per Line'!$E$2:$E$3001,$B99,'Per Line'!$AQ$2:$AQ$3001,1))</f>
        <v/>
      </c>
      <c r="T99">
        <f>IF($AD99="","",Settings!$C$7)</f>
        <v/>
      </c>
      <c r="U99" s="7">
        <f>IF($AD99="","",SUMIFS('Per Line'!$AB$2:$AB$3001,'Per Line'!$E$2:$E$3001,$B99,'Per Line'!$AP$2:$AP$3001,0,'Per Line'!$AQ$2:$AQ$3001,0))</f>
        <v/>
      </c>
      <c r="V99" s="7">
        <f>IF($AD99="","",U99*T99)</f>
        <v/>
      </c>
      <c r="W99">
        <f>IF($AD99="","",Settings!$C$6)</f>
        <v/>
      </c>
      <c r="X99" s="7">
        <f>IF($AD99="","",SUMIFS('Per Line'!$AB$2:$AB$3001,'Per Line'!$E$2:$E$3001,$B99,'Per Line'!$AP$2:$AP$3001,1,'Per Line'!$AQ$2:$AQ$3001,0))</f>
        <v/>
      </c>
      <c r="Y99" s="7">
        <f>IF($AD99="","",X99*W99)</f>
        <v/>
      </c>
      <c r="Z99" s="7">
        <f>IF($AD99="","",Y99+V99)</f>
        <v/>
      </c>
      <c r="AA99" s="7">
        <f>IF($AD99="","",AB99-Z99)</f>
        <v/>
      </c>
      <c r="AB99" s="7">
        <f>IF($AD99="","",U99+X99+S99)</f>
        <v/>
      </c>
      <c r="AC99" s="7">
        <f>IF($AD99="","",AB99-Z99-P99)</f>
        <v/>
      </c>
      <c r="AD99" s="13">
        <f>IF(ROWS($AD$2:$AD99)&lt;=MAX('Per Line'!$AO$2:$AO$3001),MATCH(ROWS($AD$2:$AD99),'Per Line'!$AO$2:$AO$3001,0),"")</f>
        <v/>
      </c>
      <c r="AE99" s="14">
        <f>IF($AD99="","",P99-O99*AB99/100)</f>
        <v/>
      </c>
    </row>
    <row r="100">
      <c r="A100" s="12" t="n"/>
      <c r="B100">
        <f>IF($AD100="","",INDEX('Per Line'!$E$2:$E$3001,$AD100)&amp;"")</f>
        <v/>
      </c>
      <c r="C100">
        <f>IF($AD100="","",INDEX('Per Line'!$A$2:$A$3001,$AD100)&amp;"")</f>
        <v/>
      </c>
      <c r="D100">
        <f>IF($AD100="","",INDEX('Per Line'!$C$2:$C$3001,$AD100)&amp;"")</f>
        <v/>
      </c>
      <c r="E100">
        <f>IF($AD100="","",INDEX('Per Line'!$B$2:$B$3001,$AD100))</f>
        <v/>
      </c>
      <c r="F100">
        <f>IF($AD100="","",INDEX('Per Line'!$D$2:$D$3001,$AD100)&amp;"")</f>
        <v/>
      </c>
      <c r="G100" s="11">
        <f>IF($AD100="","",INDEX('Per Line'!$G$2:$G$3001,$AD100))</f>
        <v/>
      </c>
      <c r="H100">
        <f>IF($AD100="","",INDEX('Per Line'!$J$2:$J$3001,$AD100)&amp;"")</f>
        <v/>
      </c>
      <c r="I100">
        <f>IF($AD100="","",INDEX('Per Line'!$H$2:$H$3001,$AD100)&amp;"")</f>
        <v/>
      </c>
      <c r="J100">
        <f>IF($AD100="","",INDEX('Per Line'!$F$2:$F$3001,$AD100)&amp;"")</f>
        <v/>
      </c>
      <c r="K100">
        <f>IF($AD100="","",INDEX('Per Line'!$K$2:$K$3001,$AD100)&amp;"")</f>
        <v/>
      </c>
      <c r="L100">
        <f>IF($AD100="","",INDEX('Per Line'!$L$2:$L$3001,$AD100)&amp;"")</f>
        <v/>
      </c>
      <c r="M100">
        <f>IF($AD100="","",INDEX('Per Line'!$M$2:$M$3001,$AD100)&amp;"")</f>
        <v/>
      </c>
      <c r="N100">
        <f>IF($AD100="","",INDEX('Per Line'!$AC$2:$AC$3001,$AD100)&amp;"")</f>
        <v/>
      </c>
      <c r="O100">
        <f>IF($AD100="","",INDEX('Per Line'!$P$2:$P$3001,$AD100))</f>
        <v/>
      </c>
      <c r="P100" s="7">
        <f>IF($AD100="","",IF(AND(ISNUMBER(Q100),Q100&gt;0,AB100&gt;Q100),O100*Q100/100+(AB100-Q100),O100*AB100/100))</f>
        <v/>
      </c>
      <c r="Q100">
        <f>IF($AD100="","",INDEX('Per Line'!$AG$2:$AG$3001,$AD100))</f>
        <v/>
      </c>
      <c r="R100">
        <f>IF($AD100="","",IF(AND(ISNUMBER(Q100),Q100&gt;0),AB100&gt;Q100,FALSE))</f>
        <v/>
      </c>
      <c r="S100" s="7">
        <f>IF($AD100="","",SUMIFS('Per Line'!$AB$2:$AB$3001,'Per Line'!$E$2:$E$3001,$B100,'Per Line'!$AQ$2:$AQ$3001,1))</f>
        <v/>
      </c>
      <c r="T100">
        <f>IF($AD100="","",Settings!$C$7)</f>
        <v/>
      </c>
      <c r="U100" s="7">
        <f>IF($AD100="","",SUMIFS('Per Line'!$AB$2:$AB$3001,'Per Line'!$E$2:$E$3001,$B100,'Per Line'!$AP$2:$AP$3001,0,'Per Line'!$AQ$2:$AQ$3001,0))</f>
        <v/>
      </c>
      <c r="V100" s="7">
        <f>IF($AD100="","",U100*T100)</f>
        <v/>
      </c>
      <c r="W100">
        <f>IF($AD100="","",Settings!$C$6)</f>
        <v/>
      </c>
      <c r="X100" s="7">
        <f>IF($AD100="","",SUMIFS('Per Line'!$AB$2:$AB$3001,'Per Line'!$E$2:$E$3001,$B100,'Per Line'!$AP$2:$AP$3001,1,'Per Line'!$AQ$2:$AQ$3001,0))</f>
        <v/>
      </c>
      <c r="Y100" s="7">
        <f>IF($AD100="","",X100*W100)</f>
        <v/>
      </c>
      <c r="Z100" s="7">
        <f>IF($AD100="","",Y100+V100)</f>
        <v/>
      </c>
      <c r="AA100" s="7">
        <f>IF($AD100="","",AB100-Z100)</f>
        <v/>
      </c>
      <c r="AB100" s="7">
        <f>IF($AD100="","",U100+X100+S100)</f>
        <v/>
      </c>
      <c r="AC100" s="7">
        <f>IF($AD100="","",AB100-Z100-P100)</f>
        <v/>
      </c>
      <c r="AD100" s="13">
        <f>IF(ROWS($AD$2:$AD100)&lt;=MAX('Per Line'!$AO$2:$AO$3001),MATCH(ROWS($AD$2:$AD100),'Per Line'!$AO$2:$AO$3001,0),"")</f>
        <v/>
      </c>
      <c r="AE100" s="14">
        <f>IF($AD100="","",P100-O100*AB100/100)</f>
        <v/>
      </c>
    </row>
    <row r="101">
      <c r="A101" s="12" t="n"/>
      <c r="B101">
        <f>IF($AD101="","",INDEX('Per Line'!$E$2:$E$3001,$AD101)&amp;"")</f>
        <v/>
      </c>
      <c r="C101">
        <f>IF($AD101="","",INDEX('Per Line'!$A$2:$A$3001,$AD101)&amp;"")</f>
        <v/>
      </c>
      <c r="D101">
        <f>IF($AD101="","",INDEX('Per Line'!$C$2:$C$3001,$AD101)&amp;"")</f>
        <v/>
      </c>
      <c r="E101">
        <f>IF($AD101="","",INDEX('Per Line'!$B$2:$B$3001,$AD101))</f>
        <v/>
      </c>
      <c r="F101">
        <f>IF($AD101="","",INDEX('Per Line'!$D$2:$D$3001,$AD101)&amp;"")</f>
        <v/>
      </c>
      <c r="G101" s="11">
        <f>IF($AD101="","",INDEX('Per Line'!$G$2:$G$3001,$AD101))</f>
        <v/>
      </c>
      <c r="H101">
        <f>IF($AD101="","",INDEX('Per Line'!$J$2:$J$3001,$AD101)&amp;"")</f>
        <v/>
      </c>
      <c r="I101">
        <f>IF($AD101="","",INDEX('Per Line'!$H$2:$H$3001,$AD101)&amp;"")</f>
        <v/>
      </c>
      <c r="J101">
        <f>IF($AD101="","",INDEX('Per Line'!$F$2:$F$3001,$AD101)&amp;"")</f>
        <v/>
      </c>
      <c r="K101">
        <f>IF($AD101="","",INDEX('Per Line'!$K$2:$K$3001,$AD101)&amp;"")</f>
        <v/>
      </c>
      <c r="L101">
        <f>IF($AD101="","",INDEX('Per Line'!$L$2:$L$3001,$AD101)&amp;"")</f>
        <v/>
      </c>
      <c r="M101">
        <f>IF($AD101="","",INDEX('Per Line'!$M$2:$M$3001,$AD101)&amp;"")</f>
        <v/>
      </c>
      <c r="N101">
        <f>IF($AD101="","",INDEX('Per Line'!$AC$2:$AC$3001,$AD101)&amp;"")</f>
        <v/>
      </c>
      <c r="O101">
        <f>IF($AD101="","",INDEX('Per Line'!$P$2:$P$3001,$AD101))</f>
        <v/>
      </c>
      <c r="P101" s="7">
        <f>IF($AD101="","",IF(AND(ISNUMBER(Q101),Q101&gt;0,AB101&gt;Q101),O101*Q101/100+(AB101-Q101),O101*AB101/100))</f>
        <v/>
      </c>
      <c r="Q101">
        <f>IF($AD101="","",INDEX('Per Line'!$AG$2:$AG$3001,$AD101))</f>
        <v/>
      </c>
      <c r="R101">
        <f>IF($AD101="","",IF(AND(ISNUMBER(Q101),Q101&gt;0),AB101&gt;Q101,FALSE))</f>
        <v/>
      </c>
      <c r="S101" s="7">
        <f>IF($AD101="","",SUMIFS('Per Line'!$AB$2:$AB$3001,'Per Line'!$E$2:$E$3001,$B101,'Per Line'!$AQ$2:$AQ$3001,1))</f>
        <v/>
      </c>
      <c r="T101">
        <f>IF($AD101="","",Settings!$C$7)</f>
        <v/>
      </c>
      <c r="U101" s="7">
        <f>IF($AD101="","",SUMIFS('Per Line'!$AB$2:$AB$3001,'Per Line'!$E$2:$E$3001,$B101,'Per Line'!$AP$2:$AP$3001,0,'Per Line'!$AQ$2:$AQ$3001,0))</f>
        <v/>
      </c>
      <c r="V101" s="7">
        <f>IF($AD101="","",U101*T101)</f>
        <v/>
      </c>
      <c r="W101">
        <f>IF($AD101="","",Settings!$C$6)</f>
        <v/>
      </c>
      <c r="X101" s="7">
        <f>IF($AD101="","",SUMIFS('Per Line'!$AB$2:$AB$3001,'Per Line'!$E$2:$E$3001,$B101,'Per Line'!$AP$2:$AP$3001,1,'Per Line'!$AQ$2:$AQ$3001,0))</f>
        <v/>
      </c>
      <c r="Y101" s="7">
        <f>IF($AD101="","",X101*W101)</f>
        <v/>
      </c>
      <c r="Z101" s="7">
        <f>IF($AD101="","",Y101+V101)</f>
        <v/>
      </c>
      <c r="AA101" s="7">
        <f>IF($AD101="","",AB101-Z101)</f>
        <v/>
      </c>
      <c r="AB101" s="7">
        <f>IF($AD101="","",U101+X101+S101)</f>
        <v/>
      </c>
      <c r="AC101" s="7">
        <f>IF($AD101="","",AB101-Z101-P101)</f>
        <v/>
      </c>
      <c r="AD101" s="13">
        <f>IF(ROWS($AD$2:$AD101)&lt;=MAX('Per Line'!$AO$2:$AO$3001),MATCH(ROWS($AD$2:$AD101),'Per Line'!$AO$2:$AO$3001,0),"")</f>
        <v/>
      </c>
      <c r="AE101" s="14">
        <f>IF($AD101="","",P101-O101*AB101/100)</f>
        <v/>
      </c>
    </row>
    <row r="102">
      <c r="A102" s="12" t="n"/>
      <c r="B102">
        <f>IF($AD102="","",INDEX('Per Line'!$E$2:$E$3001,$AD102)&amp;"")</f>
        <v/>
      </c>
      <c r="C102">
        <f>IF($AD102="","",INDEX('Per Line'!$A$2:$A$3001,$AD102)&amp;"")</f>
        <v/>
      </c>
      <c r="D102">
        <f>IF($AD102="","",INDEX('Per Line'!$C$2:$C$3001,$AD102)&amp;"")</f>
        <v/>
      </c>
      <c r="E102">
        <f>IF($AD102="","",INDEX('Per Line'!$B$2:$B$3001,$AD102))</f>
        <v/>
      </c>
      <c r="F102">
        <f>IF($AD102="","",INDEX('Per Line'!$D$2:$D$3001,$AD102)&amp;"")</f>
        <v/>
      </c>
      <c r="G102" s="11">
        <f>IF($AD102="","",INDEX('Per Line'!$G$2:$G$3001,$AD102))</f>
        <v/>
      </c>
      <c r="H102">
        <f>IF($AD102="","",INDEX('Per Line'!$J$2:$J$3001,$AD102)&amp;"")</f>
        <v/>
      </c>
      <c r="I102">
        <f>IF($AD102="","",INDEX('Per Line'!$H$2:$H$3001,$AD102)&amp;"")</f>
        <v/>
      </c>
      <c r="J102">
        <f>IF($AD102="","",INDEX('Per Line'!$F$2:$F$3001,$AD102)&amp;"")</f>
        <v/>
      </c>
      <c r="K102">
        <f>IF($AD102="","",INDEX('Per Line'!$K$2:$K$3001,$AD102)&amp;"")</f>
        <v/>
      </c>
      <c r="L102">
        <f>IF($AD102="","",INDEX('Per Line'!$L$2:$L$3001,$AD102)&amp;"")</f>
        <v/>
      </c>
      <c r="M102">
        <f>IF($AD102="","",INDEX('Per Line'!$M$2:$M$3001,$AD102)&amp;"")</f>
        <v/>
      </c>
      <c r="N102">
        <f>IF($AD102="","",INDEX('Per Line'!$AC$2:$AC$3001,$AD102)&amp;"")</f>
        <v/>
      </c>
      <c r="O102">
        <f>IF($AD102="","",INDEX('Per Line'!$P$2:$P$3001,$AD102))</f>
        <v/>
      </c>
      <c r="P102" s="7">
        <f>IF($AD102="","",IF(AND(ISNUMBER(Q102),Q102&gt;0,AB102&gt;Q102),O102*Q102/100+(AB102-Q102),O102*AB102/100))</f>
        <v/>
      </c>
      <c r="Q102">
        <f>IF($AD102="","",INDEX('Per Line'!$AG$2:$AG$3001,$AD102))</f>
        <v/>
      </c>
      <c r="R102">
        <f>IF($AD102="","",IF(AND(ISNUMBER(Q102),Q102&gt;0),AB102&gt;Q102,FALSE))</f>
        <v/>
      </c>
      <c r="S102" s="7">
        <f>IF($AD102="","",SUMIFS('Per Line'!$AB$2:$AB$3001,'Per Line'!$E$2:$E$3001,$B102,'Per Line'!$AQ$2:$AQ$3001,1))</f>
        <v/>
      </c>
      <c r="T102">
        <f>IF($AD102="","",Settings!$C$7)</f>
        <v/>
      </c>
      <c r="U102" s="7">
        <f>IF($AD102="","",SUMIFS('Per Line'!$AB$2:$AB$3001,'Per Line'!$E$2:$E$3001,$B102,'Per Line'!$AP$2:$AP$3001,0,'Per Line'!$AQ$2:$AQ$3001,0))</f>
        <v/>
      </c>
      <c r="V102" s="7">
        <f>IF($AD102="","",U102*T102)</f>
        <v/>
      </c>
      <c r="W102">
        <f>IF($AD102="","",Settings!$C$6)</f>
        <v/>
      </c>
      <c r="X102" s="7">
        <f>IF($AD102="","",SUMIFS('Per Line'!$AB$2:$AB$3001,'Per Line'!$E$2:$E$3001,$B102,'Per Line'!$AP$2:$AP$3001,1,'Per Line'!$AQ$2:$AQ$3001,0))</f>
        <v/>
      </c>
      <c r="Y102" s="7">
        <f>IF($AD102="","",X102*W102)</f>
        <v/>
      </c>
      <c r="Z102" s="7">
        <f>IF($AD102="","",Y102+V102)</f>
        <v/>
      </c>
      <c r="AA102" s="7">
        <f>IF($AD102="","",AB102-Z102)</f>
        <v/>
      </c>
      <c r="AB102" s="7">
        <f>IF($AD102="","",U102+X102+S102)</f>
        <v/>
      </c>
      <c r="AC102" s="7">
        <f>IF($AD102="","",AB102-Z102-P102)</f>
        <v/>
      </c>
      <c r="AD102" s="13">
        <f>IF(ROWS($AD$2:$AD102)&lt;=MAX('Per Line'!$AO$2:$AO$3001),MATCH(ROWS($AD$2:$AD102),'Per Line'!$AO$2:$AO$3001,0),"")</f>
        <v/>
      </c>
      <c r="AE102" s="14">
        <f>IF($AD102="","",P102-O102*AB102/100)</f>
        <v/>
      </c>
    </row>
    <row r="103">
      <c r="A103" s="12" t="n"/>
      <c r="B103">
        <f>IF($AD103="","",INDEX('Per Line'!$E$2:$E$3001,$AD103)&amp;"")</f>
        <v/>
      </c>
      <c r="C103">
        <f>IF($AD103="","",INDEX('Per Line'!$A$2:$A$3001,$AD103)&amp;"")</f>
        <v/>
      </c>
      <c r="D103">
        <f>IF($AD103="","",INDEX('Per Line'!$C$2:$C$3001,$AD103)&amp;"")</f>
        <v/>
      </c>
      <c r="E103">
        <f>IF($AD103="","",INDEX('Per Line'!$B$2:$B$3001,$AD103))</f>
        <v/>
      </c>
      <c r="F103">
        <f>IF($AD103="","",INDEX('Per Line'!$D$2:$D$3001,$AD103)&amp;"")</f>
        <v/>
      </c>
      <c r="G103" s="11">
        <f>IF($AD103="","",INDEX('Per Line'!$G$2:$G$3001,$AD103))</f>
        <v/>
      </c>
      <c r="H103">
        <f>IF($AD103="","",INDEX('Per Line'!$J$2:$J$3001,$AD103)&amp;"")</f>
        <v/>
      </c>
      <c r="I103">
        <f>IF($AD103="","",INDEX('Per Line'!$H$2:$H$3001,$AD103)&amp;"")</f>
        <v/>
      </c>
      <c r="J103">
        <f>IF($AD103="","",INDEX('Per Line'!$F$2:$F$3001,$AD103)&amp;"")</f>
        <v/>
      </c>
      <c r="K103">
        <f>IF($AD103="","",INDEX('Per Line'!$K$2:$K$3001,$AD103)&amp;"")</f>
        <v/>
      </c>
      <c r="L103">
        <f>IF($AD103="","",INDEX('Per Line'!$L$2:$L$3001,$AD103)&amp;"")</f>
        <v/>
      </c>
      <c r="M103">
        <f>IF($AD103="","",INDEX('Per Line'!$M$2:$M$3001,$AD103)&amp;"")</f>
        <v/>
      </c>
      <c r="N103">
        <f>IF($AD103="","",INDEX('Per Line'!$AC$2:$AC$3001,$AD103)&amp;"")</f>
        <v/>
      </c>
      <c r="O103">
        <f>IF($AD103="","",INDEX('Per Line'!$P$2:$P$3001,$AD103))</f>
        <v/>
      </c>
      <c r="P103" s="7">
        <f>IF($AD103="","",IF(AND(ISNUMBER(Q103),Q103&gt;0,AB103&gt;Q103),O103*Q103/100+(AB103-Q103),O103*AB103/100))</f>
        <v/>
      </c>
      <c r="Q103">
        <f>IF($AD103="","",INDEX('Per Line'!$AG$2:$AG$3001,$AD103))</f>
        <v/>
      </c>
      <c r="R103">
        <f>IF($AD103="","",IF(AND(ISNUMBER(Q103),Q103&gt;0),AB103&gt;Q103,FALSE))</f>
        <v/>
      </c>
      <c r="S103" s="7">
        <f>IF($AD103="","",SUMIFS('Per Line'!$AB$2:$AB$3001,'Per Line'!$E$2:$E$3001,$B103,'Per Line'!$AQ$2:$AQ$3001,1))</f>
        <v/>
      </c>
      <c r="T103">
        <f>IF($AD103="","",Settings!$C$7)</f>
        <v/>
      </c>
      <c r="U103" s="7">
        <f>IF($AD103="","",SUMIFS('Per Line'!$AB$2:$AB$3001,'Per Line'!$E$2:$E$3001,$B103,'Per Line'!$AP$2:$AP$3001,0,'Per Line'!$AQ$2:$AQ$3001,0))</f>
        <v/>
      </c>
      <c r="V103" s="7">
        <f>IF($AD103="","",U103*T103)</f>
        <v/>
      </c>
      <c r="W103">
        <f>IF($AD103="","",Settings!$C$6)</f>
        <v/>
      </c>
      <c r="X103" s="7">
        <f>IF($AD103="","",SUMIFS('Per Line'!$AB$2:$AB$3001,'Per Line'!$E$2:$E$3001,$B103,'Per Line'!$AP$2:$AP$3001,1,'Per Line'!$AQ$2:$AQ$3001,0))</f>
        <v/>
      </c>
      <c r="Y103" s="7">
        <f>IF($AD103="","",X103*W103)</f>
        <v/>
      </c>
      <c r="Z103" s="7">
        <f>IF($AD103="","",Y103+V103)</f>
        <v/>
      </c>
      <c r="AA103" s="7">
        <f>IF($AD103="","",AB103-Z103)</f>
        <v/>
      </c>
      <c r="AB103" s="7">
        <f>IF($AD103="","",U103+X103+S103)</f>
        <v/>
      </c>
      <c r="AC103" s="7">
        <f>IF($AD103="","",AB103-Z103-P103)</f>
        <v/>
      </c>
      <c r="AD103" s="13">
        <f>IF(ROWS($AD$2:$AD103)&lt;=MAX('Per Line'!$AO$2:$AO$3001),MATCH(ROWS($AD$2:$AD103),'Per Line'!$AO$2:$AO$3001,0),"")</f>
        <v/>
      </c>
      <c r="AE103" s="14">
        <f>IF($AD103="","",P103-O103*AB103/100)</f>
        <v/>
      </c>
    </row>
    <row r="104">
      <c r="A104" s="12" t="n"/>
      <c r="B104">
        <f>IF($AD104="","",INDEX('Per Line'!$E$2:$E$3001,$AD104)&amp;"")</f>
        <v/>
      </c>
      <c r="C104">
        <f>IF($AD104="","",INDEX('Per Line'!$A$2:$A$3001,$AD104)&amp;"")</f>
        <v/>
      </c>
      <c r="D104">
        <f>IF($AD104="","",INDEX('Per Line'!$C$2:$C$3001,$AD104)&amp;"")</f>
        <v/>
      </c>
      <c r="E104">
        <f>IF($AD104="","",INDEX('Per Line'!$B$2:$B$3001,$AD104))</f>
        <v/>
      </c>
      <c r="F104">
        <f>IF($AD104="","",INDEX('Per Line'!$D$2:$D$3001,$AD104)&amp;"")</f>
        <v/>
      </c>
      <c r="G104" s="11">
        <f>IF($AD104="","",INDEX('Per Line'!$G$2:$G$3001,$AD104))</f>
        <v/>
      </c>
      <c r="H104">
        <f>IF($AD104="","",INDEX('Per Line'!$J$2:$J$3001,$AD104)&amp;"")</f>
        <v/>
      </c>
      <c r="I104">
        <f>IF($AD104="","",INDEX('Per Line'!$H$2:$H$3001,$AD104)&amp;"")</f>
        <v/>
      </c>
      <c r="J104">
        <f>IF($AD104="","",INDEX('Per Line'!$F$2:$F$3001,$AD104)&amp;"")</f>
        <v/>
      </c>
      <c r="K104">
        <f>IF($AD104="","",INDEX('Per Line'!$K$2:$K$3001,$AD104)&amp;"")</f>
        <v/>
      </c>
      <c r="L104">
        <f>IF($AD104="","",INDEX('Per Line'!$L$2:$L$3001,$AD104)&amp;"")</f>
        <v/>
      </c>
      <c r="M104">
        <f>IF($AD104="","",INDEX('Per Line'!$M$2:$M$3001,$AD104)&amp;"")</f>
        <v/>
      </c>
      <c r="N104">
        <f>IF($AD104="","",INDEX('Per Line'!$AC$2:$AC$3001,$AD104)&amp;"")</f>
        <v/>
      </c>
      <c r="O104">
        <f>IF($AD104="","",INDEX('Per Line'!$P$2:$P$3001,$AD104))</f>
        <v/>
      </c>
      <c r="P104" s="7">
        <f>IF($AD104="","",IF(AND(ISNUMBER(Q104),Q104&gt;0,AB104&gt;Q104),O104*Q104/100+(AB104-Q104),O104*AB104/100))</f>
        <v/>
      </c>
      <c r="Q104">
        <f>IF($AD104="","",INDEX('Per Line'!$AG$2:$AG$3001,$AD104))</f>
        <v/>
      </c>
      <c r="R104">
        <f>IF($AD104="","",IF(AND(ISNUMBER(Q104),Q104&gt;0),AB104&gt;Q104,FALSE))</f>
        <v/>
      </c>
      <c r="S104" s="7">
        <f>IF($AD104="","",SUMIFS('Per Line'!$AB$2:$AB$3001,'Per Line'!$E$2:$E$3001,$B104,'Per Line'!$AQ$2:$AQ$3001,1))</f>
        <v/>
      </c>
      <c r="T104">
        <f>IF($AD104="","",Settings!$C$7)</f>
        <v/>
      </c>
      <c r="U104" s="7">
        <f>IF($AD104="","",SUMIFS('Per Line'!$AB$2:$AB$3001,'Per Line'!$E$2:$E$3001,$B104,'Per Line'!$AP$2:$AP$3001,0,'Per Line'!$AQ$2:$AQ$3001,0))</f>
        <v/>
      </c>
      <c r="V104" s="7">
        <f>IF($AD104="","",U104*T104)</f>
        <v/>
      </c>
      <c r="W104">
        <f>IF($AD104="","",Settings!$C$6)</f>
        <v/>
      </c>
      <c r="X104" s="7">
        <f>IF($AD104="","",SUMIFS('Per Line'!$AB$2:$AB$3001,'Per Line'!$E$2:$E$3001,$B104,'Per Line'!$AP$2:$AP$3001,1,'Per Line'!$AQ$2:$AQ$3001,0))</f>
        <v/>
      </c>
      <c r="Y104" s="7">
        <f>IF($AD104="","",X104*W104)</f>
        <v/>
      </c>
      <c r="Z104" s="7">
        <f>IF($AD104="","",Y104+V104)</f>
        <v/>
      </c>
      <c r="AA104" s="7">
        <f>IF($AD104="","",AB104-Z104)</f>
        <v/>
      </c>
      <c r="AB104" s="7">
        <f>IF($AD104="","",U104+X104+S104)</f>
        <v/>
      </c>
      <c r="AC104" s="7">
        <f>IF($AD104="","",AB104-Z104-P104)</f>
        <v/>
      </c>
      <c r="AD104" s="13">
        <f>IF(ROWS($AD$2:$AD104)&lt;=MAX('Per Line'!$AO$2:$AO$3001),MATCH(ROWS($AD$2:$AD104),'Per Line'!$AO$2:$AO$3001,0),"")</f>
        <v/>
      </c>
      <c r="AE104" s="14">
        <f>IF($AD104="","",P104-O104*AB104/100)</f>
        <v/>
      </c>
    </row>
    <row r="105">
      <c r="A105" s="12" t="n"/>
      <c r="B105">
        <f>IF($AD105="","",INDEX('Per Line'!$E$2:$E$3001,$AD105)&amp;"")</f>
        <v/>
      </c>
      <c r="C105">
        <f>IF($AD105="","",INDEX('Per Line'!$A$2:$A$3001,$AD105)&amp;"")</f>
        <v/>
      </c>
      <c r="D105">
        <f>IF($AD105="","",INDEX('Per Line'!$C$2:$C$3001,$AD105)&amp;"")</f>
        <v/>
      </c>
      <c r="E105">
        <f>IF($AD105="","",INDEX('Per Line'!$B$2:$B$3001,$AD105))</f>
        <v/>
      </c>
      <c r="F105">
        <f>IF($AD105="","",INDEX('Per Line'!$D$2:$D$3001,$AD105)&amp;"")</f>
        <v/>
      </c>
      <c r="G105" s="11">
        <f>IF($AD105="","",INDEX('Per Line'!$G$2:$G$3001,$AD105))</f>
        <v/>
      </c>
      <c r="H105">
        <f>IF($AD105="","",INDEX('Per Line'!$J$2:$J$3001,$AD105)&amp;"")</f>
        <v/>
      </c>
      <c r="I105">
        <f>IF($AD105="","",INDEX('Per Line'!$H$2:$H$3001,$AD105)&amp;"")</f>
        <v/>
      </c>
      <c r="J105">
        <f>IF($AD105="","",INDEX('Per Line'!$F$2:$F$3001,$AD105)&amp;"")</f>
        <v/>
      </c>
      <c r="K105">
        <f>IF($AD105="","",INDEX('Per Line'!$K$2:$K$3001,$AD105)&amp;"")</f>
        <v/>
      </c>
      <c r="L105">
        <f>IF($AD105="","",INDEX('Per Line'!$L$2:$L$3001,$AD105)&amp;"")</f>
        <v/>
      </c>
      <c r="M105">
        <f>IF($AD105="","",INDEX('Per Line'!$M$2:$M$3001,$AD105)&amp;"")</f>
        <v/>
      </c>
      <c r="N105">
        <f>IF($AD105="","",INDEX('Per Line'!$AC$2:$AC$3001,$AD105)&amp;"")</f>
        <v/>
      </c>
      <c r="O105">
        <f>IF($AD105="","",INDEX('Per Line'!$P$2:$P$3001,$AD105))</f>
        <v/>
      </c>
      <c r="P105" s="7">
        <f>IF($AD105="","",IF(AND(ISNUMBER(Q105),Q105&gt;0,AB105&gt;Q105),O105*Q105/100+(AB105-Q105),O105*AB105/100))</f>
        <v/>
      </c>
      <c r="Q105">
        <f>IF($AD105="","",INDEX('Per Line'!$AG$2:$AG$3001,$AD105))</f>
        <v/>
      </c>
      <c r="R105">
        <f>IF($AD105="","",IF(AND(ISNUMBER(Q105),Q105&gt;0),AB105&gt;Q105,FALSE))</f>
        <v/>
      </c>
      <c r="S105" s="7">
        <f>IF($AD105="","",SUMIFS('Per Line'!$AB$2:$AB$3001,'Per Line'!$E$2:$E$3001,$B105,'Per Line'!$AQ$2:$AQ$3001,1))</f>
        <v/>
      </c>
      <c r="T105">
        <f>IF($AD105="","",Settings!$C$7)</f>
        <v/>
      </c>
      <c r="U105" s="7">
        <f>IF($AD105="","",SUMIFS('Per Line'!$AB$2:$AB$3001,'Per Line'!$E$2:$E$3001,$B105,'Per Line'!$AP$2:$AP$3001,0,'Per Line'!$AQ$2:$AQ$3001,0))</f>
        <v/>
      </c>
      <c r="V105" s="7">
        <f>IF($AD105="","",U105*T105)</f>
        <v/>
      </c>
      <c r="W105">
        <f>IF($AD105="","",Settings!$C$6)</f>
        <v/>
      </c>
      <c r="X105" s="7">
        <f>IF($AD105="","",SUMIFS('Per Line'!$AB$2:$AB$3001,'Per Line'!$E$2:$E$3001,$B105,'Per Line'!$AP$2:$AP$3001,1,'Per Line'!$AQ$2:$AQ$3001,0))</f>
        <v/>
      </c>
      <c r="Y105" s="7">
        <f>IF($AD105="","",X105*W105)</f>
        <v/>
      </c>
      <c r="Z105" s="7">
        <f>IF($AD105="","",Y105+V105)</f>
        <v/>
      </c>
      <c r="AA105" s="7">
        <f>IF($AD105="","",AB105-Z105)</f>
        <v/>
      </c>
      <c r="AB105" s="7">
        <f>IF($AD105="","",U105+X105+S105)</f>
        <v/>
      </c>
      <c r="AC105" s="7">
        <f>IF($AD105="","",AB105-Z105-P105)</f>
        <v/>
      </c>
      <c r="AD105" s="13">
        <f>IF(ROWS($AD$2:$AD105)&lt;=MAX('Per Line'!$AO$2:$AO$3001),MATCH(ROWS($AD$2:$AD105),'Per Line'!$AO$2:$AO$3001,0),"")</f>
        <v/>
      </c>
      <c r="AE105" s="14">
        <f>IF($AD105="","",P105-O105*AB105/100)</f>
        <v/>
      </c>
    </row>
    <row r="106">
      <c r="A106" s="12" t="n"/>
      <c r="B106">
        <f>IF($AD106="","",INDEX('Per Line'!$E$2:$E$3001,$AD106)&amp;"")</f>
        <v/>
      </c>
      <c r="C106">
        <f>IF($AD106="","",INDEX('Per Line'!$A$2:$A$3001,$AD106)&amp;"")</f>
        <v/>
      </c>
      <c r="D106">
        <f>IF($AD106="","",INDEX('Per Line'!$C$2:$C$3001,$AD106)&amp;"")</f>
        <v/>
      </c>
      <c r="E106">
        <f>IF($AD106="","",INDEX('Per Line'!$B$2:$B$3001,$AD106))</f>
        <v/>
      </c>
      <c r="F106">
        <f>IF($AD106="","",INDEX('Per Line'!$D$2:$D$3001,$AD106)&amp;"")</f>
        <v/>
      </c>
      <c r="G106" s="11">
        <f>IF($AD106="","",INDEX('Per Line'!$G$2:$G$3001,$AD106))</f>
        <v/>
      </c>
      <c r="H106">
        <f>IF($AD106="","",INDEX('Per Line'!$J$2:$J$3001,$AD106)&amp;"")</f>
        <v/>
      </c>
      <c r="I106">
        <f>IF($AD106="","",INDEX('Per Line'!$H$2:$H$3001,$AD106)&amp;"")</f>
        <v/>
      </c>
      <c r="J106">
        <f>IF($AD106="","",INDEX('Per Line'!$F$2:$F$3001,$AD106)&amp;"")</f>
        <v/>
      </c>
      <c r="K106">
        <f>IF($AD106="","",INDEX('Per Line'!$K$2:$K$3001,$AD106)&amp;"")</f>
        <v/>
      </c>
      <c r="L106">
        <f>IF($AD106="","",INDEX('Per Line'!$L$2:$L$3001,$AD106)&amp;"")</f>
        <v/>
      </c>
      <c r="M106">
        <f>IF($AD106="","",INDEX('Per Line'!$M$2:$M$3001,$AD106)&amp;"")</f>
        <v/>
      </c>
      <c r="N106">
        <f>IF($AD106="","",INDEX('Per Line'!$AC$2:$AC$3001,$AD106)&amp;"")</f>
        <v/>
      </c>
      <c r="O106">
        <f>IF($AD106="","",INDEX('Per Line'!$P$2:$P$3001,$AD106))</f>
        <v/>
      </c>
      <c r="P106" s="7">
        <f>IF($AD106="","",IF(AND(ISNUMBER(Q106),Q106&gt;0,AB106&gt;Q106),O106*Q106/100+(AB106-Q106),O106*AB106/100))</f>
        <v/>
      </c>
      <c r="Q106">
        <f>IF($AD106="","",INDEX('Per Line'!$AG$2:$AG$3001,$AD106))</f>
        <v/>
      </c>
      <c r="R106">
        <f>IF($AD106="","",IF(AND(ISNUMBER(Q106),Q106&gt;0),AB106&gt;Q106,FALSE))</f>
        <v/>
      </c>
      <c r="S106" s="7">
        <f>IF($AD106="","",SUMIFS('Per Line'!$AB$2:$AB$3001,'Per Line'!$E$2:$E$3001,$B106,'Per Line'!$AQ$2:$AQ$3001,1))</f>
        <v/>
      </c>
      <c r="T106">
        <f>IF($AD106="","",Settings!$C$7)</f>
        <v/>
      </c>
      <c r="U106" s="7">
        <f>IF($AD106="","",SUMIFS('Per Line'!$AB$2:$AB$3001,'Per Line'!$E$2:$E$3001,$B106,'Per Line'!$AP$2:$AP$3001,0,'Per Line'!$AQ$2:$AQ$3001,0))</f>
        <v/>
      </c>
      <c r="V106" s="7">
        <f>IF($AD106="","",U106*T106)</f>
        <v/>
      </c>
      <c r="W106">
        <f>IF($AD106="","",Settings!$C$6)</f>
        <v/>
      </c>
      <c r="X106" s="7">
        <f>IF($AD106="","",SUMIFS('Per Line'!$AB$2:$AB$3001,'Per Line'!$E$2:$E$3001,$B106,'Per Line'!$AP$2:$AP$3001,1,'Per Line'!$AQ$2:$AQ$3001,0))</f>
        <v/>
      </c>
      <c r="Y106" s="7">
        <f>IF($AD106="","",X106*W106)</f>
        <v/>
      </c>
      <c r="Z106" s="7">
        <f>IF($AD106="","",Y106+V106)</f>
        <v/>
      </c>
      <c r="AA106" s="7">
        <f>IF($AD106="","",AB106-Z106)</f>
        <v/>
      </c>
      <c r="AB106" s="7">
        <f>IF($AD106="","",U106+X106+S106)</f>
        <v/>
      </c>
      <c r="AC106" s="7">
        <f>IF($AD106="","",AB106-Z106-P106)</f>
        <v/>
      </c>
      <c r="AD106" s="13">
        <f>IF(ROWS($AD$2:$AD106)&lt;=MAX('Per Line'!$AO$2:$AO$3001),MATCH(ROWS($AD$2:$AD106),'Per Line'!$AO$2:$AO$3001,0),"")</f>
        <v/>
      </c>
      <c r="AE106" s="14">
        <f>IF($AD106="","",P106-O106*AB106/100)</f>
        <v/>
      </c>
    </row>
    <row r="107">
      <c r="A107" s="12" t="n"/>
      <c r="B107">
        <f>IF($AD107="","",INDEX('Per Line'!$E$2:$E$3001,$AD107)&amp;"")</f>
        <v/>
      </c>
      <c r="C107">
        <f>IF($AD107="","",INDEX('Per Line'!$A$2:$A$3001,$AD107)&amp;"")</f>
        <v/>
      </c>
      <c r="D107">
        <f>IF($AD107="","",INDEX('Per Line'!$C$2:$C$3001,$AD107)&amp;"")</f>
        <v/>
      </c>
      <c r="E107">
        <f>IF($AD107="","",INDEX('Per Line'!$B$2:$B$3001,$AD107))</f>
        <v/>
      </c>
      <c r="F107">
        <f>IF($AD107="","",INDEX('Per Line'!$D$2:$D$3001,$AD107)&amp;"")</f>
        <v/>
      </c>
      <c r="G107" s="11">
        <f>IF($AD107="","",INDEX('Per Line'!$G$2:$G$3001,$AD107))</f>
        <v/>
      </c>
      <c r="H107">
        <f>IF($AD107="","",INDEX('Per Line'!$J$2:$J$3001,$AD107)&amp;"")</f>
        <v/>
      </c>
      <c r="I107">
        <f>IF($AD107="","",INDEX('Per Line'!$H$2:$H$3001,$AD107)&amp;"")</f>
        <v/>
      </c>
      <c r="J107">
        <f>IF($AD107="","",INDEX('Per Line'!$F$2:$F$3001,$AD107)&amp;"")</f>
        <v/>
      </c>
      <c r="K107">
        <f>IF($AD107="","",INDEX('Per Line'!$K$2:$K$3001,$AD107)&amp;"")</f>
        <v/>
      </c>
      <c r="L107">
        <f>IF($AD107="","",INDEX('Per Line'!$L$2:$L$3001,$AD107)&amp;"")</f>
        <v/>
      </c>
      <c r="M107">
        <f>IF($AD107="","",INDEX('Per Line'!$M$2:$M$3001,$AD107)&amp;"")</f>
        <v/>
      </c>
      <c r="N107">
        <f>IF($AD107="","",INDEX('Per Line'!$AC$2:$AC$3001,$AD107)&amp;"")</f>
        <v/>
      </c>
      <c r="O107">
        <f>IF($AD107="","",INDEX('Per Line'!$P$2:$P$3001,$AD107))</f>
        <v/>
      </c>
      <c r="P107" s="7">
        <f>IF($AD107="","",IF(AND(ISNUMBER(Q107),Q107&gt;0,AB107&gt;Q107),O107*Q107/100+(AB107-Q107),O107*AB107/100))</f>
        <v/>
      </c>
      <c r="Q107">
        <f>IF($AD107="","",INDEX('Per Line'!$AG$2:$AG$3001,$AD107))</f>
        <v/>
      </c>
      <c r="R107">
        <f>IF($AD107="","",IF(AND(ISNUMBER(Q107),Q107&gt;0),AB107&gt;Q107,FALSE))</f>
        <v/>
      </c>
      <c r="S107" s="7">
        <f>IF($AD107="","",SUMIFS('Per Line'!$AB$2:$AB$3001,'Per Line'!$E$2:$E$3001,$B107,'Per Line'!$AQ$2:$AQ$3001,1))</f>
        <v/>
      </c>
      <c r="T107">
        <f>IF($AD107="","",Settings!$C$7)</f>
        <v/>
      </c>
      <c r="U107" s="7">
        <f>IF($AD107="","",SUMIFS('Per Line'!$AB$2:$AB$3001,'Per Line'!$E$2:$E$3001,$B107,'Per Line'!$AP$2:$AP$3001,0,'Per Line'!$AQ$2:$AQ$3001,0))</f>
        <v/>
      </c>
      <c r="V107" s="7">
        <f>IF($AD107="","",U107*T107)</f>
        <v/>
      </c>
      <c r="W107">
        <f>IF($AD107="","",Settings!$C$6)</f>
        <v/>
      </c>
      <c r="X107" s="7">
        <f>IF($AD107="","",SUMIFS('Per Line'!$AB$2:$AB$3001,'Per Line'!$E$2:$E$3001,$B107,'Per Line'!$AP$2:$AP$3001,1,'Per Line'!$AQ$2:$AQ$3001,0))</f>
        <v/>
      </c>
      <c r="Y107" s="7">
        <f>IF($AD107="","",X107*W107)</f>
        <v/>
      </c>
      <c r="Z107" s="7">
        <f>IF($AD107="","",Y107+V107)</f>
        <v/>
      </c>
      <c r="AA107" s="7">
        <f>IF($AD107="","",AB107-Z107)</f>
        <v/>
      </c>
      <c r="AB107" s="7">
        <f>IF($AD107="","",U107+X107+S107)</f>
        <v/>
      </c>
      <c r="AC107" s="7">
        <f>IF($AD107="","",AB107-Z107-P107)</f>
        <v/>
      </c>
      <c r="AD107" s="13">
        <f>IF(ROWS($AD$2:$AD107)&lt;=MAX('Per Line'!$AO$2:$AO$3001),MATCH(ROWS($AD$2:$AD107),'Per Line'!$AO$2:$AO$3001,0),"")</f>
        <v/>
      </c>
      <c r="AE107" s="14">
        <f>IF($AD107="","",P107-O107*AB107/100)</f>
        <v/>
      </c>
    </row>
    <row r="108">
      <c r="A108" s="12" t="n"/>
      <c r="B108">
        <f>IF($AD108="","",INDEX('Per Line'!$E$2:$E$3001,$AD108)&amp;"")</f>
        <v/>
      </c>
      <c r="C108">
        <f>IF($AD108="","",INDEX('Per Line'!$A$2:$A$3001,$AD108)&amp;"")</f>
        <v/>
      </c>
      <c r="D108">
        <f>IF($AD108="","",INDEX('Per Line'!$C$2:$C$3001,$AD108)&amp;"")</f>
        <v/>
      </c>
      <c r="E108">
        <f>IF($AD108="","",INDEX('Per Line'!$B$2:$B$3001,$AD108))</f>
        <v/>
      </c>
      <c r="F108">
        <f>IF($AD108="","",INDEX('Per Line'!$D$2:$D$3001,$AD108)&amp;"")</f>
        <v/>
      </c>
      <c r="G108" s="11">
        <f>IF($AD108="","",INDEX('Per Line'!$G$2:$G$3001,$AD108))</f>
        <v/>
      </c>
      <c r="H108">
        <f>IF($AD108="","",INDEX('Per Line'!$J$2:$J$3001,$AD108)&amp;"")</f>
        <v/>
      </c>
      <c r="I108">
        <f>IF($AD108="","",INDEX('Per Line'!$H$2:$H$3001,$AD108)&amp;"")</f>
        <v/>
      </c>
      <c r="J108">
        <f>IF($AD108="","",INDEX('Per Line'!$F$2:$F$3001,$AD108)&amp;"")</f>
        <v/>
      </c>
      <c r="K108">
        <f>IF($AD108="","",INDEX('Per Line'!$K$2:$K$3001,$AD108)&amp;"")</f>
        <v/>
      </c>
      <c r="L108">
        <f>IF($AD108="","",INDEX('Per Line'!$L$2:$L$3001,$AD108)&amp;"")</f>
        <v/>
      </c>
      <c r="M108">
        <f>IF($AD108="","",INDEX('Per Line'!$M$2:$M$3001,$AD108)&amp;"")</f>
        <v/>
      </c>
      <c r="N108">
        <f>IF($AD108="","",INDEX('Per Line'!$AC$2:$AC$3001,$AD108)&amp;"")</f>
        <v/>
      </c>
      <c r="O108">
        <f>IF($AD108="","",INDEX('Per Line'!$P$2:$P$3001,$AD108))</f>
        <v/>
      </c>
      <c r="P108" s="7">
        <f>IF($AD108="","",IF(AND(ISNUMBER(Q108),Q108&gt;0,AB108&gt;Q108),O108*Q108/100+(AB108-Q108),O108*AB108/100))</f>
        <v/>
      </c>
      <c r="Q108">
        <f>IF($AD108="","",INDEX('Per Line'!$AG$2:$AG$3001,$AD108))</f>
        <v/>
      </c>
      <c r="R108">
        <f>IF($AD108="","",IF(AND(ISNUMBER(Q108),Q108&gt;0),AB108&gt;Q108,FALSE))</f>
        <v/>
      </c>
      <c r="S108" s="7">
        <f>IF($AD108="","",SUMIFS('Per Line'!$AB$2:$AB$3001,'Per Line'!$E$2:$E$3001,$B108,'Per Line'!$AQ$2:$AQ$3001,1))</f>
        <v/>
      </c>
      <c r="T108">
        <f>IF($AD108="","",Settings!$C$7)</f>
        <v/>
      </c>
      <c r="U108" s="7">
        <f>IF($AD108="","",SUMIFS('Per Line'!$AB$2:$AB$3001,'Per Line'!$E$2:$E$3001,$B108,'Per Line'!$AP$2:$AP$3001,0,'Per Line'!$AQ$2:$AQ$3001,0))</f>
        <v/>
      </c>
      <c r="V108" s="7">
        <f>IF($AD108="","",U108*T108)</f>
        <v/>
      </c>
      <c r="W108">
        <f>IF($AD108="","",Settings!$C$6)</f>
        <v/>
      </c>
      <c r="X108" s="7">
        <f>IF($AD108="","",SUMIFS('Per Line'!$AB$2:$AB$3001,'Per Line'!$E$2:$E$3001,$B108,'Per Line'!$AP$2:$AP$3001,1,'Per Line'!$AQ$2:$AQ$3001,0))</f>
        <v/>
      </c>
      <c r="Y108" s="7">
        <f>IF($AD108="","",X108*W108)</f>
        <v/>
      </c>
      <c r="Z108" s="7">
        <f>IF($AD108="","",Y108+V108)</f>
        <v/>
      </c>
      <c r="AA108" s="7">
        <f>IF($AD108="","",AB108-Z108)</f>
        <v/>
      </c>
      <c r="AB108" s="7">
        <f>IF($AD108="","",U108+X108+S108)</f>
        <v/>
      </c>
      <c r="AC108" s="7">
        <f>IF($AD108="","",AB108-Z108-P108)</f>
        <v/>
      </c>
      <c r="AD108" s="13">
        <f>IF(ROWS($AD$2:$AD108)&lt;=MAX('Per Line'!$AO$2:$AO$3001),MATCH(ROWS($AD$2:$AD108),'Per Line'!$AO$2:$AO$3001,0),"")</f>
        <v/>
      </c>
      <c r="AE108" s="14">
        <f>IF($AD108="","",P108-O108*AB108/100)</f>
        <v/>
      </c>
    </row>
    <row r="109">
      <c r="A109" s="12" t="n"/>
      <c r="B109">
        <f>IF($AD109="","",INDEX('Per Line'!$E$2:$E$3001,$AD109)&amp;"")</f>
        <v/>
      </c>
      <c r="C109">
        <f>IF($AD109="","",INDEX('Per Line'!$A$2:$A$3001,$AD109)&amp;"")</f>
        <v/>
      </c>
      <c r="D109">
        <f>IF($AD109="","",INDEX('Per Line'!$C$2:$C$3001,$AD109)&amp;"")</f>
        <v/>
      </c>
      <c r="E109">
        <f>IF($AD109="","",INDEX('Per Line'!$B$2:$B$3001,$AD109))</f>
        <v/>
      </c>
      <c r="F109">
        <f>IF($AD109="","",INDEX('Per Line'!$D$2:$D$3001,$AD109)&amp;"")</f>
        <v/>
      </c>
      <c r="G109" s="11">
        <f>IF($AD109="","",INDEX('Per Line'!$G$2:$G$3001,$AD109))</f>
        <v/>
      </c>
      <c r="H109">
        <f>IF($AD109="","",INDEX('Per Line'!$J$2:$J$3001,$AD109)&amp;"")</f>
        <v/>
      </c>
      <c r="I109">
        <f>IF($AD109="","",INDEX('Per Line'!$H$2:$H$3001,$AD109)&amp;"")</f>
        <v/>
      </c>
      <c r="J109">
        <f>IF($AD109="","",INDEX('Per Line'!$F$2:$F$3001,$AD109)&amp;"")</f>
        <v/>
      </c>
      <c r="K109">
        <f>IF($AD109="","",INDEX('Per Line'!$K$2:$K$3001,$AD109)&amp;"")</f>
        <v/>
      </c>
      <c r="L109">
        <f>IF($AD109="","",INDEX('Per Line'!$L$2:$L$3001,$AD109)&amp;"")</f>
        <v/>
      </c>
      <c r="M109">
        <f>IF($AD109="","",INDEX('Per Line'!$M$2:$M$3001,$AD109)&amp;"")</f>
        <v/>
      </c>
      <c r="N109">
        <f>IF($AD109="","",INDEX('Per Line'!$AC$2:$AC$3001,$AD109)&amp;"")</f>
        <v/>
      </c>
      <c r="O109">
        <f>IF($AD109="","",INDEX('Per Line'!$P$2:$P$3001,$AD109))</f>
        <v/>
      </c>
      <c r="P109" s="7">
        <f>IF($AD109="","",IF(AND(ISNUMBER(Q109),Q109&gt;0,AB109&gt;Q109),O109*Q109/100+(AB109-Q109),O109*AB109/100))</f>
        <v/>
      </c>
      <c r="Q109">
        <f>IF($AD109="","",INDEX('Per Line'!$AG$2:$AG$3001,$AD109))</f>
        <v/>
      </c>
      <c r="R109">
        <f>IF($AD109="","",IF(AND(ISNUMBER(Q109),Q109&gt;0),AB109&gt;Q109,FALSE))</f>
        <v/>
      </c>
      <c r="S109" s="7">
        <f>IF($AD109="","",SUMIFS('Per Line'!$AB$2:$AB$3001,'Per Line'!$E$2:$E$3001,$B109,'Per Line'!$AQ$2:$AQ$3001,1))</f>
        <v/>
      </c>
      <c r="T109">
        <f>IF($AD109="","",Settings!$C$7)</f>
        <v/>
      </c>
      <c r="U109" s="7">
        <f>IF($AD109="","",SUMIFS('Per Line'!$AB$2:$AB$3001,'Per Line'!$E$2:$E$3001,$B109,'Per Line'!$AP$2:$AP$3001,0,'Per Line'!$AQ$2:$AQ$3001,0))</f>
        <v/>
      </c>
      <c r="V109" s="7">
        <f>IF($AD109="","",U109*T109)</f>
        <v/>
      </c>
      <c r="W109">
        <f>IF($AD109="","",Settings!$C$6)</f>
        <v/>
      </c>
      <c r="X109" s="7">
        <f>IF($AD109="","",SUMIFS('Per Line'!$AB$2:$AB$3001,'Per Line'!$E$2:$E$3001,$B109,'Per Line'!$AP$2:$AP$3001,1,'Per Line'!$AQ$2:$AQ$3001,0))</f>
        <v/>
      </c>
      <c r="Y109" s="7">
        <f>IF($AD109="","",X109*W109)</f>
        <v/>
      </c>
      <c r="Z109" s="7">
        <f>IF($AD109="","",Y109+V109)</f>
        <v/>
      </c>
      <c r="AA109" s="7">
        <f>IF($AD109="","",AB109-Z109)</f>
        <v/>
      </c>
      <c r="AB109" s="7">
        <f>IF($AD109="","",U109+X109+S109)</f>
        <v/>
      </c>
      <c r="AC109" s="7">
        <f>IF($AD109="","",AB109-Z109-P109)</f>
        <v/>
      </c>
      <c r="AD109" s="13">
        <f>IF(ROWS($AD$2:$AD109)&lt;=MAX('Per Line'!$AO$2:$AO$3001),MATCH(ROWS($AD$2:$AD109),'Per Line'!$AO$2:$AO$3001,0),"")</f>
        <v/>
      </c>
      <c r="AE109" s="14">
        <f>IF($AD109="","",P109-O109*AB109/100)</f>
        <v/>
      </c>
    </row>
    <row r="110">
      <c r="A110" s="12" t="n"/>
      <c r="B110">
        <f>IF($AD110="","",INDEX('Per Line'!$E$2:$E$3001,$AD110)&amp;"")</f>
        <v/>
      </c>
      <c r="C110">
        <f>IF($AD110="","",INDEX('Per Line'!$A$2:$A$3001,$AD110)&amp;"")</f>
        <v/>
      </c>
      <c r="D110">
        <f>IF($AD110="","",INDEX('Per Line'!$C$2:$C$3001,$AD110)&amp;"")</f>
        <v/>
      </c>
      <c r="E110">
        <f>IF($AD110="","",INDEX('Per Line'!$B$2:$B$3001,$AD110))</f>
        <v/>
      </c>
      <c r="F110">
        <f>IF($AD110="","",INDEX('Per Line'!$D$2:$D$3001,$AD110)&amp;"")</f>
        <v/>
      </c>
      <c r="G110" s="11">
        <f>IF($AD110="","",INDEX('Per Line'!$G$2:$G$3001,$AD110))</f>
        <v/>
      </c>
      <c r="H110">
        <f>IF($AD110="","",INDEX('Per Line'!$J$2:$J$3001,$AD110)&amp;"")</f>
        <v/>
      </c>
      <c r="I110">
        <f>IF($AD110="","",INDEX('Per Line'!$H$2:$H$3001,$AD110)&amp;"")</f>
        <v/>
      </c>
      <c r="J110">
        <f>IF($AD110="","",INDEX('Per Line'!$F$2:$F$3001,$AD110)&amp;"")</f>
        <v/>
      </c>
      <c r="K110">
        <f>IF($AD110="","",INDEX('Per Line'!$K$2:$K$3001,$AD110)&amp;"")</f>
        <v/>
      </c>
      <c r="L110">
        <f>IF($AD110="","",INDEX('Per Line'!$L$2:$L$3001,$AD110)&amp;"")</f>
        <v/>
      </c>
      <c r="M110">
        <f>IF($AD110="","",INDEX('Per Line'!$M$2:$M$3001,$AD110)&amp;"")</f>
        <v/>
      </c>
      <c r="N110">
        <f>IF($AD110="","",INDEX('Per Line'!$AC$2:$AC$3001,$AD110)&amp;"")</f>
        <v/>
      </c>
      <c r="O110">
        <f>IF($AD110="","",INDEX('Per Line'!$P$2:$P$3001,$AD110))</f>
        <v/>
      </c>
      <c r="P110" s="7">
        <f>IF($AD110="","",IF(AND(ISNUMBER(Q110),Q110&gt;0,AB110&gt;Q110),O110*Q110/100+(AB110-Q110),O110*AB110/100))</f>
        <v/>
      </c>
      <c r="Q110">
        <f>IF($AD110="","",INDEX('Per Line'!$AG$2:$AG$3001,$AD110))</f>
        <v/>
      </c>
      <c r="R110">
        <f>IF($AD110="","",IF(AND(ISNUMBER(Q110),Q110&gt;0),AB110&gt;Q110,FALSE))</f>
        <v/>
      </c>
      <c r="S110" s="7">
        <f>IF($AD110="","",SUMIFS('Per Line'!$AB$2:$AB$3001,'Per Line'!$E$2:$E$3001,$B110,'Per Line'!$AQ$2:$AQ$3001,1))</f>
        <v/>
      </c>
      <c r="T110">
        <f>IF($AD110="","",Settings!$C$7)</f>
        <v/>
      </c>
      <c r="U110" s="7">
        <f>IF($AD110="","",SUMIFS('Per Line'!$AB$2:$AB$3001,'Per Line'!$E$2:$E$3001,$B110,'Per Line'!$AP$2:$AP$3001,0,'Per Line'!$AQ$2:$AQ$3001,0))</f>
        <v/>
      </c>
      <c r="V110" s="7">
        <f>IF($AD110="","",U110*T110)</f>
        <v/>
      </c>
      <c r="W110">
        <f>IF($AD110="","",Settings!$C$6)</f>
        <v/>
      </c>
      <c r="X110" s="7">
        <f>IF($AD110="","",SUMIFS('Per Line'!$AB$2:$AB$3001,'Per Line'!$E$2:$E$3001,$B110,'Per Line'!$AP$2:$AP$3001,1,'Per Line'!$AQ$2:$AQ$3001,0))</f>
        <v/>
      </c>
      <c r="Y110" s="7">
        <f>IF($AD110="","",X110*W110)</f>
        <v/>
      </c>
      <c r="Z110" s="7">
        <f>IF($AD110="","",Y110+V110)</f>
        <v/>
      </c>
      <c r="AA110" s="7">
        <f>IF($AD110="","",AB110-Z110)</f>
        <v/>
      </c>
      <c r="AB110" s="7">
        <f>IF($AD110="","",U110+X110+S110)</f>
        <v/>
      </c>
      <c r="AC110" s="7">
        <f>IF($AD110="","",AB110-Z110-P110)</f>
        <v/>
      </c>
      <c r="AD110" s="13">
        <f>IF(ROWS($AD$2:$AD110)&lt;=MAX('Per Line'!$AO$2:$AO$3001),MATCH(ROWS($AD$2:$AD110),'Per Line'!$AO$2:$AO$3001,0),"")</f>
        <v/>
      </c>
      <c r="AE110" s="14">
        <f>IF($AD110="","",P110-O110*AB110/100)</f>
        <v/>
      </c>
    </row>
    <row r="111">
      <c r="A111" s="12" t="n"/>
      <c r="B111">
        <f>IF($AD111="","",INDEX('Per Line'!$E$2:$E$3001,$AD111)&amp;"")</f>
        <v/>
      </c>
      <c r="C111">
        <f>IF($AD111="","",INDEX('Per Line'!$A$2:$A$3001,$AD111)&amp;"")</f>
        <v/>
      </c>
      <c r="D111">
        <f>IF($AD111="","",INDEX('Per Line'!$C$2:$C$3001,$AD111)&amp;"")</f>
        <v/>
      </c>
      <c r="E111">
        <f>IF($AD111="","",INDEX('Per Line'!$B$2:$B$3001,$AD111))</f>
        <v/>
      </c>
      <c r="F111">
        <f>IF($AD111="","",INDEX('Per Line'!$D$2:$D$3001,$AD111)&amp;"")</f>
        <v/>
      </c>
      <c r="G111" s="11">
        <f>IF($AD111="","",INDEX('Per Line'!$G$2:$G$3001,$AD111))</f>
        <v/>
      </c>
      <c r="H111">
        <f>IF($AD111="","",INDEX('Per Line'!$J$2:$J$3001,$AD111)&amp;"")</f>
        <v/>
      </c>
      <c r="I111">
        <f>IF($AD111="","",INDEX('Per Line'!$H$2:$H$3001,$AD111)&amp;"")</f>
        <v/>
      </c>
      <c r="J111">
        <f>IF($AD111="","",INDEX('Per Line'!$F$2:$F$3001,$AD111)&amp;"")</f>
        <v/>
      </c>
      <c r="K111">
        <f>IF($AD111="","",INDEX('Per Line'!$K$2:$K$3001,$AD111)&amp;"")</f>
        <v/>
      </c>
      <c r="L111">
        <f>IF($AD111="","",INDEX('Per Line'!$L$2:$L$3001,$AD111)&amp;"")</f>
        <v/>
      </c>
      <c r="M111">
        <f>IF($AD111="","",INDEX('Per Line'!$M$2:$M$3001,$AD111)&amp;"")</f>
        <v/>
      </c>
      <c r="N111">
        <f>IF($AD111="","",INDEX('Per Line'!$AC$2:$AC$3001,$AD111)&amp;"")</f>
        <v/>
      </c>
      <c r="O111">
        <f>IF($AD111="","",INDEX('Per Line'!$P$2:$P$3001,$AD111))</f>
        <v/>
      </c>
      <c r="P111" s="7">
        <f>IF($AD111="","",IF(AND(ISNUMBER(Q111),Q111&gt;0,AB111&gt;Q111),O111*Q111/100+(AB111-Q111),O111*AB111/100))</f>
        <v/>
      </c>
      <c r="Q111">
        <f>IF($AD111="","",INDEX('Per Line'!$AG$2:$AG$3001,$AD111))</f>
        <v/>
      </c>
      <c r="R111">
        <f>IF($AD111="","",IF(AND(ISNUMBER(Q111),Q111&gt;0),AB111&gt;Q111,FALSE))</f>
        <v/>
      </c>
      <c r="S111" s="7">
        <f>IF($AD111="","",SUMIFS('Per Line'!$AB$2:$AB$3001,'Per Line'!$E$2:$E$3001,$B111,'Per Line'!$AQ$2:$AQ$3001,1))</f>
        <v/>
      </c>
      <c r="T111">
        <f>IF($AD111="","",Settings!$C$7)</f>
        <v/>
      </c>
      <c r="U111" s="7">
        <f>IF($AD111="","",SUMIFS('Per Line'!$AB$2:$AB$3001,'Per Line'!$E$2:$E$3001,$B111,'Per Line'!$AP$2:$AP$3001,0,'Per Line'!$AQ$2:$AQ$3001,0))</f>
        <v/>
      </c>
      <c r="V111" s="7">
        <f>IF($AD111="","",U111*T111)</f>
        <v/>
      </c>
      <c r="W111">
        <f>IF($AD111="","",Settings!$C$6)</f>
        <v/>
      </c>
      <c r="X111" s="7">
        <f>IF($AD111="","",SUMIFS('Per Line'!$AB$2:$AB$3001,'Per Line'!$E$2:$E$3001,$B111,'Per Line'!$AP$2:$AP$3001,1,'Per Line'!$AQ$2:$AQ$3001,0))</f>
        <v/>
      </c>
      <c r="Y111" s="7">
        <f>IF($AD111="","",X111*W111)</f>
        <v/>
      </c>
      <c r="Z111" s="7">
        <f>IF($AD111="","",Y111+V111)</f>
        <v/>
      </c>
      <c r="AA111" s="7">
        <f>IF($AD111="","",AB111-Z111)</f>
        <v/>
      </c>
      <c r="AB111" s="7">
        <f>IF($AD111="","",U111+X111+S111)</f>
        <v/>
      </c>
      <c r="AC111" s="7">
        <f>IF($AD111="","",AB111-Z111-P111)</f>
        <v/>
      </c>
      <c r="AD111" s="13">
        <f>IF(ROWS($AD$2:$AD111)&lt;=MAX('Per Line'!$AO$2:$AO$3001),MATCH(ROWS($AD$2:$AD111),'Per Line'!$AO$2:$AO$3001,0),"")</f>
        <v/>
      </c>
      <c r="AE111" s="14">
        <f>IF($AD111="","",P111-O111*AB111/100)</f>
        <v/>
      </c>
    </row>
    <row r="112">
      <c r="A112" s="12" t="n"/>
      <c r="B112">
        <f>IF($AD112="","",INDEX('Per Line'!$E$2:$E$3001,$AD112)&amp;"")</f>
        <v/>
      </c>
      <c r="C112">
        <f>IF($AD112="","",INDEX('Per Line'!$A$2:$A$3001,$AD112)&amp;"")</f>
        <v/>
      </c>
      <c r="D112">
        <f>IF($AD112="","",INDEX('Per Line'!$C$2:$C$3001,$AD112)&amp;"")</f>
        <v/>
      </c>
      <c r="E112">
        <f>IF($AD112="","",INDEX('Per Line'!$B$2:$B$3001,$AD112))</f>
        <v/>
      </c>
      <c r="F112">
        <f>IF($AD112="","",INDEX('Per Line'!$D$2:$D$3001,$AD112)&amp;"")</f>
        <v/>
      </c>
      <c r="G112" s="11">
        <f>IF($AD112="","",INDEX('Per Line'!$G$2:$G$3001,$AD112))</f>
        <v/>
      </c>
      <c r="H112">
        <f>IF($AD112="","",INDEX('Per Line'!$J$2:$J$3001,$AD112)&amp;"")</f>
        <v/>
      </c>
      <c r="I112">
        <f>IF($AD112="","",INDEX('Per Line'!$H$2:$H$3001,$AD112)&amp;"")</f>
        <v/>
      </c>
      <c r="J112">
        <f>IF($AD112="","",INDEX('Per Line'!$F$2:$F$3001,$AD112)&amp;"")</f>
        <v/>
      </c>
      <c r="K112">
        <f>IF($AD112="","",INDEX('Per Line'!$K$2:$K$3001,$AD112)&amp;"")</f>
        <v/>
      </c>
      <c r="L112">
        <f>IF($AD112="","",INDEX('Per Line'!$L$2:$L$3001,$AD112)&amp;"")</f>
        <v/>
      </c>
      <c r="M112">
        <f>IF($AD112="","",INDEX('Per Line'!$M$2:$M$3001,$AD112)&amp;"")</f>
        <v/>
      </c>
      <c r="N112">
        <f>IF($AD112="","",INDEX('Per Line'!$AC$2:$AC$3001,$AD112)&amp;"")</f>
        <v/>
      </c>
      <c r="O112">
        <f>IF($AD112="","",INDEX('Per Line'!$P$2:$P$3001,$AD112))</f>
        <v/>
      </c>
      <c r="P112" s="7">
        <f>IF($AD112="","",IF(AND(ISNUMBER(Q112),Q112&gt;0,AB112&gt;Q112),O112*Q112/100+(AB112-Q112),O112*AB112/100))</f>
        <v/>
      </c>
      <c r="Q112">
        <f>IF($AD112="","",INDEX('Per Line'!$AG$2:$AG$3001,$AD112))</f>
        <v/>
      </c>
      <c r="R112">
        <f>IF($AD112="","",IF(AND(ISNUMBER(Q112),Q112&gt;0),AB112&gt;Q112,FALSE))</f>
        <v/>
      </c>
      <c r="S112" s="7">
        <f>IF($AD112="","",SUMIFS('Per Line'!$AB$2:$AB$3001,'Per Line'!$E$2:$E$3001,$B112,'Per Line'!$AQ$2:$AQ$3001,1))</f>
        <v/>
      </c>
      <c r="T112">
        <f>IF($AD112="","",Settings!$C$7)</f>
        <v/>
      </c>
      <c r="U112" s="7">
        <f>IF($AD112="","",SUMIFS('Per Line'!$AB$2:$AB$3001,'Per Line'!$E$2:$E$3001,$B112,'Per Line'!$AP$2:$AP$3001,0,'Per Line'!$AQ$2:$AQ$3001,0))</f>
        <v/>
      </c>
      <c r="V112" s="7">
        <f>IF($AD112="","",U112*T112)</f>
        <v/>
      </c>
      <c r="W112">
        <f>IF($AD112="","",Settings!$C$6)</f>
        <v/>
      </c>
      <c r="X112" s="7">
        <f>IF($AD112="","",SUMIFS('Per Line'!$AB$2:$AB$3001,'Per Line'!$E$2:$E$3001,$B112,'Per Line'!$AP$2:$AP$3001,1,'Per Line'!$AQ$2:$AQ$3001,0))</f>
        <v/>
      </c>
      <c r="Y112" s="7">
        <f>IF($AD112="","",X112*W112)</f>
        <v/>
      </c>
      <c r="Z112" s="7">
        <f>IF($AD112="","",Y112+V112)</f>
        <v/>
      </c>
      <c r="AA112" s="7">
        <f>IF($AD112="","",AB112-Z112)</f>
        <v/>
      </c>
      <c r="AB112" s="7">
        <f>IF($AD112="","",U112+X112+S112)</f>
        <v/>
      </c>
      <c r="AC112" s="7">
        <f>IF($AD112="","",AB112-Z112-P112)</f>
        <v/>
      </c>
      <c r="AD112" s="13">
        <f>IF(ROWS($AD$2:$AD112)&lt;=MAX('Per Line'!$AO$2:$AO$3001),MATCH(ROWS($AD$2:$AD112),'Per Line'!$AO$2:$AO$3001,0),"")</f>
        <v/>
      </c>
      <c r="AE112" s="14">
        <f>IF($AD112="","",P112-O112*AB112/100)</f>
        <v/>
      </c>
    </row>
    <row r="113">
      <c r="A113" s="12" t="n"/>
      <c r="B113">
        <f>IF($AD113="","",INDEX('Per Line'!$E$2:$E$3001,$AD113)&amp;"")</f>
        <v/>
      </c>
      <c r="C113">
        <f>IF($AD113="","",INDEX('Per Line'!$A$2:$A$3001,$AD113)&amp;"")</f>
        <v/>
      </c>
      <c r="D113">
        <f>IF($AD113="","",INDEX('Per Line'!$C$2:$C$3001,$AD113)&amp;"")</f>
        <v/>
      </c>
      <c r="E113">
        <f>IF($AD113="","",INDEX('Per Line'!$B$2:$B$3001,$AD113))</f>
        <v/>
      </c>
      <c r="F113">
        <f>IF($AD113="","",INDEX('Per Line'!$D$2:$D$3001,$AD113)&amp;"")</f>
        <v/>
      </c>
      <c r="G113" s="11">
        <f>IF($AD113="","",INDEX('Per Line'!$G$2:$G$3001,$AD113))</f>
        <v/>
      </c>
      <c r="H113">
        <f>IF($AD113="","",INDEX('Per Line'!$J$2:$J$3001,$AD113)&amp;"")</f>
        <v/>
      </c>
      <c r="I113">
        <f>IF($AD113="","",INDEX('Per Line'!$H$2:$H$3001,$AD113)&amp;"")</f>
        <v/>
      </c>
      <c r="J113">
        <f>IF($AD113="","",INDEX('Per Line'!$F$2:$F$3001,$AD113)&amp;"")</f>
        <v/>
      </c>
      <c r="K113">
        <f>IF($AD113="","",INDEX('Per Line'!$K$2:$K$3001,$AD113)&amp;"")</f>
        <v/>
      </c>
      <c r="L113">
        <f>IF($AD113="","",INDEX('Per Line'!$L$2:$L$3001,$AD113)&amp;"")</f>
        <v/>
      </c>
      <c r="M113">
        <f>IF($AD113="","",INDEX('Per Line'!$M$2:$M$3001,$AD113)&amp;"")</f>
        <v/>
      </c>
      <c r="N113">
        <f>IF($AD113="","",INDEX('Per Line'!$AC$2:$AC$3001,$AD113)&amp;"")</f>
        <v/>
      </c>
      <c r="O113">
        <f>IF($AD113="","",INDEX('Per Line'!$P$2:$P$3001,$AD113))</f>
        <v/>
      </c>
      <c r="P113" s="7">
        <f>IF($AD113="","",IF(AND(ISNUMBER(Q113),Q113&gt;0,AB113&gt;Q113),O113*Q113/100+(AB113-Q113),O113*AB113/100))</f>
        <v/>
      </c>
      <c r="Q113">
        <f>IF($AD113="","",INDEX('Per Line'!$AG$2:$AG$3001,$AD113))</f>
        <v/>
      </c>
      <c r="R113">
        <f>IF($AD113="","",IF(AND(ISNUMBER(Q113),Q113&gt;0),AB113&gt;Q113,FALSE))</f>
        <v/>
      </c>
      <c r="S113" s="7">
        <f>IF($AD113="","",SUMIFS('Per Line'!$AB$2:$AB$3001,'Per Line'!$E$2:$E$3001,$B113,'Per Line'!$AQ$2:$AQ$3001,1))</f>
        <v/>
      </c>
      <c r="T113">
        <f>IF($AD113="","",Settings!$C$7)</f>
        <v/>
      </c>
      <c r="U113" s="7">
        <f>IF($AD113="","",SUMIFS('Per Line'!$AB$2:$AB$3001,'Per Line'!$E$2:$E$3001,$B113,'Per Line'!$AP$2:$AP$3001,0,'Per Line'!$AQ$2:$AQ$3001,0))</f>
        <v/>
      </c>
      <c r="V113" s="7">
        <f>IF($AD113="","",U113*T113)</f>
        <v/>
      </c>
      <c r="W113">
        <f>IF($AD113="","",Settings!$C$6)</f>
        <v/>
      </c>
      <c r="X113" s="7">
        <f>IF($AD113="","",SUMIFS('Per Line'!$AB$2:$AB$3001,'Per Line'!$E$2:$E$3001,$B113,'Per Line'!$AP$2:$AP$3001,1,'Per Line'!$AQ$2:$AQ$3001,0))</f>
        <v/>
      </c>
      <c r="Y113" s="7">
        <f>IF($AD113="","",X113*W113)</f>
        <v/>
      </c>
      <c r="Z113" s="7">
        <f>IF($AD113="","",Y113+V113)</f>
        <v/>
      </c>
      <c r="AA113" s="7">
        <f>IF($AD113="","",AB113-Z113)</f>
        <v/>
      </c>
      <c r="AB113" s="7">
        <f>IF($AD113="","",U113+X113+S113)</f>
        <v/>
      </c>
      <c r="AC113" s="7">
        <f>IF($AD113="","",AB113-Z113-P113)</f>
        <v/>
      </c>
      <c r="AD113" s="13">
        <f>IF(ROWS($AD$2:$AD113)&lt;=MAX('Per Line'!$AO$2:$AO$3001),MATCH(ROWS($AD$2:$AD113),'Per Line'!$AO$2:$AO$3001,0),"")</f>
        <v/>
      </c>
      <c r="AE113" s="14">
        <f>IF($AD113="","",P113-O113*AB113/100)</f>
        <v/>
      </c>
    </row>
    <row r="114">
      <c r="A114" s="12" t="n"/>
      <c r="B114">
        <f>IF($AD114="","",INDEX('Per Line'!$E$2:$E$3001,$AD114)&amp;"")</f>
        <v/>
      </c>
      <c r="C114">
        <f>IF($AD114="","",INDEX('Per Line'!$A$2:$A$3001,$AD114)&amp;"")</f>
        <v/>
      </c>
      <c r="D114">
        <f>IF($AD114="","",INDEX('Per Line'!$C$2:$C$3001,$AD114)&amp;"")</f>
        <v/>
      </c>
      <c r="E114">
        <f>IF($AD114="","",INDEX('Per Line'!$B$2:$B$3001,$AD114))</f>
        <v/>
      </c>
      <c r="F114">
        <f>IF($AD114="","",INDEX('Per Line'!$D$2:$D$3001,$AD114)&amp;"")</f>
        <v/>
      </c>
      <c r="G114" s="11">
        <f>IF($AD114="","",INDEX('Per Line'!$G$2:$G$3001,$AD114))</f>
        <v/>
      </c>
      <c r="H114">
        <f>IF($AD114="","",INDEX('Per Line'!$J$2:$J$3001,$AD114)&amp;"")</f>
        <v/>
      </c>
      <c r="I114">
        <f>IF($AD114="","",INDEX('Per Line'!$H$2:$H$3001,$AD114)&amp;"")</f>
        <v/>
      </c>
      <c r="J114">
        <f>IF($AD114="","",INDEX('Per Line'!$F$2:$F$3001,$AD114)&amp;"")</f>
        <v/>
      </c>
      <c r="K114">
        <f>IF($AD114="","",INDEX('Per Line'!$K$2:$K$3001,$AD114)&amp;"")</f>
        <v/>
      </c>
      <c r="L114">
        <f>IF($AD114="","",INDEX('Per Line'!$L$2:$L$3001,$AD114)&amp;"")</f>
        <v/>
      </c>
      <c r="M114">
        <f>IF($AD114="","",INDEX('Per Line'!$M$2:$M$3001,$AD114)&amp;"")</f>
        <v/>
      </c>
      <c r="N114">
        <f>IF($AD114="","",INDEX('Per Line'!$AC$2:$AC$3001,$AD114)&amp;"")</f>
        <v/>
      </c>
      <c r="O114">
        <f>IF($AD114="","",INDEX('Per Line'!$P$2:$P$3001,$AD114))</f>
        <v/>
      </c>
      <c r="P114" s="7">
        <f>IF($AD114="","",IF(AND(ISNUMBER(Q114),Q114&gt;0,AB114&gt;Q114),O114*Q114/100+(AB114-Q114),O114*AB114/100))</f>
        <v/>
      </c>
      <c r="Q114">
        <f>IF($AD114="","",INDEX('Per Line'!$AG$2:$AG$3001,$AD114))</f>
        <v/>
      </c>
      <c r="R114">
        <f>IF($AD114="","",IF(AND(ISNUMBER(Q114),Q114&gt;0),AB114&gt;Q114,FALSE))</f>
        <v/>
      </c>
      <c r="S114" s="7">
        <f>IF($AD114="","",SUMIFS('Per Line'!$AB$2:$AB$3001,'Per Line'!$E$2:$E$3001,$B114,'Per Line'!$AQ$2:$AQ$3001,1))</f>
        <v/>
      </c>
      <c r="T114">
        <f>IF($AD114="","",Settings!$C$7)</f>
        <v/>
      </c>
      <c r="U114" s="7">
        <f>IF($AD114="","",SUMIFS('Per Line'!$AB$2:$AB$3001,'Per Line'!$E$2:$E$3001,$B114,'Per Line'!$AP$2:$AP$3001,0,'Per Line'!$AQ$2:$AQ$3001,0))</f>
        <v/>
      </c>
      <c r="V114" s="7">
        <f>IF($AD114="","",U114*T114)</f>
        <v/>
      </c>
      <c r="W114">
        <f>IF($AD114="","",Settings!$C$6)</f>
        <v/>
      </c>
      <c r="X114" s="7">
        <f>IF($AD114="","",SUMIFS('Per Line'!$AB$2:$AB$3001,'Per Line'!$E$2:$E$3001,$B114,'Per Line'!$AP$2:$AP$3001,1,'Per Line'!$AQ$2:$AQ$3001,0))</f>
        <v/>
      </c>
      <c r="Y114" s="7">
        <f>IF($AD114="","",X114*W114)</f>
        <v/>
      </c>
      <c r="Z114" s="7">
        <f>IF($AD114="","",Y114+V114)</f>
        <v/>
      </c>
      <c r="AA114" s="7">
        <f>IF($AD114="","",AB114-Z114)</f>
        <v/>
      </c>
      <c r="AB114" s="7">
        <f>IF($AD114="","",U114+X114+S114)</f>
        <v/>
      </c>
      <c r="AC114" s="7">
        <f>IF($AD114="","",AB114-Z114-P114)</f>
        <v/>
      </c>
      <c r="AD114" s="13">
        <f>IF(ROWS($AD$2:$AD114)&lt;=MAX('Per Line'!$AO$2:$AO$3001),MATCH(ROWS($AD$2:$AD114),'Per Line'!$AO$2:$AO$3001,0),"")</f>
        <v/>
      </c>
      <c r="AE114" s="14">
        <f>IF($AD114="","",P114-O114*AB114/100)</f>
        <v/>
      </c>
    </row>
    <row r="115">
      <c r="A115" s="12" t="n"/>
      <c r="B115">
        <f>IF($AD115="","",INDEX('Per Line'!$E$2:$E$3001,$AD115)&amp;"")</f>
        <v/>
      </c>
      <c r="C115">
        <f>IF($AD115="","",INDEX('Per Line'!$A$2:$A$3001,$AD115)&amp;"")</f>
        <v/>
      </c>
      <c r="D115">
        <f>IF($AD115="","",INDEX('Per Line'!$C$2:$C$3001,$AD115)&amp;"")</f>
        <v/>
      </c>
      <c r="E115">
        <f>IF($AD115="","",INDEX('Per Line'!$B$2:$B$3001,$AD115))</f>
        <v/>
      </c>
      <c r="F115">
        <f>IF($AD115="","",INDEX('Per Line'!$D$2:$D$3001,$AD115)&amp;"")</f>
        <v/>
      </c>
      <c r="G115" s="11">
        <f>IF($AD115="","",INDEX('Per Line'!$G$2:$G$3001,$AD115))</f>
        <v/>
      </c>
      <c r="H115">
        <f>IF($AD115="","",INDEX('Per Line'!$J$2:$J$3001,$AD115)&amp;"")</f>
        <v/>
      </c>
      <c r="I115">
        <f>IF($AD115="","",INDEX('Per Line'!$H$2:$H$3001,$AD115)&amp;"")</f>
        <v/>
      </c>
      <c r="J115">
        <f>IF($AD115="","",INDEX('Per Line'!$F$2:$F$3001,$AD115)&amp;"")</f>
        <v/>
      </c>
      <c r="K115">
        <f>IF($AD115="","",INDEX('Per Line'!$K$2:$K$3001,$AD115)&amp;"")</f>
        <v/>
      </c>
      <c r="L115">
        <f>IF($AD115="","",INDEX('Per Line'!$L$2:$L$3001,$AD115)&amp;"")</f>
        <v/>
      </c>
      <c r="M115">
        <f>IF($AD115="","",INDEX('Per Line'!$M$2:$M$3001,$AD115)&amp;"")</f>
        <v/>
      </c>
      <c r="N115">
        <f>IF($AD115="","",INDEX('Per Line'!$AC$2:$AC$3001,$AD115)&amp;"")</f>
        <v/>
      </c>
      <c r="O115">
        <f>IF($AD115="","",INDEX('Per Line'!$P$2:$P$3001,$AD115))</f>
        <v/>
      </c>
      <c r="P115" s="7">
        <f>IF($AD115="","",IF(AND(ISNUMBER(Q115),Q115&gt;0,AB115&gt;Q115),O115*Q115/100+(AB115-Q115),O115*AB115/100))</f>
        <v/>
      </c>
      <c r="Q115">
        <f>IF($AD115="","",INDEX('Per Line'!$AG$2:$AG$3001,$AD115))</f>
        <v/>
      </c>
      <c r="R115">
        <f>IF($AD115="","",IF(AND(ISNUMBER(Q115),Q115&gt;0),AB115&gt;Q115,FALSE))</f>
        <v/>
      </c>
      <c r="S115" s="7">
        <f>IF($AD115="","",SUMIFS('Per Line'!$AB$2:$AB$3001,'Per Line'!$E$2:$E$3001,$B115,'Per Line'!$AQ$2:$AQ$3001,1))</f>
        <v/>
      </c>
      <c r="T115">
        <f>IF($AD115="","",Settings!$C$7)</f>
        <v/>
      </c>
      <c r="U115" s="7">
        <f>IF($AD115="","",SUMIFS('Per Line'!$AB$2:$AB$3001,'Per Line'!$E$2:$E$3001,$B115,'Per Line'!$AP$2:$AP$3001,0,'Per Line'!$AQ$2:$AQ$3001,0))</f>
        <v/>
      </c>
      <c r="V115" s="7">
        <f>IF($AD115="","",U115*T115)</f>
        <v/>
      </c>
      <c r="W115">
        <f>IF($AD115="","",Settings!$C$6)</f>
        <v/>
      </c>
      <c r="X115" s="7">
        <f>IF($AD115="","",SUMIFS('Per Line'!$AB$2:$AB$3001,'Per Line'!$E$2:$E$3001,$B115,'Per Line'!$AP$2:$AP$3001,1,'Per Line'!$AQ$2:$AQ$3001,0))</f>
        <v/>
      </c>
      <c r="Y115" s="7">
        <f>IF($AD115="","",X115*W115)</f>
        <v/>
      </c>
      <c r="Z115" s="7">
        <f>IF($AD115="","",Y115+V115)</f>
        <v/>
      </c>
      <c r="AA115" s="7">
        <f>IF($AD115="","",AB115-Z115)</f>
        <v/>
      </c>
      <c r="AB115" s="7">
        <f>IF($AD115="","",U115+X115+S115)</f>
        <v/>
      </c>
      <c r="AC115" s="7">
        <f>IF($AD115="","",AB115-Z115-P115)</f>
        <v/>
      </c>
      <c r="AD115" s="13">
        <f>IF(ROWS($AD$2:$AD115)&lt;=MAX('Per Line'!$AO$2:$AO$3001),MATCH(ROWS($AD$2:$AD115),'Per Line'!$AO$2:$AO$3001,0),"")</f>
        <v/>
      </c>
      <c r="AE115" s="14">
        <f>IF($AD115="","",P115-O115*AB115/100)</f>
        <v/>
      </c>
    </row>
    <row r="116">
      <c r="A116" s="12" t="n"/>
      <c r="B116">
        <f>IF($AD116="","",INDEX('Per Line'!$E$2:$E$3001,$AD116)&amp;"")</f>
        <v/>
      </c>
      <c r="C116">
        <f>IF($AD116="","",INDEX('Per Line'!$A$2:$A$3001,$AD116)&amp;"")</f>
        <v/>
      </c>
      <c r="D116">
        <f>IF($AD116="","",INDEX('Per Line'!$C$2:$C$3001,$AD116)&amp;"")</f>
        <v/>
      </c>
      <c r="E116">
        <f>IF($AD116="","",INDEX('Per Line'!$B$2:$B$3001,$AD116))</f>
        <v/>
      </c>
      <c r="F116">
        <f>IF($AD116="","",INDEX('Per Line'!$D$2:$D$3001,$AD116)&amp;"")</f>
        <v/>
      </c>
      <c r="G116" s="11">
        <f>IF($AD116="","",INDEX('Per Line'!$G$2:$G$3001,$AD116))</f>
        <v/>
      </c>
      <c r="H116">
        <f>IF($AD116="","",INDEX('Per Line'!$J$2:$J$3001,$AD116)&amp;"")</f>
        <v/>
      </c>
      <c r="I116">
        <f>IF($AD116="","",INDEX('Per Line'!$H$2:$H$3001,$AD116)&amp;"")</f>
        <v/>
      </c>
      <c r="J116">
        <f>IF($AD116="","",INDEX('Per Line'!$F$2:$F$3001,$AD116)&amp;"")</f>
        <v/>
      </c>
      <c r="K116">
        <f>IF($AD116="","",INDEX('Per Line'!$K$2:$K$3001,$AD116)&amp;"")</f>
        <v/>
      </c>
      <c r="L116">
        <f>IF($AD116="","",INDEX('Per Line'!$L$2:$L$3001,$AD116)&amp;"")</f>
        <v/>
      </c>
      <c r="M116">
        <f>IF($AD116="","",INDEX('Per Line'!$M$2:$M$3001,$AD116)&amp;"")</f>
        <v/>
      </c>
      <c r="N116">
        <f>IF($AD116="","",INDEX('Per Line'!$AC$2:$AC$3001,$AD116)&amp;"")</f>
        <v/>
      </c>
      <c r="O116">
        <f>IF($AD116="","",INDEX('Per Line'!$P$2:$P$3001,$AD116))</f>
        <v/>
      </c>
      <c r="P116" s="7">
        <f>IF($AD116="","",IF(AND(ISNUMBER(Q116),Q116&gt;0,AB116&gt;Q116),O116*Q116/100+(AB116-Q116),O116*AB116/100))</f>
        <v/>
      </c>
      <c r="Q116">
        <f>IF($AD116="","",INDEX('Per Line'!$AG$2:$AG$3001,$AD116))</f>
        <v/>
      </c>
      <c r="R116">
        <f>IF($AD116="","",IF(AND(ISNUMBER(Q116),Q116&gt;0),AB116&gt;Q116,FALSE))</f>
        <v/>
      </c>
      <c r="S116" s="7">
        <f>IF($AD116="","",SUMIFS('Per Line'!$AB$2:$AB$3001,'Per Line'!$E$2:$E$3001,$B116,'Per Line'!$AQ$2:$AQ$3001,1))</f>
        <v/>
      </c>
      <c r="T116">
        <f>IF($AD116="","",Settings!$C$7)</f>
        <v/>
      </c>
      <c r="U116" s="7">
        <f>IF($AD116="","",SUMIFS('Per Line'!$AB$2:$AB$3001,'Per Line'!$E$2:$E$3001,$B116,'Per Line'!$AP$2:$AP$3001,0,'Per Line'!$AQ$2:$AQ$3001,0))</f>
        <v/>
      </c>
      <c r="V116" s="7">
        <f>IF($AD116="","",U116*T116)</f>
        <v/>
      </c>
      <c r="W116">
        <f>IF($AD116="","",Settings!$C$6)</f>
        <v/>
      </c>
      <c r="X116" s="7">
        <f>IF($AD116="","",SUMIFS('Per Line'!$AB$2:$AB$3001,'Per Line'!$E$2:$E$3001,$B116,'Per Line'!$AP$2:$AP$3001,1,'Per Line'!$AQ$2:$AQ$3001,0))</f>
        <v/>
      </c>
      <c r="Y116" s="7">
        <f>IF($AD116="","",X116*W116)</f>
        <v/>
      </c>
      <c r="Z116" s="7">
        <f>IF($AD116="","",Y116+V116)</f>
        <v/>
      </c>
      <c r="AA116" s="7">
        <f>IF($AD116="","",AB116-Z116)</f>
        <v/>
      </c>
      <c r="AB116" s="7">
        <f>IF($AD116="","",U116+X116+S116)</f>
        <v/>
      </c>
      <c r="AC116" s="7">
        <f>IF($AD116="","",AB116-Z116-P116)</f>
        <v/>
      </c>
      <c r="AD116" s="13">
        <f>IF(ROWS($AD$2:$AD116)&lt;=MAX('Per Line'!$AO$2:$AO$3001),MATCH(ROWS($AD$2:$AD116),'Per Line'!$AO$2:$AO$3001,0),"")</f>
        <v/>
      </c>
      <c r="AE116" s="14">
        <f>IF($AD116="","",P116-O116*AB116/100)</f>
        <v/>
      </c>
    </row>
    <row r="117">
      <c r="A117" s="12" t="n"/>
      <c r="B117">
        <f>IF($AD117="","",INDEX('Per Line'!$E$2:$E$3001,$AD117)&amp;"")</f>
        <v/>
      </c>
      <c r="C117">
        <f>IF($AD117="","",INDEX('Per Line'!$A$2:$A$3001,$AD117)&amp;"")</f>
        <v/>
      </c>
      <c r="D117">
        <f>IF($AD117="","",INDEX('Per Line'!$C$2:$C$3001,$AD117)&amp;"")</f>
        <v/>
      </c>
      <c r="E117">
        <f>IF($AD117="","",INDEX('Per Line'!$B$2:$B$3001,$AD117))</f>
        <v/>
      </c>
      <c r="F117">
        <f>IF($AD117="","",INDEX('Per Line'!$D$2:$D$3001,$AD117)&amp;"")</f>
        <v/>
      </c>
      <c r="G117" s="11">
        <f>IF($AD117="","",INDEX('Per Line'!$G$2:$G$3001,$AD117))</f>
        <v/>
      </c>
      <c r="H117">
        <f>IF($AD117="","",INDEX('Per Line'!$J$2:$J$3001,$AD117)&amp;"")</f>
        <v/>
      </c>
      <c r="I117">
        <f>IF($AD117="","",INDEX('Per Line'!$H$2:$H$3001,$AD117)&amp;"")</f>
        <v/>
      </c>
      <c r="J117">
        <f>IF($AD117="","",INDEX('Per Line'!$F$2:$F$3001,$AD117)&amp;"")</f>
        <v/>
      </c>
      <c r="K117">
        <f>IF($AD117="","",INDEX('Per Line'!$K$2:$K$3001,$AD117)&amp;"")</f>
        <v/>
      </c>
      <c r="L117">
        <f>IF($AD117="","",INDEX('Per Line'!$L$2:$L$3001,$AD117)&amp;"")</f>
        <v/>
      </c>
      <c r="M117">
        <f>IF($AD117="","",INDEX('Per Line'!$M$2:$M$3001,$AD117)&amp;"")</f>
        <v/>
      </c>
      <c r="N117">
        <f>IF($AD117="","",INDEX('Per Line'!$AC$2:$AC$3001,$AD117)&amp;"")</f>
        <v/>
      </c>
      <c r="O117">
        <f>IF($AD117="","",INDEX('Per Line'!$P$2:$P$3001,$AD117))</f>
        <v/>
      </c>
      <c r="P117" s="7">
        <f>IF($AD117="","",IF(AND(ISNUMBER(Q117),Q117&gt;0,AB117&gt;Q117),O117*Q117/100+(AB117-Q117),O117*AB117/100))</f>
        <v/>
      </c>
      <c r="Q117">
        <f>IF($AD117="","",INDEX('Per Line'!$AG$2:$AG$3001,$AD117))</f>
        <v/>
      </c>
      <c r="R117">
        <f>IF($AD117="","",IF(AND(ISNUMBER(Q117),Q117&gt;0),AB117&gt;Q117,FALSE))</f>
        <v/>
      </c>
      <c r="S117" s="7">
        <f>IF($AD117="","",SUMIFS('Per Line'!$AB$2:$AB$3001,'Per Line'!$E$2:$E$3001,$B117,'Per Line'!$AQ$2:$AQ$3001,1))</f>
        <v/>
      </c>
      <c r="T117">
        <f>IF($AD117="","",Settings!$C$7)</f>
        <v/>
      </c>
      <c r="U117" s="7">
        <f>IF($AD117="","",SUMIFS('Per Line'!$AB$2:$AB$3001,'Per Line'!$E$2:$E$3001,$B117,'Per Line'!$AP$2:$AP$3001,0,'Per Line'!$AQ$2:$AQ$3001,0))</f>
        <v/>
      </c>
      <c r="V117" s="7">
        <f>IF($AD117="","",U117*T117)</f>
        <v/>
      </c>
      <c r="W117">
        <f>IF($AD117="","",Settings!$C$6)</f>
        <v/>
      </c>
      <c r="X117" s="7">
        <f>IF($AD117="","",SUMIFS('Per Line'!$AB$2:$AB$3001,'Per Line'!$E$2:$E$3001,$B117,'Per Line'!$AP$2:$AP$3001,1,'Per Line'!$AQ$2:$AQ$3001,0))</f>
        <v/>
      </c>
      <c r="Y117" s="7">
        <f>IF($AD117="","",X117*W117)</f>
        <v/>
      </c>
      <c r="Z117" s="7">
        <f>IF($AD117="","",Y117+V117)</f>
        <v/>
      </c>
      <c r="AA117" s="7">
        <f>IF($AD117="","",AB117-Z117)</f>
        <v/>
      </c>
      <c r="AB117" s="7">
        <f>IF($AD117="","",U117+X117+S117)</f>
        <v/>
      </c>
      <c r="AC117" s="7">
        <f>IF($AD117="","",AB117-Z117-P117)</f>
        <v/>
      </c>
      <c r="AD117" s="13">
        <f>IF(ROWS($AD$2:$AD117)&lt;=MAX('Per Line'!$AO$2:$AO$3001),MATCH(ROWS($AD$2:$AD117),'Per Line'!$AO$2:$AO$3001,0),"")</f>
        <v/>
      </c>
      <c r="AE117" s="14">
        <f>IF($AD117="","",P117-O117*AB117/100)</f>
        <v/>
      </c>
    </row>
    <row r="118">
      <c r="A118" s="12" t="n"/>
      <c r="B118">
        <f>IF($AD118="","",INDEX('Per Line'!$E$2:$E$3001,$AD118)&amp;"")</f>
        <v/>
      </c>
      <c r="C118">
        <f>IF($AD118="","",INDEX('Per Line'!$A$2:$A$3001,$AD118)&amp;"")</f>
        <v/>
      </c>
      <c r="D118">
        <f>IF($AD118="","",INDEX('Per Line'!$C$2:$C$3001,$AD118)&amp;"")</f>
        <v/>
      </c>
      <c r="E118">
        <f>IF($AD118="","",INDEX('Per Line'!$B$2:$B$3001,$AD118))</f>
        <v/>
      </c>
      <c r="F118">
        <f>IF($AD118="","",INDEX('Per Line'!$D$2:$D$3001,$AD118)&amp;"")</f>
        <v/>
      </c>
      <c r="G118" s="11">
        <f>IF($AD118="","",INDEX('Per Line'!$G$2:$G$3001,$AD118))</f>
        <v/>
      </c>
      <c r="H118">
        <f>IF($AD118="","",INDEX('Per Line'!$J$2:$J$3001,$AD118)&amp;"")</f>
        <v/>
      </c>
      <c r="I118">
        <f>IF($AD118="","",INDEX('Per Line'!$H$2:$H$3001,$AD118)&amp;"")</f>
        <v/>
      </c>
      <c r="J118">
        <f>IF($AD118="","",INDEX('Per Line'!$F$2:$F$3001,$AD118)&amp;"")</f>
        <v/>
      </c>
      <c r="K118">
        <f>IF($AD118="","",INDEX('Per Line'!$K$2:$K$3001,$AD118)&amp;"")</f>
        <v/>
      </c>
      <c r="L118">
        <f>IF($AD118="","",INDEX('Per Line'!$L$2:$L$3001,$AD118)&amp;"")</f>
        <v/>
      </c>
      <c r="M118">
        <f>IF($AD118="","",INDEX('Per Line'!$M$2:$M$3001,$AD118)&amp;"")</f>
        <v/>
      </c>
      <c r="N118">
        <f>IF($AD118="","",INDEX('Per Line'!$AC$2:$AC$3001,$AD118)&amp;"")</f>
        <v/>
      </c>
      <c r="O118">
        <f>IF($AD118="","",INDEX('Per Line'!$P$2:$P$3001,$AD118))</f>
        <v/>
      </c>
      <c r="P118" s="7">
        <f>IF($AD118="","",IF(AND(ISNUMBER(Q118),Q118&gt;0,AB118&gt;Q118),O118*Q118/100+(AB118-Q118),O118*AB118/100))</f>
        <v/>
      </c>
      <c r="Q118">
        <f>IF($AD118="","",INDEX('Per Line'!$AG$2:$AG$3001,$AD118))</f>
        <v/>
      </c>
      <c r="R118">
        <f>IF($AD118="","",IF(AND(ISNUMBER(Q118),Q118&gt;0),AB118&gt;Q118,FALSE))</f>
        <v/>
      </c>
      <c r="S118" s="7">
        <f>IF($AD118="","",SUMIFS('Per Line'!$AB$2:$AB$3001,'Per Line'!$E$2:$E$3001,$B118,'Per Line'!$AQ$2:$AQ$3001,1))</f>
        <v/>
      </c>
      <c r="T118">
        <f>IF($AD118="","",Settings!$C$7)</f>
        <v/>
      </c>
      <c r="U118" s="7">
        <f>IF($AD118="","",SUMIFS('Per Line'!$AB$2:$AB$3001,'Per Line'!$E$2:$E$3001,$B118,'Per Line'!$AP$2:$AP$3001,0,'Per Line'!$AQ$2:$AQ$3001,0))</f>
        <v/>
      </c>
      <c r="V118" s="7">
        <f>IF($AD118="","",U118*T118)</f>
        <v/>
      </c>
      <c r="W118">
        <f>IF($AD118="","",Settings!$C$6)</f>
        <v/>
      </c>
      <c r="X118" s="7">
        <f>IF($AD118="","",SUMIFS('Per Line'!$AB$2:$AB$3001,'Per Line'!$E$2:$E$3001,$B118,'Per Line'!$AP$2:$AP$3001,1,'Per Line'!$AQ$2:$AQ$3001,0))</f>
        <v/>
      </c>
      <c r="Y118" s="7">
        <f>IF($AD118="","",X118*W118)</f>
        <v/>
      </c>
      <c r="Z118" s="7">
        <f>IF($AD118="","",Y118+V118)</f>
        <v/>
      </c>
      <c r="AA118" s="7">
        <f>IF($AD118="","",AB118-Z118)</f>
        <v/>
      </c>
      <c r="AB118" s="7">
        <f>IF($AD118="","",U118+X118+S118)</f>
        <v/>
      </c>
      <c r="AC118" s="7">
        <f>IF($AD118="","",AB118-Z118-P118)</f>
        <v/>
      </c>
      <c r="AD118" s="13">
        <f>IF(ROWS($AD$2:$AD118)&lt;=MAX('Per Line'!$AO$2:$AO$3001),MATCH(ROWS($AD$2:$AD118),'Per Line'!$AO$2:$AO$3001,0),"")</f>
        <v/>
      </c>
      <c r="AE118" s="14">
        <f>IF($AD118="","",P118-O118*AB118/100)</f>
        <v/>
      </c>
    </row>
    <row r="119">
      <c r="A119" s="12" t="n"/>
      <c r="B119">
        <f>IF($AD119="","",INDEX('Per Line'!$E$2:$E$3001,$AD119)&amp;"")</f>
        <v/>
      </c>
      <c r="C119">
        <f>IF($AD119="","",INDEX('Per Line'!$A$2:$A$3001,$AD119)&amp;"")</f>
        <v/>
      </c>
      <c r="D119">
        <f>IF($AD119="","",INDEX('Per Line'!$C$2:$C$3001,$AD119)&amp;"")</f>
        <v/>
      </c>
      <c r="E119">
        <f>IF($AD119="","",INDEX('Per Line'!$B$2:$B$3001,$AD119))</f>
        <v/>
      </c>
      <c r="F119">
        <f>IF($AD119="","",INDEX('Per Line'!$D$2:$D$3001,$AD119)&amp;"")</f>
        <v/>
      </c>
      <c r="G119" s="11">
        <f>IF($AD119="","",INDEX('Per Line'!$G$2:$G$3001,$AD119))</f>
        <v/>
      </c>
      <c r="H119">
        <f>IF($AD119="","",INDEX('Per Line'!$J$2:$J$3001,$AD119)&amp;"")</f>
        <v/>
      </c>
      <c r="I119">
        <f>IF($AD119="","",INDEX('Per Line'!$H$2:$H$3001,$AD119)&amp;"")</f>
        <v/>
      </c>
      <c r="J119">
        <f>IF($AD119="","",INDEX('Per Line'!$F$2:$F$3001,$AD119)&amp;"")</f>
        <v/>
      </c>
      <c r="K119">
        <f>IF($AD119="","",INDEX('Per Line'!$K$2:$K$3001,$AD119)&amp;"")</f>
        <v/>
      </c>
      <c r="L119">
        <f>IF($AD119="","",INDEX('Per Line'!$L$2:$L$3001,$AD119)&amp;"")</f>
        <v/>
      </c>
      <c r="M119">
        <f>IF($AD119="","",INDEX('Per Line'!$M$2:$M$3001,$AD119)&amp;"")</f>
        <v/>
      </c>
      <c r="N119">
        <f>IF($AD119="","",INDEX('Per Line'!$AC$2:$AC$3001,$AD119)&amp;"")</f>
        <v/>
      </c>
      <c r="O119">
        <f>IF($AD119="","",INDEX('Per Line'!$P$2:$P$3001,$AD119))</f>
        <v/>
      </c>
      <c r="P119" s="7">
        <f>IF($AD119="","",IF(AND(ISNUMBER(Q119),Q119&gt;0,AB119&gt;Q119),O119*Q119/100+(AB119-Q119),O119*AB119/100))</f>
        <v/>
      </c>
      <c r="Q119">
        <f>IF($AD119="","",INDEX('Per Line'!$AG$2:$AG$3001,$AD119))</f>
        <v/>
      </c>
      <c r="R119">
        <f>IF($AD119="","",IF(AND(ISNUMBER(Q119),Q119&gt;0),AB119&gt;Q119,FALSE))</f>
        <v/>
      </c>
      <c r="S119" s="7">
        <f>IF($AD119="","",SUMIFS('Per Line'!$AB$2:$AB$3001,'Per Line'!$E$2:$E$3001,$B119,'Per Line'!$AQ$2:$AQ$3001,1))</f>
        <v/>
      </c>
      <c r="T119">
        <f>IF($AD119="","",Settings!$C$7)</f>
        <v/>
      </c>
      <c r="U119" s="7">
        <f>IF($AD119="","",SUMIFS('Per Line'!$AB$2:$AB$3001,'Per Line'!$E$2:$E$3001,$B119,'Per Line'!$AP$2:$AP$3001,0,'Per Line'!$AQ$2:$AQ$3001,0))</f>
        <v/>
      </c>
      <c r="V119" s="7">
        <f>IF($AD119="","",U119*T119)</f>
        <v/>
      </c>
      <c r="W119">
        <f>IF($AD119="","",Settings!$C$6)</f>
        <v/>
      </c>
      <c r="X119" s="7">
        <f>IF($AD119="","",SUMIFS('Per Line'!$AB$2:$AB$3001,'Per Line'!$E$2:$E$3001,$B119,'Per Line'!$AP$2:$AP$3001,1,'Per Line'!$AQ$2:$AQ$3001,0))</f>
        <v/>
      </c>
      <c r="Y119" s="7">
        <f>IF($AD119="","",X119*W119)</f>
        <v/>
      </c>
      <c r="Z119" s="7">
        <f>IF($AD119="","",Y119+V119)</f>
        <v/>
      </c>
      <c r="AA119" s="7">
        <f>IF($AD119="","",AB119-Z119)</f>
        <v/>
      </c>
      <c r="AB119" s="7">
        <f>IF($AD119="","",U119+X119+S119)</f>
        <v/>
      </c>
      <c r="AC119" s="7">
        <f>IF($AD119="","",AB119-Z119-P119)</f>
        <v/>
      </c>
      <c r="AD119" s="13">
        <f>IF(ROWS($AD$2:$AD119)&lt;=MAX('Per Line'!$AO$2:$AO$3001),MATCH(ROWS($AD$2:$AD119),'Per Line'!$AO$2:$AO$3001,0),"")</f>
        <v/>
      </c>
      <c r="AE119" s="14">
        <f>IF($AD119="","",P119-O119*AB119/100)</f>
        <v/>
      </c>
    </row>
    <row r="120">
      <c r="A120" s="12" t="n"/>
      <c r="B120">
        <f>IF($AD120="","",INDEX('Per Line'!$E$2:$E$3001,$AD120)&amp;"")</f>
        <v/>
      </c>
      <c r="C120">
        <f>IF($AD120="","",INDEX('Per Line'!$A$2:$A$3001,$AD120)&amp;"")</f>
        <v/>
      </c>
      <c r="D120">
        <f>IF($AD120="","",INDEX('Per Line'!$C$2:$C$3001,$AD120)&amp;"")</f>
        <v/>
      </c>
      <c r="E120">
        <f>IF($AD120="","",INDEX('Per Line'!$B$2:$B$3001,$AD120))</f>
        <v/>
      </c>
      <c r="F120">
        <f>IF($AD120="","",INDEX('Per Line'!$D$2:$D$3001,$AD120)&amp;"")</f>
        <v/>
      </c>
      <c r="G120" s="11">
        <f>IF($AD120="","",INDEX('Per Line'!$G$2:$G$3001,$AD120))</f>
        <v/>
      </c>
      <c r="H120">
        <f>IF($AD120="","",INDEX('Per Line'!$J$2:$J$3001,$AD120)&amp;"")</f>
        <v/>
      </c>
      <c r="I120">
        <f>IF($AD120="","",INDEX('Per Line'!$H$2:$H$3001,$AD120)&amp;"")</f>
        <v/>
      </c>
      <c r="J120">
        <f>IF($AD120="","",INDEX('Per Line'!$F$2:$F$3001,$AD120)&amp;"")</f>
        <v/>
      </c>
      <c r="K120">
        <f>IF($AD120="","",INDEX('Per Line'!$K$2:$K$3001,$AD120)&amp;"")</f>
        <v/>
      </c>
      <c r="L120">
        <f>IF($AD120="","",INDEX('Per Line'!$L$2:$L$3001,$AD120)&amp;"")</f>
        <v/>
      </c>
      <c r="M120">
        <f>IF($AD120="","",INDEX('Per Line'!$M$2:$M$3001,$AD120)&amp;"")</f>
        <v/>
      </c>
      <c r="N120">
        <f>IF($AD120="","",INDEX('Per Line'!$AC$2:$AC$3001,$AD120)&amp;"")</f>
        <v/>
      </c>
      <c r="O120">
        <f>IF($AD120="","",INDEX('Per Line'!$P$2:$P$3001,$AD120))</f>
        <v/>
      </c>
      <c r="P120" s="7">
        <f>IF($AD120="","",IF(AND(ISNUMBER(Q120),Q120&gt;0,AB120&gt;Q120),O120*Q120/100+(AB120-Q120),O120*AB120/100))</f>
        <v/>
      </c>
      <c r="Q120">
        <f>IF($AD120="","",INDEX('Per Line'!$AG$2:$AG$3001,$AD120))</f>
        <v/>
      </c>
      <c r="R120">
        <f>IF($AD120="","",IF(AND(ISNUMBER(Q120),Q120&gt;0),AB120&gt;Q120,FALSE))</f>
        <v/>
      </c>
      <c r="S120" s="7">
        <f>IF($AD120="","",SUMIFS('Per Line'!$AB$2:$AB$3001,'Per Line'!$E$2:$E$3001,$B120,'Per Line'!$AQ$2:$AQ$3001,1))</f>
        <v/>
      </c>
      <c r="T120">
        <f>IF($AD120="","",Settings!$C$7)</f>
        <v/>
      </c>
      <c r="U120" s="7">
        <f>IF($AD120="","",SUMIFS('Per Line'!$AB$2:$AB$3001,'Per Line'!$E$2:$E$3001,$B120,'Per Line'!$AP$2:$AP$3001,0,'Per Line'!$AQ$2:$AQ$3001,0))</f>
        <v/>
      </c>
      <c r="V120" s="7">
        <f>IF($AD120="","",U120*T120)</f>
        <v/>
      </c>
      <c r="W120">
        <f>IF($AD120="","",Settings!$C$6)</f>
        <v/>
      </c>
      <c r="X120" s="7">
        <f>IF($AD120="","",SUMIFS('Per Line'!$AB$2:$AB$3001,'Per Line'!$E$2:$E$3001,$B120,'Per Line'!$AP$2:$AP$3001,1,'Per Line'!$AQ$2:$AQ$3001,0))</f>
        <v/>
      </c>
      <c r="Y120" s="7">
        <f>IF($AD120="","",X120*W120)</f>
        <v/>
      </c>
      <c r="Z120" s="7">
        <f>IF($AD120="","",Y120+V120)</f>
        <v/>
      </c>
      <c r="AA120" s="7">
        <f>IF($AD120="","",AB120-Z120)</f>
        <v/>
      </c>
      <c r="AB120" s="7">
        <f>IF($AD120="","",U120+X120+S120)</f>
        <v/>
      </c>
      <c r="AC120" s="7">
        <f>IF($AD120="","",AB120-Z120-P120)</f>
        <v/>
      </c>
      <c r="AD120" s="13">
        <f>IF(ROWS($AD$2:$AD120)&lt;=MAX('Per Line'!$AO$2:$AO$3001),MATCH(ROWS($AD$2:$AD120),'Per Line'!$AO$2:$AO$3001,0),"")</f>
        <v/>
      </c>
      <c r="AE120" s="14">
        <f>IF($AD120="","",P120-O120*AB120/100)</f>
        <v/>
      </c>
    </row>
    <row r="121">
      <c r="A121" s="12" t="n"/>
      <c r="B121">
        <f>IF($AD121="","",INDEX('Per Line'!$E$2:$E$3001,$AD121)&amp;"")</f>
        <v/>
      </c>
      <c r="C121">
        <f>IF($AD121="","",INDEX('Per Line'!$A$2:$A$3001,$AD121)&amp;"")</f>
        <v/>
      </c>
      <c r="D121">
        <f>IF($AD121="","",INDEX('Per Line'!$C$2:$C$3001,$AD121)&amp;"")</f>
        <v/>
      </c>
      <c r="E121">
        <f>IF($AD121="","",INDEX('Per Line'!$B$2:$B$3001,$AD121))</f>
        <v/>
      </c>
      <c r="F121">
        <f>IF($AD121="","",INDEX('Per Line'!$D$2:$D$3001,$AD121)&amp;"")</f>
        <v/>
      </c>
      <c r="G121" s="11">
        <f>IF($AD121="","",INDEX('Per Line'!$G$2:$G$3001,$AD121))</f>
        <v/>
      </c>
      <c r="H121">
        <f>IF($AD121="","",INDEX('Per Line'!$J$2:$J$3001,$AD121)&amp;"")</f>
        <v/>
      </c>
      <c r="I121">
        <f>IF($AD121="","",INDEX('Per Line'!$H$2:$H$3001,$AD121)&amp;"")</f>
        <v/>
      </c>
      <c r="J121">
        <f>IF($AD121="","",INDEX('Per Line'!$F$2:$F$3001,$AD121)&amp;"")</f>
        <v/>
      </c>
      <c r="K121">
        <f>IF($AD121="","",INDEX('Per Line'!$K$2:$K$3001,$AD121)&amp;"")</f>
        <v/>
      </c>
      <c r="L121">
        <f>IF($AD121="","",INDEX('Per Line'!$L$2:$L$3001,$AD121)&amp;"")</f>
        <v/>
      </c>
      <c r="M121">
        <f>IF($AD121="","",INDEX('Per Line'!$M$2:$M$3001,$AD121)&amp;"")</f>
        <v/>
      </c>
      <c r="N121">
        <f>IF($AD121="","",INDEX('Per Line'!$AC$2:$AC$3001,$AD121)&amp;"")</f>
        <v/>
      </c>
      <c r="O121">
        <f>IF($AD121="","",INDEX('Per Line'!$P$2:$P$3001,$AD121))</f>
        <v/>
      </c>
      <c r="P121" s="7">
        <f>IF($AD121="","",IF(AND(ISNUMBER(Q121),Q121&gt;0,AB121&gt;Q121),O121*Q121/100+(AB121-Q121),O121*AB121/100))</f>
        <v/>
      </c>
      <c r="Q121">
        <f>IF($AD121="","",INDEX('Per Line'!$AG$2:$AG$3001,$AD121))</f>
        <v/>
      </c>
      <c r="R121">
        <f>IF($AD121="","",IF(AND(ISNUMBER(Q121),Q121&gt;0),AB121&gt;Q121,FALSE))</f>
        <v/>
      </c>
      <c r="S121" s="7">
        <f>IF($AD121="","",SUMIFS('Per Line'!$AB$2:$AB$3001,'Per Line'!$E$2:$E$3001,$B121,'Per Line'!$AQ$2:$AQ$3001,1))</f>
        <v/>
      </c>
      <c r="T121">
        <f>IF($AD121="","",Settings!$C$7)</f>
        <v/>
      </c>
      <c r="U121" s="7">
        <f>IF($AD121="","",SUMIFS('Per Line'!$AB$2:$AB$3001,'Per Line'!$E$2:$E$3001,$B121,'Per Line'!$AP$2:$AP$3001,0,'Per Line'!$AQ$2:$AQ$3001,0))</f>
        <v/>
      </c>
      <c r="V121" s="7">
        <f>IF($AD121="","",U121*T121)</f>
        <v/>
      </c>
      <c r="W121">
        <f>IF($AD121="","",Settings!$C$6)</f>
        <v/>
      </c>
      <c r="X121" s="7">
        <f>IF($AD121="","",SUMIFS('Per Line'!$AB$2:$AB$3001,'Per Line'!$E$2:$E$3001,$B121,'Per Line'!$AP$2:$AP$3001,1,'Per Line'!$AQ$2:$AQ$3001,0))</f>
        <v/>
      </c>
      <c r="Y121" s="7">
        <f>IF($AD121="","",X121*W121)</f>
        <v/>
      </c>
      <c r="Z121" s="7">
        <f>IF($AD121="","",Y121+V121)</f>
        <v/>
      </c>
      <c r="AA121" s="7">
        <f>IF($AD121="","",AB121-Z121)</f>
        <v/>
      </c>
      <c r="AB121" s="7">
        <f>IF($AD121="","",U121+X121+S121)</f>
        <v/>
      </c>
      <c r="AC121" s="7">
        <f>IF($AD121="","",AB121-Z121-P121)</f>
        <v/>
      </c>
      <c r="AD121" s="13">
        <f>IF(ROWS($AD$2:$AD121)&lt;=MAX('Per Line'!$AO$2:$AO$3001),MATCH(ROWS($AD$2:$AD121),'Per Line'!$AO$2:$AO$3001,0),"")</f>
        <v/>
      </c>
      <c r="AE121" s="14">
        <f>IF($AD121="","",P121-O121*AB121/100)</f>
        <v/>
      </c>
    </row>
    <row r="122">
      <c r="A122" s="12" t="n"/>
      <c r="B122">
        <f>IF($AD122="","",INDEX('Per Line'!$E$2:$E$3001,$AD122)&amp;"")</f>
        <v/>
      </c>
      <c r="C122">
        <f>IF($AD122="","",INDEX('Per Line'!$A$2:$A$3001,$AD122)&amp;"")</f>
        <v/>
      </c>
      <c r="D122">
        <f>IF($AD122="","",INDEX('Per Line'!$C$2:$C$3001,$AD122)&amp;"")</f>
        <v/>
      </c>
      <c r="E122">
        <f>IF($AD122="","",INDEX('Per Line'!$B$2:$B$3001,$AD122))</f>
        <v/>
      </c>
      <c r="F122">
        <f>IF($AD122="","",INDEX('Per Line'!$D$2:$D$3001,$AD122)&amp;"")</f>
        <v/>
      </c>
      <c r="G122" s="11">
        <f>IF($AD122="","",INDEX('Per Line'!$G$2:$G$3001,$AD122))</f>
        <v/>
      </c>
      <c r="H122">
        <f>IF($AD122="","",INDEX('Per Line'!$J$2:$J$3001,$AD122)&amp;"")</f>
        <v/>
      </c>
      <c r="I122">
        <f>IF($AD122="","",INDEX('Per Line'!$H$2:$H$3001,$AD122)&amp;"")</f>
        <v/>
      </c>
      <c r="J122">
        <f>IF($AD122="","",INDEX('Per Line'!$F$2:$F$3001,$AD122)&amp;"")</f>
        <v/>
      </c>
      <c r="K122">
        <f>IF($AD122="","",INDEX('Per Line'!$K$2:$K$3001,$AD122)&amp;"")</f>
        <v/>
      </c>
      <c r="L122">
        <f>IF($AD122="","",INDEX('Per Line'!$L$2:$L$3001,$AD122)&amp;"")</f>
        <v/>
      </c>
      <c r="M122">
        <f>IF($AD122="","",INDEX('Per Line'!$M$2:$M$3001,$AD122)&amp;"")</f>
        <v/>
      </c>
      <c r="N122">
        <f>IF($AD122="","",INDEX('Per Line'!$AC$2:$AC$3001,$AD122)&amp;"")</f>
        <v/>
      </c>
      <c r="O122">
        <f>IF($AD122="","",INDEX('Per Line'!$P$2:$P$3001,$AD122))</f>
        <v/>
      </c>
      <c r="P122" s="7">
        <f>IF($AD122="","",IF(AND(ISNUMBER(Q122),Q122&gt;0,AB122&gt;Q122),O122*Q122/100+(AB122-Q122),O122*AB122/100))</f>
        <v/>
      </c>
      <c r="Q122">
        <f>IF($AD122="","",INDEX('Per Line'!$AG$2:$AG$3001,$AD122))</f>
        <v/>
      </c>
      <c r="R122">
        <f>IF($AD122="","",IF(AND(ISNUMBER(Q122),Q122&gt;0),AB122&gt;Q122,FALSE))</f>
        <v/>
      </c>
      <c r="S122" s="7">
        <f>IF($AD122="","",SUMIFS('Per Line'!$AB$2:$AB$3001,'Per Line'!$E$2:$E$3001,$B122,'Per Line'!$AQ$2:$AQ$3001,1))</f>
        <v/>
      </c>
      <c r="T122">
        <f>IF($AD122="","",Settings!$C$7)</f>
        <v/>
      </c>
      <c r="U122" s="7">
        <f>IF($AD122="","",SUMIFS('Per Line'!$AB$2:$AB$3001,'Per Line'!$E$2:$E$3001,$B122,'Per Line'!$AP$2:$AP$3001,0,'Per Line'!$AQ$2:$AQ$3001,0))</f>
        <v/>
      </c>
      <c r="V122" s="7">
        <f>IF($AD122="","",U122*T122)</f>
        <v/>
      </c>
      <c r="W122">
        <f>IF($AD122="","",Settings!$C$6)</f>
        <v/>
      </c>
      <c r="X122" s="7">
        <f>IF($AD122="","",SUMIFS('Per Line'!$AB$2:$AB$3001,'Per Line'!$E$2:$E$3001,$B122,'Per Line'!$AP$2:$AP$3001,1,'Per Line'!$AQ$2:$AQ$3001,0))</f>
        <v/>
      </c>
      <c r="Y122" s="7">
        <f>IF($AD122="","",X122*W122)</f>
        <v/>
      </c>
      <c r="Z122" s="7">
        <f>IF($AD122="","",Y122+V122)</f>
        <v/>
      </c>
      <c r="AA122" s="7">
        <f>IF($AD122="","",AB122-Z122)</f>
        <v/>
      </c>
      <c r="AB122" s="7">
        <f>IF($AD122="","",U122+X122+S122)</f>
        <v/>
      </c>
      <c r="AC122" s="7">
        <f>IF($AD122="","",AB122-Z122-P122)</f>
        <v/>
      </c>
      <c r="AD122" s="13">
        <f>IF(ROWS($AD$2:$AD122)&lt;=MAX('Per Line'!$AO$2:$AO$3001),MATCH(ROWS($AD$2:$AD122),'Per Line'!$AO$2:$AO$3001,0),"")</f>
        <v/>
      </c>
      <c r="AE122" s="14">
        <f>IF($AD122="","",P122-O122*AB122/100)</f>
        <v/>
      </c>
    </row>
    <row r="123">
      <c r="A123" s="12" t="n"/>
      <c r="B123">
        <f>IF($AD123="","",INDEX('Per Line'!$E$2:$E$3001,$AD123)&amp;"")</f>
        <v/>
      </c>
      <c r="C123">
        <f>IF($AD123="","",INDEX('Per Line'!$A$2:$A$3001,$AD123)&amp;"")</f>
        <v/>
      </c>
      <c r="D123">
        <f>IF($AD123="","",INDEX('Per Line'!$C$2:$C$3001,$AD123)&amp;"")</f>
        <v/>
      </c>
      <c r="E123">
        <f>IF($AD123="","",INDEX('Per Line'!$B$2:$B$3001,$AD123))</f>
        <v/>
      </c>
      <c r="F123">
        <f>IF($AD123="","",INDEX('Per Line'!$D$2:$D$3001,$AD123)&amp;"")</f>
        <v/>
      </c>
      <c r="G123" s="11">
        <f>IF($AD123="","",INDEX('Per Line'!$G$2:$G$3001,$AD123))</f>
        <v/>
      </c>
      <c r="H123">
        <f>IF($AD123="","",INDEX('Per Line'!$J$2:$J$3001,$AD123)&amp;"")</f>
        <v/>
      </c>
      <c r="I123">
        <f>IF($AD123="","",INDEX('Per Line'!$H$2:$H$3001,$AD123)&amp;"")</f>
        <v/>
      </c>
      <c r="J123">
        <f>IF($AD123="","",INDEX('Per Line'!$F$2:$F$3001,$AD123)&amp;"")</f>
        <v/>
      </c>
      <c r="K123">
        <f>IF($AD123="","",INDEX('Per Line'!$K$2:$K$3001,$AD123)&amp;"")</f>
        <v/>
      </c>
      <c r="L123">
        <f>IF($AD123="","",INDEX('Per Line'!$L$2:$L$3001,$AD123)&amp;"")</f>
        <v/>
      </c>
      <c r="M123">
        <f>IF($AD123="","",INDEX('Per Line'!$M$2:$M$3001,$AD123)&amp;"")</f>
        <v/>
      </c>
      <c r="N123">
        <f>IF($AD123="","",INDEX('Per Line'!$AC$2:$AC$3001,$AD123)&amp;"")</f>
        <v/>
      </c>
      <c r="O123">
        <f>IF($AD123="","",INDEX('Per Line'!$P$2:$P$3001,$AD123))</f>
        <v/>
      </c>
      <c r="P123" s="7">
        <f>IF($AD123="","",IF(AND(ISNUMBER(Q123),Q123&gt;0,AB123&gt;Q123),O123*Q123/100+(AB123-Q123),O123*AB123/100))</f>
        <v/>
      </c>
      <c r="Q123">
        <f>IF($AD123="","",INDEX('Per Line'!$AG$2:$AG$3001,$AD123))</f>
        <v/>
      </c>
      <c r="R123">
        <f>IF($AD123="","",IF(AND(ISNUMBER(Q123),Q123&gt;0),AB123&gt;Q123,FALSE))</f>
        <v/>
      </c>
      <c r="S123" s="7">
        <f>IF($AD123="","",SUMIFS('Per Line'!$AB$2:$AB$3001,'Per Line'!$E$2:$E$3001,$B123,'Per Line'!$AQ$2:$AQ$3001,1))</f>
        <v/>
      </c>
      <c r="T123">
        <f>IF($AD123="","",Settings!$C$7)</f>
        <v/>
      </c>
      <c r="U123" s="7">
        <f>IF($AD123="","",SUMIFS('Per Line'!$AB$2:$AB$3001,'Per Line'!$E$2:$E$3001,$B123,'Per Line'!$AP$2:$AP$3001,0,'Per Line'!$AQ$2:$AQ$3001,0))</f>
        <v/>
      </c>
      <c r="V123" s="7">
        <f>IF($AD123="","",U123*T123)</f>
        <v/>
      </c>
      <c r="W123">
        <f>IF($AD123="","",Settings!$C$6)</f>
        <v/>
      </c>
      <c r="X123" s="7">
        <f>IF($AD123="","",SUMIFS('Per Line'!$AB$2:$AB$3001,'Per Line'!$E$2:$E$3001,$B123,'Per Line'!$AP$2:$AP$3001,1,'Per Line'!$AQ$2:$AQ$3001,0))</f>
        <v/>
      </c>
      <c r="Y123" s="7">
        <f>IF($AD123="","",X123*W123)</f>
        <v/>
      </c>
      <c r="Z123" s="7">
        <f>IF($AD123="","",Y123+V123)</f>
        <v/>
      </c>
      <c r="AA123" s="7">
        <f>IF($AD123="","",AB123-Z123)</f>
        <v/>
      </c>
      <c r="AB123" s="7">
        <f>IF($AD123="","",U123+X123+S123)</f>
        <v/>
      </c>
      <c r="AC123" s="7">
        <f>IF($AD123="","",AB123-Z123-P123)</f>
        <v/>
      </c>
      <c r="AD123" s="13">
        <f>IF(ROWS($AD$2:$AD123)&lt;=MAX('Per Line'!$AO$2:$AO$3001),MATCH(ROWS($AD$2:$AD123),'Per Line'!$AO$2:$AO$3001,0),"")</f>
        <v/>
      </c>
      <c r="AE123" s="14">
        <f>IF($AD123="","",P123-O123*AB123/100)</f>
        <v/>
      </c>
    </row>
    <row r="124">
      <c r="A124" s="12" t="n"/>
      <c r="B124">
        <f>IF($AD124="","",INDEX('Per Line'!$E$2:$E$3001,$AD124)&amp;"")</f>
        <v/>
      </c>
      <c r="C124">
        <f>IF($AD124="","",INDEX('Per Line'!$A$2:$A$3001,$AD124)&amp;"")</f>
        <v/>
      </c>
      <c r="D124">
        <f>IF($AD124="","",INDEX('Per Line'!$C$2:$C$3001,$AD124)&amp;"")</f>
        <v/>
      </c>
      <c r="E124">
        <f>IF($AD124="","",INDEX('Per Line'!$B$2:$B$3001,$AD124))</f>
        <v/>
      </c>
      <c r="F124">
        <f>IF($AD124="","",INDEX('Per Line'!$D$2:$D$3001,$AD124)&amp;"")</f>
        <v/>
      </c>
      <c r="G124" s="11">
        <f>IF($AD124="","",INDEX('Per Line'!$G$2:$G$3001,$AD124))</f>
        <v/>
      </c>
      <c r="H124">
        <f>IF($AD124="","",INDEX('Per Line'!$J$2:$J$3001,$AD124)&amp;"")</f>
        <v/>
      </c>
      <c r="I124">
        <f>IF($AD124="","",INDEX('Per Line'!$H$2:$H$3001,$AD124)&amp;"")</f>
        <v/>
      </c>
      <c r="J124">
        <f>IF($AD124="","",INDEX('Per Line'!$F$2:$F$3001,$AD124)&amp;"")</f>
        <v/>
      </c>
      <c r="K124">
        <f>IF($AD124="","",INDEX('Per Line'!$K$2:$K$3001,$AD124)&amp;"")</f>
        <v/>
      </c>
      <c r="L124">
        <f>IF($AD124="","",INDEX('Per Line'!$L$2:$L$3001,$AD124)&amp;"")</f>
        <v/>
      </c>
      <c r="M124">
        <f>IF($AD124="","",INDEX('Per Line'!$M$2:$M$3001,$AD124)&amp;"")</f>
        <v/>
      </c>
      <c r="N124">
        <f>IF($AD124="","",INDEX('Per Line'!$AC$2:$AC$3001,$AD124)&amp;"")</f>
        <v/>
      </c>
      <c r="O124">
        <f>IF($AD124="","",INDEX('Per Line'!$P$2:$P$3001,$AD124))</f>
        <v/>
      </c>
      <c r="P124" s="7">
        <f>IF($AD124="","",IF(AND(ISNUMBER(Q124),Q124&gt;0,AB124&gt;Q124),O124*Q124/100+(AB124-Q124),O124*AB124/100))</f>
        <v/>
      </c>
      <c r="Q124">
        <f>IF($AD124="","",INDEX('Per Line'!$AG$2:$AG$3001,$AD124))</f>
        <v/>
      </c>
      <c r="R124">
        <f>IF($AD124="","",IF(AND(ISNUMBER(Q124),Q124&gt;0),AB124&gt;Q124,FALSE))</f>
        <v/>
      </c>
      <c r="S124" s="7">
        <f>IF($AD124="","",SUMIFS('Per Line'!$AB$2:$AB$3001,'Per Line'!$E$2:$E$3001,$B124,'Per Line'!$AQ$2:$AQ$3001,1))</f>
        <v/>
      </c>
      <c r="T124">
        <f>IF($AD124="","",Settings!$C$7)</f>
        <v/>
      </c>
      <c r="U124" s="7">
        <f>IF($AD124="","",SUMIFS('Per Line'!$AB$2:$AB$3001,'Per Line'!$E$2:$E$3001,$B124,'Per Line'!$AP$2:$AP$3001,0,'Per Line'!$AQ$2:$AQ$3001,0))</f>
        <v/>
      </c>
      <c r="V124" s="7">
        <f>IF($AD124="","",U124*T124)</f>
        <v/>
      </c>
      <c r="W124">
        <f>IF($AD124="","",Settings!$C$6)</f>
        <v/>
      </c>
      <c r="X124" s="7">
        <f>IF($AD124="","",SUMIFS('Per Line'!$AB$2:$AB$3001,'Per Line'!$E$2:$E$3001,$B124,'Per Line'!$AP$2:$AP$3001,1,'Per Line'!$AQ$2:$AQ$3001,0))</f>
        <v/>
      </c>
      <c r="Y124" s="7">
        <f>IF($AD124="","",X124*W124)</f>
        <v/>
      </c>
      <c r="Z124" s="7">
        <f>IF($AD124="","",Y124+V124)</f>
        <v/>
      </c>
      <c r="AA124" s="7">
        <f>IF($AD124="","",AB124-Z124)</f>
        <v/>
      </c>
      <c r="AB124" s="7">
        <f>IF($AD124="","",U124+X124+S124)</f>
        <v/>
      </c>
      <c r="AC124" s="7">
        <f>IF($AD124="","",AB124-Z124-P124)</f>
        <v/>
      </c>
      <c r="AD124" s="13">
        <f>IF(ROWS($AD$2:$AD124)&lt;=MAX('Per Line'!$AO$2:$AO$3001),MATCH(ROWS($AD$2:$AD124),'Per Line'!$AO$2:$AO$3001,0),"")</f>
        <v/>
      </c>
      <c r="AE124" s="14">
        <f>IF($AD124="","",P124-O124*AB124/100)</f>
        <v/>
      </c>
    </row>
    <row r="125">
      <c r="A125" s="12" t="n"/>
      <c r="B125">
        <f>IF($AD125="","",INDEX('Per Line'!$E$2:$E$3001,$AD125)&amp;"")</f>
        <v/>
      </c>
      <c r="C125">
        <f>IF($AD125="","",INDEX('Per Line'!$A$2:$A$3001,$AD125)&amp;"")</f>
        <v/>
      </c>
      <c r="D125">
        <f>IF($AD125="","",INDEX('Per Line'!$C$2:$C$3001,$AD125)&amp;"")</f>
        <v/>
      </c>
      <c r="E125">
        <f>IF($AD125="","",INDEX('Per Line'!$B$2:$B$3001,$AD125))</f>
        <v/>
      </c>
      <c r="F125">
        <f>IF($AD125="","",INDEX('Per Line'!$D$2:$D$3001,$AD125)&amp;"")</f>
        <v/>
      </c>
      <c r="G125" s="11">
        <f>IF($AD125="","",INDEX('Per Line'!$G$2:$G$3001,$AD125))</f>
        <v/>
      </c>
      <c r="H125">
        <f>IF($AD125="","",INDEX('Per Line'!$J$2:$J$3001,$AD125)&amp;"")</f>
        <v/>
      </c>
      <c r="I125">
        <f>IF($AD125="","",INDEX('Per Line'!$H$2:$H$3001,$AD125)&amp;"")</f>
        <v/>
      </c>
      <c r="J125">
        <f>IF($AD125="","",INDEX('Per Line'!$F$2:$F$3001,$AD125)&amp;"")</f>
        <v/>
      </c>
      <c r="K125">
        <f>IF($AD125="","",INDEX('Per Line'!$K$2:$K$3001,$AD125)&amp;"")</f>
        <v/>
      </c>
      <c r="L125">
        <f>IF($AD125="","",INDEX('Per Line'!$L$2:$L$3001,$AD125)&amp;"")</f>
        <v/>
      </c>
      <c r="M125">
        <f>IF($AD125="","",INDEX('Per Line'!$M$2:$M$3001,$AD125)&amp;"")</f>
        <v/>
      </c>
      <c r="N125">
        <f>IF($AD125="","",INDEX('Per Line'!$AC$2:$AC$3001,$AD125)&amp;"")</f>
        <v/>
      </c>
      <c r="O125">
        <f>IF($AD125="","",INDEX('Per Line'!$P$2:$P$3001,$AD125))</f>
        <v/>
      </c>
      <c r="P125" s="7">
        <f>IF($AD125="","",IF(AND(ISNUMBER(Q125),Q125&gt;0,AB125&gt;Q125),O125*Q125/100+(AB125-Q125),O125*AB125/100))</f>
        <v/>
      </c>
      <c r="Q125">
        <f>IF($AD125="","",INDEX('Per Line'!$AG$2:$AG$3001,$AD125))</f>
        <v/>
      </c>
      <c r="R125">
        <f>IF($AD125="","",IF(AND(ISNUMBER(Q125),Q125&gt;0),AB125&gt;Q125,FALSE))</f>
        <v/>
      </c>
      <c r="S125" s="7">
        <f>IF($AD125="","",SUMIFS('Per Line'!$AB$2:$AB$3001,'Per Line'!$E$2:$E$3001,$B125,'Per Line'!$AQ$2:$AQ$3001,1))</f>
        <v/>
      </c>
      <c r="T125">
        <f>IF($AD125="","",Settings!$C$7)</f>
        <v/>
      </c>
      <c r="U125" s="7">
        <f>IF($AD125="","",SUMIFS('Per Line'!$AB$2:$AB$3001,'Per Line'!$E$2:$E$3001,$B125,'Per Line'!$AP$2:$AP$3001,0,'Per Line'!$AQ$2:$AQ$3001,0))</f>
        <v/>
      </c>
      <c r="V125" s="7">
        <f>IF($AD125="","",U125*T125)</f>
        <v/>
      </c>
      <c r="W125">
        <f>IF($AD125="","",Settings!$C$6)</f>
        <v/>
      </c>
      <c r="X125" s="7">
        <f>IF($AD125="","",SUMIFS('Per Line'!$AB$2:$AB$3001,'Per Line'!$E$2:$E$3001,$B125,'Per Line'!$AP$2:$AP$3001,1,'Per Line'!$AQ$2:$AQ$3001,0))</f>
        <v/>
      </c>
      <c r="Y125" s="7">
        <f>IF($AD125="","",X125*W125)</f>
        <v/>
      </c>
      <c r="Z125" s="7">
        <f>IF($AD125="","",Y125+V125)</f>
        <v/>
      </c>
      <c r="AA125" s="7">
        <f>IF($AD125="","",AB125-Z125)</f>
        <v/>
      </c>
      <c r="AB125" s="7">
        <f>IF($AD125="","",U125+X125+S125)</f>
        <v/>
      </c>
      <c r="AC125" s="7">
        <f>IF($AD125="","",AB125-Z125-P125)</f>
        <v/>
      </c>
      <c r="AD125" s="13">
        <f>IF(ROWS($AD$2:$AD125)&lt;=MAX('Per Line'!$AO$2:$AO$3001),MATCH(ROWS($AD$2:$AD125),'Per Line'!$AO$2:$AO$3001,0),"")</f>
        <v/>
      </c>
      <c r="AE125" s="14">
        <f>IF($AD125="","",P125-O125*AB125/100)</f>
        <v/>
      </c>
    </row>
    <row r="126">
      <c r="A126" s="12" t="n"/>
      <c r="B126">
        <f>IF($AD126="","",INDEX('Per Line'!$E$2:$E$3001,$AD126)&amp;"")</f>
        <v/>
      </c>
      <c r="C126">
        <f>IF($AD126="","",INDEX('Per Line'!$A$2:$A$3001,$AD126)&amp;"")</f>
        <v/>
      </c>
      <c r="D126">
        <f>IF($AD126="","",INDEX('Per Line'!$C$2:$C$3001,$AD126)&amp;"")</f>
        <v/>
      </c>
      <c r="E126">
        <f>IF($AD126="","",INDEX('Per Line'!$B$2:$B$3001,$AD126))</f>
        <v/>
      </c>
      <c r="F126">
        <f>IF($AD126="","",INDEX('Per Line'!$D$2:$D$3001,$AD126)&amp;"")</f>
        <v/>
      </c>
      <c r="G126" s="11">
        <f>IF($AD126="","",INDEX('Per Line'!$G$2:$G$3001,$AD126))</f>
        <v/>
      </c>
      <c r="H126">
        <f>IF($AD126="","",INDEX('Per Line'!$J$2:$J$3001,$AD126)&amp;"")</f>
        <v/>
      </c>
      <c r="I126">
        <f>IF($AD126="","",INDEX('Per Line'!$H$2:$H$3001,$AD126)&amp;"")</f>
        <v/>
      </c>
      <c r="J126">
        <f>IF($AD126="","",INDEX('Per Line'!$F$2:$F$3001,$AD126)&amp;"")</f>
        <v/>
      </c>
      <c r="K126">
        <f>IF($AD126="","",INDEX('Per Line'!$K$2:$K$3001,$AD126)&amp;"")</f>
        <v/>
      </c>
      <c r="L126">
        <f>IF($AD126="","",INDEX('Per Line'!$L$2:$L$3001,$AD126)&amp;"")</f>
        <v/>
      </c>
      <c r="M126">
        <f>IF($AD126="","",INDEX('Per Line'!$M$2:$M$3001,$AD126)&amp;"")</f>
        <v/>
      </c>
      <c r="N126">
        <f>IF($AD126="","",INDEX('Per Line'!$AC$2:$AC$3001,$AD126)&amp;"")</f>
        <v/>
      </c>
      <c r="O126">
        <f>IF($AD126="","",INDEX('Per Line'!$P$2:$P$3001,$AD126))</f>
        <v/>
      </c>
      <c r="P126" s="7">
        <f>IF($AD126="","",IF(AND(ISNUMBER(Q126),Q126&gt;0,AB126&gt;Q126),O126*Q126/100+(AB126-Q126),O126*AB126/100))</f>
        <v/>
      </c>
      <c r="Q126">
        <f>IF($AD126="","",INDEX('Per Line'!$AG$2:$AG$3001,$AD126))</f>
        <v/>
      </c>
      <c r="R126">
        <f>IF($AD126="","",IF(AND(ISNUMBER(Q126),Q126&gt;0),AB126&gt;Q126,FALSE))</f>
        <v/>
      </c>
      <c r="S126" s="7">
        <f>IF($AD126="","",SUMIFS('Per Line'!$AB$2:$AB$3001,'Per Line'!$E$2:$E$3001,$B126,'Per Line'!$AQ$2:$AQ$3001,1))</f>
        <v/>
      </c>
      <c r="T126">
        <f>IF($AD126="","",Settings!$C$7)</f>
        <v/>
      </c>
      <c r="U126" s="7">
        <f>IF($AD126="","",SUMIFS('Per Line'!$AB$2:$AB$3001,'Per Line'!$E$2:$E$3001,$B126,'Per Line'!$AP$2:$AP$3001,0,'Per Line'!$AQ$2:$AQ$3001,0))</f>
        <v/>
      </c>
      <c r="V126" s="7">
        <f>IF($AD126="","",U126*T126)</f>
        <v/>
      </c>
      <c r="W126">
        <f>IF($AD126="","",Settings!$C$6)</f>
        <v/>
      </c>
      <c r="X126" s="7">
        <f>IF($AD126="","",SUMIFS('Per Line'!$AB$2:$AB$3001,'Per Line'!$E$2:$E$3001,$B126,'Per Line'!$AP$2:$AP$3001,1,'Per Line'!$AQ$2:$AQ$3001,0))</f>
        <v/>
      </c>
      <c r="Y126" s="7">
        <f>IF($AD126="","",X126*W126)</f>
        <v/>
      </c>
      <c r="Z126" s="7">
        <f>IF($AD126="","",Y126+V126)</f>
        <v/>
      </c>
      <c r="AA126" s="7">
        <f>IF($AD126="","",AB126-Z126)</f>
        <v/>
      </c>
      <c r="AB126" s="7">
        <f>IF($AD126="","",U126+X126+S126)</f>
        <v/>
      </c>
      <c r="AC126" s="7">
        <f>IF($AD126="","",AB126-Z126-P126)</f>
        <v/>
      </c>
      <c r="AD126" s="13">
        <f>IF(ROWS($AD$2:$AD126)&lt;=MAX('Per Line'!$AO$2:$AO$3001),MATCH(ROWS($AD$2:$AD126),'Per Line'!$AO$2:$AO$3001,0),"")</f>
        <v/>
      </c>
      <c r="AE126" s="14">
        <f>IF($AD126="","",P126-O126*AB126/100)</f>
        <v/>
      </c>
    </row>
    <row r="127">
      <c r="A127" s="12" t="n"/>
      <c r="B127">
        <f>IF($AD127="","",INDEX('Per Line'!$E$2:$E$3001,$AD127)&amp;"")</f>
        <v/>
      </c>
      <c r="C127">
        <f>IF($AD127="","",INDEX('Per Line'!$A$2:$A$3001,$AD127)&amp;"")</f>
        <v/>
      </c>
      <c r="D127">
        <f>IF($AD127="","",INDEX('Per Line'!$C$2:$C$3001,$AD127)&amp;"")</f>
        <v/>
      </c>
      <c r="E127">
        <f>IF($AD127="","",INDEX('Per Line'!$B$2:$B$3001,$AD127))</f>
        <v/>
      </c>
      <c r="F127">
        <f>IF($AD127="","",INDEX('Per Line'!$D$2:$D$3001,$AD127)&amp;"")</f>
        <v/>
      </c>
      <c r="G127" s="11">
        <f>IF($AD127="","",INDEX('Per Line'!$G$2:$G$3001,$AD127))</f>
        <v/>
      </c>
      <c r="H127">
        <f>IF($AD127="","",INDEX('Per Line'!$J$2:$J$3001,$AD127)&amp;"")</f>
        <v/>
      </c>
      <c r="I127">
        <f>IF($AD127="","",INDEX('Per Line'!$H$2:$H$3001,$AD127)&amp;"")</f>
        <v/>
      </c>
      <c r="J127">
        <f>IF($AD127="","",INDEX('Per Line'!$F$2:$F$3001,$AD127)&amp;"")</f>
        <v/>
      </c>
      <c r="K127">
        <f>IF($AD127="","",INDEX('Per Line'!$K$2:$K$3001,$AD127)&amp;"")</f>
        <v/>
      </c>
      <c r="L127">
        <f>IF($AD127="","",INDEX('Per Line'!$L$2:$L$3001,$AD127)&amp;"")</f>
        <v/>
      </c>
      <c r="M127">
        <f>IF($AD127="","",INDEX('Per Line'!$M$2:$M$3001,$AD127)&amp;"")</f>
        <v/>
      </c>
      <c r="N127">
        <f>IF($AD127="","",INDEX('Per Line'!$AC$2:$AC$3001,$AD127)&amp;"")</f>
        <v/>
      </c>
      <c r="O127">
        <f>IF($AD127="","",INDEX('Per Line'!$P$2:$P$3001,$AD127))</f>
        <v/>
      </c>
      <c r="P127" s="7">
        <f>IF($AD127="","",IF(AND(ISNUMBER(Q127),Q127&gt;0,AB127&gt;Q127),O127*Q127/100+(AB127-Q127),O127*AB127/100))</f>
        <v/>
      </c>
      <c r="Q127">
        <f>IF($AD127="","",INDEX('Per Line'!$AG$2:$AG$3001,$AD127))</f>
        <v/>
      </c>
      <c r="R127">
        <f>IF($AD127="","",IF(AND(ISNUMBER(Q127),Q127&gt;0),AB127&gt;Q127,FALSE))</f>
        <v/>
      </c>
      <c r="S127" s="7">
        <f>IF($AD127="","",SUMIFS('Per Line'!$AB$2:$AB$3001,'Per Line'!$E$2:$E$3001,$B127,'Per Line'!$AQ$2:$AQ$3001,1))</f>
        <v/>
      </c>
      <c r="T127">
        <f>IF($AD127="","",Settings!$C$7)</f>
        <v/>
      </c>
      <c r="U127" s="7">
        <f>IF($AD127="","",SUMIFS('Per Line'!$AB$2:$AB$3001,'Per Line'!$E$2:$E$3001,$B127,'Per Line'!$AP$2:$AP$3001,0,'Per Line'!$AQ$2:$AQ$3001,0))</f>
        <v/>
      </c>
      <c r="V127" s="7">
        <f>IF($AD127="","",U127*T127)</f>
        <v/>
      </c>
      <c r="W127">
        <f>IF($AD127="","",Settings!$C$6)</f>
        <v/>
      </c>
      <c r="X127" s="7">
        <f>IF($AD127="","",SUMIFS('Per Line'!$AB$2:$AB$3001,'Per Line'!$E$2:$E$3001,$B127,'Per Line'!$AP$2:$AP$3001,1,'Per Line'!$AQ$2:$AQ$3001,0))</f>
        <v/>
      </c>
      <c r="Y127" s="7">
        <f>IF($AD127="","",X127*W127)</f>
        <v/>
      </c>
      <c r="Z127" s="7">
        <f>IF($AD127="","",Y127+V127)</f>
        <v/>
      </c>
      <c r="AA127" s="7">
        <f>IF($AD127="","",AB127-Z127)</f>
        <v/>
      </c>
      <c r="AB127" s="7">
        <f>IF($AD127="","",U127+X127+S127)</f>
        <v/>
      </c>
      <c r="AC127" s="7">
        <f>IF($AD127="","",AB127-Z127-P127)</f>
        <v/>
      </c>
      <c r="AD127" s="13">
        <f>IF(ROWS($AD$2:$AD127)&lt;=MAX('Per Line'!$AO$2:$AO$3001),MATCH(ROWS($AD$2:$AD127),'Per Line'!$AO$2:$AO$3001,0),"")</f>
        <v/>
      </c>
      <c r="AE127" s="14">
        <f>IF($AD127="","",P127-O127*AB127/100)</f>
        <v/>
      </c>
    </row>
    <row r="128">
      <c r="A128" s="12" t="n"/>
      <c r="B128">
        <f>IF($AD128="","",INDEX('Per Line'!$E$2:$E$3001,$AD128)&amp;"")</f>
        <v/>
      </c>
      <c r="C128">
        <f>IF($AD128="","",INDEX('Per Line'!$A$2:$A$3001,$AD128)&amp;"")</f>
        <v/>
      </c>
      <c r="D128">
        <f>IF($AD128="","",INDEX('Per Line'!$C$2:$C$3001,$AD128)&amp;"")</f>
        <v/>
      </c>
      <c r="E128">
        <f>IF($AD128="","",INDEX('Per Line'!$B$2:$B$3001,$AD128))</f>
        <v/>
      </c>
      <c r="F128">
        <f>IF($AD128="","",INDEX('Per Line'!$D$2:$D$3001,$AD128)&amp;"")</f>
        <v/>
      </c>
      <c r="G128" s="11">
        <f>IF($AD128="","",INDEX('Per Line'!$G$2:$G$3001,$AD128))</f>
        <v/>
      </c>
      <c r="H128">
        <f>IF($AD128="","",INDEX('Per Line'!$J$2:$J$3001,$AD128)&amp;"")</f>
        <v/>
      </c>
      <c r="I128">
        <f>IF($AD128="","",INDEX('Per Line'!$H$2:$H$3001,$AD128)&amp;"")</f>
        <v/>
      </c>
      <c r="J128">
        <f>IF($AD128="","",INDEX('Per Line'!$F$2:$F$3001,$AD128)&amp;"")</f>
        <v/>
      </c>
      <c r="K128">
        <f>IF($AD128="","",INDEX('Per Line'!$K$2:$K$3001,$AD128)&amp;"")</f>
        <v/>
      </c>
      <c r="L128">
        <f>IF($AD128="","",INDEX('Per Line'!$L$2:$L$3001,$AD128)&amp;"")</f>
        <v/>
      </c>
      <c r="M128">
        <f>IF($AD128="","",INDEX('Per Line'!$M$2:$M$3001,$AD128)&amp;"")</f>
        <v/>
      </c>
      <c r="N128">
        <f>IF($AD128="","",INDEX('Per Line'!$AC$2:$AC$3001,$AD128)&amp;"")</f>
        <v/>
      </c>
      <c r="O128">
        <f>IF($AD128="","",INDEX('Per Line'!$P$2:$P$3001,$AD128))</f>
        <v/>
      </c>
      <c r="P128" s="7">
        <f>IF($AD128="","",IF(AND(ISNUMBER(Q128),Q128&gt;0,AB128&gt;Q128),O128*Q128/100+(AB128-Q128),O128*AB128/100))</f>
        <v/>
      </c>
      <c r="Q128">
        <f>IF($AD128="","",INDEX('Per Line'!$AG$2:$AG$3001,$AD128))</f>
        <v/>
      </c>
      <c r="R128">
        <f>IF($AD128="","",IF(AND(ISNUMBER(Q128),Q128&gt;0),AB128&gt;Q128,FALSE))</f>
        <v/>
      </c>
      <c r="S128" s="7">
        <f>IF($AD128="","",SUMIFS('Per Line'!$AB$2:$AB$3001,'Per Line'!$E$2:$E$3001,$B128,'Per Line'!$AQ$2:$AQ$3001,1))</f>
        <v/>
      </c>
      <c r="T128">
        <f>IF($AD128="","",Settings!$C$7)</f>
        <v/>
      </c>
      <c r="U128" s="7">
        <f>IF($AD128="","",SUMIFS('Per Line'!$AB$2:$AB$3001,'Per Line'!$E$2:$E$3001,$B128,'Per Line'!$AP$2:$AP$3001,0,'Per Line'!$AQ$2:$AQ$3001,0))</f>
        <v/>
      </c>
      <c r="V128" s="7">
        <f>IF($AD128="","",U128*T128)</f>
        <v/>
      </c>
      <c r="W128">
        <f>IF($AD128="","",Settings!$C$6)</f>
        <v/>
      </c>
      <c r="X128" s="7">
        <f>IF($AD128="","",SUMIFS('Per Line'!$AB$2:$AB$3001,'Per Line'!$E$2:$E$3001,$B128,'Per Line'!$AP$2:$AP$3001,1,'Per Line'!$AQ$2:$AQ$3001,0))</f>
        <v/>
      </c>
      <c r="Y128" s="7">
        <f>IF($AD128="","",X128*W128)</f>
        <v/>
      </c>
      <c r="Z128" s="7">
        <f>IF($AD128="","",Y128+V128)</f>
        <v/>
      </c>
      <c r="AA128" s="7">
        <f>IF($AD128="","",AB128-Z128)</f>
        <v/>
      </c>
      <c r="AB128" s="7">
        <f>IF($AD128="","",U128+X128+S128)</f>
        <v/>
      </c>
      <c r="AC128" s="7">
        <f>IF($AD128="","",AB128-Z128-P128)</f>
        <v/>
      </c>
      <c r="AD128" s="13">
        <f>IF(ROWS($AD$2:$AD128)&lt;=MAX('Per Line'!$AO$2:$AO$3001),MATCH(ROWS($AD$2:$AD128),'Per Line'!$AO$2:$AO$3001,0),"")</f>
        <v/>
      </c>
      <c r="AE128" s="14">
        <f>IF($AD128="","",P128-O128*AB128/100)</f>
        <v/>
      </c>
    </row>
    <row r="129">
      <c r="A129" s="12" t="n"/>
      <c r="B129">
        <f>IF($AD129="","",INDEX('Per Line'!$E$2:$E$3001,$AD129)&amp;"")</f>
        <v/>
      </c>
      <c r="C129">
        <f>IF($AD129="","",INDEX('Per Line'!$A$2:$A$3001,$AD129)&amp;"")</f>
        <v/>
      </c>
      <c r="D129">
        <f>IF($AD129="","",INDEX('Per Line'!$C$2:$C$3001,$AD129)&amp;"")</f>
        <v/>
      </c>
      <c r="E129">
        <f>IF($AD129="","",INDEX('Per Line'!$B$2:$B$3001,$AD129))</f>
        <v/>
      </c>
      <c r="F129">
        <f>IF($AD129="","",INDEX('Per Line'!$D$2:$D$3001,$AD129)&amp;"")</f>
        <v/>
      </c>
      <c r="G129" s="11">
        <f>IF($AD129="","",INDEX('Per Line'!$G$2:$G$3001,$AD129))</f>
        <v/>
      </c>
      <c r="H129">
        <f>IF($AD129="","",INDEX('Per Line'!$J$2:$J$3001,$AD129)&amp;"")</f>
        <v/>
      </c>
      <c r="I129">
        <f>IF($AD129="","",INDEX('Per Line'!$H$2:$H$3001,$AD129)&amp;"")</f>
        <v/>
      </c>
      <c r="J129">
        <f>IF($AD129="","",INDEX('Per Line'!$F$2:$F$3001,$AD129)&amp;"")</f>
        <v/>
      </c>
      <c r="K129">
        <f>IF($AD129="","",INDEX('Per Line'!$K$2:$K$3001,$AD129)&amp;"")</f>
        <v/>
      </c>
      <c r="L129">
        <f>IF($AD129="","",INDEX('Per Line'!$L$2:$L$3001,$AD129)&amp;"")</f>
        <v/>
      </c>
      <c r="M129">
        <f>IF($AD129="","",INDEX('Per Line'!$M$2:$M$3001,$AD129)&amp;"")</f>
        <v/>
      </c>
      <c r="N129">
        <f>IF($AD129="","",INDEX('Per Line'!$AC$2:$AC$3001,$AD129)&amp;"")</f>
        <v/>
      </c>
      <c r="O129">
        <f>IF($AD129="","",INDEX('Per Line'!$P$2:$P$3001,$AD129))</f>
        <v/>
      </c>
      <c r="P129" s="7">
        <f>IF($AD129="","",IF(AND(ISNUMBER(Q129),Q129&gt;0,AB129&gt;Q129),O129*Q129/100+(AB129-Q129),O129*AB129/100))</f>
        <v/>
      </c>
      <c r="Q129">
        <f>IF($AD129="","",INDEX('Per Line'!$AG$2:$AG$3001,$AD129))</f>
        <v/>
      </c>
      <c r="R129">
        <f>IF($AD129="","",IF(AND(ISNUMBER(Q129),Q129&gt;0),AB129&gt;Q129,FALSE))</f>
        <v/>
      </c>
      <c r="S129" s="7">
        <f>IF($AD129="","",SUMIFS('Per Line'!$AB$2:$AB$3001,'Per Line'!$E$2:$E$3001,$B129,'Per Line'!$AQ$2:$AQ$3001,1))</f>
        <v/>
      </c>
      <c r="T129">
        <f>IF($AD129="","",Settings!$C$7)</f>
        <v/>
      </c>
      <c r="U129" s="7">
        <f>IF($AD129="","",SUMIFS('Per Line'!$AB$2:$AB$3001,'Per Line'!$E$2:$E$3001,$B129,'Per Line'!$AP$2:$AP$3001,0,'Per Line'!$AQ$2:$AQ$3001,0))</f>
        <v/>
      </c>
      <c r="V129" s="7">
        <f>IF($AD129="","",U129*T129)</f>
        <v/>
      </c>
      <c r="W129">
        <f>IF($AD129="","",Settings!$C$6)</f>
        <v/>
      </c>
      <c r="X129" s="7">
        <f>IF($AD129="","",SUMIFS('Per Line'!$AB$2:$AB$3001,'Per Line'!$E$2:$E$3001,$B129,'Per Line'!$AP$2:$AP$3001,1,'Per Line'!$AQ$2:$AQ$3001,0))</f>
        <v/>
      </c>
      <c r="Y129" s="7">
        <f>IF($AD129="","",X129*W129)</f>
        <v/>
      </c>
      <c r="Z129" s="7">
        <f>IF($AD129="","",Y129+V129)</f>
        <v/>
      </c>
      <c r="AA129" s="7">
        <f>IF($AD129="","",AB129-Z129)</f>
        <v/>
      </c>
      <c r="AB129" s="7">
        <f>IF($AD129="","",U129+X129+S129)</f>
        <v/>
      </c>
      <c r="AC129" s="7">
        <f>IF($AD129="","",AB129-Z129-P129)</f>
        <v/>
      </c>
      <c r="AD129" s="13">
        <f>IF(ROWS($AD$2:$AD129)&lt;=MAX('Per Line'!$AO$2:$AO$3001),MATCH(ROWS($AD$2:$AD129),'Per Line'!$AO$2:$AO$3001,0),"")</f>
        <v/>
      </c>
      <c r="AE129" s="14">
        <f>IF($AD129="","",P129-O129*AB129/100)</f>
        <v/>
      </c>
    </row>
    <row r="130">
      <c r="A130" s="12" t="n"/>
      <c r="B130">
        <f>IF($AD130="","",INDEX('Per Line'!$E$2:$E$3001,$AD130)&amp;"")</f>
        <v/>
      </c>
      <c r="C130">
        <f>IF($AD130="","",INDEX('Per Line'!$A$2:$A$3001,$AD130)&amp;"")</f>
        <v/>
      </c>
      <c r="D130">
        <f>IF($AD130="","",INDEX('Per Line'!$C$2:$C$3001,$AD130)&amp;"")</f>
        <v/>
      </c>
      <c r="E130">
        <f>IF($AD130="","",INDEX('Per Line'!$B$2:$B$3001,$AD130))</f>
        <v/>
      </c>
      <c r="F130">
        <f>IF($AD130="","",INDEX('Per Line'!$D$2:$D$3001,$AD130)&amp;"")</f>
        <v/>
      </c>
      <c r="G130" s="11">
        <f>IF($AD130="","",INDEX('Per Line'!$G$2:$G$3001,$AD130))</f>
        <v/>
      </c>
      <c r="H130">
        <f>IF($AD130="","",INDEX('Per Line'!$J$2:$J$3001,$AD130)&amp;"")</f>
        <v/>
      </c>
      <c r="I130">
        <f>IF($AD130="","",INDEX('Per Line'!$H$2:$H$3001,$AD130)&amp;"")</f>
        <v/>
      </c>
      <c r="J130">
        <f>IF($AD130="","",INDEX('Per Line'!$F$2:$F$3001,$AD130)&amp;"")</f>
        <v/>
      </c>
      <c r="K130">
        <f>IF($AD130="","",INDEX('Per Line'!$K$2:$K$3001,$AD130)&amp;"")</f>
        <v/>
      </c>
      <c r="L130">
        <f>IF($AD130="","",INDEX('Per Line'!$L$2:$L$3001,$AD130)&amp;"")</f>
        <v/>
      </c>
      <c r="M130">
        <f>IF($AD130="","",INDEX('Per Line'!$M$2:$M$3001,$AD130)&amp;"")</f>
        <v/>
      </c>
      <c r="N130">
        <f>IF($AD130="","",INDEX('Per Line'!$AC$2:$AC$3001,$AD130)&amp;"")</f>
        <v/>
      </c>
      <c r="O130">
        <f>IF($AD130="","",INDEX('Per Line'!$P$2:$P$3001,$AD130))</f>
        <v/>
      </c>
      <c r="P130" s="7">
        <f>IF($AD130="","",IF(AND(ISNUMBER(Q130),Q130&gt;0,AB130&gt;Q130),O130*Q130/100+(AB130-Q130),O130*AB130/100))</f>
        <v/>
      </c>
      <c r="Q130">
        <f>IF($AD130="","",INDEX('Per Line'!$AG$2:$AG$3001,$AD130))</f>
        <v/>
      </c>
      <c r="R130">
        <f>IF($AD130="","",IF(AND(ISNUMBER(Q130),Q130&gt;0),AB130&gt;Q130,FALSE))</f>
        <v/>
      </c>
      <c r="S130" s="7">
        <f>IF($AD130="","",SUMIFS('Per Line'!$AB$2:$AB$3001,'Per Line'!$E$2:$E$3001,$B130,'Per Line'!$AQ$2:$AQ$3001,1))</f>
        <v/>
      </c>
      <c r="T130">
        <f>IF($AD130="","",Settings!$C$7)</f>
        <v/>
      </c>
      <c r="U130" s="7">
        <f>IF($AD130="","",SUMIFS('Per Line'!$AB$2:$AB$3001,'Per Line'!$E$2:$E$3001,$B130,'Per Line'!$AP$2:$AP$3001,0,'Per Line'!$AQ$2:$AQ$3001,0))</f>
        <v/>
      </c>
      <c r="V130" s="7">
        <f>IF($AD130="","",U130*T130)</f>
        <v/>
      </c>
      <c r="W130">
        <f>IF($AD130="","",Settings!$C$6)</f>
        <v/>
      </c>
      <c r="X130" s="7">
        <f>IF($AD130="","",SUMIFS('Per Line'!$AB$2:$AB$3001,'Per Line'!$E$2:$E$3001,$B130,'Per Line'!$AP$2:$AP$3001,1,'Per Line'!$AQ$2:$AQ$3001,0))</f>
        <v/>
      </c>
      <c r="Y130" s="7">
        <f>IF($AD130="","",X130*W130)</f>
        <v/>
      </c>
      <c r="Z130" s="7">
        <f>IF($AD130="","",Y130+V130)</f>
        <v/>
      </c>
      <c r="AA130" s="7">
        <f>IF($AD130="","",AB130-Z130)</f>
        <v/>
      </c>
      <c r="AB130" s="7">
        <f>IF($AD130="","",U130+X130+S130)</f>
        <v/>
      </c>
      <c r="AC130" s="7">
        <f>IF($AD130="","",AB130-Z130-P130)</f>
        <v/>
      </c>
      <c r="AD130" s="13">
        <f>IF(ROWS($AD$2:$AD130)&lt;=MAX('Per Line'!$AO$2:$AO$3001),MATCH(ROWS($AD$2:$AD130),'Per Line'!$AO$2:$AO$3001,0),"")</f>
        <v/>
      </c>
      <c r="AE130" s="14">
        <f>IF($AD130="","",P130-O130*AB130/100)</f>
        <v/>
      </c>
    </row>
    <row r="131">
      <c r="A131" s="12" t="n"/>
      <c r="B131">
        <f>IF($AD131="","",INDEX('Per Line'!$E$2:$E$3001,$AD131)&amp;"")</f>
        <v/>
      </c>
      <c r="C131">
        <f>IF($AD131="","",INDEX('Per Line'!$A$2:$A$3001,$AD131)&amp;"")</f>
        <v/>
      </c>
      <c r="D131">
        <f>IF($AD131="","",INDEX('Per Line'!$C$2:$C$3001,$AD131)&amp;"")</f>
        <v/>
      </c>
      <c r="E131">
        <f>IF($AD131="","",INDEX('Per Line'!$B$2:$B$3001,$AD131))</f>
        <v/>
      </c>
      <c r="F131">
        <f>IF($AD131="","",INDEX('Per Line'!$D$2:$D$3001,$AD131)&amp;"")</f>
        <v/>
      </c>
      <c r="G131" s="11">
        <f>IF($AD131="","",INDEX('Per Line'!$G$2:$G$3001,$AD131))</f>
        <v/>
      </c>
      <c r="H131">
        <f>IF($AD131="","",INDEX('Per Line'!$J$2:$J$3001,$AD131)&amp;"")</f>
        <v/>
      </c>
      <c r="I131">
        <f>IF($AD131="","",INDEX('Per Line'!$H$2:$H$3001,$AD131)&amp;"")</f>
        <v/>
      </c>
      <c r="J131">
        <f>IF($AD131="","",INDEX('Per Line'!$F$2:$F$3001,$AD131)&amp;"")</f>
        <v/>
      </c>
      <c r="K131">
        <f>IF($AD131="","",INDEX('Per Line'!$K$2:$K$3001,$AD131)&amp;"")</f>
        <v/>
      </c>
      <c r="L131">
        <f>IF($AD131="","",INDEX('Per Line'!$L$2:$L$3001,$AD131)&amp;"")</f>
        <v/>
      </c>
      <c r="M131">
        <f>IF($AD131="","",INDEX('Per Line'!$M$2:$M$3001,$AD131)&amp;"")</f>
        <v/>
      </c>
      <c r="N131">
        <f>IF($AD131="","",INDEX('Per Line'!$AC$2:$AC$3001,$AD131)&amp;"")</f>
        <v/>
      </c>
      <c r="O131">
        <f>IF($AD131="","",INDEX('Per Line'!$P$2:$P$3001,$AD131))</f>
        <v/>
      </c>
      <c r="P131" s="7">
        <f>IF($AD131="","",IF(AND(ISNUMBER(Q131),Q131&gt;0,AB131&gt;Q131),O131*Q131/100+(AB131-Q131),O131*AB131/100))</f>
        <v/>
      </c>
      <c r="Q131">
        <f>IF($AD131="","",INDEX('Per Line'!$AG$2:$AG$3001,$AD131))</f>
        <v/>
      </c>
      <c r="R131">
        <f>IF($AD131="","",IF(AND(ISNUMBER(Q131),Q131&gt;0),AB131&gt;Q131,FALSE))</f>
        <v/>
      </c>
      <c r="S131" s="7">
        <f>IF($AD131="","",SUMIFS('Per Line'!$AB$2:$AB$3001,'Per Line'!$E$2:$E$3001,$B131,'Per Line'!$AQ$2:$AQ$3001,1))</f>
        <v/>
      </c>
      <c r="T131">
        <f>IF($AD131="","",Settings!$C$7)</f>
        <v/>
      </c>
      <c r="U131" s="7">
        <f>IF($AD131="","",SUMIFS('Per Line'!$AB$2:$AB$3001,'Per Line'!$E$2:$E$3001,$B131,'Per Line'!$AP$2:$AP$3001,0,'Per Line'!$AQ$2:$AQ$3001,0))</f>
        <v/>
      </c>
      <c r="V131" s="7">
        <f>IF($AD131="","",U131*T131)</f>
        <v/>
      </c>
      <c r="W131">
        <f>IF($AD131="","",Settings!$C$6)</f>
        <v/>
      </c>
      <c r="X131" s="7">
        <f>IF($AD131="","",SUMIFS('Per Line'!$AB$2:$AB$3001,'Per Line'!$E$2:$E$3001,$B131,'Per Line'!$AP$2:$AP$3001,1,'Per Line'!$AQ$2:$AQ$3001,0))</f>
        <v/>
      </c>
      <c r="Y131" s="7">
        <f>IF($AD131="","",X131*W131)</f>
        <v/>
      </c>
      <c r="Z131" s="7">
        <f>IF($AD131="","",Y131+V131)</f>
        <v/>
      </c>
      <c r="AA131" s="7">
        <f>IF($AD131="","",AB131-Z131)</f>
        <v/>
      </c>
      <c r="AB131" s="7">
        <f>IF($AD131="","",U131+X131+S131)</f>
        <v/>
      </c>
      <c r="AC131" s="7">
        <f>IF($AD131="","",AB131-Z131-P131)</f>
        <v/>
      </c>
      <c r="AD131" s="13">
        <f>IF(ROWS($AD$2:$AD131)&lt;=MAX('Per Line'!$AO$2:$AO$3001),MATCH(ROWS($AD$2:$AD131),'Per Line'!$AO$2:$AO$3001,0),"")</f>
        <v/>
      </c>
      <c r="AE131" s="14">
        <f>IF($AD131="","",P131-O131*AB131/100)</f>
        <v/>
      </c>
    </row>
    <row r="132">
      <c r="A132" s="12" t="n"/>
      <c r="B132">
        <f>IF($AD132="","",INDEX('Per Line'!$E$2:$E$3001,$AD132)&amp;"")</f>
        <v/>
      </c>
      <c r="C132">
        <f>IF($AD132="","",INDEX('Per Line'!$A$2:$A$3001,$AD132)&amp;"")</f>
        <v/>
      </c>
      <c r="D132">
        <f>IF($AD132="","",INDEX('Per Line'!$C$2:$C$3001,$AD132)&amp;"")</f>
        <v/>
      </c>
      <c r="E132">
        <f>IF($AD132="","",INDEX('Per Line'!$B$2:$B$3001,$AD132))</f>
        <v/>
      </c>
      <c r="F132">
        <f>IF($AD132="","",INDEX('Per Line'!$D$2:$D$3001,$AD132)&amp;"")</f>
        <v/>
      </c>
      <c r="G132" s="11">
        <f>IF($AD132="","",INDEX('Per Line'!$G$2:$G$3001,$AD132))</f>
        <v/>
      </c>
      <c r="H132">
        <f>IF($AD132="","",INDEX('Per Line'!$J$2:$J$3001,$AD132)&amp;"")</f>
        <v/>
      </c>
      <c r="I132">
        <f>IF($AD132="","",INDEX('Per Line'!$H$2:$H$3001,$AD132)&amp;"")</f>
        <v/>
      </c>
      <c r="J132">
        <f>IF($AD132="","",INDEX('Per Line'!$F$2:$F$3001,$AD132)&amp;"")</f>
        <v/>
      </c>
      <c r="K132">
        <f>IF($AD132="","",INDEX('Per Line'!$K$2:$K$3001,$AD132)&amp;"")</f>
        <v/>
      </c>
      <c r="L132">
        <f>IF($AD132="","",INDEX('Per Line'!$L$2:$L$3001,$AD132)&amp;"")</f>
        <v/>
      </c>
      <c r="M132">
        <f>IF($AD132="","",INDEX('Per Line'!$M$2:$M$3001,$AD132)&amp;"")</f>
        <v/>
      </c>
      <c r="N132">
        <f>IF($AD132="","",INDEX('Per Line'!$AC$2:$AC$3001,$AD132)&amp;"")</f>
        <v/>
      </c>
      <c r="O132">
        <f>IF($AD132="","",INDEX('Per Line'!$P$2:$P$3001,$AD132))</f>
        <v/>
      </c>
      <c r="P132" s="7">
        <f>IF($AD132="","",IF(AND(ISNUMBER(Q132),Q132&gt;0,AB132&gt;Q132),O132*Q132/100+(AB132-Q132),O132*AB132/100))</f>
        <v/>
      </c>
      <c r="Q132">
        <f>IF($AD132="","",INDEX('Per Line'!$AG$2:$AG$3001,$AD132))</f>
        <v/>
      </c>
      <c r="R132">
        <f>IF($AD132="","",IF(AND(ISNUMBER(Q132),Q132&gt;0),AB132&gt;Q132,FALSE))</f>
        <v/>
      </c>
      <c r="S132" s="7">
        <f>IF($AD132="","",SUMIFS('Per Line'!$AB$2:$AB$3001,'Per Line'!$E$2:$E$3001,$B132,'Per Line'!$AQ$2:$AQ$3001,1))</f>
        <v/>
      </c>
      <c r="T132">
        <f>IF($AD132="","",Settings!$C$7)</f>
        <v/>
      </c>
      <c r="U132" s="7">
        <f>IF($AD132="","",SUMIFS('Per Line'!$AB$2:$AB$3001,'Per Line'!$E$2:$E$3001,$B132,'Per Line'!$AP$2:$AP$3001,0,'Per Line'!$AQ$2:$AQ$3001,0))</f>
        <v/>
      </c>
      <c r="V132" s="7">
        <f>IF($AD132="","",U132*T132)</f>
        <v/>
      </c>
      <c r="W132">
        <f>IF($AD132="","",Settings!$C$6)</f>
        <v/>
      </c>
      <c r="X132" s="7">
        <f>IF($AD132="","",SUMIFS('Per Line'!$AB$2:$AB$3001,'Per Line'!$E$2:$E$3001,$B132,'Per Line'!$AP$2:$AP$3001,1,'Per Line'!$AQ$2:$AQ$3001,0))</f>
        <v/>
      </c>
      <c r="Y132" s="7">
        <f>IF($AD132="","",X132*W132)</f>
        <v/>
      </c>
      <c r="Z132" s="7">
        <f>IF($AD132="","",Y132+V132)</f>
        <v/>
      </c>
      <c r="AA132" s="7">
        <f>IF($AD132="","",AB132-Z132)</f>
        <v/>
      </c>
      <c r="AB132" s="7">
        <f>IF($AD132="","",U132+X132+S132)</f>
        <v/>
      </c>
      <c r="AC132" s="7">
        <f>IF($AD132="","",AB132-Z132-P132)</f>
        <v/>
      </c>
      <c r="AD132" s="13">
        <f>IF(ROWS($AD$2:$AD132)&lt;=MAX('Per Line'!$AO$2:$AO$3001),MATCH(ROWS($AD$2:$AD132),'Per Line'!$AO$2:$AO$3001,0),"")</f>
        <v/>
      </c>
      <c r="AE132" s="14">
        <f>IF($AD132="","",P132-O132*AB132/100)</f>
        <v/>
      </c>
    </row>
    <row r="133">
      <c r="A133" s="12" t="n"/>
      <c r="B133">
        <f>IF($AD133="","",INDEX('Per Line'!$E$2:$E$3001,$AD133)&amp;"")</f>
        <v/>
      </c>
      <c r="C133">
        <f>IF($AD133="","",INDEX('Per Line'!$A$2:$A$3001,$AD133)&amp;"")</f>
        <v/>
      </c>
      <c r="D133">
        <f>IF($AD133="","",INDEX('Per Line'!$C$2:$C$3001,$AD133)&amp;"")</f>
        <v/>
      </c>
      <c r="E133">
        <f>IF($AD133="","",INDEX('Per Line'!$B$2:$B$3001,$AD133))</f>
        <v/>
      </c>
      <c r="F133">
        <f>IF($AD133="","",INDEX('Per Line'!$D$2:$D$3001,$AD133)&amp;"")</f>
        <v/>
      </c>
      <c r="G133" s="11">
        <f>IF($AD133="","",INDEX('Per Line'!$G$2:$G$3001,$AD133))</f>
        <v/>
      </c>
      <c r="H133">
        <f>IF($AD133="","",INDEX('Per Line'!$J$2:$J$3001,$AD133)&amp;"")</f>
        <v/>
      </c>
      <c r="I133">
        <f>IF($AD133="","",INDEX('Per Line'!$H$2:$H$3001,$AD133)&amp;"")</f>
        <v/>
      </c>
      <c r="J133">
        <f>IF($AD133="","",INDEX('Per Line'!$F$2:$F$3001,$AD133)&amp;"")</f>
        <v/>
      </c>
      <c r="K133">
        <f>IF($AD133="","",INDEX('Per Line'!$K$2:$K$3001,$AD133)&amp;"")</f>
        <v/>
      </c>
      <c r="L133">
        <f>IF($AD133="","",INDEX('Per Line'!$L$2:$L$3001,$AD133)&amp;"")</f>
        <v/>
      </c>
      <c r="M133">
        <f>IF($AD133="","",INDEX('Per Line'!$M$2:$M$3001,$AD133)&amp;"")</f>
        <v/>
      </c>
      <c r="N133">
        <f>IF($AD133="","",INDEX('Per Line'!$AC$2:$AC$3001,$AD133)&amp;"")</f>
        <v/>
      </c>
      <c r="O133">
        <f>IF($AD133="","",INDEX('Per Line'!$P$2:$P$3001,$AD133))</f>
        <v/>
      </c>
      <c r="P133" s="7">
        <f>IF($AD133="","",IF(AND(ISNUMBER(Q133),Q133&gt;0,AB133&gt;Q133),O133*Q133/100+(AB133-Q133),O133*AB133/100))</f>
        <v/>
      </c>
      <c r="Q133">
        <f>IF($AD133="","",INDEX('Per Line'!$AG$2:$AG$3001,$AD133))</f>
        <v/>
      </c>
      <c r="R133">
        <f>IF($AD133="","",IF(AND(ISNUMBER(Q133),Q133&gt;0),AB133&gt;Q133,FALSE))</f>
        <v/>
      </c>
      <c r="S133" s="7">
        <f>IF($AD133="","",SUMIFS('Per Line'!$AB$2:$AB$3001,'Per Line'!$E$2:$E$3001,$B133,'Per Line'!$AQ$2:$AQ$3001,1))</f>
        <v/>
      </c>
      <c r="T133">
        <f>IF($AD133="","",Settings!$C$7)</f>
        <v/>
      </c>
      <c r="U133" s="7">
        <f>IF($AD133="","",SUMIFS('Per Line'!$AB$2:$AB$3001,'Per Line'!$E$2:$E$3001,$B133,'Per Line'!$AP$2:$AP$3001,0,'Per Line'!$AQ$2:$AQ$3001,0))</f>
        <v/>
      </c>
      <c r="V133" s="7">
        <f>IF($AD133="","",U133*T133)</f>
        <v/>
      </c>
      <c r="W133">
        <f>IF($AD133="","",Settings!$C$6)</f>
        <v/>
      </c>
      <c r="X133" s="7">
        <f>IF($AD133="","",SUMIFS('Per Line'!$AB$2:$AB$3001,'Per Line'!$E$2:$E$3001,$B133,'Per Line'!$AP$2:$AP$3001,1,'Per Line'!$AQ$2:$AQ$3001,0))</f>
        <v/>
      </c>
      <c r="Y133" s="7">
        <f>IF($AD133="","",X133*W133)</f>
        <v/>
      </c>
      <c r="Z133" s="7">
        <f>IF($AD133="","",Y133+V133)</f>
        <v/>
      </c>
      <c r="AA133" s="7">
        <f>IF($AD133="","",AB133-Z133)</f>
        <v/>
      </c>
      <c r="AB133" s="7">
        <f>IF($AD133="","",U133+X133+S133)</f>
        <v/>
      </c>
      <c r="AC133" s="7">
        <f>IF($AD133="","",AB133-Z133-P133)</f>
        <v/>
      </c>
      <c r="AD133" s="13">
        <f>IF(ROWS($AD$2:$AD133)&lt;=MAX('Per Line'!$AO$2:$AO$3001),MATCH(ROWS($AD$2:$AD133),'Per Line'!$AO$2:$AO$3001,0),"")</f>
        <v/>
      </c>
      <c r="AE133" s="14">
        <f>IF($AD133="","",P133-O133*AB133/100)</f>
        <v/>
      </c>
    </row>
    <row r="134">
      <c r="A134" s="12" t="n"/>
      <c r="B134">
        <f>IF($AD134="","",INDEX('Per Line'!$E$2:$E$3001,$AD134)&amp;"")</f>
        <v/>
      </c>
      <c r="C134">
        <f>IF($AD134="","",INDEX('Per Line'!$A$2:$A$3001,$AD134)&amp;"")</f>
        <v/>
      </c>
      <c r="D134">
        <f>IF($AD134="","",INDEX('Per Line'!$C$2:$C$3001,$AD134)&amp;"")</f>
        <v/>
      </c>
      <c r="E134">
        <f>IF($AD134="","",INDEX('Per Line'!$B$2:$B$3001,$AD134))</f>
        <v/>
      </c>
      <c r="F134">
        <f>IF($AD134="","",INDEX('Per Line'!$D$2:$D$3001,$AD134)&amp;"")</f>
        <v/>
      </c>
      <c r="G134" s="11">
        <f>IF($AD134="","",INDEX('Per Line'!$G$2:$G$3001,$AD134))</f>
        <v/>
      </c>
      <c r="H134">
        <f>IF($AD134="","",INDEX('Per Line'!$J$2:$J$3001,$AD134)&amp;"")</f>
        <v/>
      </c>
      <c r="I134">
        <f>IF($AD134="","",INDEX('Per Line'!$H$2:$H$3001,$AD134)&amp;"")</f>
        <v/>
      </c>
      <c r="J134">
        <f>IF($AD134="","",INDEX('Per Line'!$F$2:$F$3001,$AD134)&amp;"")</f>
        <v/>
      </c>
      <c r="K134">
        <f>IF($AD134="","",INDEX('Per Line'!$K$2:$K$3001,$AD134)&amp;"")</f>
        <v/>
      </c>
      <c r="L134">
        <f>IF($AD134="","",INDEX('Per Line'!$L$2:$L$3001,$AD134)&amp;"")</f>
        <v/>
      </c>
      <c r="M134">
        <f>IF($AD134="","",INDEX('Per Line'!$M$2:$M$3001,$AD134)&amp;"")</f>
        <v/>
      </c>
      <c r="N134">
        <f>IF($AD134="","",INDEX('Per Line'!$AC$2:$AC$3001,$AD134)&amp;"")</f>
        <v/>
      </c>
      <c r="O134">
        <f>IF($AD134="","",INDEX('Per Line'!$P$2:$P$3001,$AD134))</f>
        <v/>
      </c>
      <c r="P134" s="7">
        <f>IF($AD134="","",IF(AND(ISNUMBER(Q134),Q134&gt;0,AB134&gt;Q134),O134*Q134/100+(AB134-Q134),O134*AB134/100))</f>
        <v/>
      </c>
      <c r="Q134">
        <f>IF($AD134="","",INDEX('Per Line'!$AG$2:$AG$3001,$AD134))</f>
        <v/>
      </c>
      <c r="R134">
        <f>IF($AD134="","",IF(AND(ISNUMBER(Q134),Q134&gt;0),AB134&gt;Q134,FALSE))</f>
        <v/>
      </c>
      <c r="S134" s="7">
        <f>IF($AD134="","",SUMIFS('Per Line'!$AB$2:$AB$3001,'Per Line'!$E$2:$E$3001,$B134,'Per Line'!$AQ$2:$AQ$3001,1))</f>
        <v/>
      </c>
      <c r="T134">
        <f>IF($AD134="","",Settings!$C$7)</f>
        <v/>
      </c>
      <c r="U134" s="7">
        <f>IF($AD134="","",SUMIFS('Per Line'!$AB$2:$AB$3001,'Per Line'!$E$2:$E$3001,$B134,'Per Line'!$AP$2:$AP$3001,0,'Per Line'!$AQ$2:$AQ$3001,0))</f>
        <v/>
      </c>
      <c r="V134" s="7">
        <f>IF($AD134="","",U134*T134)</f>
        <v/>
      </c>
      <c r="W134">
        <f>IF($AD134="","",Settings!$C$6)</f>
        <v/>
      </c>
      <c r="X134" s="7">
        <f>IF($AD134="","",SUMIFS('Per Line'!$AB$2:$AB$3001,'Per Line'!$E$2:$E$3001,$B134,'Per Line'!$AP$2:$AP$3001,1,'Per Line'!$AQ$2:$AQ$3001,0))</f>
        <v/>
      </c>
      <c r="Y134" s="7">
        <f>IF($AD134="","",X134*W134)</f>
        <v/>
      </c>
      <c r="Z134" s="7">
        <f>IF($AD134="","",Y134+V134)</f>
        <v/>
      </c>
      <c r="AA134" s="7">
        <f>IF($AD134="","",AB134-Z134)</f>
        <v/>
      </c>
      <c r="AB134" s="7">
        <f>IF($AD134="","",U134+X134+S134)</f>
        <v/>
      </c>
      <c r="AC134" s="7">
        <f>IF($AD134="","",AB134-Z134-P134)</f>
        <v/>
      </c>
      <c r="AD134" s="13">
        <f>IF(ROWS($AD$2:$AD134)&lt;=MAX('Per Line'!$AO$2:$AO$3001),MATCH(ROWS($AD$2:$AD134),'Per Line'!$AO$2:$AO$3001,0),"")</f>
        <v/>
      </c>
      <c r="AE134" s="14">
        <f>IF($AD134="","",P134-O134*AB134/100)</f>
        <v/>
      </c>
    </row>
    <row r="135">
      <c r="A135" s="12" t="n"/>
      <c r="B135">
        <f>IF($AD135="","",INDEX('Per Line'!$E$2:$E$3001,$AD135)&amp;"")</f>
        <v/>
      </c>
      <c r="C135">
        <f>IF($AD135="","",INDEX('Per Line'!$A$2:$A$3001,$AD135)&amp;"")</f>
        <v/>
      </c>
      <c r="D135">
        <f>IF($AD135="","",INDEX('Per Line'!$C$2:$C$3001,$AD135)&amp;"")</f>
        <v/>
      </c>
      <c r="E135">
        <f>IF($AD135="","",INDEX('Per Line'!$B$2:$B$3001,$AD135))</f>
        <v/>
      </c>
      <c r="F135">
        <f>IF($AD135="","",INDEX('Per Line'!$D$2:$D$3001,$AD135)&amp;"")</f>
        <v/>
      </c>
      <c r="G135" s="11">
        <f>IF($AD135="","",INDEX('Per Line'!$G$2:$G$3001,$AD135))</f>
        <v/>
      </c>
      <c r="H135">
        <f>IF($AD135="","",INDEX('Per Line'!$J$2:$J$3001,$AD135)&amp;"")</f>
        <v/>
      </c>
      <c r="I135">
        <f>IF($AD135="","",INDEX('Per Line'!$H$2:$H$3001,$AD135)&amp;"")</f>
        <v/>
      </c>
      <c r="J135">
        <f>IF($AD135="","",INDEX('Per Line'!$F$2:$F$3001,$AD135)&amp;"")</f>
        <v/>
      </c>
      <c r="K135">
        <f>IF($AD135="","",INDEX('Per Line'!$K$2:$K$3001,$AD135)&amp;"")</f>
        <v/>
      </c>
      <c r="L135">
        <f>IF($AD135="","",INDEX('Per Line'!$L$2:$L$3001,$AD135)&amp;"")</f>
        <v/>
      </c>
      <c r="M135">
        <f>IF($AD135="","",INDEX('Per Line'!$M$2:$M$3001,$AD135)&amp;"")</f>
        <v/>
      </c>
      <c r="N135">
        <f>IF($AD135="","",INDEX('Per Line'!$AC$2:$AC$3001,$AD135)&amp;"")</f>
        <v/>
      </c>
      <c r="O135">
        <f>IF($AD135="","",INDEX('Per Line'!$P$2:$P$3001,$AD135))</f>
        <v/>
      </c>
      <c r="P135" s="7">
        <f>IF($AD135="","",IF(AND(ISNUMBER(Q135),Q135&gt;0,AB135&gt;Q135),O135*Q135/100+(AB135-Q135),O135*AB135/100))</f>
        <v/>
      </c>
      <c r="Q135">
        <f>IF($AD135="","",INDEX('Per Line'!$AG$2:$AG$3001,$AD135))</f>
        <v/>
      </c>
      <c r="R135">
        <f>IF($AD135="","",IF(AND(ISNUMBER(Q135),Q135&gt;0),AB135&gt;Q135,FALSE))</f>
        <v/>
      </c>
      <c r="S135" s="7">
        <f>IF($AD135="","",SUMIFS('Per Line'!$AB$2:$AB$3001,'Per Line'!$E$2:$E$3001,$B135,'Per Line'!$AQ$2:$AQ$3001,1))</f>
        <v/>
      </c>
      <c r="T135">
        <f>IF($AD135="","",Settings!$C$7)</f>
        <v/>
      </c>
      <c r="U135" s="7">
        <f>IF($AD135="","",SUMIFS('Per Line'!$AB$2:$AB$3001,'Per Line'!$E$2:$E$3001,$B135,'Per Line'!$AP$2:$AP$3001,0,'Per Line'!$AQ$2:$AQ$3001,0))</f>
        <v/>
      </c>
      <c r="V135" s="7">
        <f>IF($AD135="","",U135*T135)</f>
        <v/>
      </c>
      <c r="W135">
        <f>IF($AD135="","",Settings!$C$6)</f>
        <v/>
      </c>
      <c r="X135" s="7">
        <f>IF($AD135="","",SUMIFS('Per Line'!$AB$2:$AB$3001,'Per Line'!$E$2:$E$3001,$B135,'Per Line'!$AP$2:$AP$3001,1,'Per Line'!$AQ$2:$AQ$3001,0))</f>
        <v/>
      </c>
      <c r="Y135" s="7">
        <f>IF($AD135="","",X135*W135)</f>
        <v/>
      </c>
      <c r="Z135" s="7">
        <f>IF($AD135="","",Y135+V135)</f>
        <v/>
      </c>
      <c r="AA135" s="7">
        <f>IF($AD135="","",AB135-Z135)</f>
        <v/>
      </c>
      <c r="AB135" s="7">
        <f>IF($AD135="","",U135+X135+S135)</f>
        <v/>
      </c>
      <c r="AC135" s="7">
        <f>IF($AD135="","",AB135-Z135-P135)</f>
        <v/>
      </c>
      <c r="AD135" s="13">
        <f>IF(ROWS($AD$2:$AD135)&lt;=MAX('Per Line'!$AO$2:$AO$3001),MATCH(ROWS($AD$2:$AD135),'Per Line'!$AO$2:$AO$3001,0),"")</f>
        <v/>
      </c>
      <c r="AE135" s="14">
        <f>IF($AD135="","",P135-O135*AB135/100)</f>
        <v/>
      </c>
    </row>
    <row r="136">
      <c r="A136" s="12" t="n"/>
      <c r="B136">
        <f>IF($AD136="","",INDEX('Per Line'!$E$2:$E$3001,$AD136)&amp;"")</f>
        <v/>
      </c>
      <c r="C136">
        <f>IF($AD136="","",INDEX('Per Line'!$A$2:$A$3001,$AD136)&amp;"")</f>
        <v/>
      </c>
      <c r="D136">
        <f>IF($AD136="","",INDEX('Per Line'!$C$2:$C$3001,$AD136)&amp;"")</f>
        <v/>
      </c>
      <c r="E136">
        <f>IF($AD136="","",INDEX('Per Line'!$B$2:$B$3001,$AD136))</f>
        <v/>
      </c>
      <c r="F136">
        <f>IF($AD136="","",INDEX('Per Line'!$D$2:$D$3001,$AD136)&amp;"")</f>
        <v/>
      </c>
      <c r="G136" s="11">
        <f>IF($AD136="","",INDEX('Per Line'!$G$2:$G$3001,$AD136))</f>
        <v/>
      </c>
      <c r="H136">
        <f>IF($AD136="","",INDEX('Per Line'!$J$2:$J$3001,$AD136)&amp;"")</f>
        <v/>
      </c>
      <c r="I136">
        <f>IF($AD136="","",INDEX('Per Line'!$H$2:$H$3001,$AD136)&amp;"")</f>
        <v/>
      </c>
      <c r="J136">
        <f>IF($AD136="","",INDEX('Per Line'!$F$2:$F$3001,$AD136)&amp;"")</f>
        <v/>
      </c>
      <c r="K136">
        <f>IF($AD136="","",INDEX('Per Line'!$K$2:$K$3001,$AD136)&amp;"")</f>
        <v/>
      </c>
      <c r="L136">
        <f>IF($AD136="","",INDEX('Per Line'!$L$2:$L$3001,$AD136)&amp;"")</f>
        <v/>
      </c>
      <c r="M136">
        <f>IF($AD136="","",INDEX('Per Line'!$M$2:$M$3001,$AD136)&amp;"")</f>
        <v/>
      </c>
      <c r="N136">
        <f>IF($AD136="","",INDEX('Per Line'!$AC$2:$AC$3001,$AD136)&amp;"")</f>
        <v/>
      </c>
      <c r="O136">
        <f>IF($AD136="","",INDEX('Per Line'!$P$2:$P$3001,$AD136))</f>
        <v/>
      </c>
      <c r="P136" s="7">
        <f>IF($AD136="","",IF(AND(ISNUMBER(Q136),Q136&gt;0,AB136&gt;Q136),O136*Q136/100+(AB136-Q136),O136*AB136/100))</f>
        <v/>
      </c>
      <c r="Q136">
        <f>IF($AD136="","",INDEX('Per Line'!$AG$2:$AG$3001,$AD136))</f>
        <v/>
      </c>
      <c r="R136">
        <f>IF($AD136="","",IF(AND(ISNUMBER(Q136),Q136&gt;0),AB136&gt;Q136,FALSE))</f>
        <v/>
      </c>
      <c r="S136" s="7">
        <f>IF($AD136="","",SUMIFS('Per Line'!$AB$2:$AB$3001,'Per Line'!$E$2:$E$3001,$B136,'Per Line'!$AQ$2:$AQ$3001,1))</f>
        <v/>
      </c>
      <c r="T136">
        <f>IF($AD136="","",Settings!$C$7)</f>
        <v/>
      </c>
      <c r="U136" s="7">
        <f>IF($AD136="","",SUMIFS('Per Line'!$AB$2:$AB$3001,'Per Line'!$E$2:$E$3001,$B136,'Per Line'!$AP$2:$AP$3001,0,'Per Line'!$AQ$2:$AQ$3001,0))</f>
        <v/>
      </c>
      <c r="V136" s="7">
        <f>IF($AD136="","",U136*T136)</f>
        <v/>
      </c>
      <c r="W136">
        <f>IF($AD136="","",Settings!$C$6)</f>
        <v/>
      </c>
      <c r="X136" s="7">
        <f>IF($AD136="","",SUMIFS('Per Line'!$AB$2:$AB$3001,'Per Line'!$E$2:$E$3001,$B136,'Per Line'!$AP$2:$AP$3001,1,'Per Line'!$AQ$2:$AQ$3001,0))</f>
        <v/>
      </c>
      <c r="Y136" s="7">
        <f>IF($AD136="","",X136*W136)</f>
        <v/>
      </c>
      <c r="Z136" s="7">
        <f>IF($AD136="","",Y136+V136)</f>
        <v/>
      </c>
      <c r="AA136" s="7">
        <f>IF($AD136="","",AB136-Z136)</f>
        <v/>
      </c>
      <c r="AB136" s="7">
        <f>IF($AD136="","",U136+X136+S136)</f>
        <v/>
      </c>
      <c r="AC136" s="7">
        <f>IF($AD136="","",AB136-Z136-P136)</f>
        <v/>
      </c>
      <c r="AD136" s="13">
        <f>IF(ROWS($AD$2:$AD136)&lt;=MAX('Per Line'!$AO$2:$AO$3001),MATCH(ROWS($AD$2:$AD136),'Per Line'!$AO$2:$AO$3001,0),"")</f>
        <v/>
      </c>
      <c r="AE136" s="14">
        <f>IF($AD136="","",P136-O136*AB136/100)</f>
        <v/>
      </c>
    </row>
    <row r="137">
      <c r="A137" s="12" t="n"/>
      <c r="B137">
        <f>IF($AD137="","",INDEX('Per Line'!$E$2:$E$3001,$AD137)&amp;"")</f>
        <v/>
      </c>
      <c r="C137">
        <f>IF($AD137="","",INDEX('Per Line'!$A$2:$A$3001,$AD137)&amp;"")</f>
        <v/>
      </c>
      <c r="D137">
        <f>IF($AD137="","",INDEX('Per Line'!$C$2:$C$3001,$AD137)&amp;"")</f>
        <v/>
      </c>
      <c r="E137">
        <f>IF($AD137="","",INDEX('Per Line'!$B$2:$B$3001,$AD137))</f>
        <v/>
      </c>
      <c r="F137">
        <f>IF($AD137="","",INDEX('Per Line'!$D$2:$D$3001,$AD137)&amp;"")</f>
        <v/>
      </c>
      <c r="G137" s="11">
        <f>IF($AD137="","",INDEX('Per Line'!$G$2:$G$3001,$AD137))</f>
        <v/>
      </c>
      <c r="H137">
        <f>IF($AD137="","",INDEX('Per Line'!$J$2:$J$3001,$AD137)&amp;"")</f>
        <v/>
      </c>
      <c r="I137">
        <f>IF($AD137="","",INDEX('Per Line'!$H$2:$H$3001,$AD137)&amp;"")</f>
        <v/>
      </c>
      <c r="J137">
        <f>IF($AD137="","",INDEX('Per Line'!$F$2:$F$3001,$AD137)&amp;"")</f>
        <v/>
      </c>
      <c r="K137">
        <f>IF($AD137="","",INDEX('Per Line'!$K$2:$K$3001,$AD137)&amp;"")</f>
        <v/>
      </c>
      <c r="L137">
        <f>IF($AD137="","",INDEX('Per Line'!$L$2:$L$3001,$AD137)&amp;"")</f>
        <v/>
      </c>
      <c r="M137">
        <f>IF($AD137="","",INDEX('Per Line'!$M$2:$M$3001,$AD137)&amp;"")</f>
        <v/>
      </c>
      <c r="N137">
        <f>IF($AD137="","",INDEX('Per Line'!$AC$2:$AC$3001,$AD137)&amp;"")</f>
        <v/>
      </c>
      <c r="O137">
        <f>IF($AD137="","",INDEX('Per Line'!$P$2:$P$3001,$AD137))</f>
        <v/>
      </c>
      <c r="P137" s="7">
        <f>IF($AD137="","",IF(AND(ISNUMBER(Q137),Q137&gt;0,AB137&gt;Q137),O137*Q137/100+(AB137-Q137),O137*AB137/100))</f>
        <v/>
      </c>
      <c r="Q137">
        <f>IF($AD137="","",INDEX('Per Line'!$AG$2:$AG$3001,$AD137))</f>
        <v/>
      </c>
      <c r="R137">
        <f>IF($AD137="","",IF(AND(ISNUMBER(Q137),Q137&gt;0),AB137&gt;Q137,FALSE))</f>
        <v/>
      </c>
      <c r="S137" s="7">
        <f>IF($AD137="","",SUMIFS('Per Line'!$AB$2:$AB$3001,'Per Line'!$E$2:$E$3001,$B137,'Per Line'!$AQ$2:$AQ$3001,1))</f>
        <v/>
      </c>
      <c r="T137">
        <f>IF($AD137="","",Settings!$C$7)</f>
        <v/>
      </c>
      <c r="U137" s="7">
        <f>IF($AD137="","",SUMIFS('Per Line'!$AB$2:$AB$3001,'Per Line'!$E$2:$E$3001,$B137,'Per Line'!$AP$2:$AP$3001,0,'Per Line'!$AQ$2:$AQ$3001,0))</f>
        <v/>
      </c>
      <c r="V137" s="7">
        <f>IF($AD137="","",U137*T137)</f>
        <v/>
      </c>
      <c r="W137">
        <f>IF($AD137="","",Settings!$C$6)</f>
        <v/>
      </c>
      <c r="X137" s="7">
        <f>IF($AD137="","",SUMIFS('Per Line'!$AB$2:$AB$3001,'Per Line'!$E$2:$E$3001,$B137,'Per Line'!$AP$2:$AP$3001,1,'Per Line'!$AQ$2:$AQ$3001,0))</f>
        <v/>
      </c>
      <c r="Y137" s="7">
        <f>IF($AD137="","",X137*W137)</f>
        <v/>
      </c>
      <c r="Z137" s="7">
        <f>IF($AD137="","",Y137+V137)</f>
        <v/>
      </c>
      <c r="AA137" s="7">
        <f>IF($AD137="","",AB137-Z137)</f>
        <v/>
      </c>
      <c r="AB137" s="7">
        <f>IF($AD137="","",U137+X137+S137)</f>
        <v/>
      </c>
      <c r="AC137" s="7">
        <f>IF($AD137="","",AB137-Z137-P137)</f>
        <v/>
      </c>
      <c r="AD137" s="13">
        <f>IF(ROWS($AD$2:$AD137)&lt;=MAX('Per Line'!$AO$2:$AO$3001),MATCH(ROWS($AD$2:$AD137),'Per Line'!$AO$2:$AO$3001,0),"")</f>
        <v/>
      </c>
      <c r="AE137" s="14">
        <f>IF($AD137="","",P137-O137*AB137/100)</f>
        <v/>
      </c>
    </row>
    <row r="138">
      <c r="A138" s="12" t="n"/>
      <c r="B138">
        <f>IF($AD138="","",INDEX('Per Line'!$E$2:$E$3001,$AD138)&amp;"")</f>
        <v/>
      </c>
      <c r="C138">
        <f>IF($AD138="","",INDEX('Per Line'!$A$2:$A$3001,$AD138)&amp;"")</f>
        <v/>
      </c>
      <c r="D138">
        <f>IF($AD138="","",INDEX('Per Line'!$C$2:$C$3001,$AD138)&amp;"")</f>
        <v/>
      </c>
      <c r="E138">
        <f>IF($AD138="","",INDEX('Per Line'!$B$2:$B$3001,$AD138))</f>
        <v/>
      </c>
      <c r="F138">
        <f>IF($AD138="","",INDEX('Per Line'!$D$2:$D$3001,$AD138)&amp;"")</f>
        <v/>
      </c>
      <c r="G138" s="11">
        <f>IF($AD138="","",INDEX('Per Line'!$G$2:$G$3001,$AD138))</f>
        <v/>
      </c>
      <c r="H138">
        <f>IF($AD138="","",INDEX('Per Line'!$J$2:$J$3001,$AD138)&amp;"")</f>
        <v/>
      </c>
      <c r="I138">
        <f>IF($AD138="","",INDEX('Per Line'!$H$2:$H$3001,$AD138)&amp;"")</f>
        <v/>
      </c>
      <c r="J138">
        <f>IF($AD138="","",INDEX('Per Line'!$F$2:$F$3001,$AD138)&amp;"")</f>
        <v/>
      </c>
      <c r="K138">
        <f>IF($AD138="","",INDEX('Per Line'!$K$2:$K$3001,$AD138)&amp;"")</f>
        <v/>
      </c>
      <c r="L138">
        <f>IF($AD138="","",INDEX('Per Line'!$L$2:$L$3001,$AD138)&amp;"")</f>
        <v/>
      </c>
      <c r="M138">
        <f>IF($AD138="","",INDEX('Per Line'!$M$2:$M$3001,$AD138)&amp;"")</f>
        <v/>
      </c>
      <c r="N138">
        <f>IF($AD138="","",INDEX('Per Line'!$AC$2:$AC$3001,$AD138)&amp;"")</f>
        <v/>
      </c>
      <c r="O138">
        <f>IF($AD138="","",INDEX('Per Line'!$P$2:$P$3001,$AD138))</f>
        <v/>
      </c>
      <c r="P138" s="7">
        <f>IF($AD138="","",IF(AND(ISNUMBER(Q138),Q138&gt;0,AB138&gt;Q138),O138*Q138/100+(AB138-Q138),O138*AB138/100))</f>
        <v/>
      </c>
      <c r="Q138">
        <f>IF($AD138="","",INDEX('Per Line'!$AG$2:$AG$3001,$AD138))</f>
        <v/>
      </c>
      <c r="R138">
        <f>IF($AD138="","",IF(AND(ISNUMBER(Q138),Q138&gt;0),AB138&gt;Q138,FALSE))</f>
        <v/>
      </c>
      <c r="S138" s="7">
        <f>IF($AD138="","",SUMIFS('Per Line'!$AB$2:$AB$3001,'Per Line'!$E$2:$E$3001,$B138,'Per Line'!$AQ$2:$AQ$3001,1))</f>
        <v/>
      </c>
      <c r="T138">
        <f>IF($AD138="","",Settings!$C$7)</f>
        <v/>
      </c>
      <c r="U138" s="7">
        <f>IF($AD138="","",SUMIFS('Per Line'!$AB$2:$AB$3001,'Per Line'!$E$2:$E$3001,$B138,'Per Line'!$AP$2:$AP$3001,0,'Per Line'!$AQ$2:$AQ$3001,0))</f>
        <v/>
      </c>
      <c r="V138" s="7">
        <f>IF($AD138="","",U138*T138)</f>
        <v/>
      </c>
      <c r="W138">
        <f>IF($AD138="","",Settings!$C$6)</f>
        <v/>
      </c>
      <c r="X138" s="7">
        <f>IF($AD138="","",SUMIFS('Per Line'!$AB$2:$AB$3001,'Per Line'!$E$2:$E$3001,$B138,'Per Line'!$AP$2:$AP$3001,1,'Per Line'!$AQ$2:$AQ$3001,0))</f>
        <v/>
      </c>
      <c r="Y138" s="7">
        <f>IF($AD138="","",X138*W138)</f>
        <v/>
      </c>
      <c r="Z138" s="7">
        <f>IF($AD138="","",Y138+V138)</f>
        <v/>
      </c>
      <c r="AA138" s="7">
        <f>IF($AD138="","",AB138-Z138)</f>
        <v/>
      </c>
      <c r="AB138" s="7">
        <f>IF($AD138="","",U138+X138+S138)</f>
        <v/>
      </c>
      <c r="AC138" s="7">
        <f>IF($AD138="","",AB138-Z138-P138)</f>
        <v/>
      </c>
      <c r="AD138" s="13">
        <f>IF(ROWS($AD$2:$AD138)&lt;=MAX('Per Line'!$AO$2:$AO$3001),MATCH(ROWS($AD$2:$AD138),'Per Line'!$AO$2:$AO$3001,0),"")</f>
        <v/>
      </c>
      <c r="AE138" s="14">
        <f>IF($AD138="","",P138-O138*AB138/100)</f>
        <v/>
      </c>
    </row>
    <row r="139">
      <c r="A139" s="12" t="n"/>
      <c r="B139">
        <f>IF($AD139="","",INDEX('Per Line'!$E$2:$E$3001,$AD139)&amp;"")</f>
        <v/>
      </c>
      <c r="C139">
        <f>IF($AD139="","",INDEX('Per Line'!$A$2:$A$3001,$AD139)&amp;"")</f>
        <v/>
      </c>
      <c r="D139">
        <f>IF($AD139="","",INDEX('Per Line'!$C$2:$C$3001,$AD139)&amp;"")</f>
        <v/>
      </c>
      <c r="E139">
        <f>IF($AD139="","",INDEX('Per Line'!$B$2:$B$3001,$AD139))</f>
        <v/>
      </c>
      <c r="F139">
        <f>IF($AD139="","",INDEX('Per Line'!$D$2:$D$3001,$AD139)&amp;"")</f>
        <v/>
      </c>
      <c r="G139" s="11">
        <f>IF($AD139="","",INDEX('Per Line'!$G$2:$G$3001,$AD139))</f>
        <v/>
      </c>
      <c r="H139">
        <f>IF($AD139="","",INDEX('Per Line'!$J$2:$J$3001,$AD139)&amp;"")</f>
        <v/>
      </c>
      <c r="I139">
        <f>IF($AD139="","",INDEX('Per Line'!$H$2:$H$3001,$AD139)&amp;"")</f>
        <v/>
      </c>
      <c r="J139">
        <f>IF($AD139="","",INDEX('Per Line'!$F$2:$F$3001,$AD139)&amp;"")</f>
        <v/>
      </c>
      <c r="K139">
        <f>IF($AD139="","",INDEX('Per Line'!$K$2:$K$3001,$AD139)&amp;"")</f>
        <v/>
      </c>
      <c r="L139">
        <f>IF($AD139="","",INDEX('Per Line'!$L$2:$L$3001,$AD139)&amp;"")</f>
        <v/>
      </c>
      <c r="M139">
        <f>IF($AD139="","",INDEX('Per Line'!$M$2:$M$3001,$AD139)&amp;"")</f>
        <v/>
      </c>
      <c r="N139">
        <f>IF($AD139="","",INDEX('Per Line'!$AC$2:$AC$3001,$AD139)&amp;"")</f>
        <v/>
      </c>
      <c r="O139">
        <f>IF($AD139="","",INDEX('Per Line'!$P$2:$P$3001,$AD139))</f>
        <v/>
      </c>
      <c r="P139" s="7">
        <f>IF($AD139="","",IF(AND(ISNUMBER(Q139),Q139&gt;0,AB139&gt;Q139),O139*Q139/100+(AB139-Q139),O139*AB139/100))</f>
        <v/>
      </c>
      <c r="Q139">
        <f>IF($AD139="","",INDEX('Per Line'!$AG$2:$AG$3001,$AD139))</f>
        <v/>
      </c>
      <c r="R139">
        <f>IF($AD139="","",IF(AND(ISNUMBER(Q139),Q139&gt;0),AB139&gt;Q139,FALSE))</f>
        <v/>
      </c>
      <c r="S139" s="7">
        <f>IF($AD139="","",SUMIFS('Per Line'!$AB$2:$AB$3001,'Per Line'!$E$2:$E$3001,$B139,'Per Line'!$AQ$2:$AQ$3001,1))</f>
        <v/>
      </c>
      <c r="T139">
        <f>IF($AD139="","",Settings!$C$7)</f>
        <v/>
      </c>
      <c r="U139" s="7">
        <f>IF($AD139="","",SUMIFS('Per Line'!$AB$2:$AB$3001,'Per Line'!$E$2:$E$3001,$B139,'Per Line'!$AP$2:$AP$3001,0,'Per Line'!$AQ$2:$AQ$3001,0))</f>
        <v/>
      </c>
      <c r="V139" s="7">
        <f>IF($AD139="","",U139*T139)</f>
        <v/>
      </c>
      <c r="W139">
        <f>IF($AD139="","",Settings!$C$6)</f>
        <v/>
      </c>
      <c r="X139" s="7">
        <f>IF($AD139="","",SUMIFS('Per Line'!$AB$2:$AB$3001,'Per Line'!$E$2:$E$3001,$B139,'Per Line'!$AP$2:$AP$3001,1,'Per Line'!$AQ$2:$AQ$3001,0))</f>
        <v/>
      </c>
      <c r="Y139" s="7">
        <f>IF($AD139="","",X139*W139)</f>
        <v/>
      </c>
      <c r="Z139" s="7">
        <f>IF($AD139="","",Y139+V139)</f>
        <v/>
      </c>
      <c r="AA139" s="7">
        <f>IF($AD139="","",AB139-Z139)</f>
        <v/>
      </c>
      <c r="AB139" s="7">
        <f>IF($AD139="","",U139+X139+S139)</f>
        <v/>
      </c>
      <c r="AC139" s="7">
        <f>IF($AD139="","",AB139-Z139-P139)</f>
        <v/>
      </c>
      <c r="AD139" s="13">
        <f>IF(ROWS($AD$2:$AD139)&lt;=MAX('Per Line'!$AO$2:$AO$3001),MATCH(ROWS($AD$2:$AD139),'Per Line'!$AO$2:$AO$3001,0),"")</f>
        <v/>
      </c>
      <c r="AE139" s="14">
        <f>IF($AD139="","",P139-O139*AB139/100)</f>
        <v/>
      </c>
    </row>
    <row r="140">
      <c r="A140" s="12" t="n"/>
      <c r="B140">
        <f>IF($AD140="","",INDEX('Per Line'!$E$2:$E$3001,$AD140)&amp;"")</f>
        <v/>
      </c>
      <c r="C140">
        <f>IF($AD140="","",INDEX('Per Line'!$A$2:$A$3001,$AD140)&amp;"")</f>
        <v/>
      </c>
      <c r="D140">
        <f>IF($AD140="","",INDEX('Per Line'!$C$2:$C$3001,$AD140)&amp;"")</f>
        <v/>
      </c>
      <c r="E140">
        <f>IF($AD140="","",INDEX('Per Line'!$B$2:$B$3001,$AD140))</f>
        <v/>
      </c>
      <c r="F140">
        <f>IF($AD140="","",INDEX('Per Line'!$D$2:$D$3001,$AD140)&amp;"")</f>
        <v/>
      </c>
      <c r="G140" s="11">
        <f>IF($AD140="","",INDEX('Per Line'!$G$2:$G$3001,$AD140))</f>
        <v/>
      </c>
      <c r="H140">
        <f>IF($AD140="","",INDEX('Per Line'!$J$2:$J$3001,$AD140)&amp;"")</f>
        <v/>
      </c>
      <c r="I140">
        <f>IF($AD140="","",INDEX('Per Line'!$H$2:$H$3001,$AD140)&amp;"")</f>
        <v/>
      </c>
      <c r="J140">
        <f>IF($AD140="","",INDEX('Per Line'!$F$2:$F$3001,$AD140)&amp;"")</f>
        <v/>
      </c>
      <c r="K140">
        <f>IF($AD140="","",INDEX('Per Line'!$K$2:$K$3001,$AD140)&amp;"")</f>
        <v/>
      </c>
      <c r="L140">
        <f>IF($AD140="","",INDEX('Per Line'!$L$2:$L$3001,$AD140)&amp;"")</f>
        <v/>
      </c>
      <c r="M140">
        <f>IF($AD140="","",INDEX('Per Line'!$M$2:$M$3001,$AD140)&amp;"")</f>
        <v/>
      </c>
      <c r="N140">
        <f>IF($AD140="","",INDEX('Per Line'!$AC$2:$AC$3001,$AD140)&amp;"")</f>
        <v/>
      </c>
      <c r="O140">
        <f>IF($AD140="","",INDEX('Per Line'!$P$2:$P$3001,$AD140))</f>
        <v/>
      </c>
      <c r="P140" s="7">
        <f>IF($AD140="","",IF(AND(ISNUMBER(Q140),Q140&gt;0,AB140&gt;Q140),O140*Q140/100+(AB140-Q140),O140*AB140/100))</f>
        <v/>
      </c>
      <c r="Q140">
        <f>IF($AD140="","",INDEX('Per Line'!$AG$2:$AG$3001,$AD140))</f>
        <v/>
      </c>
      <c r="R140">
        <f>IF($AD140="","",IF(AND(ISNUMBER(Q140),Q140&gt;0),AB140&gt;Q140,FALSE))</f>
        <v/>
      </c>
      <c r="S140" s="7">
        <f>IF($AD140="","",SUMIFS('Per Line'!$AB$2:$AB$3001,'Per Line'!$E$2:$E$3001,$B140,'Per Line'!$AQ$2:$AQ$3001,1))</f>
        <v/>
      </c>
      <c r="T140">
        <f>IF($AD140="","",Settings!$C$7)</f>
        <v/>
      </c>
      <c r="U140" s="7">
        <f>IF($AD140="","",SUMIFS('Per Line'!$AB$2:$AB$3001,'Per Line'!$E$2:$E$3001,$B140,'Per Line'!$AP$2:$AP$3001,0,'Per Line'!$AQ$2:$AQ$3001,0))</f>
        <v/>
      </c>
      <c r="V140" s="7">
        <f>IF($AD140="","",U140*T140)</f>
        <v/>
      </c>
      <c r="W140">
        <f>IF($AD140="","",Settings!$C$6)</f>
        <v/>
      </c>
      <c r="X140" s="7">
        <f>IF($AD140="","",SUMIFS('Per Line'!$AB$2:$AB$3001,'Per Line'!$E$2:$E$3001,$B140,'Per Line'!$AP$2:$AP$3001,1,'Per Line'!$AQ$2:$AQ$3001,0))</f>
        <v/>
      </c>
      <c r="Y140" s="7">
        <f>IF($AD140="","",X140*W140)</f>
        <v/>
      </c>
      <c r="Z140" s="7">
        <f>IF($AD140="","",Y140+V140)</f>
        <v/>
      </c>
      <c r="AA140" s="7">
        <f>IF($AD140="","",AB140-Z140)</f>
        <v/>
      </c>
      <c r="AB140" s="7">
        <f>IF($AD140="","",U140+X140+S140)</f>
        <v/>
      </c>
      <c r="AC140" s="7">
        <f>IF($AD140="","",AB140-Z140-P140)</f>
        <v/>
      </c>
      <c r="AD140" s="13">
        <f>IF(ROWS($AD$2:$AD140)&lt;=MAX('Per Line'!$AO$2:$AO$3001),MATCH(ROWS($AD$2:$AD140),'Per Line'!$AO$2:$AO$3001,0),"")</f>
        <v/>
      </c>
      <c r="AE140" s="14">
        <f>IF($AD140="","",P140-O140*AB140/100)</f>
        <v/>
      </c>
    </row>
    <row r="141">
      <c r="A141" s="12" t="n"/>
      <c r="B141">
        <f>IF($AD141="","",INDEX('Per Line'!$E$2:$E$3001,$AD141)&amp;"")</f>
        <v/>
      </c>
      <c r="C141">
        <f>IF($AD141="","",INDEX('Per Line'!$A$2:$A$3001,$AD141)&amp;"")</f>
        <v/>
      </c>
      <c r="D141">
        <f>IF($AD141="","",INDEX('Per Line'!$C$2:$C$3001,$AD141)&amp;"")</f>
        <v/>
      </c>
      <c r="E141">
        <f>IF($AD141="","",INDEX('Per Line'!$B$2:$B$3001,$AD141))</f>
        <v/>
      </c>
      <c r="F141">
        <f>IF($AD141="","",INDEX('Per Line'!$D$2:$D$3001,$AD141)&amp;"")</f>
        <v/>
      </c>
      <c r="G141" s="11">
        <f>IF($AD141="","",INDEX('Per Line'!$G$2:$G$3001,$AD141))</f>
        <v/>
      </c>
      <c r="H141">
        <f>IF($AD141="","",INDEX('Per Line'!$J$2:$J$3001,$AD141)&amp;"")</f>
        <v/>
      </c>
      <c r="I141">
        <f>IF($AD141="","",INDEX('Per Line'!$H$2:$H$3001,$AD141)&amp;"")</f>
        <v/>
      </c>
      <c r="J141">
        <f>IF($AD141="","",INDEX('Per Line'!$F$2:$F$3001,$AD141)&amp;"")</f>
        <v/>
      </c>
      <c r="K141">
        <f>IF($AD141="","",INDEX('Per Line'!$K$2:$K$3001,$AD141)&amp;"")</f>
        <v/>
      </c>
      <c r="L141">
        <f>IF($AD141="","",INDEX('Per Line'!$L$2:$L$3001,$AD141)&amp;"")</f>
        <v/>
      </c>
      <c r="M141">
        <f>IF($AD141="","",INDEX('Per Line'!$M$2:$M$3001,$AD141)&amp;"")</f>
        <v/>
      </c>
      <c r="N141">
        <f>IF($AD141="","",INDEX('Per Line'!$AC$2:$AC$3001,$AD141)&amp;"")</f>
        <v/>
      </c>
      <c r="O141">
        <f>IF($AD141="","",INDEX('Per Line'!$P$2:$P$3001,$AD141))</f>
        <v/>
      </c>
      <c r="P141" s="7">
        <f>IF($AD141="","",IF(AND(ISNUMBER(Q141),Q141&gt;0,AB141&gt;Q141),O141*Q141/100+(AB141-Q141),O141*AB141/100))</f>
        <v/>
      </c>
      <c r="Q141">
        <f>IF($AD141="","",INDEX('Per Line'!$AG$2:$AG$3001,$AD141))</f>
        <v/>
      </c>
      <c r="R141">
        <f>IF($AD141="","",IF(AND(ISNUMBER(Q141),Q141&gt;0),AB141&gt;Q141,FALSE))</f>
        <v/>
      </c>
      <c r="S141" s="7">
        <f>IF($AD141="","",SUMIFS('Per Line'!$AB$2:$AB$3001,'Per Line'!$E$2:$E$3001,$B141,'Per Line'!$AQ$2:$AQ$3001,1))</f>
        <v/>
      </c>
      <c r="T141">
        <f>IF($AD141="","",Settings!$C$7)</f>
        <v/>
      </c>
      <c r="U141" s="7">
        <f>IF($AD141="","",SUMIFS('Per Line'!$AB$2:$AB$3001,'Per Line'!$E$2:$E$3001,$B141,'Per Line'!$AP$2:$AP$3001,0,'Per Line'!$AQ$2:$AQ$3001,0))</f>
        <v/>
      </c>
      <c r="V141" s="7">
        <f>IF($AD141="","",U141*T141)</f>
        <v/>
      </c>
      <c r="W141">
        <f>IF($AD141="","",Settings!$C$6)</f>
        <v/>
      </c>
      <c r="X141" s="7">
        <f>IF($AD141="","",SUMIFS('Per Line'!$AB$2:$AB$3001,'Per Line'!$E$2:$E$3001,$B141,'Per Line'!$AP$2:$AP$3001,1,'Per Line'!$AQ$2:$AQ$3001,0))</f>
        <v/>
      </c>
      <c r="Y141" s="7">
        <f>IF($AD141="","",X141*W141)</f>
        <v/>
      </c>
      <c r="Z141" s="7">
        <f>IF($AD141="","",Y141+V141)</f>
        <v/>
      </c>
      <c r="AA141" s="7">
        <f>IF($AD141="","",AB141-Z141)</f>
        <v/>
      </c>
      <c r="AB141" s="7">
        <f>IF($AD141="","",U141+X141+S141)</f>
        <v/>
      </c>
      <c r="AC141" s="7">
        <f>IF($AD141="","",AB141-Z141-P141)</f>
        <v/>
      </c>
      <c r="AD141" s="13">
        <f>IF(ROWS($AD$2:$AD141)&lt;=MAX('Per Line'!$AO$2:$AO$3001),MATCH(ROWS($AD$2:$AD141),'Per Line'!$AO$2:$AO$3001,0),"")</f>
        <v/>
      </c>
      <c r="AE141" s="14">
        <f>IF($AD141="","",P141-O141*AB141/100)</f>
        <v/>
      </c>
    </row>
    <row r="142">
      <c r="A142" s="12" t="n"/>
      <c r="B142">
        <f>IF($AD142="","",INDEX('Per Line'!$E$2:$E$3001,$AD142)&amp;"")</f>
        <v/>
      </c>
      <c r="C142">
        <f>IF($AD142="","",INDEX('Per Line'!$A$2:$A$3001,$AD142)&amp;"")</f>
        <v/>
      </c>
      <c r="D142">
        <f>IF($AD142="","",INDEX('Per Line'!$C$2:$C$3001,$AD142)&amp;"")</f>
        <v/>
      </c>
      <c r="E142">
        <f>IF($AD142="","",INDEX('Per Line'!$B$2:$B$3001,$AD142))</f>
        <v/>
      </c>
      <c r="F142">
        <f>IF($AD142="","",INDEX('Per Line'!$D$2:$D$3001,$AD142)&amp;"")</f>
        <v/>
      </c>
      <c r="G142" s="11">
        <f>IF($AD142="","",INDEX('Per Line'!$G$2:$G$3001,$AD142))</f>
        <v/>
      </c>
      <c r="H142">
        <f>IF($AD142="","",INDEX('Per Line'!$J$2:$J$3001,$AD142)&amp;"")</f>
        <v/>
      </c>
      <c r="I142">
        <f>IF($AD142="","",INDEX('Per Line'!$H$2:$H$3001,$AD142)&amp;"")</f>
        <v/>
      </c>
      <c r="J142">
        <f>IF($AD142="","",INDEX('Per Line'!$F$2:$F$3001,$AD142)&amp;"")</f>
        <v/>
      </c>
      <c r="K142">
        <f>IF($AD142="","",INDEX('Per Line'!$K$2:$K$3001,$AD142)&amp;"")</f>
        <v/>
      </c>
      <c r="L142">
        <f>IF($AD142="","",INDEX('Per Line'!$L$2:$L$3001,$AD142)&amp;"")</f>
        <v/>
      </c>
      <c r="M142">
        <f>IF($AD142="","",INDEX('Per Line'!$M$2:$M$3001,$AD142)&amp;"")</f>
        <v/>
      </c>
      <c r="N142">
        <f>IF($AD142="","",INDEX('Per Line'!$AC$2:$AC$3001,$AD142)&amp;"")</f>
        <v/>
      </c>
      <c r="O142">
        <f>IF($AD142="","",INDEX('Per Line'!$P$2:$P$3001,$AD142))</f>
        <v/>
      </c>
      <c r="P142" s="7">
        <f>IF($AD142="","",IF(AND(ISNUMBER(Q142),Q142&gt;0,AB142&gt;Q142),O142*Q142/100+(AB142-Q142),O142*AB142/100))</f>
        <v/>
      </c>
      <c r="Q142">
        <f>IF($AD142="","",INDEX('Per Line'!$AG$2:$AG$3001,$AD142))</f>
        <v/>
      </c>
      <c r="R142">
        <f>IF($AD142="","",IF(AND(ISNUMBER(Q142),Q142&gt;0),AB142&gt;Q142,FALSE))</f>
        <v/>
      </c>
      <c r="S142" s="7">
        <f>IF($AD142="","",SUMIFS('Per Line'!$AB$2:$AB$3001,'Per Line'!$E$2:$E$3001,$B142,'Per Line'!$AQ$2:$AQ$3001,1))</f>
        <v/>
      </c>
      <c r="T142">
        <f>IF($AD142="","",Settings!$C$7)</f>
        <v/>
      </c>
      <c r="U142" s="7">
        <f>IF($AD142="","",SUMIFS('Per Line'!$AB$2:$AB$3001,'Per Line'!$E$2:$E$3001,$B142,'Per Line'!$AP$2:$AP$3001,0,'Per Line'!$AQ$2:$AQ$3001,0))</f>
        <v/>
      </c>
      <c r="V142" s="7">
        <f>IF($AD142="","",U142*T142)</f>
        <v/>
      </c>
      <c r="W142">
        <f>IF($AD142="","",Settings!$C$6)</f>
        <v/>
      </c>
      <c r="X142" s="7">
        <f>IF($AD142="","",SUMIFS('Per Line'!$AB$2:$AB$3001,'Per Line'!$E$2:$E$3001,$B142,'Per Line'!$AP$2:$AP$3001,1,'Per Line'!$AQ$2:$AQ$3001,0))</f>
        <v/>
      </c>
      <c r="Y142" s="7">
        <f>IF($AD142="","",X142*W142)</f>
        <v/>
      </c>
      <c r="Z142" s="7">
        <f>IF($AD142="","",Y142+V142)</f>
        <v/>
      </c>
      <c r="AA142" s="7">
        <f>IF($AD142="","",AB142-Z142)</f>
        <v/>
      </c>
      <c r="AB142" s="7">
        <f>IF($AD142="","",U142+X142+S142)</f>
        <v/>
      </c>
      <c r="AC142" s="7">
        <f>IF($AD142="","",AB142-Z142-P142)</f>
        <v/>
      </c>
      <c r="AD142" s="13">
        <f>IF(ROWS($AD$2:$AD142)&lt;=MAX('Per Line'!$AO$2:$AO$3001),MATCH(ROWS($AD$2:$AD142),'Per Line'!$AO$2:$AO$3001,0),"")</f>
        <v/>
      </c>
      <c r="AE142" s="14">
        <f>IF($AD142="","",P142-O142*AB142/100)</f>
        <v/>
      </c>
    </row>
    <row r="143">
      <c r="A143" s="12" t="n"/>
      <c r="B143">
        <f>IF($AD143="","",INDEX('Per Line'!$E$2:$E$3001,$AD143)&amp;"")</f>
        <v/>
      </c>
      <c r="C143">
        <f>IF($AD143="","",INDEX('Per Line'!$A$2:$A$3001,$AD143)&amp;"")</f>
        <v/>
      </c>
      <c r="D143">
        <f>IF($AD143="","",INDEX('Per Line'!$C$2:$C$3001,$AD143)&amp;"")</f>
        <v/>
      </c>
      <c r="E143">
        <f>IF($AD143="","",INDEX('Per Line'!$B$2:$B$3001,$AD143))</f>
        <v/>
      </c>
      <c r="F143">
        <f>IF($AD143="","",INDEX('Per Line'!$D$2:$D$3001,$AD143)&amp;"")</f>
        <v/>
      </c>
      <c r="G143" s="11">
        <f>IF($AD143="","",INDEX('Per Line'!$G$2:$G$3001,$AD143))</f>
        <v/>
      </c>
      <c r="H143">
        <f>IF($AD143="","",INDEX('Per Line'!$J$2:$J$3001,$AD143)&amp;"")</f>
        <v/>
      </c>
      <c r="I143">
        <f>IF($AD143="","",INDEX('Per Line'!$H$2:$H$3001,$AD143)&amp;"")</f>
        <v/>
      </c>
      <c r="J143">
        <f>IF($AD143="","",INDEX('Per Line'!$F$2:$F$3001,$AD143)&amp;"")</f>
        <v/>
      </c>
      <c r="K143">
        <f>IF($AD143="","",INDEX('Per Line'!$K$2:$K$3001,$AD143)&amp;"")</f>
        <v/>
      </c>
      <c r="L143">
        <f>IF($AD143="","",INDEX('Per Line'!$L$2:$L$3001,$AD143)&amp;"")</f>
        <v/>
      </c>
      <c r="M143">
        <f>IF($AD143="","",INDEX('Per Line'!$M$2:$M$3001,$AD143)&amp;"")</f>
        <v/>
      </c>
      <c r="N143">
        <f>IF($AD143="","",INDEX('Per Line'!$AC$2:$AC$3001,$AD143)&amp;"")</f>
        <v/>
      </c>
      <c r="O143">
        <f>IF($AD143="","",INDEX('Per Line'!$P$2:$P$3001,$AD143))</f>
        <v/>
      </c>
      <c r="P143" s="7">
        <f>IF($AD143="","",IF(AND(ISNUMBER(Q143),Q143&gt;0,AB143&gt;Q143),O143*Q143/100+(AB143-Q143),O143*AB143/100))</f>
        <v/>
      </c>
      <c r="Q143">
        <f>IF($AD143="","",INDEX('Per Line'!$AG$2:$AG$3001,$AD143))</f>
        <v/>
      </c>
      <c r="R143">
        <f>IF($AD143="","",IF(AND(ISNUMBER(Q143),Q143&gt;0),AB143&gt;Q143,FALSE))</f>
        <v/>
      </c>
      <c r="S143" s="7">
        <f>IF($AD143="","",SUMIFS('Per Line'!$AB$2:$AB$3001,'Per Line'!$E$2:$E$3001,$B143,'Per Line'!$AQ$2:$AQ$3001,1))</f>
        <v/>
      </c>
      <c r="T143">
        <f>IF($AD143="","",Settings!$C$7)</f>
        <v/>
      </c>
      <c r="U143" s="7">
        <f>IF($AD143="","",SUMIFS('Per Line'!$AB$2:$AB$3001,'Per Line'!$E$2:$E$3001,$B143,'Per Line'!$AP$2:$AP$3001,0,'Per Line'!$AQ$2:$AQ$3001,0))</f>
        <v/>
      </c>
      <c r="V143" s="7">
        <f>IF($AD143="","",U143*T143)</f>
        <v/>
      </c>
      <c r="W143">
        <f>IF($AD143="","",Settings!$C$6)</f>
        <v/>
      </c>
      <c r="X143" s="7">
        <f>IF($AD143="","",SUMIFS('Per Line'!$AB$2:$AB$3001,'Per Line'!$E$2:$E$3001,$B143,'Per Line'!$AP$2:$AP$3001,1,'Per Line'!$AQ$2:$AQ$3001,0))</f>
        <v/>
      </c>
      <c r="Y143" s="7">
        <f>IF($AD143="","",X143*W143)</f>
        <v/>
      </c>
      <c r="Z143" s="7">
        <f>IF($AD143="","",Y143+V143)</f>
        <v/>
      </c>
      <c r="AA143" s="7">
        <f>IF($AD143="","",AB143-Z143)</f>
        <v/>
      </c>
      <c r="AB143" s="7">
        <f>IF($AD143="","",U143+X143+S143)</f>
        <v/>
      </c>
      <c r="AC143" s="7">
        <f>IF($AD143="","",AB143-Z143-P143)</f>
        <v/>
      </c>
      <c r="AD143" s="13">
        <f>IF(ROWS($AD$2:$AD143)&lt;=MAX('Per Line'!$AO$2:$AO$3001),MATCH(ROWS($AD$2:$AD143),'Per Line'!$AO$2:$AO$3001,0),"")</f>
        <v/>
      </c>
      <c r="AE143" s="14">
        <f>IF($AD143="","",P143-O143*AB143/100)</f>
        <v/>
      </c>
    </row>
    <row r="144">
      <c r="A144" s="12" t="n"/>
      <c r="B144">
        <f>IF($AD144="","",INDEX('Per Line'!$E$2:$E$3001,$AD144)&amp;"")</f>
        <v/>
      </c>
      <c r="C144">
        <f>IF($AD144="","",INDEX('Per Line'!$A$2:$A$3001,$AD144)&amp;"")</f>
        <v/>
      </c>
      <c r="D144">
        <f>IF($AD144="","",INDEX('Per Line'!$C$2:$C$3001,$AD144)&amp;"")</f>
        <v/>
      </c>
      <c r="E144">
        <f>IF($AD144="","",INDEX('Per Line'!$B$2:$B$3001,$AD144))</f>
        <v/>
      </c>
      <c r="F144">
        <f>IF($AD144="","",INDEX('Per Line'!$D$2:$D$3001,$AD144)&amp;"")</f>
        <v/>
      </c>
      <c r="G144" s="11">
        <f>IF($AD144="","",INDEX('Per Line'!$G$2:$G$3001,$AD144))</f>
        <v/>
      </c>
      <c r="H144">
        <f>IF($AD144="","",INDEX('Per Line'!$J$2:$J$3001,$AD144)&amp;"")</f>
        <v/>
      </c>
      <c r="I144">
        <f>IF($AD144="","",INDEX('Per Line'!$H$2:$H$3001,$AD144)&amp;"")</f>
        <v/>
      </c>
      <c r="J144">
        <f>IF($AD144="","",INDEX('Per Line'!$F$2:$F$3001,$AD144)&amp;"")</f>
        <v/>
      </c>
      <c r="K144">
        <f>IF($AD144="","",INDEX('Per Line'!$K$2:$K$3001,$AD144)&amp;"")</f>
        <v/>
      </c>
      <c r="L144">
        <f>IF($AD144="","",INDEX('Per Line'!$L$2:$L$3001,$AD144)&amp;"")</f>
        <v/>
      </c>
      <c r="M144">
        <f>IF($AD144="","",INDEX('Per Line'!$M$2:$M$3001,$AD144)&amp;"")</f>
        <v/>
      </c>
      <c r="N144">
        <f>IF($AD144="","",INDEX('Per Line'!$AC$2:$AC$3001,$AD144)&amp;"")</f>
        <v/>
      </c>
      <c r="O144">
        <f>IF($AD144="","",INDEX('Per Line'!$P$2:$P$3001,$AD144))</f>
        <v/>
      </c>
      <c r="P144" s="7">
        <f>IF($AD144="","",IF(AND(ISNUMBER(Q144),Q144&gt;0,AB144&gt;Q144),O144*Q144/100+(AB144-Q144),O144*AB144/100))</f>
        <v/>
      </c>
      <c r="Q144">
        <f>IF($AD144="","",INDEX('Per Line'!$AG$2:$AG$3001,$AD144))</f>
        <v/>
      </c>
      <c r="R144">
        <f>IF($AD144="","",IF(AND(ISNUMBER(Q144),Q144&gt;0),AB144&gt;Q144,FALSE))</f>
        <v/>
      </c>
      <c r="S144" s="7">
        <f>IF($AD144="","",SUMIFS('Per Line'!$AB$2:$AB$3001,'Per Line'!$E$2:$E$3001,$B144,'Per Line'!$AQ$2:$AQ$3001,1))</f>
        <v/>
      </c>
      <c r="T144">
        <f>IF($AD144="","",Settings!$C$7)</f>
        <v/>
      </c>
      <c r="U144" s="7">
        <f>IF($AD144="","",SUMIFS('Per Line'!$AB$2:$AB$3001,'Per Line'!$E$2:$E$3001,$B144,'Per Line'!$AP$2:$AP$3001,0,'Per Line'!$AQ$2:$AQ$3001,0))</f>
        <v/>
      </c>
      <c r="V144" s="7">
        <f>IF($AD144="","",U144*T144)</f>
        <v/>
      </c>
      <c r="W144">
        <f>IF($AD144="","",Settings!$C$6)</f>
        <v/>
      </c>
      <c r="X144" s="7">
        <f>IF($AD144="","",SUMIFS('Per Line'!$AB$2:$AB$3001,'Per Line'!$E$2:$E$3001,$B144,'Per Line'!$AP$2:$AP$3001,1,'Per Line'!$AQ$2:$AQ$3001,0))</f>
        <v/>
      </c>
      <c r="Y144" s="7">
        <f>IF($AD144="","",X144*W144)</f>
        <v/>
      </c>
      <c r="Z144" s="7">
        <f>IF($AD144="","",Y144+V144)</f>
        <v/>
      </c>
      <c r="AA144" s="7">
        <f>IF($AD144="","",AB144-Z144)</f>
        <v/>
      </c>
      <c r="AB144" s="7">
        <f>IF($AD144="","",U144+X144+S144)</f>
        <v/>
      </c>
      <c r="AC144" s="7">
        <f>IF($AD144="","",AB144-Z144-P144)</f>
        <v/>
      </c>
      <c r="AD144" s="13">
        <f>IF(ROWS($AD$2:$AD144)&lt;=MAX('Per Line'!$AO$2:$AO$3001),MATCH(ROWS($AD$2:$AD144),'Per Line'!$AO$2:$AO$3001,0),"")</f>
        <v/>
      </c>
      <c r="AE144" s="14">
        <f>IF($AD144="","",P144-O144*AB144/100)</f>
        <v/>
      </c>
    </row>
    <row r="145">
      <c r="A145" s="12" t="n"/>
      <c r="B145">
        <f>IF($AD145="","",INDEX('Per Line'!$E$2:$E$3001,$AD145)&amp;"")</f>
        <v/>
      </c>
      <c r="C145">
        <f>IF($AD145="","",INDEX('Per Line'!$A$2:$A$3001,$AD145)&amp;"")</f>
        <v/>
      </c>
      <c r="D145">
        <f>IF($AD145="","",INDEX('Per Line'!$C$2:$C$3001,$AD145)&amp;"")</f>
        <v/>
      </c>
      <c r="E145">
        <f>IF($AD145="","",INDEX('Per Line'!$B$2:$B$3001,$AD145))</f>
        <v/>
      </c>
      <c r="F145">
        <f>IF($AD145="","",INDEX('Per Line'!$D$2:$D$3001,$AD145)&amp;"")</f>
        <v/>
      </c>
      <c r="G145" s="11">
        <f>IF($AD145="","",INDEX('Per Line'!$G$2:$G$3001,$AD145))</f>
        <v/>
      </c>
      <c r="H145">
        <f>IF($AD145="","",INDEX('Per Line'!$J$2:$J$3001,$AD145)&amp;"")</f>
        <v/>
      </c>
      <c r="I145">
        <f>IF($AD145="","",INDEX('Per Line'!$H$2:$H$3001,$AD145)&amp;"")</f>
        <v/>
      </c>
      <c r="J145">
        <f>IF($AD145="","",INDEX('Per Line'!$F$2:$F$3001,$AD145)&amp;"")</f>
        <v/>
      </c>
      <c r="K145">
        <f>IF($AD145="","",INDEX('Per Line'!$K$2:$K$3001,$AD145)&amp;"")</f>
        <v/>
      </c>
      <c r="L145">
        <f>IF($AD145="","",INDEX('Per Line'!$L$2:$L$3001,$AD145)&amp;"")</f>
        <v/>
      </c>
      <c r="M145">
        <f>IF($AD145="","",INDEX('Per Line'!$M$2:$M$3001,$AD145)&amp;"")</f>
        <v/>
      </c>
      <c r="N145">
        <f>IF($AD145="","",INDEX('Per Line'!$AC$2:$AC$3001,$AD145)&amp;"")</f>
        <v/>
      </c>
      <c r="O145">
        <f>IF($AD145="","",INDEX('Per Line'!$P$2:$P$3001,$AD145))</f>
        <v/>
      </c>
      <c r="P145" s="7">
        <f>IF($AD145="","",IF(AND(ISNUMBER(Q145),Q145&gt;0,AB145&gt;Q145),O145*Q145/100+(AB145-Q145),O145*AB145/100))</f>
        <v/>
      </c>
      <c r="Q145">
        <f>IF($AD145="","",INDEX('Per Line'!$AG$2:$AG$3001,$AD145))</f>
        <v/>
      </c>
      <c r="R145">
        <f>IF($AD145="","",IF(AND(ISNUMBER(Q145),Q145&gt;0),AB145&gt;Q145,FALSE))</f>
        <v/>
      </c>
      <c r="S145" s="7">
        <f>IF($AD145="","",SUMIFS('Per Line'!$AB$2:$AB$3001,'Per Line'!$E$2:$E$3001,$B145,'Per Line'!$AQ$2:$AQ$3001,1))</f>
        <v/>
      </c>
      <c r="T145">
        <f>IF($AD145="","",Settings!$C$7)</f>
        <v/>
      </c>
      <c r="U145" s="7">
        <f>IF($AD145="","",SUMIFS('Per Line'!$AB$2:$AB$3001,'Per Line'!$E$2:$E$3001,$B145,'Per Line'!$AP$2:$AP$3001,0,'Per Line'!$AQ$2:$AQ$3001,0))</f>
        <v/>
      </c>
      <c r="V145" s="7">
        <f>IF($AD145="","",U145*T145)</f>
        <v/>
      </c>
      <c r="W145">
        <f>IF($AD145="","",Settings!$C$6)</f>
        <v/>
      </c>
      <c r="X145" s="7">
        <f>IF($AD145="","",SUMIFS('Per Line'!$AB$2:$AB$3001,'Per Line'!$E$2:$E$3001,$B145,'Per Line'!$AP$2:$AP$3001,1,'Per Line'!$AQ$2:$AQ$3001,0))</f>
        <v/>
      </c>
      <c r="Y145" s="7">
        <f>IF($AD145="","",X145*W145)</f>
        <v/>
      </c>
      <c r="Z145" s="7">
        <f>IF($AD145="","",Y145+V145)</f>
        <v/>
      </c>
      <c r="AA145" s="7">
        <f>IF($AD145="","",AB145-Z145)</f>
        <v/>
      </c>
      <c r="AB145" s="7">
        <f>IF($AD145="","",U145+X145+S145)</f>
        <v/>
      </c>
      <c r="AC145" s="7">
        <f>IF($AD145="","",AB145-Z145-P145)</f>
        <v/>
      </c>
      <c r="AD145" s="13">
        <f>IF(ROWS($AD$2:$AD145)&lt;=MAX('Per Line'!$AO$2:$AO$3001),MATCH(ROWS($AD$2:$AD145),'Per Line'!$AO$2:$AO$3001,0),"")</f>
        <v/>
      </c>
      <c r="AE145" s="14">
        <f>IF($AD145="","",P145-O145*AB145/100)</f>
        <v/>
      </c>
    </row>
    <row r="146">
      <c r="A146" s="12" t="n"/>
      <c r="B146">
        <f>IF($AD146="","",INDEX('Per Line'!$E$2:$E$3001,$AD146)&amp;"")</f>
        <v/>
      </c>
      <c r="C146">
        <f>IF($AD146="","",INDEX('Per Line'!$A$2:$A$3001,$AD146)&amp;"")</f>
        <v/>
      </c>
      <c r="D146">
        <f>IF($AD146="","",INDEX('Per Line'!$C$2:$C$3001,$AD146)&amp;"")</f>
        <v/>
      </c>
      <c r="E146">
        <f>IF($AD146="","",INDEX('Per Line'!$B$2:$B$3001,$AD146))</f>
        <v/>
      </c>
      <c r="F146">
        <f>IF($AD146="","",INDEX('Per Line'!$D$2:$D$3001,$AD146)&amp;"")</f>
        <v/>
      </c>
      <c r="G146" s="11">
        <f>IF($AD146="","",INDEX('Per Line'!$G$2:$G$3001,$AD146))</f>
        <v/>
      </c>
      <c r="H146">
        <f>IF($AD146="","",INDEX('Per Line'!$J$2:$J$3001,$AD146)&amp;"")</f>
        <v/>
      </c>
      <c r="I146">
        <f>IF($AD146="","",INDEX('Per Line'!$H$2:$H$3001,$AD146)&amp;"")</f>
        <v/>
      </c>
      <c r="J146">
        <f>IF($AD146="","",INDEX('Per Line'!$F$2:$F$3001,$AD146)&amp;"")</f>
        <v/>
      </c>
      <c r="K146">
        <f>IF($AD146="","",INDEX('Per Line'!$K$2:$K$3001,$AD146)&amp;"")</f>
        <v/>
      </c>
      <c r="L146">
        <f>IF($AD146="","",INDEX('Per Line'!$L$2:$L$3001,$AD146)&amp;"")</f>
        <v/>
      </c>
      <c r="M146">
        <f>IF($AD146="","",INDEX('Per Line'!$M$2:$M$3001,$AD146)&amp;"")</f>
        <v/>
      </c>
      <c r="N146">
        <f>IF($AD146="","",INDEX('Per Line'!$AC$2:$AC$3001,$AD146)&amp;"")</f>
        <v/>
      </c>
      <c r="O146">
        <f>IF($AD146="","",INDEX('Per Line'!$P$2:$P$3001,$AD146))</f>
        <v/>
      </c>
      <c r="P146" s="7">
        <f>IF($AD146="","",IF(AND(ISNUMBER(Q146),Q146&gt;0,AB146&gt;Q146),O146*Q146/100+(AB146-Q146),O146*AB146/100))</f>
        <v/>
      </c>
      <c r="Q146">
        <f>IF($AD146="","",INDEX('Per Line'!$AG$2:$AG$3001,$AD146))</f>
        <v/>
      </c>
      <c r="R146">
        <f>IF($AD146="","",IF(AND(ISNUMBER(Q146),Q146&gt;0),AB146&gt;Q146,FALSE))</f>
        <v/>
      </c>
      <c r="S146" s="7">
        <f>IF($AD146="","",SUMIFS('Per Line'!$AB$2:$AB$3001,'Per Line'!$E$2:$E$3001,$B146,'Per Line'!$AQ$2:$AQ$3001,1))</f>
        <v/>
      </c>
      <c r="T146">
        <f>IF($AD146="","",Settings!$C$7)</f>
        <v/>
      </c>
      <c r="U146" s="7">
        <f>IF($AD146="","",SUMIFS('Per Line'!$AB$2:$AB$3001,'Per Line'!$E$2:$E$3001,$B146,'Per Line'!$AP$2:$AP$3001,0,'Per Line'!$AQ$2:$AQ$3001,0))</f>
        <v/>
      </c>
      <c r="V146" s="7">
        <f>IF($AD146="","",U146*T146)</f>
        <v/>
      </c>
      <c r="W146">
        <f>IF($AD146="","",Settings!$C$6)</f>
        <v/>
      </c>
      <c r="X146" s="7">
        <f>IF($AD146="","",SUMIFS('Per Line'!$AB$2:$AB$3001,'Per Line'!$E$2:$E$3001,$B146,'Per Line'!$AP$2:$AP$3001,1,'Per Line'!$AQ$2:$AQ$3001,0))</f>
        <v/>
      </c>
      <c r="Y146" s="7">
        <f>IF($AD146="","",X146*W146)</f>
        <v/>
      </c>
      <c r="Z146" s="7">
        <f>IF($AD146="","",Y146+V146)</f>
        <v/>
      </c>
      <c r="AA146" s="7">
        <f>IF($AD146="","",AB146-Z146)</f>
        <v/>
      </c>
      <c r="AB146" s="7">
        <f>IF($AD146="","",U146+X146+S146)</f>
        <v/>
      </c>
      <c r="AC146" s="7">
        <f>IF($AD146="","",AB146-Z146-P146)</f>
        <v/>
      </c>
      <c r="AD146" s="13">
        <f>IF(ROWS($AD$2:$AD146)&lt;=MAX('Per Line'!$AO$2:$AO$3001),MATCH(ROWS($AD$2:$AD146),'Per Line'!$AO$2:$AO$3001,0),"")</f>
        <v/>
      </c>
      <c r="AE146" s="14">
        <f>IF($AD146="","",P146-O146*AB146/100)</f>
        <v/>
      </c>
    </row>
    <row r="147">
      <c r="A147" s="12" t="n"/>
      <c r="B147">
        <f>IF($AD147="","",INDEX('Per Line'!$E$2:$E$3001,$AD147)&amp;"")</f>
        <v/>
      </c>
      <c r="C147">
        <f>IF($AD147="","",INDEX('Per Line'!$A$2:$A$3001,$AD147)&amp;"")</f>
        <v/>
      </c>
      <c r="D147">
        <f>IF($AD147="","",INDEX('Per Line'!$C$2:$C$3001,$AD147)&amp;"")</f>
        <v/>
      </c>
      <c r="E147">
        <f>IF($AD147="","",INDEX('Per Line'!$B$2:$B$3001,$AD147))</f>
        <v/>
      </c>
      <c r="F147">
        <f>IF($AD147="","",INDEX('Per Line'!$D$2:$D$3001,$AD147)&amp;"")</f>
        <v/>
      </c>
      <c r="G147" s="11">
        <f>IF($AD147="","",INDEX('Per Line'!$G$2:$G$3001,$AD147))</f>
        <v/>
      </c>
      <c r="H147">
        <f>IF($AD147="","",INDEX('Per Line'!$J$2:$J$3001,$AD147)&amp;"")</f>
        <v/>
      </c>
      <c r="I147">
        <f>IF($AD147="","",INDEX('Per Line'!$H$2:$H$3001,$AD147)&amp;"")</f>
        <v/>
      </c>
      <c r="J147">
        <f>IF($AD147="","",INDEX('Per Line'!$F$2:$F$3001,$AD147)&amp;"")</f>
        <v/>
      </c>
      <c r="K147">
        <f>IF($AD147="","",INDEX('Per Line'!$K$2:$K$3001,$AD147)&amp;"")</f>
        <v/>
      </c>
      <c r="L147">
        <f>IF($AD147="","",INDEX('Per Line'!$L$2:$L$3001,$AD147)&amp;"")</f>
        <v/>
      </c>
      <c r="M147">
        <f>IF($AD147="","",INDEX('Per Line'!$M$2:$M$3001,$AD147)&amp;"")</f>
        <v/>
      </c>
      <c r="N147">
        <f>IF($AD147="","",INDEX('Per Line'!$AC$2:$AC$3001,$AD147)&amp;"")</f>
        <v/>
      </c>
      <c r="O147">
        <f>IF($AD147="","",INDEX('Per Line'!$P$2:$P$3001,$AD147))</f>
        <v/>
      </c>
      <c r="P147" s="7">
        <f>IF($AD147="","",IF(AND(ISNUMBER(Q147),Q147&gt;0,AB147&gt;Q147),O147*Q147/100+(AB147-Q147),O147*AB147/100))</f>
        <v/>
      </c>
      <c r="Q147">
        <f>IF($AD147="","",INDEX('Per Line'!$AG$2:$AG$3001,$AD147))</f>
        <v/>
      </c>
      <c r="R147">
        <f>IF($AD147="","",IF(AND(ISNUMBER(Q147),Q147&gt;0),AB147&gt;Q147,FALSE))</f>
        <v/>
      </c>
      <c r="S147" s="7">
        <f>IF($AD147="","",SUMIFS('Per Line'!$AB$2:$AB$3001,'Per Line'!$E$2:$E$3001,$B147,'Per Line'!$AQ$2:$AQ$3001,1))</f>
        <v/>
      </c>
      <c r="T147">
        <f>IF($AD147="","",Settings!$C$7)</f>
        <v/>
      </c>
      <c r="U147" s="7">
        <f>IF($AD147="","",SUMIFS('Per Line'!$AB$2:$AB$3001,'Per Line'!$E$2:$E$3001,$B147,'Per Line'!$AP$2:$AP$3001,0,'Per Line'!$AQ$2:$AQ$3001,0))</f>
        <v/>
      </c>
      <c r="V147" s="7">
        <f>IF($AD147="","",U147*T147)</f>
        <v/>
      </c>
      <c r="W147">
        <f>IF($AD147="","",Settings!$C$6)</f>
        <v/>
      </c>
      <c r="X147" s="7">
        <f>IF($AD147="","",SUMIFS('Per Line'!$AB$2:$AB$3001,'Per Line'!$E$2:$E$3001,$B147,'Per Line'!$AP$2:$AP$3001,1,'Per Line'!$AQ$2:$AQ$3001,0))</f>
        <v/>
      </c>
      <c r="Y147" s="7">
        <f>IF($AD147="","",X147*W147)</f>
        <v/>
      </c>
      <c r="Z147" s="7">
        <f>IF($AD147="","",Y147+V147)</f>
        <v/>
      </c>
      <c r="AA147" s="7">
        <f>IF($AD147="","",AB147-Z147)</f>
        <v/>
      </c>
      <c r="AB147" s="7">
        <f>IF($AD147="","",U147+X147+S147)</f>
        <v/>
      </c>
      <c r="AC147" s="7">
        <f>IF($AD147="","",AB147-Z147-P147)</f>
        <v/>
      </c>
      <c r="AD147" s="13">
        <f>IF(ROWS($AD$2:$AD147)&lt;=MAX('Per Line'!$AO$2:$AO$3001),MATCH(ROWS($AD$2:$AD147),'Per Line'!$AO$2:$AO$3001,0),"")</f>
        <v/>
      </c>
      <c r="AE147" s="14">
        <f>IF($AD147="","",P147-O147*AB147/100)</f>
        <v/>
      </c>
    </row>
    <row r="148">
      <c r="A148" s="12" t="n"/>
      <c r="B148">
        <f>IF($AD148="","",INDEX('Per Line'!$E$2:$E$3001,$AD148)&amp;"")</f>
        <v/>
      </c>
      <c r="C148">
        <f>IF($AD148="","",INDEX('Per Line'!$A$2:$A$3001,$AD148)&amp;"")</f>
        <v/>
      </c>
      <c r="D148">
        <f>IF($AD148="","",INDEX('Per Line'!$C$2:$C$3001,$AD148)&amp;"")</f>
        <v/>
      </c>
      <c r="E148">
        <f>IF($AD148="","",INDEX('Per Line'!$B$2:$B$3001,$AD148))</f>
        <v/>
      </c>
      <c r="F148">
        <f>IF($AD148="","",INDEX('Per Line'!$D$2:$D$3001,$AD148)&amp;"")</f>
        <v/>
      </c>
      <c r="G148" s="11">
        <f>IF($AD148="","",INDEX('Per Line'!$G$2:$G$3001,$AD148))</f>
        <v/>
      </c>
      <c r="H148">
        <f>IF($AD148="","",INDEX('Per Line'!$J$2:$J$3001,$AD148)&amp;"")</f>
        <v/>
      </c>
      <c r="I148">
        <f>IF($AD148="","",INDEX('Per Line'!$H$2:$H$3001,$AD148)&amp;"")</f>
        <v/>
      </c>
      <c r="J148">
        <f>IF($AD148="","",INDEX('Per Line'!$F$2:$F$3001,$AD148)&amp;"")</f>
        <v/>
      </c>
      <c r="K148">
        <f>IF($AD148="","",INDEX('Per Line'!$K$2:$K$3001,$AD148)&amp;"")</f>
        <v/>
      </c>
      <c r="L148">
        <f>IF($AD148="","",INDEX('Per Line'!$L$2:$L$3001,$AD148)&amp;"")</f>
        <v/>
      </c>
      <c r="M148">
        <f>IF($AD148="","",INDEX('Per Line'!$M$2:$M$3001,$AD148)&amp;"")</f>
        <v/>
      </c>
      <c r="N148">
        <f>IF($AD148="","",INDEX('Per Line'!$AC$2:$AC$3001,$AD148)&amp;"")</f>
        <v/>
      </c>
      <c r="O148">
        <f>IF($AD148="","",INDEX('Per Line'!$P$2:$P$3001,$AD148))</f>
        <v/>
      </c>
      <c r="P148" s="7">
        <f>IF($AD148="","",IF(AND(ISNUMBER(Q148),Q148&gt;0,AB148&gt;Q148),O148*Q148/100+(AB148-Q148),O148*AB148/100))</f>
        <v/>
      </c>
      <c r="Q148">
        <f>IF($AD148="","",INDEX('Per Line'!$AG$2:$AG$3001,$AD148))</f>
        <v/>
      </c>
      <c r="R148">
        <f>IF($AD148="","",IF(AND(ISNUMBER(Q148),Q148&gt;0),AB148&gt;Q148,FALSE))</f>
        <v/>
      </c>
      <c r="S148" s="7">
        <f>IF($AD148="","",SUMIFS('Per Line'!$AB$2:$AB$3001,'Per Line'!$E$2:$E$3001,$B148,'Per Line'!$AQ$2:$AQ$3001,1))</f>
        <v/>
      </c>
      <c r="T148">
        <f>IF($AD148="","",Settings!$C$7)</f>
        <v/>
      </c>
      <c r="U148" s="7">
        <f>IF($AD148="","",SUMIFS('Per Line'!$AB$2:$AB$3001,'Per Line'!$E$2:$E$3001,$B148,'Per Line'!$AP$2:$AP$3001,0,'Per Line'!$AQ$2:$AQ$3001,0))</f>
        <v/>
      </c>
      <c r="V148" s="7">
        <f>IF($AD148="","",U148*T148)</f>
        <v/>
      </c>
      <c r="W148">
        <f>IF($AD148="","",Settings!$C$6)</f>
        <v/>
      </c>
      <c r="X148" s="7">
        <f>IF($AD148="","",SUMIFS('Per Line'!$AB$2:$AB$3001,'Per Line'!$E$2:$E$3001,$B148,'Per Line'!$AP$2:$AP$3001,1,'Per Line'!$AQ$2:$AQ$3001,0))</f>
        <v/>
      </c>
      <c r="Y148" s="7">
        <f>IF($AD148="","",X148*W148)</f>
        <v/>
      </c>
      <c r="Z148" s="7">
        <f>IF($AD148="","",Y148+V148)</f>
        <v/>
      </c>
      <c r="AA148" s="7">
        <f>IF($AD148="","",AB148-Z148)</f>
        <v/>
      </c>
      <c r="AB148" s="7">
        <f>IF($AD148="","",U148+X148+S148)</f>
        <v/>
      </c>
      <c r="AC148" s="7">
        <f>IF($AD148="","",AB148-Z148-P148)</f>
        <v/>
      </c>
      <c r="AD148" s="13">
        <f>IF(ROWS($AD$2:$AD148)&lt;=MAX('Per Line'!$AO$2:$AO$3001),MATCH(ROWS($AD$2:$AD148),'Per Line'!$AO$2:$AO$3001,0),"")</f>
        <v/>
      </c>
      <c r="AE148" s="14">
        <f>IF($AD148="","",P148-O148*AB148/100)</f>
        <v/>
      </c>
    </row>
    <row r="149">
      <c r="A149" s="12" t="n"/>
      <c r="B149">
        <f>IF($AD149="","",INDEX('Per Line'!$E$2:$E$3001,$AD149)&amp;"")</f>
        <v/>
      </c>
      <c r="C149">
        <f>IF($AD149="","",INDEX('Per Line'!$A$2:$A$3001,$AD149)&amp;"")</f>
        <v/>
      </c>
      <c r="D149">
        <f>IF($AD149="","",INDEX('Per Line'!$C$2:$C$3001,$AD149)&amp;"")</f>
        <v/>
      </c>
      <c r="E149">
        <f>IF($AD149="","",INDEX('Per Line'!$B$2:$B$3001,$AD149))</f>
        <v/>
      </c>
      <c r="F149">
        <f>IF($AD149="","",INDEX('Per Line'!$D$2:$D$3001,$AD149)&amp;"")</f>
        <v/>
      </c>
      <c r="G149" s="11">
        <f>IF($AD149="","",INDEX('Per Line'!$G$2:$G$3001,$AD149))</f>
        <v/>
      </c>
      <c r="H149">
        <f>IF($AD149="","",INDEX('Per Line'!$J$2:$J$3001,$AD149)&amp;"")</f>
        <v/>
      </c>
      <c r="I149">
        <f>IF($AD149="","",INDEX('Per Line'!$H$2:$H$3001,$AD149)&amp;"")</f>
        <v/>
      </c>
      <c r="J149">
        <f>IF($AD149="","",INDEX('Per Line'!$F$2:$F$3001,$AD149)&amp;"")</f>
        <v/>
      </c>
      <c r="K149">
        <f>IF($AD149="","",INDEX('Per Line'!$K$2:$K$3001,$AD149)&amp;"")</f>
        <v/>
      </c>
      <c r="L149">
        <f>IF($AD149="","",INDEX('Per Line'!$L$2:$L$3001,$AD149)&amp;"")</f>
        <v/>
      </c>
      <c r="M149">
        <f>IF($AD149="","",INDEX('Per Line'!$M$2:$M$3001,$AD149)&amp;"")</f>
        <v/>
      </c>
      <c r="N149">
        <f>IF($AD149="","",INDEX('Per Line'!$AC$2:$AC$3001,$AD149)&amp;"")</f>
        <v/>
      </c>
      <c r="O149">
        <f>IF($AD149="","",INDEX('Per Line'!$P$2:$P$3001,$AD149))</f>
        <v/>
      </c>
      <c r="P149" s="7">
        <f>IF($AD149="","",IF(AND(ISNUMBER(Q149),Q149&gt;0,AB149&gt;Q149),O149*Q149/100+(AB149-Q149),O149*AB149/100))</f>
        <v/>
      </c>
      <c r="Q149">
        <f>IF($AD149="","",INDEX('Per Line'!$AG$2:$AG$3001,$AD149))</f>
        <v/>
      </c>
      <c r="R149">
        <f>IF($AD149="","",IF(AND(ISNUMBER(Q149),Q149&gt;0),AB149&gt;Q149,FALSE))</f>
        <v/>
      </c>
      <c r="S149" s="7">
        <f>IF($AD149="","",SUMIFS('Per Line'!$AB$2:$AB$3001,'Per Line'!$E$2:$E$3001,$B149,'Per Line'!$AQ$2:$AQ$3001,1))</f>
        <v/>
      </c>
      <c r="T149">
        <f>IF($AD149="","",Settings!$C$7)</f>
        <v/>
      </c>
      <c r="U149" s="7">
        <f>IF($AD149="","",SUMIFS('Per Line'!$AB$2:$AB$3001,'Per Line'!$E$2:$E$3001,$B149,'Per Line'!$AP$2:$AP$3001,0,'Per Line'!$AQ$2:$AQ$3001,0))</f>
        <v/>
      </c>
      <c r="V149" s="7">
        <f>IF($AD149="","",U149*T149)</f>
        <v/>
      </c>
      <c r="W149">
        <f>IF($AD149="","",Settings!$C$6)</f>
        <v/>
      </c>
      <c r="X149" s="7">
        <f>IF($AD149="","",SUMIFS('Per Line'!$AB$2:$AB$3001,'Per Line'!$E$2:$E$3001,$B149,'Per Line'!$AP$2:$AP$3001,1,'Per Line'!$AQ$2:$AQ$3001,0))</f>
        <v/>
      </c>
      <c r="Y149" s="7">
        <f>IF($AD149="","",X149*W149)</f>
        <v/>
      </c>
      <c r="Z149" s="7">
        <f>IF($AD149="","",Y149+V149)</f>
        <v/>
      </c>
      <c r="AA149" s="7">
        <f>IF($AD149="","",AB149-Z149)</f>
        <v/>
      </c>
      <c r="AB149" s="7">
        <f>IF($AD149="","",U149+X149+S149)</f>
        <v/>
      </c>
      <c r="AC149" s="7">
        <f>IF($AD149="","",AB149-Z149-P149)</f>
        <v/>
      </c>
      <c r="AD149" s="13">
        <f>IF(ROWS($AD$2:$AD149)&lt;=MAX('Per Line'!$AO$2:$AO$3001),MATCH(ROWS($AD$2:$AD149),'Per Line'!$AO$2:$AO$3001,0),"")</f>
        <v/>
      </c>
      <c r="AE149" s="14">
        <f>IF($AD149="","",P149-O149*AB149/100)</f>
        <v/>
      </c>
    </row>
    <row r="150">
      <c r="A150" s="12" t="n"/>
      <c r="B150">
        <f>IF($AD150="","",INDEX('Per Line'!$E$2:$E$3001,$AD150)&amp;"")</f>
        <v/>
      </c>
      <c r="C150">
        <f>IF($AD150="","",INDEX('Per Line'!$A$2:$A$3001,$AD150)&amp;"")</f>
        <v/>
      </c>
      <c r="D150">
        <f>IF($AD150="","",INDEX('Per Line'!$C$2:$C$3001,$AD150)&amp;"")</f>
        <v/>
      </c>
      <c r="E150">
        <f>IF($AD150="","",INDEX('Per Line'!$B$2:$B$3001,$AD150))</f>
        <v/>
      </c>
      <c r="F150">
        <f>IF($AD150="","",INDEX('Per Line'!$D$2:$D$3001,$AD150)&amp;"")</f>
        <v/>
      </c>
      <c r="G150" s="11">
        <f>IF($AD150="","",INDEX('Per Line'!$G$2:$G$3001,$AD150))</f>
        <v/>
      </c>
      <c r="H150">
        <f>IF($AD150="","",INDEX('Per Line'!$J$2:$J$3001,$AD150)&amp;"")</f>
        <v/>
      </c>
      <c r="I150">
        <f>IF($AD150="","",INDEX('Per Line'!$H$2:$H$3001,$AD150)&amp;"")</f>
        <v/>
      </c>
      <c r="J150">
        <f>IF($AD150="","",INDEX('Per Line'!$F$2:$F$3001,$AD150)&amp;"")</f>
        <v/>
      </c>
      <c r="K150">
        <f>IF($AD150="","",INDEX('Per Line'!$K$2:$K$3001,$AD150)&amp;"")</f>
        <v/>
      </c>
      <c r="L150">
        <f>IF($AD150="","",INDEX('Per Line'!$L$2:$L$3001,$AD150)&amp;"")</f>
        <v/>
      </c>
      <c r="M150">
        <f>IF($AD150="","",INDEX('Per Line'!$M$2:$M$3001,$AD150)&amp;"")</f>
        <v/>
      </c>
      <c r="N150">
        <f>IF($AD150="","",INDEX('Per Line'!$AC$2:$AC$3001,$AD150)&amp;"")</f>
        <v/>
      </c>
      <c r="O150">
        <f>IF($AD150="","",INDEX('Per Line'!$P$2:$P$3001,$AD150))</f>
        <v/>
      </c>
      <c r="P150" s="7">
        <f>IF($AD150="","",IF(AND(ISNUMBER(Q150),Q150&gt;0,AB150&gt;Q150),O150*Q150/100+(AB150-Q150),O150*AB150/100))</f>
        <v/>
      </c>
      <c r="Q150">
        <f>IF($AD150="","",INDEX('Per Line'!$AG$2:$AG$3001,$AD150))</f>
        <v/>
      </c>
      <c r="R150">
        <f>IF($AD150="","",IF(AND(ISNUMBER(Q150),Q150&gt;0),AB150&gt;Q150,FALSE))</f>
        <v/>
      </c>
      <c r="S150" s="7">
        <f>IF($AD150="","",SUMIFS('Per Line'!$AB$2:$AB$3001,'Per Line'!$E$2:$E$3001,$B150,'Per Line'!$AQ$2:$AQ$3001,1))</f>
        <v/>
      </c>
      <c r="T150">
        <f>IF($AD150="","",Settings!$C$7)</f>
        <v/>
      </c>
      <c r="U150" s="7">
        <f>IF($AD150="","",SUMIFS('Per Line'!$AB$2:$AB$3001,'Per Line'!$E$2:$E$3001,$B150,'Per Line'!$AP$2:$AP$3001,0,'Per Line'!$AQ$2:$AQ$3001,0))</f>
        <v/>
      </c>
      <c r="V150" s="7">
        <f>IF($AD150="","",U150*T150)</f>
        <v/>
      </c>
      <c r="W150">
        <f>IF($AD150="","",Settings!$C$6)</f>
        <v/>
      </c>
      <c r="X150" s="7">
        <f>IF($AD150="","",SUMIFS('Per Line'!$AB$2:$AB$3001,'Per Line'!$E$2:$E$3001,$B150,'Per Line'!$AP$2:$AP$3001,1,'Per Line'!$AQ$2:$AQ$3001,0))</f>
        <v/>
      </c>
      <c r="Y150" s="7">
        <f>IF($AD150="","",X150*W150)</f>
        <v/>
      </c>
      <c r="Z150" s="7">
        <f>IF($AD150="","",Y150+V150)</f>
        <v/>
      </c>
      <c r="AA150" s="7">
        <f>IF($AD150="","",AB150-Z150)</f>
        <v/>
      </c>
      <c r="AB150" s="7">
        <f>IF($AD150="","",U150+X150+S150)</f>
        <v/>
      </c>
      <c r="AC150" s="7">
        <f>IF($AD150="","",AB150-Z150-P150)</f>
        <v/>
      </c>
      <c r="AD150" s="13">
        <f>IF(ROWS($AD$2:$AD150)&lt;=MAX('Per Line'!$AO$2:$AO$3001),MATCH(ROWS($AD$2:$AD150),'Per Line'!$AO$2:$AO$3001,0),"")</f>
        <v/>
      </c>
      <c r="AE150" s="14">
        <f>IF($AD150="","",P150-O150*AB150/100)</f>
        <v/>
      </c>
    </row>
    <row r="151">
      <c r="A151" s="12" t="n"/>
      <c r="B151">
        <f>IF($AD151="","",INDEX('Per Line'!$E$2:$E$3001,$AD151)&amp;"")</f>
        <v/>
      </c>
      <c r="C151">
        <f>IF($AD151="","",INDEX('Per Line'!$A$2:$A$3001,$AD151)&amp;"")</f>
        <v/>
      </c>
      <c r="D151">
        <f>IF($AD151="","",INDEX('Per Line'!$C$2:$C$3001,$AD151)&amp;"")</f>
        <v/>
      </c>
      <c r="E151">
        <f>IF($AD151="","",INDEX('Per Line'!$B$2:$B$3001,$AD151))</f>
        <v/>
      </c>
      <c r="F151">
        <f>IF($AD151="","",INDEX('Per Line'!$D$2:$D$3001,$AD151)&amp;"")</f>
        <v/>
      </c>
      <c r="G151" s="11">
        <f>IF($AD151="","",INDEX('Per Line'!$G$2:$G$3001,$AD151))</f>
        <v/>
      </c>
      <c r="H151">
        <f>IF($AD151="","",INDEX('Per Line'!$J$2:$J$3001,$AD151)&amp;"")</f>
        <v/>
      </c>
      <c r="I151">
        <f>IF($AD151="","",INDEX('Per Line'!$H$2:$H$3001,$AD151)&amp;"")</f>
        <v/>
      </c>
      <c r="J151">
        <f>IF($AD151="","",INDEX('Per Line'!$F$2:$F$3001,$AD151)&amp;"")</f>
        <v/>
      </c>
      <c r="K151">
        <f>IF($AD151="","",INDEX('Per Line'!$K$2:$K$3001,$AD151)&amp;"")</f>
        <v/>
      </c>
      <c r="L151">
        <f>IF($AD151="","",INDEX('Per Line'!$L$2:$L$3001,$AD151)&amp;"")</f>
        <v/>
      </c>
      <c r="M151">
        <f>IF($AD151="","",INDEX('Per Line'!$M$2:$M$3001,$AD151)&amp;"")</f>
        <v/>
      </c>
      <c r="N151">
        <f>IF($AD151="","",INDEX('Per Line'!$AC$2:$AC$3001,$AD151)&amp;"")</f>
        <v/>
      </c>
      <c r="O151">
        <f>IF($AD151="","",INDEX('Per Line'!$P$2:$P$3001,$AD151))</f>
        <v/>
      </c>
      <c r="P151" s="7">
        <f>IF($AD151="","",IF(AND(ISNUMBER(Q151),Q151&gt;0,AB151&gt;Q151),O151*Q151/100+(AB151-Q151),O151*AB151/100))</f>
        <v/>
      </c>
      <c r="Q151">
        <f>IF($AD151="","",INDEX('Per Line'!$AG$2:$AG$3001,$AD151))</f>
        <v/>
      </c>
      <c r="R151">
        <f>IF($AD151="","",IF(AND(ISNUMBER(Q151),Q151&gt;0),AB151&gt;Q151,FALSE))</f>
        <v/>
      </c>
      <c r="S151" s="7">
        <f>IF($AD151="","",SUMIFS('Per Line'!$AB$2:$AB$3001,'Per Line'!$E$2:$E$3001,$B151,'Per Line'!$AQ$2:$AQ$3001,1))</f>
        <v/>
      </c>
      <c r="T151">
        <f>IF($AD151="","",Settings!$C$7)</f>
        <v/>
      </c>
      <c r="U151" s="7">
        <f>IF($AD151="","",SUMIFS('Per Line'!$AB$2:$AB$3001,'Per Line'!$E$2:$E$3001,$B151,'Per Line'!$AP$2:$AP$3001,0,'Per Line'!$AQ$2:$AQ$3001,0))</f>
        <v/>
      </c>
      <c r="V151" s="7">
        <f>IF($AD151="","",U151*T151)</f>
        <v/>
      </c>
      <c r="W151">
        <f>IF($AD151="","",Settings!$C$6)</f>
        <v/>
      </c>
      <c r="X151" s="7">
        <f>IF($AD151="","",SUMIFS('Per Line'!$AB$2:$AB$3001,'Per Line'!$E$2:$E$3001,$B151,'Per Line'!$AP$2:$AP$3001,1,'Per Line'!$AQ$2:$AQ$3001,0))</f>
        <v/>
      </c>
      <c r="Y151" s="7">
        <f>IF($AD151="","",X151*W151)</f>
        <v/>
      </c>
      <c r="Z151" s="7">
        <f>IF($AD151="","",Y151+V151)</f>
        <v/>
      </c>
      <c r="AA151" s="7">
        <f>IF($AD151="","",AB151-Z151)</f>
        <v/>
      </c>
      <c r="AB151" s="7">
        <f>IF($AD151="","",U151+X151+S151)</f>
        <v/>
      </c>
      <c r="AC151" s="7">
        <f>IF($AD151="","",AB151-Z151-P151)</f>
        <v/>
      </c>
      <c r="AD151" s="13">
        <f>IF(ROWS($AD$2:$AD151)&lt;=MAX('Per Line'!$AO$2:$AO$3001),MATCH(ROWS($AD$2:$AD151),'Per Line'!$AO$2:$AO$3001,0),"")</f>
        <v/>
      </c>
      <c r="AE151" s="14">
        <f>IF($AD151="","",P151-O151*AB151/100)</f>
        <v/>
      </c>
    </row>
    <row r="152">
      <c r="A152" s="12" t="n"/>
      <c r="B152">
        <f>IF($AD152="","",INDEX('Per Line'!$E$2:$E$3001,$AD152)&amp;"")</f>
        <v/>
      </c>
      <c r="C152">
        <f>IF($AD152="","",INDEX('Per Line'!$A$2:$A$3001,$AD152)&amp;"")</f>
        <v/>
      </c>
      <c r="D152">
        <f>IF($AD152="","",INDEX('Per Line'!$C$2:$C$3001,$AD152)&amp;"")</f>
        <v/>
      </c>
      <c r="E152">
        <f>IF($AD152="","",INDEX('Per Line'!$B$2:$B$3001,$AD152))</f>
        <v/>
      </c>
      <c r="F152">
        <f>IF($AD152="","",INDEX('Per Line'!$D$2:$D$3001,$AD152)&amp;"")</f>
        <v/>
      </c>
      <c r="G152" s="11">
        <f>IF($AD152="","",INDEX('Per Line'!$G$2:$G$3001,$AD152))</f>
        <v/>
      </c>
      <c r="H152">
        <f>IF($AD152="","",INDEX('Per Line'!$J$2:$J$3001,$AD152)&amp;"")</f>
        <v/>
      </c>
      <c r="I152">
        <f>IF($AD152="","",INDEX('Per Line'!$H$2:$H$3001,$AD152)&amp;"")</f>
        <v/>
      </c>
      <c r="J152">
        <f>IF($AD152="","",INDEX('Per Line'!$F$2:$F$3001,$AD152)&amp;"")</f>
        <v/>
      </c>
      <c r="K152">
        <f>IF($AD152="","",INDEX('Per Line'!$K$2:$K$3001,$AD152)&amp;"")</f>
        <v/>
      </c>
      <c r="L152">
        <f>IF($AD152="","",INDEX('Per Line'!$L$2:$L$3001,$AD152)&amp;"")</f>
        <v/>
      </c>
      <c r="M152">
        <f>IF($AD152="","",INDEX('Per Line'!$M$2:$M$3001,$AD152)&amp;"")</f>
        <v/>
      </c>
      <c r="N152">
        <f>IF($AD152="","",INDEX('Per Line'!$AC$2:$AC$3001,$AD152)&amp;"")</f>
        <v/>
      </c>
      <c r="O152">
        <f>IF($AD152="","",INDEX('Per Line'!$P$2:$P$3001,$AD152))</f>
        <v/>
      </c>
      <c r="P152" s="7">
        <f>IF($AD152="","",IF(AND(ISNUMBER(Q152),Q152&gt;0,AB152&gt;Q152),O152*Q152/100+(AB152-Q152),O152*AB152/100))</f>
        <v/>
      </c>
      <c r="Q152">
        <f>IF($AD152="","",INDEX('Per Line'!$AG$2:$AG$3001,$AD152))</f>
        <v/>
      </c>
      <c r="R152">
        <f>IF($AD152="","",IF(AND(ISNUMBER(Q152),Q152&gt;0),AB152&gt;Q152,FALSE))</f>
        <v/>
      </c>
      <c r="S152" s="7">
        <f>IF($AD152="","",SUMIFS('Per Line'!$AB$2:$AB$3001,'Per Line'!$E$2:$E$3001,$B152,'Per Line'!$AQ$2:$AQ$3001,1))</f>
        <v/>
      </c>
      <c r="T152">
        <f>IF($AD152="","",Settings!$C$7)</f>
        <v/>
      </c>
      <c r="U152" s="7">
        <f>IF($AD152="","",SUMIFS('Per Line'!$AB$2:$AB$3001,'Per Line'!$E$2:$E$3001,$B152,'Per Line'!$AP$2:$AP$3001,0,'Per Line'!$AQ$2:$AQ$3001,0))</f>
        <v/>
      </c>
      <c r="V152" s="7">
        <f>IF($AD152="","",U152*T152)</f>
        <v/>
      </c>
      <c r="W152">
        <f>IF($AD152="","",Settings!$C$6)</f>
        <v/>
      </c>
      <c r="X152" s="7">
        <f>IF($AD152="","",SUMIFS('Per Line'!$AB$2:$AB$3001,'Per Line'!$E$2:$E$3001,$B152,'Per Line'!$AP$2:$AP$3001,1,'Per Line'!$AQ$2:$AQ$3001,0))</f>
        <v/>
      </c>
      <c r="Y152" s="7">
        <f>IF($AD152="","",X152*W152)</f>
        <v/>
      </c>
      <c r="Z152" s="7">
        <f>IF($AD152="","",Y152+V152)</f>
        <v/>
      </c>
      <c r="AA152" s="7">
        <f>IF($AD152="","",AB152-Z152)</f>
        <v/>
      </c>
      <c r="AB152" s="7">
        <f>IF($AD152="","",U152+X152+S152)</f>
        <v/>
      </c>
      <c r="AC152" s="7">
        <f>IF($AD152="","",AB152-Z152-P152)</f>
        <v/>
      </c>
      <c r="AD152" s="13">
        <f>IF(ROWS($AD$2:$AD152)&lt;=MAX('Per Line'!$AO$2:$AO$3001),MATCH(ROWS($AD$2:$AD152),'Per Line'!$AO$2:$AO$3001,0),"")</f>
        <v/>
      </c>
      <c r="AE152" s="14">
        <f>IF($AD152="","",P152-O152*AB152/100)</f>
        <v/>
      </c>
    </row>
    <row r="153">
      <c r="A153" s="12" t="n"/>
      <c r="B153">
        <f>IF($AD153="","",INDEX('Per Line'!$E$2:$E$3001,$AD153)&amp;"")</f>
        <v/>
      </c>
      <c r="C153">
        <f>IF($AD153="","",INDEX('Per Line'!$A$2:$A$3001,$AD153)&amp;"")</f>
        <v/>
      </c>
      <c r="D153">
        <f>IF($AD153="","",INDEX('Per Line'!$C$2:$C$3001,$AD153)&amp;"")</f>
        <v/>
      </c>
      <c r="E153">
        <f>IF($AD153="","",INDEX('Per Line'!$B$2:$B$3001,$AD153))</f>
        <v/>
      </c>
      <c r="F153">
        <f>IF($AD153="","",INDEX('Per Line'!$D$2:$D$3001,$AD153)&amp;"")</f>
        <v/>
      </c>
      <c r="G153" s="11">
        <f>IF($AD153="","",INDEX('Per Line'!$G$2:$G$3001,$AD153))</f>
        <v/>
      </c>
      <c r="H153">
        <f>IF($AD153="","",INDEX('Per Line'!$J$2:$J$3001,$AD153)&amp;"")</f>
        <v/>
      </c>
      <c r="I153">
        <f>IF($AD153="","",INDEX('Per Line'!$H$2:$H$3001,$AD153)&amp;"")</f>
        <v/>
      </c>
      <c r="J153">
        <f>IF($AD153="","",INDEX('Per Line'!$F$2:$F$3001,$AD153)&amp;"")</f>
        <v/>
      </c>
      <c r="K153">
        <f>IF($AD153="","",INDEX('Per Line'!$K$2:$K$3001,$AD153)&amp;"")</f>
        <v/>
      </c>
      <c r="L153">
        <f>IF($AD153="","",INDEX('Per Line'!$L$2:$L$3001,$AD153)&amp;"")</f>
        <v/>
      </c>
      <c r="M153">
        <f>IF($AD153="","",INDEX('Per Line'!$M$2:$M$3001,$AD153)&amp;"")</f>
        <v/>
      </c>
      <c r="N153">
        <f>IF($AD153="","",INDEX('Per Line'!$AC$2:$AC$3001,$AD153)&amp;"")</f>
        <v/>
      </c>
      <c r="O153">
        <f>IF($AD153="","",INDEX('Per Line'!$P$2:$P$3001,$AD153))</f>
        <v/>
      </c>
      <c r="P153" s="7">
        <f>IF($AD153="","",IF(AND(ISNUMBER(Q153),Q153&gt;0,AB153&gt;Q153),O153*Q153/100+(AB153-Q153),O153*AB153/100))</f>
        <v/>
      </c>
      <c r="Q153">
        <f>IF($AD153="","",INDEX('Per Line'!$AG$2:$AG$3001,$AD153))</f>
        <v/>
      </c>
      <c r="R153">
        <f>IF($AD153="","",IF(AND(ISNUMBER(Q153),Q153&gt;0),AB153&gt;Q153,FALSE))</f>
        <v/>
      </c>
      <c r="S153" s="7">
        <f>IF($AD153="","",SUMIFS('Per Line'!$AB$2:$AB$3001,'Per Line'!$E$2:$E$3001,$B153,'Per Line'!$AQ$2:$AQ$3001,1))</f>
        <v/>
      </c>
      <c r="T153">
        <f>IF($AD153="","",Settings!$C$7)</f>
        <v/>
      </c>
      <c r="U153" s="7">
        <f>IF($AD153="","",SUMIFS('Per Line'!$AB$2:$AB$3001,'Per Line'!$E$2:$E$3001,$B153,'Per Line'!$AP$2:$AP$3001,0,'Per Line'!$AQ$2:$AQ$3001,0))</f>
        <v/>
      </c>
      <c r="V153" s="7">
        <f>IF($AD153="","",U153*T153)</f>
        <v/>
      </c>
      <c r="W153">
        <f>IF($AD153="","",Settings!$C$6)</f>
        <v/>
      </c>
      <c r="X153" s="7">
        <f>IF($AD153="","",SUMIFS('Per Line'!$AB$2:$AB$3001,'Per Line'!$E$2:$E$3001,$B153,'Per Line'!$AP$2:$AP$3001,1,'Per Line'!$AQ$2:$AQ$3001,0))</f>
        <v/>
      </c>
      <c r="Y153" s="7">
        <f>IF($AD153="","",X153*W153)</f>
        <v/>
      </c>
      <c r="Z153" s="7">
        <f>IF($AD153="","",Y153+V153)</f>
        <v/>
      </c>
      <c r="AA153" s="7">
        <f>IF($AD153="","",AB153-Z153)</f>
        <v/>
      </c>
      <c r="AB153" s="7">
        <f>IF($AD153="","",U153+X153+S153)</f>
        <v/>
      </c>
      <c r="AC153" s="7">
        <f>IF($AD153="","",AB153-Z153-P153)</f>
        <v/>
      </c>
      <c r="AD153" s="13">
        <f>IF(ROWS($AD$2:$AD153)&lt;=MAX('Per Line'!$AO$2:$AO$3001),MATCH(ROWS($AD$2:$AD153),'Per Line'!$AO$2:$AO$3001,0),"")</f>
        <v/>
      </c>
      <c r="AE153" s="14">
        <f>IF($AD153="","",P153-O153*AB153/100)</f>
        <v/>
      </c>
    </row>
    <row r="154">
      <c r="A154" s="12" t="n"/>
      <c r="B154">
        <f>IF($AD154="","",INDEX('Per Line'!$E$2:$E$3001,$AD154)&amp;"")</f>
        <v/>
      </c>
      <c r="C154">
        <f>IF($AD154="","",INDEX('Per Line'!$A$2:$A$3001,$AD154)&amp;"")</f>
        <v/>
      </c>
      <c r="D154">
        <f>IF($AD154="","",INDEX('Per Line'!$C$2:$C$3001,$AD154)&amp;"")</f>
        <v/>
      </c>
      <c r="E154">
        <f>IF($AD154="","",INDEX('Per Line'!$B$2:$B$3001,$AD154))</f>
        <v/>
      </c>
      <c r="F154">
        <f>IF($AD154="","",INDEX('Per Line'!$D$2:$D$3001,$AD154)&amp;"")</f>
        <v/>
      </c>
      <c r="G154" s="11">
        <f>IF($AD154="","",INDEX('Per Line'!$G$2:$G$3001,$AD154))</f>
        <v/>
      </c>
      <c r="H154">
        <f>IF($AD154="","",INDEX('Per Line'!$J$2:$J$3001,$AD154)&amp;"")</f>
        <v/>
      </c>
      <c r="I154">
        <f>IF($AD154="","",INDEX('Per Line'!$H$2:$H$3001,$AD154)&amp;"")</f>
        <v/>
      </c>
      <c r="J154">
        <f>IF($AD154="","",INDEX('Per Line'!$F$2:$F$3001,$AD154)&amp;"")</f>
        <v/>
      </c>
      <c r="K154">
        <f>IF($AD154="","",INDEX('Per Line'!$K$2:$K$3001,$AD154)&amp;"")</f>
        <v/>
      </c>
      <c r="L154">
        <f>IF($AD154="","",INDEX('Per Line'!$L$2:$L$3001,$AD154)&amp;"")</f>
        <v/>
      </c>
      <c r="M154">
        <f>IF($AD154="","",INDEX('Per Line'!$M$2:$M$3001,$AD154)&amp;"")</f>
        <v/>
      </c>
      <c r="N154">
        <f>IF($AD154="","",INDEX('Per Line'!$AC$2:$AC$3001,$AD154)&amp;"")</f>
        <v/>
      </c>
      <c r="O154">
        <f>IF($AD154="","",INDEX('Per Line'!$P$2:$P$3001,$AD154))</f>
        <v/>
      </c>
      <c r="P154" s="7">
        <f>IF($AD154="","",IF(AND(ISNUMBER(Q154),Q154&gt;0,AB154&gt;Q154),O154*Q154/100+(AB154-Q154),O154*AB154/100))</f>
        <v/>
      </c>
      <c r="Q154">
        <f>IF($AD154="","",INDEX('Per Line'!$AG$2:$AG$3001,$AD154))</f>
        <v/>
      </c>
      <c r="R154">
        <f>IF($AD154="","",IF(AND(ISNUMBER(Q154),Q154&gt;0),AB154&gt;Q154,FALSE))</f>
        <v/>
      </c>
      <c r="S154" s="7">
        <f>IF($AD154="","",SUMIFS('Per Line'!$AB$2:$AB$3001,'Per Line'!$E$2:$E$3001,$B154,'Per Line'!$AQ$2:$AQ$3001,1))</f>
        <v/>
      </c>
      <c r="T154">
        <f>IF($AD154="","",Settings!$C$7)</f>
        <v/>
      </c>
      <c r="U154" s="7">
        <f>IF($AD154="","",SUMIFS('Per Line'!$AB$2:$AB$3001,'Per Line'!$E$2:$E$3001,$B154,'Per Line'!$AP$2:$AP$3001,0,'Per Line'!$AQ$2:$AQ$3001,0))</f>
        <v/>
      </c>
      <c r="V154" s="7">
        <f>IF($AD154="","",U154*T154)</f>
        <v/>
      </c>
      <c r="W154">
        <f>IF($AD154="","",Settings!$C$6)</f>
        <v/>
      </c>
      <c r="X154" s="7">
        <f>IF($AD154="","",SUMIFS('Per Line'!$AB$2:$AB$3001,'Per Line'!$E$2:$E$3001,$B154,'Per Line'!$AP$2:$AP$3001,1,'Per Line'!$AQ$2:$AQ$3001,0))</f>
        <v/>
      </c>
      <c r="Y154" s="7">
        <f>IF($AD154="","",X154*W154)</f>
        <v/>
      </c>
      <c r="Z154" s="7">
        <f>IF($AD154="","",Y154+V154)</f>
        <v/>
      </c>
      <c r="AA154" s="7">
        <f>IF($AD154="","",AB154-Z154)</f>
        <v/>
      </c>
      <c r="AB154" s="7">
        <f>IF($AD154="","",U154+X154+S154)</f>
        <v/>
      </c>
      <c r="AC154" s="7">
        <f>IF($AD154="","",AB154-Z154-P154)</f>
        <v/>
      </c>
      <c r="AD154" s="13">
        <f>IF(ROWS($AD$2:$AD154)&lt;=MAX('Per Line'!$AO$2:$AO$3001),MATCH(ROWS($AD$2:$AD154),'Per Line'!$AO$2:$AO$3001,0),"")</f>
        <v/>
      </c>
      <c r="AE154" s="14">
        <f>IF($AD154="","",P154-O154*AB154/100)</f>
        <v/>
      </c>
    </row>
    <row r="155">
      <c r="A155" s="12" t="n"/>
      <c r="B155">
        <f>IF($AD155="","",INDEX('Per Line'!$E$2:$E$3001,$AD155)&amp;"")</f>
        <v/>
      </c>
      <c r="C155">
        <f>IF($AD155="","",INDEX('Per Line'!$A$2:$A$3001,$AD155)&amp;"")</f>
        <v/>
      </c>
      <c r="D155">
        <f>IF($AD155="","",INDEX('Per Line'!$C$2:$C$3001,$AD155)&amp;"")</f>
        <v/>
      </c>
      <c r="E155">
        <f>IF($AD155="","",INDEX('Per Line'!$B$2:$B$3001,$AD155))</f>
        <v/>
      </c>
      <c r="F155">
        <f>IF($AD155="","",INDEX('Per Line'!$D$2:$D$3001,$AD155)&amp;"")</f>
        <v/>
      </c>
      <c r="G155" s="11">
        <f>IF($AD155="","",INDEX('Per Line'!$G$2:$G$3001,$AD155))</f>
        <v/>
      </c>
      <c r="H155">
        <f>IF($AD155="","",INDEX('Per Line'!$J$2:$J$3001,$AD155)&amp;"")</f>
        <v/>
      </c>
      <c r="I155">
        <f>IF($AD155="","",INDEX('Per Line'!$H$2:$H$3001,$AD155)&amp;"")</f>
        <v/>
      </c>
      <c r="J155">
        <f>IF($AD155="","",INDEX('Per Line'!$F$2:$F$3001,$AD155)&amp;"")</f>
        <v/>
      </c>
      <c r="K155">
        <f>IF($AD155="","",INDEX('Per Line'!$K$2:$K$3001,$AD155)&amp;"")</f>
        <v/>
      </c>
      <c r="L155">
        <f>IF($AD155="","",INDEX('Per Line'!$L$2:$L$3001,$AD155)&amp;"")</f>
        <v/>
      </c>
      <c r="M155">
        <f>IF($AD155="","",INDEX('Per Line'!$M$2:$M$3001,$AD155)&amp;"")</f>
        <v/>
      </c>
      <c r="N155">
        <f>IF($AD155="","",INDEX('Per Line'!$AC$2:$AC$3001,$AD155)&amp;"")</f>
        <v/>
      </c>
      <c r="O155">
        <f>IF($AD155="","",INDEX('Per Line'!$P$2:$P$3001,$AD155))</f>
        <v/>
      </c>
      <c r="P155" s="7">
        <f>IF($AD155="","",IF(AND(ISNUMBER(Q155),Q155&gt;0,AB155&gt;Q155),O155*Q155/100+(AB155-Q155),O155*AB155/100))</f>
        <v/>
      </c>
      <c r="Q155">
        <f>IF($AD155="","",INDEX('Per Line'!$AG$2:$AG$3001,$AD155))</f>
        <v/>
      </c>
      <c r="R155">
        <f>IF($AD155="","",IF(AND(ISNUMBER(Q155),Q155&gt;0),AB155&gt;Q155,FALSE))</f>
        <v/>
      </c>
      <c r="S155" s="7">
        <f>IF($AD155="","",SUMIFS('Per Line'!$AB$2:$AB$3001,'Per Line'!$E$2:$E$3001,$B155,'Per Line'!$AQ$2:$AQ$3001,1))</f>
        <v/>
      </c>
      <c r="T155">
        <f>IF($AD155="","",Settings!$C$7)</f>
        <v/>
      </c>
      <c r="U155" s="7">
        <f>IF($AD155="","",SUMIFS('Per Line'!$AB$2:$AB$3001,'Per Line'!$E$2:$E$3001,$B155,'Per Line'!$AP$2:$AP$3001,0,'Per Line'!$AQ$2:$AQ$3001,0))</f>
        <v/>
      </c>
      <c r="V155" s="7">
        <f>IF($AD155="","",U155*T155)</f>
        <v/>
      </c>
      <c r="W155">
        <f>IF($AD155="","",Settings!$C$6)</f>
        <v/>
      </c>
      <c r="X155" s="7">
        <f>IF($AD155="","",SUMIFS('Per Line'!$AB$2:$AB$3001,'Per Line'!$E$2:$E$3001,$B155,'Per Line'!$AP$2:$AP$3001,1,'Per Line'!$AQ$2:$AQ$3001,0))</f>
        <v/>
      </c>
      <c r="Y155" s="7">
        <f>IF($AD155="","",X155*W155)</f>
        <v/>
      </c>
      <c r="Z155" s="7">
        <f>IF($AD155="","",Y155+V155)</f>
        <v/>
      </c>
      <c r="AA155" s="7">
        <f>IF($AD155="","",AB155-Z155)</f>
        <v/>
      </c>
      <c r="AB155" s="7">
        <f>IF($AD155="","",U155+X155+S155)</f>
        <v/>
      </c>
      <c r="AC155" s="7">
        <f>IF($AD155="","",AB155-Z155-P155)</f>
        <v/>
      </c>
      <c r="AD155" s="13">
        <f>IF(ROWS($AD$2:$AD155)&lt;=MAX('Per Line'!$AO$2:$AO$3001),MATCH(ROWS($AD$2:$AD155),'Per Line'!$AO$2:$AO$3001,0),"")</f>
        <v/>
      </c>
      <c r="AE155" s="14">
        <f>IF($AD155="","",P155-O155*AB155/100)</f>
        <v/>
      </c>
    </row>
    <row r="156">
      <c r="A156" s="12" t="n"/>
      <c r="B156">
        <f>IF($AD156="","",INDEX('Per Line'!$E$2:$E$3001,$AD156)&amp;"")</f>
        <v/>
      </c>
      <c r="C156">
        <f>IF($AD156="","",INDEX('Per Line'!$A$2:$A$3001,$AD156)&amp;"")</f>
        <v/>
      </c>
      <c r="D156">
        <f>IF($AD156="","",INDEX('Per Line'!$C$2:$C$3001,$AD156)&amp;"")</f>
        <v/>
      </c>
      <c r="E156">
        <f>IF($AD156="","",INDEX('Per Line'!$B$2:$B$3001,$AD156))</f>
        <v/>
      </c>
      <c r="F156">
        <f>IF($AD156="","",INDEX('Per Line'!$D$2:$D$3001,$AD156)&amp;"")</f>
        <v/>
      </c>
      <c r="G156" s="11">
        <f>IF($AD156="","",INDEX('Per Line'!$G$2:$G$3001,$AD156))</f>
        <v/>
      </c>
      <c r="H156">
        <f>IF($AD156="","",INDEX('Per Line'!$J$2:$J$3001,$AD156)&amp;"")</f>
        <v/>
      </c>
      <c r="I156">
        <f>IF($AD156="","",INDEX('Per Line'!$H$2:$H$3001,$AD156)&amp;"")</f>
        <v/>
      </c>
      <c r="J156">
        <f>IF($AD156="","",INDEX('Per Line'!$F$2:$F$3001,$AD156)&amp;"")</f>
        <v/>
      </c>
      <c r="K156">
        <f>IF($AD156="","",INDEX('Per Line'!$K$2:$K$3001,$AD156)&amp;"")</f>
        <v/>
      </c>
      <c r="L156">
        <f>IF($AD156="","",INDEX('Per Line'!$L$2:$L$3001,$AD156)&amp;"")</f>
        <v/>
      </c>
      <c r="M156">
        <f>IF($AD156="","",INDEX('Per Line'!$M$2:$M$3001,$AD156)&amp;"")</f>
        <v/>
      </c>
      <c r="N156">
        <f>IF($AD156="","",INDEX('Per Line'!$AC$2:$AC$3001,$AD156)&amp;"")</f>
        <v/>
      </c>
      <c r="O156">
        <f>IF($AD156="","",INDEX('Per Line'!$P$2:$P$3001,$AD156))</f>
        <v/>
      </c>
      <c r="P156" s="7">
        <f>IF($AD156="","",IF(AND(ISNUMBER(Q156),Q156&gt;0,AB156&gt;Q156),O156*Q156/100+(AB156-Q156),O156*AB156/100))</f>
        <v/>
      </c>
      <c r="Q156">
        <f>IF($AD156="","",INDEX('Per Line'!$AG$2:$AG$3001,$AD156))</f>
        <v/>
      </c>
      <c r="R156">
        <f>IF($AD156="","",IF(AND(ISNUMBER(Q156),Q156&gt;0),AB156&gt;Q156,FALSE))</f>
        <v/>
      </c>
      <c r="S156" s="7">
        <f>IF($AD156="","",SUMIFS('Per Line'!$AB$2:$AB$3001,'Per Line'!$E$2:$E$3001,$B156,'Per Line'!$AQ$2:$AQ$3001,1))</f>
        <v/>
      </c>
      <c r="T156">
        <f>IF($AD156="","",Settings!$C$7)</f>
        <v/>
      </c>
      <c r="U156" s="7">
        <f>IF($AD156="","",SUMIFS('Per Line'!$AB$2:$AB$3001,'Per Line'!$E$2:$E$3001,$B156,'Per Line'!$AP$2:$AP$3001,0,'Per Line'!$AQ$2:$AQ$3001,0))</f>
        <v/>
      </c>
      <c r="V156" s="7">
        <f>IF($AD156="","",U156*T156)</f>
        <v/>
      </c>
      <c r="W156">
        <f>IF($AD156="","",Settings!$C$6)</f>
        <v/>
      </c>
      <c r="X156" s="7">
        <f>IF($AD156="","",SUMIFS('Per Line'!$AB$2:$AB$3001,'Per Line'!$E$2:$E$3001,$B156,'Per Line'!$AP$2:$AP$3001,1,'Per Line'!$AQ$2:$AQ$3001,0))</f>
        <v/>
      </c>
      <c r="Y156" s="7">
        <f>IF($AD156="","",X156*W156)</f>
        <v/>
      </c>
      <c r="Z156" s="7">
        <f>IF($AD156="","",Y156+V156)</f>
        <v/>
      </c>
      <c r="AA156" s="7">
        <f>IF($AD156="","",AB156-Z156)</f>
        <v/>
      </c>
      <c r="AB156" s="7">
        <f>IF($AD156="","",U156+X156+S156)</f>
        <v/>
      </c>
      <c r="AC156" s="7">
        <f>IF($AD156="","",AB156-Z156-P156)</f>
        <v/>
      </c>
      <c r="AD156" s="13">
        <f>IF(ROWS($AD$2:$AD156)&lt;=MAX('Per Line'!$AO$2:$AO$3001),MATCH(ROWS($AD$2:$AD156),'Per Line'!$AO$2:$AO$3001,0),"")</f>
        <v/>
      </c>
      <c r="AE156" s="14">
        <f>IF($AD156="","",P156-O156*AB156/100)</f>
        <v/>
      </c>
    </row>
    <row r="157">
      <c r="A157" s="12" t="n"/>
      <c r="B157">
        <f>IF($AD157="","",INDEX('Per Line'!$E$2:$E$3001,$AD157)&amp;"")</f>
        <v/>
      </c>
      <c r="C157">
        <f>IF($AD157="","",INDEX('Per Line'!$A$2:$A$3001,$AD157)&amp;"")</f>
        <v/>
      </c>
      <c r="D157">
        <f>IF($AD157="","",INDEX('Per Line'!$C$2:$C$3001,$AD157)&amp;"")</f>
        <v/>
      </c>
      <c r="E157">
        <f>IF($AD157="","",INDEX('Per Line'!$B$2:$B$3001,$AD157))</f>
        <v/>
      </c>
      <c r="F157">
        <f>IF($AD157="","",INDEX('Per Line'!$D$2:$D$3001,$AD157)&amp;"")</f>
        <v/>
      </c>
      <c r="G157" s="11">
        <f>IF($AD157="","",INDEX('Per Line'!$G$2:$G$3001,$AD157))</f>
        <v/>
      </c>
      <c r="H157">
        <f>IF($AD157="","",INDEX('Per Line'!$J$2:$J$3001,$AD157)&amp;"")</f>
        <v/>
      </c>
      <c r="I157">
        <f>IF($AD157="","",INDEX('Per Line'!$H$2:$H$3001,$AD157)&amp;"")</f>
        <v/>
      </c>
      <c r="J157">
        <f>IF($AD157="","",INDEX('Per Line'!$F$2:$F$3001,$AD157)&amp;"")</f>
        <v/>
      </c>
      <c r="K157">
        <f>IF($AD157="","",INDEX('Per Line'!$K$2:$K$3001,$AD157)&amp;"")</f>
        <v/>
      </c>
      <c r="L157">
        <f>IF($AD157="","",INDEX('Per Line'!$L$2:$L$3001,$AD157)&amp;"")</f>
        <v/>
      </c>
      <c r="M157">
        <f>IF($AD157="","",INDEX('Per Line'!$M$2:$M$3001,$AD157)&amp;"")</f>
        <v/>
      </c>
      <c r="N157">
        <f>IF($AD157="","",INDEX('Per Line'!$AC$2:$AC$3001,$AD157)&amp;"")</f>
        <v/>
      </c>
      <c r="O157">
        <f>IF($AD157="","",INDEX('Per Line'!$P$2:$P$3001,$AD157))</f>
        <v/>
      </c>
      <c r="P157" s="7">
        <f>IF($AD157="","",IF(AND(ISNUMBER(Q157),Q157&gt;0,AB157&gt;Q157),O157*Q157/100+(AB157-Q157),O157*AB157/100))</f>
        <v/>
      </c>
      <c r="Q157">
        <f>IF($AD157="","",INDEX('Per Line'!$AG$2:$AG$3001,$AD157))</f>
        <v/>
      </c>
      <c r="R157">
        <f>IF($AD157="","",IF(AND(ISNUMBER(Q157),Q157&gt;0),AB157&gt;Q157,FALSE))</f>
        <v/>
      </c>
      <c r="S157" s="7">
        <f>IF($AD157="","",SUMIFS('Per Line'!$AB$2:$AB$3001,'Per Line'!$E$2:$E$3001,$B157,'Per Line'!$AQ$2:$AQ$3001,1))</f>
        <v/>
      </c>
      <c r="T157">
        <f>IF($AD157="","",Settings!$C$7)</f>
        <v/>
      </c>
      <c r="U157" s="7">
        <f>IF($AD157="","",SUMIFS('Per Line'!$AB$2:$AB$3001,'Per Line'!$E$2:$E$3001,$B157,'Per Line'!$AP$2:$AP$3001,0,'Per Line'!$AQ$2:$AQ$3001,0))</f>
        <v/>
      </c>
      <c r="V157" s="7">
        <f>IF($AD157="","",U157*T157)</f>
        <v/>
      </c>
      <c r="W157">
        <f>IF($AD157="","",Settings!$C$6)</f>
        <v/>
      </c>
      <c r="X157" s="7">
        <f>IF($AD157="","",SUMIFS('Per Line'!$AB$2:$AB$3001,'Per Line'!$E$2:$E$3001,$B157,'Per Line'!$AP$2:$AP$3001,1,'Per Line'!$AQ$2:$AQ$3001,0))</f>
        <v/>
      </c>
      <c r="Y157" s="7">
        <f>IF($AD157="","",X157*W157)</f>
        <v/>
      </c>
      <c r="Z157" s="7">
        <f>IF($AD157="","",Y157+V157)</f>
        <v/>
      </c>
      <c r="AA157" s="7">
        <f>IF($AD157="","",AB157-Z157)</f>
        <v/>
      </c>
      <c r="AB157" s="7">
        <f>IF($AD157="","",U157+X157+S157)</f>
        <v/>
      </c>
      <c r="AC157" s="7">
        <f>IF($AD157="","",AB157-Z157-P157)</f>
        <v/>
      </c>
      <c r="AD157" s="13">
        <f>IF(ROWS($AD$2:$AD157)&lt;=MAX('Per Line'!$AO$2:$AO$3001),MATCH(ROWS($AD$2:$AD157),'Per Line'!$AO$2:$AO$3001,0),"")</f>
        <v/>
      </c>
      <c r="AE157" s="14">
        <f>IF($AD157="","",P157-O157*AB157/100)</f>
        <v/>
      </c>
    </row>
    <row r="158">
      <c r="A158" s="12" t="n"/>
      <c r="B158">
        <f>IF($AD158="","",INDEX('Per Line'!$E$2:$E$3001,$AD158)&amp;"")</f>
        <v/>
      </c>
      <c r="C158">
        <f>IF($AD158="","",INDEX('Per Line'!$A$2:$A$3001,$AD158)&amp;"")</f>
        <v/>
      </c>
      <c r="D158">
        <f>IF($AD158="","",INDEX('Per Line'!$C$2:$C$3001,$AD158)&amp;"")</f>
        <v/>
      </c>
      <c r="E158">
        <f>IF($AD158="","",INDEX('Per Line'!$B$2:$B$3001,$AD158))</f>
        <v/>
      </c>
      <c r="F158">
        <f>IF($AD158="","",INDEX('Per Line'!$D$2:$D$3001,$AD158)&amp;"")</f>
        <v/>
      </c>
      <c r="G158" s="11">
        <f>IF($AD158="","",INDEX('Per Line'!$G$2:$G$3001,$AD158))</f>
        <v/>
      </c>
      <c r="H158">
        <f>IF($AD158="","",INDEX('Per Line'!$J$2:$J$3001,$AD158)&amp;"")</f>
        <v/>
      </c>
      <c r="I158">
        <f>IF($AD158="","",INDEX('Per Line'!$H$2:$H$3001,$AD158)&amp;"")</f>
        <v/>
      </c>
      <c r="J158">
        <f>IF($AD158="","",INDEX('Per Line'!$F$2:$F$3001,$AD158)&amp;"")</f>
        <v/>
      </c>
      <c r="K158">
        <f>IF($AD158="","",INDEX('Per Line'!$K$2:$K$3001,$AD158)&amp;"")</f>
        <v/>
      </c>
      <c r="L158">
        <f>IF($AD158="","",INDEX('Per Line'!$L$2:$L$3001,$AD158)&amp;"")</f>
        <v/>
      </c>
      <c r="M158">
        <f>IF($AD158="","",INDEX('Per Line'!$M$2:$M$3001,$AD158)&amp;"")</f>
        <v/>
      </c>
      <c r="N158">
        <f>IF($AD158="","",INDEX('Per Line'!$AC$2:$AC$3001,$AD158)&amp;"")</f>
        <v/>
      </c>
      <c r="O158">
        <f>IF($AD158="","",INDEX('Per Line'!$P$2:$P$3001,$AD158))</f>
        <v/>
      </c>
      <c r="P158" s="7">
        <f>IF($AD158="","",IF(AND(ISNUMBER(Q158),Q158&gt;0,AB158&gt;Q158),O158*Q158/100+(AB158-Q158),O158*AB158/100))</f>
        <v/>
      </c>
      <c r="Q158">
        <f>IF($AD158="","",INDEX('Per Line'!$AG$2:$AG$3001,$AD158))</f>
        <v/>
      </c>
      <c r="R158">
        <f>IF($AD158="","",IF(AND(ISNUMBER(Q158),Q158&gt;0),AB158&gt;Q158,FALSE))</f>
        <v/>
      </c>
      <c r="S158" s="7">
        <f>IF($AD158="","",SUMIFS('Per Line'!$AB$2:$AB$3001,'Per Line'!$E$2:$E$3001,$B158,'Per Line'!$AQ$2:$AQ$3001,1))</f>
        <v/>
      </c>
      <c r="T158">
        <f>IF($AD158="","",Settings!$C$7)</f>
        <v/>
      </c>
      <c r="U158" s="7">
        <f>IF($AD158="","",SUMIFS('Per Line'!$AB$2:$AB$3001,'Per Line'!$E$2:$E$3001,$B158,'Per Line'!$AP$2:$AP$3001,0,'Per Line'!$AQ$2:$AQ$3001,0))</f>
        <v/>
      </c>
      <c r="V158" s="7">
        <f>IF($AD158="","",U158*T158)</f>
        <v/>
      </c>
      <c r="W158">
        <f>IF($AD158="","",Settings!$C$6)</f>
        <v/>
      </c>
      <c r="X158" s="7">
        <f>IF($AD158="","",SUMIFS('Per Line'!$AB$2:$AB$3001,'Per Line'!$E$2:$E$3001,$B158,'Per Line'!$AP$2:$AP$3001,1,'Per Line'!$AQ$2:$AQ$3001,0))</f>
        <v/>
      </c>
      <c r="Y158" s="7">
        <f>IF($AD158="","",X158*W158)</f>
        <v/>
      </c>
      <c r="Z158" s="7">
        <f>IF($AD158="","",Y158+V158)</f>
        <v/>
      </c>
      <c r="AA158" s="7">
        <f>IF($AD158="","",AB158-Z158)</f>
        <v/>
      </c>
      <c r="AB158" s="7">
        <f>IF($AD158="","",U158+X158+S158)</f>
        <v/>
      </c>
      <c r="AC158" s="7">
        <f>IF($AD158="","",AB158-Z158-P158)</f>
        <v/>
      </c>
      <c r="AD158" s="13">
        <f>IF(ROWS($AD$2:$AD158)&lt;=MAX('Per Line'!$AO$2:$AO$3001),MATCH(ROWS($AD$2:$AD158),'Per Line'!$AO$2:$AO$3001,0),"")</f>
        <v/>
      </c>
      <c r="AE158" s="14">
        <f>IF($AD158="","",P158-O158*AB158/100)</f>
        <v/>
      </c>
    </row>
    <row r="159">
      <c r="A159" s="12" t="n"/>
      <c r="B159">
        <f>IF($AD159="","",INDEX('Per Line'!$E$2:$E$3001,$AD159)&amp;"")</f>
        <v/>
      </c>
      <c r="C159">
        <f>IF($AD159="","",INDEX('Per Line'!$A$2:$A$3001,$AD159)&amp;"")</f>
        <v/>
      </c>
      <c r="D159">
        <f>IF($AD159="","",INDEX('Per Line'!$C$2:$C$3001,$AD159)&amp;"")</f>
        <v/>
      </c>
      <c r="E159">
        <f>IF($AD159="","",INDEX('Per Line'!$B$2:$B$3001,$AD159))</f>
        <v/>
      </c>
      <c r="F159">
        <f>IF($AD159="","",INDEX('Per Line'!$D$2:$D$3001,$AD159)&amp;"")</f>
        <v/>
      </c>
      <c r="G159" s="11">
        <f>IF($AD159="","",INDEX('Per Line'!$G$2:$G$3001,$AD159))</f>
        <v/>
      </c>
      <c r="H159">
        <f>IF($AD159="","",INDEX('Per Line'!$J$2:$J$3001,$AD159)&amp;"")</f>
        <v/>
      </c>
      <c r="I159">
        <f>IF($AD159="","",INDEX('Per Line'!$H$2:$H$3001,$AD159)&amp;"")</f>
        <v/>
      </c>
      <c r="J159">
        <f>IF($AD159="","",INDEX('Per Line'!$F$2:$F$3001,$AD159)&amp;"")</f>
        <v/>
      </c>
      <c r="K159">
        <f>IF($AD159="","",INDEX('Per Line'!$K$2:$K$3001,$AD159)&amp;"")</f>
        <v/>
      </c>
      <c r="L159">
        <f>IF($AD159="","",INDEX('Per Line'!$L$2:$L$3001,$AD159)&amp;"")</f>
        <v/>
      </c>
      <c r="M159">
        <f>IF($AD159="","",INDEX('Per Line'!$M$2:$M$3001,$AD159)&amp;"")</f>
        <v/>
      </c>
      <c r="N159">
        <f>IF($AD159="","",INDEX('Per Line'!$AC$2:$AC$3001,$AD159)&amp;"")</f>
        <v/>
      </c>
      <c r="O159">
        <f>IF($AD159="","",INDEX('Per Line'!$P$2:$P$3001,$AD159))</f>
        <v/>
      </c>
      <c r="P159" s="7">
        <f>IF($AD159="","",IF(AND(ISNUMBER(Q159),Q159&gt;0,AB159&gt;Q159),O159*Q159/100+(AB159-Q159),O159*AB159/100))</f>
        <v/>
      </c>
      <c r="Q159">
        <f>IF($AD159="","",INDEX('Per Line'!$AG$2:$AG$3001,$AD159))</f>
        <v/>
      </c>
      <c r="R159">
        <f>IF($AD159="","",IF(AND(ISNUMBER(Q159),Q159&gt;0),AB159&gt;Q159,FALSE))</f>
        <v/>
      </c>
      <c r="S159" s="7">
        <f>IF($AD159="","",SUMIFS('Per Line'!$AB$2:$AB$3001,'Per Line'!$E$2:$E$3001,$B159,'Per Line'!$AQ$2:$AQ$3001,1))</f>
        <v/>
      </c>
      <c r="T159">
        <f>IF($AD159="","",Settings!$C$7)</f>
        <v/>
      </c>
      <c r="U159" s="7">
        <f>IF($AD159="","",SUMIFS('Per Line'!$AB$2:$AB$3001,'Per Line'!$E$2:$E$3001,$B159,'Per Line'!$AP$2:$AP$3001,0,'Per Line'!$AQ$2:$AQ$3001,0))</f>
        <v/>
      </c>
      <c r="V159" s="7">
        <f>IF($AD159="","",U159*T159)</f>
        <v/>
      </c>
      <c r="W159">
        <f>IF($AD159="","",Settings!$C$6)</f>
        <v/>
      </c>
      <c r="X159" s="7">
        <f>IF($AD159="","",SUMIFS('Per Line'!$AB$2:$AB$3001,'Per Line'!$E$2:$E$3001,$B159,'Per Line'!$AP$2:$AP$3001,1,'Per Line'!$AQ$2:$AQ$3001,0))</f>
        <v/>
      </c>
      <c r="Y159" s="7">
        <f>IF($AD159="","",X159*W159)</f>
        <v/>
      </c>
      <c r="Z159" s="7">
        <f>IF($AD159="","",Y159+V159)</f>
        <v/>
      </c>
      <c r="AA159" s="7">
        <f>IF($AD159="","",AB159-Z159)</f>
        <v/>
      </c>
      <c r="AB159" s="7">
        <f>IF($AD159="","",U159+X159+S159)</f>
        <v/>
      </c>
      <c r="AC159" s="7">
        <f>IF($AD159="","",AB159-Z159-P159)</f>
        <v/>
      </c>
      <c r="AD159" s="13">
        <f>IF(ROWS($AD$2:$AD159)&lt;=MAX('Per Line'!$AO$2:$AO$3001),MATCH(ROWS($AD$2:$AD159),'Per Line'!$AO$2:$AO$3001,0),"")</f>
        <v/>
      </c>
      <c r="AE159" s="14">
        <f>IF($AD159="","",P159-O159*AB159/100)</f>
        <v/>
      </c>
    </row>
    <row r="160">
      <c r="A160" s="12" t="n"/>
      <c r="B160">
        <f>IF($AD160="","",INDEX('Per Line'!$E$2:$E$3001,$AD160)&amp;"")</f>
        <v/>
      </c>
      <c r="C160">
        <f>IF($AD160="","",INDEX('Per Line'!$A$2:$A$3001,$AD160)&amp;"")</f>
        <v/>
      </c>
      <c r="D160">
        <f>IF($AD160="","",INDEX('Per Line'!$C$2:$C$3001,$AD160)&amp;"")</f>
        <v/>
      </c>
      <c r="E160">
        <f>IF($AD160="","",INDEX('Per Line'!$B$2:$B$3001,$AD160))</f>
        <v/>
      </c>
      <c r="F160">
        <f>IF($AD160="","",INDEX('Per Line'!$D$2:$D$3001,$AD160)&amp;"")</f>
        <v/>
      </c>
      <c r="G160" s="11">
        <f>IF($AD160="","",INDEX('Per Line'!$G$2:$G$3001,$AD160))</f>
        <v/>
      </c>
      <c r="H160">
        <f>IF($AD160="","",INDEX('Per Line'!$J$2:$J$3001,$AD160)&amp;"")</f>
        <v/>
      </c>
      <c r="I160">
        <f>IF($AD160="","",INDEX('Per Line'!$H$2:$H$3001,$AD160)&amp;"")</f>
        <v/>
      </c>
      <c r="J160">
        <f>IF($AD160="","",INDEX('Per Line'!$F$2:$F$3001,$AD160)&amp;"")</f>
        <v/>
      </c>
      <c r="K160">
        <f>IF($AD160="","",INDEX('Per Line'!$K$2:$K$3001,$AD160)&amp;"")</f>
        <v/>
      </c>
      <c r="L160">
        <f>IF($AD160="","",INDEX('Per Line'!$L$2:$L$3001,$AD160)&amp;"")</f>
        <v/>
      </c>
      <c r="M160">
        <f>IF($AD160="","",INDEX('Per Line'!$M$2:$M$3001,$AD160)&amp;"")</f>
        <v/>
      </c>
      <c r="N160">
        <f>IF($AD160="","",INDEX('Per Line'!$AC$2:$AC$3001,$AD160)&amp;"")</f>
        <v/>
      </c>
      <c r="O160">
        <f>IF($AD160="","",INDEX('Per Line'!$P$2:$P$3001,$AD160))</f>
        <v/>
      </c>
      <c r="P160" s="7">
        <f>IF($AD160="","",IF(AND(ISNUMBER(Q160),Q160&gt;0,AB160&gt;Q160),O160*Q160/100+(AB160-Q160),O160*AB160/100))</f>
        <v/>
      </c>
      <c r="Q160">
        <f>IF($AD160="","",INDEX('Per Line'!$AG$2:$AG$3001,$AD160))</f>
        <v/>
      </c>
      <c r="R160">
        <f>IF($AD160="","",IF(AND(ISNUMBER(Q160),Q160&gt;0),AB160&gt;Q160,FALSE))</f>
        <v/>
      </c>
      <c r="S160" s="7">
        <f>IF($AD160="","",SUMIFS('Per Line'!$AB$2:$AB$3001,'Per Line'!$E$2:$E$3001,$B160,'Per Line'!$AQ$2:$AQ$3001,1))</f>
        <v/>
      </c>
      <c r="T160">
        <f>IF($AD160="","",Settings!$C$7)</f>
        <v/>
      </c>
      <c r="U160" s="7">
        <f>IF($AD160="","",SUMIFS('Per Line'!$AB$2:$AB$3001,'Per Line'!$E$2:$E$3001,$B160,'Per Line'!$AP$2:$AP$3001,0,'Per Line'!$AQ$2:$AQ$3001,0))</f>
        <v/>
      </c>
      <c r="V160" s="7">
        <f>IF($AD160="","",U160*T160)</f>
        <v/>
      </c>
      <c r="W160">
        <f>IF($AD160="","",Settings!$C$6)</f>
        <v/>
      </c>
      <c r="X160" s="7">
        <f>IF($AD160="","",SUMIFS('Per Line'!$AB$2:$AB$3001,'Per Line'!$E$2:$E$3001,$B160,'Per Line'!$AP$2:$AP$3001,1,'Per Line'!$AQ$2:$AQ$3001,0))</f>
        <v/>
      </c>
      <c r="Y160" s="7">
        <f>IF($AD160="","",X160*W160)</f>
        <v/>
      </c>
      <c r="Z160" s="7">
        <f>IF($AD160="","",Y160+V160)</f>
        <v/>
      </c>
      <c r="AA160" s="7">
        <f>IF($AD160="","",AB160-Z160)</f>
        <v/>
      </c>
      <c r="AB160" s="7">
        <f>IF($AD160="","",U160+X160+S160)</f>
        <v/>
      </c>
      <c r="AC160" s="7">
        <f>IF($AD160="","",AB160-Z160-P160)</f>
        <v/>
      </c>
      <c r="AD160" s="13">
        <f>IF(ROWS($AD$2:$AD160)&lt;=MAX('Per Line'!$AO$2:$AO$3001),MATCH(ROWS($AD$2:$AD160),'Per Line'!$AO$2:$AO$3001,0),"")</f>
        <v/>
      </c>
      <c r="AE160" s="14">
        <f>IF($AD160="","",P160-O160*AB160/100)</f>
        <v/>
      </c>
    </row>
    <row r="161">
      <c r="A161" s="12" t="n"/>
      <c r="B161">
        <f>IF($AD161="","",INDEX('Per Line'!$E$2:$E$3001,$AD161)&amp;"")</f>
        <v/>
      </c>
      <c r="C161">
        <f>IF($AD161="","",INDEX('Per Line'!$A$2:$A$3001,$AD161)&amp;"")</f>
        <v/>
      </c>
      <c r="D161">
        <f>IF($AD161="","",INDEX('Per Line'!$C$2:$C$3001,$AD161)&amp;"")</f>
        <v/>
      </c>
      <c r="E161">
        <f>IF($AD161="","",INDEX('Per Line'!$B$2:$B$3001,$AD161))</f>
        <v/>
      </c>
      <c r="F161">
        <f>IF($AD161="","",INDEX('Per Line'!$D$2:$D$3001,$AD161)&amp;"")</f>
        <v/>
      </c>
      <c r="G161" s="11">
        <f>IF($AD161="","",INDEX('Per Line'!$G$2:$G$3001,$AD161))</f>
        <v/>
      </c>
      <c r="H161">
        <f>IF($AD161="","",INDEX('Per Line'!$J$2:$J$3001,$AD161)&amp;"")</f>
        <v/>
      </c>
      <c r="I161">
        <f>IF($AD161="","",INDEX('Per Line'!$H$2:$H$3001,$AD161)&amp;"")</f>
        <v/>
      </c>
      <c r="J161">
        <f>IF($AD161="","",INDEX('Per Line'!$F$2:$F$3001,$AD161)&amp;"")</f>
        <v/>
      </c>
      <c r="K161">
        <f>IF($AD161="","",INDEX('Per Line'!$K$2:$K$3001,$AD161)&amp;"")</f>
        <v/>
      </c>
      <c r="L161">
        <f>IF($AD161="","",INDEX('Per Line'!$L$2:$L$3001,$AD161)&amp;"")</f>
        <v/>
      </c>
      <c r="M161">
        <f>IF($AD161="","",INDEX('Per Line'!$M$2:$M$3001,$AD161)&amp;"")</f>
        <v/>
      </c>
      <c r="N161">
        <f>IF($AD161="","",INDEX('Per Line'!$AC$2:$AC$3001,$AD161)&amp;"")</f>
        <v/>
      </c>
      <c r="O161">
        <f>IF($AD161="","",INDEX('Per Line'!$P$2:$P$3001,$AD161))</f>
        <v/>
      </c>
      <c r="P161" s="7">
        <f>IF($AD161="","",IF(AND(ISNUMBER(Q161),Q161&gt;0,AB161&gt;Q161),O161*Q161/100+(AB161-Q161),O161*AB161/100))</f>
        <v/>
      </c>
      <c r="Q161">
        <f>IF($AD161="","",INDEX('Per Line'!$AG$2:$AG$3001,$AD161))</f>
        <v/>
      </c>
      <c r="R161">
        <f>IF($AD161="","",IF(AND(ISNUMBER(Q161),Q161&gt;0),AB161&gt;Q161,FALSE))</f>
        <v/>
      </c>
      <c r="S161" s="7">
        <f>IF($AD161="","",SUMIFS('Per Line'!$AB$2:$AB$3001,'Per Line'!$E$2:$E$3001,$B161,'Per Line'!$AQ$2:$AQ$3001,1))</f>
        <v/>
      </c>
      <c r="T161">
        <f>IF($AD161="","",Settings!$C$7)</f>
        <v/>
      </c>
      <c r="U161" s="7">
        <f>IF($AD161="","",SUMIFS('Per Line'!$AB$2:$AB$3001,'Per Line'!$E$2:$E$3001,$B161,'Per Line'!$AP$2:$AP$3001,0,'Per Line'!$AQ$2:$AQ$3001,0))</f>
        <v/>
      </c>
      <c r="V161" s="7">
        <f>IF($AD161="","",U161*T161)</f>
        <v/>
      </c>
      <c r="W161">
        <f>IF($AD161="","",Settings!$C$6)</f>
        <v/>
      </c>
      <c r="X161" s="7">
        <f>IF($AD161="","",SUMIFS('Per Line'!$AB$2:$AB$3001,'Per Line'!$E$2:$E$3001,$B161,'Per Line'!$AP$2:$AP$3001,1,'Per Line'!$AQ$2:$AQ$3001,0))</f>
        <v/>
      </c>
      <c r="Y161" s="7">
        <f>IF($AD161="","",X161*W161)</f>
        <v/>
      </c>
      <c r="Z161" s="7">
        <f>IF($AD161="","",Y161+V161)</f>
        <v/>
      </c>
      <c r="AA161" s="7">
        <f>IF($AD161="","",AB161-Z161)</f>
        <v/>
      </c>
      <c r="AB161" s="7">
        <f>IF($AD161="","",U161+X161+S161)</f>
        <v/>
      </c>
      <c r="AC161" s="7">
        <f>IF($AD161="","",AB161-Z161-P161)</f>
        <v/>
      </c>
      <c r="AD161" s="13">
        <f>IF(ROWS($AD$2:$AD161)&lt;=MAX('Per Line'!$AO$2:$AO$3001),MATCH(ROWS($AD$2:$AD161),'Per Line'!$AO$2:$AO$3001,0),"")</f>
        <v/>
      </c>
      <c r="AE161" s="14">
        <f>IF($AD161="","",P161-O161*AB161/100)</f>
        <v/>
      </c>
    </row>
    <row r="162">
      <c r="A162" s="12" t="n"/>
      <c r="B162">
        <f>IF($AD162="","",INDEX('Per Line'!$E$2:$E$3001,$AD162)&amp;"")</f>
        <v/>
      </c>
      <c r="C162">
        <f>IF($AD162="","",INDEX('Per Line'!$A$2:$A$3001,$AD162)&amp;"")</f>
        <v/>
      </c>
      <c r="D162">
        <f>IF($AD162="","",INDEX('Per Line'!$C$2:$C$3001,$AD162)&amp;"")</f>
        <v/>
      </c>
      <c r="E162">
        <f>IF($AD162="","",INDEX('Per Line'!$B$2:$B$3001,$AD162))</f>
        <v/>
      </c>
      <c r="F162">
        <f>IF($AD162="","",INDEX('Per Line'!$D$2:$D$3001,$AD162)&amp;"")</f>
        <v/>
      </c>
      <c r="G162" s="11">
        <f>IF($AD162="","",INDEX('Per Line'!$G$2:$G$3001,$AD162))</f>
        <v/>
      </c>
      <c r="H162">
        <f>IF($AD162="","",INDEX('Per Line'!$J$2:$J$3001,$AD162)&amp;"")</f>
        <v/>
      </c>
      <c r="I162">
        <f>IF($AD162="","",INDEX('Per Line'!$H$2:$H$3001,$AD162)&amp;"")</f>
        <v/>
      </c>
      <c r="J162">
        <f>IF($AD162="","",INDEX('Per Line'!$F$2:$F$3001,$AD162)&amp;"")</f>
        <v/>
      </c>
      <c r="K162">
        <f>IF($AD162="","",INDEX('Per Line'!$K$2:$K$3001,$AD162)&amp;"")</f>
        <v/>
      </c>
      <c r="L162">
        <f>IF($AD162="","",INDEX('Per Line'!$L$2:$L$3001,$AD162)&amp;"")</f>
        <v/>
      </c>
      <c r="M162">
        <f>IF($AD162="","",INDEX('Per Line'!$M$2:$M$3001,$AD162)&amp;"")</f>
        <v/>
      </c>
      <c r="N162">
        <f>IF($AD162="","",INDEX('Per Line'!$AC$2:$AC$3001,$AD162)&amp;"")</f>
        <v/>
      </c>
      <c r="O162">
        <f>IF($AD162="","",INDEX('Per Line'!$P$2:$P$3001,$AD162))</f>
        <v/>
      </c>
      <c r="P162" s="7">
        <f>IF($AD162="","",IF(AND(ISNUMBER(Q162),Q162&gt;0,AB162&gt;Q162),O162*Q162/100+(AB162-Q162),O162*AB162/100))</f>
        <v/>
      </c>
      <c r="Q162">
        <f>IF($AD162="","",INDEX('Per Line'!$AG$2:$AG$3001,$AD162))</f>
        <v/>
      </c>
      <c r="R162">
        <f>IF($AD162="","",IF(AND(ISNUMBER(Q162),Q162&gt;0),AB162&gt;Q162,FALSE))</f>
        <v/>
      </c>
      <c r="S162" s="7">
        <f>IF($AD162="","",SUMIFS('Per Line'!$AB$2:$AB$3001,'Per Line'!$E$2:$E$3001,$B162,'Per Line'!$AQ$2:$AQ$3001,1))</f>
        <v/>
      </c>
      <c r="T162">
        <f>IF($AD162="","",Settings!$C$7)</f>
        <v/>
      </c>
      <c r="U162" s="7">
        <f>IF($AD162="","",SUMIFS('Per Line'!$AB$2:$AB$3001,'Per Line'!$E$2:$E$3001,$B162,'Per Line'!$AP$2:$AP$3001,0,'Per Line'!$AQ$2:$AQ$3001,0))</f>
        <v/>
      </c>
      <c r="V162" s="7">
        <f>IF($AD162="","",U162*T162)</f>
        <v/>
      </c>
      <c r="W162">
        <f>IF($AD162="","",Settings!$C$6)</f>
        <v/>
      </c>
      <c r="X162" s="7">
        <f>IF($AD162="","",SUMIFS('Per Line'!$AB$2:$AB$3001,'Per Line'!$E$2:$E$3001,$B162,'Per Line'!$AP$2:$AP$3001,1,'Per Line'!$AQ$2:$AQ$3001,0))</f>
        <v/>
      </c>
      <c r="Y162" s="7">
        <f>IF($AD162="","",X162*W162)</f>
        <v/>
      </c>
      <c r="Z162" s="7">
        <f>IF($AD162="","",Y162+V162)</f>
        <v/>
      </c>
      <c r="AA162" s="7">
        <f>IF($AD162="","",AB162-Z162)</f>
        <v/>
      </c>
      <c r="AB162" s="7">
        <f>IF($AD162="","",U162+X162+S162)</f>
        <v/>
      </c>
      <c r="AC162" s="7">
        <f>IF($AD162="","",AB162-Z162-P162)</f>
        <v/>
      </c>
      <c r="AD162" s="13">
        <f>IF(ROWS($AD$2:$AD162)&lt;=MAX('Per Line'!$AO$2:$AO$3001),MATCH(ROWS($AD$2:$AD162),'Per Line'!$AO$2:$AO$3001,0),"")</f>
        <v/>
      </c>
      <c r="AE162" s="14">
        <f>IF($AD162="","",P162-O162*AB162/100)</f>
        <v/>
      </c>
    </row>
    <row r="163">
      <c r="A163" s="12" t="n"/>
      <c r="B163">
        <f>IF($AD163="","",INDEX('Per Line'!$E$2:$E$3001,$AD163)&amp;"")</f>
        <v/>
      </c>
      <c r="C163">
        <f>IF($AD163="","",INDEX('Per Line'!$A$2:$A$3001,$AD163)&amp;"")</f>
        <v/>
      </c>
      <c r="D163">
        <f>IF($AD163="","",INDEX('Per Line'!$C$2:$C$3001,$AD163)&amp;"")</f>
        <v/>
      </c>
      <c r="E163">
        <f>IF($AD163="","",INDEX('Per Line'!$B$2:$B$3001,$AD163))</f>
        <v/>
      </c>
      <c r="F163">
        <f>IF($AD163="","",INDEX('Per Line'!$D$2:$D$3001,$AD163)&amp;"")</f>
        <v/>
      </c>
      <c r="G163" s="11">
        <f>IF($AD163="","",INDEX('Per Line'!$G$2:$G$3001,$AD163))</f>
        <v/>
      </c>
      <c r="H163">
        <f>IF($AD163="","",INDEX('Per Line'!$J$2:$J$3001,$AD163)&amp;"")</f>
        <v/>
      </c>
      <c r="I163">
        <f>IF($AD163="","",INDEX('Per Line'!$H$2:$H$3001,$AD163)&amp;"")</f>
        <v/>
      </c>
      <c r="J163">
        <f>IF($AD163="","",INDEX('Per Line'!$F$2:$F$3001,$AD163)&amp;"")</f>
        <v/>
      </c>
      <c r="K163">
        <f>IF($AD163="","",INDEX('Per Line'!$K$2:$K$3001,$AD163)&amp;"")</f>
        <v/>
      </c>
      <c r="L163">
        <f>IF($AD163="","",INDEX('Per Line'!$L$2:$L$3001,$AD163)&amp;"")</f>
        <v/>
      </c>
      <c r="M163">
        <f>IF($AD163="","",INDEX('Per Line'!$M$2:$M$3001,$AD163)&amp;"")</f>
        <v/>
      </c>
      <c r="N163">
        <f>IF($AD163="","",INDEX('Per Line'!$AC$2:$AC$3001,$AD163)&amp;"")</f>
        <v/>
      </c>
      <c r="O163">
        <f>IF($AD163="","",INDEX('Per Line'!$P$2:$P$3001,$AD163))</f>
        <v/>
      </c>
      <c r="P163" s="7">
        <f>IF($AD163="","",IF(AND(ISNUMBER(Q163),Q163&gt;0,AB163&gt;Q163),O163*Q163/100+(AB163-Q163),O163*AB163/100))</f>
        <v/>
      </c>
      <c r="Q163">
        <f>IF($AD163="","",INDEX('Per Line'!$AG$2:$AG$3001,$AD163))</f>
        <v/>
      </c>
      <c r="R163">
        <f>IF($AD163="","",IF(AND(ISNUMBER(Q163),Q163&gt;0),AB163&gt;Q163,FALSE))</f>
        <v/>
      </c>
      <c r="S163" s="7">
        <f>IF($AD163="","",SUMIFS('Per Line'!$AB$2:$AB$3001,'Per Line'!$E$2:$E$3001,$B163,'Per Line'!$AQ$2:$AQ$3001,1))</f>
        <v/>
      </c>
      <c r="T163">
        <f>IF($AD163="","",Settings!$C$7)</f>
        <v/>
      </c>
      <c r="U163" s="7">
        <f>IF($AD163="","",SUMIFS('Per Line'!$AB$2:$AB$3001,'Per Line'!$E$2:$E$3001,$B163,'Per Line'!$AP$2:$AP$3001,0,'Per Line'!$AQ$2:$AQ$3001,0))</f>
        <v/>
      </c>
      <c r="V163" s="7">
        <f>IF($AD163="","",U163*T163)</f>
        <v/>
      </c>
      <c r="W163">
        <f>IF($AD163="","",Settings!$C$6)</f>
        <v/>
      </c>
      <c r="X163" s="7">
        <f>IF($AD163="","",SUMIFS('Per Line'!$AB$2:$AB$3001,'Per Line'!$E$2:$E$3001,$B163,'Per Line'!$AP$2:$AP$3001,1,'Per Line'!$AQ$2:$AQ$3001,0))</f>
        <v/>
      </c>
      <c r="Y163" s="7">
        <f>IF($AD163="","",X163*W163)</f>
        <v/>
      </c>
      <c r="Z163" s="7">
        <f>IF($AD163="","",Y163+V163)</f>
        <v/>
      </c>
      <c r="AA163" s="7">
        <f>IF($AD163="","",AB163-Z163)</f>
        <v/>
      </c>
      <c r="AB163" s="7">
        <f>IF($AD163="","",U163+X163+S163)</f>
        <v/>
      </c>
      <c r="AC163" s="7">
        <f>IF($AD163="","",AB163-Z163-P163)</f>
        <v/>
      </c>
      <c r="AD163" s="13">
        <f>IF(ROWS($AD$2:$AD163)&lt;=MAX('Per Line'!$AO$2:$AO$3001),MATCH(ROWS($AD$2:$AD163),'Per Line'!$AO$2:$AO$3001,0),"")</f>
        <v/>
      </c>
      <c r="AE163" s="14">
        <f>IF($AD163="","",P163-O163*AB163/100)</f>
        <v/>
      </c>
    </row>
    <row r="164">
      <c r="A164" s="12" t="n"/>
      <c r="B164">
        <f>IF($AD164="","",INDEX('Per Line'!$E$2:$E$3001,$AD164)&amp;"")</f>
        <v/>
      </c>
      <c r="C164">
        <f>IF($AD164="","",INDEX('Per Line'!$A$2:$A$3001,$AD164)&amp;"")</f>
        <v/>
      </c>
      <c r="D164">
        <f>IF($AD164="","",INDEX('Per Line'!$C$2:$C$3001,$AD164)&amp;"")</f>
        <v/>
      </c>
      <c r="E164">
        <f>IF($AD164="","",INDEX('Per Line'!$B$2:$B$3001,$AD164))</f>
        <v/>
      </c>
      <c r="F164">
        <f>IF($AD164="","",INDEX('Per Line'!$D$2:$D$3001,$AD164)&amp;"")</f>
        <v/>
      </c>
      <c r="G164" s="11">
        <f>IF($AD164="","",INDEX('Per Line'!$G$2:$G$3001,$AD164))</f>
        <v/>
      </c>
      <c r="H164">
        <f>IF($AD164="","",INDEX('Per Line'!$J$2:$J$3001,$AD164)&amp;"")</f>
        <v/>
      </c>
      <c r="I164">
        <f>IF($AD164="","",INDEX('Per Line'!$H$2:$H$3001,$AD164)&amp;"")</f>
        <v/>
      </c>
      <c r="J164">
        <f>IF($AD164="","",INDEX('Per Line'!$F$2:$F$3001,$AD164)&amp;"")</f>
        <v/>
      </c>
      <c r="K164">
        <f>IF($AD164="","",INDEX('Per Line'!$K$2:$K$3001,$AD164)&amp;"")</f>
        <v/>
      </c>
      <c r="L164">
        <f>IF($AD164="","",INDEX('Per Line'!$L$2:$L$3001,$AD164)&amp;"")</f>
        <v/>
      </c>
      <c r="M164">
        <f>IF($AD164="","",INDEX('Per Line'!$M$2:$M$3001,$AD164)&amp;"")</f>
        <v/>
      </c>
      <c r="N164">
        <f>IF($AD164="","",INDEX('Per Line'!$AC$2:$AC$3001,$AD164)&amp;"")</f>
        <v/>
      </c>
      <c r="O164">
        <f>IF($AD164="","",INDEX('Per Line'!$P$2:$P$3001,$AD164))</f>
        <v/>
      </c>
      <c r="P164" s="7">
        <f>IF($AD164="","",IF(AND(ISNUMBER(Q164),Q164&gt;0,AB164&gt;Q164),O164*Q164/100+(AB164-Q164),O164*AB164/100))</f>
        <v/>
      </c>
      <c r="Q164">
        <f>IF($AD164="","",INDEX('Per Line'!$AG$2:$AG$3001,$AD164))</f>
        <v/>
      </c>
      <c r="R164">
        <f>IF($AD164="","",IF(AND(ISNUMBER(Q164),Q164&gt;0),AB164&gt;Q164,FALSE))</f>
        <v/>
      </c>
      <c r="S164" s="7">
        <f>IF($AD164="","",SUMIFS('Per Line'!$AB$2:$AB$3001,'Per Line'!$E$2:$E$3001,$B164,'Per Line'!$AQ$2:$AQ$3001,1))</f>
        <v/>
      </c>
      <c r="T164">
        <f>IF($AD164="","",Settings!$C$7)</f>
        <v/>
      </c>
      <c r="U164" s="7">
        <f>IF($AD164="","",SUMIFS('Per Line'!$AB$2:$AB$3001,'Per Line'!$E$2:$E$3001,$B164,'Per Line'!$AP$2:$AP$3001,0,'Per Line'!$AQ$2:$AQ$3001,0))</f>
        <v/>
      </c>
      <c r="V164" s="7">
        <f>IF($AD164="","",U164*T164)</f>
        <v/>
      </c>
      <c r="W164">
        <f>IF($AD164="","",Settings!$C$6)</f>
        <v/>
      </c>
      <c r="X164" s="7">
        <f>IF($AD164="","",SUMIFS('Per Line'!$AB$2:$AB$3001,'Per Line'!$E$2:$E$3001,$B164,'Per Line'!$AP$2:$AP$3001,1,'Per Line'!$AQ$2:$AQ$3001,0))</f>
        <v/>
      </c>
      <c r="Y164" s="7">
        <f>IF($AD164="","",X164*W164)</f>
        <v/>
      </c>
      <c r="Z164" s="7">
        <f>IF($AD164="","",Y164+V164)</f>
        <v/>
      </c>
      <c r="AA164" s="7">
        <f>IF($AD164="","",AB164-Z164)</f>
        <v/>
      </c>
      <c r="AB164" s="7">
        <f>IF($AD164="","",U164+X164+S164)</f>
        <v/>
      </c>
      <c r="AC164" s="7">
        <f>IF($AD164="","",AB164-Z164-P164)</f>
        <v/>
      </c>
      <c r="AD164" s="13">
        <f>IF(ROWS($AD$2:$AD164)&lt;=MAX('Per Line'!$AO$2:$AO$3001),MATCH(ROWS($AD$2:$AD164),'Per Line'!$AO$2:$AO$3001,0),"")</f>
        <v/>
      </c>
      <c r="AE164" s="14">
        <f>IF($AD164="","",P164-O164*AB164/100)</f>
        <v/>
      </c>
    </row>
    <row r="165">
      <c r="A165" s="12" t="n"/>
      <c r="B165">
        <f>IF($AD165="","",INDEX('Per Line'!$E$2:$E$3001,$AD165)&amp;"")</f>
        <v/>
      </c>
      <c r="C165">
        <f>IF($AD165="","",INDEX('Per Line'!$A$2:$A$3001,$AD165)&amp;"")</f>
        <v/>
      </c>
      <c r="D165">
        <f>IF($AD165="","",INDEX('Per Line'!$C$2:$C$3001,$AD165)&amp;"")</f>
        <v/>
      </c>
      <c r="E165">
        <f>IF($AD165="","",INDEX('Per Line'!$B$2:$B$3001,$AD165))</f>
        <v/>
      </c>
      <c r="F165">
        <f>IF($AD165="","",INDEX('Per Line'!$D$2:$D$3001,$AD165)&amp;"")</f>
        <v/>
      </c>
      <c r="G165" s="11">
        <f>IF($AD165="","",INDEX('Per Line'!$G$2:$G$3001,$AD165))</f>
        <v/>
      </c>
      <c r="H165">
        <f>IF($AD165="","",INDEX('Per Line'!$J$2:$J$3001,$AD165)&amp;"")</f>
        <v/>
      </c>
      <c r="I165">
        <f>IF($AD165="","",INDEX('Per Line'!$H$2:$H$3001,$AD165)&amp;"")</f>
        <v/>
      </c>
      <c r="J165">
        <f>IF($AD165="","",INDEX('Per Line'!$F$2:$F$3001,$AD165)&amp;"")</f>
        <v/>
      </c>
      <c r="K165">
        <f>IF($AD165="","",INDEX('Per Line'!$K$2:$K$3001,$AD165)&amp;"")</f>
        <v/>
      </c>
      <c r="L165">
        <f>IF($AD165="","",INDEX('Per Line'!$L$2:$L$3001,$AD165)&amp;"")</f>
        <v/>
      </c>
      <c r="M165">
        <f>IF($AD165="","",INDEX('Per Line'!$M$2:$M$3001,$AD165)&amp;"")</f>
        <v/>
      </c>
      <c r="N165">
        <f>IF($AD165="","",INDEX('Per Line'!$AC$2:$AC$3001,$AD165)&amp;"")</f>
        <v/>
      </c>
      <c r="O165">
        <f>IF($AD165="","",INDEX('Per Line'!$P$2:$P$3001,$AD165))</f>
        <v/>
      </c>
      <c r="P165" s="7">
        <f>IF($AD165="","",IF(AND(ISNUMBER(Q165),Q165&gt;0,AB165&gt;Q165),O165*Q165/100+(AB165-Q165),O165*AB165/100))</f>
        <v/>
      </c>
      <c r="Q165">
        <f>IF($AD165="","",INDEX('Per Line'!$AG$2:$AG$3001,$AD165))</f>
        <v/>
      </c>
      <c r="R165">
        <f>IF($AD165="","",IF(AND(ISNUMBER(Q165),Q165&gt;0),AB165&gt;Q165,FALSE))</f>
        <v/>
      </c>
      <c r="S165" s="7">
        <f>IF($AD165="","",SUMIFS('Per Line'!$AB$2:$AB$3001,'Per Line'!$E$2:$E$3001,$B165,'Per Line'!$AQ$2:$AQ$3001,1))</f>
        <v/>
      </c>
      <c r="T165">
        <f>IF($AD165="","",Settings!$C$7)</f>
        <v/>
      </c>
      <c r="U165" s="7">
        <f>IF($AD165="","",SUMIFS('Per Line'!$AB$2:$AB$3001,'Per Line'!$E$2:$E$3001,$B165,'Per Line'!$AP$2:$AP$3001,0,'Per Line'!$AQ$2:$AQ$3001,0))</f>
        <v/>
      </c>
      <c r="V165" s="7">
        <f>IF($AD165="","",U165*T165)</f>
        <v/>
      </c>
      <c r="W165">
        <f>IF($AD165="","",Settings!$C$6)</f>
        <v/>
      </c>
      <c r="X165" s="7">
        <f>IF($AD165="","",SUMIFS('Per Line'!$AB$2:$AB$3001,'Per Line'!$E$2:$E$3001,$B165,'Per Line'!$AP$2:$AP$3001,1,'Per Line'!$AQ$2:$AQ$3001,0))</f>
        <v/>
      </c>
      <c r="Y165" s="7">
        <f>IF($AD165="","",X165*W165)</f>
        <v/>
      </c>
      <c r="Z165" s="7">
        <f>IF($AD165="","",Y165+V165)</f>
        <v/>
      </c>
      <c r="AA165" s="7">
        <f>IF($AD165="","",AB165-Z165)</f>
        <v/>
      </c>
      <c r="AB165" s="7">
        <f>IF($AD165="","",U165+X165+S165)</f>
        <v/>
      </c>
      <c r="AC165" s="7">
        <f>IF($AD165="","",AB165-Z165-P165)</f>
        <v/>
      </c>
      <c r="AD165" s="13">
        <f>IF(ROWS($AD$2:$AD165)&lt;=MAX('Per Line'!$AO$2:$AO$3001),MATCH(ROWS($AD$2:$AD165),'Per Line'!$AO$2:$AO$3001,0),"")</f>
        <v/>
      </c>
      <c r="AE165" s="14">
        <f>IF($AD165="","",P165-O165*AB165/100)</f>
        <v/>
      </c>
    </row>
    <row r="166">
      <c r="A166" s="12" t="n"/>
      <c r="B166">
        <f>IF($AD166="","",INDEX('Per Line'!$E$2:$E$3001,$AD166)&amp;"")</f>
        <v/>
      </c>
      <c r="C166">
        <f>IF($AD166="","",INDEX('Per Line'!$A$2:$A$3001,$AD166)&amp;"")</f>
        <v/>
      </c>
      <c r="D166">
        <f>IF($AD166="","",INDEX('Per Line'!$C$2:$C$3001,$AD166)&amp;"")</f>
        <v/>
      </c>
      <c r="E166">
        <f>IF($AD166="","",INDEX('Per Line'!$B$2:$B$3001,$AD166))</f>
        <v/>
      </c>
      <c r="F166">
        <f>IF($AD166="","",INDEX('Per Line'!$D$2:$D$3001,$AD166)&amp;"")</f>
        <v/>
      </c>
      <c r="G166" s="11">
        <f>IF($AD166="","",INDEX('Per Line'!$G$2:$G$3001,$AD166))</f>
        <v/>
      </c>
      <c r="H166">
        <f>IF($AD166="","",INDEX('Per Line'!$J$2:$J$3001,$AD166)&amp;"")</f>
        <v/>
      </c>
      <c r="I166">
        <f>IF($AD166="","",INDEX('Per Line'!$H$2:$H$3001,$AD166)&amp;"")</f>
        <v/>
      </c>
      <c r="J166">
        <f>IF($AD166="","",INDEX('Per Line'!$F$2:$F$3001,$AD166)&amp;"")</f>
        <v/>
      </c>
      <c r="K166">
        <f>IF($AD166="","",INDEX('Per Line'!$K$2:$K$3001,$AD166)&amp;"")</f>
        <v/>
      </c>
      <c r="L166">
        <f>IF($AD166="","",INDEX('Per Line'!$L$2:$L$3001,$AD166)&amp;"")</f>
        <v/>
      </c>
      <c r="M166">
        <f>IF($AD166="","",INDEX('Per Line'!$M$2:$M$3001,$AD166)&amp;"")</f>
        <v/>
      </c>
      <c r="N166">
        <f>IF($AD166="","",INDEX('Per Line'!$AC$2:$AC$3001,$AD166)&amp;"")</f>
        <v/>
      </c>
      <c r="O166">
        <f>IF($AD166="","",INDEX('Per Line'!$P$2:$P$3001,$AD166))</f>
        <v/>
      </c>
      <c r="P166" s="7">
        <f>IF($AD166="","",IF(AND(ISNUMBER(Q166),Q166&gt;0,AB166&gt;Q166),O166*Q166/100+(AB166-Q166),O166*AB166/100))</f>
        <v/>
      </c>
      <c r="Q166">
        <f>IF($AD166="","",INDEX('Per Line'!$AG$2:$AG$3001,$AD166))</f>
        <v/>
      </c>
      <c r="R166">
        <f>IF($AD166="","",IF(AND(ISNUMBER(Q166),Q166&gt;0),AB166&gt;Q166,FALSE))</f>
        <v/>
      </c>
      <c r="S166" s="7">
        <f>IF($AD166="","",SUMIFS('Per Line'!$AB$2:$AB$3001,'Per Line'!$E$2:$E$3001,$B166,'Per Line'!$AQ$2:$AQ$3001,1))</f>
        <v/>
      </c>
      <c r="T166">
        <f>IF($AD166="","",Settings!$C$7)</f>
        <v/>
      </c>
      <c r="U166" s="7">
        <f>IF($AD166="","",SUMIFS('Per Line'!$AB$2:$AB$3001,'Per Line'!$E$2:$E$3001,$B166,'Per Line'!$AP$2:$AP$3001,0,'Per Line'!$AQ$2:$AQ$3001,0))</f>
        <v/>
      </c>
      <c r="V166" s="7">
        <f>IF($AD166="","",U166*T166)</f>
        <v/>
      </c>
      <c r="W166">
        <f>IF($AD166="","",Settings!$C$6)</f>
        <v/>
      </c>
      <c r="X166" s="7">
        <f>IF($AD166="","",SUMIFS('Per Line'!$AB$2:$AB$3001,'Per Line'!$E$2:$E$3001,$B166,'Per Line'!$AP$2:$AP$3001,1,'Per Line'!$AQ$2:$AQ$3001,0))</f>
        <v/>
      </c>
      <c r="Y166" s="7">
        <f>IF($AD166="","",X166*W166)</f>
        <v/>
      </c>
      <c r="Z166" s="7">
        <f>IF($AD166="","",Y166+V166)</f>
        <v/>
      </c>
      <c r="AA166" s="7">
        <f>IF($AD166="","",AB166-Z166)</f>
        <v/>
      </c>
      <c r="AB166" s="7">
        <f>IF($AD166="","",U166+X166+S166)</f>
        <v/>
      </c>
      <c r="AC166" s="7">
        <f>IF($AD166="","",AB166-Z166-P166)</f>
        <v/>
      </c>
      <c r="AD166" s="13">
        <f>IF(ROWS($AD$2:$AD166)&lt;=MAX('Per Line'!$AO$2:$AO$3001),MATCH(ROWS($AD$2:$AD166),'Per Line'!$AO$2:$AO$3001,0),"")</f>
        <v/>
      </c>
      <c r="AE166" s="14">
        <f>IF($AD166="","",P166-O166*AB166/100)</f>
        <v/>
      </c>
    </row>
    <row r="167">
      <c r="A167" s="12" t="n"/>
      <c r="B167">
        <f>IF($AD167="","",INDEX('Per Line'!$E$2:$E$3001,$AD167)&amp;"")</f>
        <v/>
      </c>
      <c r="C167">
        <f>IF($AD167="","",INDEX('Per Line'!$A$2:$A$3001,$AD167)&amp;"")</f>
        <v/>
      </c>
      <c r="D167">
        <f>IF($AD167="","",INDEX('Per Line'!$C$2:$C$3001,$AD167)&amp;"")</f>
        <v/>
      </c>
      <c r="E167">
        <f>IF($AD167="","",INDEX('Per Line'!$B$2:$B$3001,$AD167))</f>
        <v/>
      </c>
      <c r="F167">
        <f>IF($AD167="","",INDEX('Per Line'!$D$2:$D$3001,$AD167)&amp;"")</f>
        <v/>
      </c>
      <c r="G167" s="11">
        <f>IF($AD167="","",INDEX('Per Line'!$G$2:$G$3001,$AD167))</f>
        <v/>
      </c>
      <c r="H167">
        <f>IF($AD167="","",INDEX('Per Line'!$J$2:$J$3001,$AD167)&amp;"")</f>
        <v/>
      </c>
      <c r="I167">
        <f>IF($AD167="","",INDEX('Per Line'!$H$2:$H$3001,$AD167)&amp;"")</f>
        <v/>
      </c>
      <c r="J167">
        <f>IF($AD167="","",INDEX('Per Line'!$F$2:$F$3001,$AD167)&amp;"")</f>
        <v/>
      </c>
      <c r="K167">
        <f>IF($AD167="","",INDEX('Per Line'!$K$2:$K$3001,$AD167)&amp;"")</f>
        <v/>
      </c>
      <c r="L167">
        <f>IF($AD167="","",INDEX('Per Line'!$L$2:$L$3001,$AD167)&amp;"")</f>
        <v/>
      </c>
      <c r="M167">
        <f>IF($AD167="","",INDEX('Per Line'!$M$2:$M$3001,$AD167)&amp;"")</f>
        <v/>
      </c>
      <c r="N167">
        <f>IF($AD167="","",INDEX('Per Line'!$AC$2:$AC$3001,$AD167)&amp;"")</f>
        <v/>
      </c>
      <c r="O167">
        <f>IF($AD167="","",INDEX('Per Line'!$P$2:$P$3001,$AD167))</f>
        <v/>
      </c>
      <c r="P167" s="7">
        <f>IF($AD167="","",IF(AND(ISNUMBER(Q167),Q167&gt;0,AB167&gt;Q167),O167*Q167/100+(AB167-Q167),O167*AB167/100))</f>
        <v/>
      </c>
      <c r="Q167">
        <f>IF($AD167="","",INDEX('Per Line'!$AG$2:$AG$3001,$AD167))</f>
        <v/>
      </c>
      <c r="R167">
        <f>IF($AD167="","",IF(AND(ISNUMBER(Q167),Q167&gt;0),AB167&gt;Q167,FALSE))</f>
        <v/>
      </c>
      <c r="S167" s="7">
        <f>IF($AD167="","",SUMIFS('Per Line'!$AB$2:$AB$3001,'Per Line'!$E$2:$E$3001,$B167,'Per Line'!$AQ$2:$AQ$3001,1))</f>
        <v/>
      </c>
      <c r="T167">
        <f>IF($AD167="","",Settings!$C$7)</f>
        <v/>
      </c>
      <c r="U167" s="7">
        <f>IF($AD167="","",SUMIFS('Per Line'!$AB$2:$AB$3001,'Per Line'!$E$2:$E$3001,$B167,'Per Line'!$AP$2:$AP$3001,0,'Per Line'!$AQ$2:$AQ$3001,0))</f>
        <v/>
      </c>
      <c r="V167" s="7">
        <f>IF($AD167="","",U167*T167)</f>
        <v/>
      </c>
      <c r="W167">
        <f>IF($AD167="","",Settings!$C$6)</f>
        <v/>
      </c>
      <c r="X167" s="7">
        <f>IF($AD167="","",SUMIFS('Per Line'!$AB$2:$AB$3001,'Per Line'!$E$2:$E$3001,$B167,'Per Line'!$AP$2:$AP$3001,1,'Per Line'!$AQ$2:$AQ$3001,0))</f>
        <v/>
      </c>
      <c r="Y167" s="7">
        <f>IF($AD167="","",X167*W167)</f>
        <v/>
      </c>
      <c r="Z167" s="7">
        <f>IF($AD167="","",Y167+V167)</f>
        <v/>
      </c>
      <c r="AA167" s="7">
        <f>IF($AD167="","",AB167-Z167)</f>
        <v/>
      </c>
      <c r="AB167" s="7">
        <f>IF($AD167="","",U167+X167+S167)</f>
        <v/>
      </c>
      <c r="AC167" s="7">
        <f>IF($AD167="","",AB167-Z167-P167)</f>
        <v/>
      </c>
      <c r="AD167" s="13">
        <f>IF(ROWS($AD$2:$AD167)&lt;=MAX('Per Line'!$AO$2:$AO$3001),MATCH(ROWS($AD$2:$AD167),'Per Line'!$AO$2:$AO$3001,0),"")</f>
        <v/>
      </c>
      <c r="AE167" s="14">
        <f>IF($AD167="","",P167-O167*AB167/100)</f>
        <v/>
      </c>
    </row>
    <row r="168">
      <c r="A168" s="12" t="n"/>
      <c r="B168">
        <f>IF($AD168="","",INDEX('Per Line'!$E$2:$E$3001,$AD168)&amp;"")</f>
        <v/>
      </c>
      <c r="C168">
        <f>IF($AD168="","",INDEX('Per Line'!$A$2:$A$3001,$AD168)&amp;"")</f>
        <v/>
      </c>
      <c r="D168">
        <f>IF($AD168="","",INDEX('Per Line'!$C$2:$C$3001,$AD168)&amp;"")</f>
        <v/>
      </c>
      <c r="E168">
        <f>IF($AD168="","",INDEX('Per Line'!$B$2:$B$3001,$AD168))</f>
        <v/>
      </c>
      <c r="F168">
        <f>IF($AD168="","",INDEX('Per Line'!$D$2:$D$3001,$AD168)&amp;"")</f>
        <v/>
      </c>
      <c r="G168" s="11">
        <f>IF($AD168="","",INDEX('Per Line'!$G$2:$G$3001,$AD168))</f>
        <v/>
      </c>
      <c r="H168">
        <f>IF($AD168="","",INDEX('Per Line'!$J$2:$J$3001,$AD168)&amp;"")</f>
        <v/>
      </c>
      <c r="I168">
        <f>IF($AD168="","",INDEX('Per Line'!$H$2:$H$3001,$AD168)&amp;"")</f>
        <v/>
      </c>
      <c r="J168">
        <f>IF($AD168="","",INDEX('Per Line'!$F$2:$F$3001,$AD168)&amp;"")</f>
        <v/>
      </c>
      <c r="K168">
        <f>IF($AD168="","",INDEX('Per Line'!$K$2:$K$3001,$AD168)&amp;"")</f>
        <v/>
      </c>
      <c r="L168">
        <f>IF($AD168="","",INDEX('Per Line'!$L$2:$L$3001,$AD168)&amp;"")</f>
        <v/>
      </c>
      <c r="M168">
        <f>IF($AD168="","",INDEX('Per Line'!$M$2:$M$3001,$AD168)&amp;"")</f>
        <v/>
      </c>
      <c r="N168">
        <f>IF($AD168="","",INDEX('Per Line'!$AC$2:$AC$3001,$AD168)&amp;"")</f>
        <v/>
      </c>
      <c r="O168">
        <f>IF($AD168="","",INDEX('Per Line'!$P$2:$P$3001,$AD168))</f>
        <v/>
      </c>
      <c r="P168" s="7">
        <f>IF($AD168="","",IF(AND(ISNUMBER(Q168),Q168&gt;0,AB168&gt;Q168),O168*Q168/100+(AB168-Q168),O168*AB168/100))</f>
        <v/>
      </c>
      <c r="Q168">
        <f>IF($AD168="","",INDEX('Per Line'!$AG$2:$AG$3001,$AD168))</f>
        <v/>
      </c>
      <c r="R168">
        <f>IF($AD168="","",IF(AND(ISNUMBER(Q168),Q168&gt;0),AB168&gt;Q168,FALSE))</f>
        <v/>
      </c>
      <c r="S168" s="7">
        <f>IF($AD168="","",SUMIFS('Per Line'!$AB$2:$AB$3001,'Per Line'!$E$2:$E$3001,$B168,'Per Line'!$AQ$2:$AQ$3001,1))</f>
        <v/>
      </c>
      <c r="T168">
        <f>IF($AD168="","",Settings!$C$7)</f>
        <v/>
      </c>
      <c r="U168" s="7">
        <f>IF($AD168="","",SUMIFS('Per Line'!$AB$2:$AB$3001,'Per Line'!$E$2:$E$3001,$B168,'Per Line'!$AP$2:$AP$3001,0,'Per Line'!$AQ$2:$AQ$3001,0))</f>
        <v/>
      </c>
      <c r="V168" s="7">
        <f>IF($AD168="","",U168*T168)</f>
        <v/>
      </c>
      <c r="W168">
        <f>IF($AD168="","",Settings!$C$6)</f>
        <v/>
      </c>
      <c r="X168" s="7">
        <f>IF($AD168="","",SUMIFS('Per Line'!$AB$2:$AB$3001,'Per Line'!$E$2:$E$3001,$B168,'Per Line'!$AP$2:$AP$3001,1,'Per Line'!$AQ$2:$AQ$3001,0))</f>
        <v/>
      </c>
      <c r="Y168" s="7">
        <f>IF($AD168="","",X168*W168)</f>
        <v/>
      </c>
      <c r="Z168" s="7">
        <f>IF($AD168="","",Y168+V168)</f>
        <v/>
      </c>
      <c r="AA168" s="7">
        <f>IF($AD168="","",AB168-Z168)</f>
        <v/>
      </c>
      <c r="AB168" s="7">
        <f>IF($AD168="","",U168+X168+S168)</f>
        <v/>
      </c>
      <c r="AC168" s="7">
        <f>IF($AD168="","",AB168-Z168-P168)</f>
        <v/>
      </c>
      <c r="AD168" s="13">
        <f>IF(ROWS($AD$2:$AD168)&lt;=MAX('Per Line'!$AO$2:$AO$3001),MATCH(ROWS($AD$2:$AD168),'Per Line'!$AO$2:$AO$3001,0),"")</f>
        <v/>
      </c>
      <c r="AE168" s="14">
        <f>IF($AD168="","",P168-O168*AB168/100)</f>
        <v/>
      </c>
    </row>
    <row r="169">
      <c r="A169" s="12" t="n"/>
      <c r="B169">
        <f>IF($AD169="","",INDEX('Per Line'!$E$2:$E$3001,$AD169)&amp;"")</f>
        <v/>
      </c>
      <c r="C169">
        <f>IF($AD169="","",INDEX('Per Line'!$A$2:$A$3001,$AD169)&amp;"")</f>
        <v/>
      </c>
      <c r="D169">
        <f>IF($AD169="","",INDEX('Per Line'!$C$2:$C$3001,$AD169)&amp;"")</f>
        <v/>
      </c>
      <c r="E169">
        <f>IF($AD169="","",INDEX('Per Line'!$B$2:$B$3001,$AD169))</f>
        <v/>
      </c>
      <c r="F169">
        <f>IF($AD169="","",INDEX('Per Line'!$D$2:$D$3001,$AD169)&amp;"")</f>
        <v/>
      </c>
      <c r="G169" s="11">
        <f>IF($AD169="","",INDEX('Per Line'!$G$2:$G$3001,$AD169))</f>
        <v/>
      </c>
      <c r="H169">
        <f>IF($AD169="","",INDEX('Per Line'!$J$2:$J$3001,$AD169)&amp;"")</f>
        <v/>
      </c>
      <c r="I169">
        <f>IF($AD169="","",INDEX('Per Line'!$H$2:$H$3001,$AD169)&amp;"")</f>
        <v/>
      </c>
      <c r="J169">
        <f>IF($AD169="","",INDEX('Per Line'!$F$2:$F$3001,$AD169)&amp;"")</f>
        <v/>
      </c>
      <c r="K169">
        <f>IF($AD169="","",INDEX('Per Line'!$K$2:$K$3001,$AD169)&amp;"")</f>
        <v/>
      </c>
      <c r="L169">
        <f>IF($AD169="","",INDEX('Per Line'!$L$2:$L$3001,$AD169)&amp;"")</f>
        <v/>
      </c>
      <c r="M169">
        <f>IF($AD169="","",INDEX('Per Line'!$M$2:$M$3001,$AD169)&amp;"")</f>
        <v/>
      </c>
      <c r="N169">
        <f>IF($AD169="","",INDEX('Per Line'!$AC$2:$AC$3001,$AD169)&amp;"")</f>
        <v/>
      </c>
      <c r="O169">
        <f>IF($AD169="","",INDEX('Per Line'!$P$2:$P$3001,$AD169))</f>
        <v/>
      </c>
      <c r="P169" s="7">
        <f>IF($AD169="","",IF(AND(ISNUMBER(Q169),Q169&gt;0,AB169&gt;Q169),O169*Q169/100+(AB169-Q169),O169*AB169/100))</f>
        <v/>
      </c>
      <c r="Q169">
        <f>IF($AD169="","",INDEX('Per Line'!$AG$2:$AG$3001,$AD169))</f>
        <v/>
      </c>
      <c r="R169">
        <f>IF($AD169="","",IF(AND(ISNUMBER(Q169),Q169&gt;0),AB169&gt;Q169,FALSE))</f>
        <v/>
      </c>
      <c r="S169" s="7">
        <f>IF($AD169="","",SUMIFS('Per Line'!$AB$2:$AB$3001,'Per Line'!$E$2:$E$3001,$B169,'Per Line'!$AQ$2:$AQ$3001,1))</f>
        <v/>
      </c>
      <c r="T169">
        <f>IF($AD169="","",Settings!$C$7)</f>
        <v/>
      </c>
      <c r="U169" s="7">
        <f>IF($AD169="","",SUMIFS('Per Line'!$AB$2:$AB$3001,'Per Line'!$E$2:$E$3001,$B169,'Per Line'!$AP$2:$AP$3001,0,'Per Line'!$AQ$2:$AQ$3001,0))</f>
        <v/>
      </c>
      <c r="V169" s="7">
        <f>IF($AD169="","",U169*T169)</f>
        <v/>
      </c>
      <c r="W169">
        <f>IF($AD169="","",Settings!$C$6)</f>
        <v/>
      </c>
      <c r="X169" s="7">
        <f>IF($AD169="","",SUMIFS('Per Line'!$AB$2:$AB$3001,'Per Line'!$E$2:$E$3001,$B169,'Per Line'!$AP$2:$AP$3001,1,'Per Line'!$AQ$2:$AQ$3001,0))</f>
        <v/>
      </c>
      <c r="Y169" s="7">
        <f>IF($AD169="","",X169*W169)</f>
        <v/>
      </c>
      <c r="Z169" s="7">
        <f>IF($AD169="","",Y169+V169)</f>
        <v/>
      </c>
      <c r="AA169" s="7">
        <f>IF($AD169="","",AB169-Z169)</f>
        <v/>
      </c>
      <c r="AB169" s="7">
        <f>IF($AD169="","",U169+X169+S169)</f>
        <v/>
      </c>
      <c r="AC169" s="7">
        <f>IF($AD169="","",AB169-Z169-P169)</f>
        <v/>
      </c>
      <c r="AD169" s="13">
        <f>IF(ROWS($AD$2:$AD169)&lt;=MAX('Per Line'!$AO$2:$AO$3001),MATCH(ROWS($AD$2:$AD169),'Per Line'!$AO$2:$AO$3001,0),"")</f>
        <v/>
      </c>
      <c r="AE169" s="14">
        <f>IF($AD169="","",P169-O169*AB169/100)</f>
        <v/>
      </c>
    </row>
    <row r="170">
      <c r="A170" s="12" t="n"/>
      <c r="B170">
        <f>IF($AD170="","",INDEX('Per Line'!$E$2:$E$3001,$AD170)&amp;"")</f>
        <v/>
      </c>
      <c r="C170">
        <f>IF($AD170="","",INDEX('Per Line'!$A$2:$A$3001,$AD170)&amp;"")</f>
        <v/>
      </c>
      <c r="D170">
        <f>IF($AD170="","",INDEX('Per Line'!$C$2:$C$3001,$AD170)&amp;"")</f>
        <v/>
      </c>
      <c r="E170">
        <f>IF($AD170="","",INDEX('Per Line'!$B$2:$B$3001,$AD170))</f>
        <v/>
      </c>
      <c r="F170">
        <f>IF($AD170="","",INDEX('Per Line'!$D$2:$D$3001,$AD170)&amp;"")</f>
        <v/>
      </c>
      <c r="G170" s="11">
        <f>IF($AD170="","",INDEX('Per Line'!$G$2:$G$3001,$AD170))</f>
        <v/>
      </c>
      <c r="H170">
        <f>IF($AD170="","",INDEX('Per Line'!$J$2:$J$3001,$AD170)&amp;"")</f>
        <v/>
      </c>
      <c r="I170">
        <f>IF($AD170="","",INDEX('Per Line'!$H$2:$H$3001,$AD170)&amp;"")</f>
        <v/>
      </c>
      <c r="J170">
        <f>IF($AD170="","",INDEX('Per Line'!$F$2:$F$3001,$AD170)&amp;"")</f>
        <v/>
      </c>
      <c r="K170">
        <f>IF($AD170="","",INDEX('Per Line'!$K$2:$K$3001,$AD170)&amp;"")</f>
        <v/>
      </c>
      <c r="L170">
        <f>IF($AD170="","",INDEX('Per Line'!$L$2:$L$3001,$AD170)&amp;"")</f>
        <v/>
      </c>
      <c r="M170">
        <f>IF($AD170="","",INDEX('Per Line'!$M$2:$M$3001,$AD170)&amp;"")</f>
        <v/>
      </c>
      <c r="N170">
        <f>IF($AD170="","",INDEX('Per Line'!$AC$2:$AC$3001,$AD170)&amp;"")</f>
        <v/>
      </c>
      <c r="O170">
        <f>IF($AD170="","",INDEX('Per Line'!$P$2:$P$3001,$AD170))</f>
        <v/>
      </c>
      <c r="P170" s="7">
        <f>IF($AD170="","",IF(AND(ISNUMBER(Q170),Q170&gt;0,AB170&gt;Q170),O170*Q170/100+(AB170-Q170),O170*AB170/100))</f>
        <v/>
      </c>
      <c r="Q170">
        <f>IF($AD170="","",INDEX('Per Line'!$AG$2:$AG$3001,$AD170))</f>
        <v/>
      </c>
      <c r="R170">
        <f>IF($AD170="","",IF(AND(ISNUMBER(Q170),Q170&gt;0),AB170&gt;Q170,FALSE))</f>
        <v/>
      </c>
      <c r="S170" s="7">
        <f>IF($AD170="","",SUMIFS('Per Line'!$AB$2:$AB$3001,'Per Line'!$E$2:$E$3001,$B170,'Per Line'!$AQ$2:$AQ$3001,1))</f>
        <v/>
      </c>
      <c r="T170">
        <f>IF($AD170="","",Settings!$C$7)</f>
        <v/>
      </c>
      <c r="U170" s="7">
        <f>IF($AD170="","",SUMIFS('Per Line'!$AB$2:$AB$3001,'Per Line'!$E$2:$E$3001,$B170,'Per Line'!$AP$2:$AP$3001,0,'Per Line'!$AQ$2:$AQ$3001,0))</f>
        <v/>
      </c>
      <c r="V170" s="7">
        <f>IF($AD170="","",U170*T170)</f>
        <v/>
      </c>
      <c r="W170">
        <f>IF($AD170="","",Settings!$C$6)</f>
        <v/>
      </c>
      <c r="X170" s="7">
        <f>IF($AD170="","",SUMIFS('Per Line'!$AB$2:$AB$3001,'Per Line'!$E$2:$E$3001,$B170,'Per Line'!$AP$2:$AP$3001,1,'Per Line'!$AQ$2:$AQ$3001,0))</f>
        <v/>
      </c>
      <c r="Y170" s="7">
        <f>IF($AD170="","",X170*W170)</f>
        <v/>
      </c>
      <c r="Z170" s="7">
        <f>IF($AD170="","",Y170+V170)</f>
        <v/>
      </c>
      <c r="AA170" s="7">
        <f>IF($AD170="","",AB170-Z170)</f>
        <v/>
      </c>
      <c r="AB170" s="7">
        <f>IF($AD170="","",U170+X170+S170)</f>
        <v/>
      </c>
      <c r="AC170" s="7">
        <f>IF($AD170="","",AB170-Z170-P170)</f>
        <v/>
      </c>
      <c r="AD170" s="13">
        <f>IF(ROWS($AD$2:$AD170)&lt;=MAX('Per Line'!$AO$2:$AO$3001),MATCH(ROWS($AD$2:$AD170),'Per Line'!$AO$2:$AO$3001,0),"")</f>
        <v/>
      </c>
      <c r="AE170" s="14">
        <f>IF($AD170="","",P170-O170*AB170/100)</f>
        <v/>
      </c>
    </row>
    <row r="171">
      <c r="A171" s="12" t="n"/>
      <c r="B171">
        <f>IF($AD171="","",INDEX('Per Line'!$E$2:$E$3001,$AD171)&amp;"")</f>
        <v/>
      </c>
      <c r="C171">
        <f>IF($AD171="","",INDEX('Per Line'!$A$2:$A$3001,$AD171)&amp;"")</f>
        <v/>
      </c>
      <c r="D171">
        <f>IF($AD171="","",INDEX('Per Line'!$C$2:$C$3001,$AD171)&amp;"")</f>
        <v/>
      </c>
      <c r="E171">
        <f>IF($AD171="","",INDEX('Per Line'!$B$2:$B$3001,$AD171))</f>
        <v/>
      </c>
      <c r="F171">
        <f>IF($AD171="","",INDEX('Per Line'!$D$2:$D$3001,$AD171)&amp;"")</f>
        <v/>
      </c>
      <c r="G171" s="11">
        <f>IF($AD171="","",INDEX('Per Line'!$G$2:$G$3001,$AD171))</f>
        <v/>
      </c>
      <c r="H171">
        <f>IF($AD171="","",INDEX('Per Line'!$J$2:$J$3001,$AD171)&amp;"")</f>
        <v/>
      </c>
      <c r="I171">
        <f>IF($AD171="","",INDEX('Per Line'!$H$2:$H$3001,$AD171)&amp;"")</f>
        <v/>
      </c>
      <c r="J171">
        <f>IF($AD171="","",INDEX('Per Line'!$F$2:$F$3001,$AD171)&amp;"")</f>
        <v/>
      </c>
      <c r="K171">
        <f>IF($AD171="","",INDEX('Per Line'!$K$2:$K$3001,$AD171)&amp;"")</f>
        <v/>
      </c>
      <c r="L171">
        <f>IF($AD171="","",INDEX('Per Line'!$L$2:$L$3001,$AD171)&amp;"")</f>
        <v/>
      </c>
      <c r="M171">
        <f>IF($AD171="","",INDEX('Per Line'!$M$2:$M$3001,$AD171)&amp;"")</f>
        <v/>
      </c>
      <c r="N171">
        <f>IF($AD171="","",INDEX('Per Line'!$AC$2:$AC$3001,$AD171)&amp;"")</f>
        <v/>
      </c>
      <c r="O171">
        <f>IF($AD171="","",INDEX('Per Line'!$P$2:$P$3001,$AD171))</f>
        <v/>
      </c>
      <c r="P171" s="7">
        <f>IF($AD171="","",IF(AND(ISNUMBER(Q171),Q171&gt;0,AB171&gt;Q171),O171*Q171/100+(AB171-Q171),O171*AB171/100))</f>
        <v/>
      </c>
      <c r="Q171">
        <f>IF($AD171="","",INDEX('Per Line'!$AG$2:$AG$3001,$AD171))</f>
        <v/>
      </c>
      <c r="R171">
        <f>IF($AD171="","",IF(AND(ISNUMBER(Q171),Q171&gt;0),AB171&gt;Q171,FALSE))</f>
        <v/>
      </c>
      <c r="S171" s="7">
        <f>IF($AD171="","",SUMIFS('Per Line'!$AB$2:$AB$3001,'Per Line'!$E$2:$E$3001,$B171,'Per Line'!$AQ$2:$AQ$3001,1))</f>
        <v/>
      </c>
      <c r="T171">
        <f>IF($AD171="","",Settings!$C$7)</f>
        <v/>
      </c>
      <c r="U171" s="7">
        <f>IF($AD171="","",SUMIFS('Per Line'!$AB$2:$AB$3001,'Per Line'!$E$2:$E$3001,$B171,'Per Line'!$AP$2:$AP$3001,0,'Per Line'!$AQ$2:$AQ$3001,0))</f>
        <v/>
      </c>
      <c r="V171" s="7">
        <f>IF($AD171="","",U171*T171)</f>
        <v/>
      </c>
      <c r="W171">
        <f>IF($AD171="","",Settings!$C$6)</f>
        <v/>
      </c>
      <c r="X171" s="7">
        <f>IF($AD171="","",SUMIFS('Per Line'!$AB$2:$AB$3001,'Per Line'!$E$2:$E$3001,$B171,'Per Line'!$AP$2:$AP$3001,1,'Per Line'!$AQ$2:$AQ$3001,0))</f>
        <v/>
      </c>
      <c r="Y171" s="7">
        <f>IF($AD171="","",X171*W171)</f>
        <v/>
      </c>
      <c r="Z171" s="7">
        <f>IF($AD171="","",Y171+V171)</f>
        <v/>
      </c>
      <c r="AA171" s="7">
        <f>IF($AD171="","",AB171-Z171)</f>
        <v/>
      </c>
      <c r="AB171" s="7">
        <f>IF($AD171="","",U171+X171+S171)</f>
        <v/>
      </c>
      <c r="AC171" s="7">
        <f>IF($AD171="","",AB171-Z171-P171)</f>
        <v/>
      </c>
      <c r="AD171" s="13">
        <f>IF(ROWS($AD$2:$AD171)&lt;=MAX('Per Line'!$AO$2:$AO$3001),MATCH(ROWS($AD$2:$AD171),'Per Line'!$AO$2:$AO$3001,0),"")</f>
        <v/>
      </c>
      <c r="AE171" s="14">
        <f>IF($AD171="","",P171-O171*AB171/100)</f>
        <v/>
      </c>
    </row>
    <row r="172">
      <c r="A172" s="12" t="n"/>
      <c r="B172">
        <f>IF($AD172="","",INDEX('Per Line'!$E$2:$E$3001,$AD172)&amp;"")</f>
        <v/>
      </c>
      <c r="C172">
        <f>IF($AD172="","",INDEX('Per Line'!$A$2:$A$3001,$AD172)&amp;"")</f>
        <v/>
      </c>
      <c r="D172">
        <f>IF($AD172="","",INDEX('Per Line'!$C$2:$C$3001,$AD172)&amp;"")</f>
        <v/>
      </c>
      <c r="E172">
        <f>IF($AD172="","",INDEX('Per Line'!$B$2:$B$3001,$AD172))</f>
        <v/>
      </c>
      <c r="F172">
        <f>IF($AD172="","",INDEX('Per Line'!$D$2:$D$3001,$AD172)&amp;"")</f>
        <v/>
      </c>
      <c r="G172" s="11">
        <f>IF($AD172="","",INDEX('Per Line'!$G$2:$G$3001,$AD172))</f>
        <v/>
      </c>
      <c r="H172">
        <f>IF($AD172="","",INDEX('Per Line'!$J$2:$J$3001,$AD172)&amp;"")</f>
        <v/>
      </c>
      <c r="I172">
        <f>IF($AD172="","",INDEX('Per Line'!$H$2:$H$3001,$AD172)&amp;"")</f>
        <v/>
      </c>
      <c r="J172">
        <f>IF($AD172="","",INDEX('Per Line'!$F$2:$F$3001,$AD172)&amp;"")</f>
        <v/>
      </c>
      <c r="K172">
        <f>IF($AD172="","",INDEX('Per Line'!$K$2:$K$3001,$AD172)&amp;"")</f>
        <v/>
      </c>
      <c r="L172">
        <f>IF($AD172="","",INDEX('Per Line'!$L$2:$L$3001,$AD172)&amp;"")</f>
        <v/>
      </c>
      <c r="M172">
        <f>IF($AD172="","",INDEX('Per Line'!$M$2:$M$3001,$AD172)&amp;"")</f>
        <v/>
      </c>
      <c r="N172">
        <f>IF($AD172="","",INDEX('Per Line'!$AC$2:$AC$3001,$AD172)&amp;"")</f>
        <v/>
      </c>
      <c r="O172">
        <f>IF($AD172="","",INDEX('Per Line'!$P$2:$P$3001,$AD172))</f>
        <v/>
      </c>
      <c r="P172" s="7">
        <f>IF($AD172="","",IF(AND(ISNUMBER(Q172),Q172&gt;0,AB172&gt;Q172),O172*Q172/100+(AB172-Q172),O172*AB172/100))</f>
        <v/>
      </c>
      <c r="Q172">
        <f>IF($AD172="","",INDEX('Per Line'!$AG$2:$AG$3001,$AD172))</f>
        <v/>
      </c>
      <c r="R172">
        <f>IF($AD172="","",IF(AND(ISNUMBER(Q172),Q172&gt;0),AB172&gt;Q172,FALSE))</f>
        <v/>
      </c>
      <c r="S172" s="7">
        <f>IF($AD172="","",SUMIFS('Per Line'!$AB$2:$AB$3001,'Per Line'!$E$2:$E$3001,$B172,'Per Line'!$AQ$2:$AQ$3001,1))</f>
        <v/>
      </c>
      <c r="T172">
        <f>IF($AD172="","",Settings!$C$7)</f>
        <v/>
      </c>
      <c r="U172" s="7">
        <f>IF($AD172="","",SUMIFS('Per Line'!$AB$2:$AB$3001,'Per Line'!$E$2:$E$3001,$B172,'Per Line'!$AP$2:$AP$3001,0,'Per Line'!$AQ$2:$AQ$3001,0))</f>
        <v/>
      </c>
      <c r="V172" s="7">
        <f>IF($AD172="","",U172*T172)</f>
        <v/>
      </c>
      <c r="W172">
        <f>IF($AD172="","",Settings!$C$6)</f>
        <v/>
      </c>
      <c r="X172" s="7">
        <f>IF($AD172="","",SUMIFS('Per Line'!$AB$2:$AB$3001,'Per Line'!$E$2:$E$3001,$B172,'Per Line'!$AP$2:$AP$3001,1,'Per Line'!$AQ$2:$AQ$3001,0))</f>
        <v/>
      </c>
      <c r="Y172" s="7">
        <f>IF($AD172="","",X172*W172)</f>
        <v/>
      </c>
      <c r="Z172" s="7">
        <f>IF($AD172="","",Y172+V172)</f>
        <v/>
      </c>
      <c r="AA172" s="7">
        <f>IF($AD172="","",AB172-Z172)</f>
        <v/>
      </c>
      <c r="AB172" s="7">
        <f>IF($AD172="","",U172+X172+S172)</f>
        <v/>
      </c>
      <c r="AC172" s="7">
        <f>IF($AD172="","",AB172-Z172-P172)</f>
        <v/>
      </c>
      <c r="AD172" s="13">
        <f>IF(ROWS($AD$2:$AD172)&lt;=MAX('Per Line'!$AO$2:$AO$3001),MATCH(ROWS($AD$2:$AD172),'Per Line'!$AO$2:$AO$3001,0),"")</f>
        <v/>
      </c>
      <c r="AE172" s="14">
        <f>IF($AD172="","",P172-O172*AB172/100)</f>
        <v/>
      </c>
    </row>
    <row r="173">
      <c r="A173" s="12" t="n"/>
      <c r="B173">
        <f>IF($AD173="","",INDEX('Per Line'!$E$2:$E$3001,$AD173)&amp;"")</f>
        <v/>
      </c>
      <c r="C173">
        <f>IF($AD173="","",INDEX('Per Line'!$A$2:$A$3001,$AD173)&amp;"")</f>
        <v/>
      </c>
      <c r="D173">
        <f>IF($AD173="","",INDEX('Per Line'!$C$2:$C$3001,$AD173)&amp;"")</f>
        <v/>
      </c>
      <c r="E173">
        <f>IF($AD173="","",INDEX('Per Line'!$B$2:$B$3001,$AD173))</f>
        <v/>
      </c>
      <c r="F173">
        <f>IF($AD173="","",INDEX('Per Line'!$D$2:$D$3001,$AD173)&amp;"")</f>
        <v/>
      </c>
      <c r="G173" s="11">
        <f>IF($AD173="","",INDEX('Per Line'!$G$2:$G$3001,$AD173))</f>
        <v/>
      </c>
      <c r="H173">
        <f>IF($AD173="","",INDEX('Per Line'!$J$2:$J$3001,$AD173)&amp;"")</f>
        <v/>
      </c>
      <c r="I173">
        <f>IF($AD173="","",INDEX('Per Line'!$H$2:$H$3001,$AD173)&amp;"")</f>
        <v/>
      </c>
      <c r="J173">
        <f>IF($AD173="","",INDEX('Per Line'!$F$2:$F$3001,$AD173)&amp;"")</f>
        <v/>
      </c>
      <c r="K173">
        <f>IF($AD173="","",INDEX('Per Line'!$K$2:$K$3001,$AD173)&amp;"")</f>
        <v/>
      </c>
      <c r="L173">
        <f>IF($AD173="","",INDEX('Per Line'!$L$2:$L$3001,$AD173)&amp;"")</f>
        <v/>
      </c>
      <c r="M173">
        <f>IF($AD173="","",INDEX('Per Line'!$M$2:$M$3001,$AD173)&amp;"")</f>
        <v/>
      </c>
      <c r="N173">
        <f>IF($AD173="","",INDEX('Per Line'!$AC$2:$AC$3001,$AD173)&amp;"")</f>
        <v/>
      </c>
      <c r="O173">
        <f>IF($AD173="","",INDEX('Per Line'!$P$2:$P$3001,$AD173))</f>
        <v/>
      </c>
      <c r="P173" s="7">
        <f>IF($AD173="","",IF(AND(ISNUMBER(Q173),Q173&gt;0,AB173&gt;Q173),O173*Q173/100+(AB173-Q173),O173*AB173/100))</f>
        <v/>
      </c>
      <c r="Q173">
        <f>IF($AD173="","",INDEX('Per Line'!$AG$2:$AG$3001,$AD173))</f>
        <v/>
      </c>
      <c r="R173">
        <f>IF($AD173="","",IF(AND(ISNUMBER(Q173),Q173&gt;0),AB173&gt;Q173,FALSE))</f>
        <v/>
      </c>
      <c r="S173" s="7">
        <f>IF($AD173="","",SUMIFS('Per Line'!$AB$2:$AB$3001,'Per Line'!$E$2:$E$3001,$B173,'Per Line'!$AQ$2:$AQ$3001,1))</f>
        <v/>
      </c>
      <c r="T173">
        <f>IF($AD173="","",Settings!$C$7)</f>
        <v/>
      </c>
      <c r="U173" s="7">
        <f>IF($AD173="","",SUMIFS('Per Line'!$AB$2:$AB$3001,'Per Line'!$E$2:$E$3001,$B173,'Per Line'!$AP$2:$AP$3001,0,'Per Line'!$AQ$2:$AQ$3001,0))</f>
        <v/>
      </c>
      <c r="V173" s="7">
        <f>IF($AD173="","",U173*T173)</f>
        <v/>
      </c>
      <c r="W173">
        <f>IF($AD173="","",Settings!$C$6)</f>
        <v/>
      </c>
      <c r="X173" s="7">
        <f>IF($AD173="","",SUMIFS('Per Line'!$AB$2:$AB$3001,'Per Line'!$E$2:$E$3001,$B173,'Per Line'!$AP$2:$AP$3001,1,'Per Line'!$AQ$2:$AQ$3001,0))</f>
        <v/>
      </c>
      <c r="Y173" s="7">
        <f>IF($AD173="","",X173*W173)</f>
        <v/>
      </c>
      <c r="Z173" s="7">
        <f>IF($AD173="","",Y173+V173)</f>
        <v/>
      </c>
      <c r="AA173" s="7">
        <f>IF($AD173="","",AB173-Z173)</f>
        <v/>
      </c>
      <c r="AB173" s="7">
        <f>IF($AD173="","",U173+X173+S173)</f>
        <v/>
      </c>
      <c r="AC173" s="7">
        <f>IF($AD173="","",AB173-Z173-P173)</f>
        <v/>
      </c>
      <c r="AD173" s="13">
        <f>IF(ROWS($AD$2:$AD173)&lt;=MAX('Per Line'!$AO$2:$AO$3001),MATCH(ROWS($AD$2:$AD173),'Per Line'!$AO$2:$AO$3001,0),"")</f>
        <v/>
      </c>
      <c r="AE173" s="14">
        <f>IF($AD173="","",P173-O173*AB173/100)</f>
        <v/>
      </c>
    </row>
    <row r="174">
      <c r="A174" s="12" t="n"/>
      <c r="B174">
        <f>IF($AD174="","",INDEX('Per Line'!$E$2:$E$3001,$AD174)&amp;"")</f>
        <v/>
      </c>
      <c r="C174">
        <f>IF($AD174="","",INDEX('Per Line'!$A$2:$A$3001,$AD174)&amp;"")</f>
        <v/>
      </c>
      <c r="D174">
        <f>IF($AD174="","",INDEX('Per Line'!$C$2:$C$3001,$AD174)&amp;"")</f>
        <v/>
      </c>
      <c r="E174">
        <f>IF($AD174="","",INDEX('Per Line'!$B$2:$B$3001,$AD174))</f>
        <v/>
      </c>
      <c r="F174">
        <f>IF($AD174="","",INDEX('Per Line'!$D$2:$D$3001,$AD174)&amp;"")</f>
        <v/>
      </c>
      <c r="G174" s="11">
        <f>IF($AD174="","",INDEX('Per Line'!$G$2:$G$3001,$AD174))</f>
        <v/>
      </c>
      <c r="H174">
        <f>IF($AD174="","",INDEX('Per Line'!$J$2:$J$3001,$AD174)&amp;"")</f>
        <v/>
      </c>
      <c r="I174">
        <f>IF($AD174="","",INDEX('Per Line'!$H$2:$H$3001,$AD174)&amp;"")</f>
        <v/>
      </c>
      <c r="J174">
        <f>IF($AD174="","",INDEX('Per Line'!$F$2:$F$3001,$AD174)&amp;"")</f>
        <v/>
      </c>
      <c r="K174">
        <f>IF($AD174="","",INDEX('Per Line'!$K$2:$K$3001,$AD174)&amp;"")</f>
        <v/>
      </c>
      <c r="L174">
        <f>IF($AD174="","",INDEX('Per Line'!$L$2:$L$3001,$AD174)&amp;"")</f>
        <v/>
      </c>
      <c r="M174">
        <f>IF($AD174="","",INDEX('Per Line'!$M$2:$M$3001,$AD174)&amp;"")</f>
        <v/>
      </c>
      <c r="N174">
        <f>IF($AD174="","",INDEX('Per Line'!$AC$2:$AC$3001,$AD174)&amp;"")</f>
        <v/>
      </c>
      <c r="O174">
        <f>IF($AD174="","",INDEX('Per Line'!$P$2:$P$3001,$AD174))</f>
        <v/>
      </c>
      <c r="P174" s="7">
        <f>IF($AD174="","",IF(AND(ISNUMBER(Q174),Q174&gt;0,AB174&gt;Q174),O174*Q174/100+(AB174-Q174),O174*AB174/100))</f>
        <v/>
      </c>
      <c r="Q174">
        <f>IF($AD174="","",INDEX('Per Line'!$AG$2:$AG$3001,$AD174))</f>
        <v/>
      </c>
      <c r="R174">
        <f>IF($AD174="","",IF(AND(ISNUMBER(Q174),Q174&gt;0),AB174&gt;Q174,FALSE))</f>
        <v/>
      </c>
      <c r="S174" s="7">
        <f>IF($AD174="","",SUMIFS('Per Line'!$AB$2:$AB$3001,'Per Line'!$E$2:$E$3001,$B174,'Per Line'!$AQ$2:$AQ$3001,1))</f>
        <v/>
      </c>
      <c r="T174">
        <f>IF($AD174="","",Settings!$C$7)</f>
        <v/>
      </c>
      <c r="U174" s="7">
        <f>IF($AD174="","",SUMIFS('Per Line'!$AB$2:$AB$3001,'Per Line'!$E$2:$E$3001,$B174,'Per Line'!$AP$2:$AP$3001,0,'Per Line'!$AQ$2:$AQ$3001,0))</f>
        <v/>
      </c>
      <c r="V174" s="7">
        <f>IF($AD174="","",U174*T174)</f>
        <v/>
      </c>
      <c r="W174">
        <f>IF($AD174="","",Settings!$C$6)</f>
        <v/>
      </c>
      <c r="X174" s="7">
        <f>IF($AD174="","",SUMIFS('Per Line'!$AB$2:$AB$3001,'Per Line'!$E$2:$E$3001,$B174,'Per Line'!$AP$2:$AP$3001,1,'Per Line'!$AQ$2:$AQ$3001,0))</f>
        <v/>
      </c>
      <c r="Y174" s="7">
        <f>IF($AD174="","",X174*W174)</f>
        <v/>
      </c>
      <c r="Z174" s="7">
        <f>IF($AD174="","",Y174+V174)</f>
        <v/>
      </c>
      <c r="AA174" s="7">
        <f>IF($AD174="","",AB174-Z174)</f>
        <v/>
      </c>
      <c r="AB174" s="7">
        <f>IF($AD174="","",U174+X174+S174)</f>
        <v/>
      </c>
      <c r="AC174" s="7">
        <f>IF($AD174="","",AB174-Z174-P174)</f>
        <v/>
      </c>
      <c r="AD174" s="13">
        <f>IF(ROWS($AD$2:$AD174)&lt;=MAX('Per Line'!$AO$2:$AO$3001),MATCH(ROWS($AD$2:$AD174),'Per Line'!$AO$2:$AO$3001,0),"")</f>
        <v/>
      </c>
      <c r="AE174" s="14">
        <f>IF($AD174="","",P174-O174*AB174/100)</f>
        <v/>
      </c>
    </row>
    <row r="175">
      <c r="A175" s="12" t="n"/>
      <c r="B175">
        <f>IF($AD175="","",INDEX('Per Line'!$E$2:$E$3001,$AD175)&amp;"")</f>
        <v/>
      </c>
      <c r="C175">
        <f>IF($AD175="","",INDEX('Per Line'!$A$2:$A$3001,$AD175)&amp;"")</f>
        <v/>
      </c>
      <c r="D175">
        <f>IF($AD175="","",INDEX('Per Line'!$C$2:$C$3001,$AD175)&amp;"")</f>
        <v/>
      </c>
      <c r="E175">
        <f>IF($AD175="","",INDEX('Per Line'!$B$2:$B$3001,$AD175))</f>
        <v/>
      </c>
      <c r="F175">
        <f>IF($AD175="","",INDEX('Per Line'!$D$2:$D$3001,$AD175)&amp;"")</f>
        <v/>
      </c>
      <c r="G175" s="11">
        <f>IF($AD175="","",INDEX('Per Line'!$G$2:$G$3001,$AD175))</f>
        <v/>
      </c>
      <c r="H175">
        <f>IF($AD175="","",INDEX('Per Line'!$J$2:$J$3001,$AD175)&amp;"")</f>
        <v/>
      </c>
      <c r="I175">
        <f>IF($AD175="","",INDEX('Per Line'!$H$2:$H$3001,$AD175)&amp;"")</f>
        <v/>
      </c>
      <c r="J175">
        <f>IF($AD175="","",INDEX('Per Line'!$F$2:$F$3001,$AD175)&amp;"")</f>
        <v/>
      </c>
      <c r="K175">
        <f>IF($AD175="","",INDEX('Per Line'!$K$2:$K$3001,$AD175)&amp;"")</f>
        <v/>
      </c>
      <c r="L175">
        <f>IF($AD175="","",INDEX('Per Line'!$L$2:$L$3001,$AD175)&amp;"")</f>
        <v/>
      </c>
      <c r="M175">
        <f>IF($AD175="","",INDEX('Per Line'!$M$2:$M$3001,$AD175)&amp;"")</f>
        <v/>
      </c>
      <c r="N175">
        <f>IF($AD175="","",INDEX('Per Line'!$AC$2:$AC$3001,$AD175)&amp;"")</f>
        <v/>
      </c>
      <c r="O175">
        <f>IF($AD175="","",INDEX('Per Line'!$P$2:$P$3001,$AD175))</f>
        <v/>
      </c>
      <c r="P175" s="7">
        <f>IF($AD175="","",IF(AND(ISNUMBER(Q175),Q175&gt;0,AB175&gt;Q175),O175*Q175/100+(AB175-Q175),O175*AB175/100))</f>
        <v/>
      </c>
      <c r="Q175">
        <f>IF($AD175="","",INDEX('Per Line'!$AG$2:$AG$3001,$AD175))</f>
        <v/>
      </c>
      <c r="R175">
        <f>IF($AD175="","",IF(AND(ISNUMBER(Q175),Q175&gt;0),AB175&gt;Q175,FALSE))</f>
        <v/>
      </c>
      <c r="S175" s="7">
        <f>IF($AD175="","",SUMIFS('Per Line'!$AB$2:$AB$3001,'Per Line'!$E$2:$E$3001,$B175,'Per Line'!$AQ$2:$AQ$3001,1))</f>
        <v/>
      </c>
      <c r="T175">
        <f>IF($AD175="","",Settings!$C$7)</f>
        <v/>
      </c>
      <c r="U175" s="7">
        <f>IF($AD175="","",SUMIFS('Per Line'!$AB$2:$AB$3001,'Per Line'!$E$2:$E$3001,$B175,'Per Line'!$AP$2:$AP$3001,0,'Per Line'!$AQ$2:$AQ$3001,0))</f>
        <v/>
      </c>
      <c r="V175" s="7">
        <f>IF($AD175="","",U175*T175)</f>
        <v/>
      </c>
      <c r="W175">
        <f>IF($AD175="","",Settings!$C$6)</f>
        <v/>
      </c>
      <c r="X175" s="7">
        <f>IF($AD175="","",SUMIFS('Per Line'!$AB$2:$AB$3001,'Per Line'!$E$2:$E$3001,$B175,'Per Line'!$AP$2:$AP$3001,1,'Per Line'!$AQ$2:$AQ$3001,0))</f>
        <v/>
      </c>
      <c r="Y175" s="7">
        <f>IF($AD175="","",X175*W175)</f>
        <v/>
      </c>
      <c r="Z175" s="7">
        <f>IF($AD175="","",Y175+V175)</f>
        <v/>
      </c>
      <c r="AA175" s="7">
        <f>IF($AD175="","",AB175-Z175)</f>
        <v/>
      </c>
      <c r="AB175" s="7">
        <f>IF($AD175="","",U175+X175+S175)</f>
        <v/>
      </c>
      <c r="AC175" s="7">
        <f>IF($AD175="","",AB175-Z175-P175)</f>
        <v/>
      </c>
      <c r="AD175" s="13">
        <f>IF(ROWS($AD$2:$AD175)&lt;=MAX('Per Line'!$AO$2:$AO$3001),MATCH(ROWS($AD$2:$AD175),'Per Line'!$AO$2:$AO$3001,0),"")</f>
        <v/>
      </c>
      <c r="AE175" s="14">
        <f>IF($AD175="","",P175-O175*AB175/100)</f>
        <v/>
      </c>
    </row>
    <row r="176">
      <c r="A176" s="12" t="n"/>
      <c r="B176">
        <f>IF($AD176="","",INDEX('Per Line'!$E$2:$E$3001,$AD176)&amp;"")</f>
        <v/>
      </c>
      <c r="C176">
        <f>IF($AD176="","",INDEX('Per Line'!$A$2:$A$3001,$AD176)&amp;"")</f>
        <v/>
      </c>
      <c r="D176">
        <f>IF($AD176="","",INDEX('Per Line'!$C$2:$C$3001,$AD176)&amp;"")</f>
        <v/>
      </c>
      <c r="E176">
        <f>IF($AD176="","",INDEX('Per Line'!$B$2:$B$3001,$AD176))</f>
        <v/>
      </c>
      <c r="F176">
        <f>IF($AD176="","",INDEX('Per Line'!$D$2:$D$3001,$AD176)&amp;"")</f>
        <v/>
      </c>
      <c r="G176" s="11">
        <f>IF($AD176="","",INDEX('Per Line'!$G$2:$G$3001,$AD176))</f>
        <v/>
      </c>
      <c r="H176">
        <f>IF($AD176="","",INDEX('Per Line'!$J$2:$J$3001,$AD176)&amp;"")</f>
        <v/>
      </c>
      <c r="I176">
        <f>IF($AD176="","",INDEX('Per Line'!$H$2:$H$3001,$AD176)&amp;"")</f>
        <v/>
      </c>
      <c r="J176">
        <f>IF($AD176="","",INDEX('Per Line'!$F$2:$F$3001,$AD176)&amp;"")</f>
        <v/>
      </c>
      <c r="K176">
        <f>IF($AD176="","",INDEX('Per Line'!$K$2:$K$3001,$AD176)&amp;"")</f>
        <v/>
      </c>
      <c r="L176">
        <f>IF($AD176="","",INDEX('Per Line'!$L$2:$L$3001,$AD176)&amp;"")</f>
        <v/>
      </c>
      <c r="M176">
        <f>IF($AD176="","",INDEX('Per Line'!$M$2:$M$3001,$AD176)&amp;"")</f>
        <v/>
      </c>
      <c r="N176">
        <f>IF($AD176="","",INDEX('Per Line'!$AC$2:$AC$3001,$AD176)&amp;"")</f>
        <v/>
      </c>
      <c r="O176">
        <f>IF($AD176="","",INDEX('Per Line'!$P$2:$P$3001,$AD176))</f>
        <v/>
      </c>
      <c r="P176" s="7">
        <f>IF($AD176="","",IF(AND(ISNUMBER(Q176),Q176&gt;0,AB176&gt;Q176),O176*Q176/100+(AB176-Q176),O176*AB176/100))</f>
        <v/>
      </c>
      <c r="Q176">
        <f>IF($AD176="","",INDEX('Per Line'!$AG$2:$AG$3001,$AD176))</f>
        <v/>
      </c>
      <c r="R176">
        <f>IF($AD176="","",IF(AND(ISNUMBER(Q176),Q176&gt;0),AB176&gt;Q176,FALSE))</f>
        <v/>
      </c>
      <c r="S176" s="7">
        <f>IF($AD176="","",SUMIFS('Per Line'!$AB$2:$AB$3001,'Per Line'!$E$2:$E$3001,$B176,'Per Line'!$AQ$2:$AQ$3001,1))</f>
        <v/>
      </c>
      <c r="T176">
        <f>IF($AD176="","",Settings!$C$7)</f>
        <v/>
      </c>
      <c r="U176" s="7">
        <f>IF($AD176="","",SUMIFS('Per Line'!$AB$2:$AB$3001,'Per Line'!$E$2:$E$3001,$B176,'Per Line'!$AP$2:$AP$3001,0,'Per Line'!$AQ$2:$AQ$3001,0))</f>
        <v/>
      </c>
      <c r="V176" s="7">
        <f>IF($AD176="","",U176*T176)</f>
        <v/>
      </c>
      <c r="W176">
        <f>IF($AD176="","",Settings!$C$6)</f>
        <v/>
      </c>
      <c r="X176" s="7">
        <f>IF($AD176="","",SUMIFS('Per Line'!$AB$2:$AB$3001,'Per Line'!$E$2:$E$3001,$B176,'Per Line'!$AP$2:$AP$3001,1,'Per Line'!$AQ$2:$AQ$3001,0))</f>
        <v/>
      </c>
      <c r="Y176" s="7">
        <f>IF($AD176="","",X176*W176)</f>
        <v/>
      </c>
      <c r="Z176" s="7">
        <f>IF($AD176="","",Y176+V176)</f>
        <v/>
      </c>
      <c r="AA176" s="7">
        <f>IF($AD176="","",AB176-Z176)</f>
        <v/>
      </c>
      <c r="AB176" s="7">
        <f>IF($AD176="","",U176+X176+S176)</f>
        <v/>
      </c>
      <c r="AC176" s="7">
        <f>IF($AD176="","",AB176-Z176-P176)</f>
        <v/>
      </c>
      <c r="AD176" s="13">
        <f>IF(ROWS($AD$2:$AD176)&lt;=MAX('Per Line'!$AO$2:$AO$3001),MATCH(ROWS($AD$2:$AD176),'Per Line'!$AO$2:$AO$3001,0),"")</f>
        <v/>
      </c>
      <c r="AE176" s="14">
        <f>IF($AD176="","",P176-O176*AB176/100)</f>
        <v/>
      </c>
    </row>
    <row r="177">
      <c r="A177" s="12" t="n"/>
      <c r="B177">
        <f>IF($AD177="","",INDEX('Per Line'!$E$2:$E$3001,$AD177)&amp;"")</f>
        <v/>
      </c>
      <c r="C177">
        <f>IF($AD177="","",INDEX('Per Line'!$A$2:$A$3001,$AD177)&amp;"")</f>
        <v/>
      </c>
      <c r="D177">
        <f>IF($AD177="","",INDEX('Per Line'!$C$2:$C$3001,$AD177)&amp;"")</f>
        <v/>
      </c>
      <c r="E177">
        <f>IF($AD177="","",INDEX('Per Line'!$B$2:$B$3001,$AD177))</f>
        <v/>
      </c>
      <c r="F177">
        <f>IF($AD177="","",INDEX('Per Line'!$D$2:$D$3001,$AD177)&amp;"")</f>
        <v/>
      </c>
      <c r="G177" s="11">
        <f>IF($AD177="","",INDEX('Per Line'!$G$2:$G$3001,$AD177))</f>
        <v/>
      </c>
      <c r="H177">
        <f>IF($AD177="","",INDEX('Per Line'!$J$2:$J$3001,$AD177)&amp;"")</f>
        <v/>
      </c>
      <c r="I177">
        <f>IF($AD177="","",INDEX('Per Line'!$H$2:$H$3001,$AD177)&amp;"")</f>
        <v/>
      </c>
      <c r="J177">
        <f>IF($AD177="","",INDEX('Per Line'!$F$2:$F$3001,$AD177)&amp;"")</f>
        <v/>
      </c>
      <c r="K177">
        <f>IF($AD177="","",INDEX('Per Line'!$K$2:$K$3001,$AD177)&amp;"")</f>
        <v/>
      </c>
      <c r="L177">
        <f>IF($AD177="","",INDEX('Per Line'!$L$2:$L$3001,$AD177)&amp;"")</f>
        <v/>
      </c>
      <c r="M177">
        <f>IF($AD177="","",INDEX('Per Line'!$M$2:$M$3001,$AD177)&amp;"")</f>
        <v/>
      </c>
      <c r="N177">
        <f>IF($AD177="","",INDEX('Per Line'!$AC$2:$AC$3001,$AD177)&amp;"")</f>
        <v/>
      </c>
      <c r="O177">
        <f>IF($AD177="","",INDEX('Per Line'!$P$2:$P$3001,$AD177))</f>
        <v/>
      </c>
      <c r="P177" s="7">
        <f>IF($AD177="","",IF(AND(ISNUMBER(Q177),Q177&gt;0,AB177&gt;Q177),O177*Q177/100+(AB177-Q177),O177*AB177/100))</f>
        <v/>
      </c>
      <c r="Q177">
        <f>IF($AD177="","",INDEX('Per Line'!$AG$2:$AG$3001,$AD177))</f>
        <v/>
      </c>
      <c r="R177">
        <f>IF($AD177="","",IF(AND(ISNUMBER(Q177),Q177&gt;0),AB177&gt;Q177,FALSE))</f>
        <v/>
      </c>
      <c r="S177" s="7">
        <f>IF($AD177="","",SUMIFS('Per Line'!$AB$2:$AB$3001,'Per Line'!$E$2:$E$3001,$B177,'Per Line'!$AQ$2:$AQ$3001,1))</f>
        <v/>
      </c>
      <c r="T177">
        <f>IF($AD177="","",Settings!$C$7)</f>
        <v/>
      </c>
      <c r="U177" s="7">
        <f>IF($AD177="","",SUMIFS('Per Line'!$AB$2:$AB$3001,'Per Line'!$E$2:$E$3001,$B177,'Per Line'!$AP$2:$AP$3001,0,'Per Line'!$AQ$2:$AQ$3001,0))</f>
        <v/>
      </c>
      <c r="V177" s="7">
        <f>IF($AD177="","",U177*T177)</f>
        <v/>
      </c>
      <c r="W177">
        <f>IF($AD177="","",Settings!$C$6)</f>
        <v/>
      </c>
      <c r="X177" s="7">
        <f>IF($AD177="","",SUMIFS('Per Line'!$AB$2:$AB$3001,'Per Line'!$E$2:$E$3001,$B177,'Per Line'!$AP$2:$AP$3001,1,'Per Line'!$AQ$2:$AQ$3001,0))</f>
        <v/>
      </c>
      <c r="Y177" s="7">
        <f>IF($AD177="","",X177*W177)</f>
        <v/>
      </c>
      <c r="Z177" s="7">
        <f>IF($AD177="","",Y177+V177)</f>
        <v/>
      </c>
      <c r="AA177" s="7">
        <f>IF($AD177="","",AB177-Z177)</f>
        <v/>
      </c>
      <c r="AB177" s="7">
        <f>IF($AD177="","",U177+X177+S177)</f>
        <v/>
      </c>
      <c r="AC177" s="7">
        <f>IF($AD177="","",AB177-Z177-P177)</f>
        <v/>
      </c>
      <c r="AD177" s="13">
        <f>IF(ROWS($AD$2:$AD177)&lt;=MAX('Per Line'!$AO$2:$AO$3001),MATCH(ROWS($AD$2:$AD177),'Per Line'!$AO$2:$AO$3001,0),"")</f>
        <v/>
      </c>
      <c r="AE177" s="14">
        <f>IF($AD177="","",P177-O177*AB177/100)</f>
        <v/>
      </c>
    </row>
    <row r="178">
      <c r="A178" s="12" t="n"/>
      <c r="B178">
        <f>IF($AD178="","",INDEX('Per Line'!$E$2:$E$3001,$AD178)&amp;"")</f>
        <v/>
      </c>
      <c r="C178">
        <f>IF($AD178="","",INDEX('Per Line'!$A$2:$A$3001,$AD178)&amp;"")</f>
        <v/>
      </c>
      <c r="D178">
        <f>IF($AD178="","",INDEX('Per Line'!$C$2:$C$3001,$AD178)&amp;"")</f>
        <v/>
      </c>
      <c r="E178">
        <f>IF($AD178="","",INDEX('Per Line'!$B$2:$B$3001,$AD178))</f>
        <v/>
      </c>
      <c r="F178">
        <f>IF($AD178="","",INDEX('Per Line'!$D$2:$D$3001,$AD178)&amp;"")</f>
        <v/>
      </c>
      <c r="G178" s="11">
        <f>IF($AD178="","",INDEX('Per Line'!$G$2:$G$3001,$AD178))</f>
        <v/>
      </c>
      <c r="H178">
        <f>IF($AD178="","",INDEX('Per Line'!$J$2:$J$3001,$AD178)&amp;"")</f>
        <v/>
      </c>
      <c r="I178">
        <f>IF($AD178="","",INDEX('Per Line'!$H$2:$H$3001,$AD178)&amp;"")</f>
        <v/>
      </c>
      <c r="J178">
        <f>IF($AD178="","",INDEX('Per Line'!$F$2:$F$3001,$AD178)&amp;"")</f>
        <v/>
      </c>
      <c r="K178">
        <f>IF($AD178="","",INDEX('Per Line'!$K$2:$K$3001,$AD178)&amp;"")</f>
        <v/>
      </c>
      <c r="L178">
        <f>IF($AD178="","",INDEX('Per Line'!$L$2:$L$3001,$AD178)&amp;"")</f>
        <v/>
      </c>
      <c r="M178">
        <f>IF($AD178="","",INDEX('Per Line'!$M$2:$M$3001,$AD178)&amp;"")</f>
        <v/>
      </c>
      <c r="N178">
        <f>IF($AD178="","",INDEX('Per Line'!$AC$2:$AC$3001,$AD178)&amp;"")</f>
        <v/>
      </c>
      <c r="O178">
        <f>IF($AD178="","",INDEX('Per Line'!$P$2:$P$3001,$AD178))</f>
        <v/>
      </c>
      <c r="P178" s="7">
        <f>IF($AD178="","",IF(AND(ISNUMBER(Q178),Q178&gt;0,AB178&gt;Q178),O178*Q178/100+(AB178-Q178),O178*AB178/100))</f>
        <v/>
      </c>
      <c r="Q178">
        <f>IF($AD178="","",INDEX('Per Line'!$AG$2:$AG$3001,$AD178))</f>
        <v/>
      </c>
      <c r="R178">
        <f>IF($AD178="","",IF(AND(ISNUMBER(Q178),Q178&gt;0),AB178&gt;Q178,FALSE))</f>
        <v/>
      </c>
      <c r="S178" s="7">
        <f>IF($AD178="","",SUMIFS('Per Line'!$AB$2:$AB$3001,'Per Line'!$E$2:$E$3001,$B178,'Per Line'!$AQ$2:$AQ$3001,1))</f>
        <v/>
      </c>
      <c r="T178">
        <f>IF($AD178="","",Settings!$C$7)</f>
        <v/>
      </c>
      <c r="U178" s="7">
        <f>IF($AD178="","",SUMIFS('Per Line'!$AB$2:$AB$3001,'Per Line'!$E$2:$E$3001,$B178,'Per Line'!$AP$2:$AP$3001,0,'Per Line'!$AQ$2:$AQ$3001,0))</f>
        <v/>
      </c>
      <c r="V178" s="7">
        <f>IF($AD178="","",U178*T178)</f>
        <v/>
      </c>
      <c r="W178">
        <f>IF($AD178="","",Settings!$C$6)</f>
        <v/>
      </c>
      <c r="X178" s="7">
        <f>IF($AD178="","",SUMIFS('Per Line'!$AB$2:$AB$3001,'Per Line'!$E$2:$E$3001,$B178,'Per Line'!$AP$2:$AP$3001,1,'Per Line'!$AQ$2:$AQ$3001,0))</f>
        <v/>
      </c>
      <c r="Y178" s="7">
        <f>IF($AD178="","",X178*W178)</f>
        <v/>
      </c>
      <c r="Z178" s="7">
        <f>IF($AD178="","",Y178+V178)</f>
        <v/>
      </c>
      <c r="AA178" s="7">
        <f>IF($AD178="","",AB178-Z178)</f>
        <v/>
      </c>
      <c r="AB178" s="7">
        <f>IF($AD178="","",U178+X178+S178)</f>
        <v/>
      </c>
      <c r="AC178" s="7">
        <f>IF($AD178="","",AB178-Z178-P178)</f>
        <v/>
      </c>
      <c r="AD178" s="13">
        <f>IF(ROWS($AD$2:$AD178)&lt;=MAX('Per Line'!$AO$2:$AO$3001),MATCH(ROWS($AD$2:$AD178),'Per Line'!$AO$2:$AO$3001,0),"")</f>
        <v/>
      </c>
      <c r="AE178" s="14">
        <f>IF($AD178="","",P178-O178*AB178/100)</f>
        <v/>
      </c>
    </row>
    <row r="179">
      <c r="A179" s="12" t="n"/>
      <c r="B179">
        <f>IF($AD179="","",INDEX('Per Line'!$E$2:$E$3001,$AD179)&amp;"")</f>
        <v/>
      </c>
      <c r="C179">
        <f>IF($AD179="","",INDEX('Per Line'!$A$2:$A$3001,$AD179)&amp;"")</f>
        <v/>
      </c>
      <c r="D179">
        <f>IF($AD179="","",INDEX('Per Line'!$C$2:$C$3001,$AD179)&amp;"")</f>
        <v/>
      </c>
      <c r="E179">
        <f>IF($AD179="","",INDEX('Per Line'!$B$2:$B$3001,$AD179))</f>
        <v/>
      </c>
      <c r="F179">
        <f>IF($AD179="","",INDEX('Per Line'!$D$2:$D$3001,$AD179)&amp;"")</f>
        <v/>
      </c>
      <c r="G179" s="11">
        <f>IF($AD179="","",INDEX('Per Line'!$G$2:$G$3001,$AD179))</f>
        <v/>
      </c>
      <c r="H179">
        <f>IF($AD179="","",INDEX('Per Line'!$J$2:$J$3001,$AD179)&amp;"")</f>
        <v/>
      </c>
      <c r="I179">
        <f>IF($AD179="","",INDEX('Per Line'!$H$2:$H$3001,$AD179)&amp;"")</f>
        <v/>
      </c>
      <c r="J179">
        <f>IF($AD179="","",INDEX('Per Line'!$F$2:$F$3001,$AD179)&amp;"")</f>
        <v/>
      </c>
      <c r="K179">
        <f>IF($AD179="","",INDEX('Per Line'!$K$2:$K$3001,$AD179)&amp;"")</f>
        <v/>
      </c>
      <c r="L179">
        <f>IF($AD179="","",INDEX('Per Line'!$L$2:$L$3001,$AD179)&amp;"")</f>
        <v/>
      </c>
      <c r="M179">
        <f>IF($AD179="","",INDEX('Per Line'!$M$2:$M$3001,$AD179)&amp;"")</f>
        <v/>
      </c>
      <c r="N179">
        <f>IF($AD179="","",INDEX('Per Line'!$AC$2:$AC$3001,$AD179)&amp;"")</f>
        <v/>
      </c>
      <c r="O179">
        <f>IF($AD179="","",INDEX('Per Line'!$P$2:$P$3001,$AD179))</f>
        <v/>
      </c>
      <c r="P179" s="7">
        <f>IF($AD179="","",IF(AND(ISNUMBER(Q179),Q179&gt;0,AB179&gt;Q179),O179*Q179/100+(AB179-Q179),O179*AB179/100))</f>
        <v/>
      </c>
      <c r="Q179">
        <f>IF($AD179="","",INDEX('Per Line'!$AG$2:$AG$3001,$AD179))</f>
        <v/>
      </c>
      <c r="R179">
        <f>IF($AD179="","",IF(AND(ISNUMBER(Q179),Q179&gt;0),AB179&gt;Q179,FALSE))</f>
        <v/>
      </c>
      <c r="S179" s="7">
        <f>IF($AD179="","",SUMIFS('Per Line'!$AB$2:$AB$3001,'Per Line'!$E$2:$E$3001,$B179,'Per Line'!$AQ$2:$AQ$3001,1))</f>
        <v/>
      </c>
      <c r="T179">
        <f>IF($AD179="","",Settings!$C$7)</f>
        <v/>
      </c>
      <c r="U179" s="7">
        <f>IF($AD179="","",SUMIFS('Per Line'!$AB$2:$AB$3001,'Per Line'!$E$2:$E$3001,$B179,'Per Line'!$AP$2:$AP$3001,0,'Per Line'!$AQ$2:$AQ$3001,0))</f>
        <v/>
      </c>
      <c r="V179" s="7">
        <f>IF($AD179="","",U179*T179)</f>
        <v/>
      </c>
      <c r="W179">
        <f>IF($AD179="","",Settings!$C$6)</f>
        <v/>
      </c>
      <c r="X179" s="7">
        <f>IF($AD179="","",SUMIFS('Per Line'!$AB$2:$AB$3001,'Per Line'!$E$2:$E$3001,$B179,'Per Line'!$AP$2:$AP$3001,1,'Per Line'!$AQ$2:$AQ$3001,0))</f>
        <v/>
      </c>
      <c r="Y179" s="7">
        <f>IF($AD179="","",X179*W179)</f>
        <v/>
      </c>
      <c r="Z179" s="7">
        <f>IF($AD179="","",Y179+V179)</f>
        <v/>
      </c>
      <c r="AA179" s="7">
        <f>IF($AD179="","",AB179-Z179)</f>
        <v/>
      </c>
      <c r="AB179" s="7">
        <f>IF($AD179="","",U179+X179+S179)</f>
        <v/>
      </c>
      <c r="AC179" s="7">
        <f>IF($AD179="","",AB179-Z179-P179)</f>
        <v/>
      </c>
      <c r="AD179" s="13">
        <f>IF(ROWS($AD$2:$AD179)&lt;=MAX('Per Line'!$AO$2:$AO$3001),MATCH(ROWS($AD$2:$AD179),'Per Line'!$AO$2:$AO$3001,0),"")</f>
        <v/>
      </c>
      <c r="AE179" s="14">
        <f>IF($AD179="","",P179-O179*AB179/100)</f>
        <v/>
      </c>
    </row>
    <row r="180">
      <c r="A180" s="12" t="n"/>
      <c r="B180">
        <f>IF($AD180="","",INDEX('Per Line'!$E$2:$E$3001,$AD180)&amp;"")</f>
        <v/>
      </c>
      <c r="C180">
        <f>IF($AD180="","",INDEX('Per Line'!$A$2:$A$3001,$AD180)&amp;"")</f>
        <v/>
      </c>
      <c r="D180">
        <f>IF($AD180="","",INDEX('Per Line'!$C$2:$C$3001,$AD180)&amp;"")</f>
        <v/>
      </c>
      <c r="E180">
        <f>IF($AD180="","",INDEX('Per Line'!$B$2:$B$3001,$AD180))</f>
        <v/>
      </c>
      <c r="F180">
        <f>IF($AD180="","",INDEX('Per Line'!$D$2:$D$3001,$AD180)&amp;"")</f>
        <v/>
      </c>
      <c r="G180" s="11">
        <f>IF($AD180="","",INDEX('Per Line'!$G$2:$G$3001,$AD180))</f>
        <v/>
      </c>
      <c r="H180">
        <f>IF($AD180="","",INDEX('Per Line'!$J$2:$J$3001,$AD180)&amp;"")</f>
        <v/>
      </c>
      <c r="I180">
        <f>IF($AD180="","",INDEX('Per Line'!$H$2:$H$3001,$AD180)&amp;"")</f>
        <v/>
      </c>
      <c r="J180">
        <f>IF($AD180="","",INDEX('Per Line'!$F$2:$F$3001,$AD180)&amp;"")</f>
        <v/>
      </c>
      <c r="K180">
        <f>IF($AD180="","",INDEX('Per Line'!$K$2:$K$3001,$AD180)&amp;"")</f>
        <v/>
      </c>
      <c r="L180">
        <f>IF($AD180="","",INDEX('Per Line'!$L$2:$L$3001,$AD180)&amp;"")</f>
        <v/>
      </c>
      <c r="M180">
        <f>IF($AD180="","",INDEX('Per Line'!$M$2:$M$3001,$AD180)&amp;"")</f>
        <v/>
      </c>
      <c r="N180">
        <f>IF($AD180="","",INDEX('Per Line'!$AC$2:$AC$3001,$AD180)&amp;"")</f>
        <v/>
      </c>
      <c r="O180">
        <f>IF($AD180="","",INDEX('Per Line'!$P$2:$P$3001,$AD180))</f>
        <v/>
      </c>
      <c r="P180" s="7">
        <f>IF($AD180="","",IF(AND(ISNUMBER(Q180),Q180&gt;0,AB180&gt;Q180),O180*Q180/100+(AB180-Q180),O180*AB180/100))</f>
        <v/>
      </c>
      <c r="Q180">
        <f>IF($AD180="","",INDEX('Per Line'!$AG$2:$AG$3001,$AD180))</f>
        <v/>
      </c>
      <c r="R180">
        <f>IF($AD180="","",IF(AND(ISNUMBER(Q180),Q180&gt;0),AB180&gt;Q180,FALSE))</f>
        <v/>
      </c>
      <c r="S180" s="7">
        <f>IF($AD180="","",SUMIFS('Per Line'!$AB$2:$AB$3001,'Per Line'!$E$2:$E$3001,$B180,'Per Line'!$AQ$2:$AQ$3001,1))</f>
        <v/>
      </c>
      <c r="T180">
        <f>IF($AD180="","",Settings!$C$7)</f>
        <v/>
      </c>
      <c r="U180" s="7">
        <f>IF($AD180="","",SUMIFS('Per Line'!$AB$2:$AB$3001,'Per Line'!$E$2:$E$3001,$B180,'Per Line'!$AP$2:$AP$3001,0,'Per Line'!$AQ$2:$AQ$3001,0))</f>
        <v/>
      </c>
      <c r="V180" s="7">
        <f>IF($AD180="","",U180*T180)</f>
        <v/>
      </c>
      <c r="W180">
        <f>IF($AD180="","",Settings!$C$6)</f>
        <v/>
      </c>
      <c r="X180" s="7">
        <f>IF($AD180="","",SUMIFS('Per Line'!$AB$2:$AB$3001,'Per Line'!$E$2:$E$3001,$B180,'Per Line'!$AP$2:$AP$3001,1,'Per Line'!$AQ$2:$AQ$3001,0))</f>
        <v/>
      </c>
      <c r="Y180" s="7">
        <f>IF($AD180="","",X180*W180)</f>
        <v/>
      </c>
      <c r="Z180" s="7">
        <f>IF($AD180="","",Y180+V180)</f>
        <v/>
      </c>
      <c r="AA180" s="7">
        <f>IF($AD180="","",AB180-Z180)</f>
        <v/>
      </c>
      <c r="AB180" s="7">
        <f>IF($AD180="","",U180+X180+S180)</f>
        <v/>
      </c>
      <c r="AC180" s="7">
        <f>IF($AD180="","",AB180-Z180-P180)</f>
        <v/>
      </c>
      <c r="AD180" s="13">
        <f>IF(ROWS($AD$2:$AD180)&lt;=MAX('Per Line'!$AO$2:$AO$3001),MATCH(ROWS($AD$2:$AD180),'Per Line'!$AO$2:$AO$3001,0),"")</f>
        <v/>
      </c>
      <c r="AE180" s="14">
        <f>IF($AD180="","",P180-O180*AB180/100)</f>
        <v/>
      </c>
    </row>
    <row r="181">
      <c r="A181" s="12" t="n"/>
      <c r="B181">
        <f>IF($AD181="","",INDEX('Per Line'!$E$2:$E$3001,$AD181)&amp;"")</f>
        <v/>
      </c>
      <c r="C181">
        <f>IF($AD181="","",INDEX('Per Line'!$A$2:$A$3001,$AD181)&amp;"")</f>
        <v/>
      </c>
      <c r="D181">
        <f>IF($AD181="","",INDEX('Per Line'!$C$2:$C$3001,$AD181)&amp;"")</f>
        <v/>
      </c>
      <c r="E181">
        <f>IF($AD181="","",INDEX('Per Line'!$B$2:$B$3001,$AD181))</f>
        <v/>
      </c>
      <c r="F181">
        <f>IF($AD181="","",INDEX('Per Line'!$D$2:$D$3001,$AD181)&amp;"")</f>
        <v/>
      </c>
      <c r="G181" s="11">
        <f>IF($AD181="","",INDEX('Per Line'!$G$2:$G$3001,$AD181))</f>
        <v/>
      </c>
      <c r="H181">
        <f>IF($AD181="","",INDEX('Per Line'!$J$2:$J$3001,$AD181)&amp;"")</f>
        <v/>
      </c>
      <c r="I181">
        <f>IF($AD181="","",INDEX('Per Line'!$H$2:$H$3001,$AD181)&amp;"")</f>
        <v/>
      </c>
      <c r="J181">
        <f>IF($AD181="","",INDEX('Per Line'!$F$2:$F$3001,$AD181)&amp;"")</f>
        <v/>
      </c>
      <c r="K181">
        <f>IF($AD181="","",INDEX('Per Line'!$K$2:$K$3001,$AD181)&amp;"")</f>
        <v/>
      </c>
      <c r="L181">
        <f>IF($AD181="","",INDEX('Per Line'!$L$2:$L$3001,$AD181)&amp;"")</f>
        <v/>
      </c>
      <c r="M181">
        <f>IF($AD181="","",INDEX('Per Line'!$M$2:$M$3001,$AD181)&amp;"")</f>
        <v/>
      </c>
      <c r="N181">
        <f>IF($AD181="","",INDEX('Per Line'!$AC$2:$AC$3001,$AD181)&amp;"")</f>
        <v/>
      </c>
      <c r="O181">
        <f>IF($AD181="","",INDEX('Per Line'!$P$2:$P$3001,$AD181))</f>
        <v/>
      </c>
      <c r="P181" s="7">
        <f>IF($AD181="","",IF(AND(ISNUMBER(Q181),Q181&gt;0,AB181&gt;Q181),O181*Q181/100+(AB181-Q181),O181*AB181/100))</f>
        <v/>
      </c>
      <c r="Q181">
        <f>IF($AD181="","",INDEX('Per Line'!$AG$2:$AG$3001,$AD181))</f>
        <v/>
      </c>
      <c r="R181">
        <f>IF($AD181="","",IF(AND(ISNUMBER(Q181),Q181&gt;0),AB181&gt;Q181,FALSE))</f>
        <v/>
      </c>
      <c r="S181" s="7">
        <f>IF($AD181="","",SUMIFS('Per Line'!$AB$2:$AB$3001,'Per Line'!$E$2:$E$3001,$B181,'Per Line'!$AQ$2:$AQ$3001,1))</f>
        <v/>
      </c>
      <c r="T181">
        <f>IF($AD181="","",Settings!$C$7)</f>
        <v/>
      </c>
      <c r="U181" s="7">
        <f>IF($AD181="","",SUMIFS('Per Line'!$AB$2:$AB$3001,'Per Line'!$E$2:$E$3001,$B181,'Per Line'!$AP$2:$AP$3001,0,'Per Line'!$AQ$2:$AQ$3001,0))</f>
        <v/>
      </c>
      <c r="V181" s="7">
        <f>IF($AD181="","",U181*T181)</f>
        <v/>
      </c>
      <c r="W181">
        <f>IF($AD181="","",Settings!$C$6)</f>
        <v/>
      </c>
      <c r="X181" s="7">
        <f>IF($AD181="","",SUMIFS('Per Line'!$AB$2:$AB$3001,'Per Line'!$E$2:$E$3001,$B181,'Per Line'!$AP$2:$AP$3001,1,'Per Line'!$AQ$2:$AQ$3001,0))</f>
        <v/>
      </c>
      <c r="Y181" s="7">
        <f>IF($AD181="","",X181*W181)</f>
        <v/>
      </c>
      <c r="Z181" s="7">
        <f>IF($AD181="","",Y181+V181)</f>
        <v/>
      </c>
      <c r="AA181" s="7">
        <f>IF($AD181="","",AB181-Z181)</f>
        <v/>
      </c>
      <c r="AB181" s="7">
        <f>IF($AD181="","",U181+X181+S181)</f>
        <v/>
      </c>
      <c r="AC181" s="7">
        <f>IF($AD181="","",AB181-Z181-P181)</f>
        <v/>
      </c>
      <c r="AD181" s="13">
        <f>IF(ROWS($AD$2:$AD181)&lt;=MAX('Per Line'!$AO$2:$AO$3001),MATCH(ROWS($AD$2:$AD181),'Per Line'!$AO$2:$AO$3001,0),"")</f>
        <v/>
      </c>
      <c r="AE181" s="14">
        <f>IF($AD181="","",P181-O181*AB181/100)</f>
        <v/>
      </c>
    </row>
    <row r="182">
      <c r="A182" s="12" t="n"/>
      <c r="B182">
        <f>IF($AD182="","",INDEX('Per Line'!$E$2:$E$3001,$AD182)&amp;"")</f>
        <v/>
      </c>
      <c r="C182">
        <f>IF($AD182="","",INDEX('Per Line'!$A$2:$A$3001,$AD182)&amp;"")</f>
        <v/>
      </c>
      <c r="D182">
        <f>IF($AD182="","",INDEX('Per Line'!$C$2:$C$3001,$AD182)&amp;"")</f>
        <v/>
      </c>
      <c r="E182">
        <f>IF($AD182="","",INDEX('Per Line'!$B$2:$B$3001,$AD182))</f>
        <v/>
      </c>
      <c r="F182">
        <f>IF($AD182="","",INDEX('Per Line'!$D$2:$D$3001,$AD182)&amp;"")</f>
        <v/>
      </c>
      <c r="G182" s="11">
        <f>IF($AD182="","",INDEX('Per Line'!$G$2:$G$3001,$AD182))</f>
        <v/>
      </c>
      <c r="H182">
        <f>IF($AD182="","",INDEX('Per Line'!$J$2:$J$3001,$AD182)&amp;"")</f>
        <v/>
      </c>
      <c r="I182">
        <f>IF($AD182="","",INDEX('Per Line'!$H$2:$H$3001,$AD182)&amp;"")</f>
        <v/>
      </c>
      <c r="J182">
        <f>IF($AD182="","",INDEX('Per Line'!$F$2:$F$3001,$AD182)&amp;"")</f>
        <v/>
      </c>
      <c r="K182">
        <f>IF($AD182="","",INDEX('Per Line'!$K$2:$K$3001,$AD182)&amp;"")</f>
        <v/>
      </c>
      <c r="L182">
        <f>IF($AD182="","",INDEX('Per Line'!$L$2:$L$3001,$AD182)&amp;"")</f>
        <v/>
      </c>
      <c r="M182">
        <f>IF($AD182="","",INDEX('Per Line'!$M$2:$M$3001,$AD182)&amp;"")</f>
        <v/>
      </c>
      <c r="N182">
        <f>IF($AD182="","",INDEX('Per Line'!$AC$2:$AC$3001,$AD182)&amp;"")</f>
        <v/>
      </c>
      <c r="O182">
        <f>IF($AD182="","",INDEX('Per Line'!$P$2:$P$3001,$AD182))</f>
        <v/>
      </c>
      <c r="P182" s="7">
        <f>IF($AD182="","",IF(AND(ISNUMBER(Q182),Q182&gt;0,AB182&gt;Q182),O182*Q182/100+(AB182-Q182),O182*AB182/100))</f>
        <v/>
      </c>
      <c r="Q182">
        <f>IF($AD182="","",INDEX('Per Line'!$AG$2:$AG$3001,$AD182))</f>
        <v/>
      </c>
      <c r="R182">
        <f>IF($AD182="","",IF(AND(ISNUMBER(Q182),Q182&gt;0),AB182&gt;Q182,FALSE))</f>
        <v/>
      </c>
      <c r="S182" s="7">
        <f>IF($AD182="","",SUMIFS('Per Line'!$AB$2:$AB$3001,'Per Line'!$E$2:$E$3001,$B182,'Per Line'!$AQ$2:$AQ$3001,1))</f>
        <v/>
      </c>
      <c r="T182">
        <f>IF($AD182="","",Settings!$C$7)</f>
        <v/>
      </c>
      <c r="U182" s="7">
        <f>IF($AD182="","",SUMIFS('Per Line'!$AB$2:$AB$3001,'Per Line'!$E$2:$E$3001,$B182,'Per Line'!$AP$2:$AP$3001,0,'Per Line'!$AQ$2:$AQ$3001,0))</f>
        <v/>
      </c>
      <c r="V182" s="7">
        <f>IF($AD182="","",U182*T182)</f>
        <v/>
      </c>
      <c r="W182">
        <f>IF($AD182="","",Settings!$C$6)</f>
        <v/>
      </c>
      <c r="X182" s="7">
        <f>IF($AD182="","",SUMIFS('Per Line'!$AB$2:$AB$3001,'Per Line'!$E$2:$E$3001,$B182,'Per Line'!$AP$2:$AP$3001,1,'Per Line'!$AQ$2:$AQ$3001,0))</f>
        <v/>
      </c>
      <c r="Y182" s="7">
        <f>IF($AD182="","",X182*W182)</f>
        <v/>
      </c>
      <c r="Z182" s="7">
        <f>IF($AD182="","",Y182+V182)</f>
        <v/>
      </c>
      <c r="AA182" s="7">
        <f>IF($AD182="","",AB182-Z182)</f>
        <v/>
      </c>
      <c r="AB182" s="7">
        <f>IF($AD182="","",U182+X182+S182)</f>
        <v/>
      </c>
      <c r="AC182" s="7">
        <f>IF($AD182="","",AB182-Z182-P182)</f>
        <v/>
      </c>
      <c r="AD182" s="13">
        <f>IF(ROWS($AD$2:$AD182)&lt;=MAX('Per Line'!$AO$2:$AO$3001),MATCH(ROWS($AD$2:$AD182),'Per Line'!$AO$2:$AO$3001,0),"")</f>
        <v/>
      </c>
      <c r="AE182" s="14">
        <f>IF($AD182="","",P182-O182*AB182/100)</f>
        <v/>
      </c>
    </row>
    <row r="183">
      <c r="A183" s="12" t="n"/>
      <c r="B183">
        <f>IF($AD183="","",INDEX('Per Line'!$E$2:$E$3001,$AD183)&amp;"")</f>
        <v/>
      </c>
      <c r="C183">
        <f>IF($AD183="","",INDEX('Per Line'!$A$2:$A$3001,$AD183)&amp;"")</f>
        <v/>
      </c>
      <c r="D183">
        <f>IF($AD183="","",INDEX('Per Line'!$C$2:$C$3001,$AD183)&amp;"")</f>
        <v/>
      </c>
      <c r="E183">
        <f>IF($AD183="","",INDEX('Per Line'!$B$2:$B$3001,$AD183))</f>
        <v/>
      </c>
      <c r="F183">
        <f>IF($AD183="","",INDEX('Per Line'!$D$2:$D$3001,$AD183)&amp;"")</f>
        <v/>
      </c>
      <c r="G183" s="11">
        <f>IF($AD183="","",INDEX('Per Line'!$G$2:$G$3001,$AD183))</f>
        <v/>
      </c>
      <c r="H183">
        <f>IF($AD183="","",INDEX('Per Line'!$J$2:$J$3001,$AD183)&amp;"")</f>
        <v/>
      </c>
      <c r="I183">
        <f>IF($AD183="","",INDEX('Per Line'!$H$2:$H$3001,$AD183)&amp;"")</f>
        <v/>
      </c>
      <c r="J183">
        <f>IF($AD183="","",INDEX('Per Line'!$F$2:$F$3001,$AD183)&amp;"")</f>
        <v/>
      </c>
      <c r="K183">
        <f>IF($AD183="","",INDEX('Per Line'!$K$2:$K$3001,$AD183)&amp;"")</f>
        <v/>
      </c>
      <c r="L183">
        <f>IF($AD183="","",INDEX('Per Line'!$L$2:$L$3001,$AD183)&amp;"")</f>
        <v/>
      </c>
      <c r="M183">
        <f>IF($AD183="","",INDEX('Per Line'!$M$2:$M$3001,$AD183)&amp;"")</f>
        <v/>
      </c>
      <c r="N183">
        <f>IF($AD183="","",INDEX('Per Line'!$AC$2:$AC$3001,$AD183)&amp;"")</f>
        <v/>
      </c>
      <c r="O183">
        <f>IF($AD183="","",INDEX('Per Line'!$P$2:$P$3001,$AD183))</f>
        <v/>
      </c>
      <c r="P183" s="7">
        <f>IF($AD183="","",IF(AND(ISNUMBER(Q183),Q183&gt;0,AB183&gt;Q183),O183*Q183/100+(AB183-Q183),O183*AB183/100))</f>
        <v/>
      </c>
      <c r="Q183">
        <f>IF($AD183="","",INDEX('Per Line'!$AG$2:$AG$3001,$AD183))</f>
        <v/>
      </c>
      <c r="R183">
        <f>IF($AD183="","",IF(AND(ISNUMBER(Q183),Q183&gt;0),AB183&gt;Q183,FALSE))</f>
        <v/>
      </c>
      <c r="S183" s="7">
        <f>IF($AD183="","",SUMIFS('Per Line'!$AB$2:$AB$3001,'Per Line'!$E$2:$E$3001,$B183,'Per Line'!$AQ$2:$AQ$3001,1))</f>
        <v/>
      </c>
      <c r="T183">
        <f>IF($AD183="","",Settings!$C$7)</f>
        <v/>
      </c>
      <c r="U183" s="7">
        <f>IF($AD183="","",SUMIFS('Per Line'!$AB$2:$AB$3001,'Per Line'!$E$2:$E$3001,$B183,'Per Line'!$AP$2:$AP$3001,0,'Per Line'!$AQ$2:$AQ$3001,0))</f>
        <v/>
      </c>
      <c r="V183" s="7">
        <f>IF($AD183="","",U183*T183)</f>
        <v/>
      </c>
      <c r="W183">
        <f>IF($AD183="","",Settings!$C$6)</f>
        <v/>
      </c>
      <c r="X183" s="7">
        <f>IF($AD183="","",SUMIFS('Per Line'!$AB$2:$AB$3001,'Per Line'!$E$2:$E$3001,$B183,'Per Line'!$AP$2:$AP$3001,1,'Per Line'!$AQ$2:$AQ$3001,0))</f>
        <v/>
      </c>
      <c r="Y183" s="7">
        <f>IF($AD183="","",X183*W183)</f>
        <v/>
      </c>
      <c r="Z183" s="7">
        <f>IF($AD183="","",Y183+V183)</f>
        <v/>
      </c>
      <c r="AA183" s="7">
        <f>IF($AD183="","",AB183-Z183)</f>
        <v/>
      </c>
      <c r="AB183" s="7">
        <f>IF($AD183="","",U183+X183+S183)</f>
        <v/>
      </c>
      <c r="AC183" s="7">
        <f>IF($AD183="","",AB183-Z183-P183)</f>
        <v/>
      </c>
      <c r="AD183" s="13">
        <f>IF(ROWS($AD$2:$AD183)&lt;=MAX('Per Line'!$AO$2:$AO$3001),MATCH(ROWS($AD$2:$AD183),'Per Line'!$AO$2:$AO$3001,0),"")</f>
        <v/>
      </c>
      <c r="AE183" s="14">
        <f>IF($AD183="","",P183-O183*AB183/100)</f>
        <v/>
      </c>
    </row>
    <row r="184">
      <c r="A184" s="12" t="n"/>
      <c r="B184">
        <f>IF($AD184="","",INDEX('Per Line'!$E$2:$E$3001,$AD184)&amp;"")</f>
        <v/>
      </c>
      <c r="C184">
        <f>IF($AD184="","",INDEX('Per Line'!$A$2:$A$3001,$AD184)&amp;"")</f>
        <v/>
      </c>
      <c r="D184">
        <f>IF($AD184="","",INDEX('Per Line'!$C$2:$C$3001,$AD184)&amp;"")</f>
        <v/>
      </c>
      <c r="E184">
        <f>IF($AD184="","",INDEX('Per Line'!$B$2:$B$3001,$AD184))</f>
        <v/>
      </c>
      <c r="F184">
        <f>IF($AD184="","",INDEX('Per Line'!$D$2:$D$3001,$AD184)&amp;"")</f>
        <v/>
      </c>
      <c r="G184" s="11">
        <f>IF($AD184="","",INDEX('Per Line'!$G$2:$G$3001,$AD184))</f>
        <v/>
      </c>
      <c r="H184">
        <f>IF($AD184="","",INDEX('Per Line'!$J$2:$J$3001,$AD184)&amp;"")</f>
        <v/>
      </c>
      <c r="I184">
        <f>IF($AD184="","",INDEX('Per Line'!$H$2:$H$3001,$AD184)&amp;"")</f>
        <v/>
      </c>
      <c r="J184">
        <f>IF($AD184="","",INDEX('Per Line'!$F$2:$F$3001,$AD184)&amp;"")</f>
        <v/>
      </c>
      <c r="K184">
        <f>IF($AD184="","",INDEX('Per Line'!$K$2:$K$3001,$AD184)&amp;"")</f>
        <v/>
      </c>
      <c r="L184">
        <f>IF($AD184="","",INDEX('Per Line'!$L$2:$L$3001,$AD184)&amp;"")</f>
        <v/>
      </c>
      <c r="M184">
        <f>IF($AD184="","",INDEX('Per Line'!$M$2:$M$3001,$AD184)&amp;"")</f>
        <v/>
      </c>
      <c r="N184">
        <f>IF($AD184="","",INDEX('Per Line'!$AC$2:$AC$3001,$AD184)&amp;"")</f>
        <v/>
      </c>
      <c r="O184">
        <f>IF($AD184="","",INDEX('Per Line'!$P$2:$P$3001,$AD184))</f>
        <v/>
      </c>
      <c r="P184" s="7">
        <f>IF($AD184="","",IF(AND(ISNUMBER(Q184),Q184&gt;0,AB184&gt;Q184),O184*Q184/100+(AB184-Q184),O184*AB184/100))</f>
        <v/>
      </c>
      <c r="Q184">
        <f>IF($AD184="","",INDEX('Per Line'!$AG$2:$AG$3001,$AD184))</f>
        <v/>
      </c>
      <c r="R184">
        <f>IF($AD184="","",IF(AND(ISNUMBER(Q184),Q184&gt;0),AB184&gt;Q184,FALSE))</f>
        <v/>
      </c>
      <c r="S184" s="7">
        <f>IF($AD184="","",SUMIFS('Per Line'!$AB$2:$AB$3001,'Per Line'!$E$2:$E$3001,$B184,'Per Line'!$AQ$2:$AQ$3001,1))</f>
        <v/>
      </c>
      <c r="T184">
        <f>IF($AD184="","",Settings!$C$7)</f>
        <v/>
      </c>
      <c r="U184" s="7">
        <f>IF($AD184="","",SUMIFS('Per Line'!$AB$2:$AB$3001,'Per Line'!$E$2:$E$3001,$B184,'Per Line'!$AP$2:$AP$3001,0,'Per Line'!$AQ$2:$AQ$3001,0))</f>
        <v/>
      </c>
      <c r="V184" s="7">
        <f>IF($AD184="","",U184*T184)</f>
        <v/>
      </c>
      <c r="W184">
        <f>IF($AD184="","",Settings!$C$6)</f>
        <v/>
      </c>
      <c r="X184" s="7">
        <f>IF($AD184="","",SUMIFS('Per Line'!$AB$2:$AB$3001,'Per Line'!$E$2:$E$3001,$B184,'Per Line'!$AP$2:$AP$3001,1,'Per Line'!$AQ$2:$AQ$3001,0))</f>
        <v/>
      </c>
      <c r="Y184" s="7">
        <f>IF($AD184="","",X184*W184)</f>
        <v/>
      </c>
      <c r="Z184" s="7">
        <f>IF($AD184="","",Y184+V184)</f>
        <v/>
      </c>
      <c r="AA184" s="7">
        <f>IF($AD184="","",AB184-Z184)</f>
        <v/>
      </c>
      <c r="AB184" s="7">
        <f>IF($AD184="","",U184+X184+S184)</f>
        <v/>
      </c>
      <c r="AC184" s="7">
        <f>IF($AD184="","",AB184-Z184-P184)</f>
        <v/>
      </c>
      <c r="AD184" s="13">
        <f>IF(ROWS($AD$2:$AD184)&lt;=MAX('Per Line'!$AO$2:$AO$3001),MATCH(ROWS($AD$2:$AD184),'Per Line'!$AO$2:$AO$3001,0),"")</f>
        <v/>
      </c>
      <c r="AE184" s="14">
        <f>IF($AD184="","",P184-O184*AB184/100)</f>
        <v/>
      </c>
    </row>
    <row r="185">
      <c r="A185" s="12" t="n"/>
      <c r="B185">
        <f>IF($AD185="","",INDEX('Per Line'!$E$2:$E$3001,$AD185)&amp;"")</f>
        <v/>
      </c>
      <c r="C185">
        <f>IF($AD185="","",INDEX('Per Line'!$A$2:$A$3001,$AD185)&amp;"")</f>
        <v/>
      </c>
      <c r="D185">
        <f>IF($AD185="","",INDEX('Per Line'!$C$2:$C$3001,$AD185)&amp;"")</f>
        <v/>
      </c>
      <c r="E185">
        <f>IF($AD185="","",INDEX('Per Line'!$B$2:$B$3001,$AD185))</f>
        <v/>
      </c>
      <c r="F185">
        <f>IF($AD185="","",INDEX('Per Line'!$D$2:$D$3001,$AD185)&amp;"")</f>
        <v/>
      </c>
      <c r="G185" s="11">
        <f>IF($AD185="","",INDEX('Per Line'!$G$2:$G$3001,$AD185))</f>
        <v/>
      </c>
      <c r="H185">
        <f>IF($AD185="","",INDEX('Per Line'!$J$2:$J$3001,$AD185)&amp;"")</f>
        <v/>
      </c>
      <c r="I185">
        <f>IF($AD185="","",INDEX('Per Line'!$H$2:$H$3001,$AD185)&amp;"")</f>
        <v/>
      </c>
      <c r="J185">
        <f>IF($AD185="","",INDEX('Per Line'!$F$2:$F$3001,$AD185)&amp;"")</f>
        <v/>
      </c>
      <c r="K185">
        <f>IF($AD185="","",INDEX('Per Line'!$K$2:$K$3001,$AD185)&amp;"")</f>
        <v/>
      </c>
      <c r="L185">
        <f>IF($AD185="","",INDEX('Per Line'!$L$2:$L$3001,$AD185)&amp;"")</f>
        <v/>
      </c>
      <c r="M185">
        <f>IF($AD185="","",INDEX('Per Line'!$M$2:$M$3001,$AD185)&amp;"")</f>
        <v/>
      </c>
      <c r="N185">
        <f>IF($AD185="","",INDEX('Per Line'!$AC$2:$AC$3001,$AD185)&amp;"")</f>
        <v/>
      </c>
      <c r="O185">
        <f>IF($AD185="","",INDEX('Per Line'!$P$2:$P$3001,$AD185))</f>
        <v/>
      </c>
      <c r="P185" s="7">
        <f>IF($AD185="","",IF(AND(ISNUMBER(Q185),Q185&gt;0,AB185&gt;Q185),O185*Q185/100+(AB185-Q185),O185*AB185/100))</f>
        <v/>
      </c>
      <c r="Q185">
        <f>IF($AD185="","",INDEX('Per Line'!$AG$2:$AG$3001,$AD185))</f>
        <v/>
      </c>
      <c r="R185">
        <f>IF($AD185="","",IF(AND(ISNUMBER(Q185),Q185&gt;0),AB185&gt;Q185,FALSE))</f>
        <v/>
      </c>
      <c r="S185" s="7">
        <f>IF($AD185="","",SUMIFS('Per Line'!$AB$2:$AB$3001,'Per Line'!$E$2:$E$3001,$B185,'Per Line'!$AQ$2:$AQ$3001,1))</f>
        <v/>
      </c>
      <c r="T185">
        <f>IF($AD185="","",Settings!$C$7)</f>
        <v/>
      </c>
      <c r="U185" s="7">
        <f>IF($AD185="","",SUMIFS('Per Line'!$AB$2:$AB$3001,'Per Line'!$E$2:$E$3001,$B185,'Per Line'!$AP$2:$AP$3001,0,'Per Line'!$AQ$2:$AQ$3001,0))</f>
        <v/>
      </c>
      <c r="V185" s="7">
        <f>IF($AD185="","",U185*T185)</f>
        <v/>
      </c>
      <c r="W185">
        <f>IF($AD185="","",Settings!$C$6)</f>
        <v/>
      </c>
      <c r="X185" s="7">
        <f>IF($AD185="","",SUMIFS('Per Line'!$AB$2:$AB$3001,'Per Line'!$E$2:$E$3001,$B185,'Per Line'!$AP$2:$AP$3001,1,'Per Line'!$AQ$2:$AQ$3001,0))</f>
        <v/>
      </c>
      <c r="Y185" s="7">
        <f>IF($AD185="","",X185*W185)</f>
        <v/>
      </c>
      <c r="Z185" s="7">
        <f>IF($AD185="","",Y185+V185)</f>
        <v/>
      </c>
      <c r="AA185" s="7">
        <f>IF($AD185="","",AB185-Z185)</f>
        <v/>
      </c>
      <c r="AB185" s="7">
        <f>IF($AD185="","",U185+X185+S185)</f>
        <v/>
      </c>
      <c r="AC185" s="7">
        <f>IF($AD185="","",AB185-Z185-P185)</f>
        <v/>
      </c>
      <c r="AD185" s="13">
        <f>IF(ROWS($AD$2:$AD185)&lt;=MAX('Per Line'!$AO$2:$AO$3001),MATCH(ROWS($AD$2:$AD185),'Per Line'!$AO$2:$AO$3001,0),"")</f>
        <v/>
      </c>
      <c r="AE185" s="14">
        <f>IF($AD185="","",P185-O185*AB185/100)</f>
        <v/>
      </c>
    </row>
    <row r="186">
      <c r="A186" s="12" t="n"/>
      <c r="B186">
        <f>IF($AD186="","",INDEX('Per Line'!$E$2:$E$3001,$AD186)&amp;"")</f>
        <v/>
      </c>
      <c r="C186">
        <f>IF($AD186="","",INDEX('Per Line'!$A$2:$A$3001,$AD186)&amp;"")</f>
        <v/>
      </c>
      <c r="D186">
        <f>IF($AD186="","",INDEX('Per Line'!$C$2:$C$3001,$AD186)&amp;"")</f>
        <v/>
      </c>
      <c r="E186">
        <f>IF($AD186="","",INDEX('Per Line'!$B$2:$B$3001,$AD186))</f>
        <v/>
      </c>
      <c r="F186">
        <f>IF($AD186="","",INDEX('Per Line'!$D$2:$D$3001,$AD186)&amp;"")</f>
        <v/>
      </c>
      <c r="G186" s="11">
        <f>IF($AD186="","",INDEX('Per Line'!$G$2:$G$3001,$AD186))</f>
        <v/>
      </c>
      <c r="H186">
        <f>IF($AD186="","",INDEX('Per Line'!$J$2:$J$3001,$AD186)&amp;"")</f>
        <v/>
      </c>
      <c r="I186">
        <f>IF($AD186="","",INDEX('Per Line'!$H$2:$H$3001,$AD186)&amp;"")</f>
        <v/>
      </c>
      <c r="J186">
        <f>IF($AD186="","",INDEX('Per Line'!$F$2:$F$3001,$AD186)&amp;"")</f>
        <v/>
      </c>
      <c r="K186">
        <f>IF($AD186="","",INDEX('Per Line'!$K$2:$K$3001,$AD186)&amp;"")</f>
        <v/>
      </c>
      <c r="L186">
        <f>IF($AD186="","",INDEX('Per Line'!$L$2:$L$3001,$AD186)&amp;"")</f>
        <v/>
      </c>
      <c r="M186">
        <f>IF($AD186="","",INDEX('Per Line'!$M$2:$M$3001,$AD186)&amp;"")</f>
        <v/>
      </c>
      <c r="N186">
        <f>IF($AD186="","",INDEX('Per Line'!$AC$2:$AC$3001,$AD186)&amp;"")</f>
        <v/>
      </c>
      <c r="O186">
        <f>IF($AD186="","",INDEX('Per Line'!$P$2:$P$3001,$AD186))</f>
        <v/>
      </c>
      <c r="P186" s="7">
        <f>IF($AD186="","",IF(AND(ISNUMBER(Q186),Q186&gt;0,AB186&gt;Q186),O186*Q186/100+(AB186-Q186),O186*AB186/100))</f>
        <v/>
      </c>
      <c r="Q186">
        <f>IF($AD186="","",INDEX('Per Line'!$AG$2:$AG$3001,$AD186))</f>
        <v/>
      </c>
      <c r="R186">
        <f>IF($AD186="","",IF(AND(ISNUMBER(Q186),Q186&gt;0),AB186&gt;Q186,FALSE))</f>
        <v/>
      </c>
      <c r="S186" s="7">
        <f>IF($AD186="","",SUMIFS('Per Line'!$AB$2:$AB$3001,'Per Line'!$E$2:$E$3001,$B186,'Per Line'!$AQ$2:$AQ$3001,1))</f>
        <v/>
      </c>
      <c r="T186">
        <f>IF($AD186="","",Settings!$C$7)</f>
        <v/>
      </c>
      <c r="U186" s="7">
        <f>IF($AD186="","",SUMIFS('Per Line'!$AB$2:$AB$3001,'Per Line'!$E$2:$E$3001,$B186,'Per Line'!$AP$2:$AP$3001,0,'Per Line'!$AQ$2:$AQ$3001,0))</f>
        <v/>
      </c>
      <c r="V186" s="7">
        <f>IF($AD186="","",U186*T186)</f>
        <v/>
      </c>
      <c r="W186">
        <f>IF($AD186="","",Settings!$C$6)</f>
        <v/>
      </c>
      <c r="X186" s="7">
        <f>IF($AD186="","",SUMIFS('Per Line'!$AB$2:$AB$3001,'Per Line'!$E$2:$E$3001,$B186,'Per Line'!$AP$2:$AP$3001,1,'Per Line'!$AQ$2:$AQ$3001,0))</f>
        <v/>
      </c>
      <c r="Y186" s="7">
        <f>IF($AD186="","",X186*W186)</f>
        <v/>
      </c>
      <c r="Z186" s="7">
        <f>IF($AD186="","",Y186+V186)</f>
        <v/>
      </c>
      <c r="AA186" s="7">
        <f>IF($AD186="","",AB186-Z186)</f>
        <v/>
      </c>
      <c r="AB186" s="7">
        <f>IF($AD186="","",U186+X186+S186)</f>
        <v/>
      </c>
      <c r="AC186" s="7">
        <f>IF($AD186="","",AB186-Z186-P186)</f>
        <v/>
      </c>
      <c r="AD186" s="13">
        <f>IF(ROWS($AD$2:$AD186)&lt;=MAX('Per Line'!$AO$2:$AO$3001),MATCH(ROWS($AD$2:$AD186),'Per Line'!$AO$2:$AO$3001,0),"")</f>
        <v/>
      </c>
      <c r="AE186" s="14">
        <f>IF($AD186="","",P186-O186*AB186/100)</f>
        <v/>
      </c>
    </row>
    <row r="187">
      <c r="A187" s="12" t="n"/>
      <c r="B187">
        <f>IF($AD187="","",INDEX('Per Line'!$E$2:$E$3001,$AD187)&amp;"")</f>
        <v/>
      </c>
      <c r="C187">
        <f>IF($AD187="","",INDEX('Per Line'!$A$2:$A$3001,$AD187)&amp;"")</f>
        <v/>
      </c>
      <c r="D187">
        <f>IF($AD187="","",INDEX('Per Line'!$C$2:$C$3001,$AD187)&amp;"")</f>
        <v/>
      </c>
      <c r="E187">
        <f>IF($AD187="","",INDEX('Per Line'!$B$2:$B$3001,$AD187))</f>
        <v/>
      </c>
      <c r="F187">
        <f>IF($AD187="","",INDEX('Per Line'!$D$2:$D$3001,$AD187)&amp;"")</f>
        <v/>
      </c>
      <c r="G187" s="11">
        <f>IF($AD187="","",INDEX('Per Line'!$G$2:$G$3001,$AD187))</f>
        <v/>
      </c>
      <c r="H187">
        <f>IF($AD187="","",INDEX('Per Line'!$J$2:$J$3001,$AD187)&amp;"")</f>
        <v/>
      </c>
      <c r="I187">
        <f>IF($AD187="","",INDEX('Per Line'!$H$2:$H$3001,$AD187)&amp;"")</f>
        <v/>
      </c>
      <c r="J187">
        <f>IF($AD187="","",INDEX('Per Line'!$F$2:$F$3001,$AD187)&amp;"")</f>
        <v/>
      </c>
      <c r="K187">
        <f>IF($AD187="","",INDEX('Per Line'!$K$2:$K$3001,$AD187)&amp;"")</f>
        <v/>
      </c>
      <c r="L187">
        <f>IF($AD187="","",INDEX('Per Line'!$L$2:$L$3001,$AD187)&amp;"")</f>
        <v/>
      </c>
      <c r="M187">
        <f>IF($AD187="","",INDEX('Per Line'!$M$2:$M$3001,$AD187)&amp;"")</f>
        <v/>
      </c>
      <c r="N187">
        <f>IF($AD187="","",INDEX('Per Line'!$AC$2:$AC$3001,$AD187)&amp;"")</f>
        <v/>
      </c>
      <c r="O187">
        <f>IF($AD187="","",INDEX('Per Line'!$P$2:$P$3001,$AD187))</f>
        <v/>
      </c>
      <c r="P187" s="7">
        <f>IF($AD187="","",IF(AND(ISNUMBER(Q187),Q187&gt;0,AB187&gt;Q187),O187*Q187/100+(AB187-Q187),O187*AB187/100))</f>
        <v/>
      </c>
      <c r="Q187">
        <f>IF($AD187="","",INDEX('Per Line'!$AG$2:$AG$3001,$AD187))</f>
        <v/>
      </c>
      <c r="R187">
        <f>IF($AD187="","",IF(AND(ISNUMBER(Q187),Q187&gt;0),AB187&gt;Q187,FALSE))</f>
        <v/>
      </c>
      <c r="S187" s="7">
        <f>IF($AD187="","",SUMIFS('Per Line'!$AB$2:$AB$3001,'Per Line'!$E$2:$E$3001,$B187,'Per Line'!$AQ$2:$AQ$3001,1))</f>
        <v/>
      </c>
      <c r="T187">
        <f>IF($AD187="","",Settings!$C$7)</f>
        <v/>
      </c>
      <c r="U187" s="7">
        <f>IF($AD187="","",SUMIFS('Per Line'!$AB$2:$AB$3001,'Per Line'!$E$2:$E$3001,$B187,'Per Line'!$AP$2:$AP$3001,0,'Per Line'!$AQ$2:$AQ$3001,0))</f>
        <v/>
      </c>
      <c r="V187" s="7">
        <f>IF($AD187="","",U187*T187)</f>
        <v/>
      </c>
      <c r="W187">
        <f>IF($AD187="","",Settings!$C$6)</f>
        <v/>
      </c>
      <c r="X187" s="7">
        <f>IF($AD187="","",SUMIFS('Per Line'!$AB$2:$AB$3001,'Per Line'!$E$2:$E$3001,$B187,'Per Line'!$AP$2:$AP$3001,1,'Per Line'!$AQ$2:$AQ$3001,0))</f>
        <v/>
      </c>
      <c r="Y187" s="7">
        <f>IF($AD187="","",X187*W187)</f>
        <v/>
      </c>
      <c r="Z187" s="7">
        <f>IF($AD187="","",Y187+V187)</f>
        <v/>
      </c>
      <c r="AA187" s="7">
        <f>IF($AD187="","",AB187-Z187)</f>
        <v/>
      </c>
      <c r="AB187" s="7">
        <f>IF($AD187="","",U187+X187+S187)</f>
        <v/>
      </c>
      <c r="AC187" s="7">
        <f>IF($AD187="","",AB187-Z187-P187)</f>
        <v/>
      </c>
      <c r="AD187" s="13">
        <f>IF(ROWS($AD$2:$AD187)&lt;=MAX('Per Line'!$AO$2:$AO$3001),MATCH(ROWS($AD$2:$AD187),'Per Line'!$AO$2:$AO$3001,0),"")</f>
        <v/>
      </c>
      <c r="AE187" s="14">
        <f>IF($AD187="","",P187-O187*AB187/100)</f>
        <v/>
      </c>
    </row>
    <row r="188">
      <c r="A188" s="12" t="n"/>
      <c r="B188">
        <f>IF($AD188="","",INDEX('Per Line'!$E$2:$E$3001,$AD188)&amp;"")</f>
        <v/>
      </c>
      <c r="C188">
        <f>IF($AD188="","",INDEX('Per Line'!$A$2:$A$3001,$AD188)&amp;"")</f>
        <v/>
      </c>
      <c r="D188">
        <f>IF($AD188="","",INDEX('Per Line'!$C$2:$C$3001,$AD188)&amp;"")</f>
        <v/>
      </c>
      <c r="E188">
        <f>IF($AD188="","",INDEX('Per Line'!$B$2:$B$3001,$AD188))</f>
        <v/>
      </c>
      <c r="F188">
        <f>IF($AD188="","",INDEX('Per Line'!$D$2:$D$3001,$AD188)&amp;"")</f>
        <v/>
      </c>
      <c r="G188" s="11">
        <f>IF($AD188="","",INDEX('Per Line'!$G$2:$G$3001,$AD188))</f>
        <v/>
      </c>
      <c r="H188">
        <f>IF($AD188="","",INDEX('Per Line'!$J$2:$J$3001,$AD188)&amp;"")</f>
        <v/>
      </c>
      <c r="I188">
        <f>IF($AD188="","",INDEX('Per Line'!$H$2:$H$3001,$AD188)&amp;"")</f>
        <v/>
      </c>
      <c r="J188">
        <f>IF($AD188="","",INDEX('Per Line'!$F$2:$F$3001,$AD188)&amp;"")</f>
        <v/>
      </c>
      <c r="K188">
        <f>IF($AD188="","",INDEX('Per Line'!$K$2:$K$3001,$AD188)&amp;"")</f>
        <v/>
      </c>
      <c r="L188">
        <f>IF($AD188="","",INDEX('Per Line'!$L$2:$L$3001,$AD188)&amp;"")</f>
        <v/>
      </c>
      <c r="M188">
        <f>IF($AD188="","",INDEX('Per Line'!$M$2:$M$3001,$AD188)&amp;"")</f>
        <v/>
      </c>
      <c r="N188">
        <f>IF($AD188="","",INDEX('Per Line'!$AC$2:$AC$3001,$AD188)&amp;"")</f>
        <v/>
      </c>
      <c r="O188">
        <f>IF($AD188="","",INDEX('Per Line'!$P$2:$P$3001,$AD188))</f>
        <v/>
      </c>
      <c r="P188" s="7">
        <f>IF($AD188="","",IF(AND(ISNUMBER(Q188),Q188&gt;0,AB188&gt;Q188),O188*Q188/100+(AB188-Q188),O188*AB188/100))</f>
        <v/>
      </c>
      <c r="Q188">
        <f>IF($AD188="","",INDEX('Per Line'!$AG$2:$AG$3001,$AD188))</f>
        <v/>
      </c>
      <c r="R188">
        <f>IF($AD188="","",IF(AND(ISNUMBER(Q188),Q188&gt;0),AB188&gt;Q188,FALSE))</f>
        <v/>
      </c>
      <c r="S188" s="7">
        <f>IF($AD188="","",SUMIFS('Per Line'!$AB$2:$AB$3001,'Per Line'!$E$2:$E$3001,$B188,'Per Line'!$AQ$2:$AQ$3001,1))</f>
        <v/>
      </c>
      <c r="T188">
        <f>IF($AD188="","",Settings!$C$7)</f>
        <v/>
      </c>
      <c r="U188" s="7">
        <f>IF($AD188="","",SUMIFS('Per Line'!$AB$2:$AB$3001,'Per Line'!$E$2:$E$3001,$B188,'Per Line'!$AP$2:$AP$3001,0,'Per Line'!$AQ$2:$AQ$3001,0))</f>
        <v/>
      </c>
      <c r="V188" s="7">
        <f>IF($AD188="","",U188*T188)</f>
        <v/>
      </c>
      <c r="W188">
        <f>IF($AD188="","",Settings!$C$6)</f>
        <v/>
      </c>
      <c r="X188" s="7">
        <f>IF($AD188="","",SUMIFS('Per Line'!$AB$2:$AB$3001,'Per Line'!$E$2:$E$3001,$B188,'Per Line'!$AP$2:$AP$3001,1,'Per Line'!$AQ$2:$AQ$3001,0))</f>
        <v/>
      </c>
      <c r="Y188" s="7">
        <f>IF($AD188="","",X188*W188)</f>
        <v/>
      </c>
      <c r="Z188" s="7">
        <f>IF($AD188="","",Y188+V188)</f>
        <v/>
      </c>
      <c r="AA188" s="7">
        <f>IF($AD188="","",AB188-Z188)</f>
        <v/>
      </c>
      <c r="AB188" s="7">
        <f>IF($AD188="","",U188+X188+S188)</f>
        <v/>
      </c>
      <c r="AC188" s="7">
        <f>IF($AD188="","",AB188-Z188-P188)</f>
        <v/>
      </c>
      <c r="AD188" s="13">
        <f>IF(ROWS($AD$2:$AD188)&lt;=MAX('Per Line'!$AO$2:$AO$3001),MATCH(ROWS($AD$2:$AD188),'Per Line'!$AO$2:$AO$3001,0),"")</f>
        <v/>
      </c>
      <c r="AE188" s="14">
        <f>IF($AD188="","",P188-O188*AB188/100)</f>
        <v/>
      </c>
    </row>
    <row r="189">
      <c r="A189" s="12" t="n"/>
      <c r="B189">
        <f>IF($AD189="","",INDEX('Per Line'!$E$2:$E$3001,$AD189)&amp;"")</f>
        <v/>
      </c>
      <c r="C189">
        <f>IF($AD189="","",INDEX('Per Line'!$A$2:$A$3001,$AD189)&amp;"")</f>
        <v/>
      </c>
      <c r="D189">
        <f>IF($AD189="","",INDEX('Per Line'!$C$2:$C$3001,$AD189)&amp;"")</f>
        <v/>
      </c>
      <c r="E189">
        <f>IF($AD189="","",INDEX('Per Line'!$B$2:$B$3001,$AD189))</f>
        <v/>
      </c>
      <c r="F189">
        <f>IF($AD189="","",INDEX('Per Line'!$D$2:$D$3001,$AD189)&amp;"")</f>
        <v/>
      </c>
      <c r="G189" s="11">
        <f>IF($AD189="","",INDEX('Per Line'!$G$2:$G$3001,$AD189))</f>
        <v/>
      </c>
      <c r="H189">
        <f>IF($AD189="","",INDEX('Per Line'!$J$2:$J$3001,$AD189)&amp;"")</f>
        <v/>
      </c>
      <c r="I189">
        <f>IF($AD189="","",INDEX('Per Line'!$H$2:$H$3001,$AD189)&amp;"")</f>
        <v/>
      </c>
      <c r="J189">
        <f>IF($AD189="","",INDEX('Per Line'!$F$2:$F$3001,$AD189)&amp;"")</f>
        <v/>
      </c>
      <c r="K189">
        <f>IF($AD189="","",INDEX('Per Line'!$K$2:$K$3001,$AD189)&amp;"")</f>
        <v/>
      </c>
      <c r="L189">
        <f>IF($AD189="","",INDEX('Per Line'!$L$2:$L$3001,$AD189)&amp;"")</f>
        <v/>
      </c>
      <c r="M189">
        <f>IF($AD189="","",INDEX('Per Line'!$M$2:$M$3001,$AD189)&amp;"")</f>
        <v/>
      </c>
      <c r="N189">
        <f>IF($AD189="","",INDEX('Per Line'!$AC$2:$AC$3001,$AD189)&amp;"")</f>
        <v/>
      </c>
      <c r="O189">
        <f>IF($AD189="","",INDEX('Per Line'!$P$2:$P$3001,$AD189))</f>
        <v/>
      </c>
      <c r="P189" s="7">
        <f>IF($AD189="","",IF(AND(ISNUMBER(Q189),Q189&gt;0,AB189&gt;Q189),O189*Q189/100+(AB189-Q189),O189*AB189/100))</f>
        <v/>
      </c>
      <c r="Q189">
        <f>IF($AD189="","",INDEX('Per Line'!$AG$2:$AG$3001,$AD189))</f>
        <v/>
      </c>
      <c r="R189">
        <f>IF($AD189="","",IF(AND(ISNUMBER(Q189),Q189&gt;0),AB189&gt;Q189,FALSE))</f>
        <v/>
      </c>
      <c r="S189" s="7">
        <f>IF($AD189="","",SUMIFS('Per Line'!$AB$2:$AB$3001,'Per Line'!$E$2:$E$3001,$B189,'Per Line'!$AQ$2:$AQ$3001,1))</f>
        <v/>
      </c>
      <c r="T189">
        <f>IF($AD189="","",Settings!$C$7)</f>
        <v/>
      </c>
      <c r="U189" s="7">
        <f>IF($AD189="","",SUMIFS('Per Line'!$AB$2:$AB$3001,'Per Line'!$E$2:$E$3001,$B189,'Per Line'!$AP$2:$AP$3001,0,'Per Line'!$AQ$2:$AQ$3001,0))</f>
        <v/>
      </c>
      <c r="V189" s="7">
        <f>IF($AD189="","",U189*T189)</f>
        <v/>
      </c>
      <c r="W189">
        <f>IF($AD189="","",Settings!$C$6)</f>
        <v/>
      </c>
      <c r="X189" s="7">
        <f>IF($AD189="","",SUMIFS('Per Line'!$AB$2:$AB$3001,'Per Line'!$E$2:$E$3001,$B189,'Per Line'!$AP$2:$AP$3001,1,'Per Line'!$AQ$2:$AQ$3001,0))</f>
        <v/>
      </c>
      <c r="Y189" s="7">
        <f>IF($AD189="","",X189*W189)</f>
        <v/>
      </c>
      <c r="Z189" s="7">
        <f>IF($AD189="","",Y189+V189)</f>
        <v/>
      </c>
      <c r="AA189" s="7">
        <f>IF($AD189="","",AB189-Z189)</f>
        <v/>
      </c>
      <c r="AB189" s="7">
        <f>IF($AD189="","",U189+X189+S189)</f>
        <v/>
      </c>
      <c r="AC189" s="7">
        <f>IF($AD189="","",AB189-Z189-P189)</f>
        <v/>
      </c>
      <c r="AD189" s="13">
        <f>IF(ROWS($AD$2:$AD189)&lt;=MAX('Per Line'!$AO$2:$AO$3001),MATCH(ROWS($AD$2:$AD189),'Per Line'!$AO$2:$AO$3001,0),"")</f>
        <v/>
      </c>
      <c r="AE189" s="14">
        <f>IF($AD189="","",P189-O189*AB189/100)</f>
        <v/>
      </c>
    </row>
    <row r="190">
      <c r="A190" s="12" t="n"/>
      <c r="B190">
        <f>IF($AD190="","",INDEX('Per Line'!$E$2:$E$3001,$AD190)&amp;"")</f>
        <v/>
      </c>
      <c r="C190">
        <f>IF($AD190="","",INDEX('Per Line'!$A$2:$A$3001,$AD190)&amp;"")</f>
        <v/>
      </c>
      <c r="D190">
        <f>IF($AD190="","",INDEX('Per Line'!$C$2:$C$3001,$AD190)&amp;"")</f>
        <v/>
      </c>
      <c r="E190">
        <f>IF($AD190="","",INDEX('Per Line'!$B$2:$B$3001,$AD190))</f>
        <v/>
      </c>
      <c r="F190">
        <f>IF($AD190="","",INDEX('Per Line'!$D$2:$D$3001,$AD190)&amp;"")</f>
        <v/>
      </c>
      <c r="G190" s="11">
        <f>IF($AD190="","",INDEX('Per Line'!$G$2:$G$3001,$AD190))</f>
        <v/>
      </c>
      <c r="H190">
        <f>IF($AD190="","",INDEX('Per Line'!$J$2:$J$3001,$AD190)&amp;"")</f>
        <v/>
      </c>
      <c r="I190">
        <f>IF($AD190="","",INDEX('Per Line'!$H$2:$H$3001,$AD190)&amp;"")</f>
        <v/>
      </c>
      <c r="J190">
        <f>IF($AD190="","",INDEX('Per Line'!$F$2:$F$3001,$AD190)&amp;"")</f>
        <v/>
      </c>
      <c r="K190">
        <f>IF($AD190="","",INDEX('Per Line'!$K$2:$K$3001,$AD190)&amp;"")</f>
        <v/>
      </c>
      <c r="L190">
        <f>IF($AD190="","",INDEX('Per Line'!$L$2:$L$3001,$AD190)&amp;"")</f>
        <v/>
      </c>
      <c r="M190">
        <f>IF($AD190="","",INDEX('Per Line'!$M$2:$M$3001,$AD190)&amp;"")</f>
        <v/>
      </c>
      <c r="N190">
        <f>IF($AD190="","",INDEX('Per Line'!$AC$2:$AC$3001,$AD190)&amp;"")</f>
        <v/>
      </c>
      <c r="O190">
        <f>IF($AD190="","",INDEX('Per Line'!$P$2:$P$3001,$AD190))</f>
        <v/>
      </c>
      <c r="P190" s="7">
        <f>IF($AD190="","",IF(AND(ISNUMBER(Q190),Q190&gt;0,AB190&gt;Q190),O190*Q190/100+(AB190-Q190),O190*AB190/100))</f>
        <v/>
      </c>
      <c r="Q190">
        <f>IF($AD190="","",INDEX('Per Line'!$AG$2:$AG$3001,$AD190))</f>
        <v/>
      </c>
      <c r="R190">
        <f>IF($AD190="","",IF(AND(ISNUMBER(Q190),Q190&gt;0),AB190&gt;Q190,FALSE))</f>
        <v/>
      </c>
      <c r="S190" s="7">
        <f>IF($AD190="","",SUMIFS('Per Line'!$AB$2:$AB$3001,'Per Line'!$E$2:$E$3001,$B190,'Per Line'!$AQ$2:$AQ$3001,1))</f>
        <v/>
      </c>
      <c r="T190">
        <f>IF($AD190="","",Settings!$C$7)</f>
        <v/>
      </c>
      <c r="U190" s="7">
        <f>IF($AD190="","",SUMIFS('Per Line'!$AB$2:$AB$3001,'Per Line'!$E$2:$E$3001,$B190,'Per Line'!$AP$2:$AP$3001,0,'Per Line'!$AQ$2:$AQ$3001,0))</f>
        <v/>
      </c>
      <c r="V190" s="7">
        <f>IF($AD190="","",U190*T190)</f>
        <v/>
      </c>
      <c r="W190">
        <f>IF($AD190="","",Settings!$C$6)</f>
        <v/>
      </c>
      <c r="X190" s="7">
        <f>IF($AD190="","",SUMIFS('Per Line'!$AB$2:$AB$3001,'Per Line'!$E$2:$E$3001,$B190,'Per Line'!$AP$2:$AP$3001,1,'Per Line'!$AQ$2:$AQ$3001,0))</f>
        <v/>
      </c>
      <c r="Y190" s="7">
        <f>IF($AD190="","",X190*W190)</f>
        <v/>
      </c>
      <c r="Z190" s="7">
        <f>IF($AD190="","",Y190+V190)</f>
        <v/>
      </c>
      <c r="AA190" s="7">
        <f>IF($AD190="","",AB190-Z190)</f>
        <v/>
      </c>
      <c r="AB190" s="7">
        <f>IF($AD190="","",U190+X190+S190)</f>
        <v/>
      </c>
      <c r="AC190" s="7">
        <f>IF($AD190="","",AB190-Z190-P190)</f>
        <v/>
      </c>
      <c r="AD190" s="13">
        <f>IF(ROWS($AD$2:$AD190)&lt;=MAX('Per Line'!$AO$2:$AO$3001),MATCH(ROWS($AD$2:$AD190),'Per Line'!$AO$2:$AO$3001,0),"")</f>
        <v/>
      </c>
      <c r="AE190" s="14">
        <f>IF($AD190="","",P190-O190*AB190/100)</f>
        <v/>
      </c>
    </row>
    <row r="191">
      <c r="A191" s="12" t="n"/>
      <c r="B191">
        <f>IF($AD191="","",INDEX('Per Line'!$E$2:$E$3001,$AD191)&amp;"")</f>
        <v/>
      </c>
      <c r="C191">
        <f>IF($AD191="","",INDEX('Per Line'!$A$2:$A$3001,$AD191)&amp;"")</f>
        <v/>
      </c>
      <c r="D191">
        <f>IF($AD191="","",INDEX('Per Line'!$C$2:$C$3001,$AD191)&amp;"")</f>
        <v/>
      </c>
      <c r="E191">
        <f>IF($AD191="","",INDEX('Per Line'!$B$2:$B$3001,$AD191))</f>
        <v/>
      </c>
      <c r="F191">
        <f>IF($AD191="","",INDEX('Per Line'!$D$2:$D$3001,$AD191)&amp;"")</f>
        <v/>
      </c>
      <c r="G191" s="11">
        <f>IF($AD191="","",INDEX('Per Line'!$G$2:$G$3001,$AD191))</f>
        <v/>
      </c>
      <c r="H191">
        <f>IF($AD191="","",INDEX('Per Line'!$J$2:$J$3001,$AD191)&amp;"")</f>
        <v/>
      </c>
      <c r="I191">
        <f>IF($AD191="","",INDEX('Per Line'!$H$2:$H$3001,$AD191)&amp;"")</f>
        <v/>
      </c>
      <c r="J191">
        <f>IF($AD191="","",INDEX('Per Line'!$F$2:$F$3001,$AD191)&amp;"")</f>
        <v/>
      </c>
      <c r="K191">
        <f>IF($AD191="","",INDEX('Per Line'!$K$2:$K$3001,$AD191)&amp;"")</f>
        <v/>
      </c>
      <c r="L191">
        <f>IF($AD191="","",INDEX('Per Line'!$L$2:$L$3001,$AD191)&amp;"")</f>
        <v/>
      </c>
      <c r="M191">
        <f>IF($AD191="","",INDEX('Per Line'!$M$2:$M$3001,$AD191)&amp;"")</f>
        <v/>
      </c>
      <c r="N191">
        <f>IF($AD191="","",INDEX('Per Line'!$AC$2:$AC$3001,$AD191)&amp;"")</f>
        <v/>
      </c>
      <c r="O191">
        <f>IF($AD191="","",INDEX('Per Line'!$P$2:$P$3001,$AD191))</f>
        <v/>
      </c>
      <c r="P191" s="7">
        <f>IF($AD191="","",IF(AND(ISNUMBER(Q191),Q191&gt;0,AB191&gt;Q191),O191*Q191/100+(AB191-Q191),O191*AB191/100))</f>
        <v/>
      </c>
      <c r="Q191">
        <f>IF($AD191="","",INDEX('Per Line'!$AG$2:$AG$3001,$AD191))</f>
        <v/>
      </c>
      <c r="R191">
        <f>IF($AD191="","",IF(AND(ISNUMBER(Q191),Q191&gt;0),AB191&gt;Q191,FALSE))</f>
        <v/>
      </c>
      <c r="S191" s="7">
        <f>IF($AD191="","",SUMIFS('Per Line'!$AB$2:$AB$3001,'Per Line'!$E$2:$E$3001,$B191,'Per Line'!$AQ$2:$AQ$3001,1))</f>
        <v/>
      </c>
      <c r="T191">
        <f>IF($AD191="","",Settings!$C$7)</f>
        <v/>
      </c>
      <c r="U191" s="7">
        <f>IF($AD191="","",SUMIFS('Per Line'!$AB$2:$AB$3001,'Per Line'!$E$2:$E$3001,$B191,'Per Line'!$AP$2:$AP$3001,0,'Per Line'!$AQ$2:$AQ$3001,0))</f>
        <v/>
      </c>
      <c r="V191" s="7">
        <f>IF($AD191="","",U191*T191)</f>
        <v/>
      </c>
      <c r="W191">
        <f>IF($AD191="","",Settings!$C$6)</f>
        <v/>
      </c>
      <c r="X191" s="7">
        <f>IF($AD191="","",SUMIFS('Per Line'!$AB$2:$AB$3001,'Per Line'!$E$2:$E$3001,$B191,'Per Line'!$AP$2:$AP$3001,1,'Per Line'!$AQ$2:$AQ$3001,0))</f>
        <v/>
      </c>
      <c r="Y191" s="7">
        <f>IF($AD191="","",X191*W191)</f>
        <v/>
      </c>
      <c r="Z191" s="7">
        <f>IF($AD191="","",Y191+V191)</f>
        <v/>
      </c>
      <c r="AA191" s="7">
        <f>IF($AD191="","",AB191-Z191)</f>
        <v/>
      </c>
      <c r="AB191" s="7">
        <f>IF($AD191="","",U191+X191+S191)</f>
        <v/>
      </c>
      <c r="AC191" s="7">
        <f>IF($AD191="","",AB191-Z191-P191)</f>
        <v/>
      </c>
      <c r="AD191" s="13">
        <f>IF(ROWS($AD$2:$AD191)&lt;=MAX('Per Line'!$AO$2:$AO$3001),MATCH(ROWS($AD$2:$AD191),'Per Line'!$AO$2:$AO$3001,0),"")</f>
        <v/>
      </c>
      <c r="AE191" s="14">
        <f>IF($AD191="","",P191-O191*AB191/100)</f>
        <v/>
      </c>
    </row>
    <row r="192">
      <c r="A192" s="12" t="n"/>
      <c r="B192">
        <f>IF($AD192="","",INDEX('Per Line'!$E$2:$E$3001,$AD192)&amp;"")</f>
        <v/>
      </c>
      <c r="C192">
        <f>IF($AD192="","",INDEX('Per Line'!$A$2:$A$3001,$AD192)&amp;"")</f>
        <v/>
      </c>
      <c r="D192">
        <f>IF($AD192="","",INDEX('Per Line'!$C$2:$C$3001,$AD192)&amp;"")</f>
        <v/>
      </c>
      <c r="E192">
        <f>IF($AD192="","",INDEX('Per Line'!$B$2:$B$3001,$AD192))</f>
        <v/>
      </c>
      <c r="F192">
        <f>IF($AD192="","",INDEX('Per Line'!$D$2:$D$3001,$AD192)&amp;"")</f>
        <v/>
      </c>
      <c r="G192" s="11">
        <f>IF($AD192="","",INDEX('Per Line'!$G$2:$G$3001,$AD192))</f>
        <v/>
      </c>
      <c r="H192">
        <f>IF($AD192="","",INDEX('Per Line'!$J$2:$J$3001,$AD192)&amp;"")</f>
        <v/>
      </c>
      <c r="I192">
        <f>IF($AD192="","",INDEX('Per Line'!$H$2:$H$3001,$AD192)&amp;"")</f>
        <v/>
      </c>
      <c r="J192">
        <f>IF($AD192="","",INDEX('Per Line'!$F$2:$F$3001,$AD192)&amp;"")</f>
        <v/>
      </c>
      <c r="K192">
        <f>IF($AD192="","",INDEX('Per Line'!$K$2:$K$3001,$AD192)&amp;"")</f>
        <v/>
      </c>
      <c r="L192">
        <f>IF($AD192="","",INDEX('Per Line'!$L$2:$L$3001,$AD192)&amp;"")</f>
        <v/>
      </c>
      <c r="M192">
        <f>IF($AD192="","",INDEX('Per Line'!$M$2:$M$3001,$AD192)&amp;"")</f>
        <v/>
      </c>
      <c r="N192">
        <f>IF($AD192="","",INDEX('Per Line'!$AC$2:$AC$3001,$AD192)&amp;"")</f>
        <v/>
      </c>
      <c r="O192">
        <f>IF($AD192="","",INDEX('Per Line'!$P$2:$P$3001,$AD192))</f>
        <v/>
      </c>
      <c r="P192" s="7">
        <f>IF($AD192="","",IF(AND(ISNUMBER(Q192),Q192&gt;0,AB192&gt;Q192),O192*Q192/100+(AB192-Q192),O192*AB192/100))</f>
        <v/>
      </c>
      <c r="Q192">
        <f>IF($AD192="","",INDEX('Per Line'!$AG$2:$AG$3001,$AD192))</f>
        <v/>
      </c>
      <c r="R192">
        <f>IF($AD192="","",IF(AND(ISNUMBER(Q192),Q192&gt;0),AB192&gt;Q192,FALSE))</f>
        <v/>
      </c>
      <c r="S192" s="7">
        <f>IF($AD192="","",SUMIFS('Per Line'!$AB$2:$AB$3001,'Per Line'!$E$2:$E$3001,$B192,'Per Line'!$AQ$2:$AQ$3001,1))</f>
        <v/>
      </c>
      <c r="T192">
        <f>IF($AD192="","",Settings!$C$7)</f>
        <v/>
      </c>
      <c r="U192" s="7">
        <f>IF($AD192="","",SUMIFS('Per Line'!$AB$2:$AB$3001,'Per Line'!$E$2:$E$3001,$B192,'Per Line'!$AP$2:$AP$3001,0,'Per Line'!$AQ$2:$AQ$3001,0))</f>
        <v/>
      </c>
      <c r="V192" s="7">
        <f>IF($AD192="","",U192*T192)</f>
        <v/>
      </c>
      <c r="W192">
        <f>IF($AD192="","",Settings!$C$6)</f>
        <v/>
      </c>
      <c r="X192" s="7">
        <f>IF($AD192="","",SUMIFS('Per Line'!$AB$2:$AB$3001,'Per Line'!$E$2:$E$3001,$B192,'Per Line'!$AP$2:$AP$3001,1,'Per Line'!$AQ$2:$AQ$3001,0))</f>
        <v/>
      </c>
      <c r="Y192" s="7">
        <f>IF($AD192="","",X192*W192)</f>
        <v/>
      </c>
      <c r="Z192" s="7">
        <f>IF($AD192="","",Y192+V192)</f>
        <v/>
      </c>
      <c r="AA192" s="7">
        <f>IF($AD192="","",AB192-Z192)</f>
        <v/>
      </c>
      <c r="AB192" s="7">
        <f>IF($AD192="","",U192+X192+S192)</f>
        <v/>
      </c>
      <c r="AC192" s="7">
        <f>IF($AD192="","",AB192-Z192-P192)</f>
        <v/>
      </c>
      <c r="AD192" s="13">
        <f>IF(ROWS($AD$2:$AD192)&lt;=MAX('Per Line'!$AO$2:$AO$3001),MATCH(ROWS($AD$2:$AD192),'Per Line'!$AO$2:$AO$3001,0),"")</f>
        <v/>
      </c>
      <c r="AE192" s="14">
        <f>IF($AD192="","",P192-O192*AB192/100)</f>
        <v/>
      </c>
    </row>
    <row r="193">
      <c r="A193" s="12" t="n"/>
      <c r="B193">
        <f>IF($AD193="","",INDEX('Per Line'!$E$2:$E$3001,$AD193)&amp;"")</f>
        <v/>
      </c>
      <c r="C193">
        <f>IF($AD193="","",INDEX('Per Line'!$A$2:$A$3001,$AD193)&amp;"")</f>
        <v/>
      </c>
      <c r="D193">
        <f>IF($AD193="","",INDEX('Per Line'!$C$2:$C$3001,$AD193)&amp;"")</f>
        <v/>
      </c>
      <c r="E193">
        <f>IF($AD193="","",INDEX('Per Line'!$B$2:$B$3001,$AD193))</f>
        <v/>
      </c>
      <c r="F193">
        <f>IF($AD193="","",INDEX('Per Line'!$D$2:$D$3001,$AD193)&amp;"")</f>
        <v/>
      </c>
      <c r="G193" s="11">
        <f>IF($AD193="","",INDEX('Per Line'!$G$2:$G$3001,$AD193))</f>
        <v/>
      </c>
      <c r="H193">
        <f>IF($AD193="","",INDEX('Per Line'!$J$2:$J$3001,$AD193)&amp;"")</f>
        <v/>
      </c>
      <c r="I193">
        <f>IF($AD193="","",INDEX('Per Line'!$H$2:$H$3001,$AD193)&amp;"")</f>
        <v/>
      </c>
      <c r="J193">
        <f>IF($AD193="","",INDEX('Per Line'!$F$2:$F$3001,$AD193)&amp;"")</f>
        <v/>
      </c>
      <c r="K193">
        <f>IF($AD193="","",INDEX('Per Line'!$K$2:$K$3001,$AD193)&amp;"")</f>
        <v/>
      </c>
      <c r="L193">
        <f>IF($AD193="","",INDEX('Per Line'!$L$2:$L$3001,$AD193)&amp;"")</f>
        <v/>
      </c>
      <c r="M193">
        <f>IF($AD193="","",INDEX('Per Line'!$M$2:$M$3001,$AD193)&amp;"")</f>
        <v/>
      </c>
      <c r="N193">
        <f>IF($AD193="","",INDEX('Per Line'!$AC$2:$AC$3001,$AD193)&amp;"")</f>
        <v/>
      </c>
      <c r="O193">
        <f>IF($AD193="","",INDEX('Per Line'!$P$2:$P$3001,$AD193))</f>
        <v/>
      </c>
      <c r="P193" s="7">
        <f>IF($AD193="","",IF(AND(ISNUMBER(Q193),Q193&gt;0,AB193&gt;Q193),O193*Q193/100+(AB193-Q193),O193*AB193/100))</f>
        <v/>
      </c>
      <c r="Q193">
        <f>IF($AD193="","",INDEX('Per Line'!$AG$2:$AG$3001,$AD193))</f>
        <v/>
      </c>
      <c r="R193">
        <f>IF($AD193="","",IF(AND(ISNUMBER(Q193),Q193&gt;0),AB193&gt;Q193,FALSE))</f>
        <v/>
      </c>
      <c r="S193" s="7">
        <f>IF($AD193="","",SUMIFS('Per Line'!$AB$2:$AB$3001,'Per Line'!$E$2:$E$3001,$B193,'Per Line'!$AQ$2:$AQ$3001,1))</f>
        <v/>
      </c>
      <c r="T193">
        <f>IF($AD193="","",Settings!$C$7)</f>
        <v/>
      </c>
      <c r="U193" s="7">
        <f>IF($AD193="","",SUMIFS('Per Line'!$AB$2:$AB$3001,'Per Line'!$E$2:$E$3001,$B193,'Per Line'!$AP$2:$AP$3001,0,'Per Line'!$AQ$2:$AQ$3001,0))</f>
        <v/>
      </c>
      <c r="V193" s="7">
        <f>IF($AD193="","",U193*T193)</f>
        <v/>
      </c>
      <c r="W193">
        <f>IF($AD193="","",Settings!$C$6)</f>
        <v/>
      </c>
      <c r="X193" s="7">
        <f>IF($AD193="","",SUMIFS('Per Line'!$AB$2:$AB$3001,'Per Line'!$E$2:$E$3001,$B193,'Per Line'!$AP$2:$AP$3001,1,'Per Line'!$AQ$2:$AQ$3001,0))</f>
        <v/>
      </c>
      <c r="Y193" s="7">
        <f>IF($AD193="","",X193*W193)</f>
        <v/>
      </c>
      <c r="Z193" s="7">
        <f>IF($AD193="","",Y193+V193)</f>
        <v/>
      </c>
      <c r="AA193" s="7">
        <f>IF($AD193="","",AB193-Z193)</f>
        <v/>
      </c>
      <c r="AB193" s="7">
        <f>IF($AD193="","",U193+X193+S193)</f>
        <v/>
      </c>
      <c r="AC193" s="7">
        <f>IF($AD193="","",AB193-Z193-P193)</f>
        <v/>
      </c>
      <c r="AD193" s="13">
        <f>IF(ROWS($AD$2:$AD193)&lt;=MAX('Per Line'!$AO$2:$AO$3001),MATCH(ROWS($AD$2:$AD193),'Per Line'!$AO$2:$AO$3001,0),"")</f>
        <v/>
      </c>
      <c r="AE193" s="14">
        <f>IF($AD193="","",P193-O193*AB193/100)</f>
        <v/>
      </c>
    </row>
    <row r="194">
      <c r="A194" s="12" t="n"/>
      <c r="B194">
        <f>IF($AD194="","",INDEX('Per Line'!$E$2:$E$3001,$AD194)&amp;"")</f>
        <v/>
      </c>
      <c r="C194">
        <f>IF($AD194="","",INDEX('Per Line'!$A$2:$A$3001,$AD194)&amp;"")</f>
        <v/>
      </c>
      <c r="D194">
        <f>IF($AD194="","",INDEX('Per Line'!$C$2:$C$3001,$AD194)&amp;"")</f>
        <v/>
      </c>
      <c r="E194">
        <f>IF($AD194="","",INDEX('Per Line'!$B$2:$B$3001,$AD194))</f>
        <v/>
      </c>
      <c r="F194">
        <f>IF($AD194="","",INDEX('Per Line'!$D$2:$D$3001,$AD194)&amp;"")</f>
        <v/>
      </c>
      <c r="G194" s="11">
        <f>IF($AD194="","",INDEX('Per Line'!$G$2:$G$3001,$AD194))</f>
        <v/>
      </c>
      <c r="H194">
        <f>IF($AD194="","",INDEX('Per Line'!$J$2:$J$3001,$AD194)&amp;"")</f>
        <v/>
      </c>
      <c r="I194">
        <f>IF($AD194="","",INDEX('Per Line'!$H$2:$H$3001,$AD194)&amp;"")</f>
        <v/>
      </c>
      <c r="J194">
        <f>IF($AD194="","",INDEX('Per Line'!$F$2:$F$3001,$AD194)&amp;"")</f>
        <v/>
      </c>
      <c r="K194">
        <f>IF($AD194="","",INDEX('Per Line'!$K$2:$K$3001,$AD194)&amp;"")</f>
        <v/>
      </c>
      <c r="L194">
        <f>IF($AD194="","",INDEX('Per Line'!$L$2:$L$3001,$AD194)&amp;"")</f>
        <v/>
      </c>
      <c r="M194">
        <f>IF($AD194="","",INDEX('Per Line'!$M$2:$M$3001,$AD194)&amp;"")</f>
        <v/>
      </c>
      <c r="N194">
        <f>IF($AD194="","",INDEX('Per Line'!$AC$2:$AC$3001,$AD194)&amp;"")</f>
        <v/>
      </c>
      <c r="O194">
        <f>IF($AD194="","",INDEX('Per Line'!$P$2:$P$3001,$AD194))</f>
        <v/>
      </c>
      <c r="P194" s="7">
        <f>IF($AD194="","",IF(AND(ISNUMBER(Q194),Q194&gt;0,AB194&gt;Q194),O194*Q194/100+(AB194-Q194),O194*AB194/100))</f>
        <v/>
      </c>
      <c r="Q194">
        <f>IF($AD194="","",INDEX('Per Line'!$AG$2:$AG$3001,$AD194))</f>
        <v/>
      </c>
      <c r="R194">
        <f>IF($AD194="","",IF(AND(ISNUMBER(Q194),Q194&gt;0),AB194&gt;Q194,FALSE))</f>
        <v/>
      </c>
      <c r="S194" s="7">
        <f>IF($AD194="","",SUMIFS('Per Line'!$AB$2:$AB$3001,'Per Line'!$E$2:$E$3001,$B194,'Per Line'!$AQ$2:$AQ$3001,1))</f>
        <v/>
      </c>
      <c r="T194">
        <f>IF($AD194="","",Settings!$C$7)</f>
        <v/>
      </c>
      <c r="U194" s="7">
        <f>IF($AD194="","",SUMIFS('Per Line'!$AB$2:$AB$3001,'Per Line'!$E$2:$E$3001,$B194,'Per Line'!$AP$2:$AP$3001,0,'Per Line'!$AQ$2:$AQ$3001,0))</f>
        <v/>
      </c>
      <c r="V194" s="7">
        <f>IF($AD194="","",U194*T194)</f>
        <v/>
      </c>
      <c r="W194">
        <f>IF($AD194="","",Settings!$C$6)</f>
        <v/>
      </c>
      <c r="X194" s="7">
        <f>IF($AD194="","",SUMIFS('Per Line'!$AB$2:$AB$3001,'Per Line'!$E$2:$E$3001,$B194,'Per Line'!$AP$2:$AP$3001,1,'Per Line'!$AQ$2:$AQ$3001,0))</f>
        <v/>
      </c>
      <c r="Y194" s="7">
        <f>IF($AD194="","",X194*W194)</f>
        <v/>
      </c>
      <c r="Z194" s="7">
        <f>IF($AD194="","",Y194+V194)</f>
        <v/>
      </c>
      <c r="AA194" s="7">
        <f>IF($AD194="","",AB194-Z194)</f>
        <v/>
      </c>
      <c r="AB194" s="7">
        <f>IF($AD194="","",U194+X194+S194)</f>
        <v/>
      </c>
      <c r="AC194" s="7">
        <f>IF($AD194="","",AB194-Z194-P194)</f>
        <v/>
      </c>
      <c r="AD194" s="13">
        <f>IF(ROWS($AD$2:$AD194)&lt;=MAX('Per Line'!$AO$2:$AO$3001),MATCH(ROWS($AD$2:$AD194),'Per Line'!$AO$2:$AO$3001,0),"")</f>
        <v/>
      </c>
      <c r="AE194" s="14">
        <f>IF($AD194="","",P194-O194*AB194/100)</f>
        <v/>
      </c>
    </row>
    <row r="195">
      <c r="A195" s="12" t="n"/>
      <c r="B195">
        <f>IF($AD195="","",INDEX('Per Line'!$E$2:$E$3001,$AD195)&amp;"")</f>
        <v/>
      </c>
      <c r="C195">
        <f>IF($AD195="","",INDEX('Per Line'!$A$2:$A$3001,$AD195)&amp;"")</f>
        <v/>
      </c>
      <c r="D195">
        <f>IF($AD195="","",INDEX('Per Line'!$C$2:$C$3001,$AD195)&amp;"")</f>
        <v/>
      </c>
      <c r="E195">
        <f>IF($AD195="","",INDEX('Per Line'!$B$2:$B$3001,$AD195))</f>
        <v/>
      </c>
      <c r="F195">
        <f>IF($AD195="","",INDEX('Per Line'!$D$2:$D$3001,$AD195)&amp;"")</f>
        <v/>
      </c>
      <c r="G195" s="11">
        <f>IF($AD195="","",INDEX('Per Line'!$G$2:$G$3001,$AD195))</f>
        <v/>
      </c>
      <c r="H195">
        <f>IF($AD195="","",INDEX('Per Line'!$J$2:$J$3001,$AD195)&amp;"")</f>
        <v/>
      </c>
      <c r="I195">
        <f>IF($AD195="","",INDEX('Per Line'!$H$2:$H$3001,$AD195)&amp;"")</f>
        <v/>
      </c>
      <c r="J195">
        <f>IF($AD195="","",INDEX('Per Line'!$F$2:$F$3001,$AD195)&amp;"")</f>
        <v/>
      </c>
      <c r="K195">
        <f>IF($AD195="","",INDEX('Per Line'!$K$2:$K$3001,$AD195)&amp;"")</f>
        <v/>
      </c>
      <c r="L195">
        <f>IF($AD195="","",INDEX('Per Line'!$L$2:$L$3001,$AD195)&amp;"")</f>
        <v/>
      </c>
      <c r="M195">
        <f>IF($AD195="","",INDEX('Per Line'!$M$2:$M$3001,$AD195)&amp;"")</f>
        <v/>
      </c>
      <c r="N195">
        <f>IF($AD195="","",INDEX('Per Line'!$AC$2:$AC$3001,$AD195)&amp;"")</f>
        <v/>
      </c>
      <c r="O195">
        <f>IF($AD195="","",INDEX('Per Line'!$P$2:$P$3001,$AD195))</f>
        <v/>
      </c>
      <c r="P195" s="7">
        <f>IF($AD195="","",IF(AND(ISNUMBER(Q195),Q195&gt;0,AB195&gt;Q195),O195*Q195/100+(AB195-Q195),O195*AB195/100))</f>
        <v/>
      </c>
      <c r="Q195">
        <f>IF($AD195="","",INDEX('Per Line'!$AG$2:$AG$3001,$AD195))</f>
        <v/>
      </c>
      <c r="R195">
        <f>IF($AD195="","",IF(AND(ISNUMBER(Q195),Q195&gt;0),AB195&gt;Q195,FALSE))</f>
        <v/>
      </c>
      <c r="S195" s="7">
        <f>IF($AD195="","",SUMIFS('Per Line'!$AB$2:$AB$3001,'Per Line'!$E$2:$E$3001,$B195,'Per Line'!$AQ$2:$AQ$3001,1))</f>
        <v/>
      </c>
      <c r="T195">
        <f>IF($AD195="","",Settings!$C$7)</f>
        <v/>
      </c>
      <c r="U195" s="7">
        <f>IF($AD195="","",SUMIFS('Per Line'!$AB$2:$AB$3001,'Per Line'!$E$2:$E$3001,$B195,'Per Line'!$AP$2:$AP$3001,0,'Per Line'!$AQ$2:$AQ$3001,0))</f>
        <v/>
      </c>
      <c r="V195" s="7">
        <f>IF($AD195="","",U195*T195)</f>
        <v/>
      </c>
      <c r="W195">
        <f>IF($AD195="","",Settings!$C$6)</f>
        <v/>
      </c>
      <c r="X195" s="7">
        <f>IF($AD195="","",SUMIFS('Per Line'!$AB$2:$AB$3001,'Per Line'!$E$2:$E$3001,$B195,'Per Line'!$AP$2:$AP$3001,1,'Per Line'!$AQ$2:$AQ$3001,0))</f>
        <v/>
      </c>
      <c r="Y195" s="7">
        <f>IF($AD195="","",X195*W195)</f>
        <v/>
      </c>
      <c r="Z195" s="7">
        <f>IF($AD195="","",Y195+V195)</f>
        <v/>
      </c>
      <c r="AA195" s="7">
        <f>IF($AD195="","",AB195-Z195)</f>
        <v/>
      </c>
      <c r="AB195" s="7">
        <f>IF($AD195="","",U195+X195+S195)</f>
        <v/>
      </c>
      <c r="AC195" s="7">
        <f>IF($AD195="","",AB195-Z195-P195)</f>
        <v/>
      </c>
      <c r="AD195" s="13">
        <f>IF(ROWS($AD$2:$AD195)&lt;=MAX('Per Line'!$AO$2:$AO$3001),MATCH(ROWS($AD$2:$AD195),'Per Line'!$AO$2:$AO$3001,0),"")</f>
        <v/>
      </c>
      <c r="AE195" s="14">
        <f>IF($AD195="","",P195-O195*AB195/100)</f>
        <v/>
      </c>
    </row>
    <row r="196">
      <c r="A196" s="12" t="n"/>
      <c r="B196">
        <f>IF($AD196="","",INDEX('Per Line'!$E$2:$E$3001,$AD196)&amp;"")</f>
        <v/>
      </c>
      <c r="C196">
        <f>IF($AD196="","",INDEX('Per Line'!$A$2:$A$3001,$AD196)&amp;"")</f>
        <v/>
      </c>
      <c r="D196">
        <f>IF($AD196="","",INDEX('Per Line'!$C$2:$C$3001,$AD196)&amp;"")</f>
        <v/>
      </c>
      <c r="E196">
        <f>IF($AD196="","",INDEX('Per Line'!$B$2:$B$3001,$AD196))</f>
        <v/>
      </c>
      <c r="F196">
        <f>IF($AD196="","",INDEX('Per Line'!$D$2:$D$3001,$AD196)&amp;"")</f>
        <v/>
      </c>
      <c r="G196" s="11">
        <f>IF($AD196="","",INDEX('Per Line'!$G$2:$G$3001,$AD196))</f>
        <v/>
      </c>
      <c r="H196">
        <f>IF($AD196="","",INDEX('Per Line'!$J$2:$J$3001,$AD196)&amp;"")</f>
        <v/>
      </c>
      <c r="I196">
        <f>IF($AD196="","",INDEX('Per Line'!$H$2:$H$3001,$AD196)&amp;"")</f>
        <v/>
      </c>
      <c r="J196">
        <f>IF($AD196="","",INDEX('Per Line'!$F$2:$F$3001,$AD196)&amp;"")</f>
        <v/>
      </c>
      <c r="K196">
        <f>IF($AD196="","",INDEX('Per Line'!$K$2:$K$3001,$AD196)&amp;"")</f>
        <v/>
      </c>
      <c r="L196">
        <f>IF($AD196="","",INDEX('Per Line'!$L$2:$L$3001,$AD196)&amp;"")</f>
        <v/>
      </c>
      <c r="M196">
        <f>IF($AD196="","",INDEX('Per Line'!$M$2:$M$3001,$AD196)&amp;"")</f>
        <v/>
      </c>
      <c r="N196">
        <f>IF($AD196="","",INDEX('Per Line'!$AC$2:$AC$3001,$AD196)&amp;"")</f>
        <v/>
      </c>
      <c r="O196">
        <f>IF($AD196="","",INDEX('Per Line'!$P$2:$P$3001,$AD196))</f>
        <v/>
      </c>
      <c r="P196" s="7">
        <f>IF($AD196="","",IF(AND(ISNUMBER(Q196),Q196&gt;0,AB196&gt;Q196),O196*Q196/100+(AB196-Q196),O196*AB196/100))</f>
        <v/>
      </c>
      <c r="Q196">
        <f>IF($AD196="","",INDEX('Per Line'!$AG$2:$AG$3001,$AD196))</f>
        <v/>
      </c>
      <c r="R196">
        <f>IF($AD196="","",IF(AND(ISNUMBER(Q196),Q196&gt;0),AB196&gt;Q196,FALSE))</f>
        <v/>
      </c>
      <c r="S196" s="7">
        <f>IF($AD196="","",SUMIFS('Per Line'!$AB$2:$AB$3001,'Per Line'!$E$2:$E$3001,$B196,'Per Line'!$AQ$2:$AQ$3001,1))</f>
        <v/>
      </c>
      <c r="T196">
        <f>IF($AD196="","",Settings!$C$7)</f>
        <v/>
      </c>
      <c r="U196" s="7">
        <f>IF($AD196="","",SUMIFS('Per Line'!$AB$2:$AB$3001,'Per Line'!$E$2:$E$3001,$B196,'Per Line'!$AP$2:$AP$3001,0,'Per Line'!$AQ$2:$AQ$3001,0))</f>
        <v/>
      </c>
      <c r="V196" s="7">
        <f>IF($AD196="","",U196*T196)</f>
        <v/>
      </c>
      <c r="W196">
        <f>IF($AD196="","",Settings!$C$6)</f>
        <v/>
      </c>
      <c r="X196" s="7">
        <f>IF($AD196="","",SUMIFS('Per Line'!$AB$2:$AB$3001,'Per Line'!$E$2:$E$3001,$B196,'Per Line'!$AP$2:$AP$3001,1,'Per Line'!$AQ$2:$AQ$3001,0))</f>
        <v/>
      </c>
      <c r="Y196" s="7">
        <f>IF($AD196="","",X196*W196)</f>
        <v/>
      </c>
      <c r="Z196" s="7">
        <f>IF($AD196="","",Y196+V196)</f>
        <v/>
      </c>
      <c r="AA196" s="7">
        <f>IF($AD196="","",AB196-Z196)</f>
        <v/>
      </c>
      <c r="AB196" s="7">
        <f>IF($AD196="","",U196+X196+S196)</f>
        <v/>
      </c>
      <c r="AC196" s="7">
        <f>IF($AD196="","",AB196-Z196-P196)</f>
        <v/>
      </c>
      <c r="AD196" s="13">
        <f>IF(ROWS($AD$2:$AD196)&lt;=MAX('Per Line'!$AO$2:$AO$3001),MATCH(ROWS($AD$2:$AD196),'Per Line'!$AO$2:$AO$3001,0),"")</f>
        <v/>
      </c>
      <c r="AE196" s="14">
        <f>IF($AD196="","",P196-O196*AB196/100)</f>
        <v/>
      </c>
    </row>
    <row r="197">
      <c r="A197" s="12" t="n"/>
      <c r="B197">
        <f>IF($AD197="","",INDEX('Per Line'!$E$2:$E$3001,$AD197)&amp;"")</f>
        <v/>
      </c>
      <c r="C197">
        <f>IF($AD197="","",INDEX('Per Line'!$A$2:$A$3001,$AD197)&amp;"")</f>
        <v/>
      </c>
      <c r="D197">
        <f>IF($AD197="","",INDEX('Per Line'!$C$2:$C$3001,$AD197)&amp;"")</f>
        <v/>
      </c>
      <c r="E197">
        <f>IF($AD197="","",INDEX('Per Line'!$B$2:$B$3001,$AD197))</f>
        <v/>
      </c>
      <c r="F197">
        <f>IF($AD197="","",INDEX('Per Line'!$D$2:$D$3001,$AD197)&amp;"")</f>
        <v/>
      </c>
      <c r="G197" s="11">
        <f>IF($AD197="","",INDEX('Per Line'!$G$2:$G$3001,$AD197))</f>
        <v/>
      </c>
      <c r="H197">
        <f>IF($AD197="","",INDEX('Per Line'!$J$2:$J$3001,$AD197)&amp;"")</f>
        <v/>
      </c>
      <c r="I197">
        <f>IF($AD197="","",INDEX('Per Line'!$H$2:$H$3001,$AD197)&amp;"")</f>
        <v/>
      </c>
      <c r="J197">
        <f>IF($AD197="","",INDEX('Per Line'!$F$2:$F$3001,$AD197)&amp;"")</f>
        <v/>
      </c>
      <c r="K197">
        <f>IF($AD197="","",INDEX('Per Line'!$K$2:$K$3001,$AD197)&amp;"")</f>
        <v/>
      </c>
      <c r="L197">
        <f>IF($AD197="","",INDEX('Per Line'!$L$2:$L$3001,$AD197)&amp;"")</f>
        <v/>
      </c>
      <c r="M197">
        <f>IF($AD197="","",INDEX('Per Line'!$M$2:$M$3001,$AD197)&amp;"")</f>
        <v/>
      </c>
      <c r="N197">
        <f>IF($AD197="","",INDEX('Per Line'!$AC$2:$AC$3001,$AD197)&amp;"")</f>
        <v/>
      </c>
      <c r="O197">
        <f>IF($AD197="","",INDEX('Per Line'!$P$2:$P$3001,$AD197))</f>
        <v/>
      </c>
      <c r="P197" s="7">
        <f>IF($AD197="","",IF(AND(ISNUMBER(Q197),Q197&gt;0,AB197&gt;Q197),O197*Q197/100+(AB197-Q197),O197*AB197/100))</f>
        <v/>
      </c>
      <c r="Q197">
        <f>IF($AD197="","",INDEX('Per Line'!$AG$2:$AG$3001,$AD197))</f>
        <v/>
      </c>
      <c r="R197">
        <f>IF($AD197="","",IF(AND(ISNUMBER(Q197),Q197&gt;0),AB197&gt;Q197,FALSE))</f>
        <v/>
      </c>
      <c r="S197" s="7">
        <f>IF($AD197="","",SUMIFS('Per Line'!$AB$2:$AB$3001,'Per Line'!$E$2:$E$3001,$B197,'Per Line'!$AQ$2:$AQ$3001,1))</f>
        <v/>
      </c>
      <c r="T197">
        <f>IF($AD197="","",Settings!$C$7)</f>
        <v/>
      </c>
      <c r="U197" s="7">
        <f>IF($AD197="","",SUMIFS('Per Line'!$AB$2:$AB$3001,'Per Line'!$E$2:$E$3001,$B197,'Per Line'!$AP$2:$AP$3001,0,'Per Line'!$AQ$2:$AQ$3001,0))</f>
        <v/>
      </c>
      <c r="V197" s="7">
        <f>IF($AD197="","",U197*T197)</f>
        <v/>
      </c>
      <c r="W197">
        <f>IF($AD197="","",Settings!$C$6)</f>
        <v/>
      </c>
      <c r="X197" s="7">
        <f>IF($AD197="","",SUMIFS('Per Line'!$AB$2:$AB$3001,'Per Line'!$E$2:$E$3001,$B197,'Per Line'!$AP$2:$AP$3001,1,'Per Line'!$AQ$2:$AQ$3001,0))</f>
        <v/>
      </c>
      <c r="Y197" s="7">
        <f>IF($AD197="","",X197*W197)</f>
        <v/>
      </c>
      <c r="Z197" s="7">
        <f>IF($AD197="","",Y197+V197)</f>
        <v/>
      </c>
      <c r="AA197" s="7">
        <f>IF($AD197="","",AB197-Z197)</f>
        <v/>
      </c>
      <c r="AB197" s="7">
        <f>IF($AD197="","",U197+X197+S197)</f>
        <v/>
      </c>
      <c r="AC197" s="7">
        <f>IF($AD197="","",AB197-Z197-P197)</f>
        <v/>
      </c>
      <c r="AD197" s="13">
        <f>IF(ROWS($AD$2:$AD197)&lt;=MAX('Per Line'!$AO$2:$AO$3001),MATCH(ROWS($AD$2:$AD197),'Per Line'!$AO$2:$AO$3001,0),"")</f>
        <v/>
      </c>
      <c r="AE197" s="14">
        <f>IF($AD197="","",P197-O197*AB197/100)</f>
        <v/>
      </c>
    </row>
    <row r="198">
      <c r="A198" s="12" t="n"/>
      <c r="B198">
        <f>IF($AD198="","",INDEX('Per Line'!$E$2:$E$3001,$AD198)&amp;"")</f>
        <v/>
      </c>
      <c r="C198">
        <f>IF($AD198="","",INDEX('Per Line'!$A$2:$A$3001,$AD198)&amp;"")</f>
        <v/>
      </c>
      <c r="D198">
        <f>IF($AD198="","",INDEX('Per Line'!$C$2:$C$3001,$AD198)&amp;"")</f>
        <v/>
      </c>
      <c r="E198">
        <f>IF($AD198="","",INDEX('Per Line'!$B$2:$B$3001,$AD198))</f>
        <v/>
      </c>
      <c r="F198">
        <f>IF($AD198="","",INDEX('Per Line'!$D$2:$D$3001,$AD198)&amp;"")</f>
        <v/>
      </c>
      <c r="G198" s="11">
        <f>IF($AD198="","",INDEX('Per Line'!$G$2:$G$3001,$AD198))</f>
        <v/>
      </c>
      <c r="H198">
        <f>IF($AD198="","",INDEX('Per Line'!$J$2:$J$3001,$AD198)&amp;"")</f>
        <v/>
      </c>
      <c r="I198">
        <f>IF($AD198="","",INDEX('Per Line'!$H$2:$H$3001,$AD198)&amp;"")</f>
        <v/>
      </c>
      <c r="J198">
        <f>IF($AD198="","",INDEX('Per Line'!$F$2:$F$3001,$AD198)&amp;"")</f>
        <v/>
      </c>
      <c r="K198">
        <f>IF($AD198="","",INDEX('Per Line'!$K$2:$K$3001,$AD198)&amp;"")</f>
        <v/>
      </c>
      <c r="L198">
        <f>IF($AD198="","",INDEX('Per Line'!$L$2:$L$3001,$AD198)&amp;"")</f>
        <v/>
      </c>
      <c r="M198">
        <f>IF($AD198="","",INDEX('Per Line'!$M$2:$M$3001,$AD198)&amp;"")</f>
        <v/>
      </c>
      <c r="N198">
        <f>IF($AD198="","",INDEX('Per Line'!$AC$2:$AC$3001,$AD198)&amp;"")</f>
        <v/>
      </c>
      <c r="O198">
        <f>IF($AD198="","",INDEX('Per Line'!$P$2:$P$3001,$AD198))</f>
        <v/>
      </c>
      <c r="P198" s="7">
        <f>IF($AD198="","",IF(AND(ISNUMBER(Q198),Q198&gt;0,AB198&gt;Q198),O198*Q198/100+(AB198-Q198),O198*AB198/100))</f>
        <v/>
      </c>
      <c r="Q198">
        <f>IF($AD198="","",INDEX('Per Line'!$AG$2:$AG$3001,$AD198))</f>
        <v/>
      </c>
      <c r="R198">
        <f>IF($AD198="","",IF(AND(ISNUMBER(Q198),Q198&gt;0),AB198&gt;Q198,FALSE))</f>
        <v/>
      </c>
      <c r="S198" s="7">
        <f>IF($AD198="","",SUMIFS('Per Line'!$AB$2:$AB$3001,'Per Line'!$E$2:$E$3001,$B198,'Per Line'!$AQ$2:$AQ$3001,1))</f>
        <v/>
      </c>
      <c r="T198">
        <f>IF($AD198="","",Settings!$C$7)</f>
        <v/>
      </c>
      <c r="U198" s="7">
        <f>IF($AD198="","",SUMIFS('Per Line'!$AB$2:$AB$3001,'Per Line'!$E$2:$E$3001,$B198,'Per Line'!$AP$2:$AP$3001,0,'Per Line'!$AQ$2:$AQ$3001,0))</f>
        <v/>
      </c>
      <c r="V198" s="7">
        <f>IF($AD198="","",U198*T198)</f>
        <v/>
      </c>
      <c r="W198">
        <f>IF($AD198="","",Settings!$C$6)</f>
        <v/>
      </c>
      <c r="X198" s="7">
        <f>IF($AD198="","",SUMIFS('Per Line'!$AB$2:$AB$3001,'Per Line'!$E$2:$E$3001,$B198,'Per Line'!$AP$2:$AP$3001,1,'Per Line'!$AQ$2:$AQ$3001,0))</f>
        <v/>
      </c>
      <c r="Y198" s="7">
        <f>IF($AD198="","",X198*W198)</f>
        <v/>
      </c>
      <c r="Z198" s="7">
        <f>IF($AD198="","",Y198+V198)</f>
        <v/>
      </c>
      <c r="AA198" s="7">
        <f>IF($AD198="","",AB198-Z198)</f>
        <v/>
      </c>
      <c r="AB198" s="7">
        <f>IF($AD198="","",U198+X198+S198)</f>
        <v/>
      </c>
      <c r="AC198" s="7">
        <f>IF($AD198="","",AB198-Z198-P198)</f>
        <v/>
      </c>
      <c r="AD198" s="13">
        <f>IF(ROWS($AD$2:$AD198)&lt;=MAX('Per Line'!$AO$2:$AO$3001),MATCH(ROWS($AD$2:$AD198),'Per Line'!$AO$2:$AO$3001,0),"")</f>
        <v/>
      </c>
      <c r="AE198" s="14">
        <f>IF($AD198="","",P198-O198*AB198/100)</f>
        <v/>
      </c>
    </row>
    <row r="199">
      <c r="A199" s="12" t="n"/>
      <c r="B199">
        <f>IF($AD199="","",INDEX('Per Line'!$E$2:$E$3001,$AD199)&amp;"")</f>
        <v/>
      </c>
      <c r="C199">
        <f>IF($AD199="","",INDEX('Per Line'!$A$2:$A$3001,$AD199)&amp;"")</f>
        <v/>
      </c>
      <c r="D199">
        <f>IF($AD199="","",INDEX('Per Line'!$C$2:$C$3001,$AD199)&amp;"")</f>
        <v/>
      </c>
      <c r="E199">
        <f>IF($AD199="","",INDEX('Per Line'!$B$2:$B$3001,$AD199))</f>
        <v/>
      </c>
      <c r="F199">
        <f>IF($AD199="","",INDEX('Per Line'!$D$2:$D$3001,$AD199)&amp;"")</f>
        <v/>
      </c>
      <c r="G199" s="11">
        <f>IF($AD199="","",INDEX('Per Line'!$G$2:$G$3001,$AD199))</f>
        <v/>
      </c>
      <c r="H199">
        <f>IF($AD199="","",INDEX('Per Line'!$J$2:$J$3001,$AD199)&amp;"")</f>
        <v/>
      </c>
      <c r="I199">
        <f>IF($AD199="","",INDEX('Per Line'!$H$2:$H$3001,$AD199)&amp;"")</f>
        <v/>
      </c>
      <c r="J199">
        <f>IF($AD199="","",INDEX('Per Line'!$F$2:$F$3001,$AD199)&amp;"")</f>
        <v/>
      </c>
      <c r="K199">
        <f>IF($AD199="","",INDEX('Per Line'!$K$2:$K$3001,$AD199)&amp;"")</f>
        <v/>
      </c>
      <c r="L199">
        <f>IF($AD199="","",INDEX('Per Line'!$L$2:$L$3001,$AD199)&amp;"")</f>
        <v/>
      </c>
      <c r="M199">
        <f>IF($AD199="","",INDEX('Per Line'!$M$2:$M$3001,$AD199)&amp;"")</f>
        <v/>
      </c>
      <c r="N199">
        <f>IF($AD199="","",INDEX('Per Line'!$AC$2:$AC$3001,$AD199)&amp;"")</f>
        <v/>
      </c>
      <c r="O199">
        <f>IF($AD199="","",INDEX('Per Line'!$P$2:$P$3001,$AD199))</f>
        <v/>
      </c>
      <c r="P199" s="7">
        <f>IF($AD199="","",IF(AND(ISNUMBER(Q199),Q199&gt;0,AB199&gt;Q199),O199*Q199/100+(AB199-Q199),O199*AB199/100))</f>
        <v/>
      </c>
      <c r="Q199">
        <f>IF($AD199="","",INDEX('Per Line'!$AG$2:$AG$3001,$AD199))</f>
        <v/>
      </c>
      <c r="R199">
        <f>IF($AD199="","",IF(AND(ISNUMBER(Q199),Q199&gt;0),AB199&gt;Q199,FALSE))</f>
        <v/>
      </c>
      <c r="S199" s="7">
        <f>IF($AD199="","",SUMIFS('Per Line'!$AB$2:$AB$3001,'Per Line'!$E$2:$E$3001,$B199,'Per Line'!$AQ$2:$AQ$3001,1))</f>
        <v/>
      </c>
      <c r="T199">
        <f>IF($AD199="","",Settings!$C$7)</f>
        <v/>
      </c>
      <c r="U199" s="7">
        <f>IF($AD199="","",SUMIFS('Per Line'!$AB$2:$AB$3001,'Per Line'!$E$2:$E$3001,$B199,'Per Line'!$AP$2:$AP$3001,0,'Per Line'!$AQ$2:$AQ$3001,0))</f>
        <v/>
      </c>
      <c r="V199" s="7">
        <f>IF($AD199="","",U199*T199)</f>
        <v/>
      </c>
      <c r="W199">
        <f>IF($AD199="","",Settings!$C$6)</f>
        <v/>
      </c>
      <c r="X199" s="7">
        <f>IF($AD199="","",SUMIFS('Per Line'!$AB$2:$AB$3001,'Per Line'!$E$2:$E$3001,$B199,'Per Line'!$AP$2:$AP$3001,1,'Per Line'!$AQ$2:$AQ$3001,0))</f>
        <v/>
      </c>
      <c r="Y199" s="7">
        <f>IF($AD199="","",X199*W199)</f>
        <v/>
      </c>
      <c r="Z199" s="7">
        <f>IF($AD199="","",Y199+V199)</f>
        <v/>
      </c>
      <c r="AA199" s="7">
        <f>IF($AD199="","",AB199-Z199)</f>
        <v/>
      </c>
      <c r="AB199" s="7">
        <f>IF($AD199="","",U199+X199+S199)</f>
        <v/>
      </c>
      <c r="AC199" s="7">
        <f>IF($AD199="","",AB199-Z199-P199)</f>
        <v/>
      </c>
      <c r="AD199" s="13">
        <f>IF(ROWS($AD$2:$AD199)&lt;=MAX('Per Line'!$AO$2:$AO$3001),MATCH(ROWS($AD$2:$AD199),'Per Line'!$AO$2:$AO$3001,0),"")</f>
        <v/>
      </c>
      <c r="AE199" s="14">
        <f>IF($AD199="","",P199-O199*AB199/100)</f>
        <v/>
      </c>
    </row>
    <row r="200">
      <c r="A200" s="12" t="n"/>
      <c r="B200">
        <f>IF($AD200="","",INDEX('Per Line'!$E$2:$E$3001,$AD200)&amp;"")</f>
        <v/>
      </c>
      <c r="C200">
        <f>IF($AD200="","",INDEX('Per Line'!$A$2:$A$3001,$AD200)&amp;"")</f>
        <v/>
      </c>
      <c r="D200">
        <f>IF($AD200="","",INDEX('Per Line'!$C$2:$C$3001,$AD200)&amp;"")</f>
        <v/>
      </c>
      <c r="E200">
        <f>IF($AD200="","",INDEX('Per Line'!$B$2:$B$3001,$AD200))</f>
        <v/>
      </c>
      <c r="F200">
        <f>IF($AD200="","",INDEX('Per Line'!$D$2:$D$3001,$AD200)&amp;"")</f>
        <v/>
      </c>
      <c r="G200" s="11">
        <f>IF($AD200="","",INDEX('Per Line'!$G$2:$G$3001,$AD200))</f>
        <v/>
      </c>
      <c r="H200">
        <f>IF($AD200="","",INDEX('Per Line'!$J$2:$J$3001,$AD200)&amp;"")</f>
        <v/>
      </c>
      <c r="I200">
        <f>IF($AD200="","",INDEX('Per Line'!$H$2:$H$3001,$AD200)&amp;"")</f>
        <v/>
      </c>
      <c r="J200">
        <f>IF($AD200="","",INDEX('Per Line'!$F$2:$F$3001,$AD200)&amp;"")</f>
        <v/>
      </c>
      <c r="K200">
        <f>IF($AD200="","",INDEX('Per Line'!$K$2:$K$3001,$AD200)&amp;"")</f>
        <v/>
      </c>
      <c r="L200">
        <f>IF($AD200="","",INDEX('Per Line'!$L$2:$L$3001,$AD200)&amp;"")</f>
        <v/>
      </c>
      <c r="M200">
        <f>IF($AD200="","",INDEX('Per Line'!$M$2:$M$3001,$AD200)&amp;"")</f>
        <v/>
      </c>
      <c r="N200">
        <f>IF($AD200="","",INDEX('Per Line'!$AC$2:$AC$3001,$AD200)&amp;"")</f>
        <v/>
      </c>
      <c r="O200">
        <f>IF($AD200="","",INDEX('Per Line'!$P$2:$P$3001,$AD200))</f>
        <v/>
      </c>
      <c r="P200" s="7">
        <f>IF($AD200="","",IF(AND(ISNUMBER(Q200),Q200&gt;0,AB200&gt;Q200),O200*Q200/100+(AB200-Q200),O200*AB200/100))</f>
        <v/>
      </c>
      <c r="Q200">
        <f>IF($AD200="","",INDEX('Per Line'!$AG$2:$AG$3001,$AD200))</f>
        <v/>
      </c>
      <c r="R200">
        <f>IF($AD200="","",IF(AND(ISNUMBER(Q200),Q200&gt;0),AB200&gt;Q200,FALSE))</f>
        <v/>
      </c>
      <c r="S200" s="7">
        <f>IF($AD200="","",SUMIFS('Per Line'!$AB$2:$AB$3001,'Per Line'!$E$2:$E$3001,$B200,'Per Line'!$AQ$2:$AQ$3001,1))</f>
        <v/>
      </c>
      <c r="T200">
        <f>IF($AD200="","",Settings!$C$7)</f>
        <v/>
      </c>
      <c r="U200" s="7">
        <f>IF($AD200="","",SUMIFS('Per Line'!$AB$2:$AB$3001,'Per Line'!$E$2:$E$3001,$B200,'Per Line'!$AP$2:$AP$3001,0,'Per Line'!$AQ$2:$AQ$3001,0))</f>
        <v/>
      </c>
      <c r="V200" s="7">
        <f>IF($AD200="","",U200*T200)</f>
        <v/>
      </c>
      <c r="W200">
        <f>IF($AD200="","",Settings!$C$6)</f>
        <v/>
      </c>
      <c r="X200" s="7">
        <f>IF($AD200="","",SUMIFS('Per Line'!$AB$2:$AB$3001,'Per Line'!$E$2:$E$3001,$B200,'Per Line'!$AP$2:$AP$3001,1,'Per Line'!$AQ$2:$AQ$3001,0))</f>
        <v/>
      </c>
      <c r="Y200" s="7">
        <f>IF($AD200="","",X200*W200)</f>
        <v/>
      </c>
      <c r="Z200" s="7">
        <f>IF($AD200="","",Y200+V200)</f>
        <v/>
      </c>
      <c r="AA200" s="7">
        <f>IF($AD200="","",AB200-Z200)</f>
        <v/>
      </c>
      <c r="AB200" s="7">
        <f>IF($AD200="","",U200+X200+S200)</f>
        <v/>
      </c>
      <c r="AC200" s="7">
        <f>IF($AD200="","",AB200-Z200-P200)</f>
        <v/>
      </c>
      <c r="AD200" s="13">
        <f>IF(ROWS($AD$2:$AD200)&lt;=MAX('Per Line'!$AO$2:$AO$3001),MATCH(ROWS($AD$2:$AD200),'Per Line'!$AO$2:$AO$3001,0),"")</f>
        <v/>
      </c>
      <c r="AE200" s="14">
        <f>IF($AD200="","",P200-O200*AB200/100)</f>
        <v/>
      </c>
    </row>
    <row r="201">
      <c r="A201" s="12" t="n"/>
      <c r="B201">
        <f>IF($AD201="","",INDEX('Per Line'!$E$2:$E$3001,$AD201)&amp;"")</f>
        <v/>
      </c>
      <c r="C201">
        <f>IF($AD201="","",INDEX('Per Line'!$A$2:$A$3001,$AD201)&amp;"")</f>
        <v/>
      </c>
      <c r="D201">
        <f>IF($AD201="","",INDEX('Per Line'!$C$2:$C$3001,$AD201)&amp;"")</f>
        <v/>
      </c>
      <c r="E201">
        <f>IF($AD201="","",INDEX('Per Line'!$B$2:$B$3001,$AD201))</f>
        <v/>
      </c>
      <c r="F201">
        <f>IF($AD201="","",INDEX('Per Line'!$D$2:$D$3001,$AD201)&amp;"")</f>
        <v/>
      </c>
      <c r="G201" s="11">
        <f>IF($AD201="","",INDEX('Per Line'!$G$2:$G$3001,$AD201))</f>
        <v/>
      </c>
      <c r="H201">
        <f>IF($AD201="","",INDEX('Per Line'!$J$2:$J$3001,$AD201)&amp;"")</f>
        <v/>
      </c>
      <c r="I201">
        <f>IF($AD201="","",INDEX('Per Line'!$H$2:$H$3001,$AD201)&amp;"")</f>
        <v/>
      </c>
      <c r="J201">
        <f>IF($AD201="","",INDEX('Per Line'!$F$2:$F$3001,$AD201)&amp;"")</f>
        <v/>
      </c>
      <c r="K201">
        <f>IF($AD201="","",INDEX('Per Line'!$K$2:$K$3001,$AD201)&amp;"")</f>
        <v/>
      </c>
      <c r="L201">
        <f>IF($AD201="","",INDEX('Per Line'!$L$2:$L$3001,$AD201)&amp;"")</f>
        <v/>
      </c>
      <c r="M201">
        <f>IF($AD201="","",INDEX('Per Line'!$M$2:$M$3001,$AD201)&amp;"")</f>
        <v/>
      </c>
      <c r="N201">
        <f>IF($AD201="","",INDEX('Per Line'!$AC$2:$AC$3001,$AD201)&amp;"")</f>
        <v/>
      </c>
      <c r="O201">
        <f>IF($AD201="","",INDEX('Per Line'!$P$2:$P$3001,$AD201))</f>
        <v/>
      </c>
      <c r="P201" s="7">
        <f>IF($AD201="","",IF(AND(ISNUMBER(Q201),Q201&gt;0,AB201&gt;Q201),O201*Q201/100+(AB201-Q201),O201*AB201/100))</f>
        <v/>
      </c>
      <c r="Q201">
        <f>IF($AD201="","",INDEX('Per Line'!$AG$2:$AG$3001,$AD201))</f>
        <v/>
      </c>
      <c r="R201">
        <f>IF($AD201="","",IF(AND(ISNUMBER(Q201),Q201&gt;0),AB201&gt;Q201,FALSE))</f>
        <v/>
      </c>
      <c r="S201" s="7">
        <f>IF($AD201="","",SUMIFS('Per Line'!$AB$2:$AB$3001,'Per Line'!$E$2:$E$3001,$B201,'Per Line'!$AQ$2:$AQ$3001,1))</f>
        <v/>
      </c>
      <c r="T201">
        <f>IF($AD201="","",Settings!$C$7)</f>
        <v/>
      </c>
      <c r="U201" s="7">
        <f>IF($AD201="","",SUMIFS('Per Line'!$AB$2:$AB$3001,'Per Line'!$E$2:$E$3001,$B201,'Per Line'!$AP$2:$AP$3001,0,'Per Line'!$AQ$2:$AQ$3001,0))</f>
        <v/>
      </c>
      <c r="V201" s="7">
        <f>IF($AD201="","",U201*T201)</f>
        <v/>
      </c>
      <c r="W201">
        <f>IF($AD201="","",Settings!$C$6)</f>
        <v/>
      </c>
      <c r="X201" s="7">
        <f>IF($AD201="","",SUMIFS('Per Line'!$AB$2:$AB$3001,'Per Line'!$E$2:$E$3001,$B201,'Per Line'!$AP$2:$AP$3001,1,'Per Line'!$AQ$2:$AQ$3001,0))</f>
        <v/>
      </c>
      <c r="Y201" s="7">
        <f>IF($AD201="","",X201*W201)</f>
        <v/>
      </c>
      <c r="Z201" s="7">
        <f>IF($AD201="","",Y201+V201)</f>
        <v/>
      </c>
      <c r="AA201" s="7">
        <f>IF($AD201="","",AB201-Z201)</f>
        <v/>
      </c>
      <c r="AB201" s="7">
        <f>IF($AD201="","",U201+X201+S201)</f>
        <v/>
      </c>
      <c r="AC201" s="7">
        <f>IF($AD201="","",AB201-Z201-P201)</f>
        <v/>
      </c>
      <c r="AD201" s="13">
        <f>IF(ROWS($AD$2:$AD201)&lt;=MAX('Per Line'!$AO$2:$AO$3001),MATCH(ROWS($AD$2:$AD201),'Per Line'!$AO$2:$AO$3001,0),"")</f>
        <v/>
      </c>
      <c r="AE201" s="14">
        <f>IF($AD201="","",P201-O201*AB201/100)</f>
        <v/>
      </c>
    </row>
    <row r="202">
      <c r="A202" s="12" t="n"/>
      <c r="B202">
        <f>IF($AD202="","",INDEX('Per Line'!$E$2:$E$3001,$AD202)&amp;"")</f>
        <v/>
      </c>
      <c r="C202">
        <f>IF($AD202="","",INDEX('Per Line'!$A$2:$A$3001,$AD202)&amp;"")</f>
        <v/>
      </c>
      <c r="D202">
        <f>IF($AD202="","",INDEX('Per Line'!$C$2:$C$3001,$AD202)&amp;"")</f>
        <v/>
      </c>
      <c r="E202">
        <f>IF($AD202="","",INDEX('Per Line'!$B$2:$B$3001,$AD202))</f>
        <v/>
      </c>
      <c r="F202">
        <f>IF($AD202="","",INDEX('Per Line'!$D$2:$D$3001,$AD202)&amp;"")</f>
        <v/>
      </c>
      <c r="G202" s="11">
        <f>IF($AD202="","",INDEX('Per Line'!$G$2:$G$3001,$AD202))</f>
        <v/>
      </c>
      <c r="H202">
        <f>IF($AD202="","",INDEX('Per Line'!$J$2:$J$3001,$AD202)&amp;"")</f>
        <v/>
      </c>
      <c r="I202">
        <f>IF($AD202="","",INDEX('Per Line'!$H$2:$H$3001,$AD202)&amp;"")</f>
        <v/>
      </c>
      <c r="J202">
        <f>IF($AD202="","",INDEX('Per Line'!$F$2:$F$3001,$AD202)&amp;"")</f>
        <v/>
      </c>
      <c r="K202">
        <f>IF($AD202="","",INDEX('Per Line'!$K$2:$K$3001,$AD202)&amp;"")</f>
        <v/>
      </c>
      <c r="L202">
        <f>IF($AD202="","",INDEX('Per Line'!$L$2:$L$3001,$AD202)&amp;"")</f>
        <v/>
      </c>
      <c r="M202">
        <f>IF($AD202="","",INDEX('Per Line'!$M$2:$M$3001,$AD202)&amp;"")</f>
        <v/>
      </c>
      <c r="N202">
        <f>IF($AD202="","",INDEX('Per Line'!$AC$2:$AC$3001,$AD202)&amp;"")</f>
        <v/>
      </c>
      <c r="O202">
        <f>IF($AD202="","",INDEX('Per Line'!$P$2:$P$3001,$AD202))</f>
        <v/>
      </c>
      <c r="P202" s="7">
        <f>IF($AD202="","",IF(AND(ISNUMBER(Q202),Q202&gt;0,AB202&gt;Q202),O202*Q202/100+(AB202-Q202),O202*AB202/100))</f>
        <v/>
      </c>
      <c r="Q202">
        <f>IF($AD202="","",INDEX('Per Line'!$AG$2:$AG$3001,$AD202))</f>
        <v/>
      </c>
      <c r="R202">
        <f>IF($AD202="","",IF(AND(ISNUMBER(Q202),Q202&gt;0),AB202&gt;Q202,FALSE))</f>
        <v/>
      </c>
      <c r="S202" s="7">
        <f>IF($AD202="","",SUMIFS('Per Line'!$AB$2:$AB$3001,'Per Line'!$E$2:$E$3001,$B202,'Per Line'!$AQ$2:$AQ$3001,1))</f>
        <v/>
      </c>
      <c r="T202">
        <f>IF($AD202="","",Settings!$C$7)</f>
        <v/>
      </c>
      <c r="U202" s="7">
        <f>IF($AD202="","",SUMIFS('Per Line'!$AB$2:$AB$3001,'Per Line'!$E$2:$E$3001,$B202,'Per Line'!$AP$2:$AP$3001,0,'Per Line'!$AQ$2:$AQ$3001,0))</f>
        <v/>
      </c>
      <c r="V202" s="7">
        <f>IF($AD202="","",U202*T202)</f>
        <v/>
      </c>
      <c r="W202">
        <f>IF($AD202="","",Settings!$C$6)</f>
        <v/>
      </c>
      <c r="X202" s="7">
        <f>IF($AD202="","",SUMIFS('Per Line'!$AB$2:$AB$3001,'Per Line'!$E$2:$E$3001,$B202,'Per Line'!$AP$2:$AP$3001,1,'Per Line'!$AQ$2:$AQ$3001,0))</f>
        <v/>
      </c>
      <c r="Y202" s="7">
        <f>IF($AD202="","",X202*W202)</f>
        <v/>
      </c>
      <c r="Z202" s="7">
        <f>IF($AD202="","",Y202+V202)</f>
        <v/>
      </c>
      <c r="AA202" s="7">
        <f>IF($AD202="","",AB202-Z202)</f>
        <v/>
      </c>
      <c r="AB202" s="7">
        <f>IF($AD202="","",U202+X202+S202)</f>
        <v/>
      </c>
      <c r="AC202" s="7">
        <f>IF($AD202="","",AB202-Z202-P202)</f>
        <v/>
      </c>
      <c r="AD202" s="13">
        <f>IF(ROWS($AD$2:$AD202)&lt;=MAX('Per Line'!$AO$2:$AO$3001),MATCH(ROWS($AD$2:$AD202),'Per Line'!$AO$2:$AO$3001,0),"")</f>
        <v/>
      </c>
      <c r="AE202" s="14">
        <f>IF($AD202="","",P202-O202*AB202/100)</f>
        <v/>
      </c>
    </row>
    <row r="203">
      <c r="A203" s="12" t="n"/>
      <c r="B203">
        <f>IF($AD203="","",INDEX('Per Line'!$E$2:$E$3001,$AD203)&amp;"")</f>
        <v/>
      </c>
      <c r="C203">
        <f>IF($AD203="","",INDEX('Per Line'!$A$2:$A$3001,$AD203)&amp;"")</f>
        <v/>
      </c>
      <c r="D203">
        <f>IF($AD203="","",INDEX('Per Line'!$C$2:$C$3001,$AD203)&amp;"")</f>
        <v/>
      </c>
      <c r="E203">
        <f>IF($AD203="","",INDEX('Per Line'!$B$2:$B$3001,$AD203))</f>
        <v/>
      </c>
      <c r="F203">
        <f>IF($AD203="","",INDEX('Per Line'!$D$2:$D$3001,$AD203)&amp;"")</f>
        <v/>
      </c>
      <c r="G203" s="11">
        <f>IF($AD203="","",INDEX('Per Line'!$G$2:$G$3001,$AD203))</f>
        <v/>
      </c>
      <c r="H203">
        <f>IF($AD203="","",INDEX('Per Line'!$J$2:$J$3001,$AD203)&amp;"")</f>
        <v/>
      </c>
      <c r="I203">
        <f>IF($AD203="","",INDEX('Per Line'!$H$2:$H$3001,$AD203)&amp;"")</f>
        <v/>
      </c>
      <c r="J203">
        <f>IF($AD203="","",INDEX('Per Line'!$F$2:$F$3001,$AD203)&amp;"")</f>
        <v/>
      </c>
      <c r="K203">
        <f>IF($AD203="","",INDEX('Per Line'!$K$2:$K$3001,$AD203)&amp;"")</f>
        <v/>
      </c>
      <c r="L203">
        <f>IF($AD203="","",INDEX('Per Line'!$L$2:$L$3001,$AD203)&amp;"")</f>
        <v/>
      </c>
      <c r="M203">
        <f>IF($AD203="","",INDEX('Per Line'!$M$2:$M$3001,$AD203)&amp;"")</f>
        <v/>
      </c>
      <c r="N203">
        <f>IF($AD203="","",INDEX('Per Line'!$AC$2:$AC$3001,$AD203)&amp;"")</f>
        <v/>
      </c>
      <c r="O203">
        <f>IF($AD203="","",INDEX('Per Line'!$P$2:$P$3001,$AD203))</f>
        <v/>
      </c>
      <c r="P203" s="7">
        <f>IF($AD203="","",IF(AND(ISNUMBER(Q203),Q203&gt;0,AB203&gt;Q203),O203*Q203/100+(AB203-Q203),O203*AB203/100))</f>
        <v/>
      </c>
      <c r="Q203">
        <f>IF($AD203="","",INDEX('Per Line'!$AG$2:$AG$3001,$AD203))</f>
        <v/>
      </c>
      <c r="R203">
        <f>IF($AD203="","",IF(AND(ISNUMBER(Q203),Q203&gt;0),AB203&gt;Q203,FALSE))</f>
        <v/>
      </c>
      <c r="S203" s="7">
        <f>IF($AD203="","",SUMIFS('Per Line'!$AB$2:$AB$3001,'Per Line'!$E$2:$E$3001,$B203,'Per Line'!$AQ$2:$AQ$3001,1))</f>
        <v/>
      </c>
      <c r="T203">
        <f>IF($AD203="","",Settings!$C$7)</f>
        <v/>
      </c>
      <c r="U203" s="7">
        <f>IF($AD203="","",SUMIFS('Per Line'!$AB$2:$AB$3001,'Per Line'!$E$2:$E$3001,$B203,'Per Line'!$AP$2:$AP$3001,0,'Per Line'!$AQ$2:$AQ$3001,0))</f>
        <v/>
      </c>
      <c r="V203" s="7">
        <f>IF($AD203="","",U203*T203)</f>
        <v/>
      </c>
      <c r="W203">
        <f>IF($AD203="","",Settings!$C$6)</f>
        <v/>
      </c>
      <c r="X203" s="7">
        <f>IF($AD203="","",SUMIFS('Per Line'!$AB$2:$AB$3001,'Per Line'!$E$2:$E$3001,$B203,'Per Line'!$AP$2:$AP$3001,1,'Per Line'!$AQ$2:$AQ$3001,0))</f>
        <v/>
      </c>
      <c r="Y203" s="7">
        <f>IF($AD203="","",X203*W203)</f>
        <v/>
      </c>
      <c r="Z203" s="7">
        <f>IF($AD203="","",Y203+V203)</f>
        <v/>
      </c>
      <c r="AA203" s="7">
        <f>IF($AD203="","",AB203-Z203)</f>
        <v/>
      </c>
      <c r="AB203" s="7">
        <f>IF($AD203="","",U203+X203+S203)</f>
        <v/>
      </c>
      <c r="AC203" s="7">
        <f>IF($AD203="","",AB203-Z203-P203)</f>
        <v/>
      </c>
      <c r="AD203" s="13">
        <f>IF(ROWS($AD$2:$AD203)&lt;=MAX('Per Line'!$AO$2:$AO$3001),MATCH(ROWS($AD$2:$AD203),'Per Line'!$AO$2:$AO$3001,0),"")</f>
        <v/>
      </c>
      <c r="AE203" s="14">
        <f>IF($AD203="","",P203-O203*AB203/100)</f>
        <v/>
      </c>
    </row>
    <row r="204">
      <c r="A204" s="12" t="n"/>
      <c r="B204">
        <f>IF($AD204="","",INDEX('Per Line'!$E$2:$E$3001,$AD204)&amp;"")</f>
        <v/>
      </c>
      <c r="C204">
        <f>IF($AD204="","",INDEX('Per Line'!$A$2:$A$3001,$AD204)&amp;"")</f>
        <v/>
      </c>
      <c r="D204">
        <f>IF($AD204="","",INDEX('Per Line'!$C$2:$C$3001,$AD204)&amp;"")</f>
        <v/>
      </c>
      <c r="E204">
        <f>IF($AD204="","",INDEX('Per Line'!$B$2:$B$3001,$AD204))</f>
        <v/>
      </c>
      <c r="F204">
        <f>IF($AD204="","",INDEX('Per Line'!$D$2:$D$3001,$AD204)&amp;"")</f>
        <v/>
      </c>
      <c r="G204" s="11">
        <f>IF($AD204="","",INDEX('Per Line'!$G$2:$G$3001,$AD204))</f>
        <v/>
      </c>
      <c r="H204">
        <f>IF($AD204="","",INDEX('Per Line'!$J$2:$J$3001,$AD204)&amp;"")</f>
        <v/>
      </c>
      <c r="I204">
        <f>IF($AD204="","",INDEX('Per Line'!$H$2:$H$3001,$AD204)&amp;"")</f>
        <v/>
      </c>
      <c r="J204">
        <f>IF($AD204="","",INDEX('Per Line'!$F$2:$F$3001,$AD204)&amp;"")</f>
        <v/>
      </c>
      <c r="K204">
        <f>IF($AD204="","",INDEX('Per Line'!$K$2:$K$3001,$AD204)&amp;"")</f>
        <v/>
      </c>
      <c r="L204">
        <f>IF($AD204="","",INDEX('Per Line'!$L$2:$L$3001,$AD204)&amp;"")</f>
        <v/>
      </c>
      <c r="M204">
        <f>IF($AD204="","",INDEX('Per Line'!$M$2:$M$3001,$AD204)&amp;"")</f>
        <v/>
      </c>
      <c r="N204">
        <f>IF($AD204="","",INDEX('Per Line'!$AC$2:$AC$3001,$AD204)&amp;"")</f>
        <v/>
      </c>
      <c r="O204">
        <f>IF($AD204="","",INDEX('Per Line'!$P$2:$P$3001,$AD204))</f>
        <v/>
      </c>
      <c r="P204" s="7">
        <f>IF($AD204="","",IF(AND(ISNUMBER(Q204),Q204&gt;0,AB204&gt;Q204),O204*Q204/100+(AB204-Q204),O204*AB204/100))</f>
        <v/>
      </c>
      <c r="Q204">
        <f>IF($AD204="","",INDEX('Per Line'!$AG$2:$AG$3001,$AD204))</f>
        <v/>
      </c>
      <c r="R204">
        <f>IF($AD204="","",IF(AND(ISNUMBER(Q204),Q204&gt;0),AB204&gt;Q204,FALSE))</f>
        <v/>
      </c>
      <c r="S204" s="7">
        <f>IF($AD204="","",SUMIFS('Per Line'!$AB$2:$AB$3001,'Per Line'!$E$2:$E$3001,$B204,'Per Line'!$AQ$2:$AQ$3001,1))</f>
        <v/>
      </c>
      <c r="T204">
        <f>IF($AD204="","",Settings!$C$7)</f>
        <v/>
      </c>
      <c r="U204" s="7">
        <f>IF($AD204="","",SUMIFS('Per Line'!$AB$2:$AB$3001,'Per Line'!$E$2:$E$3001,$B204,'Per Line'!$AP$2:$AP$3001,0,'Per Line'!$AQ$2:$AQ$3001,0))</f>
        <v/>
      </c>
      <c r="V204" s="7">
        <f>IF($AD204="","",U204*T204)</f>
        <v/>
      </c>
      <c r="W204">
        <f>IF($AD204="","",Settings!$C$6)</f>
        <v/>
      </c>
      <c r="X204" s="7">
        <f>IF($AD204="","",SUMIFS('Per Line'!$AB$2:$AB$3001,'Per Line'!$E$2:$E$3001,$B204,'Per Line'!$AP$2:$AP$3001,1,'Per Line'!$AQ$2:$AQ$3001,0))</f>
        <v/>
      </c>
      <c r="Y204" s="7">
        <f>IF($AD204="","",X204*W204)</f>
        <v/>
      </c>
      <c r="Z204" s="7">
        <f>IF($AD204="","",Y204+V204)</f>
        <v/>
      </c>
      <c r="AA204" s="7">
        <f>IF($AD204="","",AB204-Z204)</f>
        <v/>
      </c>
      <c r="AB204" s="7">
        <f>IF($AD204="","",U204+X204+S204)</f>
        <v/>
      </c>
      <c r="AC204" s="7">
        <f>IF($AD204="","",AB204-Z204-P204)</f>
        <v/>
      </c>
      <c r="AD204" s="13">
        <f>IF(ROWS($AD$2:$AD204)&lt;=MAX('Per Line'!$AO$2:$AO$3001),MATCH(ROWS($AD$2:$AD204),'Per Line'!$AO$2:$AO$3001,0),"")</f>
        <v/>
      </c>
      <c r="AE204" s="14">
        <f>IF($AD204="","",P204-O204*AB204/100)</f>
        <v/>
      </c>
    </row>
    <row r="205">
      <c r="A205" s="12" t="n"/>
      <c r="B205">
        <f>IF($AD205="","",INDEX('Per Line'!$E$2:$E$3001,$AD205)&amp;"")</f>
        <v/>
      </c>
      <c r="C205">
        <f>IF($AD205="","",INDEX('Per Line'!$A$2:$A$3001,$AD205)&amp;"")</f>
        <v/>
      </c>
      <c r="D205">
        <f>IF($AD205="","",INDEX('Per Line'!$C$2:$C$3001,$AD205)&amp;"")</f>
        <v/>
      </c>
      <c r="E205">
        <f>IF($AD205="","",INDEX('Per Line'!$B$2:$B$3001,$AD205))</f>
        <v/>
      </c>
      <c r="F205">
        <f>IF($AD205="","",INDEX('Per Line'!$D$2:$D$3001,$AD205)&amp;"")</f>
        <v/>
      </c>
      <c r="G205" s="11">
        <f>IF($AD205="","",INDEX('Per Line'!$G$2:$G$3001,$AD205))</f>
        <v/>
      </c>
      <c r="H205">
        <f>IF($AD205="","",INDEX('Per Line'!$J$2:$J$3001,$AD205)&amp;"")</f>
        <v/>
      </c>
      <c r="I205">
        <f>IF($AD205="","",INDEX('Per Line'!$H$2:$H$3001,$AD205)&amp;"")</f>
        <v/>
      </c>
      <c r="J205">
        <f>IF($AD205="","",INDEX('Per Line'!$F$2:$F$3001,$AD205)&amp;"")</f>
        <v/>
      </c>
      <c r="K205">
        <f>IF($AD205="","",INDEX('Per Line'!$K$2:$K$3001,$AD205)&amp;"")</f>
        <v/>
      </c>
      <c r="L205">
        <f>IF($AD205="","",INDEX('Per Line'!$L$2:$L$3001,$AD205)&amp;"")</f>
        <v/>
      </c>
      <c r="M205">
        <f>IF($AD205="","",INDEX('Per Line'!$M$2:$M$3001,$AD205)&amp;"")</f>
        <v/>
      </c>
      <c r="N205">
        <f>IF($AD205="","",INDEX('Per Line'!$AC$2:$AC$3001,$AD205)&amp;"")</f>
        <v/>
      </c>
      <c r="O205">
        <f>IF($AD205="","",INDEX('Per Line'!$P$2:$P$3001,$AD205))</f>
        <v/>
      </c>
      <c r="P205" s="7">
        <f>IF($AD205="","",IF(AND(ISNUMBER(Q205),Q205&gt;0,AB205&gt;Q205),O205*Q205/100+(AB205-Q205),O205*AB205/100))</f>
        <v/>
      </c>
      <c r="Q205">
        <f>IF($AD205="","",INDEX('Per Line'!$AG$2:$AG$3001,$AD205))</f>
        <v/>
      </c>
      <c r="R205">
        <f>IF($AD205="","",IF(AND(ISNUMBER(Q205),Q205&gt;0),AB205&gt;Q205,FALSE))</f>
        <v/>
      </c>
      <c r="S205" s="7">
        <f>IF($AD205="","",SUMIFS('Per Line'!$AB$2:$AB$3001,'Per Line'!$E$2:$E$3001,$B205,'Per Line'!$AQ$2:$AQ$3001,1))</f>
        <v/>
      </c>
      <c r="T205">
        <f>IF($AD205="","",Settings!$C$7)</f>
        <v/>
      </c>
      <c r="U205" s="7">
        <f>IF($AD205="","",SUMIFS('Per Line'!$AB$2:$AB$3001,'Per Line'!$E$2:$E$3001,$B205,'Per Line'!$AP$2:$AP$3001,0,'Per Line'!$AQ$2:$AQ$3001,0))</f>
        <v/>
      </c>
      <c r="V205" s="7">
        <f>IF($AD205="","",U205*T205)</f>
        <v/>
      </c>
      <c r="W205">
        <f>IF($AD205="","",Settings!$C$6)</f>
        <v/>
      </c>
      <c r="X205" s="7">
        <f>IF($AD205="","",SUMIFS('Per Line'!$AB$2:$AB$3001,'Per Line'!$E$2:$E$3001,$B205,'Per Line'!$AP$2:$AP$3001,1,'Per Line'!$AQ$2:$AQ$3001,0))</f>
        <v/>
      </c>
      <c r="Y205" s="7">
        <f>IF($AD205="","",X205*W205)</f>
        <v/>
      </c>
      <c r="Z205" s="7">
        <f>IF($AD205="","",Y205+V205)</f>
        <v/>
      </c>
      <c r="AA205" s="7">
        <f>IF($AD205="","",AB205-Z205)</f>
        <v/>
      </c>
      <c r="AB205" s="7">
        <f>IF($AD205="","",U205+X205+S205)</f>
        <v/>
      </c>
      <c r="AC205" s="7">
        <f>IF($AD205="","",AB205-Z205-P205)</f>
        <v/>
      </c>
      <c r="AD205" s="13">
        <f>IF(ROWS($AD$2:$AD205)&lt;=MAX('Per Line'!$AO$2:$AO$3001),MATCH(ROWS($AD$2:$AD205),'Per Line'!$AO$2:$AO$3001,0),"")</f>
        <v/>
      </c>
      <c r="AE205" s="14">
        <f>IF($AD205="","",P205-O205*AB205/100)</f>
        <v/>
      </c>
    </row>
    <row r="206">
      <c r="A206" s="12" t="n"/>
      <c r="B206">
        <f>IF($AD206="","",INDEX('Per Line'!$E$2:$E$3001,$AD206)&amp;"")</f>
        <v/>
      </c>
      <c r="C206">
        <f>IF($AD206="","",INDEX('Per Line'!$A$2:$A$3001,$AD206)&amp;"")</f>
        <v/>
      </c>
      <c r="D206">
        <f>IF($AD206="","",INDEX('Per Line'!$C$2:$C$3001,$AD206)&amp;"")</f>
        <v/>
      </c>
      <c r="E206">
        <f>IF($AD206="","",INDEX('Per Line'!$B$2:$B$3001,$AD206))</f>
        <v/>
      </c>
      <c r="F206">
        <f>IF($AD206="","",INDEX('Per Line'!$D$2:$D$3001,$AD206)&amp;"")</f>
        <v/>
      </c>
      <c r="G206" s="11">
        <f>IF($AD206="","",INDEX('Per Line'!$G$2:$G$3001,$AD206))</f>
        <v/>
      </c>
      <c r="H206">
        <f>IF($AD206="","",INDEX('Per Line'!$J$2:$J$3001,$AD206)&amp;"")</f>
        <v/>
      </c>
      <c r="I206">
        <f>IF($AD206="","",INDEX('Per Line'!$H$2:$H$3001,$AD206)&amp;"")</f>
        <v/>
      </c>
      <c r="J206">
        <f>IF($AD206="","",INDEX('Per Line'!$F$2:$F$3001,$AD206)&amp;"")</f>
        <v/>
      </c>
      <c r="K206">
        <f>IF($AD206="","",INDEX('Per Line'!$K$2:$K$3001,$AD206)&amp;"")</f>
        <v/>
      </c>
      <c r="L206">
        <f>IF($AD206="","",INDEX('Per Line'!$L$2:$L$3001,$AD206)&amp;"")</f>
        <v/>
      </c>
      <c r="M206">
        <f>IF($AD206="","",INDEX('Per Line'!$M$2:$M$3001,$AD206)&amp;"")</f>
        <v/>
      </c>
      <c r="N206">
        <f>IF($AD206="","",INDEX('Per Line'!$AC$2:$AC$3001,$AD206)&amp;"")</f>
        <v/>
      </c>
      <c r="O206">
        <f>IF($AD206="","",INDEX('Per Line'!$P$2:$P$3001,$AD206))</f>
        <v/>
      </c>
      <c r="P206" s="7">
        <f>IF($AD206="","",IF(AND(ISNUMBER(Q206),Q206&gt;0,AB206&gt;Q206),O206*Q206/100+(AB206-Q206),O206*AB206/100))</f>
        <v/>
      </c>
      <c r="Q206">
        <f>IF($AD206="","",INDEX('Per Line'!$AG$2:$AG$3001,$AD206))</f>
        <v/>
      </c>
      <c r="R206">
        <f>IF($AD206="","",IF(AND(ISNUMBER(Q206),Q206&gt;0),AB206&gt;Q206,FALSE))</f>
        <v/>
      </c>
      <c r="S206" s="7">
        <f>IF($AD206="","",SUMIFS('Per Line'!$AB$2:$AB$3001,'Per Line'!$E$2:$E$3001,$B206,'Per Line'!$AQ$2:$AQ$3001,1))</f>
        <v/>
      </c>
      <c r="T206">
        <f>IF($AD206="","",Settings!$C$7)</f>
        <v/>
      </c>
      <c r="U206" s="7">
        <f>IF($AD206="","",SUMIFS('Per Line'!$AB$2:$AB$3001,'Per Line'!$E$2:$E$3001,$B206,'Per Line'!$AP$2:$AP$3001,0,'Per Line'!$AQ$2:$AQ$3001,0))</f>
        <v/>
      </c>
      <c r="V206" s="7">
        <f>IF($AD206="","",U206*T206)</f>
        <v/>
      </c>
      <c r="W206">
        <f>IF($AD206="","",Settings!$C$6)</f>
        <v/>
      </c>
      <c r="X206" s="7">
        <f>IF($AD206="","",SUMIFS('Per Line'!$AB$2:$AB$3001,'Per Line'!$E$2:$E$3001,$B206,'Per Line'!$AP$2:$AP$3001,1,'Per Line'!$AQ$2:$AQ$3001,0))</f>
        <v/>
      </c>
      <c r="Y206" s="7">
        <f>IF($AD206="","",X206*W206)</f>
        <v/>
      </c>
      <c r="Z206" s="7">
        <f>IF($AD206="","",Y206+V206)</f>
        <v/>
      </c>
      <c r="AA206" s="7">
        <f>IF($AD206="","",AB206-Z206)</f>
        <v/>
      </c>
      <c r="AB206" s="7">
        <f>IF($AD206="","",U206+X206+S206)</f>
        <v/>
      </c>
      <c r="AC206" s="7">
        <f>IF($AD206="","",AB206-Z206-P206)</f>
        <v/>
      </c>
      <c r="AD206" s="13">
        <f>IF(ROWS($AD$2:$AD206)&lt;=MAX('Per Line'!$AO$2:$AO$3001),MATCH(ROWS($AD$2:$AD206),'Per Line'!$AO$2:$AO$3001,0),"")</f>
        <v/>
      </c>
      <c r="AE206" s="14">
        <f>IF($AD206="","",P206-O206*AB206/100)</f>
        <v/>
      </c>
    </row>
    <row r="207">
      <c r="A207" s="12" t="n"/>
      <c r="B207">
        <f>IF($AD207="","",INDEX('Per Line'!$E$2:$E$3001,$AD207)&amp;"")</f>
        <v/>
      </c>
      <c r="C207">
        <f>IF($AD207="","",INDEX('Per Line'!$A$2:$A$3001,$AD207)&amp;"")</f>
        <v/>
      </c>
      <c r="D207">
        <f>IF($AD207="","",INDEX('Per Line'!$C$2:$C$3001,$AD207)&amp;"")</f>
        <v/>
      </c>
      <c r="E207">
        <f>IF($AD207="","",INDEX('Per Line'!$B$2:$B$3001,$AD207))</f>
        <v/>
      </c>
      <c r="F207">
        <f>IF($AD207="","",INDEX('Per Line'!$D$2:$D$3001,$AD207)&amp;"")</f>
        <v/>
      </c>
      <c r="G207" s="11">
        <f>IF($AD207="","",INDEX('Per Line'!$G$2:$G$3001,$AD207))</f>
        <v/>
      </c>
      <c r="H207">
        <f>IF($AD207="","",INDEX('Per Line'!$J$2:$J$3001,$AD207)&amp;"")</f>
        <v/>
      </c>
      <c r="I207">
        <f>IF($AD207="","",INDEX('Per Line'!$H$2:$H$3001,$AD207)&amp;"")</f>
        <v/>
      </c>
      <c r="J207">
        <f>IF($AD207="","",INDEX('Per Line'!$F$2:$F$3001,$AD207)&amp;"")</f>
        <v/>
      </c>
      <c r="K207">
        <f>IF($AD207="","",INDEX('Per Line'!$K$2:$K$3001,$AD207)&amp;"")</f>
        <v/>
      </c>
      <c r="L207">
        <f>IF($AD207="","",INDEX('Per Line'!$L$2:$L$3001,$AD207)&amp;"")</f>
        <v/>
      </c>
      <c r="M207">
        <f>IF($AD207="","",INDEX('Per Line'!$M$2:$M$3001,$AD207)&amp;"")</f>
        <v/>
      </c>
      <c r="N207">
        <f>IF($AD207="","",INDEX('Per Line'!$AC$2:$AC$3001,$AD207)&amp;"")</f>
        <v/>
      </c>
      <c r="O207">
        <f>IF($AD207="","",INDEX('Per Line'!$P$2:$P$3001,$AD207))</f>
        <v/>
      </c>
      <c r="P207" s="7">
        <f>IF($AD207="","",IF(AND(ISNUMBER(Q207),Q207&gt;0,AB207&gt;Q207),O207*Q207/100+(AB207-Q207),O207*AB207/100))</f>
        <v/>
      </c>
      <c r="Q207">
        <f>IF($AD207="","",INDEX('Per Line'!$AG$2:$AG$3001,$AD207))</f>
        <v/>
      </c>
      <c r="R207">
        <f>IF($AD207="","",IF(AND(ISNUMBER(Q207),Q207&gt;0),AB207&gt;Q207,FALSE))</f>
        <v/>
      </c>
      <c r="S207" s="7">
        <f>IF($AD207="","",SUMIFS('Per Line'!$AB$2:$AB$3001,'Per Line'!$E$2:$E$3001,$B207,'Per Line'!$AQ$2:$AQ$3001,1))</f>
        <v/>
      </c>
      <c r="T207">
        <f>IF($AD207="","",Settings!$C$7)</f>
        <v/>
      </c>
      <c r="U207" s="7">
        <f>IF($AD207="","",SUMIFS('Per Line'!$AB$2:$AB$3001,'Per Line'!$E$2:$E$3001,$B207,'Per Line'!$AP$2:$AP$3001,0,'Per Line'!$AQ$2:$AQ$3001,0))</f>
        <v/>
      </c>
      <c r="V207" s="7">
        <f>IF($AD207="","",U207*T207)</f>
        <v/>
      </c>
      <c r="W207">
        <f>IF($AD207="","",Settings!$C$6)</f>
        <v/>
      </c>
      <c r="X207" s="7">
        <f>IF($AD207="","",SUMIFS('Per Line'!$AB$2:$AB$3001,'Per Line'!$E$2:$E$3001,$B207,'Per Line'!$AP$2:$AP$3001,1,'Per Line'!$AQ$2:$AQ$3001,0))</f>
        <v/>
      </c>
      <c r="Y207" s="7">
        <f>IF($AD207="","",X207*W207)</f>
        <v/>
      </c>
      <c r="Z207" s="7">
        <f>IF($AD207="","",Y207+V207)</f>
        <v/>
      </c>
      <c r="AA207" s="7">
        <f>IF($AD207="","",AB207-Z207)</f>
        <v/>
      </c>
      <c r="AB207" s="7">
        <f>IF($AD207="","",U207+X207+S207)</f>
        <v/>
      </c>
      <c r="AC207" s="7">
        <f>IF($AD207="","",AB207-Z207-P207)</f>
        <v/>
      </c>
      <c r="AD207" s="13">
        <f>IF(ROWS($AD$2:$AD207)&lt;=MAX('Per Line'!$AO$2:$AO$3001),MATCH(ROWS($AD$2:$AD207),'Per Line'!$AO$2:$AO$3001,0),"")</f>
        <v/>
      </c>
      <c r="AE207" s="14">
        <f>IF($AD207="","",P207-O207*AB207/100)</f>
        <v/>
      </c>
    </row>
    <row r="208">
      <c r="A208" s="12" t="n"/>
      <c r="B208">
        <f>IF($AD208="","",INDEX('Per Line'!$E$2:$E$3001,$AD208)&amp;"")</f>
        <v/>
      </c>
      <c r="C208">
        <f>IF($AD208="","",INDEX('Per Line'!$A$2:$A$3001,$AD208)&amp;"")</f>
        <v/>
      </c>
      <c r="D208">
        <f>IF($AD208="","",INDEX('Per Line'!$C$2:$C$3001,$AD208)&amp;"")</f>
        <v/>
      </c>
      <c r="E208">
        <f>IF($AD208="","",INDEX('Per Line'!$B$2:$B$3001,$AD208))</f>
        <v/>
      </c>
      <c r="F208">
        <f>IF($AD208="","",INDEX('Per Line'!$D$2:$D$3001,$AD208)&amp;"")</f>
        <v/>
      </c>
      <c r="G208" s="11">
        <f>IF($AD208="","",INDEX('Per Line'!$G$2:$G$3001,$AD208))</f>
        <v/>
      </c>
      <c r="H208">
        <f>IF($AD208="","",INDEX('Per Line'!$J$2:$J$3001,$AD208)&amp;"")</f>
        <v/>
      </c>
      <c r="I208">
        <f>IF($AD208="","",INDEX('Per Line'!$H$2:$H$3001,$AD208)&amp;"")</f>
        <v/>
      </c>
      <c r="J208">
        <f>IF($AD208="","",INDEX('Per Line'!$F$2:$F$3001,$AD208)&amp;"")</f>
        <v/>
      </c>
      <c r="K208">
        <f>IF($AD208="","",INDEX('Per Line'!$K$2:$K$3001,$AD208)&amp;"")</f>
        <v/>
      </c>
      <c r="L208">
        <f>IF($AD208="","",INDEX('Per Line'!$L$2:$L$3001,$AD208)&amp;"")</f>
        <v/>
      </c>
      <c r="M208">
        <f>IF($AD208="","",INDEX('Per Line'!$M$2:$M$3001,$AD208)&amp;"")</f>
        <v/>
      </c>
      <c r="N208">
        <f>IF($AD208="","",INDEX('Per Line'!$AC$2:$AC$3001,$AD208)&amp;"")</f>
        <v/>
      </c>
      <c r="O208">
        <f>IF($AD208="","",INDEX('Per Line'!$P$2:$P$3001,$AD208))</f>
        <v/>
      </c>
      <c r="P208" s="7">
        <f>IF($AD208="","",IF(AND(ISNUMBER(Q208),Q208&gt;0,AB208&gt;Q208),O208*Q208/100+(AB208-Q208),O208*AB208/100))</f>
        <v/>
      </c>
      <c r="Q208">
        <f>IF($AD208="","",INDEX('Per Line'!$AG$2:$AG$3001,$AD208))</f>
        <v/>
      </c>
      <c r="R208">
        <f>IF($AD208="","",IF(AND(ISNUMBER(Q208),Q208&gt;0),AB208&gt;Q208,FALSE))</f>
        <v/>
      </c>
      <c r="S208" s="7">
        <f>IF($AD208="","",SUMIFS('Per Line'!$AB$2:$AB$3001,'Per Line'!$E$2:$E$3001,$B208,'Per Line'!$AQ$2:$AQ$3001,1))</f>
        <v/>
      </c>
      <c r="T208">
        <f>IF($AD208="","",Settings!$C$7)</f>
        <v/>
      </c>
      <c r="U208" s="7">
        <f>IF($AD208="","",SUMIFS('Per Line'!$AB$2:$AB$3001,'Per Line'!$E$2:$E$3001,$B208,'Per Line'!$AP$2:$AP$3001,0,'Per Line'!$AQ$2:$AQ$3001,0))</f>
        <v/>
      </c>
      <c r="V208" s="7">
        <f>IF($AD208="","",U208*T208)</f>
        <v/>
      </c>
      <c r="W208">
        <f>IF($AD208="","",Settings!$C$6)</f>
        <v/>
      </c>
      <c r="X208" s="7">
        <f>IF($AD208="","",SUMIFS('Per Line'!$AB$2:$AB$3001,'Per Line'!$E$2:$E$3001,$B208,'Per Line'!$AP$2:$AP$3001,1,'Per Line'!$AQ$2:$AQ$3001,0))</f>
        <v/>
      </c>
      <c r="Y208" s="7">
        <f>IF($AD208="","",X208*W208)</f>
        <v/>
      </c>
      <c r="Z208" s="7">
        <f>IF($AD208="","",Y208+V208)</f>
        <v/>
      </c>
      <c r="AA208" s="7">
        <f>IF($AD208="","",AB208-Z208)</f>
        <v/>
      </c>
      <c r="AB208" s="7">
        <f>IF($AD208="","",U208+X208+S208)</f>
        <v/>
      </c>
      <c r="AC208" s="7">
        <f>IF($AD208="","",AB208-Z208-P208)</f>
        <v/>
      </c>
      <c r="AD208" s="13">
        <f>IF(ROWS($AD$2:$AD208)&lt;=MAX('Per Line'!$AO$2:$AO$3001),MATCH(ROWS($AD$2:$AD208),'Per Line'!$AO$2:$AO$3001,0),"")</f>
        <v/>
      </c>
      <c r="AE208" s="14">
        <f>IF($AD208="","",P208-O208*AB208/100)</f>
        <v/>
      </c>
    </row>
    <row r="209">
      <c r="A209" s="12" t="n"/>
      <c r="B209">
        <f>IF($AD209="","",INDEX('Per Line'!$E$2:$E$3001,$AD209)&amp;"")</f>
        <v/>
      </c>
      <c r="C209">
        <f>IF($AD209="","",INDEX('Per Line'!$A$2:$A$3001,$AD209)&amp;"")</f>
        <v/>
      </c>
      <c r="D209">
        <f>IF($AD209="","",INDEX('Per Line'!$C$2:$C$3001,$AD209)&amp;"")</f>
        <v/>
      </c>
      <c r="E209">
        <f>IF($AD209="","",INDEX('Per Line'!$B$2:$B$3001,$AD209))</f>
        <v/>
      </c>
      <c r="F209">
        <f>IF($AD209="","",INDEX('Per Line'!$D$2:$D$3001,$AD209)&amp;"")</f>
        <v/>
      </c>
      <c r="G209" s="11">
        <f>IF($AD209="","",INDEX('Per Line'!$G$2:$G$3001,$AD209))</f>
        <v/>
      </c>
      <c r="H209">
        <f>IF($AD209="","",INDEX('Per Line'!$J$2:$J$3001,$AD209)&amp;"")</f>
        <v/>
      </c>
      <c r="I209">
        <f>IF($AD209="","",INDEX('Per Line'!$H$2:$H$3001,$AD209)&amp;"")</f>
        <v/>
      </c>
      <c r="J209">
        <f>IF($AD209="","",INDEX('Per Line'!$F$2:$F$3001,$AD209)&amp;"")</f>
        <v/>
      </c>
      <c r="K209">
        <f>IF($AD209="","",INDEX('Per Line'!$K$2:$K$3001,$AD209)&amp;"")</f>
        <v/>
      </c>
      <c r="L209">
        <f>IF($AD209="","",INDEX('Per Line'!$L$2:$L$3001,$AD209)&amp;"")</f>
        <v/>
      </c>
      <c r="M209">
        <f>IF($AD209="","",INDEX('Per Line'!$M$2:$M$3001,$AD209)&amp;"")</f>
        <v/>
      </c>
      <c r="N209">
        <f>IF($AD209="","",INDEX('Per Line'!$AC$2:$AC$3001,$AD209)&amp;"")</f>
        <v/>
      </c>
      <c r="O209">
        <f>IF($AD209="","",INDEX('Per Line'!$P$2:$P$3001,$AD209))</f>
        <v/>
      </c>
      <c r="P209" s="7">
        <f>IF($AD209="","",IF(AND(ISNUMBER(Q209),Q209&gt;0,AB209&gt;Q209),O209*Q209/100+(AB209-Q209),O209*AB209/100))</f>
        <v/>
      </c>
      <c r="Q209">
        <f>IF($AD209="","",INDEX('Per Line'!$AG$2:$AG$3001,$AD209))</f>
        <v/>
      </c>
      <c r="R209">
        <f>IF($AD209="","",IF(AND(ISNUMBER(Q209),Q209&gt;0),AB209&gt;Q209,FALSE))</f>
        <v/>
      </c>
      <c r="S209" s="7">
        <f>IF($AD209="","",SUMIFS('Per Line'!$AB$2:$AB$3001,'Per Line'!$E$2:$E$3001,$B209,'Per Line'!$AQ$2:$AQ$3001,1))</f>
        <v/>
      </c>
      <c r="T209">
        <f>IF($AD209="","",Settings!$C$7)</f>
        <v/>
      </c>
      <c r="U209" s="7">
        <f>IF($AD209="","",SUMIFS('Per Line'!$AB$2:$AB$3001,'Per Line'!$E$2:$E$3001,$B209,'Per Line'!$AP$2:$AP$3001,0,'Per Line'!$AQ$2:$AQ$3001,0))</f>
        <v/>
      </c>
      <c r="V209" s="7">
        <f>IF($AD209="","",U209*T209)</f>
        <v/>
      </c>
      <c r="W209">
        <f>IF($AD209="","",Settings!$C$6)</f>
        <v/>
      </c>
      <c r="X209" s="7">
        <f>IF($AD209="","",SUMIFS('Per Line'!$AB$2:$AB$3001,'Per Line'!$E$2:$E$3001,$B209,'Per Line'!$AP$2:$AP$3001,1,'Per Line'!$AQ$2:$AQ$3001,0))</f>
        <v/>
      </c>
      <c r="Y209" s="7">
        <f>IF($AD209="","",X209*W209)</f>
        <v/>
      </c>
      <c r="Z209" s="7">
        <f>IF($AD209="","",Y209+V209)</f>
        <v/>
      </c>
      <c r="AA209" s="7">
        <f>IF($AD209="","",AB209-Z209)</f>
        <v/>
      </c>
      <c r="AB209" s="7">
        <f>IF($AD209="","",U209+X209+S209)</f>
        <v/>
      </c>
      <c r="AC209" s="7">
        <f>IF($AD209="","",AB209-Z209-P209)</f>
        <v/>
      </c>
      <c r="AD209" s="13">
        <f>IF(ROWS($AD$2:$AD209)&lt;=MAX('Per Line'!$AO$2:$AO$3001),MATCH(ROWS($AD$2:$AD209),'Per Line'!$AO$2:$AO$3001,0),"")</f>
        <v/>
      </c>
      <c r="AE209" s="14">
        <f>IF($AD209="","",P209-O209*AB209/100)</f>
        <v/>
      </c>
    </row>
    <row r="210">
      <c r="A210" s="12" t="n"/>
      <c r="B210">
        <f>IF($AD210="","",INDEX('Per Line'!$E$2:$E$3001,$AD210)&amp;"")</f>
        <v/>
      </c>
      <c r="C210">
        <f>IF($AD210="","",INDEX('Per Line'!$A$2:$A$3001,$AD210)&amp;"")</f>
        <v/>
      </c>
      <c r="D210">
        <f>IF($AD210="","",INDEX('Per Line'!$C$2:$C$3001,$AD210)&amp;"")</f>
        <v/>
      </c>
      <c r="E210">
        <f>IF($AD210="","",INDEX('Per Line'!$B$2:$B$3001,$AD210))</f>
        <v/>
      </c>
      <c r="F210">
        <f>IF($AD210="","",INDEX('Per Line'!$D$2:$D$3001,$AD210)&amp;"")</f>
        <v/>
      </c>
      <c r="G210" s="11">
        <f>IF($AD210="","",INDEX('Per Line'!$G$2:$G$3001,$AD210))</f>
        <v/>
      </c>
      <c r="H210">
        <f>IF($AD210="","",INDEX('Per Line'!$J$2:$J$3001,$AD210)&amp;"")</f>
        <v/>
      </c>
      <c r="I210">
        <f>IF($AD210="","",INDEX('Per Line'!$H$2:$H$3001,$AD210)&amp;"")</f>
        <v/>
      </c>
      <c r="J210">
        <f>IF($AD210="","",INDEX('Per Line'!$F$2:$F$3001,$AD210)&amp;"")</f>
        <v/>
      </c>
      <c r="K210">
        <f>IF($AD210="","",INDEX('Per Line'!$K$2:$K$3001,$AD210)&amp;"")</f>
        <v/>
      </c>
      <c r="L210">
        <f>IF($AD210="","",INDEX('Per Line'!$L$2:$L$3001,$AD210)&amp;"")</f>
        <v/>
      </c>
      <c r="M210">
        <f>IF($AD210="","",INDEX('Per Line'!$M$2:$M$3001,$AD210)&amp;"")</f>
        <v/>
      </c>
      <c r="N210">
        <f>IF($AD210="","",INDEX('Per Line'!$AC$2:$AC$3001,$AD210)&amp;"")</f>
        <v/>
      </c>
      <c r="O210">
        <f>IF($AD210="","",INDEX('Per Line'!$P$2:$P$3001,$AD210))</f>
        <v/>
      </c>
      <c r="P210" s="7">
        <f>IF($AD210="","",IF(AND(ISNUMBER(Q210),Q210&gt;0,AB210&gt;Q210),O210*Q210/100+(AB210-Q210),O210*AB210/100))</f>
        <v/>
      </c>
      <c r="Q210">
        <f>IF($AD210="","",INDEX('Per Line'!$AG$2:$AG$3001,$AD210))</f>
        <v/>
      </c>
      <c r="R210">
        <f>IF($AD210="","",IF(AND(ISNUMBER(Q210),Q210&gt;0),AB210&gt;Q210,FALSE))</f>
        <v/>
      </c>
      <c r="S210" s="7">
        <f>IF($AD210="","",SUMIFS('Per Line'!$AB$2:$AB$3001,'Per Line'!$E$2:$E$3001,$B210,'Per Line'!$AQ$2:$AQ$3001,1))</f>
        <v/>
      </c>
      <c r="T210">
        <f>IF($AD210="","",Settings!$C$7)</f>
        <v/>
      </c>
      <c r="U210" s="7">
        <f>IF($AD210="","",SUMIFS('Per Line'!$AB$2:$AB$3001,'Per Line'!$E$2:$E$3001,$B210,'Per Line'!$AP$2:$AP$3001,0,'Per Line'!$AQ$2:$AQ$3001,0))</f>
        <v/>
      </c>
      <c r="V210" s="7">
        <f>IF($AD210="","",U210*T210)</f>
        <v/>
      </c>
      <c r="W210">
        <f>IF($AD210="","",Settings!$C$6)</f>
        <v/>
      </c>
      <c r="X210" s="7">
        <f>IF($AD210="","",SUMIFS('Per Line'!$AB$2:$AB$3001,'Per Line'!$E$2:$E$3001,$B210,'Per Line'!$AP$2:$AP$3001,1,'Per Line'!$AQ$2:$AQ$3001,0))</f>
        <v/>
      </c>
      <c r="Y210" s="7">
        <f>IF($AD210="","",X210*W210)</f>
        <v/>
      </c>
      <c r="Z210" s="7">
        <f>IF($AD210="","",Y210+V210)</f>
        <v/>
      </c>
      <c r="AA210" s="7">
        <f>IF($AD210="","",AB210-Z210)</f>
        <v/>
      </c>
      <c r="AB210" s="7">
        <f>IF($AD210="","",U210+X210+S210)</f>
        <v/>
      </c>
      <c r="AC210" s="7">
        <f>IF($AD210="","",AB210-Z210-P210)</f>
        <v/>
      </c>
      <c r="AD210" s="13">
        <f>IF(ROWS($AD$2:$AD210)&lt;=MAX('Per Line'!$AO$2:$AO$3001),MATCH(ROWS($AD$2:$AD210),'Per Line'!$AO$2:$AO$3001,0),"")</f>
        <v/>
      </c>
      <c r="AE210" s="14">
        <f>IF($AD210="","",P210-O210*AB210/100)</f>
        <v/>
      </c>
    </row>
    <row r="211">
      <c r="A211" s="12" t="n"/>
      <c r="B211">
        <f>IF($AD211="","",INDEX('Per Line'!$E$2:$E$3001,$AD211)&amp;"")</f>
        <v/>
      </c>
      <c r="C211">
        <f>IF($AD211="","",INDEX('Per Line'!$A$2:$A$3001,$AD211)&amp;"")</f>
        <v/>
      </c>
      <c r="D211">
        <f>IF($AD211="","",INDEX('Per Line'!$C$2:$C$3001,$AD211)&amp;"")</f>
        <v/>
      </c>
      <c r="E211">
        <f>IF($AD211="","",INDEX('Per Line'!$B$2:$B$3001,$AD211))</f>
        <v/>
      </c>
      <c r="F211">
        <f>IF($AD211="","",INDEX('Per Line'!$D$2:$D$3001,$AD211)&amp;"")</f>
        <v/>
      </c>
      <c r="G211" s="11">
        <f>IF($AD211="","",INDEX('Per Line'!$G$2:$G$3001,$AD211))</f>
        <v/>
      </c>
      <c r="H211">
        <f>IF($AD211="","",INDEX('Per Line'!$J$2:$J$3001,$AD211)&amp;"")</f>
        <v/>
      </c>
      <c r="I211">
        <f>IF($AD211="","",INDEX('Per Line'!$H$2:$H$3001,$AD211)&amp;"")</f>
        <v/>
      </c>
      <c r="J211">
        <f>IF($AD211="","",INDEX('Per Line'!$F$2:$F$3001,$AD211)&amp;"")</f>
        <v/>
      </c>
      <c r="K211">
        <f>IF($AD211="","",INDEX('Per Line'!$K$2:$K$3001,$AD211)&amp;"")</f>
        <v/>
      </c>
      <c r="L211">
        <f>IF($AD211="","",INDEX('Per Line'!$L$2:$L$3001,$AD211)&amp;"")</f>
        <v/>
      </c>
      <c r="M211">
        <f>IF($AD211="","",INDEX('Per Line'!$M$2:$M$3001,$AD211)&amp;"")</f>
        <v/>
      </c>
      <c r="N211">
        <f>IF($AD211="","",INDEX('Per Line'!$AC$2:$AC$3001,$AD211)&amp;"")</f>
        <v/>
      </c>
      <c r="O211">
        <f>IF($AD211="","",INDEX('Per Line'!$P$2:$P$3001,$AD211))</f>
        <v/>
      </c>
      <c r="P211" s="7">
        <f>IF($AD211="","",IF(AND(ISNUMBER(Q211),Q211&gt;0,AB211&gt;Q211),O211*Q211/100+(AB211-Q211),O211*AB211/100))</f>
        <v/>
      </c>
      <c r="Q211">
        <f>IF($AD211="","",INDEX('Per Line'!$AG$2:$AG$3001,$AD211))</f>
        <v/>
      </c>
      <c r="R211">
        <f>IF($AD211="","",IF(AND(ISNUMBER(Q211),Q211&gt;0),AB211&gt;Q211,FALSE))</f>
        <v/>
      </c>
      <c r="S211" s="7">
        <f>IF($AD211="","",SUMIFS('Per Line'!$AB$2:$AB$3001,'Per Line'!$E$2:$E$3001,$B211,'Per Line'!$AQ$2:$AQ$3001,1))</f>
        <v/>
      </c>
      <c r="T211">
        <f>IF($AD211="","",Settings!$C$7)</f>
        <v/>
      </c>
      <c r="U211" s="7">
        <f>IF($AD211="","",SUMIFS('Per Line'!$AB$2:$AB$3001,'Per Line'!$E$2:$E$3001,$B211,'Per Line'!$AP$2:$AP$3001,0,'Per Line'!$AQ$2:$AQ$3001,0))</f>
        <v/>
      </c>
      <c r="V211" s="7">
        <f>IF($AD211="","",U211*T211)</f>
        <v/>
      </c>
      <c r="W211">
        <f>IF($AD211="","",Settings!$C$6)</f>
        <v/>
      </c>
      <c r="X211" s="7">
        <f>IF($AD211="","",SUMIFS('Per Line'!$AB$2:$AB$3001,'Per Line'!$E$2:$E$3001,$B211,'Per Line'!$AP$2:$AP$3001,1,'Per Line'!$AQ$2:$AQ$3001,0))</f>
        <v/>
      </c>
      <c r="Y211" s="7">
        <f>IF($AD211="","",X211*W211)</f>
        <v/>
      </c>
      <c r="Z211" s="7">
        <f>IF($AD211="","",Y211+V211)</f>
        <v/>
      </c>
      <c r="AA211" s="7">
        <f>IF($AD211="","",AB211-Z211)</f>
        <v/>
      </c>
      <c r="AB211" s="7">
        <f>IF($AD211="","",U211+X211+S211)</f>
        <v/>
      </c>
      <c r="AC211" s="7">
        <f>IF($AD211="","",AB211-Z211-P211)</f>
        <v/>
      </c>
      <c r="AD211" s="13">
        <f>IF(ROWS($AD$2:$AD211)&lt;=MAX('Per Line'!$AO$2:$AO$3001),MATCH(ROWS($AD$2:$AD211),'Per Line'!$AO$2:$AO$3001,0),"")</f>
        <v/>
      </c>
      <c r="AE211" s="14">
        <f>IF($AD211="","",P211-O211*AB211/100)</f>
        <v/>
      </c>
    </row>
    <row r="212">
      <c r="A212" s="12" t="n"/>
      <c r="B212">
        <f>IF($AD212="","",INDEX('Per Line'!$E$2:$E$3001,$AD212)&amp;"")</f>
        <v/>
      </c>
      <c r="C212">
        <f>IF($AD212="","",INDEX('Per Line'!$A$2:$A$3001,$AD212)&amp;"")</f>
        <v/>
      </c>
      <c r="D212">
        <f>IF($AD212="","",INDEX('Per Line'!$C$2:$C$3001,$AD212)&amp;"")</f>
        <v/>
      </c>
      <c r="E212">
        <f>IF($AD212="","",INDEX('Per Line'!$B$2:$B$3001,$AD212))</f>
        <v/>
      </c>
      <c r="F212">
        <f>IF($AD212="","",INDEX('Per Line'!$D$2:$D$3001,$AD212)&amp;"")</f>
        <v/>
      </c>
      <c r="G212" s="11">
        <f>IF($AD212="","",INDEX('Per Line'!$G$2:$G$3001,$AD212))</f>
        <v/>
      </c>
      <c r="H212">
        <f>IF($AD212="","",INDEX('Per Line'!$J$2:$J$3001,$AD212)&amp;"")</f>
        <v/>
      </c>
      <c r="I212">
        <f>IF($AD212="","",INDEX('Per Line'!$H$2:$H$3001,$AD212)&amp;"")</f>
        <v/>
      </c>
      <c r="J212">
        <f>IF($AD212="","",INDEX('Per Line'!$F$2:$F$3001,$AD212)&amp;"")</f>
        <v/>
      </c>
      <c r="K212">
        <f>IF($AD212="","",INDEX('Per Line'!$K$2:$K$3001,$AD212)&amp;"")</f>
        <v/>
      </c>
      <c r="L212">
        <f>IF($AD212="","",INDEX('Per Line'!$L$2:$L$3001,$AD212)&amp;"")</f>
        <v/>
      </c>
      <c r="M212">
        <f>IF($AD212="","",INDEX('Per Line'!$M$2:$M$3001,$AD212)&amp;"")</f>
        <v/>
      </c>
      <c r="N212">
        <f>IF($AD212="","",INDEX('Per Line'!$AC$2:$AC$3001,$AD212)&amp;"")</f>
        <v/>
      </c>
      <c r="O212">
        <f>IF($AD212="","",INDEX('Per Line'!$P$2:$P$3001,$AD212))</f>
        <v/>
      </c>
      <c r="P212" s="7">
        <f>IF($AD212="","",IF(AND(ISNUMBER(Q212),Q212&gt;0,AB212&gt;Q212),O212*Q212/100+(AB212-Q212),O212*AB212/100))</f>
        <v/>
      </c>
      <c r="Q212">
        <f>IF($AD212="","",INDEX('Per Line'!$AG$2:$AG$3001,$AD212))</f>
        <v/>
      </c>
      <c r="R212">
        <f>IF($AD212="","",IF(AND(ISNUMBER(Q212),Q212&gt;0),AB212&gt;Q212,FALSE))</f>
        <v/>
      </c>
      <c r="S212" s="7">
        <f>IF($AD212="","",SUMIFS('Per Line'!$AB$2:$AB$3001,'Per Line'!$E$2:$E$3001,$B212,'Per Line'!$AQ$2:$AQ$3001,1))</f>
        <v/>
      </c>
      <c r="T212">
        <f>IF($AD212="","",Settings!$C$7)</f>
        <v/>
      </c>
      <c r="U212" s="7">
        <f>IF($AD212="","",SUMIFS('Per Line'!$AB$2:$AB$3001,'Per Line'!$E$2:$E$3001,$B212,'Per Line'!$AP$2:$AP$3001,0,'Per Line'!$AQ$2:$AQ$3001,0))</f>
        <v/>
      </c>
      <c r="V212" s="7">
        <f>IF($AD212="","",U212*T212)</f>
        <v/>
      </c>
      <c r="W212">
        <f>IF($AD212="","",Settings!$C$6)</f>
        <v/>
      </c>
      <c r="X212" s="7">
        <f>IF($AD212="","",SUMIFS('Per Line'!$AB$2:$AB$3001,'Per Line'!$E$2:$E$3001,$B212,'Per Line'!$AP$2:$AP$3001,1,'Per Line'!$AQ$2:$AQ$3001,0))</f>
        <v/>
      </c>
      <c r="Y212" s="7">
        <f>IF($AD212="","",X212*W212)</f>
        <v/>
      </c>
      <c r="Z212" s="7">
        <f>IF($AD212="","",Y212+V212)</f>
        <v/>
      </c>
      <c r="AA212" s="7">
        <f>IF($AD212="","",AB212-Z212)</f>
        <v/>
      </c>
      <c r="AB212" s="7">
        <f>IF($AD212="","",U212+X212+S212)</f>
        <v/>
      </c>
      <c r="AC212" s="7">
        <f>IF($AD212="","",AB212-Z212-P212)</f>
        <v/>
      </c>
      <c r="AD212" s="13">
        <f>IF(ROWS($AD$2:$AD212)&lt;=MAX('Per Line'!$AO$2:$AO$3001),MATCH(ROWS($AD$2:$AD212),'Per Line'!$AO$2:$AO$3001,0),"")</f>
        <v/>
      </c>
      <c r="AE212" s="14">
        <f>IF($AD212="","",P212-O212*AB212/100)</f>
        <v/>
      </c>
    </row>
    <row r="213">
      <c r="A213" s="12" t="n"/>
      <c r="B213">
        <f>IF($AD213="","",INDEX('Per Line'!$E$2:$E$3001,$AD213)&amp;"")</f>
        <v/>
      </c>
      <c r="C213">
        <f>IF($AD213="","",INDEX('Per Line'!$A$2:$A$3001,$AD213)&amp;"")</f>
        <v/>
      </c>
      <c r="D213">
        <f>IF($AD213="","",INDEX('Per Line'!$C$2:$C$3001,$AD213)&amp;"")</f>
        <v/>
      </c>
      <c r="E213">
        <f>IF($AD213="","",INDEX('Per Line'!$B$2:$B$3001,$AD213))</f>
        <v/>
      </c>
      <c r="F213">
        <f>IF($AD213="","",INDEX('Per Line'!$D$2:$D$3001,$AD213)&amp;"")</f>
        <v/>
      </c>
      <c r="G213" s="11">
        <f>IF($AD213="","",INDEX('Per Line'!$G$2:$G$3001,$AD213))</f>
        <v/>
      </c>
      <c r="H213">
        <f>IF($AD213="","",INDEX('Per Line'!$J$2:$J$3001,$AD213)&amp;"")</f>
        <v/>
      </c>
      <c r="I213">
        <f>IF($AD213="","",INDEX('Per Line'!$H$2:$H$3001,$AD213)&amp;"")</f>
        <v/>
      </c>
      <c r="J213">
        <f>IF($AD213="","",INDEX('Per Line'!$F$2:$F$3001,$AD213)&amp;"")</f>
        <v/>
      </c>
      <c r="K213">
        <f>IF($AD213="","",INDEX('Per Line'!$K$2:$K$3001,$AD213)&amp;"")</f>
        <v/>
      </c>
      <c r="L213">
        <f>IF($AD213="","",INDEX('Per Line'!$L$2:$L$3001,$AD213)&amp;"")</f>
        <v/>
      </c>
      <c r="M213">
        <f>IF($AD213="","",INDEX('Per Line'!$M$2:$M$3001,$AD213)&amp;"")</f>
        <v/>
      </c>
      <c r="N213">
        <f>IF($AD213="","",INDEX('Per Line'!$AC$2:$AC$3001,$AD213)&amp;"")</f>
        <v/>
      </c>
      <c r="O213">
        <f>IF($AD213="","",INDEX('Per Line'!$P$2:$P$3001,$AD213))</f>
        <v/>
      </c>
      <c r="P213" s="7">
        <f>IF($AD213="","",IF(AND(ISNUMBER(Q213),Q213&gt;0,AB213&gt;Q213),O213*Q213/100+(AB213-Q213),O213*AB213/100))</f>
        <v/>
      </c>
      <c r="Q213">
        <f>IF($AD213="","",INDEX('Per Line'!$AG$2:$AG$3001,$AD213))</f>
        <v/>
      </c>
      <c r="R213">
        <f>IF($AD213="","",IF(AND(ISNUMBER(Q213),Q213&gt;0),AB213&gt;Q213,FALSE))</f>
        <v/>
      </c>
      <c r="S213" s="7">
        <f>IF($AD213="","",SUMIFS('Per Line'!$AB$2:$AB$3001,'Per Line'!$E$2:$E$3001,$B213,'Per Line'!$AQ$2:$AQ$3001,1))</f>
        <v/>
      </c>
      <c r="T213">
        <f>IF($AD213="","",Settings!$C$7)</f>
        <v/>
      </c>
      <c r="U213" s="7">
        <f>IF($AD213="","",SUMIFS('Per Line'!$AB$2:$AB$3001,'Per Line'!$E$2:$E$3001,$B213,'Per Line'!$AP$2:$AP$3001,0,'Per Line'!$AQ$2:$AQ$3001,0))</f>
        <v/>
      </c>
      <c r="V213" s="7">
        <f>IF($AD213="","",U213*T213)</f>
        <v/>
      </c>
      <c r="W213">
        <f>IF($AD213="","",Settings!$C$6)</f>
        <v/>
      </c>
      <c r="X213" s="7">
        <f>IF($AD213="","",SUMIFS('Per Line'!$AB$2:$AB$3001,'Per Line'!$E$2:$E$3001,$B213,'Per Line'!$AP$2:$AP$3001,1,'Per Line'!$AQ$2:$AQ$3001,0))</f>
        <v/>
      </c>
      <c r="Y213" s="7">
        <f>IF($AD213="","",X213*W213)</f>
        <v/>
      </c>
      <c r="Z213" s="7">
        <f>IF($AD213="","",Y213+V213)</f>
        <v/>
      </c>
      <c r="AA213" s="7">
        <f>IF($AD213="","",AB213-Z213)</f>
        <v/>
      </c>
      <c r="AB213" s="7">
        <f>IF($AD213="","",U213+X213+S213)</f>
        <v/>
      </c>
      <c r="AC213" s="7">
        <f>IF($AD213="","",AB213-Z213-P213)</f>
        <v/>
      </c>
      <c r="AD213" s="13">
        <f>IF(ROWS($AD$2:$AD213)&lt;=MAX('Per Line'!$AO$2:$AO$3001),MATCH(ROWS($AD$2:$AD213),'Per Line'!$AO$2:$AO$3001,0),"")</f>
        <v/>
      </c>
      <c r="AE213" s="14">
        <f>IF($AD213="","",P213-O213*AB213/100)</f>
        <v/>
      </c>
    </row>
    <row r="214">
      <c r="A214" s="12" t="n"/>
      <c r="B214">
        <f>IF($AD214="","",INDEX('Per Line'!$E$2:$E$3001,$AD214)&amp;"")</f>
        <v/>
      </c>
      <c r="C214">
        <f>IF($AD214="","",INDEX('Per Line'!$A$2:$A$3001,$AD214)&amp;"")</f>
        <v/>
      </c>
      <c r="D214">
        <f>IF($AD214="","",INDEX('Per Line'!$C$2:$C$3001,$AD214)&amp;"")</f>
        <v/>
      </c>
      <c r="E214">
        <f>IF($AD214="","",INDEX('Per Line'!$B$2:$B$3001,$AD214))</f>
        <v/>
      </c>
      <c r="F214">
        <f>IF($AD214="","",INDEX('Per Line'!$D$2:$D$3001,$AD214)&amp;"")</f>
        <v/>
      </c>
      <c r="G214" s="11">
        <f>IF($AD214="","",INDEX('Per Line'!$G$2:$G$3001,$AD214))</f>
        <v/>
      </c>
      <c r="H214">
        <f>IF($AD214="","",INDEX('Per Line'!$J$2:$J$3001,$AD214)&amp;"")</f>
        <v/>
      </c>
      <c r="I214">
        <f>IF($AD214="","",INDEX('Per Line'!$H$2:$H$3001,$AD214)&amp;"")</f>
        <v/>
      </c>
      <c r="J214">
        <f>IF($AD214="","",INDEX('Per Line'!$F$2:$F$3001,$AD214)&amp;"")</f>
        <v/>
      </c>
      <c r="K214">
        <f>IF($AD214="","",INDEX('Per Line'!$K$2:$K$3001,$AD214)&amp;"")</f>
        <v/>
      </c>
      <c r="L214">
        <f>IF($AD214="","",INDEX('Per Line'!$L$2:$L$3001,$AD214)&amp;"")</f>
        <v/>
      </c>
      <c r="M214">
        <f>IF($AD214="","",INDEX('Per Line'!$M$2:$M$3001,$AD214)&amp;"")</f>
        <v/>
      </c>
      <c r="N214">
        <f>IF($AD214="","",INDEX('Per Line'!$AC$2:$AC$3001,$AD214)&amp;"")</f>
        <v/>
      </c>
      <c r="O214">
        <f>IF($AD214="","",INDEX('Per Line'!$P$2:$P$3001,$AD214))</f>
        <v/>
      </c>
      <c r="P214" s="7">
        <f>IF($AD214="","",IF(AND(ISNUMBER(Q214),Q214&gt;0,AB214&gt;Q214),O214*Q214/100+(AB214-Q214),O214*AB214/100))</f>
        <v/>
      </c>
      <c r="Q214">
        <f>IF($AD214="","",INDEX('Per Line'!$AG$2:$AG$3001,$AD214))</f>
        <v/>
      </c>
      <c r="R214">
        <f>IF($AD214="","",IF(AND(ISNUMBER(Q214),Q214&gt;0),AB214&gt;Q214,FALSE))</f>
        <v/>
      </c>
      <c r="S214" s="7">
        <f>IF($AD214="","",SUMIFS('Per Line'!$AB$2:$AB$3001,'Per Line'!$E$2:$E$3001,$B214,'Per Line'!$AQ$2:$AQ$3001,1))</f>
        <v/>
      </c>
      <c r="T214">
        <f>IF($AD214="","",Settings!$C$7)</f>
        <v/>
      </c>
      <c r="U214" s="7">
        <f>IF($AD214="","",SUMIFS('Per Line'!$AB$2:$AB$3001,'Per Line'!$E$2:$E$3001,$B214,'Per Line'!$AP$2:$AP$3001,0,'Per Line'!$AQ$2:$AQ$3001,0))</f>
        <v/>
      </c>
      <c r="V214" s="7">
        <f>IF($AD214="","",U214*T214)</f>
        <v/>
      </c>
      <c r="W214">
        <f>IF($AD214="","",Settings!$C$6)</f>
        <v/>
      </c>
      <c r="X214" s="7">
        <f>IF($AD214="","",SUMIFS('Per Line'!$AB$2:$AB$3001,'Per Line'!$E$2:$E$3001,$B214,'Per Line'!$AP$2:$AP$3001,1,'Per Line'!$AQ$2:$AQ$3001,0))</f>
        <v/>
      </c>
      <c r="Y214" s="7">
        <f>IF($AD214="","",X214*W214)</f>
        <v/>
      </c>
      <c r="Z214" s="7">
        <f>IF($AD214="","",Y214+V214)</f>
        <v/>
      </c>
      <c r="AA214" s="7">
        <f>IF($AD214="","",AB214-Z214)</f>
        <v/>
      </c>
      <c r="AB214" s="7">
        <f>IF($AD214="","",U214+X214+S214)</f>
        <v/>
      </c>
      <c r="AC214" s="7">
        <f>IF($AD214="","",AB214-Z214-P214)</f>
        <v/>
      </c>
      <c r="AD214" s="13">
        <f>IF(ROWS($AD$2:$AD214)&lt;=MAX('Per Line'!$AO$2:$AO$3001),MATCH(ROWS($AD$2:$AD214),'Per Line'!$AO$2:$AO$3001,0),"")</f>
        <v/>
      </c>
      <c r="AE214" s="14">
        <f>IF($AD214="","",P214-O214*AB214/100)</f>
        <v/>
      </c>
    </row>
    <row r="215">
      <c r="A215" s="12" t="n"/>
      <c r="B215">
        <f>IF($AD215="","",INDEX('Per Line'!$E$2:$E$3001,$AD215)&amp;"")</f>
        <v/>
      </c>
      <c r="C215">
        <f>IF($AD215="","",INDEX('Per Line'!$A$2:$A$3001,$AD215)&amp;"")</f>
        <v/>
      </c>
      <c r="D215">
        <f>IF($AD215="","",INDEX('Per Line'!$C$2:$C$3001,$AD215)&amp;"")</f>
        <v/>
      </c>
      <c r="E215">
        <f>IF($AD215="","",INDEX('Per Line'!$B$2:$B$3001,$AD215))</f>
        <v/>
      </c>
      <c r="F215">
        <f>IF($AD215="","",INDEX('Per Line'!$D$2:$D$3001,$AD215)&amp;"")</f>
        <v/>
      </c>
      <c r="G215" s="11">
        <f>IF($AD215="","",INDEX('Per Line'!$G$2:$G$3001,$AD215))</f>
        <v/>
      </c>
      <c r="H215">
        <f>IF($AD215="","",INDEX('Per Line'!$J$2:$J$3001,$AD215)&amp;"")</f>
        <v/>
      </c>
      <c r="I215">
        <f>IF($AD215="","",INDEX('Per Line'!$H$2:$H$3001,$AD215)&amp;"")</f>
        <v/>
      </c>
      <c r="J215">
        <f>IF($AD215="","",INDEX('Per Line'!$F$2:$F$3001,$AD215)&amp;"")</f>
        <v/>
      </c>
      <c r="K215">
        <f>IF($AD215="","",INDEX('Per Line'!$K$2:$K$3001,$AD215)&amp;"")</f>
        <v/>
      </c>
      <c r="L215">
        <f>IF($AD215="","",INDEX('Per Line'!$L$2:$L$3001,$AD215)&amp;"")</f>
        <v/>
      </c>
      <c r="M215">
        <f>IF($AD215="","",INDEX('Per Line'!$M$2:$M$3001,$AD215)&amp;"")</f>
        <v/>
      </c>
      <c r="N215">
        <f>IF($AD215="","",INDEX('Per Line'!$AC$2:$AC$3001,$AD215)&amp;"")</f>
        <v/>
      </c>
      <c r="O215">
        <f>IF($AD215="","",INDEX('Per Line'!$P$2:$P$3001,$AD215))</f>
        <v/>
      </c>
      <c r="P215" s="7">
        <f>IF($AD215="","",IF(AND(ISNUMBER(Q215),Q215&gt;0,AB215&gt;Q215),O215*Q215/100+(AB215-Q215),O215*AB215/100))</f>
        <v/>
      </c>
      <c r="Q215">
        <f>IF($AD215="","",INDEX('Per Line'!$AG$2:$AG$3001,$AD215))</f>
        <v/>
      </c>
      <c r="R215">
        <f>IF($AD215="","",IF(AND(ISNUMBER(Q215),Q215&gt;0),AB215&gt;Q215,FALSE))</f>
        <v/>
      </c>
      <c r="S215" s="7">
        <f>IF($AD215="","",SUMIFS('Per Line'!$AB$2:$AB$3001,'Per Line'!$E$2:$E$3001,$B215,'Per Line'!$AQ$2:$AQ$3001,1))</f>
        <v/>
      </c>
      <c r="T215">
        <f>IF($AD215="","",Settings!$C$7)</f>
        <v/>
      </c>
      <c r="U215" s="7">
        <f>IF($AD215="","",SUMIFS('Per Line'!$AB$2:$AB$3001,'Per Line'!$E$2:$E$3001,$B215,'Per Line'!$AP$2:$AP$3001,0,'Per Line'!$AQ$2:$AQ$3001,0))</f>
        <v/>
      </c>
      <c r="V215" s="7">
        <f>IF($AD215="","",U215*T215)</f>
        <v/>
      </c>
      <c r="W215">
        <f>IF($AD215="","",Settings!$C$6)</f>
        <v/>
      </c>
      <c r="X215" s="7">
        <f>IF($AD215="","",SUMIFS('Per Line'!$AB$2:$AB$3001,'Per Line'!$E$2:$E$3001,$B215,'Per Line'!$AP$2:$AP$3001,1,'Per Line'!$AQ$2:$AQ$3001,0))</f>
        <v/>
      </c>
      <c r="Y215" s="7">
        <f>IF($AD215="","",X215*W215)</f>
        <v/>
      </c>
      <c r="Z215" s="7">
        <f>IF($AD215="","",Y215+V215)</f>
        <v/>
      </c>
      <c r="AA215" s="7">
        <f>IF($AD215="","",AB215-Z215)</f>
        <v/>
      </c>
      <c r="AB215" s="7">
        <f>IF($AD215="","",U215+X215+S215)</f>
        <v/>
      </c>
      <c r="AC215" s="7">
        <f>IF($AD215="","",AB215-Z215-P215)</f>
        <v/>
      </c>
      <c r="AD215" s="13">
        <f>IF(ROWS($AD$2:$AD215)&lt;=MAX('Per Line'!$AO$2:$AO$3001),MATCH(ROWS($AD$2:$AD215),'Per Line'!$AO$2:$AO$3001,0),"")</f>
        <v/>
      </c>
      <c r="AE215" s="14">
        <f>IF($AD215="","",P215-O215*AB215/100)</f>
        <v/>
      </c>
    </row>
    <row r="216">
      <c r="A216" s="12" t="n"/>
      <c r="B216">
        <f>IF($AD216="","",INDEX('Per Line'!$E$2:$E$3001,$AD216)&amp;"")</f>
        <v/>
      </c>
      <c r="C216">
        <f>IF($AD216="","",INDEX('Per Line'!$A$2:$A$3001,$AD216)&amp;"")</f>
        <v/>
      </c>
      <c r="D216">
        <f>IF($AD216="","",INDEX('Per Line'!$C$2:$C$3001,$AD216)&amp;"")</f>
        <v/>
      </c>
      <c r="E216">
        <f>IF($AD216="","",INDEX('Per Line'!$B$2:$B$3001,$AD216))</f>
        <v/>
      </c>
      <c r="F216">
        <f>IF($AD216="","",INDEX('Per Line'!$D$2:$D$3001,$AD216)&amp;"")</f>
        <v/>
      </c>
      <c r="G216" s="11">
        <f>IF($AD216="","",INDEX('Per Line'!$G$2:$G$3001,$AD216))</f>
        <v/>
      </c>
      <c r="H216">
        <f>IF($AD216="","",INDEX('Per Line'!$J$2:$J$3001,$AD216)&amp;"")</f>
        <v/>
      </c>
      <c r="I216">
        <f>IF($AD216="","",INDEX('Per Line'!$H$2:$H$3001,$AD216)&amp;"")</f>
        <v/>
      </c>
      <c r="J216">
        <f>IF($AD216="","",INDEX('Per Line'!$F$2:$F$3001,$AD216)&amp;"")</f>
        <v/>
      </c>
      <c r="K216">
        <f>IF($AD216="","",INDEX('Per Line'!$K$2:$K$3001,$AD216)&amp;"")</f>
        <v/>
      </c>
      <c r="L216">
        <f>IF($AD216="","",INDEX('Per Line'!$L$2:$L$3001,$AD216)&amp;"")</f>
        <v/>
      </c>
      <c r="M216">
        <f>IF($AD216="","",INDEX('Per Line'!$M$2:$M$3001,$AD216)&amp;"")</f>
        <v/>
      </c>
      <c r="N216">
        <f>IF($AD216="","",INDEX('Per Line'!$AC$2:$AC$3001,$AD216)&amp;"")</f>
        <v/>
      </c>
      <c r="O216">
        <f>IF($AD216="","",INDEX('Per Line'!$P$2:$P$3001,$AD216))</f>
        <v/>
      </c>
      <c r="P216" s="7">
        <f>IF($AD216="","",IF(AND(ISNUMBER(Q216),Q216&gt;0,AB216&gt;Q216),O216*Q216/100+(AB216-Q216),O216*AB216/100))</f>
        <v/>
      </c>
      <c r="Q216">
        <f>IF($AD216="","",INDEX('Per Line'!$AG$2:$AG$3001,$AD216))</f>
        <v/>
      </c>
      <c r="R216">
        <f>IF($AD216="","",IF(AND(ISNUMBER(Q216),Q216&gt;0),AB216&gt;Q216,FALSE))</f>
        <v/>
      </c>
      <c r="S216" s="7">
        <f>IF($AD216="","",SUMIFS('Per Line'!$AB$2:$AB$3001,'Per Line'!$E$2:$E$3001,$B216,'Per Line'!$AQ$2:$AQ$3001,1))</f>
        <v/>
      </c>
      <c r="T216">
        <f>IF($AD216="","",Settings!$C$7)</f>
        <v/>
      </c>
      <c r="U216" s="7">
        <f>IF($AD216="","",SUMIFS('Per Line'!$AB$2:$AB$3001,'Per Line'!$E$2:$E$3001,$B216,'Per Line'!$AP$2:$AP$3001,0,'Per Line'!$AQ$2:$AQ$3001,0))</f>
        <v/>
      </c>
      <c r="V216" s="7">
        <f>IF($AD216="","",U216*T216)</f>
        <v/>
      </c>
      <c r="W216">
        <f>IF($AD216="","",Settings!$C$6)</f>
        <v/>
      </c>
      <c r="X216" s="7">
        <f>IF($AD216="","",SUMIFS('Per Line'!$AB$2:$AB$3001,'Per Line'!$E$2:$E$3001,$B216,'Per Line'!$AP$2:$AP$3001,1,'Per Line'!$AQ$2:$AQ$3001,0))</f>
        <v/>
      </c>
      <c r="Y216" s="7">
        <f>IF($AD216="","",X216*W216)</f>
        <v/>
      </c>
      <c r="Z216" s="7">
        <f>IF($AD216="","",Y216+V216)</f>
        <v/>
      </c>
      <c r="AA216" s="7">
        <f>IF($AD216="","",AB216-Z216)</f>
        <v/>
      </c>
      <c r="AB216" s="7">
        <f>IF($AD216="","",U216+X216+S216)</f>
        <v/>
      </c>
      <c r="AC216" s="7">
        <f>IF($AD216="","",AB216-Z216-P216)</f>
        <v/>
      </c>
      <c r="AD216" s="13">
        <f>IF(ROWS($AD$2:$AD216)&lt;=MAX('Per Line'!$AO$2:$AO$3001),MATCH(ROWS($AD$2:$AD216),'Per Line'!$AO$2:$AO$3001,0),"")</f>
        <v/>
      </c>
      <c r="AE216" s="14">
        <f>IF($AD216="","",P216-O216*AB216/100)</f>
        <v/>
      </c>
    </row>
    <row r="217">
      <c r="A217" s="12" t="n"/>
      <c r="B217">
        <f>IF($AD217="","",INDEX('Per Line'!$E$2:$E$3001,$AD217)&amp;"")</f>
        <v/>
      </c>
      <c r="C217">
        <f>IF($AD217="","",INDEX('Per Line'!$A$2:$A$3001,$AD217)&amp;"")</f>
        <v/>
      </c>
      <c r="D217">
        <f>IF($AD217="","",INDEX('Per Line'!$C$2:$C$3001,$AD217)&amp;"")</f>
        <v/>
      </c>
      <c r="E217">
        <f>IF($AD217="","",INDEX('Per Line'!$B$2:$B$3001,$AD217))</f>
        <v/>
      </c>
      <c r="F217">
        <f>IF($AD217="","",INDEX('Per Line'!$D$2:$D$3001,$AD217)&amp;"")</f>
        <v/>
      </c>
      <c r="G217" s="11">
        <f>IF($AD217="","",INDEX('Per Line'!$G$2:$G$3001,$AD217))</f>
        <v/>
      </c>
      <c r="H217">
        <f>IF($AD217="","",INDEX('Per Line'!$J$2:$J$3001,$AD217)&amp;"")</f>
        <v/>
      </c>
      <c r="I217">
        <f>IF($AD217="","",INDEX('Per Line'!$H$2:$H$3001,$AD217)&amp;"")</f>
        <v/>
      </c>
      <c r="J217">
        <f>IF($AD217="","",INDEX('Per Line'!$F$2:$F$3001,$AD217)&amp;"")</f>
        <v/>
      </c>
      <c r="K217">
        <f>IF($AD217="","",INDEX('Per Line'!$K$2:$K$3001,$AD217)&amp;"")</f>
        <v/>
      </c>
      <c r="L217">
        <f>IF($AD217="","",INDEX('Per Line'!$L$2:$L$3001,$AD217)&amp;"")</f>
        <v/>
      </c>
      <c r="M217">
        <f>IF($AD217="","",INDEX('Per Line'!$M$2:$M$3001,$AD217)&amp;"")</f>
        <v/>
      </c>
      <c r="N217">
        <f>IF($AD217="","",INDEX('Per Line'!$AC$2:$AC$3001,$AD217)&amp;"")</f>
        <v/>
      </c>
      <c r="O217">
        <f>IF($AD217="","",INDEX('Per Line'!$P$2:$P$3001,$AD217))</f>
        <v/>
      </c>
      <c r="P217" s="7">
        <f>IF($AD217="","",IF(AND(ISNUMBER(Q217),Q217&gt;0,AB217&gt;Q217),O217*Q217/100+(AB217-Q217),O217*AB217/100))</f>
        <v/>
      </c>
      <c r="Q217">
        <f>IF($AD217="","",INDEX('Per Line'!$AG$2:$AG$3001,$AD217))</f>
        <v/>
      </c>
      <c r="R217">
        <f>IF($AD217="","",IF(AND(ISNUMBER(Q217),Q217&gt;0),AB217&gt;Q217,FALSE))</f>
        <v/>
      </c>
      <c r="S217" s="7">
        <f>IF($AD217="","",SUMIFS('Per Line'!$AB$2:$AB$3001,'Per Line'!$E$2:$E$3001,$B217,'Per Line'!$AQ$2:$AQ$3001,1))</f>
        <v/>
      </c>
      <c r="T217">
        <f>IF($AD217="","",Settings!$C$7)</f>
        <v/>
      </c>
      <c r="U217" s="7">
        <f>IF($AD217="","",SUMIFS('Per Line'!$AB$2:$AB$3001,'Per Line'!$E$2:$E$3001,$B217,'Per Line'!$AP$2:$AP$3001,0,'Per Line'!$AQ$2:$AQ$3001,0))</f>
        <v/>
      </c>
      <c r="V217" s="7">
        <f>IF($AD217="","",U217*T217)</f>
        <v/>
      </c>
      <c r="W217">
        <f>IF($AD217="","",Settings!$C$6)</f>
        <v/>
      </c>
      <c r="X217" s="7">
        <f>IF($AD217="","",SUMIFS('Per Line'!$AB$2:$AB$3001,'Per Line'!$E$2:$E$3001,$B217,'Per Line'!$AP$2:$AP$3001,1,'Per Line'!$AQ$2:$AQ$3001,0))</f>
        <v/>
      </c>
      <c r="Y217" s="7">
        <f>IF($AD217="","",X217*W217)</f>
        <v/>
      </c>
      <c r="Z217" s="7">
        <f>IF($AD217="","",Y217+V217)</f>
        <v/>
      </c>
      <c r="AA217" s="7">
        <f>IF($AD217="","",AB217-Z217)</f>
        <v/>
      </c>
      <c r="AB217" s="7">
        <f>IF($AD217="","",U217+X217+S217)</f>
        <v/>
      </c>
      <c r="AC217" s="7">
        <f>IF($AD217="","",AB217-Z217-P217)</f>
        <v/>
      </c>
      <c r="AD217" s="13">
        <f>IF(ROWS($AD$2:$AD217)&lt;=MAX('Per Line'!$AO$2:$AO$3001),MATCH(ROWS($AD$2:$AD217),'Per Line'!$AO$2:$AO$3001,0),"")</f>
        <v/>
      </c>
      <c r="AE217" s="14">
        <f>IF($AD217="","",P217-O217*AB217/100)</f>
        <v/>
      </c>
    </row>
    <row r="218">
      <c r="A218" s="12" t="n"/>
      <c r="B218">
        <f>IF($AD218="","",INDEX('Per Line'!$E$2:$E$3001,$AD218)&amp;"")</f>
        <v/>
      </c>
      <c r="C218">
        <f>IF($AD218="","",INDEX('Per Line'!$A$2:$A$3001,$AD218)&amp;"")</f>
        <v/>
      </c>
      <c r="D218">
        <f>IF($AD218="","",INDEX('Per Line'!$C$2:$C$3001,$AD218)&amp;"")</f>
        <v/>
      </c>
      <c r="E218">
        <f>IF($AD218="","",INDEX('Per Line'!$B$2:$B$3001,$AD218))</f>
        <v/>
      </c>
      <c r="F218">
        <f>IF($AD218="","",INDEX('Per Line'!$D$2:$D$3001,$AD218)&amp;"")</f>
        <v/>
      </c>
      <c r="G218" s="11">
        <f>IF($AD218="","",INDEX('Per Line'!$G$2:$G$3001,$AD218))</f>
        <v/>
      </c>
      <c r="H218">
        <f>IF($AD218="","",INDEX('Per Line'!$J$2:$J$3001,$AD218)&amp;"")</f>
        <v/>
      </c>
      <c r="I218">
        <f>IF($AD218="","",INDEX('Per Line'!$H$2:$H$3001,$AD218)&amp;"")</f>
        <v/>
      </c>
      <c r="J218">
        <f>IF($AD218="","",INDEX('Per Line'!$F$2:$F$3001,$AD218)&amp;"")</f>
        <v/>
      </c>
      <c r="K218">
        <f>IF($AD218="","",INDEX('Per Line'!$K$2:$K$3001,$AD218)&amp;"")</f>
        <v/>
      </c>
      <c r="L218">
        <f>IF($AD218="","",INDEX('Per Line'!$L$2:$L$3001,$AD218)&amp;"")</f>
        <v/>
      </c>
      <c r="M218">
        <f>IF($AD218="","",INDEX('Per Line'!$M$2:$M$3001,$AD218)&amp;"")</f>
        <v/>
      </c>
      <c r="N218">
        <f>IF($AD218="","",INDEX('Per Line'!$AC$2:$AC$3001,$AD218)&amp;"")</f>
        <v/>
      </c>
      <c r="O218">
        <f>IF($AD218="","",INDEX('Per Line'!$P$2:$P$3001,$AD218))</f>
        <v/>
      </c>
      <c r="P218" s="7">
        <f>IF($AD218="","",IF(AND(ISNUMBER(Q218),Q218&gt;0,AB218&gt;Q218),O218*Q218/100+(AB218-Q218),O218*AB218/100))</f>
        <v/>
      </c>
      <c r="Q218">
        <f>IF($AD218="","",INDEX('Per Line'!$AG$2:$AG$3001,$AD218))</f>
        <v/>
      </c>
      <c r="R218">
        <f>IF($AD218="","",IF(AND(ISNUMBER(Q218),Q218&gt;0),AB218&gt;Q218,FALSE))</f>
        <v/>
      </c>
      <c r="S218" s="7">
        <f>IF($AD218="","",SUMIFS('Per Line'!$AB$2:$AB$3001,'Per Line'!$E$2:$E$3001,$B218,'Per Line'!$AQ$2:$AQ$3001,1))</f>
        <v/>
      </c>
      <c r="T218">
        <f>IF($AD218="","",Settings!$C$7)</f>
        <v/>
      </c>
      <c r="U218" s="7">
        <f>IF($AD218="","",SUMIFS('Per Line'!$AB$2:$AB$3001,'Per Line'!$E$2:$E$3001,$B218,'Per Line'!$AP$2:$AP$3001,0,'Per Line'!$AQ$2:$AQ$3001,0))</f>
        <v/>
      </c>
      <c r="V218" s="7">
        <f>IF($AD218="","",U218*T218)</f>
        <v/>
      </c>
      <c r="W218">
        <f>IF($AD218="","",Settings!$C$6)</f>
        <v/>
      </c>
      <c r="X218" s="7">
        <f>IF($AD218="","",SUMIFS('Per Line'!$AB$2:$AB$3001,'Per Line'!$E$2:$E$3001,$B218,'Per Line'!$AP$2:$AP$3001,1,'Per Line'!$AQ$2:$AQ$3001,0))</f>
        <v/>
      </c>
      <c r="Y218" s="7">
        <f>IF($AD218="","",X218*W218)</f>
        <v/>
      </c>
      <c r="Z218" s="7">
        <f>IF($AD218="","",Y218+V218)</f>
        <v/>
      </c>
      <c r="AA218" s="7">
        <f>IF($AD218="","",AB218-Z218)</f>
        <v/>
      </c>
      <c r="AB218" s="7">
        <f>IF($AD218="","",U218+X218+S218)</f>
        <v/>
      </c>
      <c r="AC218" s="7">
        <f>IF($AD218="","",AB218-Z218-P218)</f>
        <v/>
      </c>
      <c r="AD218" s="13">
        <f>IF(ROWS($AD$2:$AD218)&lt;=MAX('Per Line'!$AO$2:$AO$3001),MATCH(ROWS($AD$2:$AD218),'Per Line'!$AO$2:$AO$3001,0),"")</f>
        <v/>
      </c>
      <c r="AE218" s="14">
        <f>IF($AD218="","",P218-O218*AB218/100)</f>
        <v/>
      </c>
    </row>
    <row r="219">
      <c r="A219" s="12" t="n"/>
      <c r="B219">
        <f>IF($AD219="","",INDEX('Per Line'!$E$2:$E$3001,$AD219)&amp;"")</f>
        <v/>
      </c>
      <c r="C219">
        <f>IF($AD219="","",INDEX('Per Line'!$A$2:$A$3001,$AD219)&amp;"")</f>
        <v/>
      </c>
      <c r="D219">
        <f>IF($AD219="","",INDEX('Per Line'!$C$2:$C$3001,$AD219)&amp;"")</f>
        <v/>
      </c>
      <c r="E219">
        <f>IF($AD219="","",INDEX('Per Line'!$B$2:$B$3001,$AD219))</f>
        <v/>
      </c>
      <c r="F219">
        <f>IF($AD219="","",INDEX('Per Line'!$D$2:$D$3001,$AD219)&amp;"")</f>
        <v/>
      </c>
      <c r="G219" s="11">
        <f>IF($AD219="","",INDEX('Per Line'!$G$2:$G$3001,$AD219))</f>
        <v/>
      </c>
      <c r="H219">
        <f>IF($AD219="","",INDEX('Per Line'!$J$2:$J$3001,$AD219)&amp;"")</f>
        <v/>
      </c>
      <c r="I219">
        <f>IF($AD219="","",INDEX('Per Line'!$H$2:$H$3001,$AD219)&amp;"")</f>
        <v/>
      </c>
      <c r="J219">
        <f>IF($AD219="","",INDEX('Per Line'!$F$2:$F$3001,$AD219)&amp;"")</f>
        <v/>
      </c>
      <c r="K219">
        <f>IF($AD219="","",INDEX('Per Line'!$K$2:$K$3001,$AD219)&amp;"")</f>
        <v/>
      </c>
      <c r="L219">
        <f>IF($AD219="","",INDEX('Per Line'!$L$2:$L$3001,$AD219)&amp;"")</f>
        <v/>
      </c>
      <c r="M219">
        <f>IF($AD219="","",INDEX('Per Line'!$M$2:$M$3001,$AD219)&amp;"")</f>
        <v/>
      </c>
      <c r="N219">
        <f>IF($AD219="","",INDEX('Per Line'!$AC$2:$AC$3001,$AD219)&amp;"")</f>
        <v/>
      </c>
      <c r="O219">
        <f>IF($AD219="","",INDEX('Per Line'!$P$2:$P$3001,$AD219))</f>
        <v/>
      </c>
      <c r="P219" s="7">
        <f>IF($AD219="","",IF(AND(ISNUMBER(Q219),Q219&gt;0,AB219&gt;Q219),O219*Q219/100+(AB219-Q219),O219*AB219/100))</f>
        <v/>
      </c>
      <c r="Q219">
        <f>IF($AD219="","",INDEX('Per Line'!$AG$2:$AG$3001,$AD219))</f>
        <v/>
      </c>
      <c r="R219">
        <f>IF($AD219="","",IF(AND(ISNUMBER(Q219),Q219&gt;0),AB219&gt;Q219,FALSE))</f>
        <v/>
      </c>
      <c r="S219" s="7">
        <f>IF($AD219="","",SUMIFS('Per Line'!$AB$2:$AB$3001,'Per Line'!$E$2:$E$3001,$B219,'Per Line'!$AQ$2:$AQ$3001,1))</f>
        <v/>
      </c>
      <c r="T219">
        <f>IF($AD219="","",Settings!$C$7)</f>
        <v/>
      </c>
      <c r="U219" s="7">
        <f>IF($AD219="","",SUMIFS('Per Line'!$AB$2:$AB$3001,'Per Line'!$E$2:$E$3001,$B219,'Per Line'!$AP$2:$AP$3001,0,'Per Line'!$AQ$2:$AQ$3001,0))</f>
        <v/>
      </c>
      <c r="V219" s="7">
        <f>IF($AD219="","",U219*T219)</f>
        <v/>
      </c>
      <c r="W219">
        <f>IF($AD219="","",Settings!$C$6)</f>
        <v/>
      </c>
      <c r="X219" s="7">
        <f>IF($AD219="","",SUMIFS('Per Line'!$AB$2:$AB$3001,'Per Line'!$E$2:$E$3001,$B219,'Per Line'!$AP$2:$AP$3001,1,'Per Line'!$AQ$2:$AQ$3001,0))</f>
        <v/>
      </c>
      <c r="Y219" s="7">
        <f>IF($AD219="","",X219*W219)</f>
        <v/>
      </c>
      <c r="Z219" s="7">
        <f>IF($AD219="","",Y219+V219)</f>
        <v/>
      </c>
      <c r="AA219" s="7">
        <f>IF($AD219="","",AB219-Z219)</f>
        <v/>
      </c>
      <c r="AB219" s="7">
        <f>IF($AD219="","",U219+X219+S219)</f>
        <v/>
      </c>
      <c r="AC219" s="7">
        <f>IF($AD219="","",AB219-Z219-P219)</f>
        <v/>
      </c>
      <c r="AD219" s="13">
        <f>IF(ROWS($AD$2:$AD219)&lt;=MAX('Per Line'!$AO$2:$AO$3001),MATCH(ROWS($AD$2:$AD219),'Per Line'!$AO$2:$AO$3001,0),"")</f>
        <v/>
      </c>
      <c r="AE219" s="14">
        <f>IF($AD219="","",P219-O219*AB219/100)</f>
        <v/>
      </c>
    </row>
    <row r="220">
      <c r="A220" s="12" t="n"/>
      <c r="B220">
        <f>IF($AD220="","",INDEX('Per Line'!$E$2:$E$3001,$AD220)&amp;"")</f>
        <v/>
      </c>
      <c r="C220">
        <f>IF($AD220="","",INDEX('Per Line'!$A$2:$A$3001,$AD220)&amp;"")</f>
        <v/>
      </c>
      <c r="D220">
        <f>IF($AD220="","",INDEX('Per Line'!$C$2:$C$3001,$AD220)&amp;"")</f>
        <v/>
      </c>
      <c r="E220">
        <f>IF($AD220="","",INDEX('Per Line'!$B$2:$B$3001,$AD220))</f>
        <v/>
      </c>
      <c r="F220">
        <f>IF($AD220="","",INDEX('Per Line'!$D$2:$D$3001,$AD220)&amp;"")</f>
        <v/>
      </c>
      <c r="G220" s="11">
        <f>IF($AD220="","",INDEX('Per Line'!$G$2:$G$3001,$AD220))</f>
        <v/>
      </c>
      <c r="H220">
        <f>IF($AD220="","",INDEX('Per Line'!$J$2:$J$3001,$AD220)&amp;"")</f>
        <v/>
      </c>
      <c r="I220">
        <f>IF($AD220="","",INDEX('Per Line'!$H$2:$H$3001,$AD220)&amp;"")</f>
        <v/>
      </c>
      <c r="J220">
        <f>IF($AD220="","",INDEX('Per Line'!$F$2:$F$3001,$AD220)&amp;"")</f>
        <v/>
      </c>
      <c r="K220">
        <f>IF($AD220="","",INDEX('Per Line'!$K$2:$K$3001,$AD220)&amp;"")</f>
        <v/>
      </c>
      <c r="L220">
        <f>IF($AD220="","",INDEX('Per Line'!$L$2:$L$3001,$AD220)&amp;"")</f>
        <v/>
      </c>
      <c r="M220">
        <f>IF($AD220="","",INDEX('Per Line'!$M$2:$M$3001,$AD220)&amp;"")</f>
        <v/>
      </c>
      <c r="N220">
        <f>IF($AD220="","",INDEX('Per Line'!$AC$2:$AC$3001,$AD220)&amp;"")</f>
        <v/>
      </c>
      <c r="O220">
        <f>IF($AD220="","",INDEX('Per Line'!$P$2:$P$3001,$AD220))</f>
        <v/>
      </c>
      <c r="P220" s="7">
        <f>IF($AD220="","",IF(AND(ISNUMBER(Q220),Q220&gt;0,AB220&gt;Q220),O220*Q220/100+(AB220-Q220),O220*AB220/100))</f>
        <v/>
      </c>
      <c r="Q220">
        <f>IF($AD220="","",INDEX('Per Line'!$AG$2:$AG$3001,$AD220))</f>
        <v/>
      </c>
      <c r="R220">
        <f>IF($AD220="","",IF(AND(ISNUMBER(Q220),Q220&gt;0),AB220&gt;Q220,FALSE))</f>
        <v/>
      </c>
      <c r="S220" s="7">
        <f>IF($AD220="","",SUMIFS('Per Line'!$AB$2:$AB$3001,'Per Line'!$E$2:$E$3001,$B220,'Per Line'!$AQ$2:$AQ$3001,1))</f>
        <v/>
      </c>
      <c r="T220">
        <f>IF($AD220="","",Settings!$C$7)</f>
        <v/>
      </c>
      <c r="U220" s="7">
        <f>IF($AD220="","",SUMIFS('Per Line'!$AB$2:$AB$3001,'Per Line'!$E$2:$E$3001,$B220,'Per Line'!$AP$2:$AP$3001,0,'Per Line'!$AQ$2:$AQ$3001,0))</f>
        <v/>
      </c>
      <c r="V220" s="7">
        <f>IF($AD220="","",U220*T220)</f>
        <v/>
      </c>
      <c r="W220">
        <f>IF($AD220="","",Settings!$C$6)</f>
        <v/>
      </c>
      <c r="X220" s="7">
        <f>IF($AD220="","",SUMIFS('Per Line'!$AB$2:$AB$3001,'Per Line'!$E$2:$E$3001,$B220,'Per Line'!$AP$2:$AP$3001,1,'Per Line'!$AQ$2:$AQ$3001,0))</f>
        <v/>
      </c>
      <c r="Y220" s="7">
        <f>IF($AD220="","",X220*W220)</f>
        <v/>
      </c>
      <c r="Z220" s="7">
        <f>IF($AD220="","",Y220+V220)</f>
        <v/>
      </c>
      <c r="AA220" s="7">
        <f>IF($AD220="","",AB220-Z220)</f>
        <v/>
      </c>
      <c r="AB220" s="7">
        <f>IF($AD220="","",U220+X220+S220)</f>
        <v/>
      </c>
      <c r="AC220" s="7">
        <f>IF($AD220="","",AB220-Z220-P220)</f>
        <v/>
      </c>
      <c r="AD220" s="13">
        <f>IF(ROWS($AD$2:$AD220)&lt;=MAX('Per Line'!$AO$2:$AO$3001),MATCH(ROWS($AD$2:$AD220),'Per Line'!$AO$2:$AO$3001,0),"")</f>
        <v/>
      </c>
      <c r="AE220" s="14">
        <f>IF($AD220="","",P220-O220*AB220/100)</f>
        <v/>
      </c>
    </row>
    <row r="221">
      <c r="A221" s="12" t="n"/>
      <c r="B221">
        <f>IF($AD221="","",INDEX('Per Line'!$E$2:$E$3001,$AD221)&amp;"")</f>
        <v/>
      </c>
      <c r="C221">
        <f>IF($AD221="","",INDEX('Per Line'!$A$2:$A$3001,$AD221)&amp;"")</f>
        <v/>
      </c>
      <c r="D221">
        <f>IF($AD221="","",INDEX('Per Line'!$C$2:$C$3001,$AD221)&amp;"")</f>
        <v/>
      </c>
      <c r="E221">
        <f>IF($AD221="","",INDEX('Per Line'!$B$2:$B$3001,$AD221))</f>
        <v/>
      </c>
      <c r="F221">
        <f>IF($AD221="","",INDEX('Per Line'!$D$2:$D$3001,$AD221)&amp;"")</f>
        <v/>
      </c>
      <c r="G221" s="11">
        <f>IF($AD221="","",INDEX('Per Line'!$G$2:$G$3001,$AD221))</f>
        <v/>
      </c>
      <c r="H221">
        <f>IF($AD221="","",INDEX('Per Line'!$J$2:$J$3001,$AD221)&amp;"")</f>
        <v/>
      </c>
      <c r="I221">
        <f>IF($AD221="","",INDEX('Per Line'!$H$2:$H$3001,$AD221)&amp;"")</f>
        <v/>
      </c>
      <c r="J221">
        <f>IF($AD221="","",INDEX('Per Line'!$F$2:$F$3001,$AD221)&amp;"")</f>
        <v/>
      </c>
      <c r="K221">
        <f>IF($AD221="","",INDEX('Per Line'!$K$2:$K$3001,$AD221)&amp;"")</f>
        <v/>
      </c>
      <c r="L221">
        <f>IF($AD221="","",INDEX('Per Line'!$L$2:$L$3001,$AD221)&amp;"")</f>
        <v/>
      </c>
      <c r="M221">
        <f>IF($AD221="","",INDEX('Per Line'!$M$2:$M$3001,$AD221)&amp;"")</f>
        <v/>
      </c>
      <c r="N221">
        <f>IF($AD221="","",INDEX('Per Line'!$AC$2:$AC$3001,$AD221)&amp;"")</f>
        <v/>
      </c>
      <c r="O221">
        <f>IF($AD221="","",INDEX('Per Line'!$P$2:$P$3001,$AD221))</f>
        <v/>
      </c>
      <c r="P221" s="7">
        <f>IF($AD221="","",IF(AND(ISNUMBER(Q221),Q221&gt;0,AB221&gt;Q221),O221*Q221/100+(AB221-Q221),O221*AB221/100))</f>
        <v/>
      </c>
      <c r="Q221">
        <f>IF($AD221="","",INDEX('Per Line'!$AG$2:$AG$3001,$AD221))</f>
        <v/>
      </c>
      <c r="R221">
        <f>IF($AD221="","",IF(AND(ISNUMBER(Q221),Q221&gt;0),AB221&gt;Q221,FALSE))</f>
        <v/>
      </c>
      <c r="S221" s="7">
        <f>IF($AD221="","",SUMIFS('Per Line'!$AB$2:$AB$3001,'Per Line'!$E$2:$E$3001,$B221,'Per Line'!$AQ$2:$AQ$3001,1))</f>
        <v/>
      </c>
      <c r="T221">
        <f>IF($AD221="","",Settings!$C$7)</f>
        <v/>
      </c>
      <c r="U221" s="7">
        <f>IF($AD221="","",SUMIFS('Per Line'!$AB$2:$AB$3001,'Per Line'!$E$2:$E$3001,$B221,'Per Line'!$AP$2:$AP$3001,0,'Per Line'!$AQ$2:$AQ$3001,0))</f>
        <v/>
      </c>
      <c r="V221" s="7">
        <f>IF($AD221="","",U221*T221)</f>
        <v/>
      </c>
      <c r="W221">
        <f>IF($AD221="","",Settings!$C$6)</f>
        <v/>
      </c>
      <c r="X221" s="7">
        <f>IF($AD221="","",SUMIFS('Per Line'!$AB$2:$AB$3001,'Per Line'!$E$2:$E$3001,$B221,'Per Line'!$AP$2:$AP$3001,1,'Per Line'!$AQ$2:$AQ$3001,0))</f>
        <v/>
      </c>
      <c r="Y221" s="7">
        <f>IF($AD221="","",X221*W221)</f>
        <v/>
      </c>
      <c r="Z221" s="7">
        <f>IF($AD221="","",Y221+V221)</f>
        <v/>
      </c>
      <c r="AA221" s="7">
        <f>IF($AD221="","",AB221-Z221)</f>
        <v/>
      </c>
      <c r="AB221" s="7">
        <f>IF($AD221="","",U221+X221+S221)</f>
        <v/>
      </c>
      <c r="AC221" s="7">
        <f>IF($AD221="","",AB221-Z221-P221)</f>
        <v/>
      </c>
      <c r="AD221" s="13">
        <f>IF(ROWS($AD$2:$AD221)&lt;=MAX('Per Line'!$AO$2:$AO$3001),MATCH(ROWS($AD$2:$AD221),'Per Line'!$AO$2:$AO$3001,0),"")</f>
        <v/>
      </c>
      <c r="AE221" s="14">
        <f>IF($AD221="","",P221-O221*AB221/100)</f>
        <v/>
      </c>
    </row>
    <row r="222">
      <c r="A222" s="12" t="n"/>
      <c r="B222">
        <f>IF($AD222="","",INDEX('Per Line'!$E$2:$E$3001,$AD222)&amp;"")</f>
        <v/>
      </c>
      <c r="C222">
        <f>IF($AD222="","",INDEX('Per Line'!$A$2:$A$3001,$AD222)&amp;"")</f>
        <v/>
      </c>
      <c r="D222">
        <f>IF($AD222="","",INDEX('Per Line'!$C$2:$C$3001,$AD222)&amp;"")</f>
        <v/>
      </c>
      <c r="E222">
        <f>IF($AD222="","",INDEX('Per Line'!$B$2:$B$3001,$AD222))</f>
        <v/>
      </c>
      <c r="F222">
        <f>IF($AD222="","",INDEX('Per Line'!$D$2:$D$3001,$AD222)&amp;"")</f>
        <v/>
      </c>
      <c r="G222" s="11">
        <f>IF($AD222="","",INDEX('Per Line'!$G$2:$G$3001,$AD222))</f>
        <v/>
      </c>
      <c r="H222">
        <f>IF($AD222="","",INDEX('Per Line'!$J$2:$J$3001,$AD222)&amp;"")</f>
        <v/>
      </c>
      <c r="I222">
        <f>IF($AD222="","",INDEX('Per Line'!$H$2:$H$3001,$AD222)&amp;"")</f>
        <v/>
      </c>
      <c r="J222">
        <f>IF($AD222="","",INDEX('Per Line'!$F$2:$F$3001,$AD222)&amp;"")</f>
        <v/>
      </c>
      <c r="K222">
        <f>IF($AD222="","",INDEX('Per Line'!$K$2:$K$3001,$AD222)&amp;"")</f>
        <v/>
      </c>
      <c r="L222">
        <f>IF($AD222="","",INDEX('Per Line'!$L$2:$L$3001,$AD222)&amp;"")</f>
        <v/>
      </c>
      <c r="M222">
        <f>IF($AD222="","",INDEX('Per Line'!$M$2:$M$3001,$AD222)&amp;"")</f>
        <v/>
      </c>
      <c r="N222">
        <f>IF($AD222="","",INDEX('Per Line'!$AC$2:$AC$3001,$AD222)&amp;"")</f>
        <v/>
      </c>
      <c r="O222">
        <f>IF($AD222="","",INDEX('Per Line'!$P$2:$P$3001,$AD222))</f>
        <v/>
      </c>
      <c r="P222" s="7">
        <f>IF($AD222="","",IF(AND(ISNUMBER(Q222),Q222&gt;0,AB222&gt;Q222),O222*Q222/100+(AB222-Q222),O222*AB222/100))</f>
        <v/>
      </c>
      <c r="Q222">
        <f>IF($AD222="","",INDEX('Per Line'!$AG$2:$AG$3001,$AD222))</f>
        <v/>
      </c>
      <c r="R222">
        <f>IF($AD222="","",IF(AND(ISNUMBER(Q222),Q222&gt;0),AB222&gt;Q222,FALSE))</f>
        <v/>
      </c>
      <c r="S222" s="7">
        <f>IF($AD222="","",SUMIFS('Per Line'!$AB$2:$AB$3001,'Per Line'!$E$2:$E$3001,$B222,'Per Line'!$AQ$2:$AQ$3001,1))</f>
        <v/>
      </c>
      <c r="T222">
        <f>IF($AD222="","",Settings!$C$7)</f>
        <v/>
      </c>
      <c r="U222" s="7">
        <f>IF($AD222="","",SUMIFS('Per Line'!$AB$2:$AB$3001,'Per Line'!$E$2:$E$3001,$B222,'Per Line'!$AP$2:$AP$3001,0,'Per Line'!$AQ$2:$AQ$3001,0))</f>
        <v/>
      </c>
      <c r="V222" s="7">
        <f>IF($AD222="","",U222*T222)</f>
        <v/>
      </c>
      <c r="W222">
        <f>IF($AD222="","",Settings!$C$6)</f>
        <v/>
      </c>
      <c r="X222" s="7">
        <f>IF($AD222="","",SUMIFS('Per Line'!$AB$2:$AB$3001,'Per Line'!$E$2:$E$3001,$B222,'Per Line'!$AP$2:$AP$3001,1,'Per Line'!$AQ$2:$AQ$3001,0))</f>
        <v/>
      </c>
      <c r="Y222" s="7">
        <f>IF($AD222="","",X222*W222)</f>
        <v/>
      </c>
      <c r="Z222" s="7">
        <f>IF($AD222="","",Y222+V222)</f>
        <v/>
      </c>
      <c r="AA222" s="7">
        <f>IF($AD222="","",AB222-Z222)</f>
        <v/>
      </c>
      <c r="AB222" s="7">
        <f>IF($AD222="","",U222+X222+S222)</f>
        <v/>
      </c>
      <c r="AC222" s="7">
        <f>IF($AD222="","",AB222-Z222-P222)</f>
        <v/>
      </c>
      <c r="AD222" s="13">
        <f>IF(ROWS($AD$2:$AD222)&lt;=MAX('Per Line'!$AO$2:$AO$3001),MATCH(ROWS($AD$2:$AD222),'Per Line'!$AO$2:$AO$3001,0),"")</f>
        <v/>
      </c>
      <c r="AE222" s="14">
        <f>IF($AD222="","",P222-O222*AB222/100)</f>
        <v/>
      </c>
    </row>
    <row r="223">
      <c r="A223" s="12" t="n"/>
      <c r="B223">
        <f>IF($AD223="","",INDEX('Per Line'!$E$2:$E$3001,$AD223)&amp;"")</f>
        <v/>
      </c>
      <c r="C223">
        <f>IF($AD223="","",INDEX('Per Line'!$A$2:$A$3001,$AD223)&amp;"")</f>
        <v/>
      </c>
      <c r="D223">
        <f>IF($AD223="","",INDEX('Per Line'!$C$2:$C$3001,$AD223)&amp;"")</f>
        <v/>
      </c>
      <c r="E223">
        <f>IF($AD223="","",INDEX('Per Line'!$B$2:$B$3001,$AD223))</f>
        <v/>
      </c>
      <c r="F223">
        <f>IF($AD223="","",INDEX('Per Line'!$D$2:$D$3001,$AD223)&amp;"")</f>
        <v/>
      </c>
      <c r="G223" s="11">
        <f>IF($AD223="","",INDEX('Per Line'!$G$2:$G$3001,$AD223))</f>
        <v/>
      </c>
      <c r="H223">
        <f>IF($AD223="","",INDEX('Per Line'!$J$2:$J$3001,$AD223)&amp;"")</f>
        <v/>
      </c>
      <c r="I223">
        <f>IF($AD223="","",INDEX('Per Line'!$H$2:$H$3001,$AD223)&amp;"")</f>
        <v/>
      </c>
      <c r="J223">
        <f>IF($AD223="","",INDEX('Per Line'!$F$2:$F$3001,$AD223)&amp;"")</f>
        <v/>
      </c>
      <c r="K223">
        <f>IF($AD223="","",INDEX('Per Line'!$K$2:$K$3001,$AD223)&amp;"")</f>
        <v/>
      </c>
      <c r="L223">
        <f>IF($AD223="","",INDEX('Per Line'!$L$2:$L$3001,$AD223)&amp;"")</f>
        <v/>
      </c>
      <c r="M223">
        <f>IF($AD223="","",INDEX('Per Line'!$M$2:$M$3001,$AD223)&amp;"")</f>
        <v/>
      </c>
      <c r="N223">
        <f>IF($AD223="","",INDEX('Per Line'!$AC$2:$AC$3001,$AD223)&amp;"")</f>
        <v/>
      </c>
      <c r="O223">
        <f>IF($AD223="","",INDEX('Per Line'!$P$2:$P$3001,$AD223))</f>
        <v/>
      </c>
      <c r="P223" s="7">
        <f>IF($AD223="","",IF(AND(ISNUMBER(Q223),Q223&gt;0,AB223&gt;Q223),O223*Q223/100+(AB223-Q223),O223*AB223/100))</f>
        <v/>
      </c>
      <c r="Q223">
        <f>IF($AD223="","",INDEX('Per Line'!$AG$2:$AG$3001,$AD223))</f>
        <v/>
      </c>
      <c r="R223">
        <f>IF($AD223="","",IF(AND(ISNUMBER(Q223),Q223&gt;0),AB223&gt;Q223,FALSE))</f>
        <v/>
      </c>
      <c r="S223" s="7">
        <f>IF($AD223="","",SUMIFS('Per Line'!$AB$2:$AB$3001,'Per Line'!$E$2:$E$3001,$B223,'Per Line'!$AQ$2:$AQ$3001,1))</f>
        <v/>
      </c>
      <c r="T223">
        <f>IF($AD223="","",Settings!$C$7)</f>
        <v/>
      </c>
      <c r="U223" s="7">
        <f>IF($AD223="","",SUMIFS('Per Line'!$AB$2:$AB$3001,'Per Line'!$E$2:$E$3001,$B223,'Per Line'!$AP$2:$AP$3001,0,'Per Line'!$AQ$2:$AQ$3001,0))</f>
        <v/>
      </c>
      <c r="V223" s="7">
        <f>IF($AD223="","",U223*T223)</f>
        <v/>
      </c>
      <c r="W223">
        <f>IF($AD223="","",Settings!$C$6)</f>
        <v/>
      </c>
      <c r="X223" s="7">
        <f>IF($AD223="","",SUMIFS('Per Line'!$AB$2:$AB$3001,'Per Line'!$E$2:$E$3001,$B223,'Per Line'!$AP$2:$AP$3001,1,'Per Line'!$AQ$2:$AQ$3001,0))</f>
        <v/>
      </c>
      <c r="Y223" s="7">
        <f>IF($AD223="","",X223*W223)</f>
        <v/>
      </c>
      <c r="Z223" s="7">
        <f>IF($AD223="","",Y223+V223)</f>
        <v/>
      </c>
      <c r="AA223" s="7">
        <f>IF($AD223="","",AB223-Z223)</f>
        <v/>
      </c>
      <c r="AB223" s="7">
        <f>IF($AD223="","",U223+X223+S223)</f>
        <v/>
      </c>
      <c r="AC223" s="7">
        <f>IF($AD223="","",AB223-Z223-P223)</f>
        <v/>
      </c>
      <c r="AD223" s="13">
        <f>IF(ROWS($AD$2:$AD223)&lt;=MAX('Per Line'!$AO$2:$AO$3001),MATCH(ROWS($AD$2:$AD223),'Per Line'!$AO$2:$AO$3001,0),"")</f>
        <v/>
      </c>
      <c r="AE223" s="14">
        <f>IF($AD223="","",P223-O223*AB223/100)</f>
        <v/>
      </c>
    </row>
    <row r="224">
      <c r="A224" s="12" t="n"/>
      <c r="B224">
        <f>IF($AD224="","",INDEX('Per Line'!$E$2:$E$3001,$AD224)&amp;"")</f>
        <v/>
      </c>
      <c r="C224">
        <f>IF($AD224="","",INDEX('Per Line'!$A$2:$A$3001,$AD224)&amp;"")</f>
        <v/>
      </c>
      <c r="D224">
        <f>IF($AD224="","",INDEX('Per Line'!$C$2:$C$3001,$AD224)&amp;"")</f>
        <v/>
      </c>
      <c r="E224">
        <f>IF($AD224="","",INDEX('Per Line'!$B$2:$B$3001,$AD224))</f>
        <v/>
      </c>
      <c r="F224">
        <f>IF($AD224="","",INDEX('Per Line'!$D$2:$D$3001,$AD224)&amp;"")</f>
        <v/>
      </c>
      <c r="G224" s="11">
        <f>IF($AD224="","",INDEX('Per Line'!$G$2:$G$3001,$AD224))</f>
        <v/>
      </c>
      <c r="H224">
        <f>IF($AD224="","",INDEX('Per Line'!$J$2:$J$3001,$AD224)&amp;"")</f>
        <v/>
      </c>
      <c r="I224">
        <f>IF($AD224="","",INDEX('Per Line'!$H$2:$H$3001,$AD224)&amp;"")</f>
        <v/>
      </c>
      <c r="J224">
        <f>IF($AD224="","",INDEX('Per Line'!$F$2:$F$3001,$AD224)&amp;"")</f>
        <v/>
      </c>
      <c r="K224">
        <f>IF($AD224="","",INDEX('Per Line'!$K$2:$K$3001,$AD224)&amp;"")</f>
        <v/>
      </c>
      <c r="L224">
        <f>IF($AD224="","",INDEX('Per Line'!$L$2:$L$3001,$AD224)&amp;"")</f>
        <v/>
      </c>
      <c r="M224">
        <f>IF($AD224="","",INDEX('Per Line'!$M$2:$M$3001,$AD224)&amp;"")</f>
        <v/>
      </c>
      <c r="N224">
        <f>IF($AD224="","",INDEX('Per Line'!$AC$2:$AC$3001,$AD224)&amp;"")</f>
        <v/>
      </c>
      <c r="O224">
        <f>IF($AD224="","",INDEX('Per Line'!$P$2:$P$3001,$AD224))</f>
        <v/>
      </c>
      <c r="P224" s="7">
        <f>IF($AD224="","",IF(AND(ISNUMBER(Q224),Q224&gt;0,AB224&gt;Q224),O224*Q224/100+(AB224-Q224),O224*AB224/100))</f>
        <v/>
      </c>
      <c r="Q224">
        <f>IF($AD224="","",INDEX('Per Line'!$AG$2:$AG$3001,$AD224))</f>
        <v/>
      </c>
      <c r="R224">
        <f>IF($AD224="","",IF(AND(ISNUMBER(Q224),Q224&gt;0),AB224&gt;Q224,FALSE))</f>
        <v/>
      </c>
      <c r="S224" s="7">
        <f>IF($AD224="","",SUMIFS('Per Line'!$AB$2:$AB$3001,'Per Line'!$E$2:$E$3001,$B224,'Per Line'!$AQ$2:$AQ$3001,1))</f>
        <v/>
      </c>
      <c r="T224">
        <f>IF($AD224="","",Settings!$C$7)</f>
        <v/>
      </c>
      <c r="U224" s="7">
        <f>IF($AD224="","",SUMIFS('Per Line'!$AB$2:$AB$3001,'Per Line'!$E$2:$E$3001,$B224,'Per Line'!$AP$2:$AP$3001,0,'Per Line'!$AQ$2:$AQ$3001,0))</f>
        <v/>
      </c>
      <c r="V224" s="7">
        <f>IF($AD224="","",U224*T224)</f>
        <v/>
      </c>
      <c r="W224">
        <f>IF($AD224="","",Settings!$C$6)</f>
        <v/>
      </c>
      <c r="X224" s="7">
        <f>IF($AD224="","",SUMIFS('Per Line'!$AB$2:$AB$3001,'Per Line'!$E$2:$E$3001,$B224,'Per Line'!$AP$2:$AP$3001,1,'Per Line'!$AQ$2:$AQ$3001,0))</f>
        <v/>
      </c>
      <c r="Y224" s="7">
        <f>IF($AD224="","",X224*W224)</f>
        <v/>
      </c>
      <c r="Z224" s="7">
        <f>IF($AD224="","",Y224+V224)</f>
        <v/>
      </c>
      <c r="AA224" s="7">
        <f>IF($AD224="","",AB224-Z224)</f>
        <v/>
      </c>
      <c r="AB224" s="7">
        <f>IF($AD224="","",U224+X224+S224)</f>
        <v/>
      </c>
      <c r="AC224" s="7">
        <f>IF($AD224="","",AB224-Z224-P224)</f>
        <v/>
      </c>
      <c r="AD224" s="13">
        <f>IF(ROWS($AD$2:$AD224)&lt;=MAX('Per Line'!$AO$2:$AO$3001),MATCH(ROWS($AD$2:$AD224),'Per Line'!$AO$2:$AO$3001,0),"")</f>
        <v/>
      </c>
      <c r="AE224" s="14">
        <f>IF($AD224="","",P224-O224*AB224/100)</f>
        <v/>
      </c>
    </row>
    <row r="225">
      <c r="A225" s="12" t="n"/>
      <c r="B225">
        <f>IF($AD225="","",INDEX('Per Line'!$E$2:$E$3001,$AD225)&amp;"")</f>
        <v/>
      </c>
      <c r="C225">
        <f>IF($AD225="","",INDEX('Per Line'!$A$2:$A$3001,$AD225)&amp;"")</f>
        <v/>
      </c>
      <c r="D225">
        <f>IF($AD225="","",INDEX('Per Line'!$C$2:$C$3001,$AD225)&amp;"")</f>
        <v/>
      </c>
      <c r="E225">
        <f>IF($AD225="","",INDEX('Per Line'!$B$2:$B$3001,$AD225))</f>
        <v/>
      </c>
      <c r="F225">
        <f>IF($AD225="","",INDEX('Per Line'!$D$2:$D$3001,$AD225)&amp;"")</f>
        <v/>
      </c>
      <c r="G225" s="11">
        <f>IF($AD225="","",INDEX('Per Line'!$G$2:$G$3001,$AD225))</f>
        <v/>
      </c>
      <c r="H225">
        <f>IF($AD225="","",INDEX('Per Line'!$J$2:$J$3001,$AD225)&amp;"")</f>
        <v/>
      </c>
      <c r="I225">
        <f>IF($AD225="","",INDEX('Per Line'!$H$2:$H$3001,$AD225)&amp;"")</f>
        <v/>
      </c>
      <c r="J225">
        <f>IF($AD225="","",INDEX('Per Line'!$F$2:$F$3001,$AD225)&amp;"")</f>
        <v/>
      </c>
      <c r="K225">
        <f>IF($AD225="","",INDEX('Per Line'!$K$2:$K$3001,$AD225)&amp;"")</f>
        <v/>
      </c>
      <c r="L225">
        <f>IF($AD225="","",INDEX('Per Line'!$L$2:$L$3001,$AD225)&amp;"")</f>
        <v/>
      </c>
      <c r="M225">
        <f>IF($AD225="","",INDEX('Per Line'!$M$2:$M$3001,$AD225)&amp;"")</f>
        <v/>
      </c>
      <c r="N225">
        <f>IF($AD225="","",INDEX('Per Line'!$AC$2:$AC$3001,$AD225)&amp;"")</f>
        <v/>
      </c>
      <c r="O225">
        <f>IF($AD225="","",INDEX('Per Line'!$P$2:$P$3001,$AD225))</f>
        <v/>
      </c>
      <c r="P225" s="7">
        <f>IF($AD225="","",IF(AND(ISNUMBER(Q225),Q225&gt;0,AB225&gt;Q225),O225*Q225/100+(AB225-Q225),O225*AB225/100))</f>
        <v/>
      </c>
      <c r="Q225">
        <f>IF($AD225="","",INDEX('Per Line'!$AG$2:$AG$3001,$AD225))</f>
        <v/>
      </c>
      <c r="R225">
        <f>IF($AD225="","",IF(AND(ISNUMBER(Q225),Q225&gt;0),AB225&gt;Q225,FALSE))</f>
        <v/>
      </c>
      <c r="S225" s="7">
        <f>IF($AD225="","",SUMIFS('Per Line'!$AB$2:$AB$3001,'Per Line'!$E$2:$E$3001,$B225,'Per Line'!$AQ$2:$AQ$3001,1))</f>
        <v/>
      </c>
      <c r="T225">
        <f>IF($AD225="","",Settings!$C$7)</f>
        <v/>
      </c>
      <c r="U225" s="7">
        <f>IF($AD225="","",SUMIFS('Per Line'!$AB$2:$AB$3001,'Per Line'!$E$2:$E$3001,$B225,'Per Line'!$AP$2:$AP$3001,0,'Per Line'!$AQ$2:$AQ$3001,0))</f>
        <v/>
      </c>
      <c r="V225" s="7">
        <f>IF($AD225="","",U225*T225)</f>
        <v/>
      </c>
      <c r="W225">
        <f>IF($AD225="","",Settings!$C$6)</f>
        <v/>
      </c>
      <c r="X225" s="7">
        <f>IF($AD225="","",SUMIFS('Per Line'!$AB$2:$AB$3001,'Per Line'!$E$2:$E$3001,$B225,'Per Line'!$AP$2:$AP$3001,1,'Per Line'!$AQ$2:$AQ$3001,0))</f>
        <v/>
      </c>
      <c r="Y225" s="7">
        <f>IF($AD225="","",X225*W225)</f>
        <v/>
      </c>
      <c r="Z225" s="7">
        <f>IF($AD225="","",Y225+V225)</f>
        <v/>
      </c>
      <c r="AA225" s="7">
        <f>IF($AD225="","",AB225-Z225)</f>
        <v/>
      </c>
      <c r="AB225" s="7">
        <f>IF($AD225="","",U225+X225+S225)</f>
        <v/>
      </c>
      <c r="AC225" s="7">
        <f>IF($AD225="","",AB225-Z225-P225)</f>
        <v/>
      </c>
      <c r="AD225" s="13">
        <f>IF(ROWS($AD$2:$AD225)&lt;=MAX('Per Line'!$AO$2:$AO$3001),MATCH(ROWS($AD$2:$AD225),'Per Line'!$AO$2:$AO$3001,0),"")</f>
        <v/>
      </c>
      <c r="AE225" s="14">
        <f>IF($AD225="","",P225-O225*AB225/100)</f>
        <v/>
      </c>
    </row>
    <row r="226">
      <c r="A226" s="12" t="n"/>
      <c r="B226">
        <f>IF($AD226="","",INDEX('Per Line'!$E$2:$E$3001,$AD226)&amp;"")</f>
        <v/>
      </c>
      <c r="C226">
        <f>IF($AD226="","",INDEX('Per Line'!$A$2:$A$3001,$AD226)&amp;"")</f>
        <v/>
      </c>
      <c r="D226">
        <f>IF($AD226="","",INDEX('Per Line'!$C$2:$C$3001,$AD226)&amp;"")</f>
        <v/>
      </c>
      <c r="E226">
        <f>IF($AD226="","",INDEX('Per Line'!$B$2:$B$3001,$AD226))</f>
        <v/>
      </c>
      <c r="F226">
        <f>IF($AD226="","",INDEX('Per Line'!$D$2:$D$3001,$AD226)&amp;"")</f>
        <v/>
      </c>
      <c r="G226" s="11">
        <f>IF($AD226="","",INDEX('Per Line'!$G$2:$G$3001,$AD226))</f>
        <v/>
      </c>
      <c r="H226">
        <f>IF($AD226="","",INDEX('Per Line'!$J$2:$J$3001,$AD226)&amp;"")</f>
        <v/>
      </c>
      <c r="I226">
        <f>IF($AD226="","",INDEX('Per Line'!$H$2:$H$3001,$AD226)&amp;"")</f>
        <v/>
      </c>
      <c r="J226">
        <f>IF($AD226="","",INDEX('Per Line'!$F$2:$F$3001,$AD226)&amp;"")</f>
        <v/>
      </c>
      <c r="K226">
        <f>IF($AD226="","",INDEX('Per Line'!$K$2:$K$3001,$AD226)&amp;"")</f>
        <v/>
      </c>
      <c r="L226">
        <f>IF($AD226="","",INDEX('Per Line'!$L$2:$L$3001,$AD226)&amp;"")</f>
        <v/>
      </c>
      <c r="M226">
        <f>IF($AD226="","",INDEX('Per Line'!$M$2:$M$3001,$AD226)&amp;"")</f>
        <v/>
      </c>
      <c r="N226">
        <f>IF($AD226="","",INDEX('Per Line'!$AC$2:$AC$3001,$AD226)&amp;"")</f>
        <v/>
      </c>
      <c r="O226">
        <f>IF($AD226="","",INDEX('Per Line'!$P$2:$P$3001,$AD226))</f>
        <v/>
      </c>
      <c r="P226" s="7">
        <f>IF($AD226="","",IF(AND(ISNUMBER(Q226),Q226&gt;0,AB226&gt;Q226),O226*Q226/100+(AB226-Q226),O226*AB226/100))</f>
        <v/>
      </c>
      <c r="Q226">
        <f>IF($AD226="","",INDEX('Per Line'!$AG$2:$AG$3001,$AD226))</f>
        <v/>
      </c>
      <c r="R226">
        <f>IF($AD226="","",IF(AND(ISNUMBER(Q226),Q226&gt;0),AB226&gt;Q226,FALSE))</f>
        <v/>
      </c>
      <c r="S226" s="7">
        <f>IF($AD226="","",SUMIFS('Per Line'!$AB$2:$AB$3001,'Per Line'!$E$2:$E$3001,$B226,'Per Line'!$AQ$2:$AQ$3001,1))</f>
        <v/>
      </c>
      <c r="T226">
        <f>IF($AD226="","",Settings!$C$7)</f>
        <v/>
      </c>
      <c r="U226" s="7">
        <f>IF($AD226="","",SUMIFS('Per Line'!$AB$2:$AB$3001,'Per Line'!$E$2:$E$3001,$B226,'Per Line'!$AP$2:$AP$3001,0,'Per Line'!$AQ$2:$AQ$3001,0))</f>
        <v/>
      </c>
      <c r="V226" s="7">
        <f>IF($AD226="","",U226*T226)</f>
        <v/>
      </c>
      <c r="W226">
        <f>IF($AD226="","",Settings!$C$6)</f>
        <v/>
      </c>
      <c r="X226" s="7">
        <f>IF($AD226="","",SUMIFS('Per Line'!$AB$2:$AB$3001,'Per Line'!$E$2:$E$3001,$B226,'Per Line'!$AP$2:$AP$3001,1,'Per Line'!$AQ$2:$AQ$3001,0))</f>
        <v/>
      </c>
      <c r="Y226" s="7">
        <f>IF($AD226="","",X226*W226)</f>
        <v/>
      </c>
      <c r="Z226" s="7">
        <f>IF($AD226="","",Y226+V226)</f>
        <v/>
      </c>
      <c r="AA226" s="7">
        <f>IF($AD226="","",AB226-Z226)</f>
        <v/>
      </c>
      <c r="AB226" s="7">
        <f>IF($AD226="","",U226+X226+S226)</f>
        <v/>
      </c>
      <c r="AC226" s="7">
        <f>IF($AD226="","",AB226-Z226-P226)</f>
        <v/>
      </c>
      <c r="AD226" s="13">
        <f>IF(ROWS($AD$2:$AD226)&lt;=MAX('Per Line'!$AO$2:$AO$3001),MATCH(ROWS($AD$2:$AD226),'Per Line'!$AO$2:$AO$3001,0),"")</f>
        <v/>
      </c>
      <c r="AE226" s="14">
        <f>IF($AD226="","",P226-O226*AB226/100)</f>
        <v/>
      </c>
    </row>
    <row r="227">
      <c r="A227" s="12" t="n"/>
      <c r="B227">
        <f>IF($AD227="","",INDEX('Per Line'!$E$2:$E$3001,$AD227)&amp;"")</f>
        <v/>
      </c>
      <c r="C227">
        <f>IF($AD227="","",INDEX('Per Line'!$A$2:$A$3001,$AD227)&amp;"")</f>
        <v/>
      </c>
      <c r="D227">
        <f>IF($AD227="","",INDEX('Per Line'!$C$2:$C$3001,$AD227)&amp;"")</f>
        <v/>
      </c>
      <c r="E227">
        <f>IF($AD227="","",INDEX('Per Line'!$B$2:$B$3001,$AD227))</f>
        <v/>
      </c>
      <c r="F227">
        <f>IF($AD227="","",INDEX('Per Line'!$D$2:$D$3001,$AD227)&amp;"")</f>
        <v/>
      </c>
      <c r="G227" s="11">
        <f>IF($AD227="","",INDEX('Per Line'!$G$2:$G$3001,$AD227))</f>
        <v/>
      </c>
      <c r="H227">
        <f>IF($AD227="","",INDEX('Per Line'!$J$2:$J$3001,$AD227)&amp;"")</f>
        <v/>
      </c>
      <c r="I227">
        <f>IF($AD227="","",INDEX('Per Line'!$H$2:$H$3001,$AD227)&amp;"")</f>
        <v/>
      </c>
      <c r="J227">
        <f>IF($AD227="","",INDEX('Per Line'!$F$2:$F$3001,$AD227)&amp;"")</f>
        <v/>
      </c>
      <c r="K227">
        <f>IF($AD227="","",INDEX('Per Line'!$K$2:$K$3001,$AD227)&amp;"")</f>
        <v/>
      </c>
      <c r="L227">
        <f>IF($AD227="","",INDEX('Per Line'!$L$2:$L$3001,$AD227)&amp;"")</f>
        <v/>
      </c>
      <c r="M227">
        <f>IF($AD227="","",INDEX('Per Line'!$M$2:$M$3001,$AD227)&amp;"")</f>
        <v/>
      </c>
      <c r="N227">
        <f>IF($AD227="","",INDEX('Per Line'!$AC$2:$AC$3001,$AD227)&amp;"")</f>
        <v/>
      </c>
      <c r="O227">
        <f>IF($AD227="","",INDEX('Per Line'!$P$2:$P$3001,$AD227))</f>
        <v/>
      </c>
      <c r="P227" s="7">
        <f>IF($AD227="","",IF(AND(ISNUMBER(Q227),Q227&gt;0,AB227&gt;Q227),O227*Q227/100+(AB227-Q227),O227*AB227/100))</f>
        <v/>
      </c>
      <c r="Q227">
        <f>IF($AD227="","",INDEX('Per Line'!$AG$2:$AG$3001,$AD227))</f>
        <v/>
      </c>
      <c r="R227">
        <f>IF($AD227="","",IF(AND(ISNUMBER(Q227),Q227&gt;0),AB227&gt;Q227,FALSE))</f>
        <v/>
      </c>
      <c r="S227" s="7">
        <f>IF($AD227="","",SUMIFS('Per Line'!$AB$2:$AB$3001,'Per Line'!$E$2:$E$3001,$B227,'Per Line'!$AQ$2:$AQ$3001,1))</f>
        <v/>
      </c>
      <c r="T227">
        <f>IF($AD227="","",Settings!$C$7)</f>
        <v/>
      </c>
      <c r="U227" s="7">
        <f>IF($AD227="","",SUMIFS('Per Line'!$AB$2:$AB$3001,'Per Line'!$E$2:$E$3001,$B227,'Per Line'!$AP$2:$AP$3001,0,'Per Line'!$AQ$2:$AQ$3001,0))</f>
        <v/>
      </c>
      <c r="V227" s="7">
        <f>IF($AD227="","",U227*T227)</f>
        <v/>
      </c>
      <c r="W227">
        <f>IF($AD227="","",Settings!$C$6)</f>
        <v/>
      </c>
      <c r="X227" s="7">
        <f>IF($AD227="","",SUMIFS('Per Line'!$AB$2:$AB$3001,'Per Line'!$E$2:$E$3001,$B227,'Per Line'!$AP$2:$AP$3001,1,'Per Line'!$AQ$2:$AQ$3001,0))</f>
        <v/>
      </c>
      <c r="Y227" s="7">
        <f>IF($AD227="","",X227*W227)</f>
        <v/>
      </c>
      <c r="Z227" s="7">
        <f>IF($AD227="","",Y227+V227)</f>
        <v/>
      </c>
      <c r="AA227" s="7">
        <f>IF($AD227="","",AB227-Z227)</f>
        <v/>
      </c>
      <c r="AB227" s="7">
        <f>IF($AD227="","",U227+X227+S227)</f>
        <v/>
      </c>
      <c r="AC227" s="7">
        <f>IF($AD227="","",AB227-Z227-P227)</f>
        <v/>
      </c>
      <c r="AD227" s="13">
        <f>IF(ROWS($AD$2:$AD227)&lt;=MAX('Per Line'!$AO$2:$AO$3001),MATCH(ROWS($AD$2:$AD227),'Per Line'!$AO$2:$AO$3001,0),"")</f>
        <v/>
      </c>
      <c r="AE227" s="14">
        <f>IF($AD227="","",P227-O227*AB227/100)</f>
        <v/>
      </c>
    </row>
    <row r="228">
      <c r="A228" s="12" t="n"/>
      <c r="B228">
        <f>IF($AD228="","",INDEX('Per Line'!$E$2:$E$3001,$AD228)&amp;"")</f>
        <v/>
      </c>
      <c r="C228">
        <f>IF($AD228="","",INDEX('Per Line'!$A$2:$A$3001,$AD228)&amp;"")</f>
        <v/>
      </c>
      <c r="D228">
        <f>IF($AD228="","",INDEX('Per Line'!$C$2:$C$3001,$AD228)&amp;"")</f>
        <v/>
      </c>
      <c r="E228">
        <f>IF($AD228="","",INDEX('Per Line'!$B$2:$B$3001,$AD228))</f>
        <v/>
      </c>
      <c r="F228">
        <f>IF($AD228="","",INDEX('Per Line'!$D$2:$D$3001,$AD228)&amp;"")</f>
        <v/>
      </c>
      <c r="G228" s="11">
        <f>IF($AD228="","",INDEX('Per Line'!$G$2:$G$3001,$AD228))</f>
        <v/>
      </c>
      <c r="H228">
        <f>IF($AD228="","",INDEX('Per Line'!$J$2:$J$3001,$AD228)&amp;"")</f>
        <v/>
      </c>
      <c r="I228">
        <f>IF($AD228="","",INDEX('Per Line'!$H$2:$H$3001,$AD228)&amp;"")</f>
        <v/>
      </c>
      <c r="J228">
        <f>IF($AD228="","",INDEX('Per Line'!$F$2:$F$3001,$AD228)&amp;"")</f>
        <v/>
      </c>
      <c r="K228">
        <f>IF($AD228="","",INDEX('Per Line'!$K$2:$K$3001,$AD228)&amp;"")</f>
        <v/>
      </c>
      <c r="L228">
        <f>IF($AD228="","",INDEX('Per Line'!$L$2:$L$3001,$AD228)&amp;"")</f>
        <v/>
      </c>
      <c r="M228">
        <f>IF($AD228="","",INDEX('Per Line'!$M$2:$M$3001,$AD228)&amp;"")</f>
        <v/>
      </c>
      <c r="N228">
        <f>IF($AD228="","",INDEX('Per Line'!$AC$2:$AC$3001,$AD228)&amp;"")</f>
        <v/>
      </c>
      <c r="O228">
        <f>IF($AD228="","",INDEX('Per Line'!$P$2:$P$3001,$AD228))</f>
        <v/>
      </c>
      <c r="P228" s="7">
        <f>IF($AD228="","",IF(AND(ISNUMBER(Q228),Q228&gt;0,AB228&gt;Q228),O228*Q228/100+(AB228-Q228),O228*AB228/100))</f>
        <v/>
      </c>
      <c r="Q228">
        <f>IF($AD228="","",INDEX('Per Line'!$AG$2:$AG$3001,$AD228))</f>
        <v/>
      </c>
      <c r="R228">
        <f>IF($AD228="","",IF(AND(ISNUMBER(Q228),Q228&gt;0),AB228&gt;Q228,FALSE))</f>
        <v/>
      </c>
      <c r="S228" s="7">
        <f>IF($AD228="","",SUMIFS('Per Line'!$AB$2:$AB$3001,'Per Line'!$E$2:$E$3001,$B228,'Per Line'!$AQ$2:$AQ$3001,1))</f>
        <v/>
      </c>
      <c r="T228">
        <f>IF($AD228="","",Settings!$C$7)</f>
        <v/>
      </c>
      <c r="U228" s="7">
        <f>IF($AD228="","",SUMIFS('Per Line'!$AB$2:$AB$3001,'Per Line'!$E$2:$E$3001,$B228,'Per Line'!$AP$2:$AP$3001,0,'Per Line'!$AQ$2:$AQ$3001,0))</f>
        <v/>
      </c>
      <c r="V228" s="7">
        <f>IF($AD228="","",U228*T228)</f>
        <v/>
      </c>
      <c r="W228">
        <f>IF($AD228="","",Settings!$C$6)</f>
        <v/>
      </c>
      <c r="X228" s="7">
        <f>IF($AD228="","",SUMIFS('Per Line'!$AB$2:$AB$3001,'Per Line'!$E$2:$E$3001,$B228,'Per Line'!$AP$2:$AP$3001,1,'Per Line'!$AQ$2:$AQ$3001,0))</f>
        <v/>
      </c>
      <c r="Y228" s="7">
        <f>IF($AD228="","",X228*W228)</f>
        <v/>
      </c>
      <c r="Z228" s="7">
        <f>IF($AD228="","",Y228+V228)</f>
        <v/>
      </c>
      <c r="AA228" s="7">
        <f>IF($AD228="","",AB228-Z228)</f>
        <v/>
      </c>
      <c r="AB228" s="7">
        <f>IF($AD228="","",U228+X228+S228)</f>
        <v/>
      </c>
      <c r="AC228" s="7">
        <f>IF($AD228="","",AB228-Z228-P228)</f>
        <v/>
      </c>
      <c r="AD228" s="13">
        <f>IF(ROWS($AD$2:$AD228)&lt;=MAX('Per Line'!$AO$2:$AO$3001),MATCH(ROWS($AD$2:$AD228),'Per Line'!$AO$2:$AO$3001,0),"")</f>
        <v/>
      </c>
      <c r="AE228" s="14">
        <f>IF($AD228="","",P228-O228*AB228/100)</f>
        <v/>
      </c>
    </row>
    <row r="229">
      <c r="A229" s="12" t="n"/>
      <c r="B229">
        <f>IF($AD229="","",INDEX('Per Line'!$E$2:$E$3001,$AD229)&amp;"")</f>
        <v/>
      </c>
      <c r="C229">
        <f>IF($AD229="","",INDEX('Per Line'!$A$2:$A$3001,$AD229)&amp;"")</f>
        <v/>
      </c>
      <c r="D229">
        <f>IF($AD229="","",INDEX('Per Line'!$C$2:$C$3001,$AD229)&amp;"")</f>
        <v/>
      </c>
      <c r="E229">
        <f>IF($AD229="","",INDEX('Per Line'!$B$2:$B$3001,$AD229))</f>
        <v/>
      </c>
      <c r="F229">
        <f>IF($AD229="","",INDEX('Per Line'!$D$2:$D$3001,$AD229)&amp;"")</f>
        <v/>
      </c>
      <c r="G229" s="11">
        <f>IF($AD229="","",INDEX('Per Line'!$G$2:$G$3001,$AD229))</f>
        <v/>
      </c>
      <c r="H229">
        <f>IF($AD229="","",INDEX('Per Line'!$J$2:$J$3001,$AD229)&amp;"")</f>
        <v/>
      </c>
      <c r="I229">
        <f>IF($AD229="","",INDEX('Per Line'!$H$2:$H$3001,$AD229)&amp;"")</f>
        <v/>
      </c>
      <c r="J229">
        <f>IF($AD229="","",INDEX('Per Line'!$F$2:$F$3001,$AD229)&amp;"")</f>
        <v/>
      </c>
      <c r="K229">
        <f>IF($AD229="","",INDEX('Per Line'!$K$2:$K$3001,$AD229)&amp;"")</f>
        <v/>
      </c>
      <c r="L229">
        <f>IF($AD229="","",INDEX('Per Line'!$L$2:$L$3001,$AD229)&amp;"")</f>
        <v/>
      </c>
      <c r="M229">
        <f>IF($AD229="","",INDEX('Per Line'!$M$2:$M$3001,$AD229)&amp;"")</f>
        <v/>
      </c>
      <c r="N229">
        <f>IF($AD229="","",INDEX('Per Line'!$AC$2:$AC$3001,$AD229)&amp;"")</f>
        <v/>
      </c>
      <c r="O229">
        <f>IF($AD229="","",INDEX('Per Line'!$P$2:$P$3001,$AD229))</f>
        <v/>
      </c>
      <c r="P229" s="7">
        <f>IF($AD229="","",IF(AND(ISNUMBER(Q229),Q229&gt;0,AB229&gt;Q229),O229*Q229/100+(AB229-Q229),O229*AB229/100))</f>
        <v/>
      </c>
      <c r="Q229">
        <f>IF($AD229="","",INDEX('Per Line'!$AG$2:$AG$3001,$AD229))</f>
        <v/>
      </c>
      <c r="R229">
        <f>IF($AD229="","",IF(AND(ISNUMBER(Q229),Q229&gt;0),AB229&gt;Q229,FALSE))</f>
        <v/>
      </c>
      <c r="S229" s="7">
        <f>IF($AD229="","",SUMIFS('Per Line'!$AB$2:$AB$3001,'Per Line'!$E$2:$E$3001,$B229,'Per Line'!$AQ$2:$AQ$3001,1))</f>
        <v/>
      </c>
      <c r="T229">
        <f>IF($AD229="","",Settings!$C$7)</f>
        <v/>
      </c>
      <c r="U229" s="7">
        <f>IF($AD229="","",SUMIFS('Per Line'!$AB$2:$AB$3001,'Per Line'!$E$2:$E$3001,$B229,'Per Line'!$AP$2:$AP$3001,0,'Per Line'!$AQ$2:$AQ$3001,0))</f>
        <v/>
      </c>
      <c r="V229" s="7">
        <f>IF($AD229="","",U229*T229)</f>
        <v/>
      </c>
      <c r="W229">
        <f>IF($AD229="","",Settings!$C$6)</f>
        <v/>
      </c>
      <c r="X229" s="7">
        <f>IF($AD229="","",SUMIFS('Per Line'!$AB$2:$AB$3001,'Per Line'!$E$2:$E$3001,$B229,'Per Line'!$AP$2:$AP$3001,1,'Per Line'!$AQ$2:$AQ$3001,0))</f>
        <v/>
      </c>
      <c r="Y229" s="7">
        <f>IF($AD229="","",X229*W229)</f>
        <v/>
      </c>
      <c r="Z229" s="7">
        <f>IF($AD229="","",Y229+V229)</f>
        <v/>
      </c>
      <c r="AA229" s="7">
        <f>IF($AD229="","",AB229-Z229)</f>
        <v/>
      </c>
      <c r="AB229" s="7">
        <f>IF($AD229="","",U229+X229+S229)</f>
        <v/>
      </c>
      <c r="AC229" s="7">
        <f>IF($AD229="","",AB229-Z229-P229)</f>
        <v/>
      </c>
      <c r="AD229" s="13">
        <f>IF(ROWS($AD$2:$AD229)&lt;=MAX('Per Line'!$AO$2:$AO$3001),MATCH(ROWS($AD$2:$AD229),'Per Line'!$AO$2:$AO$3001,0),"")</f>
        <v/>
      </c>
      <c r="AE229" s="14">
        <f>IF($AD229="","",P229-O229*AB229/100)</f>
        <v/>
      </c>
    </row>
    <row r="230">
      <c r="A230" s="12" t="n"/>
      <c r="B230">
        <f>IF($AD230="","",INDEX('Per Line'!$E$2:$E$3001,$AD230)&amp;"")</f>
        <v/>
      </c>
      <c r="C230">
        <f>IF($AD230="","",INDEX('Per Line'!$A$2:$A$3001,$AD230)&amp;"")</f>
        <v/>
      </c>
      <c r="D230">
        <f>IF($AD230="","",INDEX('Per Line'!$C$2:$C$3001,$AD230)&amp;"")</f>
        <v/>
      </c>
      <c r="E230">
        <f>IF($AD230="","",INDEX('Per Line'!$B$2:$B$3001,$AD230))</f>
        <v/>
      </c>
      <c r="F230">
        <f>IF($AD230="","",INDEX('Per Line'!$D$2:$D$3001,$AD230)&amp;"")</f>
        <v/>
      </c>
      <c r="G230" s="11">
        <f>IF($AD230="","",INDEX('Per Line'!$G$2:$G$3001,$AD230))</f>
        <v/>
      </c>
      <c r="H230">
        <f>IF($AD230="","",INDEX('Per Line'!$J$2:$J$3001,$AD230)&amp;"")</f>
        <v/>
      </c>
      <c r="I230">
        <f>IF($AD230="","",INDEX('Per Line'!$H$2:$H$3001,$AD230)&amp;"")</f>
        <v/>
      </c>
      <c r="J230">
        <f>IF($AD230="","",INDEX('Per Line'!$F$2:$F$3001,$AD230)&amp;"")</f>
        <v/>
      </c>
      <c r="K230">
        <f>IF($AD230="","",INDEX('Per Line'!$K$2:$K$3001,$AD230)&amp;"")</f>
        <v/>
      </c>
      <c r="L230">
        <f>IF($AD230="","",INDEX('Per Line'!$L$2:$L$3001,$AD230)&amp;"")</f>
        <v/>
      </c>
      <c r="M230">
        <f>IF($AD230="","",INDEX('Per Line'!$M$2:$M$3001,$AD230)&amp;"")</f>
        <v/>
      </c>
      <c r="N230">
        <f>IF($AD230="","",INDEX('Per Line'!$AC$2:$AC$3001,$AD230)&amp;"")</f>
        <v/>
      </c>
      <c r="O230">
        <f>IF($AD230="","",INDEX('Per Line'!$P$2:$P$3001,$AD230))</f>
        <v/>
      </c>
      <c r="P230" s="7">
        <f>IF($AD230="","",IF(AND(ISNUMBER(Q230),Q230&gt;0,AB230&gt;Q230),O230*Q230/100+(AB230-Q230),O230*AB230/100))</f>
        <v/>
      </c>
      <c r="Q230">
        <f>IF($AD230="","",INDEX('Per Line'!$AG$2:$AG$3001,$AD230))</f>
        <v/>
      </c>
      <c r="R230">
        <f>IF($AD230="","",IF(AND(ISNUMBER(Q230),Q230&gt;0),AB230&gt;Q230,FALSE))</f>
        <v/>
      </c>
      <c r="S230" s="7">
        <f>IF($AD230="","",SUMIFS('Per Line'!$AB$2:$AB$3001,'Per Line'!$E$2:$E$3001,$B230,'Per Line'!$AQ$2:$AQ$3001,1))</f>
        <v/>
      </c>
      <c r="T230">
        <f>IF($AD230="","",Settings!$C$7)</f>
        <v/>
      </c>
      <c r="U230" s="7">
        <f>IF($AD230="","",SUMIFS('Per Line'!$AB$2:$AB$3001,'Per Line'!$E$2:$E$3001,$B230,'Per Line'!$AP$2:$AP$3001,0,'Per Line'!$AQ$2:$AQ$3001,0))</f>
        <v/>
      </c>
      <c r="V230" s="7">
        <f>IF($AD230="","",U230*T230)</f>
        <v/>
      </c>
      <c r="W230">
        <f>IF($AD230="","",Settings!$C$6)</f>
        <v/>
      </c>
      <c r="X230" s="7">
        <f>IF($AD230="","",SUMIFS('Per Line'!$AB$2:$AB$3001,'Per Line'!$E$2:$E$3001,$B230,'Per Line'!$AP$2:$AP$3001,1,'Per Line'!$AQ$2:$AQ$3001,0))</f>
        <v/>
      </c>
      <c r="Y230" s="7">
        <f>IF($AD230="","",X230*W230)</f>
        <v/>
      </c>
      <c r="Z230" s="7">
        <f>IF($AD230="","",Y230+V230)</f>
        <v/>
      </c>
      <c r="AA230" s="7">
        <f>IF($AD230="","",AB230-Z230)</f>
        <v/>
      </c>
      <c r="AB230" s="7">
        <f>IF($AD230="","",U230+X230+S230)</f>
        <v/>
      </c>
      <c r="AC230" s="7">
        <f>IF($AD230="","",AB230-Z230-P230)</f>
        <v/>
      </c>
      <c r="AD230" s="13">
        <f>IF(ROWS($AD$2:$AD230)&lt;=MAX('Per Line'!$AO$2:$AO$3001),MATCH(ROWS($AD$2:$AD230),'Per Line'!$AO$2:$AO$3001,0),"")</f>
        <v/>
      </c>
      <c r="AE230" s="14">
        <f>IF($AD230="","",P230-O230*AB230/100)</f>
        <v/>
      </c>
    </row>
    <row r="231">
      <c r="A231" s="12" t="n"/>
      <c r="B231">
        <f>IF($AD231="","",INDEX('Per Line'!$E$2:$E$3001,$AD231)&amp;"")</f>
        <v/>
      </c>
      <c r="C231">
        <f>IF($AD231="","",INDEX('Per Line'!$A$2:$A$3001,$AD231)&amp;"")</f>
        <v/>
      </c>
      <c r="D231">
        <f>IF($AD231="","",INDEX('Per Line'!$C$2:$C$3001,$AD231)&amp;"")</f>
        <v/>
      </c>
      <c r="E231">
        <f>IF($AD231="","",INDEX('Per Line'!$B$2:$B$3001,$AD231))</f>
        <v/>
      </c>
      <c r="F231">
        <f>IF($AD231="","",INDEX('Per Line'!$D$2:$D$3001,$AD231)&amp;"")</f>
        <v/>
      </c>
      <c r="G231" s="11">
        <f>IF($AD231="","",INDEX('Per Line'!$G$2:$G$3001,$AD231))</f>
        <v/>
      </c>
      <c r="H231">
        <f>IF($AD231="","",INDEX('Per Line'!$J$2:$J$3001,$AD231)&amp;"")</f>
        <v/>
      </c>
      <c r="I231">
        <f>IF($AD231="","",INDEX('Per Line'!$H$2:$H$3001,$AD231)&amp;"")</f>
        <v/>
      </c>
      <c r="J231">
        <f>IF($AD231="","",INDEX('Per Line'!$F$2:$F$3001,$AD231)&amp;"")</f>
        <v/>
      </c>
      <c r="K231">
        <f>IF($AD231="","",INDEX('Per Line'!$K$2:$K$3001,$AD231)&amp;"")</f>
        <v/>
      </c>
      <c r="L231">
        <f>IF($AD231="","",INDEX('Per Line'!$L$2:$L$3001,$AD231)&amp;"")</f>
        <v/>
      </c>
      <c r="M231">
        <f>IF($AD231="","",INDEX('Per Line'!$M$2:$M$3001,$AD231)&amp;"")</f>
        <v/>
      </c>
      <c r="N231">
        <f>IF($AD231="","",INDEX('Per Line'!$AC$2:$AC$3001,$AD231)&amp;"")</f>
        <v/>
      </c>
      <c r="O231">
        <f>IF($AD231="","",INDEX('Per Line'!$P$2:$P$3001,$AD231))</f>
        <v/>
      </c>
      <c r="P231" s="7">
        <f>IF($AD231="","",IF(AND(ISNUMBER(Q231),Q231&gt;0,AB231&gt;Q231),O231*Q231/100+(AB231-Q231),O231*AB231/100))</f>
        <v/>
      </c>
      <c r="Q231">
        <f>IF($AD231="","",INDEX('Per Line'!$AG$2:$AG$3001,$AD231))</f>
        <v/>
      </c>
      <c r="R231">
        <f>IF($AD231="","",IF(AND(ISNUMBER(Q231),Q231&gt;0),AB231&gt;Q231,FALSE))</f>
        <v/>
      </c>
      <c r="S231" s="7">
        <f>IF($AD231="","",SUMIFS('Per Line'!$AB$2:$AB$3001,'Per Line'!$E$2:$E$3001,$B231,'Per Line'!$AQ$2:$AQ$3001,1))</f>
        <v/>
      </c>
      <c r="T231">
        <f>IF($AD231="","",Settings!$C$7)</f>
        <v/>
      </c>
      <c r="U231" s="7">
        <f>IF($AD231="","",SUMIFS('Per Line'!$AB$2:$AB$3001,'Per Line'!$E$2:$E$3001,$B231,'Per Line'!$AP$2:$AP$3001,0,'Per Line'!$AQ$2:$AQ$3001,0))</f>
        <v/>
      </c>
      <c r="V231" s="7">
        <f>IF($AD231="","",U231*T231)</f>
        <v/>
      </c>
      <c r="W231">
        <f>IF($AD231="","",Settings!$C$6)</f>
        <v/>
      </c>
      <c r="X231" s="7">
        <f>IF($AD231="","",SUMIFS('Per Line'!$AB$2:$AB$3001,'Per Line'!$E$2:$E$3001,$B231,'Per Line'!$AP$2:$AP$3001,1,'Per Line'!$AQ$2:$AQ$3001,0))</f>
        <v/>
      </c>
      <c r="Y231" s="7">
        <f>IF($AD231="","",X231*W231)</f>
        <v/>
      </c>
      <c r="Z231" s="7">
        <f>IF($AD231="","",Y231+V231)</f>
        <v/>
      </c>
      <c r="AA231" s="7">
        <f>IF($AD231="","",AB231-Z231)</f>
        <v/>
      </c>
      <c r="AB231" s="7">
        <f>IF($AD231="","",U231+X231+S231)</f>
        <v/>
      </c>
      <c r="AC231" s="7">
        <f>IF($AD231="","",AB231-Z231-P231)</f>
        <v/>
      </c>
      <c r="AD231" s="13">
        <f>IF(ROWS($AD$2:$AD231)&lt;=MAX('Per Line'!$AO$2:$AO$3001),MATCH(ROWS($AD$2:$AD231),'Per Line'!$AO$2:$AO$3001,0),"")</f>
        <v/>
      </c>
      <c r="AE231" s="14">
        <f>IF($AD231="","",P231-O231*AB231/100)</f>
        <v/>
      </c>
    </row>
    <row r="232">
      <c r="A232" s="12" t="n"/>
      <c r="B232">
        <f>IF($AD232="","",INDEX('Per Line'!$E$2:$E$3001,$AD232)&amp;"")</f>
        <v/>
      </c>
      <c r="C232">
        <f>IF($AD232="","",INDEX('Per Line'!$A$2:$A$3001,$AD232)&amp;"")</f>
        <v/>
      </c>
      <c r="D232">
        <f>IF($AD232="","",INDEX('Per Line'!$C$2:$C$3001,$AD232)&amp;"")</f>
        <v/>
      </c>
      <c r="E232">
        <f>IF($AD232="","",INDEX('Per Line'!$B$2:$B$3001,$AD232))</f>
        <v/>
      </c>
      <c r="F232">
        <f>IF($AD232="","",INDEX('Per Line'!$D$2:$D$3001,$AD232)&amp;"")</f>
        <v/>
      </c>
      <c r="G232" s="11">
        <f>IF($AD232="","",INDEX('Per Line'!$G$2:$G$3001,$AD232))</f>
        <v/>
      </c>
      <c r="H232">
        <f>IF($AD232="","",INDEX('Per Line'!$J$2:$J$3001,$AD232)&amp;"")</f>
        <v/>
      </c>
      <c r="I232">
        <f>IF($AD232="","",INDEX('Per Line'!$H$2:$H$3001,$AD232)&amp;"")</f>
        <v/>
      </c>
      <c r="J232">
        <f>IF($AD232="","",INDEX('Per Line'!$F$2:$F$3001,$AD232)&amp;"")</f>
        <v/>
      </c>
      <c r="K232">
        <f>IF($AD232="","",INDEX('Per Line'!$K$2:$K$3001,$AD232)&amp;"")</f>
        <v/>
      </c>
      <c r="L232">
        <f>IF($AD232="","",INDEX('Per Line'!$L$2:$L$3001,$AD232)&amp;"")</f>
        <v/>
      </c>
      <c r="M232">
        <f>IF($AD232="","",INDEX('Per Line'!$M$2:$M$3001,$AD232)&amp;"")</f>
        <v/>
      </c>
      <c r="N232">
        <f>IF($AD232="","",INDEX('Per Line'!$AC$2:$AC$3001,$AD232)&amp;"")</f>
        <v/>
      </c>
      <c r="O232">
        <f>IF($AD232="","",INDEX('Per Line'!$P$2:$P$3001,$AD232))</f>
        <v/>
      </c>
      <c r="P232" s="7">
        <f>IF($AD232="","",IF(AND(ISNUMBER(Q232),Q232&gt;0,AB232&gt;Q232),O232*Q232/100+(AB232-Q232),O232*AB232/100))</f>
        <v/>
      </c>
      <c r="Q232">
        <f>IF($AD232="","",INDEX('Per Line'!$AG$2:$AG$3001,$AD232))</f>
        <v/>
      </c>
      <c r="R232">
        <f>IF($AD232="","",IF(AND(ISNUMBER(Q232),Q232&gt;0),AB232&gt;Q232,FALSE))</f>
        <v/>
      </c>
      <c r="S232" s="7">
        <f>IF($AD232="","",SUMIFS('Per Line'!$AB$2:$AB$3001,'Per Line'!$E$2:$E$3001,$B232,'Per Line'!$AQ$2:$AQ$3001,1))</f>
        <v/>
      </c>
      <c r="T232">
        <f>IF($AD232="","",Settings!$C$7)</f>
        <v/>
      </c>
      <c r="U232" s="7">
        <f>IF($AD232="","",SUMIFS('Per Line'!$AB$2:$AB$3001,'Per Line'!$E$2:$E$3001,$B232,'Per Line'!$AP$2:$AP$3001,0,'Per Line'!$AQ$2:$AQ$3001,0))</f>
        <v/>
      </c>
      <c r="V232" s="7">
        <f>IF($AD232="","",U232*T232)</f>
        <v/>
      </c>
      <c r="W232">
        <f>IF($AD232="","",Settings!$C$6)</f>
        <v/>
      </c>
      <c r="X232" s="7">
        <f>IF($AD232="","",SUMIFS('Per Line'!$AB$2:$AB$3001,'Per Line'!$E$2:$E$3001,$B232,'Per Line'!$AP$2:$AP$3001,1,'Per Line'!$AQ$2:$AQ$3001,0))</f>
        <v/>
      </c>
      <c r="Y232" s="7">
        <f>IF($AD232="","",X232*W232)</f>
        <v/>
      </c>
      <c r="Z232" s="7">
        <f>IF($AD232="","",Y232+V232)</f>
        <v/>
      </c>
      <c r="AA232" s="7">
        <f>IF($AD232="","",AB232-Z232)</f>
        <v/>
      </c>
      <c r="AB232" s="7">
        <f>IF($AD232="","",U232+X232+S232)</f>
        <v/>
      </c>
      <c r="AC232" s="7">
        <f>IF($AD232="","",AB232-Z232-P232)</f>
        <v/>
      </c>
      <c r="AD232" s="13">
        <f>IF(ROWS($AD$2:$AD232)&lt;=MAX('Per Line'!$AO$2:$AO$3001),MATCH(ROWS($AD$2:$AD232),'Per Line'!$AO$2:$AO$3001,0),"")</f>
        <v/>
      </c>
      <c r="AE232" s="14">
        <f>IF($AD232="","",P232-O232*AB232/100)</f>
        <v/>
      </c>
    </row>
    <row r="233">
      <c r="A233" s="12" t="n"/>
      <c r="B233">
        <f>IF($AD233="","",INDEX('Per Line'!$E$2:$E$3001,$AD233)&amp;"")</f>
        <v/>
      </c>
      <c r="C233">
        <f>IF($AD233="","",INDEX('Per Line'!$A$2:$A$3001,$AD233)&amp;"")</f>
        <v/>
      </c>
      <c r="D233">
        <f>IF($AD233="","",INDEX('Per Line'!$C$2:$C$3001,$AD233)&amp;"")</f>
        <v/>
      </c>
      <c r="E233">
        <f>IF($AD233="","",INDEX('Per Line'!$B$2:$B$3001,$AD233))</f>
        <v/>
      </c>
      <c r="F233">
        <f>IF($AD233="","",INDEX('Per Line'!$D$2:$D$3001,$AD233)&amp;"")</f>
        <v/>
      </c>
      <c r="G233" s="11">
        <f>IF($AD233="","",INDEX('Per Line'!$G$2:$G$3001,$AD233))</f>
        <v/>
      </c>
      <c r="H233">
        <f>IF($AD233="","",INDEX('Per Line'!$J$2:$J$3001,$AD233)&amp;"")</f>
        <v/>
      </c>
      <c r="I233">
        <f>IF($AD233="","",INDEX('Per Line'!$H$2:$H$3001,$AD233)&amp;"")</f>
        <v/>
      </c>
      <c r="J233">
        <f>IF($AD233="","",INDEX('Per Line'!$F$2:$F$3001,$AD233)&amp;"")</f>
        <v/>
      </c>
      <c r="K233">
        <f>IF($AD233="","",INDEX('Per Line'!$K$2:$K$3001,$AD233)&amp;"")</f>
        <v/>
      </c>
      <c r="L233">
        <f>IF($AD233="","",INDEX('Per Line'!$L$2:$L$3001,$AD233)&amp;"")</f>
        <v/>
      </c>
      <c r="M233">
        <f>IF($AD233="","",INDEX('Per Line'!$M$2:$M$3001,$AD233)&amp;"")</f>
        <v/>
      </c>
      <c r="N233">
        <f>IF($AD233="","",INDEX('Per Line'!$AC$2:$AC$3001,$AD233)&amp;"")</f>
        <v/>
      </c>
      <c r="O233">
        <f>IF($AD233="","",INDEX('Per Line'!$P$2:$P$3001,$AD233))</f>
        <v/>
      </c>
      <c r="P233" s="7">
        <f>IF($AD233="","",IF(AND(ISNUMBER(Q233),Q233&gt;0,AB233&gt;Q233),O233*Q233/100+(AB233-Q233),O233*AB233/100))</f>
        <v/>
      </c>
      <c r="Q233">
        <f>IF($AD233="","",INDEX('Per Line'!$AG$2:$AG$3001,$AD233))</f>
        <v/>
      </c>
      <c r="R233">
        <f>IF($AD233="","",IF(AND(ISNUMBER(Q233),Q233&gt;0),AB233&gt;Q233,FALSE))</f>
        <v/>
      </c>
      <c r="S233" s="7">
        <f>IF($AD233="","",SUMIFS('Per Line'!$AB$2:$AB$3001,'Per Line'!$E$2:$E$3001,$B233,'Per Line'!$AQ$2:$AQ$3001,1))</f>
        <v/>
      </c>
      <c r="T233">
        <f>IF($AD233="","",Settings!$C$7)</f>
        <v/>
      </c>
      <c r="U233" s="7">
        <f>IF($AD233="","",SUMIFS('Per Line'!$AB$2:$AB$3001,'Per Line'!$E$2:$E$3001,$B233,'Per Line'!$AP$2:$AP$3001,0,'Per Line'!$AQ$2:$AQ$3001,0))</f>
        <v/>
      </c>
      <c r="V233" s="7">
        <f>IF($AD233="","",U233*T233)</f>
        <v/>
      </c>
      <c r="W233">
        <f>IF($AD233="","",Settings!$C$6)</f>
        <v/>
      </c>
      <c r="X233" s="7">
        <f>IF($AD233="","",SUMIFS('Per Line'!$AB$2:$AB$3001,'Per Line'!$E$2:$E$3001,$B233,'Per Line'!$AP$2:$AP$3001,1,'Per Line'!$AQ$2:$AQ$3001,0))</f>
        <v/>
      </c>
      <c r="Y233" s="7">
        <f>IF($AD233="","",X233*W233)</f>
        <v/>
      </c>
      <c r="Z233" s="7">
        <f>IF($AD233="","",Y233+V233)</f>
        <v/>
      </c>
      <c r="AA233" s="7">
        <f>IF($AD233="","",AB233-Z233)</f>
        <v/>
      </c>
      <c r="AB233" s="7">
        <f>IF($AD233="","",U233+X233+S233)</f>
        <v/>
      </c>
      <c r="AC233" s="7">
        <f>IF($AD233="","",AB233-Z233-P233)</f>
        <v/>
      </c>
      <c r="AD233" s="13">
        <f>IF(ROWS($AD$2:$AD233)&lt;=MAX('Per Line'!$AO$2:$AO$3001),MATCH(ROWS($AD$2:$AD233),'Per Line'!$AO$2:$AO$3001,0),"")</f>
        <v/>
      </c>
      <c r="AE233" s="14">
        <f>IF($AD233="","",P233-O233*AB233/100)</f>
        <v/>
      </c>
    </row>
    <row r="234">
      <c r="A234" s="12" t="n"/>
      <c r="B234">
        <f>IF($AD234="","",INDEX('Per Line'!$E$2:$E$3001,$AD234)&amp;"")</f>
        <v/>
      </c>
      <c r="C234">
        <f>IF($AD234="","",INDEX('Per Line'!$A$2:$A$3001,$AD234)&amp;"")</f>
        <v/>
      </c>
      <c r="D234">
        <f>IF($AD234="","",INDEX('Per Line'!$C$2:$C$3001,$AD234)&amp;"")</f>
        <v/>
      </c>
      <c r="E234">
        <f>IF($AD234="","",INDEX('Per Line'!$B$2:$B$3001,$AD234))</f>
        <v/>
      </c>
      <c r="F234">
        <f>IF($AD234="","",INDEX('Per Line'!$D$2:$D$3001,$AD234)&amp;"")</f>
        <v/>
      </c>
      <c r="G234" s="11">
        <f>IF($AD234="","",INDEX('Per Line'!$G$2:$G$3001,$AD234))</f>
        <v/>
      </c>
      <c r="H234">
        <f>IF($AD234="","",INDEX('Per Line'!$J$2:$J$3001,$AD234)&amp;"")</f>
        <v/>
      </c>
      <c r="I234">
        <f>IF($AD234="","",INDEX('Per Line'!$H$2:$H$3001,$AD234)&amp;"")</f>
        <v/>
      </c>
      <c r="J234">
        <f>IF($AD234="","",INDEX('Per Line'!$F$2:$F$3001,$AD234)&amp;"")</f>
        <v/>
      </c>
      <c r="K234">
        <f>IF($AD234="","",INDEX('Per Line'!$K$2:$K$3001,$AD234)&amp;"")</f>
        <v/>
      </c>
      <c r="L234">
        <f>IF($AD234="","",INDEX('Per Line'!$L$2:$L$3001,$AD234)&amp;"")</f>
        <v/>
      </c>
      <c r="M234">
        <f>IF($AD234="","",INDEX('Per Line'!$M$2:$M$3001,$AD234)&amp;"")</f>
        <v/>
      </c>
      <c r="N234">
        <f>IF($AD234="","",INDEX('Per Line'!$AC$2:$AC$3001,$AD234)&amp;"")</f>
        <v/>
      </c>
      <c r="O234">
        <f>IF($AD234="","",INDEX('Per Line'!$P$2:$P$3001,$AD234))</f>
        <v/>
      </c>
      <c r="P234" s="7">
        <f>IF($AD234="","",IF(AND(ISNUMBER(Q234),Q234&gt;0,AB234&gt;Q234),O234*Q234/100+(AB234-Q234),O234*AB234/100))</f>
        <v/>
      </c>
      <c r="Q234">
        <f>IF($AD234="","",INDEX('Per Line'!$AG$2:$AG$3001,$AD234))</f>
        <v/>
      </c>
      <c r="R234">
        <f>IF($AD234="","",IF(AND(ISNUMBER(Q234),Q234&gt;0),AB234&gt;Q234,FALSE))</f>
        <v/>
      </c>
      <c r="S234" s="7">
        <f>IF($AD234="","",SUMIFS('Per Line'!$AB$2:$AB$3001,'Per Line'!$E$2:$E$3001,$B234,'Per Line'!$AQ$2:$AQ$3001,1))</f>
        <v/>
      </c>
      <c r="T234">
        <f>IF($AD234="","",Settings!$C$7)</f>
        <v/>
      </c>
      <c r="U234" s="7">
        <f>IF($AD234="","",SUMIFS('Per Line'!$AB$2:$AB$3001,'Per Line'!$E$2:$E$3001,$B234,'Per Line'!$AP$2:$AP$3001,0,'Per Line'!$AQ$2:$AQ$3001,0))</f>
        <v/>
      </c>
      <c r="V234" s="7">
        <f>IF($AD234="","",U234*T234)</f>
        <v/>
      </c>
      <c r="W234">
        <f>IF($AD234="","",Settings!$C$6)</f>
        <v/>
      </c>
      <c r="X234" s="7">
        <f>IF($AD234="","",SUMIFS('Per Line'!$AB$2:$AB$3001,'Per Line'!$E$2:$E$3001,$B234,'Per Line'!$AP$2:$AP$3001,1,'Per Line'!$AQ$2:$AQ$3001,0))</f>
        <v/>
      </c>
      <c r="Y234" s="7">
        <f>IF($AD234="","",X234*W234)</f>
        <v/>
      </c>
      <c r="Z234" s="7">
        <f>IF($AD234="","",Y234+V234)</f>
        <v/>
      </c>
      <c r="AA234" s="7">
        <f>IF($AD234="","",AB234-Z234)</f>
        <v/>
      </c>
      <c r="AB234" s="7">
        <f>IF($AD234="","",U234+X234+S234)</f>
        <v/>
      </c>
      <c r="AC234" s="7">
        <f>IF($AD234="","",AB234-Z234-P234)</f>
        <v/>
      </c>
      <c r="AD234" s="13">
        <f>IF(ROWS($AD$2:$AD234)&lt;=MAX('Per Line'!$AO$2:$AO$3001),MATCH(ROWS($AD$2:$AD234),'Per Line'!$AO$2:$AO$3001,0),"")</f>
        <v/>
      </c>
      <c r="AE234" s="14">
        <f>IF($AD234="","",P234-O234*AB234/100)</f>
        <v/>
      </c>
    </row>
    <row r="235">
      <c r="A235" s="12" t="n"/>
      <c r="B235">
        <f>IF($AD235="","",INDEX('Per Line'!$E$2:$E$3001,$AD235)&amp;"")</f>
        <v/>
      </c>
      <c r="C235">
        <f>IF($AD235="","",INDEX('Per Line'!$A$2:$A$3001,$AD235)&amp;"")</f>
        <v/>
      </c>
      <c r="D235">
        <f>IF($AD235="","",INDEX('Per Line'!$C$2:$C$3001,$AD235)&amp;"")</f>
        <v/>
      </c>
      <c r="E235">
        <f>IF($AD235="","",INDEX('Per Line'!$B$2:$B$3001,$AD235))</f>
        <v/>
      </c>
      <c r="F235">
        <f>IF($AD235="","",INDEX('Per Line'!$D$2:$D$3001,$AD235)&amp;"")</f>
        <v/>
      </c>
      <c r="G235" s="11">
        <f>IF($AD235="","",INDEX('Per Line'!$G$2:$G$3001,$AD235))</f>
        <v/>
      </c>
      <c r="H235">
        <f>IF($AD235="","",INDEX('Per Line'!$J$2:$J$3001,$AD235)&amp;"")</f>
        <v/>
      </c>
      <c r="I235">
        <f>IF($AD235="","",INDEX('Per Line'!$H$2:$H$3001,$AD235)&amp;"")</f>
        <v/>
      </c>
      <c r="J235">
        <f>IF($AD235="","",INDEX('Per Line'!$F$2:$F$3001,$AD235)&amp;"")</f>
        <v/>
      </c>
      <c r="K235">
        <f>IF($AD235="","",INDEX('Per Line'!$K$2:$K$3001,$AD235)&amp;"")</f>
        <v/>
      </c>
      <c r="L235">
        <f>IF($AD235="","",INDEX('Per Line'!$L$2:$L$3001,$AD235)&amp;"")</f>
        <v/>
      </c>
      <c r="M235">
        <f>IF($AD235="","",INDEX('Per Line'!$M$2:$M$3001,$AD235)&amp;"")</f>
        <v/>
      </c>
      <c r="N235">
        <f>IF($AD235="","",INDEX('Per Line'!$AC$2:$AC$3001,$AD235)&amp;"")</f>
        <v/>
      </c>
      <c r="O235">
        <f>IF($AD235="","",INDEX('Per Line'!$P$2:$P$3001,$AD235))</f>
        <v/>
      </c>
      <c r="P235" s="7">
        <f>IF($AD235="","",IF(AND(ISNUMBER(Q235),Q235&gt;0,AB235&gt;Q235),O235*Q235/100+(AB235-Q235),O235*AB235/100))</f>
        <v/>
      </c>
      <c r="Q235">
        <f>IF($AD235="","",INDEX('Per Line'!$AG$2:$AG$3001,$AD235))</f>
        <v/>
      </c>
      <c r="R235">
        <f>IF($AD235="","",IF(AND(ISNUMBER(Q235),Q235&gt;0),AB235&gt;Q235,FALSE))</f>
        <v/>
      </c>
      <c r="S235" s="7">
        <f>IF($AD235="","",SUMIFS('Per Line'!$AB$2:$AB$3001,'Per Line'!$E$2:$E$3001,$B235,'Per Line'!$AQ$2:$AQ$3001,1))</f>
        <v/>
      </c>
      <c r="T235">
        <f>IF($AD235="","",Settings!$C$7)</f>
        <v/>
      </c>
      <c r="U235" s="7">
        <f>IF($AD235="","",SUMIFS('Per Line'!$AB$2:$AB$3001,'Per Line'!$E$2:$E$3001,$B235,'Per Line'!$AP$2:$AP$3001,0,'Per Line'!$AQ$2:$AQ$3001,0))</f>
        <v/>
      </c>
      <c r="V235" s="7">
        <f>IF($AD235="","",U235*T235)</f>
        <v/>
      </c>
      <c r="W235">
        <f>IF($AD235="","",Settings!$C$6)</f>
        <v/>
      </c>
      <c r="X235" s="7">
        <f>IF($AD235="","",SUMIFS('Per Line'!$AB$2:$AB$3001,'Per Line'!$E$2:$E$3001,$B235,'Per Line'!$AP$2:$AP$3001,1,'Per Line'!$AQ$2:$AQ$3001,0))</f>
        <v/>
      </c>
      <c r="Y235" s="7">
        <f>IF($AD235="","",X235*W235)</f>
        <v/>
      </c>
      <c r="Z235" s="7">
        <f>IF($AD235="","",Y235+V235)</f>
        <v/>
      </c>
      <c r="AA235" s="7">
        <f>IF($AD235="","",AB235-Z235)</f>
        <v/>
      </c>
      <c r="AB235" s="7">
        <f>IF($AD235="","",U235+X235+S235)</f>
        <v/>
      </c>
      <c r="AC235" s="7">
        <f>IF($AD235="","",AB235-Z235-P235)</f>
        <v/>
      </c>
      <c r="AD235" s="13">
        <f>IF(ROWS($AD$2:$AD235)&lt;=MAX('Per Line'!$AO$2:$AO$3001),MATCH(ROWS($AD$2:$AD235),'Per Line'!$AO$2:$AO$3001,0),"")</f>
        <v/>
      </c>
      <c r="AE235" s="14">
        <f>IF($AD235="","",P235-O235*AB235/100)</f>
        <v/>
      </c>
    </row>
    <row r="236">
      <c r="A236" s="12" t="n"/>
      <c r="B236">
        <f>IF($AD236="","",INDEX('Per Line'!$E$2:$E$3001,$AD236)&amp;"")</f>
        <v/>
      </c>
      <c r="C236">
        <f>IF($AD236="","",INDEX('Per Line'!$A$2:$A$3001,$AD236)&amp;"")</f>
        <v/>
      </c>
      <c r="D236">
        <f>IF($AD236="","",INDEX('Per Line'!$C$2:$C$3001,$AD236)&amp;"")</f>
        <v/>
      </c>
      <c r="E236">
        <f>IF($AD236="","",INDEX('Per Line'!$B$2:$B$3001,$AD236))</f>
        <v/>
      </c>
      <c r="F236">
        <f>IF($AD236="","",INDEX('Per Line'!$D$2:$D$3001,$AD236)&amp;"")</f>
        <v/>
      </c>
      <c r="G236" s="11">
        <f>IF($AD236="","",INDEX('Per Line'!$G$2:$G$3001,$AD236))</f>
        <v/>
      </c>
      <c r="H236">
        <f>IF($AD236="","",INDEX('Per Line'!$J$2:$J$3001,$AD236)&amp;"")</f>
        <v/>
      </c>
      <c r="I236">
        <f>IF($AD236="","",INDEX('Per Line'!$H$2:$H$3001,$AD236)&amp;"")</f>
        <v/>
      </c>
      <c r="J236">
        <f>IF($AD236="","",INDEX('Per Line'!$F$2:$F$3001,$AD236)&amp;"")</f>
        <v/>
      </c>
      <c r="K236">
        <f>IF($AD236="","",INDEX('Per Line'!$K$2:$K$3001,$AD236)&amp;"")</f>
        <v/>
      </c>
      <c r="L236">
        <f>IF($AD236="","",INDEX('Per Line'!$L$2:$L$3001,$AD236)&amp;"")</f>
        <v/>
      </c>
      <c r="M236">
        <f>IF($AD236="","",INDEX('Per Line'!$M$2:$M$3001,$AD236)&amp;"")</f>
        <v/>
      </c>
      <c r="N236">
        <f>IF($AD236="","",INDEX('Per Line'!$AC$2:$AC$3001,$AD236)&amp;"")</f>
        <v/>
      </c>
      <c r="O236">
        <f>IF($AD236="","",INDEX('Per Line'!$P$2:$P$3001,$AD236))</f>
        <v/>
      </c>
      <c r="P236" s="7">
        <f>IF($AD236="","",IF(AND(ISNUMBER(Q236),Q236&gt;0,AB236&gt;Q236),O236*Q236/100+(AB236-Q236),O236*AB236/100))</f>
        <v/>
      </c>
      <c r="Q236">
        <f>IF($AD236="","",INDEX('Per Line'!$AG$2:$AG$3001,$AD236))</f>
        <v/>
      </c>
      <c r="R236">
        <f>IF($AD236="","",IF(AND(ISNUMBER(Q236),Q236&gt;0),AB236&gt;Q236,FALSE))</f>
        <v/>
      </c>
      <c r="S236" s="7">
        <f>IF($AD236="","",SUMIFS('Per Line'!$AB$2:$AB$3001,'Per Line'!$E$2:$E$3001,$B236,'Per Line'!$AQ$2:$AQ$3001,1))</f>
        <v/>
      </c>
      <c r="T236">
        <f>IF($AD236="","",Settings!$C$7)</f>
        <v/>
      </c>
      <c r="U236" s="7">
        <f>IF($AD236="","",SUMIFS('Per Line'!$AB$2:$AB$3001,'Per Line'!$E$2:$E$3001,$B236,'Per Line'!$AP$2:$AP$3001,0,'Per Line'!$AQ$2:$AQ$3001,0))</f>
        <v/>
      </c>
      <c r="V236" s="7">
        <f>IF($AD236="","",U236*T236)</f>
        <v/>
      </c>
      <c r="W236">
        <f>IF($AD236="","",Settings!$C$6)</f>
        <v/>
      </c>
      <c r="X236" s="7">
        <f>IF($AD236="","",SUMIFS('Per Line'!$AB$2:$AB$3001,'Per Line'!$E$2:$E$3001,$B236,'Per Line'!$AP$2:$AP$3001,1,'Per Line'!$AQ$2:$AQ$3001,0))</f>
        <v/>
      </c>
      <c r="Y236" s="7">
        <f>IF($AD236="","",X236*W236)</f>
        <v/>
      </c>
      <c r="Z236" s="7">
        <f>IF($AD236="","",Y236+V236)</f>
        <v/>
      </c>
      <c r="AA236" s="7">
        <f>IF($AD236="","",AB236-Z236)</f>
        <v/>
      </c>
      <c r="AB236" s="7">
        <f>IF($AD236="","",U236+X236+S236)</f>
        <v/>
      </c>
      <c r="AC236" s="7">
        <f>IF($AD236="","",AB236-Z236-P236)</f>
        <v/>
      </c>
      <c r="AD236" s="13">
        <f>IF(ROWS($AD$2:$AD236)&lt;=MAX('Per Line'!$AO$2:$AO$3001),MATCH(ROWS($AD$2:$AD236),'Per Line'!$AO$2:$AO$3001,0),"")</f>
        <v/>
      </c>
      <c r="AE236" s="14">
        <f>IF($AD236="","",P236-O236*AB236/100)</f>
        <v/>
      </c>
    </row>
    <row r="237">
      <c r="A237" s="12" t="n"/>
      <c r="B237">
        <f>IF($AD237="","",INDEX('Per Line'!$E$2:$E$3001,$AD237)&amp;"")</f>
        <v/>
      </c>
      <c r="C237">
        <f>IF($AD237="","",INDEX('Per Line'!$A$2:$A$3001,$AD237)&amp;"")</f>
        <v/>
      </c>
      <c r="D237">
        <f>IF($AD237="","",INDEX('Per Line'!$C$2:$C$3001,$AD237)&amp;"")</f>
        <v/>
      </c>
      <c r="E237">
        <f>IF($AD237="","",INDEX('Per Line'!$B$2:$B$3001,$AD237))</f>
        <v/>
      </c>
      <c r="F237">
        <f>IF($AD237="","",INDEX('Per Line'!$D$2:$D$3001,$AD237)&amp;"")</f>
        <v/>
      </c>
      <c r="G237" s="11">
        <f>IF($AD237="","",INDEX('Per Line'!$G$2:$G$3001,$AD237))</f>
        <v/>
      </c>
      <c r="H237">
        <f>IF($AD237="","",INDEX('Per Line'!$J$2:$J$3001,$AD237)&amp;"")</f>
        <v/>
      </c>
      <c r="I237">
        <f>IF($AD237="","",INDEX('Per Line'!$H$2:$H$3001,$AD237)&amp;"")</f>
        <v/>
      </c>
      <c r="J237">
        <f>IF($AD237="","",INDEX('Per Line'!$F$2:$F$3001,$AD237)&amp;"")</f>
        <v/>
      </c>
      <c r="K237">
        <f>IF($AD237="","",INDEX('Per Line'!$K$2:$K$3001,$AD237)&amp;"")</f>
        <v/>
      </c>
      <c r="L237">
        <f>IF($AD237="","",INDEX('Per Line'!$L$2:$L$3001,$AD237)&amp;"")</f>
        <v/>
      </c>
      <c r="M237">
        <f>IF($AD237="","",INDEX('Per Line'!$M$2:$M$3001,$AD237)&amp;"")</f>
        <v/>
      </c>
      <c r="N237">
        <f>IF($AD237="","",INDEX('Per Line'!$AC$2:$AC$3001,$AD237)&amp;"")</f>
        <v/>
      </c>
      <c r="O237">
        <f>IF($AD237="","",INDEX('Per Line'!$P$2:$P$3001,$AD237))</f>
        <v/>
      </c>
      <c r="P237" s="7">
        <f>IF($AD237="","",IF(AND(ISNUMBER(Q237),Q237&gt;0,AB237&gt;Q237),O237*Q237/100+(AB237-Q237),O237*AB237/100))</f>
        <v/>
      </c>
      <c r="Q237">
        <f>IF($AD237="","",INDEX('Per Line'!$AG$2:$AG$3001,$AD237))</f>
        <v/>
      </c>
      <c r="R237">
        <f>IF($AD237="","",IF(AND(ISNUMBER(Q237),Q237&gt;0),AB237&gt;Q237,FALSE))</f>
        <v/>
      </c>
      <c r="S237" s="7">
        <f>IF($AD237="","",SUMIFS('Per Line'!$AB$2:$AB$3001,'Per Line'!$E$2:$E$3001,$B237,'Per Line'!$AQ$2:$AQ$3001,1))</f>
        <v/>
      </c>
      <c r="T237">
        <f>IF($AD237="","",Settings!$C$7)</f>
        <v/>
      </c>
      <c r="U237" s="7">
        <f>IF($AD237="","",SUMIFS('Per Line'!$AB$2:$AB$3001,'Per Line'!$E$2:$E$3001,$B237,'Per Line'!$AP$2:$AP$3001,0,'Per Line'!$AQ$2:$AQ$3001,0))</f>
        <v/>
      </c>
      <c r="V237" s="7">
        <f>IF($AD237="","",U237*T237)</f>
        <v/>
      </c>
      <c r="W237">
        <f>IF($AD237="","",Settings!$C$6)</f>
        <v/>
      </c>
      <c r="X237" s="7">
        <f>IF($AD237="","",SUMIFS('Per Line'!$AB$2:$AB$3001,'Per Line'!$E$2:$E$3001,$B237,'Per Line'!$AP$2:$AP$3001,1,'Per Line'!$AQ$2:$AQ$3001,0))</f>
        <v/>
      </c>
      <c r="Y237" s="7">
        <f>IF($AD237="","",X237*W237)</f>
        <v/>
      </c>
      <c r="Z237" s="7">
        <f>IF($AD237="","",Y237+V237)</f>
        <v/>
      </c>
      <c r="AA237" s="7">
        <f>IF($AD237="","",AB237-Z237)</f>
        <v/>
      </c>
      <c r="AB237" s="7">
        <f>IF($AD237="","",U237+X237+S237)</f>
        <v/>
      </c>
      <c r="AC237" s="7">
        <f>IF($AD237="","",AB237-Z237-P237)</f>
        <v/>
      </c>
      <c r="AD237" s="13">
        <f>IF(ROWS($AD$2:$AD237)&lt;=MAX('Per Line'!$AO$2:$AO$3001),MATCH(ROWS($AD$2:$AD237),'Per Line'!$AO$2:$AO$3001,0),"")</f>
        <v/>
      </c>
      <c r="AE237" s="14">
        <f>IF($AD237="","",P237-O237*AB237/100)</f>
        <v/>
      </c>
    </row>
    <row r="238">
      <c r="A238" s="12" t="n"/>
      <c r="B238">
        <f>IF($AD238="","",INDEX('Per Line'!$E$2:$E$3001,$AD238)&amp;"")</f>
        <v/>
      </c>
      <c r="C238">
        <f>IF($AD238="","",INDEX('Per Line'!$A$2:$A$3001,$AD238)&amp;"")</f>
        <v/>
      </c>
      <c r="D238">
        <f>IF($AD238="","",INDEX('Per Line'!$C$2:$C$3001,$AD238)&amp;"")</f>
        <v/>
      </c>
      <c r="E238">
        <f>IF($AD238="","",INDEX('Per Line'!$B$2:$B$3001,$AD238))</f>
        <v/>
      </c>
      <c r="F238">
        <f>IF($AD238="","",INDEX('Per Line'!$D$2:$D$3001,$AD238)&amp;"")</f>
        <v/>
      </c>
      <c r="G238" s="11">
        <f>IF($AD238="","",INDEX('Per Line'!$G$2:$G$3001,$AD238))</f>
        <v/>
      </c>
      <c r="H238">
        <f>IF($AD238="","",INDEX('Per Line'!$J$2:$J$3001,$AD238)&amp;"")</f>
        <v/>
      </c>
      <c r="I238">
        <f>IF($AD238="","",INDEX('Per Line'!$H$2:$H$3001,$AD238)&amp;"")</f>
        <v/>
      </c>
      <c r="J238">
        <f>IF($AD238="","",INDEX('Per Line'!$F$2:$F$3001,$AD238)&amp;"")</f>
        <v/>
      </c>
      <c r="K238">
        <f>IF($AD238="","",INDEX('Per Line'!$K$2:$K$3001,$AD238)&amp;"")</f>
        <v/>
      </c>
      <c r="L238">
        <f>IF($AD238="","",INDEX('Per Line'!$L$2:$L$3001,$AD238)&amp;"")</f>
        <v/>
      </c>
      <c r="M238">
        <f>IF($AD238="","",INDEX('Per Line'!$M$2:$M$3001,$AD238)&amp;"")</f>
        <v/>
      </c>
      <c r="N238">
        <f>IF($AD238="","",INDEX('Per Line'!$AC$2:$AC$3001,$AD238)&amp;"")</f>
        <v/>
      </c>
      <c r="O238">
        <f>IF($AD238="","",INDEX('Per Line'!$P$2:$P$3001,$AD238))</f>
        <v/>
      </c>
      <c r="P238" s="7">
        <f>IF($AD238="","",IF(AND(ISNUMBER(Q238),Q238&gt;0,AB238&gt;Q238),O238*Q238/100+(AB238-Q238),O238*AB238/100))</f>
        <v/>
      </c>
      <c r="Q238">
        <f>IF($AD238="","",INDEX('Per Line'!$AG$2:$AG$3001,$AD238))</f>
        <v/>
      </c>
      <c r="R238">
        <f>IF($AD238="","",IF(AND(ISNUMBER(Q238),Q238&gt;0),AB238&gt;Q238,FALSE))</f>
        <v/>
      </c>
      <c r="S238" s="7">
        <f>IF($AD238="","",SUMIFS('Per Line'!$AB$2:$AB$3001,'Per Line'!$E$2:$E$3001,$B238,'Per Line'!$AQ$2:$AQ$3001,1))</f>
        <v/>
      </c>
      <c r="T238">
        <f>IF($AD238="","",Settings!$C$7)</f>
        <v/>
      </c>
      <c r="U238" s="7">
        <f>IF($AD238="","",SUMIFS('Per Line'!$AB$2:$AB$3001,'Per Line'!$E$2:$E$3001,$B238,'Per Line'!$AP$2:$AP$3001,0,'Per Line'!$AQ$2:$AQ$3001,0))</f>
        <v/>
      </c>
      <c r="V238" s="7">
        <f>IF($AD238="","",U238*T238)</f>
        <v/>
      </c>
      <c r="W238">
        <f>IF($AD238="","",Settings!$C$6)</f>
        <v/>
      </c>
      <c r="X238" s="7">
        <f>IF($AD238="","",SUMIFS('Per Line'!$AB$2:$AB$3001,'Per Line'!$E$2:$E$3001,$B238,'Per Line'!$AP$2:$AP$3001,1,'Per Line'!$AQ$2:$AQ$3001,0))</f>
        <v/>
      </c>
      <c r="Y238" s="7">
        <f>IF($AD238="","",X238*W238)</f>
        <v/>
      </c>
      <c r="Z238" s="7">
        <f>IF($AD238="","",Y238+V238)</f>
        <v/>
      </c>
      <c r="AA238" s="7">
        <f>IF($AD238="","",AB238-Z238)</f>
        <v/>
      </c>
      <c r="AB238" s="7">
        <f>IF($AD238="","",U238+X238+S238)</f>
        <v/>
      </c>
      <c r="AC238" s="7">
        <f>IF($AD238="","",AB238-Z238-P238)</f>
        <v/>
      </c>
      <c r="AD238" s="13">
        <f>IF(ROWS($AD$2:$AD238)&lt;=MAX('Per Line'!$AO$2:$AO$3001),MATCH(ROWS($AD$2:$AD238),'Per Line'!$AO$2:$AO$3001,0),"")</f>
        <v/>
      </c>
      <c r="AE238" s="14">
        <f>IF($AD238="","",P238-O238*AB238/100)</f>
        <v/>
      </c>
    </row>
    <row r="239">
      <c r="A239" s="12" t="n"/>
      <c r="B239">
        <f>IF($AD239="","",INDEX('Per Line'!$E$2:$E$3001,$AD239)&amp;"")</f>
        <v/>
      </c>
      <c r="C239">
        <f>IF($AD239="","",INDEX('Per Line'!$A$2:$A$3001,$AD239)&amp;"")</f>
        <v/>
      </c>
      <c r="D239">
        <f>IF($AD239="","",INDEX('Per Line'!$C$2:$C$3001,$AD239)&amp;"")</f>
        <v/>
      </c>
      <c r="E239">
        <f>IF($AD239="","",INDEX('Per Line'!$B$2:$B$3001,$AD239))</f>
        <v/>
      </c>
      <c r="F239">
        <f>IF($AD239="","",INDEX('Per Line'!$D$2:$D$3001,$AD239)&amp;"")</f>
        <v/>
      </c>
      <c r="G239" s="11">
        <f>IF($AD239="","",INDEX('Per Line'!$G$2:$G$3001,$AD239))</f>
        <v/>
      </c>
      <c r="H239">
        <f>IF($AD239="","",INDEX('Per Line'!$J$2:$J$3001,$AD239)&amp;"")</f>
        <v/>
      </c>
      <c r="I239">
        <f>IF($AD239="","",INDEX('Per Line'!$H$2:$H$3001,$AD239)&amp;"")</f>
        <v/>
      </c>
      <c r="J239">
        <f>IF($AD239="","",INDEX('Per Line'!$F$2:$F$3001,$AD239)&amp;"")</f>
        <v/>
      </c>
      <c r="K239">
        <f>IF($AD239="","",INDEX('Per Line'!$K$2:$K$3001,$AD239)&amp;"")</f>
        <v/>
      </c>
      <c r="L239">
        <f>IF($AD239="","",INDEX('Per Line'!$L$2:$L$3001,$AD239)&amp;"")</f>
        <v/>
      </c>
      <c r="M239">
        <f>IF($AD239="","",INDEX('Per Line'!$M$2:$M$3001,$AD239)&amp;"")</f>
        <v/>
      </c>
      <c r="N239">
        <f>IF($AD239="","",INDEX('Per Line'!$AC$2:$AC$3001,$AD239)&amp;"")</f>
        <v/>
      </c>
      <c r="O239">
        <f>IF($AD239="","",INDEX('Per Line'!$P$2:$P$3001,$AD239))</f>
        <v/>
      </c>
      <c r="P239" s="7">
        <f>IF($AD239="","",IF(AND(ISNUMBER(Q239),Q239&gt;0,AB239&gt;Q239),O239*Q239/100+(AB239-Q239),O239*AB239/100))</f>
        <v/>
      </c>
      <c r="Q239">
        <f>IF($AD239="","",INDEX('Per Line'!$AG$2:$AG$3001,$AD239))</f>
        <v/>
      </c>
      <c r="R239">
        <f>IF($AD239="","",IF(AND(ISNUMBER(Q239),Q239&gt;0),AB239&gt;Q239,FALSE))</f>
        <v/>
      </c>
      <c r="S239" s="7">
        <f>IF($AD239="","",SUMIFS('Per Line'!$AB$2:$AB$3001,'Per Line'!$E$2:$E$3001,$B239,'Per Line'!$AQ$2:$AQ$3001,1))</f>
        <v/>
      </c>
      <c r="T239">
        <f>IF($AD239="","",Settings!$C$7)</f>
        <v/>
      </c>
      <c r="U239" s="7">
        <f>IF($AD239="","",SUMIFS('Per Line'!$AB$2:$AB$3001,'Per Line'!$E$2:$E$3001,$B239,'Per Line'!$AP$2:$AP$3001,0,'Per Line'!$AQ$2:$AQ$3001,0))</f>
        <v/>
      </c>
      <c r="V239" s="7">
        <f>IF($AD239="","",U239*T239)</f>
        <v/>
      </c>
      <c r="W239">
        <f>IF($AD239="","",Settings!$C$6)</f>
        <v/>
      </c>
      <c r="X239" s="7">
        <f>IF($AD239="","",SUMIFS('Per Line'!$AB$2:$AB$3001,'Per Line'!$E$2:$E$3001,$B239,'Per Line'!$AP$2:$AP$3001,1,'Per Line'!$AQ$2:$AQ$3001,0))</f>
        <v/>
      </c>
      <c r="Y239" s="7">
        <f>IF($AD239="","",X239*W239)</f>
        <v/>
      </c>
      <c r="Z239" s="7">
        <f>IF($AD239="","",Y239+V239)</f>
        <v/>
      </c>
      <c r="AA239" s="7">
        <f>IF($AD239="","",AB239-Z239)</f>
        <v/>
      </c>
      <c r="AB239" s="7">
        <f>IF($AD239="","",U239+X239+S239)</f>
        <v/>
      </c>
      <c r="AC239" s="7">
        <f>IF($AD239="","",AB239-Z239-P239)</f>
        <v/>
      </c>
      <c r="AD239" s="13">
        <f>IF(ROWS($AD$2:$AD239)&lt;=MAX('Per Line'!$AO$2:$AO$3001),MATCH(ROWS($AD$2:$AD239),'Per Line'!$AO$2:$AO$3001,0),"")</f>
        <v/>
      </c>
      <c r="AE239" s="14">
        <f>IF($AD239="","",P239-O239*AB239/100)</f>
        <v/>
      </c>
    </row>
    <row r="240">
      <c r="A240" s="12" t="n"/>
      <c r="B240">
        <f>IF($AD240="","",INDEX('Per Line'!$E$2:$E$3001,$AD240)&amp;"")</f>
        <v/>
      </c>
      <c r="C240">
        <f>IF($AD240="","",INDEX('Per Line'!$A$2:$A$3001,$AD240)&amp;"")</f>
        <v/>
      </c>
      <c r="D240">
        <f>IF($AD240="","",INDEX('Per Line'!$C$2:$C$3001,$AD240)&amp;"")</f>
        <v/>
      </c>
      <c r="E240">
        <f>IF($AD240="","",INDEX('Per Line'!$B$2:$B$3001,$AD240))</f>
        <v/>
      </c>
      <c r="F240">
        <f>IF($AD240="","",INDEX('Per Line'!$D$2:$D$3001,$AD240)&amp;"")</f>
        <v/>
      </c>
      <c r="G240" s="11">
        <f>IF($AD240="","",INDEX('Per Line'!$G$2:$G$3001,$AD240))</f>
        <v/>
      </c>
      <c r="H240">
        <f>IF($AD240="","",INDEX('Per Line'!$J$2:$J$3001,$AD240)&amp;"")</f>
        <v/>
      </c>
      <c r="I240">
        <f>IF($AD240="","",INDEX('Per Line'!$H$2:$H$3001,$AD240)&amp;"")</f>
        <v/>
      </c>
      <c r="J240">
        <f>IF($AD240="","",INDEX('Per Line'!$F$2:$F$3001,$AD240)&amp;"")</f>
        <v/>
      </c>
      <c r="K240">
        <f>IF($AD240="","",INDEX('Per Line'!$K$2:$K$3001,$AD240)&amp;"")</f>
        <v/>
      </c>
      <c r="L240">
        <f>IF($AD240="","",INDEX('Per Line'!$L$2:$L$3001,$AD240)&amp;"")</f>
        <v/>
      </c>
      <c r="M240">
        <f>IF($AD240="","",INDEX('Per Line'!$M$2:$M$3001,$AD240)&amp;"")</f>
        <v/>
      </c>
      <c r="N240">
        <f>IF($AD240="","",INDEX('Per Line'!$AC$2:$AC$3001,$AD240)&amp;"")</f>
        <v/>
      </c>
      <c r="O240">
        <f>IF($AD240="","",INDEX('Per Line'!$P$2:$P$3001,$AD240))</f>
        <v/>
      </c>
      <c r="P240" s="7">
        <f>IF($AD240="","",IF(AND(ISNUMBER(Q240),Q240&gt;0,AB240&gt;Q240),O240*Q240/100+(AB240-Q240),O240*AB240/100))</f>
        <v/>
      </c>
      <c r="Q240">
        <f>IF($AD240="","",INDEX('Per Line'!$AG$2:$AG$3001,$AD240))</f>
        <v/>
      </c>
      <c r="R240">
        <f>IF($AD240="","",IF(AND(ISNUMBER(Q240),Q240&gt;0),AB240&gt;Q240,FALSE))</f>
        <v/>
      </c>
      <c r="S240" s="7">
        <f>IF($AD240="","",SUMIFS('Per Line'!$AB$2:$AB$3001,'Per Line'!$E$2:$E$3001,$B240,'Per Line'!$AQ$2:$AQ$3001,1))</f>
        <v/>
      </c>
      <c r="T240">
        <f>IF($AD240="","",Settings!$C$7)</f>
        <v/>
      </c>
      <c r="U240" s="7">
        <f>IF($AD240="","",SUMIFS('Per Line'!$AB$2:$AB$3001,'Per Line'!$E$2:$E$3001,$B240,'Per Line'!$AP$2:$AP$3001,0,'Per Line'!$AQ$2:$AQ$3001,0))</f>
        <v/>
      </c>
      <c r="V240" s="7">
        <f>IF($AD240="","",U240*T240)</f>
        <v/>
      </c>
      <c r="W240">
        <f>IF($AD240="","",Settings!$C$6)</f>
        <v/>
      </c>
      <c r="X240" s="7">
        <f>IF($AD240="","",SUMIFS('Per Line'!$AB$2:$AB$3001,'Per Line'!$E$2:$E$3001,$B240,'Per Line'!$AP$2:$AP$3001,1,'Per Line'!$AQ$2:$AQ$3001,0))</f>
        <v/>
      </c>
      <c r="Y240" s="7">
        <f>IF($AD240="","",X240*W240)</f>
        <v/>
      </c>
      <c r="Z240" s="7">
        <f>IF($AD240="","",Y240+V240)</f>
        <v/>
      </c>
      <c r="AA240" s="7">
        <f>IF($AD240="","",AB240-Z240)</f>
        <v/>
      </c>
      <c r="AB240" s="7">
        <f>IF($AD240="","",U240+X240+S240)</f>
        <v/>
      </c>
      <c r="AC240" s="7">
        <f>IF($AD240="","",AB240-Z240-P240)</f>
        <v/>
      </c>
      <c r="AD240" s="13">
        <f>IF(ROWS($AD$2:$AD240)&lt;=MAX('Per Line'!$AO$2:$AO$3001),MATCH(ROWS($AD$2:$AD240),'Per Line'!$AO$2:$AO$3001,0),"")</f>
        <v/>
      </c>
      <c r="AE240" s="14">
        <f>IF($AD240="","",P240-O240*AB240/100)</f>
        <v/>
      </c>
    </row>
    <row r="241">
      <c r="A241" s="12" t="n"/>
      <c r="B241">
        <f>IF($AD241="","",INDEX('Per Line'!$E$2:$E$3001,$AD241)&amp;"")</f>
        <v/>
      </c>
      <c r="C241">
        <f>IF($AD241="","",INDEX('Per Line'!$A$2:$A$3001,$AD241)&amp;"")</f>
        <v/>
      </c>
      <c r="D241">
        <f>IF($AD241="","",INDEX('Per Line'!$C$2:$C$3001,$AD241)&amp;"")</f>
        <v/>
      </c>
      <c r="E241">
        <f>IF($AD241="","",INDEX('Per Line'!$B$2:$B$3001,$AD241))</f>
        <v/>
      </c>
      <c r="F241">
        <f>IF($AD241="","",INDEX('Per Line'!$D$2:$D$3001,$AD241)&amp;"")</f>
        <v/>
      </c>
      <c r="G241" s="11">
        <f>IF($AD241="","",INDEX('Per Line'!$G$2:$G$3001,$AD241))</f>
        <v/>
      </c>
      <c r="H241">
        <f>IF($AD241="","",INDEX('Per Line'!$J$2:$J$3001,$AD241)&amp;"")</f>
        <v/>
      </c>
      <c r="I241">
        <f>IF($AD241="","",INDEX('Per Line'!$H$2:$H$3001,$AD241)&amp;"")</f>
        <v/>
      </c>
      <c r="J241">
        <f>IF($AD241="","",INDEX('Per Line'!$F$2:$F$3001,$AD241)&amp;"")</f>
        <v/>
      </c>
      <c r="K241">
        <f>IF($AD241="","",INDEX('Per Line'!$K$2:$K$3001,$AD241)&amp;"")</f>
        <v/>
      </c>
      <c r="L241">
        <f>IF($AD241="","",INDEX('Per Line'!$L$2:$L$3001,$AD241)&amp;"")</f>
        <v/>
      </c>
      <c r="M241">
        <f>IF($AD241="","",INDEX('Per Line'!$M$2:$M$3001,$AD241)&amp;"")</f>
        <v/>
      </c>
      <c r="N241">
        <f>IF($AD241="","",INDEX('Per Line'!$AC$2:$AC$3001,$AD241)&amp;"")</f>
        <v/>
      </c>
      <c r="O241">
        <f>IF($AD241="","",INDEX('Per Line'!$P$2:$P$3001,$AD241))</f>
        <v/>
      </c>
      <c r="P241" s="7">
        <f>IF($AD241="","",IF(AND(ISNUMBER(Q241),Q241&gt;0,AB241&gt;Q241),O241*Q241/100+(AB241-Q241),O241*AB241/100))</f>
        <v/>
      </c>
      <c r="Q241">
        <f>IF($AD241="","",INDEX('Per Line'!$AG$2:$AG$3001,$AD241))</f>
        <v/>
      </c>
      <c r="R241">
        <f>IF($AD241="","",IF(AND(ISNUMBER(Q241),Q241&gt;0),AB241&gt;Q241,FALSE))</f>
        <v/>
      </c>
      <c r="S241" s="7">
        <f>IF($AD241="","",SUMIFS('Per Line'!$AB$2:$AB$3001,'Per Line'!$E$2:$E$3001,$B241,'Per Line'!$AQ$2:$AQ$3001,1))</f>
        <v/>
      </c>
      <c r="T241">
        <f>IF($AD241="","",Settings!$C$7)</f>
        <v/>
      </c>
      <c r="U241" s="7">
        <f>IF($AD241="","",SUMIFS('Per Line'!$AB$2:$AB$3001,'Per Line'!$E$2:$E$3001,$B241,'Per Line'!$AP$2:$AP$3001,0,'Per Line'!$AQ$2:$AQ$3001,0))</f>
        <v/>
      </c>
      <c r="V241" s="7">
        <f>IF($AD241="","",U241*T241)</f>
        <v/>
      </c>
      <c r="W241">
        <f>IF($AD241="","",Settings!$C$6)</f>
        <v/>
      </c>
      <c r="X241" s="7">
        <f>IF($AD241="","",SUMIFS('Per Line'!$AB$2:$AB$3001,'Per Line'!$E$2:$E$3001,$B241,'Per Line'!$AP$2:$AP$3001,1,'Per Line'!$AQ$2:$AQ$3001,0))</f>
        <v/>
      </c>
      <c r="Y241" s="7">
        <f>IF($AD241="","",X241*W241)</f>
        <v/>
      </c>
      <c r="Z241" s="7">
        <f>IF($AD241="","",Y241+V241)</f>
        <v/>
      </c>
      <c r="AA241" s="7">
        <f>IF($AD241="","",AB241-Z241)</f>
        <v/>
      </c>
      <c r="AB241" s="7">
        <f>IF($AD241="","",U241+X241+S241)</f>
        <v/>
      </c>
      <c r="AC241" s="7">
        <f>IF($AD241="","",AB241-Z241-P241)</f>
        <v/>
      </c>
      <c r="AD241" s="13">
        <f>IF(ROWS($AD$2:$AD241)&lt;=MAX('Per Line'!$AO$2:$AO$3001),MATCH(ROWS($AD$2:$AD241),'Per Line'!$AO$2:$AO$3001,0),"")</f>
        <v/>
      </c>
      <c r="AE241" s="14">
        <f>IF($AD241="","",P241-O241*AB241/100)</f>
        <v/>
      </c>
    </row>
    <row r="242">
      <c r="A242" s="12" t="n"/>
      <c r="B242">
        <f>IF($AD242="","",INDEX('Per Line'!$E$2:$E$3001,$AD242)&amp;"")</f>
        <v/>
      </c>
      <c r="C242">
        <f>IF($AD242="","",INDEX('Per Line'!$A$2:$A$3001,$AD242)&amp;"")</f>
        <v/>
      </c>
      <c r="D242">
        <f>IF($AD242="","",INDEX('Per Line'!$C$2:$C$3001,$AD242)&amp;"")</f>
        <v/>
      </c>
      <c r="E242">
        <f>IF($AD242="","",INDEX('Per Line'!$B$2:$B$3001,$AD242))</f>
        <v/>
      </c>
      <c r="F242">
        <f>IF($AD242="","",INDEX('Per Line'!$D$2:$D$3001,$AD242)&amp;"")</f>
        <v/>
      </c>
      <c r="G242" s="11">
        <f>IF($AD242="","",INDEX('Per Line'!$G$2:$G$3001,$AD242))</f>
        <v/>
      </c>
      <c r="H242">
        <f>IF($AD242="","",INDEX('Per Line'!$J$2:$J$3001,$AD242)&amp;"")</f>
        <v/>
      </c>
      <c r="I242">
        <f>IF($AD242="","",INDEX('Per Line'!$H$2:$H$3001,$AD242)&amp;"")</f>
        <v/>
      </c>
      <c r="J242">
        <f>IF($AD242="","",INDEX('Per Line'!$F$2:$F$3001,$AD242)&amp;"")</f>
        <v/>
      </c>
      <c r="K242">
        <f>IF($AD242="","",INDEX('Per Line'!$K$2:$K$3001,$AD242)&amp;"")</f>
        <v/>
      </c>
      <c r="L242">
        <f>IF($AD242="","",INDEX('Per Line'!$L$2:$L$3001,$AD242)&amp;"")</f>
        <v/>
      </c>
      <c r="M242">
        <f>IF($AD242="","",INDEX('Per Line'!$M$2:$M$3001,$AD242)&amp;"")</f>
        <v/>
      </c>
      <c r="N242">
        <f>IF($AD242="","",INDEX('Per Line'!$AC$2:$AC$3001,$AD242)&amp;"")</f>
        <v/>
      </c>
      <c r="O242">
        <f>IF($AD242="","",INDEX('Per Line'!$P$2:$P$3001,$AD242))</f>
        <v/>
      </c>
      <c r="P242" s="7">
        <f>IF($AD242="","",IF(AND(ISNUMBER(Q242),Q242&gt;0,AB242&gt;Q242),O242*Q242/100+(AB242-Q242),O242*AB242/100))</f>
        <v/>
      </c>
      <c r="Q242">
        <f>IF($AD242="","",INDEX('Per Line'!$AG$2:$AG$3001,$AD242))</f>
        <v/>
      </c>
      <c r="R242">
        <f>IF($AD242="","",IF(AND(ISNUMBER(Q242),Q242&gt;0),AB242&gt;Q242,FALSE))</f>
        <v/>
      </c>
      <c r="S242" s="7">
        <f>IF($AD242="","",SUMIFS('Per Line'!$AB$2:$AB$3001,'Per Line'!$E$2:$E$3001,$B242,'Per Line'!$AQ$2:$AQ$3001,1))</f>
        <v/>
      </c>
      <c r="T242">
        <f>IF($AD242="","",Settings!$C$7)</f>
        <v/>
      </c>
      <c r="U242" s="7">
        <f>IF($AD242="","",SUMIFS('Per Line'!$AB$2:$AB$3001,'Per Line'!$E$2:$E$3001,$B242,'Per Line'!$AP$2:$AP$3001,0,'Per Line'!$AQ$2:$AQ$3001,0))</f>
        <v/>
      </c>
      <c r="V242" s="7">
        <f>IF($AD242="","",U242*T242)</f>
        <v/>
      </c>
      <c r="W242">
        <f>IF($AD242="","",Settings!$C$6)</f>
        <v/>
      </c>
      <c r="X242" s="7">
        <f>IF($AD242="","",SUMIFS('Per Line'!$AB$2:$AB$3001,'Per Line'!$E$2:$E$3001,$B242,'Per Line'!$AP$2:$AP$3001,1,'Per Line'!$AQ$2:$AQ$3001,0))</f>
        <v/>
      </c>
      <c r="Y242" s="7">
        <f>IF($AD242="","",X242*W242)</f>
        <v/>
      </c>
      <c r="Z242" s="7">
        <f>IF($AD242="","",Y242+V242)</f>
        <v/>
      </c>
      <c r="AA242" s="7">
        <f>IF($AD242="","",AB242-Z242)</f>
        <v/>
      </c>
      <c r="AB242" s="7">
        <f>IF($AD242="","",U242+X242+S242)</f>
        <v/>
      </c>
      <c r="AC242" s="7">
        <f>IF($AD242="","",AB242-Z242-P242)</f>
        <v/>
      </c>
      <c r="AD242" s="13">
        <f>IF(ROWS($AD$2:$AD242)&lt;=MAX('Per Line'!$AO$2:$AO$3001),MATCH(ROWS($AD$2:$AD242),'Per Line'!$AO$2:$AO$3001,0),"")</f>
        <v/>
      </c>
      <c r="AE242" s="14">
        <f>IF($AD242="","",P242-O242*AB242/100)</f>
        <v/>
      </c>
    </row>
    <row r="243">
      <c r="A243" s="12" t="n"/>
      <c r="B243">
        <f>IF($AD243="","",INDEX('Per Line'!$E$2:$E$3001,$AD243)&amp;"")</f>
        <v/>
      </c>
      <c r="C243">
        <f>IF($AD243="","",INDEX('Per Line'!$A$2:$A$3001,$AD243)&amp;"")</f>
        <v/>
      </c>
      <c r="D243">
        <f>IF($AD243="","",INDEX('Per Line'!$C$2:$C$3001,$AD243)&amp;"")</f>
        <v/>
      </c>
      <c r="E243">
        <f>IF($AD243="","",INDEX('Per Line'!$B$2:$B$3001,$AD243))</f>
        <v/>
      </c>
      <c r="F243">
        <f>IF($AD243="","",INDEX('Per Line'!$D$2:$D$3001,$AD243)&amp;"")</f>
        <v/>
      </c>
      <c r="G243" s="11">
        <f>IF($AD243="","",INDEX('Per Line'!$G$2:$G$3001,$AD243))</f>
        <v/>
      </c>
      <c r="H243">
        <f>IF($AD243="","",INDEX('Per Line'!$J$2:$J$3001,$AD243)&amp;"")</f>
        <v/>
      </c>
      <c r="I243">
        <f>IF($AD243="","",INDEX('Per Line'!$H$2:$H$3001,$AD243)&amp;"")</f>
        <v/>
      </c>
      <c r="J243">
        <f>IF($AD243="","",INDEX('Per Line'!$F$2:$F$3001,$AD243)&amp;"")</f>
        <v/>
      </c>
      <c r="K243">
        <f>IF($AD243="","",INDEX('Per Line'!$K$2:$K$3001,$AD243)&amp;"")</f>
        <v/>
      </c>
      <c r="L243">
        <f>IF($AD243="","",INDEX('Per Line'!$L$2:$L$3001,$AD243)&amp;"")</f>
        <v/>
      </c>
      <c r="M243">
        <f>IF($AD243="","",INDEX('Per Line'!$M$2:$M$3001,$AD243)&amp;"")</f>
        <v/>
      </c>
      <c r="N243">
        <f>IF($AD243="","",INDEX('Per Line'!$AC$2:$AC$3001,$AD243)&amp;"")</f>
        <v/>
      </c>
      <c r="O243">
        <f>IF($AD243="","",INDEX('Per Line'!$P$2:$P$3001,$AD243))</f>
        <v/>
      </c>
      <c r="P243" s="7">
        <f>IF($AD243="","",IF(AND(ISNUMBER(Q243),Q243&gt;0,AB243&gt;Q243),O243*Q243/100+(AB243-Q243),O243*AB243/100))</f>
        <v/>
      </c>
      <c r="Q243">
        <f>IF($AD243="","",INDEX('Per Line'!$AG$2:$AG$3001,$AD243))</f>
        <v/>
      </c>
      <c r="R243">
        <f>IF($AD243="","",IF(AND(ISNUMBER(Q243),Q243&gt;0),AB243&gt;Q243,FALSE))</f>
        <v/>
      </c>
      <c r="S243" s="7">
        <f>IF($AD243="","",SUMIFS('Per Line'!$AB$2:$AB$3001,'Per Line'!$E$2:$E$3001,$B243,'Per Line'!$AQ$2:$AQ$3001,1))</f>
        <v/>
      </c>
      <c r="T243">
        <f>IF($AD243="","",Settings!$C$7)</f>
        <v/>
      </c>
      <c r="U243" s="7">
        <f>IF($AD243="","",SUMIFS('Per Line'!$AB$2:$AB$3001,'Per Line'!$E$2:$E$3001,$B243,'Per Line'!$AP$2:$AP$3001,0,'Per Line'!$AQ$2:$AQ$3001,0))</f>
        <v/>
      </c>
      <c r="V243" s="7">
        <f>IF($AD243="","",U243*T243)</f>
        <v/>
      </c>
      <c r="W243">
        <f>IF($AD243="","",Settings!$C$6)</f>
        <v/>
      </c>
      <c r="X243" s="7">
        <f>IF($AD243="","",SUMIFS('Per Line'!$AB$2:$AB$3001,'Per Line'!$E$2:$E$3001,$B243,'Per Line'!$AP$2:$AP$3001,1,'Per Line'!$AQ$2:$AQ$3001,0))</f>
        <v/>
      </c>
      <c r="Y243" s="7">
        <f>IF($AD243="","",X243*W243)</f>
        <v/>
      </c>
      <c r="Z243" s="7">
        <f>IF($AD243="","",Y243+V243)</f>
        <v/>
      </c>
      <c r="AA243" s="7">
        <f>IF($AD243="","",AB243-Z243)</f>
        <v/>
      </c>
      <c r="AB243" s="7">
        <f>IF($AD243="","",U243+X243+S243)</f>
        <v/>
      </c>
      <c r="AC243" s="7">
        <f>IF($AD243="","",AB243-Z243-P243)</f>
        <v/>
      </c>
      <c r="AD243" s="13">
        <f>IF(ROWS($AD$2:$AD243)&lt;=MAX('Per Line'!$AO$2:$AO$3001),MATCH(ROWS($AD$2:$AD243),'Per Line'!$AO$2:$AO$3001,0),"")</f>
        <v/>
      </c>
      <c r="AE243" s="14">
        <f>IF($AD243="","",P243-O243*AB243/100)</f>
        <v/>
      </c>
    </row>
    <row r="244">
      <c r="A244" s="12" t="n"/>
      <c r="B244">
        <f>IF($AD244="","",INDEX('Per Line'!$E$2:$E$3001,$AD244)&amp;"")</f>
        <v/>
      </c>
      <c r="C244">
        <f>IF($AD244="","",INDEX('Per Line'!$A$2:$A$3001,$AD244)&amp;"")</f>
        <v/>
      </c>
      <c r="D244">
        <f>IF($AD244="","",INDEX('Per Line'!$C$2:$C$3001,$AD244)&amp;"")</f>
        <v/>
      </c>
      <c r="E244">
        <f>IF($AD244="","",INDEX('Per Line'!$B$2:$B$3001,$AD244))</f>
        <v/>
      </c>
      <c r="F244">
        <f>IF($AD244="","",INDEX('Per Line'!$D$2:$D$3001,$AD244)&amp;"")</f>
        <v/>
      </c>
      <c r="G244" s="11">
        <f>IF($AD244="","",INDEX('Per Line'!$G$2:$G$3001,$AD244))</f>
        <v/>
      </c>
      <c r="H244">
        <f>IF($AD244="","",INDEX('Per Line'!$J$2:$J$3001,$AD244)&amp;"")</f>
        <v/>
      </c>
      <c r="I244">
        <f>IF($AD244="","",INDEX('Per Line'!$H$2:$H$3001,$AD244)&amp;"")</f>
        <v/>
      </c>
      <c r="J244">
        <f>IF($AD244="","",INDEX('Per Line'!$F$2:$F$3001,$AD244)&amp;"")</f>
        <v/>
      </c>
      <c r="K244">
        <f>IF($AD244="","",INDEX('Per Line'!$K$2:$K$3001,$AD244)&amp;"")</f>
        <v/>
      </c>
      <c r="L244">
        <f>IF($AD244="","",INDEX('Per Line'!$L$2:$L$3001,$AD244)&amp;"")</f>
        <v/>
      </c>
      <c r="M244">
        <f>IF($AD244="","",INDEX('Per Line'!$M$2:$M$3001,$AD244)&amp;"")</f>
        <v/>
      </c>
      <c r="N244">
        <f>IF($AD244="","",INDEX('Per Line'!$AC$2:$AC$3001,$AD244)&amp;"")</f>
        <v/>
      </c>
      <c r="O244">
        <f>IF($AD244="","",INDEX('Per Line'!$P$2:$P$3001,$AD244))</f>
        <v/>
      </c>
      <c r="P244" s="7">
        <f>IF($AD244="","",IF(AND(ISNUMBER(Q244),Q244&gt;0,AB244&gt;Q244),O244*Q244/100+(AB244-Q244),O244*AB244/100))</f>
        <v/>
      </c>
      <c r="Q244">
        <f>IF($AD244="","",INDEX('Per Line'!$AG$2:$AG$3001,$AD244))</f>
        <v/>
      </c>
      <c r="R244">
        <f>IF($AD244="","",IF(AND(ISNUMBER(Q244),Q244&gt;0),AB244&gt;Q244,FALSE))</f>
        <v/>
      </c>
      <c r="S244" s="7">
        <f>IF($AD244="","",SUMIFS('Per Line'!$AB$2:$AB$3001,'Per Line'!$E$2:$E$3001,$B244,'Per Line'!$AQ$2:$AQ$3001,1))</f>
        <v/>
      </c>
      <c r="T244">
        <f>IF($AD244="","",Settings!$C$7)</f>
        <v/>
      </c>
      <c r="U244" s="7">
        <f>IF($AD244="","",SUMIFS('Per Line'!$AB$2:$AB$3001,'Per Line'!$E$2:$E$3001,$B244,'Per Line'!$AP$2:$AP$3001,0,'Per Line'!$AQ$2:$AQ$3001,0))</f>
        <v/>
      </c>
      <c r="V244" s="7">
        <f>IF($AD244="","",U244*T244)</f>
        <v/>
      </c>
      <c r="W244">
        <f>IF($AD244="","",Settings!$C$6)</f>
        <v/>
      </c>
      <c r="X244" s="7">
        <f>IF($AD244="","",SUMIFS('Per Line'!$AB$2:$AB$3001,'Per Line'!$E$2:$E$3001,$B244,'Per Line'!$AP$2:$AP$3001,1,'Per Line'!$AQ$2:$AQ$3001,0))</f>
        <v/>
      </c>
      <c r="Y244" s="7">
        <f>IF($AD244="","",X244*W244)</f>
        <v/>
      </c>
      <c r="Z244" s="7">
        <f>IF($AD244="","",Y244+V244)</f>
        <v/>
      </c>
      <c r="AA244" s="7">
        <f>IF($AD244="","",AB244-Z244)</f>
        <v/>
      </c>
      <c r="AB244" s="7">
        <f>IF($AD244="","",U244+X244+S244)</f>
        <v/>
      </c>
      <c r="AC244" s="7">
        <f>IF($AD244="","",AB244-Z244-P244)</f>
        <v/>
      </c>
      <c r="AD244" s="13">
        <f>IF(ROWS($AD$2:$AD244)&lt;=MAX('Per Line'!$AO$2:$AO$3001),MATCH(ROWS($AD$2:$AD244),'Per Line'!$AO$2:$AO$3001,0),"")</f>
        <v/>
      </c>
      <c r="AE244" s="14">
        <f>IF($AD244="","",P244-O244*AB244/100)</f>
        <v/>
      </c>
    </row>
    <row r="245">
      <c r="A245" s="12" t="n"/>
      <c r="B245">
        <f>IF($AD245="","",INDEX('Per Line'!$E$2:$E$3001,$AD245)&amp;"")</f>
        <v/>
      </c>
      <c r="C245">
        <f>IF($AD245="","",INDEX('Per Line'!$A$2:$A$3001,$AD245)&amp;"")</f>
        <v/>
      </c>
      <c r="D245">
        <f>IF($AD245="","",INDEX('Per Line'!$C$2:$C$3001,$AD245)&amp;"")</f>
        <v/>
      </c>
      <c r="E245">
        <f>IF($AD245="","",INDEX('Per Line'!$B$2:$B$3001,$AD245))</f>
        <v/>
      </c>
      <c r="F245">
        <f>IF($AD245="","",INDEX('Per Line'!$D$2:$D$3001,$AD245)&amp;"")</f>
        <v/>
      </c>
      <c r="G245" s="11">
        <f>IF($AD245="","",INDEX('Per Line'!$G$2:$G$3001,$AD245))</f>
        <v/>
      </c>
      <c r="H245">
        <f>IF($AD245="","",INDEX('Per Line'!$J$2:$J$3001,$AD245)&amp;"")</f>
        <v/>
      </c>
      <c r="I245">
        <f>IF($AD245="","",INDEX('Per Line'!$H$2:$H$3001,$AD245)&amp;"")</f>
        <v/>
      </c>
      <c r="J245">
        <f>IF($AD245="","",INDEX('Per Line'!$F$2:$F$3001,$AD245)&amp;"")</f>
        <v/>
      </c>
      <c r="K245">
        <f>IF($AD245="","",INDEX('Per Line'!$K$2:$K$3001,$AD245)&amp;"")</f>
        <v/>
      </c>
      <c r="L245">
        <f>IF($AD245="","",INDEX('Per Line'!$L$2:$L$3001,$AD245)&amp;"")</f>
        <v/>
      </c>
      <c r="M245">
        <f>IF($AD245="","",INDEX('Per Line'!$M$2:$M$3001,$AD245)&amp;"")</f>
        <v/>
      </c>
      <c r="N245">
        <f>IF($AD245="","",INDEX('Per Line'!$AC$2:$AC$3001,$AD245)&amp;"")</f>
        <v/>
      </c>
      <c r="O245">
        <f>IF($AD245="","",INDEX('Per Line'!$P$2:$P$3001,$AD245))</f>
        <v/>
      </c>
      <c r="P245" s="7">
        <f>IF($AD245="","",IF(AND(ISNUMBER(Q245),Q245&gt;0,AB245&gt;Q245),O245*Q245/100+(AB245-Q245),O245*AB245/100))</f>
        <v/>
      </c>
      <c r="Q245">
        <f>IF($AD245="","",INDEX('Per Line'!$AG$2:$AG$3001,$AD245))</f>
        <v/>
      </c>
      <c r="R245">
        <f>IF($AD245="","",IF(AND(ISNUMBER(Q245),Q245&gt;0),AB245&gt;Q245,FALSE))</f>
        <v/>
      </c>
      <c r="S245" s="7">
        <f>IF($AD245="","",SUMIFS('Per Line'!$AB$2:$AB$3001,'Per Line'!$E$2:$E$3001,$B245,'Per Line'!$AQ$2:$AQ$3001,1))</f>
        <v/>
      </c>
      <c r="T245">
        <f>IF($AD245="","",Settings!$C$7)</f>
        <v/>
      </c>
      <c r="U245" s="7">
        <f>IF($AD245="","",SUMIFS('Per Line'!$AB$2:$AB$3001,'Per Line'!$E$2:$E$3001,$B245,'Per Line'!$AP$2:$AP$3001,0,'Per Line'!$AQ$2:$AQ$3001,0))</f>
        <v/>
      </c>
      <c r="V245" s="7">
        <f>IF($AD245="","",U245*T245)</f>
        <v/>
      </c>
      <c r="W245">
        <f>IF($AD245="","",Settings!$C$6)</f>
        <v/>
      </c>
      <c r="X245" s="7">
        <f>IF($AD245="","",SUMIFS('Per Line'!$AB$2:$AB$3001,'Per Line'!$E$2:$E$3001,$B245,'Per Line'!$AP$2:$AP$3001,1,'Per Line'!$AQ$2:$AQ$3001,0))</f>
        <v/>
      </c>
      <c r="Y245" s="7">
        <f>IF($AD245="","",X245*W245)</f>
        <v/>
      </c>
      <c r="Z245" s="7">
        <f>IF($AD245="","",Y245+V245)</f>
        <v/>
      </c>
      <c r="AA245" s="7">
        <f>IF($AD245="","",AB245-Z245)</f>
        <v/>
      </c>
      <c r="AB245" s="7">
        <f>IF($AD245="","",U245+X245+S245)</f>
        <v/>
      </c>
      <c r="AC245" s="7">
        <f>IF($AD245="","",AB245-Z245-P245)</f>
        <v/>
      </c>
      <c r="AD245" s="13">
        <f>IF(ROWS($AD$2:$AD245)&lt;=MAX('Per Line'!$AO$2:$AO$3001),MATCH(ROWS($AD$2:$AD245),'Per Line'!$AO$2:$AO$3001,0),"")</f>
        <v/>
      </c>
      <c r="AE245" s="14">
        <f>IF($AD245="","",P245-O245*AB245/100)</f>
        <v/>
      </c>
    </row>
    <row r="246">
      <c r="A246" s="12" t="n"/>
      <c r="B246">
        <f>IF($AD246="","",INDEX('Per Line'!$E$2:$E$3001,$AD246)&amp;"")</f>
        <v/>
      </c>
      <c r="C246">
        <f>IF($AD246="","",INDEX('Per Line'!$A$2:$A$3001,$AD246)&amp;"")</f>
        <v/>
      </c>
      <c r="D246">
        <f>IF($AD246="","",INDEX('Per Line'!$C$2:$C$3001,$AD246)&amp;"")</f>
        <v/>
      </c>
      <c r="E246">
        <f>IF($AD246="","",INDEX('Per Line'!$B$2:$B$3001,$AD246))</f>
        <v/>
      </c>
      <c r="F246">
        <f>IF($AD246="","",INDEX('Per Line'!$D$2:$D$3001,$AD246)&amp;"")</f>
        <v/>
      </c>
      <c r="G246" s="11">
        <f>IF($AD246="","",INDEX('Per Line'!$G$2:$G$3001,$AD246))</f>
        <v/>
      </c>
      <c r="H246">
        <f>IF($AD246="","",INDEX('Per Line'!$J$2:$J$3001,$AD246)&amp;"")</f>
        <v/>
      </c>
      <c r="I246">
        <f>IF($AD246="","",INDEX('Per Line'!$H$2:$H$3001,$AD246)&amp;"")</f>
        <v/>
      </c>
      <c r="J246">
        <f>IF($AD246="","",INDEX('Per Line'!$F$2:$F$3001,$AD246)&amp;"")</f>
        <v/>
      </c>
      <c r="K246">
        <f>IF($AD246="","",INDEX('Per Line'!$K$2:$K$3001,$AD246)&amp;"")</f>
        <v/>
      </c>
      <c r="L246">
        <f>IF($AD246="","",INDEX('Per Line'!$L$2:$L$3001,$AD246)&amp;"")</f>
        <v/>
      </c>
      <c r="M246">
        <f>IF($AD246="","",INDEX('Per Line'!$M$2:$M$3001,$AD246)&amp;"")</f>
        <v/>
      </c>
      <c r="N246">
        <f>IF($AD246="","",INDEX('Per Line'!$AC$2:$AC$3001,$AD246)&amp;"")</f>
        <v/>
      </c>
      <c r="O246">
        <f>IF($AD246="","",INDEX('Per Line'!$P$2:$P$3001,$AD246))</f>
        <v/>
      </c>
      <c r="P246" s="7">
        <f>IF($AD246="","",IF(AND(ISNUMBER(Q246),Q246&gt;0,AB246&gt;Q246),O246*Q246/100+(AB246-Q246),O246*AB246/100))</f>
        <v/>
      </c>
      <c r="Q246">
        <f>IF($AD246="","",INDEX('Per Line'!$AG$2:$AG$3001,$AD246))</f>
        <v/>
      </c>
      <c r="R246">
        <f>IF($AD246="","",IF(AND(ISNUMBER(Q246),Q246&gt;0),AB246&gt;Q246,FALSE))</f>
        <v/>
      </c>
      <c r="S246" s="7">
        <f>IF($AD246="","",SUMIFS('Per Line'!$AB$2:$AB$3001,'Per Line'!$E$2:$E$3001,$B246,'Per Line'!$AQ$2:$AQ$3001,1))</f>
        <v/>
      </c>
      <c r="T246">
        <f>IF($AD246="","",Settings!$C$7)</f>
        <v/>
      </c>
      <c r="U246" s="7">
        <f>IF($AD246="","",SUMIFS('Per Line'!$AB$2:$AB$3001,'Per Line'!$E$2:$E$3001,$B246,'Per Line'!$AP$2:$AP$3001,0,'Per Line'!$AQ$2:$AQ$3001,0))</f>
        <v/>
      </c>
      <c r="V246" s="7">
        <f>IF($AD246="","",U246*T246)</f>
        <v/>
      </c>
      <c r="W246">
        <f>IF($AD246="","",Settings!$C$6)</f>
        <v/>
      </c>
      <c r="X246" s="7">
        <f>IF($AD246="","",SUMIFS('Per Line'!$AB$2:$AB$3001,'Per Line'!$E$2:$E$3001,$B246,'Per Line'!$AP$2:$AP$3001,1,'Per Line'!$AQ$2:$AQ$3001,0))</f>
        <v/>
      </c>
      <c r="Y246" s="7">
        <f>IF($AD246="","",X246*W246)</f>
        <v/>
      </c>
      <c r="Z246" s="7">
        <f>IF($AD246="","",Y246+V246)</f>
        <v/>
      </c>
      <c r="AA246" s="7">
        <f>IF($AD246="","",AB246-Z246)</f>
        <v/>
      </c>
      <c r="AB246" s="7">
        <f>IF($AD246="","",U246+X246+S246)</f>
        <v/>
      </c>
      <c r="AC246" s="7">
        <f>IF($AD246="","",AB246-Z246-P246)</f>
        <v/>
      </c>
      <c r="AD246" s="13">
        <f>IF(ROWS($AD$2:$AD246)&lt;=MAX('Per Line'!$AO$2:$AO$3001),MATCH(ROWS($AD$2:$AD246),'Per Line'!$AO$2:$AO$3001,0),"")</f>
        <v/>
      </c>
      <c r="AE246" s="14">
        <f>IF($AD246="","",P246-O246*AB246/100)</f>
        <v/>
      </c>
    </row>
    <row r="247">
      <c r="A247" s="12" t="n"/>
      <c r="B247">
        <f>IF($AD247="","",INDEX('Per Line'!$E$2:$E$3001,$AD247)&amp;"")</f>
        <v/>
      </c>
      <c r="C247">
        <f>IF($AD247="","",INDEX('Per Line'!$A$2:$A$3001,$AD247)&amp;"")</f>
        <v/>
      </c>
      <c r="D247">
        <f>IF($AD247="","",INDEX('Per Line'!$C$2:$C$3001,$AD247)&amp;"")</f>
        <v/>
      </c>
      <c r="E247">
        <f>IF($AD247="","",INDEX('Per Line'!$B$2:$B$3001,$AD247))</f>
        <v/>
      </c>
      <c r="F247">
        <f>IF($AD247="","",INDEX('Per Line'!$D$2:$D$3001,$AD247)&amp;"")</f>
        <v/>
      </c>
      <c r="G247" s="11">
        <f>IF($AD247="","",INDEX('Per Line'!$G$2:$G$3001,$AD247))</f>
        <v/>
      </c>
      <c r="H247">
        <f>IF($AD247="","",INDEX('Per Line'!$J$2:$J$3001,$AD247)&amp;"")</f>
        <v/>
      </c>
      <c r="I247">
        <f>IF($AD247="","",INDEX('Per Line'!$H$2:$H$3001,$AD247)&amp;"")</f>
        <v/>
      </c>
      <c r="J247">
        <f>IF($AD247="","",INDEX('Per Line'!$F$2:$F$3001,$AD247)&amp;"")</f>
        <v/>
      </c>
      <c r="K247">
        <f>IF($AD247="","",INDEX('Per Line'!$K$2:$K$3001,$AD247)&amp;"")</f>
        <v/>
      </c>
      <c r="L247">
        <f>IF($AD247="","",INDEX('Per Line'!$L$2:$L$3001,$AD247)&amp;"")</f>
        <v/>
      </c>
      <c r="M247">
        <f>IF($AD247="","",INDEX('Per Line'!$M$2:$M$3001,$AD247)&amp;"")</f>
        <v/>
      </c>
      <c r="N247">
        <f>IF($AD247="","",INDEX('Per Line'!$AC$2:$AC$3001,$AD247)&amp;"")</f>
        <v/>
      </c>
      <c r="O247">
        <f>IF($AD247="","",INDEX('Per Line'!$P$2:$P$3001,$AD247))</f>
        <v/>
      </c>
      <c r="P247" s="7">
        <f>IF($AD247="","",IF(AND(ISNUMBER(Q247),Q247&gt;0,AB247&gt;Q247),O247*Q247/100+(AB247-Q247),O247*AB247/100))</f>
        <v/>
      </c>
      <c r="Q247">
        <f>IF($AD247="","",INDEX('Per Line'!$AG$2:$AG$3001,$AD247))</f>
        <v/>
      </c>
      <c r="R247">
        <f>IF($AD247="","",IF(AND(ISNUMBER(Q247),Q247&gt;0),AB247&gt;Q247,FALSE))</f>
        <v/>
      </c>
      <c r="S247" s="7">
        <f>IF($AD247="","",SUMIFS('Per Line'!$AB$2:$AB$3001,'Per Line'!$E$2:$E$3001,$B247,'Per Line'!$AQ$2:$AQ$3001,1))</f>
        <v/>
      </c>
      <c r="T247">
        <f>IF($AD247="","",Settings!$C$7)</f>
        <v/>
      </c>
      <c r="U247" s="7">
        <f>IF($AD247="","",SUMIFS('Per Line'!$AB$2:$AB$3001,'Per Line'!$E$2:$E$3001,$B247,'Per Line'!$AP$2:$AP$3001,0,'Per Line'!$AQ$2:$AQ$3001,0))</f>
        <v/>
      </c>
      <c r="V247" s="7">
        <f>IF($AD247="","",U247*T247)</f>
        <v/>
      </c>
      <c r="W247">
        <f>IF($AD247="","",Settings!$C$6)</f>
        <v/>
      </c>
      <c r="X247" s="7">
        <f>IF($AD247="","",SUMIFS('Per Line'!$AB$2:$AB$3001,'Per Line'!$E$2:$E$3001,$B247,'Per Line'!$AP$2:$AP$3001,1,'Per Line'!$AQ$2:$AQ$3001,0))</f>
        <v/>
      </c>
      <c r="Y247" s="7">
        <f>IF($AD247="","",X247*W247)</f>
        <v/>
      </c>
      <c r="Z247" s="7">
        <f>IF($AD247="","",Y247+V247)</f>
        <v/>
      </c>
      <c r="AA247" s="7">
        <f>IF($AD247="","",AB247-Z247)</f>
        <v/>
      </c>
      <c r="AB247" s="7">
        <f>IF($AD247="","",U247+X247+S247)</f>
        <v/>
      </c>
      <c r="AC247" s="7">
        <f>IF($AD247="","",AB247-Z247-P247)</f>
        <v/>
      </c>
      <c r="AD247" s="13">
        <f>IF(ROWS($AD$2:$AD247)&lt;=MAX('Per Line'!$AO$2:$AO$3001),MATCH(ROWS($AD$2:$AD247),'Per Line'!$AO$2:$AO$3001,0),"")</f>
        <v/>
      </c>
      <c r="AE247" s="14">
        <f>IF($AD247="","",P247-O247*AB247/100)</f>
        <v/>
      </c>
    </row>
    <row r="248">
      <c r="A248" s="12" t="n"/>
      <c r="B248">
        <f>IF($AD248="","",INDEX('Per Line'!$E$2:$E$3001,$AD248)&amp;"")</f>
        <v/>
      </c>
      <c r="C248">
        <f>IF($AD248="","",INDEX('Per Line'!$A$2:$A$3001,$AD248)&amp;"")</f>
        <v/>
      </c>
      <c r="D248">
        <f>IF($AD248="","",INDEX('Per Line'!$C$2:$C$3001,$AD248)&amp;"")</f>
        <v/>
      </c>
      <c r="E248">
        <f>IF($AD248="","",INDEX('Per Line'!$B$2:$B$3001,$AD248))</f>
        <v/>
      </c>
      <c r="F248">
        <f>IF($AD248="","",INDEX('Per Line'!$D$2:$D$3001,$AD248)&amp;"")</f>
        <v/>
      </c>
      <c r="G248" s="11">
        <f>IF($AD248="","",INDEX('Per Line'!$G$2:$G$3001,$AD248))</f>
        <v/>
      </c>
      <c r="H248">
        <f>IF($AD248="","",INDEX('Per Line'!$J$2:$J$3001,$AD248)&amp;"")</f>
        <v/>
      </c>
      <c r="I248">
        <f>IF($AD248="","",INDEX('Per Line'!$H$2:$H$3001,$AD248)&amp;"")</f>
        <v/>
      </c>
      <c r="J248">
        <f>IF($AD248="","",INDEX('Per Line'!$F$2:$F$3001,$AD248)&amp;"")</f>
        <v/>
      </c>
      <c r="K248">
        <f>IF($AD248="","",INDEX('Per Line'!$K$2:$K$3001,$AD248)&amp;"")</f>
        <v/>
      </c>
      <c r="L248">
        <f>IF($AD248="","",INDEX('Per Line'!$L$2:$L$3001,$AD248)&amp;"")</f>
        <v/>
      </c>
      <c r="M248">
        <f>IF($AD248="","",INDEX('Per Line'!$M$2:$M$3001,$AD248)&amp;"")</f>
        <v/>
      </c>
      <c r="N248">
        <f>IF($AD248="","",INDEX('Per Line'!$AC$2:$AC$3001,$AD248)&amp;"")</f>
        <v/>
      </c>
      <c r="O248">
        <f>IF($AD248="","",INDEX('Per Line'!$P$2:$P$3001,$AD248))</f>
        <v/>
      </c>
      <c r="P248" s="7">
        <f>IF($AD248="","",IF(AND(ISNUMBER(Q248),Q248&gt;0,AB248&gt;Q248),O248*Q248/100+(AB248-Q248),O248*AB248/100))</f>
        <v/>
      </c>
      <c r="Q248">
        <f>IF($AD248="","",INDEX('Per Line'!$AG$2:$AG$3001,$AD248))</f>
        <v/>
      </c>
      <c r="R248">
        <f>IF($AD248="","",IF(AND(ISNUMBER(Q248),Q248&gt;0),AB248&gt;Q248,FALSE))</f>
        <v/>
      </c>
      <c r="S248" s="7">
        <f>IF($AD248="","",SUMIFS('Per Line'!$AB$2:$AB$3001,'Per Line'!$E$2:$E$3001,$B248,'Per Line'!$AQ$2:$AQ$3001,1))</f>
        <v/>
      </c>
      <c r="T248">
        <f>IF($AD248="","",Settings!$C$7)</f>
        <v/>
      </c>
      <c r="U248" s="7">
        <f>IF($AD248="","",SUMIFS('Per Line'!$AB$2:$AB$3001,'Per Line'!$E$2:$E$3001,$B248,'Per Line'!$AP$2:$AP$3001,0,'Per Line'!$AQ$2:$AQ$3001,0))</f>
        <v/>
      </c>
      <c r="V248" s="7">
        <f>IF($AD248="","",U248*T248)</f>
        <v/>
      </c>
      <c r="W248">
        <f>IF($AD248="","",Settings!$C$6)</f>
        <v/>
      </c>
      <c r="X248" s="7">
        <f>IF($AD248="","",SUMIFS('Per Line'!$AB$2:$AB$3001,'Per Line'!$E$2:$E$3001,$B248,'Per Line'!$AP$2:$AP$3001,1,'Per Line'!$AQ$2:$AQ$3001,0))</f>
        <v/>
      </c>
      <c r="Y248" s="7">
        <f>IF($AD248="","",X248*W248)</f>
        <v/>
      </c>
      <c r="Z248" s="7">
        <f>IF($AD248="","",Y248+V248)</f>
        <v/>
      </c>
      <c r="AA248" s="7">
        <f>IF($AD248="","",AB248-Z248)</f>
        <v/>
      </c>
      <c r="AB248" s="7">
        <f>IF($AD248="","",U248+X248+S248)</f>
        <v/>
      </c>
      <c r="AC248" s="7">
        <f>IF($AD248="","",AB248-Z248-P248)</f>
        <v/>
      </c>
      <c r="AD248" s="13">
        <f>IF(ROWS($AD$2:$AD248)&lt;=MAX('Per Line'!$AO$2:$AO$3001),MATCH(ROWS($AD$2:$AD248),'Per Line'!$AO$2:$AO$3001,0),"")</f>
        <v/>
      </c>
      <c r="AE248" s="14">
        <f>IF($AD248="","",P248-O248*AB248/100)</f>
        <v/>
      </c>
    </row>
    <row r="249">
      <c r="A249" s="12" t="n"/>
      <c r="B249">
        <f>IF($AD249="","",INDEX('Per Line'!$E$2:$E$3001,$AD249)&amp;"")</f>
        <v/>
      </c>
      <c r="C249">
        <f>IF($AD249="","",INDEX('Per Line'!$A$2:$A$3001,$AD249)&amp;"")</f>
        <v/>
      </c>
      <c r="D249">
        <f>IF($AD249="","",INDEX('Per Line'!$C$2:$C$3001,$AD249)&amp;"")</f>
        <v/>
      </c>
      <c r="E249">
        <f>IF($AD249="","",INDEX('Per Line'!$B$2:$B$3001,$AD249))</f>
        <v/>
      </c>
      <c r="F249">
        <f>IF($AD249="","",INDEX('Per Line'!$D$2:$D$3001,$AD249)&amp;"")</f>
        <v/>
      </c>
      <c r="G249" s="11">
        <f>IF($AD249="","",INDEX('Per Line'!$G$2:$G$3001,$AD249))</f>
        <v/>
      </c>
      <c r="H249">
        <f>IF($AD249="","",INDEX('Per Line'!$J$2:$J$3001,$AD249)&amp;"")</f>
        <v/>
      </c>
      <c r="I249">
        <f>IF($AD249="","",INDEX('Per Line'!$H$2:$H$3001,$AD249)&amp;"")</f>
        <v/>
      </c>
      <c r="J249">
        <f>IF($AD249="","",INDEX('Per Line'!$F$2:$F$3001,$AD249)&amp;"")</f>
        <v/>
      </c>
      <c r="K249">
        <f>IF($AD249="","",INDEX('Per Line'!$K$2:$K$3001,$AD249)&amp;"")</f>
        <v/>
      </c>
      <c r="L249">
        <f>IF($AD249="","",INDEX('Per Line'!$L$2:$L$3001,$AD249)&amp;"")</f>
        <v/>
      </c>
      <c r="M249">
        <f>IF($AD249="","",INDEX('Per Line'!$M$2:$M$3001,$AD249)&amp;"")</f>
        <v/>
      </c>
      <c r="N249">
        <f>IF($AD249="","",INDEX('Per Line'!$AC$2:$AC$3001,$AD249)&amp;"")</f>
        <v/>
      </c>
      <c r="O249">
        <f>IF($AD249="","",INDEX('Per Line'!$P$2:$P$3001,$AD249))</f>
        <v/>
      </c>
      <c r="P249" s="7">
        <f>IF($AD249="","",IF(AND(ISNUMBER(Q249),Q249&gt;0,AB249&gt;Q249),O249*Q249/100+(AB249-Q249),O249*AB249/100))</f>
        <v/>
      </c>
      <c r="Q249">
        <f>IF($AD249="","",INDEX('Per Line'!$AG$2:$AG$3001,$AD249))</f>
        <v/>
      </c>
      <c r="R249">
        <f>IF($AD249="","",IF(AND(ISNUMBER(Q249),Q249&gt;0),AB249&gt;Q249,FALSE))</f>
        <v/>
      </c>
      <c r="S249" s="7">
        <f>IF($AD249="","",SUMIFS('Per Line'!$AB$2:$AB$3001,'Per Line'!$E$2:$E$3001,$B249,'Per Line'!$AQ$2:$AQ$3001,1))</f>
        <v/>
      </c>
      <c r="T249">
        <f>IF($AD249="","",Settings!$C$7)</f>
        <v/>
      </c>
      <c r="U249" s="7">
        <f>IF($AD249="","",SUMIFS('Per Line'!$AB$2:$AB$3001,'Per Line'!$E$2:$E$3001,$B249,'Per Line'!$AP$2:$AP$3001,0,'Per Line'!$AQ$2:$AQ$3001,0))</f>
        <v/>
      </c>
      <c r="V249" s="7">
        <f>IF($AD249="","",U249*T249)</f>
        <v/>
      </c>
      <c r="W249">
        <f>IF($AD249="","",Settings!$C$6)</f>
        <v/>
      </c>
      <c r="X249" s="7">
        <f>IF($AD249="","",SUMIFS('Per Line'!$AB$2:$AB$3001,'Per Line'!$E$2:$E$3001,$B249,'Per Line'!$AP$2:$AP$3001,1,'Per Line'!$AQ$2:$AQ$3001,0))</f>
        <v/>
      </c>
      <c r="Y249" s="7">
        <f>IF($AD249="","",X249*W249)</f>
        <v/>
      </c>
      <c r="Z249" s="7">
        <f>IF($AD249="","",Y249+V249)</f>
        <v/>
      </c>
      <c r="AA249" s="7">
        <f>IF($AD249="","",AB249-Z249)</f>
        <v/>
      </c>
      <c r="AB249" s="7">
        <f>IF($AD249="","",U249+X249+S249)</f>
        <v/>
      </c>
      <c r="AC249" s="7">
        <f>IF($AD249="","",AB249-Z249-P249)</f>
        <v/>
      </c>
      <c r="AD249" s="13">
        <f>IF(ROWS($AD$2:$AD249)&lt;=MAX('Per Line'!$AO$2:$AO$3001),MATCH(ROWS($AD$2:$AD249),'Per Line'!$AO$2:$AO$3001,0),"")</f>
        <v/>
      </c>
      <c r="AE249" s="14">
        <f>IF($AD249="","",P249-O249*AB249/100)</f>
        <v/>
      </c>
    </row>
    <row r="250">
      <c r="A250" s="12" t="n"/>
      <c r="B250">
        <f>IF($AD250="","",INDEX('Per Line'!$E$2:$E$3001,$AD250)&amp;"")</f>
        <v/>
      </c>
      <c r="C250">
        <f>IF($AD250="","",INDEX('Per Line'!$A$2:$A$3001,$AD250)&amp;"")</f>
        <v/>
      </c>
      <c r="D250">
        <f>IF($AD250="","",INDEX('Per Line'!$C$2:$C$3001,$AD250)&amp;"")</f>
        <v/>
      </c>
      <c r="E250">
        <f>IF($AD250="","",INDEX('Per Line'!$B$2:$B$3001,$AD250))</f>
        <v/>
      </c>
      <c r="F250">
        <f>IF($AD250="","",INDEX('Per Line'!$D$2:$D$3001,$AD250)&amp;"")</f>
        <v/>
      </c>
      <c r="G250" s="11">
        <f>IF($AD250="","",INDEX('Per Line'!$G$2:$G$3001,$AD250))</f>
        <v/>
      </c>
      <c r="H250">
        <f>IF($AD250="","",INDEX('Per Line'!$J$2:$J$3001,$AD250)&amp;"")</f>
        <v/>
      </c>
      <c r="I250">
        <f>IF($AD250="","",INDEX('Per Line'!$H$2:$H$3001,$AD250)&amp;"")</f>
        <v/>
      </c>
      <c r="J250">
        <f>IF($AD250="","",INDEX('Per Line'!$F$2:$F$3001,$AD250)&amp;"")</f>
        <v/>
      </c>
      <c r="K250">
        <f>IF($AD250="","",INDEX('Per Line'!$K$2:$K$3001,$AD250)&amp;"")</f>
        <v/>
      </c>
      <c r="L250">
        <f>IF($AD250="","",INDEX('Per Line'!$L$2:$L$3001,$AD250)&amp;"")</f>
        <v/>
      </c>
      <c r="M250">
        <f>IF($AD250="","",INDEX('Per Line'!$M$2:$M$3001,$AD250)&amp;"")</f>
        <v/>
      </c>
      <c r="N250">
        <f>IF($AD250="","",INDEX('Per Line'!$AC$2:$AC$3001,$AD250)&amp;"")</f>
        <v/>
      </c>
      <c r="O250">
        <f>IF($AD250="","",INDEX('Per Line'!$P$2:$P$3001,$AD250))</f>
        <v/>
      </c>
      <c r="P250" s="7">
        <f>IF($AD250="","",IF(AND(ISNUMBER(Q250),Q250&gt;0,AB250&gt;Q250),O250*Q250/100+(AB250-Q250),O250*AB250/100))</f>
        <v/>
      </c>
      <c r="Q250">
        <f>IF($AD250="","",INDEX('Per Line'!$AG$2:$AG$3001,$AD250))</f>
        <v/>
      </c>
      <c r="R250">
        <f>IF($AD250="","",IF(AND(ISNUMBER(Q250),Q250&gt;0),AB250&gt;Q250,FALSE))</f>
        <v/>
      </c>
      <c r="S250" s="7">
        <f>IF($AD250="","",SUMIFS('Per Line'!$AB$2:$AB$3001,'Per Line'!$E$2:$E$3001,$B250,'Per Line'!$AQ$2:$AQ$3001,1))</f>
        <v/>
      </c>
      <c r="T250">
        <f>IF($AD250="","",Settings!$C$7)</f>
        <v/>
      </c>
      <c r="U250" s="7">
        <f>IF($AD250="","",SUMIFS('Per Line'!$AB$2:$AB$3001,'Per Line'!$E$2:$E$3001,$B250,'Per Line'!$AP$2:$AP$3001,0,'Per Line'!$AQ$2:$AQ$3001,0))</f>
        <v/>
      </c>
      <c r="V250" s="7">
        <f>IF($AD250="","",U250*T250)</f>
        <v/>
      </c>
      <c r="W250">
        <f>IF($AD250="","",Settings!$C$6)</f>
        <v/>
      </c>
      <c r="X250" s="7">
        <f>IF($AD250="","",SUMIFS('Per Line'!$AB$2:$AB$3001,'Per Line'!$E$2:$E$3001,$B250,'Per Line'!$AP$2:$AP$3001,1,'Per Line'!$AQ$2:$AQ$3001,0))</f>
        <v/>
      </c>
      <c r="Y250" s="7">
        <f>IF($AD250="","",X250*W250)</f>
        <v/>
      </c>
      <c r="Z250" s="7">
        <f>IF($AD250="","",Y250+V250)</f>
        <v/>
      </c>
      <c r="AA250" s="7">
        <f>IF($AD250="","",AB250-Z250)</f>
        <v/>
      </c>
      <c r="AB250" s="7">
        <f>IF($AD250="","",U250+X250+S250)</f>
        <v/>
      </c>
      <c r="AC250" s="7">
        <f>IF($AD250="","",AB250-Z250-P250)</f>
        <v/>
      </c>
      <c r="AD250" s="13">
        <f>IF(ROWS($AD$2:$AD250)&lt;=MAX('Per Line'!$AO$2:$AO$3001),MATCH(ROWS($AD$2:$AD250),'Per Line'!$AO$2:$AO$3001,0),"")</f>
        <v/>
      </c>
      <c r="AE250" s="14">
        <f>IF($AD250="","",P250-O250*AB250/100)</f>
        <v/>
      </c>
    </row>
    <row r="251">
      <c r="A251" s="12" t="n"/>
      <c r="B251">
        <f>IF($AD251="","",INDEX('Per Line'!$E$2:$E$3001,$AD251)&amp;"")</f>
        <v/>
      </c>
      <c r="C251">
        <f>IF($AD251="","",INDEX('Per Line'!$A$2:$A$3001,$AD251)&amp;"")</f>
        <v/>
      </c>
      <c r="D251">
        <f>IF($AD251="","",INDEX('Per Line'!$C$2:$C$3001,$AD251)&amp;"")</f>
        <v/>
      </c>
      <c r="E251">
        <f>IF($AD251="","",INDEX('Per Line'!$B$2:$B$3001,$AD251))</f>
        <v/>
      </c>
      <c r="F251">
        <f>IF($AD251="","",INDEX('Per Line'!$D$2:$D$3001,$AD251)&amp;"")</f>
        <v/>
      </c>
      <c r="G251" s="11">
        <f>IF($AD251="","",INDEX('Per Line'!$G$2:$G$3001,$AD251))</f>
        <v/>
      </c>
      <c r="H251">
        <f>IF($AD251="","",INDEX('Per Line'!$J$2:$J$3001,$AD251)&amp;"")</f>
        <v/>
      </c>
      <c r="I251">
        <f>IF($AD251="","",INDEX('Per Line'!$H$2:$H$3001,$AD251)&amp;"")</f>
        <v/>
      </c>
      <c r="J251">
        <f>IF($AD251="","",INDEX('Per Line'!$F$2:$F$3001,$AD251)&amp;"")</f>
        <v/>
      </c>
      <c r="K251">
        <f>IF($AD251="","",INDEX('Per Line'!$K$2:$K$3001,$AD251)&amp;"")</f>
        <v/>
      </c>
      <c r="L251">
        <f>IF($AD251="","",INDEX('Per Line'!$L$2:$L$3001,$AD251)&amp;"")</f>
        <v/>
      </c>
      <c r="M251">
        <f>IF($AD251="","",INDEX('Per Line'!$M$2:$M$3001,$AD251)&amp;"")</f>
        <v/>
      </c>
      <c r="N251">
        <f>IF($AD251="","",INDEX('Per Line'!$AC$2:$AC$3001,$AD251)&amp;"")</f>
        <v/>
      </c>
      <c r="O251">
        <f>IF($AD251="","",INDEX('Per Line'!$P$2:$P$3001,$AD251))</f>
        <v/>
      </c>
      <c r="P251" s="7">
        <f>IF($AD251="","",IF(AND(ISNUMBER(Q251),Q251&gt;0,AB251&gt;Q251),O251*Q251/100+(AB251-Q251),O251*AB251/100))</f>
        <v/>
      </c>
      <c r="Q251">
        <f>IF($AD251="","",INDEX('Per Line'!$AG$2:$AG$3001,$AD251))</f>
        <v/>
      </c>
      <c r="R251">
        <f>IF($AD251="","",IF(AND(ISNUMBER(Q251),Q251&gt;0),AB251&gt;Q251,FALSE))</f>
        <v/>
      </c>
      <c r="S251" s="7">
        <f>IF($AD251="","",SUMIFS('Per Line'!$AB$2:$AB$3001,'Per Line'!$E$2:$E$3001,$B251,'Per Line'!$AQ$2:$AQ$3001,1))</f>
        <v/>
      </c>
      <c r="T251">
        <f>IF($AD251="","",Settings!$C$7)</f>
        <v/>
      </c>
      <c r="U251" s="7">
        <f>IF($AD251="","",SUMIFS('Per Line'!$AB$2:$AB$3001,'Per Line'!$E$2:$E$3001,$B251,'Per Line'!$AP$2:$AP$3001,0,'Per Line'!$AQ$2:$AQ$3001,0))</f>
        <v/>
      </c>
      <c r="V251" s="7">
        <f>IF($AD251="","",U251*T251)</f>
        <v/>
      </c>
      <c r="W251">
        <f>IF($AD251="","",Settings!$C$6)</f>
        <v/>
      </c>
      <c r="X251" s="7">
        <f>IF($AD251="","",SUMIFS('Per Line'!$AB$2:$AB$3001,'Per Line'!$E$2:$E$3001,$B251,'Per Line'!$AP$2:$AP$3001,1,'Per Line'!$AQ$2:$AQ$3001,0))</f>
        <v/>
      </c>
      <c r="Y251" s="7">
        <f>IF($AD251="","",X251*W251)</f>
        <v/>
      </c>
      <c r="Z251" s="7">
        <f>IF($AD251="","",Y251+V251)</f>
        <v/>
      </c>
      <c r="AA251" s="7">
        <f>IF($AD251="","",AB251-Z251)</f>
        <v/>
      </c>
      <c r="AB251" s="7">
        <f>IF($AD251="","",U251+X251+S251)</f>
        <v/>
      </c>
      <c r="AC251" s="7">
        <f>IF($AD251="","",AB251-Z251-P251)</f>
        <v/>
      </c>
      <c r="AD251" s="13">
        <f>IF(ROWS($AD$2:$AD251)&lt;=MAX('Per Line'!$AO$2:$AO$3001),MATCH(ROWS($AD$2:$AD251),'Per Line'!$AO$2:$AO$3001,0),"")</f>
        <v/>
      </c>
      <c r="AE251" s="14">
        <f>IF($AD251="","",P251-O251*AB251/100)</f>
        <v/>
      </c>
    </row>
    <row r="252">
      <c r="A252" s="12" t="n"/>
      <c r="B252">
        <f>IF($AD252="","",INDEX('Per Line'!$E$2:$E$3001,$AD252)&amp;"")</f>
        <v/>
      </c>
      <c r="C252">
        <f>IF($AD252="","",INDEX('Per Line'!$A$2:$A$3001,$AD252)&amp;"")</f>
        <v/>
      </c>
      <c r="D252">
        <f>IF($AD252="","",INDEX('Per Line'!$C$2:$C$3001,$AD252)&amp;"")</f>
        <v/>
      </c>
      <c r="E252">
        <f>IF($AD252="","",INDEX('Per Line'!$B$2:$B$3001,$AD252))</f>
        <v/>
      </c>
      <c r="F252">
        <f>IF($AD252="","",INDEX('Per Line'!$D$2:$D$3001,$AD252)&amp;"")</f>
        <v/>
      </c>
      <c r="G252" s="11">
        <f>IF($AD252="","",INDEX('Per Line'!$G$2:$G$3001,$AD252))</f>
        <v/>
      </c>
      <c r="H252">
        <f>IF($AD252="","",INDEX('Per Line'!$J$2:$J$3001,$AD252)&amp;"")</f>
        <v/>
      </c>
      <c r="I252">
        <f>IF($AD252="","",INDEX('Per Line'!$H$2:$H$3001,$AD252)&amp;"")</f>
        <v/>
      </c>
      <c r="J252">
        <f>IF($AD252="","",INDEX('Per Line'!$F$2:$F$3001,$AD252)&amp;"")</f>
        <v/>
      </c>
      <c r="K252">
        <f>IF($AD252="","",INDEX('Per Line'!$K$2:$K$3001,$AD252)&amp;"")</f>
        <v/>
      </c>
      <c r="L252">
        <f>IF($AD252="","",INDEX('Per Line'!$L$2:$L$3001,$AD252)&amp;"")</f>
        <v/>
      </c>
      <c r="M252">
        <f>IF($AD252="","",INDEX('Per Line'!$M$2:$M$3001,$AD252)&amp;"")</f>
        <v/>
      </c>
      <c r="N252">
        <f>IF($AD252="","",INDEX('Per Line'!$AC$2:$AC$3001,$AD252)&amp;"")</f>
        <v/>
      </c>
      <c r="O252">
        <f>IF($AD252="","",INDEX('Per Line'!$P$2:$P$3001,$AD252))</f>
        <v/>
      </c>
      <c r="P252" s="7">
        <f>IF($AD252="","",IF(AND(ISNUMBER(Q252),Q252&gt;0,AB252&gt;Q252),O252*Q252/100+(AB252-Q252),O252*AB252/100))</f>
        <v/>
      </c>
      <c r="Q252">
        <f>IF($AD252="","",INDEX('Per Line'!$AG$2:$AG$3001,$AD252))</f>
        <v/>
      </c>
      <c r="R252">
        <f>IF($AD252="","",IF(AND(ISNUMBER(Q252),Q252&gt;0),AB252&gt;Q252,FALSE))</f>
        <v/>
      </c>
      <c r="S252" s="7">
        <f>IF($AD252="","",SUMIFS('Per Line'!$AB$2:$AB$3001,'Per Line'!$E$2:$E$3001,$B252,'Per Line'!$AQ$2:$AQ$3001,1))</f>
        <v/>
      </c>
      <c r="T252">
        <f>IF($AD252="","",Settings!$C$7)</f>
        <v/>
      </c>
      <c r="U252" s="7">
        <f>IF($AD252="","",SUMIFS('Per Line'!$AB$2:$AB$3001,'Per Line'!$E$2:$E$3001,$B252,'Per Line'!$AP$2:$AP$3001,0,'Per Line'!$AQ$2:$AQ$3001,0))</f>
        <v/>
      </c>
      <c r="V252" s="7">
        <f>IF($AD252="","",U252*T252)</f>
        <v/>
      </c>
      <c r="W252">
        <f>IF($AD252="","",Settings!$C$6)</f>
        <v/>
      </c>
      <c r="X252" s="7">
        <f>IF($AD252="","",SUMIFS('Per Line'!$AB$2:$AB$3001,'Per Line'!$E$2:$E$3001,$B252,'Per Line'!$AP$2:$AP$3001,1,'Per Line'!$AQ$2:$AQ$3001,0))</f>
        <v/>
      </c>
      <c r="Y252" s="7">
        <f>IF($AD252="","",X252*W252)</f>
        <v/>
      </c>
      <c r="Z252" s="7">
        <f>IF($AD252="","",Y252+V252)</f>
        <v/>
      </c>
      <c r="AA252" s="7">
        <f>IF($AD252="","",AB252-Z252)</f>
        <v/>
      </c>
      <c r="AB252" s="7">
        <f>IF($AD252="","",U252+X252+S252)</f>
        <v/>
      </c>
      <c r="AC252" s="7">
        <f>IF($AD252="","",AB252-Z252-P252)</f>
        <v/>
      </c>
      <c r="AD252" s="13">
        <f>IF(ROWS($AD$2:$AD252)&lt;=MAX('Per Line'!$AO$2:$AO$3001),MATCH(ROWS($AD$2:$AD252),'Per Line'!$AO$2:$AO$3001,0),"")</f>
        <v/>
      </c>
      <c r="AE252" s="14">
        <f>IF($AD252="","",P252-O252*AB252/100)</f>
        <v/>
      </c>
    </row>
    <row r="253">
      <c r="A253" s="12" t="n"/>
      <c r="B253">
        <f>IF($AD253="","",INDEX('Per Line'!$E$2:$E$3001,$AD253)&amp;"")</f>
        <v/>
      </c>
      <c r="C253">
        <f>IF($AD253="","",INDEX('Per Line'!$A$2:$A$3001,$AD253)&amp;"")</f>
        <v/>
      </c>
      <c r="D253">
        <f>IF($AD253="","",INDEX('Per Line'!$C$2:$C$3001,$AD253)&amp;"")</f>
        <v/>
      </c>
      <c r="E253">
        <f>IF($AD253="","",INDEX('Per Line'!$B$2:$B$3001,$AD253))</f>
        <v/>
      </c>
      <c r="F253">
        <f>IF($AD253="","",INDEX('Per Line'!$D$2:$D$3001,$AD253)&amp;"")</f>
        <v/>
      </c>
      <c r="G253" s="11">
        <f>IF($AD253="","",INDEX('Per Line'!$G$2:$G$3001,$AD253))</f>
        <v/>
      </c>
      <c r="H253">
        <f>IF($AD253="","",INDEX('Per Line'!$J$2:$J$3001,$AD253)&amp;"")</f>
        <v/>
      </c>
      <c r="I253">
        <f>IF($AD253="","",INDEX('Per Line'!$H$2:$H$3001,$AD253)&amp;"")</f>
        <v/>
      </c>
      <c r="J253">
        <f>IF($AD253="","",INDEX('Per Line'!$F$2:$F$3001,$AD253)&amp;"")</f>
        <v/>
      </c>
      <c r="K253">
        <f>IF($AD253="","",INDEX('Per Line'!$K$2:$K$3001,$AD253)&amp;"")</f>
        <v/>
      </c>
      <c r="L253">
        <f>IF($AD253="","",INDEX('Per Line'!$L$2:$L$3001,$AD253)&amp;"")</f>
        <v/>
      </c>
      <c r="M253">
        <f>IF($AD253="","",INDEX('Per Line'!$M$2:$M$3001,$AD253)&amp;"")</f>
        <v/>
      </c>
      <c r="N253">
        <f>IF($AD253="","",INDEX('Per Line'!$AC$2:$AC$3001,$AD253)&amp;"")</f>
        <v/>
      </c>
      <c r="O253">
        <f>IF($AD253="","",INDEX('Per Line'!$P$2:$P$3001,$AD253))</f>
        <v/>
      </c>
      <c r="P253" s="7">
        <f>IF($AD253="","",IF(AND(ISNUMBER(Q253),Q253&gt;0,AB253&gt;Q253),O253*Q253/100+(AB253-Q253),O253*AB253/100))</f>
        <v/>
      </c>
      <c r="Q253">
        <f>IF($AD253="","",INDEX('Per Line'!$AG$2:$AG$3001,$AD253))</f>
        <v/>
      </c>
      <c r="R253">
        <f>IF($AD253="","",IF(AND(ISNUMBER(Q253),Q253&gt;0),AB253&gt;Q253,FALSE))</f>
        <v/>
      </c>
      <c r="S253" s="7">
        <f>IF($AD253="","",SUMIFS('Per Line'!$AB$2:$AB$3001,'Per Line'!$E$2:$E$3001,$B253,'Per Line'!$AQ$2:$AQ$3001,1))</f>
        <v/>
      </c>
      <c r="T253">
        <f>IF($AD253="","",Settings!$C$7)</f>
        <v/>
      </c>
      <c r="U253" s="7">
        <f>IF($AD253="","",SUMIFS('Per Line'!$AB$2:$AB$3001,'Per Line'!$E$2:$E$3001,$B253,'Per Line'!$AP$2:$AP$3001,0,'Per Line'!$AQ$2:$AQ$3001,0))</f>
        <v/>
      </c>
      <c r="V253" s="7">
        <f>IF($AD253="","",U253*T253)</f>
        <v/>
      </c>
      <c r="W253">
        <f>IF($AD253="","",Settings!$C$6)</f>
        <v/>
      </c>
      <c r="X253" s="7">
        <f>IF($AD253="","",SUMIFS('Per Line'!$AB$2:$AB$3001,'Per Line'!$E$2:$E$3001,$B253,'Per Line'!$AP$2:$AP$3001,1,'Per Line'!$AQ$2:$AQ$3001,0))</f>
        <v/>
      </c>
      <c r="Y253" s="7">
        <f>IF($AD253="","",X253*W253)</f>
        <v/>
      </c>
      <c r="Z253" s="7">
        <f>IF($AD253="","",Y253+V253)</f>
        <v/>
      </c>
      <c r="AA253" s="7">
        <f>IF($AD253="","",AB253-Z253)</f>
        <v/>
      </c>
      <c r="AB253" s="7">
        <f>IF($AD253="","",U253+X253+S253)</f>
        <v/>
      </c>
      <c r="AC253" s="7">
        <f>IF($AD253="","",AB253-Z253-P253)</f>
        <v/>
      </c>
      <c r="AD253" s="13">
        <f>IF(ROWS($AD$2:$AD253)&lt;=MAX('Per Line'!$AO$2:$AO$3001),MATCH(ROWS($AD$2:$AD253),'Per Line'!$AO$2:$AO$3001,0),"")</f>
        <v/>
      </c>
      <c r="AE253" s="14">
        <f>IF($AD253="","",P253-O253*AB253/100)</f>
        <v/>
      </c>
    </row>
    <row r="254">
      <c r="A254" s="12" t="n"/>
      <c r="B254">
        <f>IF($AD254="","",INDEX('Per Line'!$E$2:$E$3001,$AD254)&amp;"")</f>
        <v/>
      </c>
      <c r="C254">
        <f>IF($AD254="","",INDEX('Per Line'!$A$2:$A$3001,$AD254)&amp;"")</f>
        <v/>
      </c>
      <c r="D254">
        <f>IF($AD254="","",INDEX('Per Line'!$C$2:$C$3001,$AD254)&amp;"")</f>
        <v/>
      </c>
      <c r="E254">
        <f>IF($AD254="","",INDEX('Per Line'!$B$2:$B$3001,$AD254))</f>
        <v/>
      </c>
      <c r="F254">
        <f>IF($AD254="","",INDEX('Per Line'!$D$2:$D$3001,$AD254)&amp;"")</f>
        <v/>
      </c>
      <c r="G254" s="11">
        <f>IF($AD254="","",INDEX('Per Line'!$G$2:$G$3001,$AD254))</f>
        <v/>
      </c>
      <c r="H254">
        <f>IF($AD254="","",INDEX('Per Line'!$J$2:$J$3001,$AD254)&amp;"")</f>
        <v/>
      </c>
      <c r="I254">
        <f>IF($AD254="","",INDEX('Per Line'!$H$2:$H$3001,$AD254)&amp;"")</f>
        <v/>
      </c>
      <c r="J254">
        <f>IF($AD254="","",INDEX('Per Line'!$F$2:$F$3001,$AD254)&amp;"")</f>
        <v/>
      </c>
      <c r="K254">
        <f>IF($AD254="","",INDEX('Per Line'!$K$2:$K$3001,$AD254)&amp;"")</f>
        <v/>
      </c>
      <c r="L254">
        <f>IF($AD254="","",INDEX('Per Line'!$L$2:$L$3001,$AD254)&amp;"")</f>
        <v/>
      </c>
      <c r="M254">
        <f>IF($AD254="","",INDEX('Per Line'!$M$2:$M$3001,$AD254)&amp;"")</f>
        <v/>
      </c>
      <c r="N254">
        <f>IF($AD254="","",INDEX('Per Line'!$AC$2:$AC$3001,$AD254)&amp;"")</f>
        <v/>
      </c>
      <c r="O254">
        <f>IF($AD254="","",INDEX('Per Line'!$P$2:$P$3001,$AD254))</f>
        <v/>
      </c>
      <c r="P254" s="7">
        <f>IF($AD254="","",IF(AND(ISNUMBER(Q254),Q254&gt;0,AB254&gt;Q254),O254*Q254/100+(AB254-Q254),O254*AB254/100))</f>
        <v/>
      </c>
      <c r="Q254">
        <f>IF($AD254="","",INDEX('Per Line'!$AG$2:$AG$3001,$AD254))</f>
        <v/>
      </c>
      <c r="R254">
        <f>IF($AD254="","",IF(AND(ISNUMBER(Q254),Q254&gt;0),AB254&gt;Q254,FALSE))</f>
        <v/>
      </c>
      <c r="S254" s="7">
        <f>IF($AD254="","",SUMIFS('Per Line'!$AB$2:$AB$3001,'Per Line'!$E$2:$E$3001,$B254,'Per Line'!$AQ$2:$AQ$3001,1))</f>
        <v/>
      </c>
      <c r="T254">
        <f>IF($AD254="","",Settings!$C$7)</f>
        <v/>
      </c>
      <c r="U254" s="7">
        <f>IF($AD254="","",SUMIFS('Per Line'!$AB$2:$AB$3001,'Per Line'!$E$2:$E$3001,$B254,'Per Line'!$AP$2:$AP$3001,0,'Per Line'!$AQ$2:$AQ$3001,0))</f>
        <v/>
      </c>
      <c r="V254" s="7">
        <f>IF($AD254="","",U254*T254)</f>
        <v/>
      </c>
      <c r="W254">
        <f>IF($AD254="","",Settings!$C$6)</f>
        <v/>
      </c>
      <c r="X254" s="7">
        <f>IF($AD254="","",SUMIFS('Per Line'!$AB$2:$AB$3001,'Per Line'!$E$2:$E$3001,$B254,'Per Line'!$AP$2:$AP$3001,1,'Per Line'!$AQ$2:$AQ$3001,0))</f>
        <v/>
      </c>
      <c r="Y254" s="7">
        <f>IF($AD254="","",X254*W254)</f>
        <v/>
      </c>
      <c r="Z254" s="7">
        <f>IF($AD254="","",Y254+V254)</f>
        <v/>
      </c>
      <c r="AA254" s="7">
        <f>IF($AD254="","",AB254-Z254)</f>
        <v/>
      </c>
      <c r="AB254" s="7">
        <f>IF($AD254="","",U254+X254+S254)</f>
        <v/>
      </c>
      <c r="AC254" s="7">
        <f>IF($AD254="","",AB254-Z254-P254)</f>
        <v/>
      </c>
      <c r="AD254" s="13">
        <f>IF(ROWS($AD$2:$AD254)&lt;=MAX('Per Line'!$AO$2:$AO$3001),MATCH(ROWS($AD$2:$AD254),'Per Line'!$AO$2:$AO$3001,0),"")</f>
        <v/>
      </c>
      <c r="AE254" s="14">
        <f>IF($AD254="","",P254-O254*AB254/100)</f>
        <v/>
      </c>
    </row>
    <row r="255">
      <c r="A255" s="12" t="n"/>
      <c r="B255">
        <f>IF($AD255="","",INDEX('Per Line'!$E$2:$E$3001,$AD255)&amp;"")</f>
        <v/>
      </c>
      <c r="C255">
        <f>IF($AD255="","",INDEX('Per Line'!$A$2:$A$3001,$AD255)&amp;"")</f>
        <v/>
      </c>
      <c r="D255">
        <f>IF($AD255="","",INDEX('Per Line'!$C$2:$C$3001,$AD255)&amp;"")</f>
        <v/>
      </c>
      <c r="E255">
        <f>IF($AD255="","",INDEX('Per Line'!$B$2:$B$3001,$AD255))</f>
        <v/>
      </c>
      <c r="F255">
        <f>IF($AD255="","",INDEX('Per Line'!$D$2:$D$3001,$AD255)&amp;"")</f>
        <v/>
      </c>
      <c r="G255" s="11">
        <f>IF($AD255="","",INDEX('Per Line'!$G$2:$G$3001,$AD255))</f>
        <v/>
      </c>
      <c r="H255">
        <f>IF($AD255="","",INDEX('Per Line'!$J$2:$J$3001,$AD255)&amp;"")</f>
        <v/>
      </c>
      <c r="I255">
        <f>IF($AD255="","",INDEX('Per Line'!$H$2:$H$3001,$AD255)&amp;"")</f>
        <v/>
      </c>
      <c r="J255">
        <f>IF($AD255="","",INDEX('Per Line'!$F$2:$F$3001,$AD255)&amp;"")</f>
        <v/>
      </c>
      <c r="K255">
        <f>IF($AD255="","",INDEX('Per Line'!$K$2:$K$3001,$AD255)&amp;"")</f>
        <v/>
      </c>
      <c r="L255">
        <f>IF($AD255="","",INDEX('Per Line'!$L$2:$L$3001,$AD255)&amp;"")</f>
        <v/>
      </c>
      <c r="M255">
        <f>IF($AD255="","",INDEX('Per Line'!$M$2:$M$3001,$AD255)&amp;"")</f>
        <v/>
      </c>
      <c r="N255">
        <f>IF($AD255="","",INDEX('Per Line'!$AC$2:$AC$3001,$AD255)&amp;"")</f>
        <v/>
      </c>
      <c r="O255">
        <f>IF($AD255="","",INDEX('Per Line'!$P$2:$P$3001,$AD255))</f>
        <v/>
      </c>
      <c r="P255" s="7">
        <f>IF($AD255="","",IF(AND(ISNUMBER(Q255),Q255&gt;0,AB255&gt;Q255),O255*Q255/100+(AB255-Q255),O255*AB255/100))</f>
        <v/>
      </c>
      <c r="Q255">
        <f>IF($AD255="","",INDEX('Per Line'!$AG$2:$AG$3001,$AD255))</f>
        <v/>
      </c>
      <c r="R255">
        <f>IF($AD255="","",IF(AND(ISNUMBER(Q255),Q255&gt;0),AB255&gt;Q255,FALSE))</f>
        <v/>
      </c>
      <c r="S255" s="7">
        <f>IF($AD255="","",SUMIFS('Per Line'!$AB$2:$AB$3001,'Per Line'!$E$2:$E$3001,$B255,'Per Line'!$AQ$2:$AQ$3001,1))</f>
        <v/>
      </c>
      <c r="T255">
        <f>IF($AD255="","",Settings!$C$7)</f>
        <v/>
      </c>
      <c r="U255" s="7">
        <f>IF($AD255="","",SUMIFS('Per Line'!$AB$2:$AB$3001,'Per Line'!$E$2:$E$3001,$B255,'Per Line'!$AP$2:$AP$3001,0,'Per Line'!$AQ$2:$AQ$3001,0))</f>
        <v/>
      </c>
      <c r="V255" s="7">
        <f>IF($AD255="","",U255*T255)</f>
        <v/>
      </c>
      <c r="W255">
        <f>IF($AD255="","",Settings!$C$6)</f>
        <v/>
      </c>
      <c r="X255" s="7">
        <f>IF($AD255="","",SUMIFS('Per Line'!$AB$2:$AB$3001,'Per Line'!$E$2:$E$3001,$B255,'Per Line'!$AP$2:$AP$3001,1,'Per Line'!$AQ$2:$AQ$3001,0))</f>
        <v/>
      </c>
      <c r="Y255" s="7">
        <f>IF($AD255="","",X255*W255)</f>
        <v/>
      </c>
      <c r="Z255" s="7">
        <f>IF($AD255="","",Y255+V255)</f>
        <v/>
      </c>
      <c r="AA255" s="7">
        <f>IF($AD255="","",AB255-Z255)</f>
        <v/>
      </c>
      <c r="AB255" s="7">
        <f>IF($AD255="","",U255+X255+S255)</f>
        <v/>
      </c>
      <c r="AC255" s="7">
        <f>IF($AD255="","",AB255-Z255-P255)</f>
        <v/>
      </c>
      <c r="AD255" s="13">
        <f>IF(ROWS($AD$2:$AD255)&lt;=MAX('Per Line'!$AO$2:$AO$3001),MATCH(ROWS($AD$2:$AD255),'Per Line'!$AO$2:$AO$3001,0),"")</f>
        <v/>
      </c>
      <c r="AE255" s="14">
        <f>IF($AD255="","",P255-O255*AB255/100)</f>
        <v/>
      </c>
    </row>
    <row r="256">
      <c r="A256" s="12" t="n"/>
      <c r="B256">
        <f>IF($AD256="","",INDEX('Per Line'!$E$2:$E$3001,$AD256)&amp;"")</f>
        <v/>
      </c>
      <c r="C256">
        <f>IF($AD256="","",INDEX('Per Line'!$A$2:$A$3001,$AD256)&amp;"")</f>
        <v/>
      </c>
      <c r="D256">
        <f>IF($AD256="","",INDEX('Per Line'!$C$2:$C$3001,$AD256)&amp;"")</f>
        <v/>
      </c>
      <c r="E256">
        <f>IF($AD256="","",INDEX('Per Line'!$B$2:$B$3001,$AD256))</f>
        <v/>
      </c>
      <c r="F256">
        <f>IF($AD256="","",INDEX('Per Line'!$D$2:$D$3001,$AD256)&amp;"")</f>
        <v/>
      </c>
      <c r="G256" s="11">
        <f>IF($AD256="","",INDEX('Per Line'!$G$2:$G$3001,$AD256))</f>
        <v/>
      </c>
      <c r="H256">
        <f>IF($AD256="","",INDEX('Per Line'!$J$2:$J$3001,$AD256)&amp;"")</f>
        <v/>
      </c>
      <c r="I256">
        <f>IF($AD256="","",INDEX('Per Line'!$H$2:$H$3001,$AD256)&amp;"")</f>
        <v/>
      </c>
      <c r="J256">
        <f>IF($AD256="","",INDEX('Per Line'!$F$2:$F$3001,$AD256)&amp;"")</f>
        <v/>
      </c>
      <c r="K256">
        <f>IF($AD256="","",INDEX('Per Line'!$K$2:$K$3001,$AD256)&amp;"")</f>
        <v/>
      </c>
      <c r="L256">
        <f>IF($AD256="","",INDEX('Per Line'!$L$2:$L$3001,$AD256)&amp;"")</f>
        <v/>
      </c>
      <c r="M256">
        <f>IF($AD256="","",INDEX('Per Line'!$M$2:$M$3001,$AD256)&amp;"")</f>
        <v/>
      </c>
      <c r="N256">
        <f>IF($AD256="","",INDEX('Per Line'!$AC$2:$AC$3001,$AD256)&amp;"")</f>
        <v/>
      </c>
      <c r="O256">
        <f>IF($AD256="","",INDEX('Per Line'!$P$2:$P$3001,$AD256))</f>
        <v/>
      </c>
      <c r="P256" s="7">
        <f>IF($AD256="","",IF(AND(ISNUMBER(Q256),Q256&gt;0,AB256&gt;Q256),O256*Q256/100+(AB256-Q256),O256*AB256/100))</f>
        <v/>
      </c>
      <c r="Q256">
        <f>IF($AD256="","",INDEX('Per Line'!$AG$2:$AG$3001,$AD256))</f>
        <v/>
      </c>
      <c r="R256">
        <f>IF($AD256="","",IF(AND(ISNUMBER(Q256),Q256&gt;0),AB256&gt;Q256,FALSE))</f>
        <v/>
      </c>
      <c r="S256" s="7">
        <f>IF($AD256="","",SUMIFS('Per Line'!$AB$2:$AB$3001,'Per Line'!$E$2:$E$3001,$B256,'Per Line'!$AQ$2:$AQ$3001,1))</f>
        <v/>
      </c>
      <c r="T256">
        <f>IF($AD256="","",Settings!$C$7)</f>
        <v/>
      </c>
      <c r="U256" s="7">
        <f>IF($AD256="","",SUMIFS('Per Line'!$AB$2:$AB$3001,'Per Line'!$E$2:$E$3001,$B256,'Per Line'!$AP$2:$AP$3001,0,'Per Line'!$AQ$2:$AQ$3001,0))</f>
        <v/>
      </c>
      <c r="V256" s="7">
        <f>IF($AD256="","",U256*T256)</f>
        <v/>
      </c>
      <c r="W256">
        <f>IF($AD256="","",Settings!$C$6)</f>
        <v/>
      </c>
      <c r="X256" s="7">
        <f>IF($AD256="","",SUMIFS('Per Line'!$AB$2:$AB$3001,'Per Line'!$E$2:$E$3001,$B256,'Per Line'!$AP$2:$AP$3001,1,'Per Line'!$AQ$2:$AQ$3001,0))</f>
        <v/>
      </c>
      <c r="Y256" s="7">
        <f>IF($AD256="","",X256*W256)</f>
        <v/>
      </c>
      <c r="Z256" s="7">
        <f>IF($AD256="","",Y256+V256)</f>
        <v/>
      </c>
      <c r="AA256" s="7">
        <f>IF($AD256="","",AB256-Z256)</f>
        <v/>
      </c>
      <c r="AB256" s="7">
        <f>IF($AD256="","",U256+X256+S256)</f>
        <v/>
      </c>
      <c r="AC256" s="7">
        <f>IF($AD256="","",AB256-Z256-P256)</f>
        <v/>
      </c>
      <c r="AD256" s="13">
        <f>IF(ROWS($AD$2:$AD256)&lt;=MAX('Per Line'!$AO$2:$AO$3001),MATCH(ROWS($AD$2:$AD256),'Per Line'!$AO$2:$AO$3001,0),"")</f>
        <v/>
      </c>
      <c r="AE256" s="14">
        <f>IF($AD256="","",P256-O256*AB256/100)</f>
        <v/>
      </c>
    </row>
    <row r="257">
      <c r="A257" s="12" t="n"/>
      <c r="B257">
        <f>IF($AD257="","",INDEX('Per Line'!$E$2:$E$3001,$AD257)&amp;"")</f>
        <v/>
      </c>
      <c r="C257">
        <f>IF($AD257="","",INDEX('Per Line'!$A$2:$A$3001,$AD257)&amp;"")</f>
        <v/>
      </c>
      <c r="D257">
        <f>IF($AD257="","",INDEX('Per Line'!$C$2:$C$3001,$AD257)&amp;"")</f>
        <v/>
      </c>
      <c r="E257">
        <f>IF($AD257="","",INDEX('Per Line'!$B$2:$B$3001,$AD257))</f>
        <v/>
      </c>
      <c r="F257">
        <f>IF($AD257="","",INDEX('Per Line'!$D$2:$D$3001,$AD257)&amp;"")</f>
        <v/>
      </c>
      <c r="G257" s="11">
        <f>IF($AD257="","",INDEX('Per Line'!$G$2:$G$3001,$AD257))</f>
        <v/>
      </c>
      <c r="H257">
        <f>IF($AD257="","",INDEX('Per Line'!$J$2:$J$3001,$AD257)&amp;"")</f>
        <v/>
      </c>
      <c r="I257">
        <f>IF($AD257="","",INDEX('Per Line'!$H$2:$H$3001,$AD257)&amp;"")</f>
        <v/>
      </c>
      <c r="J257">
        <f>IF($AD257="","",INDEX('Per Line'!$F$2:$F$3001,$AD257)&amp;"")</f>
        <v/>
      </c>
      <c r="K257">
        <f>IF($AD257="","",INDEX('Per Line'!$K$2:$K$3001,$AD257)&amp;"")</f>
        <v/>
      </c>
      <c r="L257">
        <f>IF($AD257="","",INDEX('Per Line'!$L$2:$L$3001,$AD257)&amp;"")</f>
        <v/>
      </c>
      <c r="M257">
        <f>IF($AD257="","",INDEX('Per Line'!$M$2:$M$3001,$AD257)&amp;"")</f>
        <v/>
      </c>
      <c r="N257">
        <f>IF($AD257="","",INDEX('Per Line'!$AC$2:$AC$3001,$AD257)&amp;"")</f>
        <v/>
      </c>
      <c r="O257">
        <f>IF($AD257="","",INDEX('Per Line'!$P$2:$P$3001,$AD257))</f>
        <v/>
      </c>
      <c r="P257" s="7">
        <f>IF($AD257="","",IF(AND(ISNUMBER(Q257),Q257&gt;0,AB257&gt;Q257),O257*Q257/100+(AB257-Q257),O257*AB257/100))</f>
        <v/>
      </c>
      <c r="Q257">
        <f>IF($AD257="","",INDEX('Per Line'!$AG$2:$AG$3001,$AD257))</f>
        <v/>
      </c>
      <c r="R257">
        <f>IF($AD257="","",IF(AND(ISNUMBER(Q257),Q257&gt;0),AB257&gt;Q257,FALSE))</f>
        <v/>
      </c>
      <c r="S257" s="7">
        <f>IF($AD257="","",SUMIFS('Per Line'!$AB$2:$AB$3001,'Per Line'!$E$2:$E$3001,$B257,'Per Line'!$AQ$2:$AQ$3001,1))</f>
        <v/>
      </c>
      <c r="T257">
        <f>IF($AD257="","",Settings!$C$7)</f>
        <v/>
      </c>
      <c r="U257" s="7">
        <f>IF($AD257="","",SUMIFS('Per Line'!$AB$2:$AB$3001,'Per Line'!$E$2:$E$3001,$B257,'Per Line'!$AP$2:$AP$3001,0,'Per Line'!$AQ$2:$AQ$3001,0))</f>
        <v/>
      </c>
      <c r="V257" s="7">
        <f>IF($AD257="","",U257*T257)</f>
        <v/>
      </c>
      <c r="W257">
        <f>IF($AD257="","",Settings!$C$6)</f>
        <v/>
      </c>
      <c r="X257" s="7">
        <f>IF($AD257="","",SUMIFS('Per Line'!$AB$2:$AB$3001,'Per Line'!$E$2:$E$3001,$B257,'Per Line'!$AP$2:$AP$3001,1,'Per Line'!$AQ$2:$AQ$3001,0))</f>
        <v/>
      </c>
      <c r="Y257" s="7">
        <f>IF($AD257="","",X257*W257)</f>
        <v/>
      </c>
      <c r="Z257" s="7">
        <f>IF($AD257="","",Y257+V257)</f>
        <v/>
      </c>
      <c r="AA257" s="7">
        <f>IF($AD257="","",AB257-Z257)</f>
        <v/>
      </c>
      <c r="AB257" s="7">
        <f>IF($AD257="","",U257+X257+S257)</f>
        <v/>
      </c>
      <c r="AC257" s="7">
        <f>IF($AD257="","",AB257-Z257-P257)</f>
        <v/>
      </c>
      <c r="AD257" s="13">
        <f>IF(ROWS($AD$2:$AD257)&lt;=MAX('Per Line'!$AO$2:$AO$3001),MATCH(ROWS($AD$2:$AD257),'Per Line'!$AO$2:$AO$3001,0),"")</f>
        <v/>
      </c>
      <c r="AE257" s="14">
        <f>IF($AD257="","",P257-O257*AB257/100)</f>
        <v/>
      </c>
    </row>
    <row r="258">
      <c r="A258" s="12" t="n"/>
      <c r="B258">
        <f>IF($AD258="","",INDEX('Per Line'!$E$2:$E$3001,$AD258)&amp;"")</f>
        <v/>
      </c>
      <c r="C258">
        <f>IF($AD258="","",INDEX('Per Line'!$A$2:$A$3001,$AD258)&amp;"")</f>
        <v/>
      </c>
      <c r="D258">
        <f>IF($AD258="","",INDEX('Per Line'!$C$2:$C$3001,$AD258)&amp;"")</f>
        <v/>
      </c>
      <c r="E258">
        <f>IF($AD258="","",INDEX('Per Line'!$B$2:$B$3001,$AD258))</f>
        <v/>
      </c>
      <c r="F258">
        <f>IF($AD258="","",INDEX('Per Line'!$D$2:$D$3001,$AD258)&amp;"")</f>
        <v/>
      </c>
      <c r="G258" s="11">
        <f>IF($AD258="","",INDEX('Per Line'!$G$2:$G$3001,$AD258))</f>
        <v/>
      </c>
      <c r="H258">
        <f>IF($AD258="","",INDEX('Per Line'!$J$2:$J$3001,$AD258)&amp;"")</f>
        <v/>
      </c>
      <c r="I258">
        <f>IF($AD258="","",INDEX('Per Line'!$H$2:$H$3001,$AD258)&amp;"")</f>
        <v/>
      </c>
      <c r="J258">
        <f>IF($AD258="","",INDEX('Per Line'!$F$2:$F$3001,$AD258)&amp;"")</f>
        <v/>
      </c>
      <c r="K258">
        <f>IF($AD258="","",INDEX('Per Line'!$K$2:$K$3001,$AD258)&amp;"")</f>
        <v/>
      </c>
      <c r="L258">
        <f>IF($AD258="","",INDEX('Per Line'!$L$2:$L$3001,$AD258)&amp;"")</f>
        <v/>
      </c>
      <c r="M258">
        <f>IF($AD258="","",INDEX('Per Line'!$M$2:$M$3001,$AD258)&amp;"")</f>
        <v/>
      </c>
      <c r="N258">
        <f>IF($AD258="","",INDEX('Per Line'!$AC$2:$AC$3001,$AD258)&amp;"")</f>
        <v/>
      </c>
      <c r="O258">
        <f>IF($AD258="","",INDEX('Per Line'!$P$2:$P$3001,$AD258))</f>
        <v/>
      </c>
      <c r="P258" s="7">
        <f>IF($AD258="","",IF(AND(ISNUMBER(Q258),Q258&gt;0,AB258&gt;Q258),O258*Q258/100+(AB258-Q258),O258*AB258/100))</f>
        <v/>
      </c>
      <c r="Q258">
        <f>IF($AD258="","",INDEX('Per Line'!$AG$2:$AG$3001,$AD258))</f>
        <v/>
      </c>
      <c r="R258">
        <f>IF($AD258="","",IF(AND(ISNUMBER(Q258),Q258&gt;0),AB258&gt;Q258,FALSE))</f>
        <v/>
      </c>
      <c r="S258" s="7">
        <f>IF($AD258="","",SUMIFS('Per Line'!$AB$2:$AB$3001,'Per Line'!$E$2:$E$3001,$B258,'Per Line'!$AQ$2:$AQ$3001,1))</f>
        <v/>
      </c>
      <c r="T258">
        <f>IF($AD258="","",Settings!$C$7)</f>
        <v/>
      </c>
      <c r="U258" s="7">
        <f>IF($AD258="","",SUMIFS('Per Line'!$AB$2:$AB$3001,'Per Line'!$E$2:$E$3001,$B258,'Per Line'!$AP$2:$AP$3001,0,'Per Line'!$AQ$2:$AQ$3001,0))</f>
        <v/>
      </c>
      <c r="V258" s="7">
        <f>IF($AD258="","",U258*T258)</f>
        <v/>
      </c>
      <c r="W258">
        <f>IF($AD258="","",Settings!$C$6)</f>
        <v/>
      </c>
      <c r="X258" s="7">
        <f>IF($AD258="","",SUMIFS('Per Line'!$AB$2:$AB$3001,'Per Line'!$E$2:$E$3001,$B258,'Per Line'!$AP$2:$AP$3001,1,'Per Line'!$AQ$2:$AQ$3001,0))</f>
        <v/>
      </c>
      <c r="Y258" s="7">
        <f>IF($AD258="","",X258*W258)</f>
        <v/>
      </c>
      <c r="Z258" s="7">
        <f>IF($AD258="","",Y258+V258)</f>
        <v/>
      </c>
      <c r="AA258" s="7">
        <f>IF($AD258="","",AB258-Z258)</f>
        <v/>
      </c>
      <c r="AB258" s="7">
        <f>IF($AD258="","",U258+X258+S258)</f>
        <v/>
      </c>
      <c r="AC258" s="7">
        <f>IF($AD258="","",AB258-Z258-P258)</f>
        <v/>
      </c>
      <c r="AD258" s="13">
        <f>IF(ROWS($AD$2:$AD258)&lt;=MAX('Per Line'!$AO$2:$AO$3001),MATCH(ROWS($AD$2:$AD258),'Per Line'!$AO$2:$AO$3001,0),"")</f>
        <v/>
      </c>
      <c r="AE258" s="14">
        <f>IF($AD258="","",P258-O258*AB258/100)</f>
        <v/>
      </c>
    </row>
    <row r="259">
      <c r="A259" s="12" t="n"/>
      <c r="B259">
        <f>IF($AD259="","",INDEX('Per Line'!$E$2:$E$3001,$AD259)&amp;"")</f>
        <v/>
      </c>
      <c r="C259">
        <f>IF($AD259="","",INDEX('Per Line'!$A$2:$A$3001,$AD259)&amp;"")</f>
        <v/>
      </c>
      <c r="D259">
        <f>IF($AD259="","",INDEX('Per Line'!$C$2:$C$3001,$AD259)&amp;"")</f>
        <v/>
      </c>
      <c r="E259">
        <f>IF($AD259="","",INDEX('Per Line'!$B$2:$B$3001,$AD259))</f>
        <v/>
      </c>
      <c r="F259">
        <f>IF($AD259="","",INDEX('Per Line'!$D$2:$D$3001,$AD259)&amp;"")</f>
        <v/>
      </c>
      <c r="G259" s="11">
        <f>IF($AD259="","",INDEX('Per Line'!$G$2:$G$3001,$AD259))</f>
        <v/>
      </c>
      <c r="H259">
        <f>IF($AD259="","",INDEX('Per Line'!$J$2:$J$3001,$AD259)&amp;"")</f>
        <v/>
      </c>
      <c r="I259">
        <f>IF($AD259="","",INDEX('Per Line'!$H$2:$H$3001,$AD259)&amp;"")</f>
        <v/>
      </c>
      <c r="J259">
        <f>IF($AD259="","",INDEX('Per Line'!$F$2:$F$3001,$AD259)&amp;"")</f>
        <v/>
      </c>
      <c r="K259">
        <f>IF($AD259="","",INDEX('Per Line'!$K$2:$K$3001,$AD259)&amp;"")</f>
        <v/>
      </c>
      <c r="L259">
        <f>IF($AD259="","",INDEX('Per Line'!$L$2:$L$3001,$AD259)&amp;"")</f>
        <v/>
      </c>
      <c r="M259">
        <f>IF($AD259="","",INDEX('Per Line'!$M$2:$M$3001,$AD259)&amp;"")</f>
        <v/>
      </c>
      <c r="N259">
        <f>IF($AD259="","",INDEX('Per Line'!$AC$2:$AC$3001,$AD259)&amp;"")</f>
        <v/>
      </c>
      <c r="O259">
        <f>IF($AD259="","",INDEX('Per Line'!$P$2:$P$3001,$AD259))</f>
        <v/>
      </c>
      <c r="P259" s="7">
        <f>IF($AD259="","",IF(AND(ISNUMBER(Q259),Q259&gt;0,AB259&gt;Q259),O259*Q259/100+(AB259-Q259),O259*AB259/100))</f>
        <v/>
      </c>
      <c r="Q259">
        <f>IF($AD259="","",INDEX('Per Line'!$AG$2:$AG$3001,$AD259))</f>
        <v/>
      </c>
      <c r="R259">
        <f>IF($AD259="","",IF(AND(ISNUMBER(Q259),Q259&gt;0),AB259&gt;Q259,FALSE))</f>
        <v/>
      </c>
      <c r="S259" s="7">
        <f>IF($AD259="","",SUMIFS('Per Line'!$AB$2:$AB$3001,'Per Line'!$E$2:$E$3001,$B259,'Per Line'!$AQ$2:$AQ$3001,1))</f>
        <v/>
      </c>
      <c r="T259">
        <f>IF($AD259="","",Settings!$C$7)</f>
        <v/>
      </c>
      <c r="U259" s="7">
        <f>IF($AD259="","",SUMIFS('Per Line'!$AB$2:$AB$3001,'Per Line'!$E$2:$E$3001,$B259,'Per Line'!$AP$2:$AP$3001,0,'Per Line'!$AQ$2:$AQ$3001,0))</f>
        <v/>
      </c>
      <c r="V259" s="7">
        <f>IF($AD259="","",U259*T259)</f>
        <v/>
      </c>
      <c r="W259">
        <f>IF($AD259="","",Settings!$C$6)</f>
        <v/>
      </c>
      <c r="X259" s="7">
        <f>IF($AD259="","",SUMIFS('Per Line'!$AB$2:$AB$3001,'Per Line'!$E$2:$E$3001,$B259,'Per Line'!$AP$2:$AP$3001,1,'Per Line'!$AQ$2:$AQ$3001,0))</f>
        <v/>
      </c>
      <c r="Y259" s="7">
        <f>IF($AD259="","",X259*W259)</f>
        <v/>
      </c>
      <c r="Z259" s="7">
        <f>IF($AD259="","",Y259+V259)</f>
        <v/>
      </c>
      <c r="AA259" s="7">
        <f>IF($AD259="","",AB259-Z259)</f>
        <v/>
      </c>
      <c r="AB259" s="7">
        <f>IF($AD259="","",U259+X259+S259)</f>
        <v/>
      </c>
      <c r="AC259" s="7">
        <f>IF($AD259="","",AB259-Z259-P259)</f>
        <v/>
      </c>
      <c r="AD259" s="13">
        <f>IF(ROWS($AD$2:$AD259)&lt;=MAX('Per Line'!$AO$2:$AO$3001),MATCH(ROWS($AD$2:$AD259),'Per Line'!$AO$2:$AO$3001,0),"")</f>
        <v/>
      </c>
      <c r="AE259" s="14">
        <f>IF($AD259="","",P259-O259*AB259/100)</f>
        <v/>
      </c>
    </row>
    <row r="260">
      <c r="A260" s="12" t="n"/>
      <c r="B260">
        <f>IF($AD260="","",INDEX('Per Line'!$E$2:$E$3001,$AD260)&amp;"")</f>
        <v/>
      </c>
      <c r="C260">
        <f>IF($AD260="","",INDEX('Per Line'!$A$2:$A$3001,$AD260)&amp;"")</f>
        <v/>
      </c>
      <c r="D260">
        <f>IF($AD260="","",INDEX('Per Line'!$C$2:$C$3001,$AD260)&amp;"")</f>
        <v/>
      </c>
      <c r="E260">
        <f>IF($AD260="","",INDEX('Per Line'!$B$2:$B$3001,$AD260))</f>
        <v/>
      </c>
      <c r="F260">
        <f>IF($AD260="","",INDEX('Per Line'!$D$2:$D$3001,$AD260)&amp;"")</f>
        <v/>
      </c>
      <c r="G260" s="11">
        <f>IF($AD260="","",INDEX('Per Line'!$G$2:$G$3001,$AD260))</f>
        <v/>
      </c>
      <c r="H260">
        <f>IF($AD260="","",INDEX('Per Line'!$J$2:$J$3001,$AD260)&amp;"")</f>
        <v/>
      </c>
      <c r="I260">
        <f>IF($AD260="","",INDEX('Per Line'!$H$2:$H$3001,$AD260)&amp;"")</f>
        <v/>
      </c>
      <c r="J260">
        <f>IF($AD260="","",INDEX('Per Line'!$F$2:$F$3001,$AD260)&amp;"")</f>
        <v/>
      </c>
      <c r="K260">
        <f>IF($AD260="","",INDEX('Per Line'!$K$2:$K$3001,$AD260)&amp;"")</f>
        <v/>
      </c>
      <c r="L260">
        <f>IF($AD260="","",INDEX('Per Line'!$L$2:$L$3001,$AD260)&amp;"")</f>
        <v/>
      </c>
      <c r="M260">
        <f>IF($AD260="","",INDEX('Per Line'!$M$2:$M$3001,$AD260)&amp;"")</f>
        <v/>
      </c>
      <c r="N260">
        <f>IF($AD260="","",INDEX('Per Line'!$AC$2:$AC$3001,$AD260)&amp;"")</f>
        <v/>
      </c>
      <c r="O260">
        <f>IF($AD260="","",INDEX('Per Line'!$P$2:$P$3001,$AD260))</f>
        <v/>
      </c>
      <c r="P260" s="7">
        <f>IF($AD260="","",IF(AND(ISNUMBER(Q260),Q260&gt;0,AB260&gt;Q260),O260*Q260/100+(AB260-Q260),O260*AB260/100))</f>
        <v/>
      </c>
      <c r="Q260">
        <f>IF($AD260="","",INDEX('Per Line'!$AG$2:$AG$3001,$AD260))</f>
        <v/>
      </c>
      <c r="R260">
        <f>IF($AD260="","",IF(AND(ISNUMBER(Q260),Q260&gt;0),AB260&gt;Q260,FALSE))</f>
        <v/>
      </c>
      <c r="S260" s="7">
        <f>IF($AD260="","",SUMIFS('Per Line'!$AB$2:$AB$3001,'Per Line'!$E$2:$E$3001,$B260,'Per Line'!$AQ$2:$AQ$3001,1))</f>
        <v/>
      </c>
      <c r="T260">
        <f>IF($AD260="","",Settings!$C$7)</f>
        <v/>
      </c>
      <c r="U260" s="7">
        <f>IF($AD260="","",SUMIFS('Per Line'!$AB$2:$AB$3001,'Per Line'!$E$2:$E$3001,$B260,'Per Line'!$AP$2:$AP$3001,0,'Per Line'!$AQ$2:$AQ$3001,0))</f>
        <v/>
      </c>
      <c r="V260" s="7">
        <f>IF($AD260="","",U260*T260)</f>
        <v/>
      </c>
      <c r="W260">
        <f>IF($AD260="","",Settings!$C$6)</f>
        <v/>
      </c>
      <c r="X260" s="7">
        <f>IF($AD260="","",SUMIFS('Per Line'!$AB$2:$AB$3001,'Per Line'!$E$2:$E$3001,$B260,'Per Line'!$AP$2:$AP$3001,1,'Per Line'!$AQ$2:$AQ$3001,0))</f>
        <v/>
      </c>
      <c r="Y260" s="7">
        <f>IF($AD260="","",X260*W260)</f>
        <v/>
      </c>
      <c r="Z260" s="7">
        <f>IF($AD260="","",Y260+V260)</f>
        <v/>
      </c>
      <c r="AA260" s="7">
        <f>IF($AD260="","",AB260-Z260)</f>
        <v/>
      </c>
      <c r="AB260" s="7">
        <f>IF($AD260="","",U260+X260+S260)</f>
        <v/>
      </c>
      <c r="AC260" s="7">
        <f>IF($AD260="","",AB260-Z260-P260)</f>
        <v/>
      </c>
      <c r="AD260" s="13">
        <f>IF(ROWS($AD$2:$AD260)&lt;=MAX('Per Line'!$AO$2:$AO$3001),MATCH(ROWS($AD$2:$AD260),'Per Line'!$AO$2:$AO$3001,0),"")</f>
        <v/>
      </c>
      <c r="AE260" s="14">
        <f>IF($AD260="","",P260-O260*AB260/100)</f>
        <v/>
      </c>
    </row>
    <row r="261">
      <c r="A261" s="12" t="n"/>
      <c r="B261">
        <f>IF($AD261="","",INDEX('Per Line'!$E$2:$E$3001,$AD261)&amp;"")</f>
        <v/>
      </c>
      <c r="C261">
        <f>IF($AD261="","",INDEX('Per Line'!$A$2:$A$3001,$AD261)&amp;"")</f>
        <v/>
      </c>
      <c r="D261">
        <f>IF($AD261="","",INDEX('Per Line'!$C$2:$C$3001,$AD261)&amp;"")</f>
        <v/>
      </c>
      <c r="E261">
        <f>IF($AD261="","",INDEX('Per Line'!$B$2:$B$3001,$AD261))</f>
        <v/>
      </c>
      <c r="F261">
        <f>IF($AD261="","",INDEX('Per Line'!$D$2:$D$3001,$AD261)&amp;"")</f>
        <v/>
      </c>
      <c r="G261" s="11">
        <f>IF($AD261="","",INDEX('Per Line'!$G$2:$G$3001,$AD261))</f>
        <v/>
      </c>
      <c r="H261">
        <f>IF($AD261="","",INDEX('Per Line'!$J$2:$J$3001,$AD261)&amp;"")</f>
        <v/>
      </c>
      <c r="I261">
        <f>IF($AD261="","",INDEX('Per Line'!$H$2:$H$3001,$AD261)&amp;"")</f>
        <v/>
      </c>
      <c r="J261">
        <f>IF($AD261="","",INDEX('Per Line'!$F$2:$F$3001,$AD261)&amp;"")</f>
        <v/>
      </c>
      <c r="K261">
        <f>IF($AD261="","",INDEX('Per Line'!$K$2:$K$3001,$AD261)&amp;"")</f>
        <v/>
      </c>
      <c r="L261">
        <f>IF($AD261="","",INDEX('Per Line'!$L$2:$L$3001,$AD261)&amp;"")</f>
        <v/>
      </c>
      <c r="M261">
        <f>IF($AD261="","",INDEX('Per Line'!$M$2:$M$3001,$AD261)&amp;"")</f>
        <v/>
      </c>
      <c r="N261">
        <f>IF($AD261="","",INDEX('Per Line'!$AC$2:$AC$3001,$AD261)&amp;"")</f>
        <v/>
      </c>
      <c r="O261">
        <f>IF($AD261="","",INDEX('Per Line'!$P$2:$P$3001,$AD261))</f>
        <v/>
      </c>
      <c r="P261" s="7">
        <f>IF($AD261="","",IF(AND(ISNUMBER(Q261),Q261&gt;0,AB261&gt;Q261),O261*Q261/100+(AB261-Q261),O261*AB261/100))</f>
        <v/>
      </c>
      <c r="Q261">
        <f>IF($AD261="","",INDEX('Per Line'!$AG$2:$AG$3001,$AD261))</f>
        <v/>
      </c>
      <c r="R261">
        <f>IF($AD261="","",IF(AND(ISNUMBER(Q261),Q261&gt;0),AB261&gt;Q261,FALSE))</f>
        <v/>
      </c>
      <c r="S261" s="7">
        <f>IF($AD261="","",SUMIFS('Per Line'!$AB$2:$AB$3001,'Per Line'!$E$2:$E$3001,$B261,'Per Line'!$AQ$2:$AQ$3001,1))</f>
        <v/>
      </c>
      <c r="T261">
        <f>IF($AD261="","",Settings!$C$7)</f>
        <v/>
      </c>
      <c r="U261" s="7">
        <f>IF($AD261="","",SUMIFS('Per Line'!$AB$2:$AB$3001,'Per Line'!$E$2:$E$3001,$B261,'Per Line'!$AP$2:$AP$3001,0,'Per Line'!$AQ$2:$AQ$3001,0))</f>
        <v/>
      </c>
      <c r="V261" s="7">
        <f>IF($AD261="","",U261*T261)</f>
        <v/>
      </c>
      <c r="W261">
        <f>IF($AD261="","",Settings!$C$6)</f>
        <v/>
      </c>
      <c r="X261" s="7">
        <f>IF($AD261="","",SUMIFS('Per Line'!$AB$2:$AB$3001,'Per Line'!$E$2:$E$3001,$B261,'Per Line'!$AP$2:$AP$3001,1,'Per Line'!$AQ$2:$AQ$3001,0))</f>
        <v/>
      </c>
      <c r="Y261" s="7">
        <f>IF($AD261="","",X261*W261)</f>
        <v/>
      </c>
      <c r="Z261" s="7">
        <f>IF($AD261="","",Y261+V261)</f>
        <v/>
      </c>
      <c r="AA261" s="7">
        <f>IF($AD261="","",AB261-Z261)</f>
        <v/>
      </c>
      <c r="AB261" s="7">
        <f>IF($AD261="","",U261+X261+S261)</f>
        <v/>
      </c>
      <c r="AC261" s="7">
        <f>IF($AD261="","",AB261-Z261-P261)</f>
        <v/>
      </c>
      <c r="AD261" s="13">
        <f>IF(ROWS($AD$2:$AD261)&lt;=MAX('Per Line'!$AO$2:$AO$3001),MATCH(ROWS($AD$2:$AD261),'Per Line'!$AO$2:$AO$3001,0),"")</f>
        <v/>
      </c>
      <c r="AE261" s="14">
        <f>IF($AD261="","",P261-O261*AB261/100)</f>
        <v/>
      </c>
    </row>
    <row r="262">
      <c r="A262" s="12" t="n"/>
      <c r="B262">
        <f>IF($AD262="","",INDEX('Per Line'!$E$2:$E$3001,$AD262)&amp;"")</f>
        <v/>
      </c>
      <c r="C262">
        <f>IF($AD262="","",INDEX('Per Line'!$A$2:$A$3001,$AD262)&amp;"")</f>
        <v/>
      </c>
      <c r="D262">
        <f>IF($AD262="","",INDEX('Per Line'!$C$2:$C$3001,$AD262)&amp;"")</f>
        <v/>
      </c>
      <c r="E262">
        <f>IF($AD262="","",INDEX('Per Line'!$B$2:$B$3001,$AD262))</f>
        <v/>
      </c>
      <c r="F262">
        <f>IF($AD262="","",INDEX('Per Line'!$D$2:$D$3001,$AD262)&amp;"")</f>
        <v/>
      </c>
      <c r="G262" s="11">
        <f>IF($AD262="","",INDEX('Per Line'!$G$2:$G$3001,$AD262))</f>
        <v/>
      </c>
      <c r="H262">
        <f>IF($AD262="","",INDEX('Per Line'!$J$2:$J$3001,$AD262)&amp;"")</f>
        <v/>
      </c>
      <c r="I262">
        <f>IF($AD262="","",INDEX('Per Line'!$H$2:$H$3001,$AD262)&amp;"")</f>
        <v/>
      </c>
      <c r="J262">
        <f>IF($AD262="","",INDEX('Per Line'!$F$2:$F$3001,$AD262)&amp;"")</f>
        <v/>
      </c>
      <c r="K262">
        <f>IF($AD262="","",INDEX('Per Line'!$K$2:$K$3001,$AD262)&amp;"")</f>
        <v/>
      </c>
      <c r="L262">
        <f>IF($AD262="","",INDEX('Per Line'!$L$2:$L$3001,$AD262)&amp;"")</f>
        <v/>
      </c>
      <c r="M262">
        <f>IF($AD262="","",INDEX('Per Line'!$M$2:$M$3001,$AD262)&amp;"")</f>
        <v/>
      </c>
      <c r="N262">
        <f>IF($AD262="","",INDEX('Per Line'!$AC$2:$AC$3001,$AD262)&amp;"")</f>
        <v/>
      </c>
      <c r="O262">
        <f>IF($AD262="","",INDEX('Per Line'!$P$2:$P$3001,$AD262))</f>
        <v/>
      </c>
      <c r="P262" s="7">
        <f>IF($AD262="","",IF(AND(ISNUMBER(Q262),Q262&gt;0,AB262&gt;Q262),O262*Q262/100+(AB262-Q262),O262*AB262/100))</f>
        <v/>
      </c>
      <c r="Q262">
        <f>IF($AD262="","",INDEX('Per Line'!$AG$2:$AG$3001,$AD262))</f>
        <v/>
      </c>
      <c r="R262">
        <f>IF($AD262="","",IF(AND(ISNUMBER(Q262),Q262&gt;0),AB262&gt;Q262,FALSE))</f>
        <v/>
      </c>
      <c r="S262" s="7">
        <f>IF($AD262="","",SUMIFS('Per Line'!$AB$2:$AB$3001,'Per Line'!$E$2:$E$3001,$B262,'Per Line'!$AQ$2:$AQ$3001,1))</f>
        <v/>
      </c>
      <c r="T262">
        <f>IF($AD262="","",Settings!$C$7)</f>
        <v/>
      </c>
      <c r="U262" s="7">
        <f>IF($AD262="","",SUMIFS('Per Line'!$AB$2:$AB$3001,'Per Line'!$E$2:$E$3001,$B262,'Per Line'!$AP$2:$AP$3001,0,'Per Line'!$AQ$2:$AQ$3001,0))</f>
        <v/>
      </c>
      <c r="V262" s="7">
        <f>IF($AD262="","",U262*T262)</f>
        <v/>
      </c>
      <c r="W262">
        <f>IF($AD262="","",Settings!$C$6)</f>
        <v/>
      </c>
      <c r="X262" s="7">
        <f>IF($AD262="","",SUMIFS('Per Line'!$AB$2:$AB$3001,'Per Line'!$E$2:$E$3001,$B262,'Per Line'!$AP$2:$AP$3001,1,'Per Line'!$AQ$2:$AQ$3001,0))</f>
        <v/>
      </c>
      <c r="Y262" s="7">
        <f>IF($AD262="","",X262*W262)</f>
        <v/>
      </c>
      <c r="Z262" s="7">
        <f>IF($AD262="","",Y262+V262)</f>
        <v/>
      </c>
      <c r="AA262" s="7">
        <f>IF($AD262="","",AB262-Z262)</f>
        <v/>
      </c>
      <c r="AB262" s="7">
        <f>IF($AD262="","",U262+X262+S262)</f>
        <v/>
      </c>
      <c r="AC262" s="7">
        <f>IF($AD262="","",AB262-Z262-P262)</f>
        <v/>
      </c>
      <c r="AD262" s="13">
        <f>IF(ROWS($AD$2:$AD262)&lt;=MAX('Per Line'!$AO$2:$AO$3001),MATCH(ROWS($AD$2:$AD262),'Per Line'!$AO$2:$AO$3001,0),"")</f>
        <v/>
      </c>
      <c r="AE262" s="14">
        <f>IF($AD262="","",P262-O262*AB262/100)</f>
        <v/>
      </c>
    </row>
    <row r="263">
      <c r="A263" s="12" t="n"/>
      <c r="B263">
        <f>IF($AD263="","",INDEX('Per Line'!$E$2:$E$3001,$AD263)&amp;"")</f>
        <v/>
      </c>
      <c r="C263">
        <f>IF($AD263="","",INDEX('Per Line'!$A$2:$A$3001,$AD263)&amp;"")</f>
        <v/>
      </c>
      <c r="D263">
        <f>IF($AD263="","",INDEX('Per Line'!$C$2:$C$3001,$AD263)&amp;"")</f>
        <v/>
      </c>
      <c r="E263">
        <f>IF($AD263="","",INDEX('Per Line'!$B$2:$B$3001,$AD263))</f>
        <v/>
      </c>
      <c r="F263">
        <f>IF($AD263="","",INDEX('Per Line'!$D$2:$D$3001,$AD263)&amp;"")</f>
        <v/>
      </c>
      <c r="G263" s="11">
        <f>IF($AD263="","",INDEX('Per Line'!$G$2:$G$3001,$AD263))</f>
        <v/>
      </c>
      <c r="H263">
        <f>IF($AD263="","",INDEX('Per Line'!$J$2:$J$3001,$AD263)&amp;"")</f>
        <v/>
      </c>
      <c r="I263">
        <f>IF($AD263="","",INDEX('Per Line'!$H$2:$H$3001,$AD263)&amp;"")</f>
        <v/>
      </c>
      <c r="J263">
        <f>IF($AD263="","",INDEX('Per Line'!$F$2:$F$3001,$AD263)&amp;"")</f>
        <v/>
      </c>
      <c r="K263">
        <f>IF($AD263="","",INDEX('Per Line'!$K$2:$K$3001,$AD263)&amp;"")</f>
        <v/>
      </c>
      <c r="L263">
        <f>IF($AD263="","",INDEX('Per Line'!$L$2:$L$3001,$AD263)&amp;"")</f>
        <v/>
      </c>
      <c r="M263">
        <f>IF($AD263="","",INDEX('Per Line'!$M$2:$M$3001,$AD263)&amp;"")</f>
        <v/>
      </c>
      <c r="N263">
        <f>IF($AD263="","",INDEX('Per Line'!$AC$2:$AC$3001,$AD263)&amp;"")</f>
        <v/>
      </c>
      <c r="O263">
        <f>IF($AD263="","",INDEX('Per Line'!$P$2:$P$3001,$AD263))</f>
        <v/>
      </c>
      <c r="P263" s="7">
        <f>IF($AD263="","",IF(AND(ISNUMBER(Q263),Q263&gt;0,AB263&gt;Q263),O263*Q263/100+(AB263-Q263),O263*AB263/100))</f>
        <v/>
      </c>
      <c r="Q263">
        <f>IF($AD263="","",INDEX('Per Line'!$AG$2:$AG$3001,$AD263))</f>
        <v/>
      </c>
      <c r="R263">
        <f>IF($AD263="","",IF(AND(ISNUMBER(Q263),Q263&gt;0),AB263&gt;Q263,FALSE))</f>
        <v/>
      </c>
      <c r="S263" s="7">
        <f>IF($AD263="","",SUMIFS('Per Line'!$AB$2:$AB$3001,'Per Line'!$E$2:$E$3001,$B263,'Per Line'!$AQ$2:$AQ$3001,1))</f>
        <v/>
      </c>
      <c r="T263">
        <f>IF($AD263="","",Settings!$C$7)</f>
        <v/>
      </c>
      <c r="U263" s="7">
        <f>IF($AD263="","",SUMIFS('Per Line'!$AB$2:$AB$3001,'Per Line'!$E$2:$E$3001,$B263,'Per Line'!$AP$2:$AP$3001,0,'Per Line'!$AQ$2:$AQ$3001,0))</f>
        <v/>
      </c>
      <c r="V263" s="7">
        <f>IF($AD263="","",U263*T263)</f>
        <v/>
      </c>
      <c r="W263">
        <f>IF($AD263="","",Settings!$C$6)</f>
        <v/>
      </c>
      <c r="X263" s="7">
        <f>IF($AD263="","",SUMIFS('Per Line'!$AB$2:$AB$3001,'Per Line'!$E$2:$E$3001,$B263,'Per Line'!$AP$2:$AP$3001,1,'Per Line'!$AQ$2:$AQ$3001,0))</f>
        <v/>
      </c>
      <c r="Y263" s="7">
        <f>IF($AD263="","",X263*W263)</f>
        <v/>
      </c>
      <c r="Z263" s="7">
        <f>IF($AD263="","",Y263+V263)</f>
        <v/>
      </c>
      <c r="AA263" s="7">
        <f>IF($AD263="","",AB263-Z263)</f>
        <v/>
      </c>
      <c r="AB263" s="7">
        <f>IF($AD263="","",U263+X263+S263)</f>
        <v/>
      </c>
      <c r="AC263" s="7">
        <f>IF($AD263="","",AB263-Z263-P263)</f>
        <v/>
      </c>
      <c r="AD263" s="13">
        <f>IF(ROWS($AD$2:$AD263)&lt;=MAX('Per Line'!$AO$2:$AO$3001),MATCH(ROWS($AD$2:$AD263),'Per Line'!$AO$2:$AO$3001,0),"")</f>
        <v/>
      </c>
      <c r="AE263" s="14">
        <f>IF($AD263="","",P263-O263*AB263/100)</f>
        <v/>
      </c>
    </row>
    <row r="264">
      <c r="A264" s="12" t="n"/>
      <c r="B264">
        <f>IF($AD264="","",INDEX('Per Line'!$E$2:$E$3001,$AD264)&amp;"")</f>
        <v/>
      </c>
      <c r="C264">
        <f>IF($AD264="","",INDEX('Per Line'!$A$2:$A$3001,$AD264)&amp;"")</f>
        <v/>
      </c>
      <c r="D264">
        <f>IF($AD264="","",INDEX('Per Line'!$C$2:$C$3001,$AD264)&amp;"")</f>
        <v/>
      </c>
      <c r="E264">
        <f>IF($AD264="","",INDEX('Per Line'!$B$2:$B$3001,$AD264))</f>
        <v/>
      </c>
      <c r="F264">
        <f>IF($AD264="","",INDEX('Per Line'!$D$2:$D$3001,$AD264)&amp;"")</f>
        <v/>
      </c>
      <c r="G264" s="11">
        <f>IF($AD264="","",INDEX('Per Line'!$G$2:$G$3001,$AD264))</f>
        <v/>
      </c>
      <c r="H264">
        <f>IF($AD264="","",INDEX('Per Line'!$J$2:$J$3001,$AD264)&amp;"")</f>
        <v/>
      </c>
      <c r="I264">
        <f>IF($AD264="","",INDEX('Per Line'!$H$2:$H$3001,$AD264)&amp;"")</f>
        <v/>
      </c>
      <c r="J264">
        <f>IF($AD264="","",INDEX('Per Line'!$F$2:$F$3001,$AD264)&amp;"")</f>
        <v/>
      </c>
      <c r="K264">
        <f>IF($AD264="","",INDEX('Per Line'!$K$2:$K$3001,$AD264)&amp;"")</f>
        <v/>
      </c>
      <c r="L264">
        <f>IF($AD264="","",INDEX('Per Line'!$L$2:$L$3001,$AD264)&amp;"")</f>
        <v/>
      </c>
      <c r="M264">
        <f>IF($AD264="","",INDEX('Per Line'!$M$2:$M$3001,$AD264)&amp;"")</f>
        <v/>
      </c>
      <c r="N264">
        <f>IF($AD264="","",INDEX('Per Line'!$AC$2:$AC$3001,$AD264)&amp;"")</f>
        <v/>
      </c>
      <c r="O264">
        <f>IF($AD264="","",INDEX('Per Line'!$P$2:$P$3001,$AD264))</f>
        <v/>
      </c>
      <c r="P264" s="7">
        <f>IF($AD264="","",IF(AND(ISNUMBER(Q264),Q264&gt;0,AB264&gt;Q264),O264*Q264/100+(AB264-Q264),O264*AB264/100))</f>
        <v/>
      </c>
      <c r="Q264">
        <f>IF($AD264="","",INDEX('Per Line'!$AG$2:$AG$3001,$AD264))</f>
        <v/>
      </c>
      <c r="R264">
        <f>IF($AD264="","",IF(AND(ISNUMBER(Q264),Q264&gt;0),AB264&gt;Q264,FALSE))</f>
        <v/>
      </c>
      <c r="S264" s="7">
        <f>IF($AD264="","",SUMIFS('Per Line'!$AB$2:$AB$3001,'Per Line'!$E$2:$E$3001,$B264,'Per Line'!$AQ$2:$AQ$3001,1))</f>
        <v/>
      </c>
      <c r="T264">
        <f>IF($AD264="","",Settings!$C$7)</f>
        <v/>
      </c>
      <c r="U264" s="7">
        <f>IF($AD264="","",SUMIFS('Per Line'!$AB$2:$AB$3001,'Per Line'!$E$2:$E$3001,$B264,'Per Line'!$AP$2:$AP$3001,0,'Per Line'!$AQ$2:$AQ$3001,0))</f>
        <v/>
      </c>
      <c r="V264" s="7">
        <f>IF($AD264="","",U264*T264)</f>
        <v/>
      </c>
      <c r="W264">
        <f>IF($AD264="","",Settings!$C$6)</f>
        <v/>
      </c>
      <c r="X264" s="7">
        <f>IF($AD264="","",SUMIFS('Per Line'!$AB$2:$AB$3001,'Per Line'!$E$2:$E$3001,$B264,'Per Line'!$AP$2:$AP$3001,1,'Per Line'!$AQ$2:$AQ$3001,0))</f>
        <v/>
      </c>
      <c r="Y264" s="7">
        <f>IF($AD264="","",X264*W264)</f>
        <v/>
      </c>
      <c r="Z264" s="7">
        <f>IF($AD264="","",Y264+V264)</f>
        <v/>
      </c>
      <c r="AA264" s="7">
        <f>IF($AD264="","",AB264-Z264)</f>
        <v/>
      </c>
      <c r="AB264" s="7">
        <f>IF($AD264="","",U264+X264+S264)</f>
        <v/>
      </c>
      <c r="AC264" s="7">
        <f>IF($AD264="","",AB264-Z264-P264)</f>
        <v/>
      </c>
      <c r="AD264" s="13">
        <f>IF(ROWS($AD$2:$AD264)&lt;=MAX('Per Line'!$AO$2:$AO$3001),MATCH(ROWS($AD$2:$AD264),'Per Line'!$AO$2:$AO$3001,0),"")</f>
        <v/>
      </c>
      <c r="AE264" s="14">
        <f>IF($AD264="","",P264-O264*AB264/100)</f>
        <v/>
      </c>
    </row>
    <row r="265">
      <c r="A265" s="12" t="n"/>
      <c r="B265">
        <f>IF($AD265="","",INDEX('Per Line'!$E$2:$E$3001,$AD265)&amp;"")</f>
        <v/>
      </c>
      <c r="C265">
        <f>IF($AD265="","",INDEX('Per Line'!$A$2:$A$3001,$AD265)&amp;"")</f>
        <v/>
      </c>
      <c r="D265">
        <f>IF($AD265="","",INDEX('Per Line'!$C$2:$C$3001,$AD265)&amp;"")</f>
        <v/>
      </c>
      <c r="E265">
        <f>IF($AD265="","",INDEX('Per Line'!$B$2:$B$3001,$AD265))</f>
        <v/>
      </c>
      <c r="F265">
        <f>IF($AD265="","",INDEX('Per Line'!$D$2:$D$3001,$AD265)&amp;"")</f>
        <v/>
      </c>
      <c r="G265" s="11">
        <f>IF($AD265="","",INDEX('Per Line'!$G$2:$G$3001,$AD265))</f>
        <v/>
      </c>
      <c r="H265">
        <f>IF($AD265="","",INDEX('Per Line'!$J$2:$J$3001,$AD265)&amp;"")</f>
        <v/>
      </c>
      <c r="I265">
        <f>IF($AD265="","",INDEX('Per Line'!$H$2:$H$3001,$AD265)&amp;"")</f>
        <v/>
      </c>
      <c r="J265">
        <f>IF($AD265="","",INDEX('Per Line'!$F$2:$F$3001,$AD265)&amp;"")</f>
        <v/>
      </c>
      <c r="K265">
        <f>IF($AD265="","",INDEX('Per Line'!$K$2:$K$3001,$AD265)&amp;"")</f>
        <v/>
      </c>
      <c r="L265">
        <f>IF($AD265="","",INDEX('Per Line'!$L$2:$L$3001,$AD265)&amp;"")</f>
        <v/>
      </c>
      <c r="M265">
        <f>IF($AD265="","",INDEX('Per Line'!$M$2:$M$3001,$AD265)&amp;"")</f>
        <v/>
      </c>
      <c r="N265">
        <f>IF($AD265="","",INDEX('Per Line'!$AC$2:$AC$3001,$AD265)&amp;"")</f>
        <v/>
      </c>
      <c r="O265">
        <f>IF($AD265="","",INDEX('Per Line'!$P$2:$P$3001,$AD265))</f>
        <v/>
      </c>
      <c r="P265" s="7">
        <f>IF($AD265="","",IF(AND(ISNUMBER(Q265),Q265&gt;0,AB265&gt;Q265),O265*Q265/100+(AB265-Q265),O265*AB265/100))</f>
        <v/>
      </c>
      <c r="Q265">
        <f>IF($AD265="","",INDEX('Per Line'!$AG$2:$AG$3001,$AD265))</f>
        <v/>
      </c>
      <c r="R265">
        <f>IF($AD265="","",IF(AND(ISNUMBER(Q265),Q265&gt;0),AB265&gt;Q265,FALSE))</f>
        <v/>
      </c>
      <c r="S265" s="7">
        <f>IF($AD265="","",SUMIFS('Per Line'!$AB$2:$AB$3001,'Per Line'!$E$2:$E$3001,$B265,'Per Line'!$AQ$2:$AQ$3001,1))</f>
        <v/>
      </c>
      <c r="T265">
        <f>IF($AD265="","",Settings!$C$7)</f>
        <v/>
      </c>
      <c r="U265" s="7">
        <f>IF($AD265="","",SUMIFS('Per Line'!$AB$2:$AB$3001,'Per Line'!$E$2:$E$3001,$B265,'Per Line'!$AP$2:$AP$3001,0,'Per Line'!$AQ$2:$AQ$3001,0))</f>
        <v/>
      </c>
      <c r="V265" s="7">
        <f>IF($AD265="","",U265*T265)</f>
        <v/>
      </c>
      <c r="W265">
        <f>IF($AD265="","",Settings!$C$6)</f>
        <v/>
      </c>
      <c r="X265" s="7">
        <f>IF($AD265="","",SUMIFS('Per Line'!$AB$2:$AB$3001,'Per Line'!$E$2:$E$3001,$B265,'Per Line'!$AP$2:$AP$3001,1,'Per Line'!$AQ$2:$AQ$3001,0))</f>
        <v/>
      </c>
      <c r="Y265" s="7">
        <f>IF($AD265="","",X265*W265)</f>
        <v/>
      </c>
      <c r="Z265" s="7">
        <f>IF($AD265="","",Y265+V265)</f>
        <v/>
      </c>
      <c r="AA265" s="7">
        <f>IF($AD265="","",AB265-Z265)</f>
        <v/>
      </c>
      <c r="AB265" s="7">
        <f>IF($AD265="","",U265+X265+S265)</f>
        <v/>
      </c>
      <c r="AC265" s="7">
        <f>IF($AD265="","",AB265-Z265-P265)</f>
        <v/>
      </c>
      <c r="AD265" s="13">
        <f>IF(ROWS($AD$2:$AD265)&lt;=MAX('Per Line'!$AO$2:$AO$3001),MATCH(ROWS($AD$2:$AD265),'Per Line'!$AO$2:$AO$3001,0),"")</f>
        <v/>
      </c>
      <c r="AE265" s="14">
        <f>IF($AD265="","",P265-O265*AB265/100)</f>
        <v/>
      </c>
    </row>
    <row r="266">
      <c r="A266" s="12" t="n"/>
      <c r="B266">
        <f>IF($AD266="","",INDEX('Per Line'!$E$2:$E$3001,$AD266)&amp;"")</f>
        <v/>
      </c>
      <c r="C266">
        <f>IF($AD266="","",INDEX('Per Line'!$A$2:$A$3001,$AD266)&amp;"")</f>
        <v/>
      </c>
      <c r="D266">
        <f>IF($AD266="","",INDEX('Per Line'!$C$2:$C$3001,$AD266)&amp;"")</f>
        <v/>
      </c>
      <c r="E266">
        <f>IF($AD266="","",INDEX('Per Line'!$B$2:$B$3001,$AD266))</f>
        <v/>
      </c>
      <c r="F266">
        <f>IF($AD266="","",INDEX('Per Line'!$D$2:$D$3001,$AD266)&amp;"")</f>
        <v/>
      </c>
      <c r="G266" s="11">
        <f>IF($AD266="","",INDEX('Per Line'!$G$2:$G$3001,$AD266))</f>
        <v/>
      </c>
      <c r="H266">
        <f>IF($AD266="","",INDEX('Per Line'!$J$2:$J$3001,$AD266)&amp;"")</f>
        <v/>
      </c>
      <c r="I266">
        <f>IF($AD266="","",INDEX('Per Line'!$H$2:$H$3001,$AD266)&amp;"")</f>
        <v/>
      </c>
      <c r="J266">
        <f>IF($AD266="","",INDEX('Per Line'!$F$2:$F$3001,$AD266)&amp;"")</f>
        <v/>
      </c>
      <c r="K266">
        <f>IF($AD266="","",INDEX('Per Line'!$K$2:$K$3001,$AD266)&amp;"")</f>
        <v/>
      </c>
      <c r="L266">
        <f>IF($AD266="","",INDEX('Per Line'!$L$2:$L$3001,$AD266)&amp;"")</f>
        <v/>
      </c>
      <c r="M266">
        <f>IF($AD266="","",INDEX('Per Line'!$M$2:$M$3001,$AD266)&amp;"")</f>
        <v/>
      </c>
      <c r="N266">
        <f>IF($AD266="","",INDEX('Per Line'!$AC$2:$AC$3001,$AD266)&amp;"")</f>
        <v/>
      </c>
      <c r="O266">
        <f>IF($AD266="","",INDEX('Per Line'!$P$2:$P$3001,$AD266))</f>
        <v/>
      </c>
      <c r="P266" s="7">
        <f>IF($AD266="","",IF(AND(ISNUMBER(Q266),Q266&gt;0,AB266&gt;Q266),O266*Q266/100+(AB266-Q266),O266*AB266/100))</f>
        <v/>
      </c>
      <c r="Q266">
        <f>IF($AD266="","",INDEX('Per Line'!$AG$2:$AG$3001,$AD266))</f>
        <v/>
      </c>
      <c r="R266">
        <f>IF($AD266="","",IF(AND(ISNUMBER(Q266),Q266&gt;0),AB266&gt;Q266,FALSE))</f>
        <v/>
      </c>
      <c r="S266" s="7">
        <f>IF($AD266="","",SUMIFS('Per Line'!$AB$2:$AB$3001,'Per Line'!$E$2:$E$3001,$B266,'Per Line'!$AQ$2:$AQ$3001,1))</f>
        <v/>
      </c>
      <c r="T266">
        <f>IF($AD266="","",Settings!$C$7)</f>
        <v/>
      </c>
      <c r="U266" s="7">
        <f>IF($AD266="","",SUMIFS('Per Line'!$AB$2:$AB$3001,'Per Line'!$E$2:$E$3001,$B266,'Per Line'!$AP$2:$AP$3001,0,'Per Line'!$AQ$2:$AQ$3001,0))</f>
        <v/>
      </c>
      <c r="V266" s="7">
        <f>IF($AD266="","",U266*T266)</f>
        <v/>
      </c>
      <c r="W266">
        <f>IF($AD266="","",Settings!$C$6)</f>
        <v/>
      </c>
      <c r="X266" s="7">
        <f>IF($AD266="","",SUMIFS('Per Line'!$AB$2:$AB$3001,'Per Line'!$E$2:$E$3001,$B266,'Per Line'!$AP$2:$AP$3001,1,'Per Line'!$AQ$2:$AQ$3001,0))</f>
        <v/>
      </c>
      <c r="Y266" s="7">
        <f>IF($AD266="","",X266*W266)</f>
        <v/>
      </c>
      <c r="Z266" s="7">
        <f>IF($AD266="","",Y266+V266)</f>
        <v/>
      </c>
      <c r="AA266" s="7">
        <f>IF($AD266="","",AB266-Z266)</f>
        <v/>
      </c>
      <c r="AB266" s="7">
        <f>IF($AD266="","",U266+X266+S266)</f>
        <v/>
      </c>
      <c r="AC266" s="7">
        <f>IF($AD266="","",AB266-Z266-P266)</f>
        <v/>
      </c>
      <c r="AD266" s="13">
        <f>IF(ROWS($AD$2:$AD266)&lt;=MAX('Per Line'!$AO$2:$AO$3001),MATCH(ROWS($AD$2:$AD266),'Per Line'!$AO$2:$AO$3001,0),"")</f>
        <v/>
      </c>
      <c r="AE266" s="14">
        <f>IF($AD266="","",P266-O266*AB266/100)</f>
        <v/>
      </c>
    </row>
    <row r="267">
      <c r="A267" s="12" t="n"/>
      <c r="B267">
        <f>IF($AD267="","",INDEX('Per Line'!$E$2:$E$3001,$AD267)&amp;"")</f>
        <v/>
      </c>
      <c r="C267">
        <f>IF($AD267="","",INDEX('Per Line'!$A$2:$A$3001,$AD267)&amp;"")</f>
        <v/>
      </c>
      <c r="D267">
        <f>IF($AD267="","",INDEX('Per Line'!$C$2:$C$3001,$AD267)&amp;"")</f>
        <v/>
      </c>
      <c r="E267">
        <f>IF($AD267="","",INDEX('Per Line'!$B$2:$B$3001,$AD267))</f>
        <v/>
      </c>
      <c r="F267">
        <f>IF($AD267="","",INDEX('Per Line'!$D$2:$D$3001,$AD267)&amp;"")</f>
        <v/>
      </c>
      <c r="G267" s="11">
        <f>IF($AD267="","",INDEX('Per Line'!$G$2:$G$3001,$AD267))</f>
        <v/>
      </c>
      <c r="H267">
        <f>IF($AD267="","",INDEX('Per Line'!$J$2:$J$3001,$AD267)&amp;"")</f>
        <v/>
      </c>
      <c r="I267">
        <f>IF($AD267="","",INDEX('Per Line'!$H$2:$H$3001,$AD267)&amp;"")</f>
        <v/>
      </c>
      <c r="J267">
        <f>IF($AD267="","",INDEX('Per Line'!$F$2:$F$3001,$AD267)&amp;"")</f>
        <v/>
      </c>
      <c r="K267">
        <f>IF($AD267="","",INDEX('Per Line'!$K$2:$K$3001,$AD267)&amp;"")</f>
        <v/>
      </c>
      <c r="L267">
        <f>IF($AD267="","",INDEX('Per Line'!$L$2:$L$3001,$AD267)&amp;"")</f>
        <v/>
      </c>
      <c r="M267">
        <f>IF($AD267="","",INDEX('Per Line'!$M$2:$M$3001,$AD267)&amp;"")</f>
        <v/>
      </c>
      <c r="N267">
        <f>IF($AD267="","",INDEX('Per Line'!$AC$2:$AC$3001,$AD267)&amp;"")</f>
        <v/>
      </c>
      <c r="O267">
        <f>IF($AD267="","",INDEX('Per Line'!$P$2:$P$3001,$AD267))</f>
        <v/>
      </c>
      <c r="P267" s="7">
        <f>IF($AD267="","",IF(AND(ISNUMBER(Q267),Q267&gt;0,AB267&gt;Q267),O267*Q267/100+(AB267-Q267),O267*AB267/100))</f>
        <v/>
      </c>
      <c r="Q267">
        <f>IF($AD267="","",INDEX('Per Line'!$AG$2:$AG$3001,$AD267))</f>
        <v/>
      </c>
      <c r="R267">
        <f>IF($AD267="","",IF(AND(ISNUMBER(Q267),Q267&gt;0),AB267&gt;Q267,FALSE))</f>
        <v/>
      </c>
      <c r="S267" s="7">
        <f>IF($AD267="","",SUMIFS('Per Line'!$AB$2:$AB$3001,'Per Line'!$E$2:$E$3001,$B267,'Per Line'!$AQ$2:$AQ$3001,1))</f>
        <v/>
      </c>
      <c r="T267">
        <f>IF($AD267="","",Settings!$C$7)</f>
        <v/>
      </c>
      <c r="U267" s="7">
        <f>IF($AD267="","",SUMIFS('Per Line'!$AB$2:$AB$3001,'Per Line'!$E$2:$E$3001,$B267,'Per Line'!$AP$2:$AP$3001,0,'Per Line'!$AQ$2:$AQ$3001,0))</f>
        <v/>
      </c>
      <c r="V267" s="7">
        <f>IF($AD267="","",U267*T267)</f>
        <v/>
      </c>
      <c r="W267">
        <f>IF($AD267="","",Settings!$C$6)</f>
        <v/>
      </c>
      <c r="X267" s="7">
        <f>IF($AD267="","",SUMIFS('Per Line'!$AB$2:$AB$3001,'Per Line'!$E$2:$E$3001,$B267,'Per Line'!$AP$2:$AP$3001,1,'Per Line'!$AQ$2:$AQ$3001,0))</f>
        <v/>
      </c>
      <c r="Y267" s="7">
        <f>IF($AD267="","",X267*W267)</f>
        <v/>
      </c>
      <c r="Z267" s="7">
        <f>IF($AD267="","",Y267+V267)</f>
        <v/>
      </c>
      <c r="AA267" s="7">
        <f>IF($AD267="","",AB267-Z267)</f>
        <v/>
      </c>
      <c r="AB267" s="7">
        <f>IF($AD267="","",U267+X267+S267)</f>
        <v/>
      </c>
      <c r="AC267" s="7">
        <f>IF($AD267="","",AB267-Z267-P267)</f>
        <v/>
      </c>
      <c r="AD267" s="13">
        <f>IF(ROWS($AD$2:$AD267)&lt;=MAX('Per Line'!$AO$2:$AO$3001),MATCH(ROWS($AD$2:$AD267),'Per Line'!$AO$2:$AO$3001,0),"")</f>
        <v/>
      </c>
      <c r="AE267" s="14">
        <f>IF($AD267="","",P267-O267*AB267/100)</f>
        <v/>
      </c>
    </row>
    <row r="268">
      <c r="A268" s="12" t="n"/>
      <c r="B268">
        <f>IF($AD268="","",INDEX('Per Line'!$E$2:$E$3001,$AD268)&amp;"")</f>
        <v/>
      </c>
      <c r="C268">
        <f>IF($AD268="","",INDEX('Per Line'!$A$2:$A$3001,$AD268)&amp;"")</f>
        <v/>
      </c>
      <c r="D268">
        <f>IF($AD268="","",INDEX('Per Line'!$C$2:$C$3001,$AD268)&amp;"")</f>
        <v/>
      </c>
      <c r="E268">
        <f>IF($AD268="","",INDEX('Per Line'!$B$2:$B$3001,$AD268))</f>
        <v/>
      </c>
      <c r="F268">
        <f>IF($AD268="","",INDEX('Per Line'!$D$2:$D$3001,$AD268)&amp;"")</f>
        <v/>
      </c>
      <c r="G268" s="11">
        <f>IF($AD268="","",INDEX('Per Line'!$G$2:$G$3001,$AD268))</f>
        <v/>
      </c>
      <c r="H268">
        <f>IF($AD268="","",INDEX('Per Line'!$J$2:$J$3001,$AD268)&amp;"")</f>
        <v/>
      </c>
      <c r="I268">
        <f>IF($AD268="","",INDEX('Per Line'!$H$2:$H$3001,$AD268)&amp;"")</f>
        <v/>
      </c>
      <c r="J268">
        <f>IF($AD268="","",INDEX('Per Line'!$F$2:$F$3001,$AD268)&amp;"")</f>
        <v/>
      </c>
      <c r="K268">
        <f>IF($AD268="","",INDEX('Per Line'!$K$2:$K$3001,$AD268)&amp;"")</f>
        <v/>
      </c>
      <c r="L268">
        <f>IF($AD268="","",INDEX('Per Line'!$L$2:$L$3001,$AD268)&amp;"")</f>
        <v/>
      </c>
      <c r="M268">
        <f>IF($AD268="","",INDEX('Per Line'!$M$2:$M$3001,$AD268)&amp;"")</f>
        <v/>
      </c>
      <c r="N268">
        <f>IF($AD268="","",INDEX('Per Line'!$AC$2:$AC$3001,$AD268)&amp;"")</f>
        <v/>
      </c>
      <c r="O268">
        <f>IF($AD268="","",INDEX('Per Line'!$P$2:$P$3001,$AD268))</f>
        <v/>
      </c>
      <c r="P268" s="7">
        <f>IF($AD268="","",IF(AND(ISNUMBER(Q268),Q268&gt;0,AB268&gt;Q268),O268*Q268/100+(AB268-Q268),O268*AB268/100))</f>
        <v/>
      </c>
      <c r="Q268">
        <f>IF($AD268="","",INDEX('Per Line'!$AG$2:$AG$3001,$AD268))</f>
        <v/>
      </c>
      <c r="R268">
        <f>IF($AD268="","",IF(AND(ISNUMBER(Q268),Q268&gt;0),AB268&gt;Q268,FALSE))</f>
        <v/>
      </c>
      <c r="S268" s="7">
        <f>IF($AD268="","",SUMIFS('Per Line'!$AB$2:$AB$3001,'Per Line'!$E$2:$E$3001,$B268,'Per Line'!$AQ$2:$AQ$3001,1))</f>
        <v/>
      </c>
      <c r="T268">
        <f>IF($AD268="","",Settings!$C$7)</f>
        <v/>
      </c>
      <c r="U268" s="7">
        <f>IF($AD268="","",SUMIFS('Per Line'!$AB$2:$AB$3001,'Per Line'!$E$2:$E$3001,$B268,'Per Line'!$AP$2:$AP$3001,0,'Per Line'!$AQ$2:$AQ$3001,0))</f>
        <v/>
      </c>
      <c r="V268" s="7">
        <f>IF($AD268="","",U268*T268)</f>
        <v/>
      </c>
      <c r="W268">
        <f>IF($AD268="","",Settings!$C$6)</f>
        <v/>
      </c>
      <c r="X268" s="7">
        <f>IF($AD268="","",SUMIFS('Per Line'!$AB$2:$AB$3001,'Per Line'!$E$2:$E$3001,$B268,'Per Line'!$AP$2:$AP$3001,1,'Per Line'!$AQ$2:$AQ$3001,0))</f>
        <v/>
      </c>
      <c r="Y268" s="7">
        <f>IF($AD268="","",X268*W268)</f>
        <v/>
      </c>
      <c r="Z268" s="7">
        <f>IF($AD268="","",Y268+V268)</f>
        <v/>
      </c>
      <c r="AA268" s="7">
        <f>IF($AD268="","",AB268-Z268)</f>
        <v/>
      </c>
      <c r="AB268" s="7">
        <f>IF($AD268="","",U268+X268+S268)</f>
        <v/>
      </c>
      <c r="AC268" s="7">
        <f>IF($AD268="","",AB268-Z268-P268)</f>
        <v/>
      </c>
      <c r="AD268" s="13">
        <f>IF(ROWS($AD$2:$AD268)&lt;=MAX('Per Line'!$AO$2:$AO$3001),MATCH(ROWS($AD$2:$AD268),'Per Line'!$AO$2:$AO$3001,0),"")</f>
        <v/>
      </c>
      <c r="AE268" s="14">
        <f>IF($AD268="","",P268-O268*AB268/100)</f>
        <v/>
      </c>
    </row>
    <row r="269">
      <c r="A269" s="12" t="n"/>
      <c r="B269">
        <f>IF($AD269="","",INDEX('Per Line'!$E$2:$E$3001,$AD269)&amp;"")</f>
        <v/>
      </c>
      <c r="C269">
        <f>IF($AD269="","",INDEX('Per Line'!$A$2:$A$3001,$AD269)&amp;"")</f>
        <v/>
      </c>
      <c r="D269">
        <f>IF($AD269="","",INDEX('Per Line'!$C$2:$C$3001,$AD269)&amp;"")</f>
        <v/>
      </c>
      <c r="E269">
        <f>IF($AD269="","",INDEX('Per Line'!$B$2:$B$3001,$AD269))</f>
        <v/>
      </c>
      <c r="F269">
        <f>IF($AD269="","",INDEX('Per Line'!$D$2:$D$3001,$AD269)&amp;"")</f>
        <v/>
      </c>
      <c r="G269" s="11">
        <f>IF($AD269="","",INDEX('Per Line'!$G$2:$G$3001,$AD269))</f>
        <v/>
      </c>
      <c r="H269">
        <f>IF($AD269="","",INDEX('Per Line'!$J$2:$J$3001,$AD269)&amp;"")</f>
        <v/>
      </c>
      <c r="I269">
        <f>IF($AD269="","",INDEX('Per Line'!$H$2:$H$3001,$AD269)&amp;"")</f>
        <v/>
      </c>
      <c r="J269">
        <f>IF($AD269="","",INDEX('Per Line'!$F$2:$F$3001,$AD269)&amp;"")</f>
        <v/>
      </c>
      <c r="K269">
        <f>IF($AD269="","",INDEX('Per Line'!$K$2:$K$3001,$AD269)&amp;"")</f>
        <v/>
      </c>
      <c r="L269">
        <f>IF($AD269="","",INDEX('Per Line'!$L$2:$L$3001,$AD269)&amp;"")</f>
        <v/>
      </c>
      <c r="M269">
        <f>IF($AD269="","",INDEX('Per Line'!$M$2:$M$3001,$AD269)&amp;"")</f>
        <v/>
      </c>
      <c r="N269">
        <f>IF($AD269="","",INDEX('Per Line'!$AC$2:$AC$3001,$AD269)&amp;"")</f>
        <v/>
      </c>
      <c r="O269">
        <f>IF($AD269="","",INDEX('Per Line'!$P$2:$P$3001,$AD269))</f>
        <v/>
      </c>
      <c r="P269" s="7">
        <f>IF($AD269="","",IF(AND(ISNUMBER(Q269),Q269&gt;0,AB269&gt;Q269),O269*Q269/100+(AB269-Q269),O269*AB269/100))</f>
        <v/>
      </c>
      <c r="Q269">
        <f>IF($AD269="","",INDEX('Per Line'!$AG$2:$AG$3001,$AD269))</f>
        <v/>
      </c>
      <c r="R269">
        <f>IF($AD269="","",IF(AND(ISNUMBER(Q269),Q269&gt;0),AB269&gt;Q269,FALSE))</f>
        <v/>
      </c>
      <c r="S269" s="7">
        <f>IF($AD269="","",SUMIFS('Per Line'!$AB$2:$AB$3001,'Per Line'!$E$2:$E$3001,$B269,'Per Line'!$AQ$2:$AQ$3001,1))</f>
        <v/>
      </c>
      <c r="T269">
        <f>IF($AD269="","",Settings!$C$7)</f>
        <v/>
      </c>
      <c r="U269" s="7">
        <f>IF($AD269="","",SUMIFS('Per Line'!$AB$2:$AB$3001,'Per Line'!$E$2:$E$3001,$B269,'Per Line'!$AP$2:$AP$3001,0,'Per Line'!$AQ$2:$AQ$3001,0))</f>
        <v/>
      </c>
      <c r="V269" s="7">
        <f>IF($AD269="","",U269*T269)</f>
        <v/>
      </c>
      <c r="W269">
        <f>IF($AD269="","",Settings!$C$6)</f>
        <v/>
      </c>
      <c r="X269" s="7">
        <f>IF($AD269="","",SUMIFS('Per Line'!$AB$2:$AB$3001,'Per Line'!$E$2:$E$3001,$B269,'Per Line'!$AP$2:$AP$3001,1,'Per Line'!$AQ$2:$AQ$3001,0))</f>
        <v/>
      </c>
      <c r="Y269" s="7">
        <f>IF($AD269="","",X269*W269)</f>
        <v/>
      </c>
      <c r="Z269" s="7">
        <f>IF($AD269="","",Y269+V269)</f>
        <v/>
      </c>
      <c r="AA269" s="7">
        <f>IF($AD269="","",AB269-Z269)</f>
        <v/>
      </c>
      <c r="AB269" s="7">
        <f>IF($AD269="","",U269+X269+S269)</f>
        <v/>
      </c>
      <c r="AC269" s="7">
        <f>IF($AD269="","",AB269-Z269-P269)</f>
        <v/>
      </c>
      <c r="AD269" s="13">
        <f>IF(ROWS($AD$2:$AD269)&lt;=MAX('Per Line'!$AO$2:$AO$3001),MATCH(ROWS($AD$2:$AD269),'Per Line'!$AO$2:$AO$3001,0),"")</f>
        <v/>
      </c>
      <c r="AE269" s="14">
        <f>IF($AD269="","",P269-O269*AB269/100)</f>
        <v/>
      </c>
    </row>
    <row r="270">
      <c r="A270" s="12" t="n"/>
      <c r="B270">
        <f>IF($AD270="","",INDEX('Per Line'!$E$2:$E$3001,$AD270)&amp;"")</f>
        <v/>
      </c>
      <c r="C270">
        <f>IF($AD270="","",INDEX('Per Line'!$A$2:$A$3001,$AD270)&amp;"")</f>
        <v/>
      </c>
      <c r="D270">
        <f>IF($AD270="","",INDEX('Per Line'!$C$2:$C$3001,$AD270)&amp;"")</f>
        <v/>
      </c>
      <c r="E270">
        <f>IF($AD270="","",INDEX('Per Line'!$B$2:$B$3001,$AD270))</f>
        <v/>
      </c>
      <c r="F270">
        <f>IF($AD270="","",INDEX('Per Line'!$D$2:$D$3001,$AD270)&amp;"")</f>
        <v/>
      </c>
      <c r="G270" s="11">
        <f>IF($AD270="","",INDEX('Per Line'!$G$2:$G$3001,$AD270))</f>
        <v/>
      </c>
      <c r="H270">
        <f>IF($AD270="","",INDEX('Per Line'!$J$2:$J$3001,$AD270)&amp;"")</f>
        <v/>
      </c>
      <c r="I270">
        <f>IF($AD270="","",INDEX('Per Line'!$H$2:$H$3001,$AD270)&amp;"")</f>
        <v/>
      </c>
      <c r="J270">
        <f>IF($AD270="","",INDEX('Per Line'!$F$2:$F$3001,$AD270)&amp;"")</f>
        <v/>
      </c>
      <c r="K270">
        <f>IF($AD270="","",INDEX('Per Line'!$K$2:$K$3001,$AD270)&amp;"")</f>
        <v/>
      </c>
      <c r="L270">
        <f>IF($AD270="","",INDEX('Per Line'!$L$2:$L$3001,$AD270)&amp;"")</f>
        <v/>
      </c>
      <c r="M270">
        <f>IF($AD270="","",INDEX('Per Line'!$M$2:$M$3001,$AD270)&amp;"")</f>
        <v/>
      </c>
      <c r="N270">
        <f>IF($AD270="","",INDEX('Per Line'!$AC$2:$AC$3001,$AD270)&amp;"")</f>
        <v/>
      </c>
      <c r="O270">
        <f>IF($AD270="","",INDEX('Per Line'!$P$2:$P$3001,$AD270))</f>
        <v/>
      </c>
      <c r="P270" s="7">
        <f>IF($AD270="","",IF(AND(ISNUMBER(Q270),Q270&gt;0,AB270&gt;Q270),O270*Q270/100+(AB270-Q270),O270*AB270/100))</f>
        <v/>
      </c>
      <c r="Q270">
        <f>IF($AD270="","",INDEX('Per Line'!$AG$2:$AG$3001,$AD270))</f>
        <v/>
      </c>
      <c r="R270">
        <f>IF($AD270="","",IF(AND(ISNUMBER(Q270),Q270&gt;0),AB270&gt;Q270,FALSE))</f>
        <v/>
      </c>
      <c r="S270" s="7">
        <f>IF($AD270="","",SUMIFS('Per Line'!$AB$2:$AB$3001,'Per Line'!$E$2:$E$3001,$B270,'Per Line'!$AQ$2:$AQ$3001,1))</f>
        <v/>
      </c>
      <c r="T270">
        <f>IF($AD270="","",Settings!$C$7)</f>
        <v/>
      </c>
      <c r="U270" s="7">
        <f>IF($AD270="","",SUMIFS('Per Line'!$AB$2:$AB$3001,'Per Line'!$E$2:$E$3001,$B270,'Per Line'!$AP$2:$AP$3001,0,'Per Line'!$AQ$2:$AQ$3001,0))</f>
        <v/>
      </c>
      <c r="V270" s="7">
        <f>IF($AD270="","",U270*T270)</f>
        <v/>
      </c>
      <c r="W270">
        <f>IF($AD270="","",Settings!$C$6)</f>
        <v/>
      </c>
      <c r="X270" s="7">
        <f>IF($AD270="","",SUMIFS('Per Line'!$AB$2:$AB$3001,'Per Line'!$E$2:$E$3001,$B270,'Per Line'!$AP$2:$AP$3001,1,'Per Line'!$AQ$2:$AQ$3001,0))</f>
        <v/>
      </c>
      <c r="Y270" s="7">
        <f>IF($AD270="","",X270*W270)</f>
        <v/>
      </c>
      <c r="Z270" s="7">
        <f>IF($AD270="","",Y270+V270)</f>
        <v/>
      </c>
      <c r="AA270" s="7">
        <f>IF($AD270="","",AB270-Z270)</f>
        <v/>
      </c>
      <c r="AB270" s="7">
        <f>IF($AD270="","",U270+X270+S270)</f>
        <v/>
      </c>
      <c r="AC270" s="7">
        <f>IF($AD270="","",AB270-Z270-P270)</f>
        <v/>
      </c>
      <c r="AD270" s="13">
        <f>IF(ROWS($AD$2:$AD270)&lt;=MAX('Per Line'!$AO$2:$AO$3001),MATCH(ROWS($AD$2:$AD270),'Per Line'!$AO$2:$AO$3001,0),"")</f>
        <v/>
      </c>
      <c r="AE270" s="14">
        <f>IF($AD270="","",P270-O270*AB270/100)</f>
        <v/>
      </c>
    </row>
    <row r="271">
      <c r="A271" s="12" t="n"/>
      <c r="B271">
        <f>IF($AD271="","",INDEX('Per Line'!$E$2:$E$3001,$AD271)&amp;"")</f>
        <v/>
      </c>
      <c r="C271">
        <f>IF($AD271="","",INDEX('Per Line'!$A$2:$A$3001,$AD271)&amp;"")</f>
        <v/>
      </c>
      <c r="D271">
        <f>IF($AD271="","",INDEX('Per Line'!$C$2:$C$3001,$AD271)&amp;"")</f>
        <v/>
      </c>
      <c r="E271">
        <f>IF($AD271="","",INDEX('Per Line'!$B$2:$B$3001,$AD271))</f>
        <v/>
      </c>
      <c r="F271">
        <f>IF($AD271="","",INDEX('Per Line'!$D$2:$D$3001,$AD271)&amp;"")</f>
        <v/>
      </c>
      <c r="G271" s="11">
        <f>IF($AD271="","",INDEX('Per Line'!$G$2:$G$3001,$AD271))</f>
        <v/>
      </c>
      <c r="H271">
        <f>IF($AD271="","",INDEX('Per Line'!$J$2:$J$3001,$AD271)&amp;"")</f>
        <v/>
      </c>
      <c r="I271">
        <f>IF($AD271="","",INDEX('Per Line'!$H$2:$H$3001,$AD271)&amp;"")</f>
        <v/>
      </c>
      <c r="J271">
        <f>IF($AD271="","",INDEX('Per Line'!$F$2:$F$3001,$AD271)&amp;"")</f>
        <v/>
      </c>
      <c r="K271">
        <f>IF($AD271="","",INDEX('Per Line'!$K$2:$K$3001,$AD271)&amp;"")</f>
        <v/>
      </c>
      <c r="L271">
        <f>IF($AD271="","",INDEX('Per Line'!$L$2:$L$3001,$AD271)&amp;"")</f>
        <v/>
      </c>
      <c r="M271">
        <f>IF($AD271="","",INDEX('Per Line'!$M$2:$M$3001,$AD271)&amp;"")</f>
        <v/>
      </c>
      <c r="N271">
        <f>IF($AD271="","",INDEX('Per Line'!$AC$2:$AC$3001,$AD271)&amp;"")</f>
        <v/>
      </c>
      <c r="O271">
        <f>IF($AD271="","",INDEX('Per Line'!$P$2:$P$3001,$AD271))</f>
        <v/>
      </c>
      <c r="P271" s="7">
        <f>IF($AD271="","",IF(AND(ISNUMBER(Q271),Q271&gt;0,AB271&gt;Q271),O271*Q271/100+(AB271-Q271),O271*AB271/100))</f>
        <v/>
      </c>
      <c r="Q271">
        <f>IF($AD271="","",INDEX('Per Line'!$AG$2:$AG$3001,$AD271))</f>
        <v/>
      </c>
      <c r="R271">
        <f>IF($AD271="","",IF(AND(ISNUMBER(Q271),Q271&gt;0),AB271&gt;Q271,FALSE))</f>
        <v/>
      </c>
      <c r="S271" s="7">
        <f>IF($AD271="","",SUMIFS('Per Line'!$AB$2:$AB$3001,'Per Line'!$E$2:$E$3001,$B271,'Per Line'!$AQ$2:$AQ$3001,1))</f>
        <v/>
      </c>
      <c r="T271">
        <f>IF($AD271="","",Settings!$C$7)</f>
        <v/>
      </c>
      <c r="U271" s="7">
        <f>IF($AD271="","",SUMIFS('Per Line'!$AB$2:$AB$3001,'Per Line'!$E$2:$E$3001,$B271,'Per Line'!$AP$2:$AP$3001,0,'Per Line'!$AQ$2:$AQ$3001,0))</f>
        <v/>
      </c>
      <c r="V271" s="7">
        <f>IF($AD271="","",U271*T271)</f>
        <v/>
      </c>
      <c r="W271">
        <f>IF($AD271="","",Settings!$C$6)</f>
        <v/>
      </c>
      <c r="X271" s="7">
        <f>IF($AD271="","",SUMIFS('Per Line'!$AB$2:$AB$3001,'Per Line'!$E$2:$E$3001,$B271,'Per Line'!$AP$2:$AP$3001,1,'Per Line'!$AQ$2:$AQ$3001,0))</f>
        <v/>
      </c>
      <c r="Y271" s="7">
        <f>IF($AD271="","",X271*W271)</f>
        <v/>
      </c>
      <c r="Z271" s="7">
        <f>IF($AD271="","",Y271+V271)</f>
        <v/>
      </c>
      <c r="AA271" s="7">
        <f>IF($AD271="","",AB271-Z271)</f>
        <v/>
      </c>
      <c r="AB271" s="7">
        <f>IF($AD271="","",U271+X271+S271)</f>
        <v/>
      </c>
      <c r="AC271" s="7">
        <f>IF($AD271="","",AB271-Z271-P271)</f>
        <v/>
      </c>
      <c r="AD271" s="13">
        <f>IF(ROWS($AD$2:$AD271)&lt;=MAX('Per Line'!$AO$2:$AO$3001),MATCH(ROWS($AD$2:$AD271),'Per Line'!$AO$2:$AO$3001,0),"")</f>
        <v/>
      </c>
      <c r="AE271" s="14">
        <f>IF($AD271="","",P271-O271*AB271/100)</f>
        <v/>
      </c>
    </row>
    <row r="272">
      <c r="A272" s="12" t="n"/>
      <c r="B272">
        <f>IF($AD272="","",INDEX('Per Line'!$E$2:$E$3001,$AD272)&amp;"")</f>
        <v/>
      </c>
      <c r="C272">
        <f>IF($AD272="","",INDEX('Per Line'!$A$2:$A$3001,$AD272)&amp;"")</f>
        <v/>
      </c>
      <c r="D272">
        <f>IF($AD272="","",INDEX('Per Line'!$C$2:$C$3001,$AD272)&amp;"")</f>
        <v/>
      </c>
      <c r="E272">
        <f>IF($AD272="","",INDEX('Per Line'!$B$2:$B$3001,$AD272))</f>
        <v/>
      </c>
      <c r="F272">
        <f>IF($AD272="","",INDEX('Per Line'!$D$2:$D$3001,$AD272)&amp;"")</f>
        <v/>
      </c>
      <c r="G272" s="11">
        <f>IF($AD272="","",INDEX('Per Line'!$G$2:$G$3001,$AD272))</f>
        <v/>
      </c>
      <c r="H272">
        <f>IF($AD272="","",INDEX('Per Line'!$J$2:$J$3001,$AD272)&amp;"")</f>
        <v/>
      </c>
      <c r="I272">
        <f>IF($AD272="","",INDEX('Per Line'!$H$2:$H$3001,$AD272)&amp;"")</f>
        <v/>
      </c>
      <c r="J272">
        <f>IF($AD272="","",INDEX('Per Line'!$F$2:$F$3001,$AD272)&amp;"")</f>
        <v/>
      </c>
      <c r="K272">
        <f>IF($AD272="","",INDEX('Per Line'!$K$2:$K$3001,$AD272)&amp;"")</f>
        <v/>
      </c>
      <c r="L272">
        <f>IF($AD272="","",INDEX('Per Line'!$L$2:$L$3001,$AD272)&amp;"")</f>
        <v/>
      </c>
      <c r="M272">
        <f>IF($AD272="","",INDEX('Per Line'!$M$2:$M$3001,$AD272)&amp;"")</f>
        <v/>
      </c>
      <c r="N272">
        <f>IF($AD272="","",INDEX('Per Line'!$AC$2:$AC$3001,$AD272)&amp;"")</f>
        <v/>
      </c>
      <c r="O272">
        <f>IF($AD272="","",INDEX('Per Line'!$P$2:$P$3001,$AD272))</f>
        <v/>
      </c>
      <c r="P272" s="7">
        <f>IF($AD272="","",IF(AND(ISNUMBER(Q272),Q272&gt;0,AB272&gt;Q272),O272*Q272/100+(AB272-Q272),O272*AB272/100))</f>
        <v/>
      </c>
      <c r="Q272">
        <f>IF($AD272="","",INDEX('Per Line'!$AG$2:$AG$3001,$AD272))</f>
        <v/>
      </c>
      <c r="R272">
        <f>IF($AD272="","",IF(AND(ISNUMBER(Q272),Q272&gt;0),AB272&gt;Q272,FALSE))</f>
        <v/>
      </c>
      <c r="S272" s="7">
        <f>IF($AD272="","",SUMIFS('Per Line'!$AB$2:$AB$3001,'Per Line'!$E$2:$E$3001,$B272,'Per Line'!$AQ$2:$AQ$3001,1))</f>
        <v/>
      </c>
      <c r="T272">
        <f>IF($AD272="","",Settings!$C$7)</f>
        <v/>
      </c>
      <c r="U272" s="7">
        <f>IF($AD272="","",SUMIFS('Per Line'!$AB$2:$AB$3001,'Per Line'!$E$2:$E$3001,$B272,'Per Line'!$AP$2:$AP$3001,0,'Per Line'!$AQ$2:$AQ$3001,0))</f>
        <v/>
      </c>
      <c r="V272" s="7">
        <f>IF($AD272="","",U272*T272)</f>
        <v/>
      </c>
      <c r="W272">
        <f>IF($AD272="","",Settings!$C$6)</f>
        <v/>
      </c>
      <c r="X272" s="7">
        <f>IF($AD272="","",SUMIFS('Per Line'!$AB$2:$AB$3001,'Per Line'!$E$2:$E$3001,$B272,'Per Line'!$AP$2:$AP$3001,1,'Per Line'!$AQ$2:$AQ$3001,0))</f>
        <v/>
      </c>
      <c r="Y272" s="7">
        <f>IF($AD272="","",X272*W272)</f>
        <v/>
      </c>
      <c r="Z272" s="7">
        <f>IF($AD272="","",Y272+V272)</f>
        <v/>
      </c>
      <c r="AA272" s="7">
        <f>IF($AD272="","",AB272-Z272)</f>
        <v/>
      </c>
      <c r="AB272" s="7">
        <f>IF($AD272="","",U272+X272+S272)</f>
        <v/>
      </c>
      <c r="AC272" s="7">
        <f>IF($AD272="","",AB272-Z272-P272)</f>
        <v/>
      </c>
      <c r="AD272" s="13">
        <f>IF(ROWS($AD$2:$AD272)&lt;=MAX('Per Line'!$AO$2:$AO$3001),MATCH(ROWS($AD$2:$AD272),'Per Line'!$AO$2:$AO$3001,0),"")</f>
        <v/>
      </c>
      <c r="AE272" s="14">
        <f>IF($AD272="","",P272-O272*AB272/100)</f>
        <v/>
      </c>
    </row>
    <row r="273">
      <c r="A273" s="12" t="n"/>
      <c r="B273">
        <f>IF($AD273="","",INDEX('Per Line'!$E$2:$E$3001,$AD273)&amp;"")</f>
        <v/>
      </c>
      <c r="C273">
        <f>IF($AD273="","",INDEX('Per Line'!$A$2:$A$3001,$AD273)&amp;"")</f>
        <v/>
      </c>
      <c r="D273">
        <f>IF($AD273="","",INDEX('Per Line'!$C$2:$C$3001,$AD273)&amp;"")</f>
        <v/>
      </c>
      <c r="E273">
        <f>IF($AD273="","",INDEX('Per Line'!$B$2:$B$3001,$AD273))</f>
        <v/>
      </c>
      <c r="F273">
        <f>IF($AD273="","",INDEX('Per Line'!$D$2:$D$3001,$AD273)&amp;"")</f>
        <v/>
      </c>
      <c r="G273" s="11">
        <f>IF($AD273="","",INDEX('Per Line'!$G$2:$G$3001,$AD273))</f>
        <v/>
      </c>
      <c r="H273">
        <f>IF($AD273="","",INDEX('Per Line'!$J$2:$J$3001,$AD273)&amp;"")</f>
        <v/>
      </c>
      <c r="I273">
        <f>IF($AD273="","",INDEX('Per Line'!$H$2:$H$3001,$AD273)&amp;"")</f>
        <v/>
      </c>
      <c r="J273">
        <f>IF($AD273="","",INDEX('Per Line'!$F$2:$F$3001,$AD273)&amp;"")</f>
        <v/>
      </c>
      <c r="K273">
        <f>IF($AD273="","",INDEX('Per Line'!$K$2:$K$3001,$AD273)&amp;"")</f>
        <v/>
      </c>
      <c r="L273">
        <f>IF($AD273="","",INDEX('Per Line'!$L$2:$L$3001,$AD273)&amp;"")</f>
        <v/>
      </c>
      <c r="M273">
        <f>IF($AD273="","",INDEX('Per Line'!$M$2:$M$3001,$AD273)&amp;"")</f>
        <v/>
      </c>
      <c r="N273">
        <f>IF($AD273="","",INDEX('Per Line'!$AC$2:$AC$3001,$AD273)&amp;"")</f>
        <v/>
      </c>
      <c r="O273">
        <f>IF($AD273="","",INDEX('Per Line'!$P$2:$P$3001,$AD273))</f>
        <v/>
      </c>
      <c r="P273" s="7">
        <f>IF($AD273="","",IF(AND(ISNUMBER(Q273),Q273&gt;0,AB273&gt;Q273),O273*Q273/100+(AB273-Q273),O273*AB273/100))</f>
        <v/>
      </c>
      <c r="Q273">
        <f>IF($AD273="","",INDEX('Per Line'!$AG$2:$AG$3001,$AD273))</f>
        <v/>
      </c>
      <c r="R273">
        <f>IF($AD273="","",IF(AND(ISNUMBER(Q273),Q273&gt;0),AB273&gt;Q273,FALSE))</f>
        <v/>
      </c>
      <c r="S273" s="7">
        <f>IF($AD273="","",SUMIFS('Per Line'!$AB$2:$AB$3001,'Per Line'!$E$2:$E$3001,$B273,'Per Line'!$AQ$2:$AQ$3001,1))</f>
        <v/>
      </c>
      <c r="T273">
        <f>IF($AD273="","",Settings!$C$7)</f>
        <v/>
      </c>
      <c r="U273" s="7">
        <f>IF($AD273="","",SUMIFS('Per Line'!$AB$2:$AB$3001,'Per Line'!$E$2:$E$3001,$B273,'Per Line'!$AP$2:$AP$3001,0,'Per Line'!$AQ$2:$AQ$3001,0))</f>
        <v/>
      </c>
      <c r="V273" s="7">
        <f>IF($AD273="","",U273*T273)</f>
        <v/>
      </c>
      <c r="W273">
        <f>IF($AD273="","",Settings!$C$6)</f>
        <v/>
      </c>
      <c r="X273" s="7">
        <f>IF($AD273="","",SUMIFS('Per Line'!$AB$2:$AB$3001,'Per Line'!$E$2:$E$3001,$B273,'Per Line'!$AP$2:$AP$3001,1,'Per Line'!$AQ$2:$AQ$3001,0))</f>
        <v/>
      </c>
      <c r="Y273" s="7">
        <f>IF($AD273="","",X273*W273)</f>
        <v/>
      </c>
      <c r="Z273" s="7">
        <f>IF($AD273="","",Y273+V273)</f>
        <v/>
      </c>
      <c r="AA273" s="7">
        <f>IF($AD273="","",AB273-Z273)</f>
        <v/>
      </c>
      <c r="AB273" s="7">
        <f>IF($AD273="","",U273+X273+S273)</f>
        <v/>
      </c>
      <c r="AC273" s="7">
        <f>IF($AD273="","",AB273-Z273-P273)</f>
        <v/>
      </c>
      <c r="AD273" s="13">
        <f>IF(ROWS($AD$2:$AD273)&lt;=MAX('Per Line'!$AO$2:$AO$3001),MATCH(ROWS($AD$2:$AD273),'Per Line'!$AO$2:$AO$3001,0),"")</f>
        <v/>
      </c>
      <c r="AE273" s="14">
        <f>IF($AD273="","",P273-O273*AB273/100)</f>
        <v/>
      </c>
    </row>
    <row r="274">
      <c r="A274" s="12" t="n"/>
      <c r="B274">
        <f>IF($AD274="","",INDEX('Per Line'!$E$2:$E$3001,$AD274)&amp;"")</f>
        <v/>
      </c>
      <c r="C274">
        <f>IF($AD274="","",INDEX('Per Line'!$A$2:$A$3001,$AD274)&amp;"")</f>
        <v/>
      </c>
      <c r="D274">
        <f>IF($AD274="","",INDEX('Per Line'!$C$2:$C$3001,$AD274)&amp;"")</f>
        <v/>
      </c>
      <c r="E274">
        <f>IF($AD274="","",INDEX('Per Line'!$B$2:$B$3001,$AD274))</f>
        <v/>
      </c>
      <c r="F274">
        <f>IF($AD274="","",INDEX('Per Line'!$D$2:$D$3001,$AD274)&amp;"")</f>
        <v/>
      </c>
      <c r="G274" s="11">
        <f>IF($AD274="","",INDEX('Per Line'!$G$2:$G$3001,$AD274))</f>
        <v/>
      </c>
      <c r="H274">
        <f>IF($AD274="","",INDEX('Per Line'!$J$2:$J$3001,$AD274)&amp;"")</f>
        <v/>
      </c>
      <c r="I274">
        <f>IF($AD274="","",INDEX('Per Line'!$H$2:$H$3001,$AD274)&amp;"")</f>
        <v/>
      </c>
      <c r="J274">
        <f>IF($AD274="","",INDEX('Per Line'!$F$2:$F$3001,$AD274)&amp;"")</f>
        <v/>
      </c>
      <c r="K274">
        <f>IF($AD274="","",INDEX('Per Line'!$K$2:$K$3001,$AD274)&amp;"")</f>
        <v/>
      </c>
      <c r="L274">
        <f>IF($AD274="","",INDEX('Per Line'!$L$2:$L$3001,$AD274)&amp;"")</f>
        <v/>
      </c>
      <c r="M274">
        <f>IF($AD274="","",INDEX('Per Line'!$M$2:$M$3001,$AD274)&amp;"")</f>
        <v/>
      </c>
      <c r="N274">
        <f>IF($AD274="","",INDEX('Per Line'!$AC$2:$AC$3001,$AD274)&amp;"")</f>
        <v/>
      </c>
      <c r="O274">
        <f>IF($AD274="","",INDEX('Per Line'!$P$2:$P$3001,$AD274))</f>
        <v/>
      </c>
      <c r="P274" s="7">
        <f>IF($AD274="","",IF(AND(ISNUMBER(Q274),Q274&gt;0,AB274&gt;Q274),O274*Q274/100+(AB274-Q274),O274*AB274/100))</f>
        <v/>
      </c>
      <c r="Q274">
        <f>IF($AD274="","",INDEX('Per Line'!$AG$2:$AG$3001,$AD274))</f>
        <v/>
      </c>
      <c r="R274">
        <f>IF($AD274="","",IF(AND(ISNUMBER(Q274),Q274&gt;0),AB274&gt;Q274,FALSE))</f>
        <v/>
      </c>
      <c r="S274" s="7">
        <f>IF($AD274="","",SUMIFS('Per Line'!$AB$2:$AB$3001,'Per Line'!$E$2:$E$3001,$B274,'Per Line'!$AQ$2:$AQ$3001,1))</f>
        <v/>
      </c>
      <c r="T274">
        <f>IF($AD274="","",Settings!$C$7)</f>
        <v/>
      </c>
      <c r="U274" s="7">
        <f>IF($AD274="","",SUMIFS('Per Line'!$AB$2:$AB$3001,'Per Line'!$E$2:$E$3001,$B274,'Per Line'!$AP$2:$AP$3001,0,'Per Line'!$AQ$2:$AQ$3001,0))</f>
        <v/>
      </c>
      <c r="V274" s="7">
        <f>IF($AD274="","",U274*T274)</f>
        <v/>
      </c>
      <c r="W274">
        <f>IF($AD274="","",Settings!$C$6)</f>
        <v/>
      </c>
      <c r="X274" s="7">
        <f>IF($AD274="","",SUMIFS('Per Line'!$AB$2:$AB$3001,'Per Line'!$E$2:$E$3001,$B274,'Per Line'!$AP$2:$AP$3001,1,'Per Line'!$AQ$2:$AQ$3001,0))</f>
        <v/>
      </c>
      <c r="Y274" s="7">
        <f>IF($AD274="","",X274*W274)</f>
        <v/>
      </c>
      <c r="Z274" s="7">
        <f>IF($AD274="","",Y274+V274)</f>
        <v/>
      </c>
      <c r="AA274" s="7">
        <f>IF($AD274="","",AB274-Z274)</f>
        <v/>
      </c>
      <c r="AB274" s="7">
        <f>IF($AD274="","",U274+X274+S274)</f>
        <v/>
      </c>
      <c r="AC274" s="7">
        <f>IF($AD274="","",AB274-Z274-P274)</f>
        <v/>
      </c>
      <c r="AD274" s="13">
        <f>IF(ROWS($AD$2:$AD274)&lt;=MAX('Per Line'!$AO$2:$AO$3001),MATCH(ROWS($AD$2:$AD274),'Per Line'!$AO$2:$AO$3001,0),"")</f>
        <v/>
      </c>
      <c r="AE274" s="14">
        <f>IF($AD274="","",P274-O274*AB274/100)</f>
        <v/>
      </c>
    </row>
    <row r="275">
      <c r="A275" s="12" t="n"/>
      <c r="B275">
        <f>IF($AD275="","",INDEX('Per Line'!$E$2:$E$3001,$AD275)&amp;"")</f>
        <v/>
      </c>
      <c r="C275">
        <f>IF($AD275="","",INDEX('Per Line'!$A$2:$A$3001,$AD275)&amp;"")</f>
        <v/>
      </c>
      <c r="D275">
        <f>IF($AD275="","",INDEX('Per Line'!$C$2:$C$3001,$AD275)&amp;"")</f>
        <v/>
      </c>
      <c r="E275">
        <f>IF($AD275="","",INDEX('Per Line'!$B$2:$B$3001,$AD275))</f>
        <v/>
      </c>
      <c r="F275">
        <f>IF($AD275="","",INDEX('Per Line'!$D$2:$D$3001,$AD275)&amp;"")</f>
        <v/>
      </c>
      <c r="G275" s="11">
        <f>IF($AD275="","",INDEX('Per Line'!$G$2:$G$3001,$AD275))</f>
        <v/>
      </c>
      <c r="H275">
        <f>IF($AD275="","",INDEX('Per Line'!$J$2:$J$3001,$AD275)&amp;"")</f>
        <v/>
      </c>
      <c r="I275">
        <f>IF($AD275="","",INDEX('Per Line'!$H$2:$H$3001,$AD275)&amp;"")</f>
        <v/>
      </c>
      <c r="J275">
        <f>IF($AD275="","",INDEX('Per Line'!$F$2:$F$3001,$AD275)&amp;"")</f>
        <v/>
      </c>
      <c r="K275">
        <f>IF($AD275="","",INDEX('Per Line'!$K$2:$K$3001,$AD275)&amp;"")</f>
        <v/>
      </c>
      <c r="L275">
        <f>IF($AD275="","",INDEX('Per Line'!$L$2:$L$3001,$AD275)&amp;"")</f>
        <v/>
      </c>
      <c r="M275">
        <f>IF($AD275="","",INDEX('Per Line'!$M$2:$M$3001,$AD275)&amp;"")</f>
        <v/>
      </c>
      <c r="N275">
        <f>IF($AD275="","",INDEX('Per Line'!$AC$2:$AC$3001,$AD275)&amp;"")</f>
        <v/>
      </c>
      <c r="O275">
        <f>IF($AD275="","",INDEX('Per Line'!$P$2:$P$3001,$AD275))</f>
        <v/>
      </c>
      <c r="P275" s="7">
        <f>IF($AD275="","",IF(AND(ISNUMBER(Q275),Q275&gt;0,AB275&gt;Q275),O275*Q275/100+(AB275-Q275),O275*AB275/100))</f>
        <v/>
      </c>
      <c r="Q275">
        <f>IF($AD275="","",INDEX('Per Line'!$AG$2:$AG$3001,$AD275))</f>
        <v/>
      </c>
      <c r="R275">
        <f>IF($AD275="","",IF(AND(ISNUMBER(Q275),Q275&gt;0),AB275&gt;Q275,FALSE))</f>
        <v/>
      </c>
      <c r="S275" s="7">
        <f>IF($AD275="","",SUMIFS('Per Line'!$AB$2:$AB$3001,'Per Line'!$E$2:$E$3001,$B275,'Per Line'!$AQ$2:$AQ$3001,1))</f>
        <v/>
      </c>
      <c r="T275">
        <f>IF($AD275="","",Settings!$C$7)</f>
        <v/>
      </c>
      <c r="U275" s="7">
        <f>IF($AD275="","",SUMIFS('Per Line'!$AB$2:$AB$3001,'Per Line'!$E$2:$E$3001,$B275,'Per Line'!$AP$2:$AP$3001,0,'Per Line'!$AQ$2:$AQ$3001,0))</f>
        <v/>
      </c>
      <c r="V275" s="7">
        <f>IF($AD275="","",U275*T275)</f>
        <v/>
      </c>
      <c r="W275">
        <f>IF($AD275="","",Settings!$C$6)</f>
        <v/>
      </c>
      <c r="X275" s="7">
        <f>IF($AD275="","",SUMIFS('Per Line'!$AB$2:$AB$3001,'Per Line'!$E$2:$E$3001,$B275,'Per Line'!$AP$2:$AP$3001,1,'Per Line'!$AQ$2:$AQ$3001,0))</f>
        <v/>
      </c>
      <c r="Y275" s="7">
        <f>IF($AD275="","",X275*W275)</f>
        <v/>
      </c>
      <c r="Z275" s="7">
        <f>IF($AD275="","",Y275+V275)</f>
        <v/>
      </c>
      <c r="AA275" s="7">
        <f>IF($AD275="","",AB275-Z275)</f>
        <v/>
      </c>
      <c r="AB275" s="7">
        <f>IF($AD275="","",U275+X275+S275)</f>
        <v/>
      </c>
      <c r="AC275" s="7">
        <f>IF($AD275="","",AB275-Z275-P275)</f>
        <v/>
      </c>
      <c r="AD275" s="13">
        <f>IF(ROWS($AD$2:$AD275)&lt;=MAX('Per Line'!$AO$2:$AO$3001),MATCH(ROWS($AD$2:$AD275),'Per Line'!$AO$2:$AO$3001,0),"")</f>
        <v/>
      </c>
      <c r="AE275" s="14">
        <f>IF($AD275="","",P275-O275*AB275/100)</f>
        <v/>
      </c>
    </row>
    <row r="276">
      <c r="A276" s="12" t="n"/>
      <c r="B276">
        <f>IF($AD276="","",INDEX('Per Line'!$E$2:$E$3001,$AD276)&amp;"")</f>
        <v/>
      </c>
      <c r="C276">
        <f>IF($AD276="","",INDEX('Per Line'!$A$2:$A$3001,$AD276)&amp;"")</f>
        <v/>
      </c>
      <c r="D276">
        <f>IF($AD276="","",INDEX('Per Line'!$C$2:$C$3001,$AD276)&amp;"")</f>
        <v/>
      </c>
      <c r="E276">
        <f>IF($AD276="","",INDEX('Per Line'!$B$2:$B$3001,$AD276))</f>
        <v/>
      </c>
      <c r="F276">
        <f>IF($AD276="","",INDEX('Per Line'!$D$2:$D$3001,$AD276)&amp;"")</f>
        <v/>
      </c>
      <c r="G276" s="11">
        <f>IF($AD276="","",INDEX('Per Line'!$G$2:$G$3001,$AD276))</f>
        <v/>
      </c>
      <c r="H276">
        <f>IF($AD276="","",INDEX('Per Line'!$J$2:$J$3001,$AD276)&amp;"")</f>
        <v/>
      </c>
      <c r="I276">
        <f>IF($AD276="","",INDEX('Per Line'!$H$2:$H$3001,$AD276)&amp;"")</f>
        <v/>
      </c>
      <c r="J276">
        <f>IF($AD276="","",INDEX('Per Line'!$F$2:$F$3001,$AD276)&amp;"")</f>
        <v/>
      </c>
      <c r="K276">
        <f>IF($AD276="","",INDEX('Per Line'!$K$2:$K$3001,$AD276)&amp;"")</f>
        <v/>
      </c>
      <c r="L276">
        <f>IF($AD276="","",INDEX('Per Line'!$L$2:$L$3001,$AD276)&amp;"")</f>
        <v/>
      </c>
      <c r="M276">
        <f>IF($AD276="","",INDEX('Per Line'!$M$2:$M$3001,$AD276)&amp;"")</f>
        <v/>
      </c>
      <c r="N276">
        <f>IF($AD276="","",INDEX('Per Line'!$AC$2:$AC$3001,$AD276)&amp;"")</f>
        <v/>
      </c>
      <c r="O276">
        <f>IF($AD276="","",INDEX('Per Line'!$P$2:$P$3001,$AD276))</f>
        <v/>
      </c>
      <c r="P276" s="7">
        <f>IF($AD276="","",IF(AND(ISNUMBER(Q276),Q276&gt;0,AB276&gt;Q276),O276*Q276/100+(AB276-Q276),O276*AB276/100))</f>
        <v/>
      </c>
      <c r="Q276">
        <f>IF($AD276="","",INDEX('Per Line'!$AG$2:$AG$3001,$AD276))</f>
        <v/>
      </c>
      <c r="R276">
        <f>IF($AD276="","",IF(AND(ISNUMBER(Q276),Q276&gt;0),AB276&gt;Q276,FALSE))</f>
        <v/>
      </c>
      <c r="S276" s="7">
        <f>IF($AD276="","",SUMIFS('Per Line'!$AB$2:$AB$3001,'Per Line'!$E$2:$E$3001,$B276,'Per Line'!$AQ$2:$AQ$3001,1))</f>
        <v/>
      </c>
      <c r="T276">
        <f>IF($AD276="","",Settings!$C$7)</f>
        <v/>
      </c>
      <c r="U276" s="7">
        <f>IF($AD276="","",SUMIFS('Per Line'!$AB$2:$AB$3001,'Per Line'!$E$2:$E$3001,$B276,'Per Line'!$AP$2:$AP$3001,0,'Per Line'!$AQ$2:$AQ$3001,0))</f>
        <v/>
      </c>
      <c r="V276" s="7">
        <f>IF($AD276="","",U276*T276)</f>
        <v/>
      </c>
      <c r="W276">
        <f>IF($AD276="","",Settings!$C$6)</f>
        <v/>
      </c>
      <c r="X276" s="7">
        <f>IF($AD276="","",SUMIFS('Per Line'!$AB$2:$AB$3001,'Per Line'!$E$2:$E$3001,$B276,'Per Line'!$AP$2:$AP$3001,1,'Per Line'!$AQ$2:$AQ$3001,0))</f>
        <v/>
      </c>
      <c r="Y276" s="7">
        <f>IF($AD276="","",X276*W276)</f>
        <v/>
      </c>
      <c r="Z276" s="7">
        <f>IF($AD276="","",Y276+V276)</f>
        <v/>
      </c>
      <c r="AA276" s="7">
        <f>IF($AD276="","",AB276-Z276)</f>
        <v/>
      </c>
      <c r="AB276" s="7">
        <f>IF($AD276="","",U276+X276+S276)</f>
        <v/>
      </c>
      <c r="AC276" s="7">
        <f>IF($AD276="","",AB276-Z276-P276)</f>
        <v/>
      </c>
      <c r="AD276" s="13">
        <f>IF(ROWS($AD$2:$AD276)&lt;=MAX('Per Line'!$AO$2:$AO$3001),MATCH(ROWS($AD$2:$AD276),'Per Line'!$AO$2:$AO$3001,0),"")</f>
        <v/>
      </c>
      <c r="AE276" s="14">
        <f>IF($AD276="","",P276-O276*AB276/100)</f>
        <v/>
      </c>
    </row>
    <row r="277">
      <c r="A277" s="12" t="n"/>
      <c r="B277">
        <f>IF($AD277="","",INDEX('Per Line'!$E$2:$E$3001,$AD277)&amp;"")</f>
        <v/>
      </c>
      <c r="C277">
        <f>IF($AD277="","",INDEX('Per Line'!$A$2:$A$3001,$AD277)&amp;"")</f>
        <v/>
      </c>
      <c r="D277">
        <f>IF($AD277="","",INDEX('Per Line'!$C$2:$C$3001,$AD277)&amp;"")</f>
        <v/>
      </c>
      <c r="E277">
        <f>IF($AD277="","",INDEX('Per Line'!$B$2:$B$3001,$AD277))</f>
        <v/>
      </c>
      <c r="F277">
        <f>IF($AD277="","",INDEX('Per Line'!$D$2:$D$3001,$AD277)&amp;"")</f>
        <v/>
      </c>
      <c r="G277" s="11">
        <f>IF($AD277="","",INDEX('Per Line'!$G$2:$G$3001,$AD277))</f>
        <v/>
      </c>
      <c r="H277">
        <f>IF($AD277="","",INDEX('Per Line'!$J$2:$J$3001,$AD277)&amp;"")</f>
        <v/>
      </c>
      <c r="I277">
        <f>IF($AD277="","",INDEX('Per Line'!$H$2:$H$3001,$AD277)&amp;"")</f>
        <v/>
      </c>
      <c r="J277">
        <f>IF($AD277="","",INDEX('Per Line'!$F$2:$F$3001,$AD277)&amp;"")</f>
        <v/>
      </c>
      <c r="K277">
        <f>IF($AD277="","",INDEX('Per Line'!$K$2:$K$3001,$AD277)&amp;"")</f>
        <v/>
      </c>
      <c r="L277">
        <f>IF($AD277="","",INDEX('Per Line'!$L$2:$L$3001,$AD277)&amp;"")</f>
        <v/>
      </c>
      <c r="M277">
        <f>IF($AD277="","",INDEX('Per Line'!$M$2:$M$3001,$AD277)&amp;"")</f>
        <v/>
      </c>
      <c r="N277">
        <f>IF($AD277="","",INDEX('Per Line'!$AC$2:$AC$3001,$AD277)&amp;"")</f>
        <v/>
      </c>
      <c r="O277">
        <f>IF($AD277="","",INDEX('Per Line'!$P$2:$P$3001,$AD277))</f>
        <v/>
      </c>
      <c r="P277" s="7">
        <f>IF($AD277="","",IF(AND(ISNUMBER(Q277),Q277&gt;0,AB277&gt;Q277),O277*Q277/100+(AB277-Q277),O277*AB277/100))</f>
        <v/>
      </c>
      <c r="Q277">
        <f>IF($AD277="","",INDEX('Per Line'!$AG$2:$AG$3001,$AD277))</f>
        <v/>
      </c>
      <c r="R277">
        <f>IF($AD277="","",IF(AND(ISNUMBER(Q277),Q277&gt;0),AB277&gt;Q277,FALSE))</f>
        <v/>
      </c>
      <c r="S277" s="7">
        <f>IF($AD277="","",SUMIFS('Per Line'!$AB$2:$AB$3001,'Per Line'!$E$2:$E$3001,$B277,'Per Line'!$AQ$2:$AQ$3001,1))</f>
        <v/>
      </c>
      <c r="T277">
        <f>IF($AD277="","",Settings!$C$7)</f>
        <v/>
      </c>
      <c r="U277" s="7">
        <f>IF($AD277="","",SUMIFS('Per Line'!$AB$2:$AB$3001,'Per Line'!$E$2:$E$3001,$B277,'Per Line'!$AP$2:$AP$3001,0,'Per Line'!$AQ$2:$AQ$3001,0))</f>
        <v/>
      </c>
      <c r="V277" s="7">
        <f>IF($AD277="","",U277*T277)</f>
        <v/>
      </c>
      <c r="W277">
        <f>IF($AD277="","",Settings!$C$6)</f>
        <v/>
      </c>
      <c r="X277" s="7">
        <f>IF($AD277="","",SUMIFS('Per Line'!$AB$2:$AB$3001,'Per Line'!$E$2:$E$3001,$B277,'Per Line'!$AP$2:$AP$3001,1,'Per Line'!$AQ$2:$AQ$3001,0))</f>
        <v/>
      </c>
      <c r="Y277" s="7">
        <f>IF($AD277="","",X277*W277)</f>
        <v/>
      </c>
      <c r="Z277" s="7">
        <f>IF($AD277="","",Y277+V277)</f>
        <v/>
      </c>
      <c r="AA277" s="7">
        <f>IF($AD277="","",AB277-Z277)</f>
        <v/>
      </c>
      <c r="AB277" s="7">
        <f>IF($AD277="","",U277+X277+S277)</f>
        <v/>
      </c>
      <c r="AC277" s="7">
        <f>IF($AD277="","",AB277-Z277-P277)</f>
        <v/>
      </c>
      <c r="AD277" s="13">
        <f>IF(ROWS($AD$2:$AD277)&lt;=MAX('Per Line'!$AO$2:$AO$3001),MATCH(ROWS($AD$2:$AD277),'Per Line'!$AO$2:$AO$3001,0),"")</f>
        <v/>
      </c>
      <c r="AE277" s="14">
        <f>IF($AD277="","",P277-O277*AB277/100)</f>
        <v/>
      </c>
    </row>
    <row r="278">
      <c r="A278" s="12" t="n"/>
      <c r="B278">
        <f>IF($AD278="","",INDEX('Per Line'!$E$2:$E$3001,$AD278)&amp;"")</f>
        <v/>
      </c>
      <c r="C278">
        <f>IF($AD278="","",INDEX('Per Line'!$A$2:$A$3001,$AD278)&amp;"")</f>
        <v/>
      </c>
      <c r="D278">
        <f>IF($AD278="","",INDEX('Per Line'!$C$2:$C$3001,$AD278)&amp;"")</f>
        <v/>
      </c>
      <c r="E278">
        <f>IF($AD278="","",INDEX('Per Line'!$B$2:$B$3001,$AD278))</f>
        <v/>
      </c>
      <c r="F278">
        <f>IF($AD278="","",INDEX('Per Line'!$D$2:$D$3001,$AD278)&amp;"")</f>
        <v/>
      </c>
      <c r="G278" s="11">
        <f>IF($AD278="","",INDEX('Per Line'!$G$2:$G$3001,$AD278))</f>
        <v/>
      </c>
      <c r="H278">
        <f>IF($AD278="","",INDEX('Per Line'!$J$2:$J$3001,$AD278)&amp;"")</f>
        <v/>
      </c>
      <c r="I278">
        <f>IF($AD278="","",INDEX('Per Line'!$H$2:$H$3001,$AD278)&amp;"")</f>
        <v/>
      </c>
      <c r="J278">
        <f>IF($AD278="","",INDEX('Per Line'!$F$2:$F$3001,$AD278)&amp;"")</f>
        <v/>
      </c>
      <c r="K278">
        <f>IF($AD278="","",INDEX('Per Line'!$K$2:$K$3001,$AD278)&amp;"")</f>
        <v/>
      </c>
      <c r="L278">
        <f>IF($AD278="","",INDEX('Per Line'!$L$2:$L$3001,$AD278)&amp;"")</f>
        <v/>
      </c>
      <c r="M278">
        <f>IF($AD278="","",INDEX('Per Line'!$M$2:$M$3001,$AD278)&amp;"")</f>
        <v/>
      </c>
      <c r="N278">
        <f>IF($AD278="","",INDEX('Per Line'!$AC$2:$AC$3001,$AD278)&amp;"")</f>
        <v/>
      </c>
      <c r="O278">
        <f>IF($AD278="","",INDEX('Per Line'!$P$2:$P$3001,$AD278))</f>
        <v/>
      </c>
      <c r="P278" s="7">
        <f>IF($AD278="","",IF(AND(ISNUMBER(Q278),Q278&gt;0,AB278&gt;Q278),O278*Q278/100+(AB278-Q278),O278*AB278/100))</f>
        <v/>
      </c>
      <c r="Q278">
        <f>IF($AD278="","",INDEX('Per Line'!$AG$2:$AG$3001,$AD278))</f>
        <v/>
      </c>
      <c r="R278">
        <f>IF($AD278="","",IF(AND(ISNUMBER(Q278),Q278&gt;0),AB278&gt;Q278,FALSE))</f>
        <v/>
      </c>
      <c r="S278" s="7">
        <f>IF($AD278="","",SUMIFS('Per Line'!$AB$2:$AB$3001,'Per Line'!$E$2:$E$3001,$B278,'Per Line'!$AQ$2:$AQ$3001,1))</f>
        <v/>
      </c>
      <c r="T278">
        <f>IF($AD278="","",Settings!$C$7)</f>
        <v/>
      </c>
      <c r="U278" s="7">
        <f>IF($AD278="","",SUMIFS('Per Line'!$AB$2:$AB$3001,'Per Line'!$E$2:$E$3001,$B278,'Per Line'!$AP$2:$AP$3001,0,'Per Line'!$AQ$2:$AQ$3001,0))</f>
        <v/>
      </c>
      <c r="V278" s="7">
        <f>IF($AD278="","",U278*T278)</f>
        <v/>
      </c>
      <c r="W278">
        <f>IF($AD278="","",Settings!$C$6)</f>
        <v/>
      </c>
      <c r="X278" s="7">
        <f>IF($AD278="","",SUMIFS('Per Line'!$AB$2:$AB$3001,'Per Line'!$E$2:$E$3001,$B278,'Per Line'!$AP$2:$AP$3001,1,'Per Line'!$AQ$2:$AQ$3001,0))</f>
        <v/>
      </c>
      <c r="Y278" s="7">
        <f>IF($AD278="","",X278*W278)</f>
        <v/>
      </c>
      <c r="Z278" s="7">
        <f>IF($AD278="","",Y278+V278)</f>
        <v/>
      </c>
      <c r="AA278" s="7">
        <f>IF($AD278="","",AB278-Z278)</f>
        <v/>
      </c>
      <c r="AB278" s="7">
        <f>IF($AD278="","",U278+X278+S278)</f>
        <v/>
      </c>
      <c r="AC278" s="7">
        <f>IF($AD278="","",AB278-Z278-P278)</f>
        <v/>
      </c>
      <c r="AD278" s="13">
        <f>IF(ROWS($AD$2:$AD278)&lt;=MAX('Per Line'!$AO$2:$AO$3001),MATCH(ROWS($AD$2:$AD278),'Per Line'!$AO$2:$AO$3001,0),"")</f>
        <v/>
      </c>
      <c r="AE278" s="14">
        <f>IF($AD278="","",P278-O278*AB278/100)</f>
        <v/>
      </c>
    </row>
    <row r="279">
      <c r="A279" s="12" t="n"/>
      <c r="B279">
        <f>IF($AD279="","",INDEX('Per Line'!$E$2:$E$3001,$AD279)&amp;"")</f>
        <v/>
      </c>
      <c r="C279">
        <f>IF($AD279="","",INDEX('Per Line'!$A$2:$A$3001,$AD279)&amp;"")</f>
        <v/>
      </c>
      <c r="D279">
        <f>IF($AD279="","",INDEX('Per Line'!$C$2:$C$3001,$AD279)&amp;"")</f>
        <v/>
      </c>
      <c r="E279">
        <f>IF($AD279="","",INDEX('Per Line'!$B$2:$B$3001,$AD279))</f>
        <v/>
      </c>
      <c r="F279">
        <f>IF($AD279="","",INDEX('Per Line'!$D$2:$D$3001,$AD279)&amp;"")</f>
        <v/>
      </c>
      <c r="G279" s="11">
        <f>IF($AD279="","",INDEX('Per Line'!$G$2:$G$3001,$AD279))</f>
        <v/>
      </c>
      <c r="H279">
        <f>IF($AD279="","",INDEX('Per Line'!$J$2:$J$3001,$AD279)&amp;"")</f>
        <v/>
      </c>
      <c r="I279">
        <f>IF($AD279="","",INDEX('Per Line'!$H$2:$H$3001,$AD279)&amp;"")</f>
        <v/>
      </c>
      <c r="J279">
        <f>IF($AD279="","",INDEX('Per Line'!$F$2:$F$3001,$AD279)&amp;"")</f>
        <v/>
      </c>
      <c r="K279">
        <f>IF($AD279="","",INDEX('Per Line'!$K$2:$K$3001,$AD279)&amp;"")</f>
        <v/>
      </c>
      <c r="L279">
        <f>IF($AD279="","",INDEX('Per Line'!$L$2:$L$3001,$AD279)&amp;"")</f>
        <v/>
      </c>
      <c r="M279">
        <f>IF($AD279="","",INDEX('Per Line'!$M$2:$M$3001,$AD279)&amp;"")</f>
        <v/>
      </c>
      <c r="N279">
        <f>IF($AD279="","",INDEX('Per Line'!$AC$2:$AC$3001,$AD279)&amp;"")</f>
        <v/>
      </c>
      <c r="O279">
        <f>IF($AD279="","",INDEX('Per Line'!$P$2:$P$3001,$AD279))</f>
        <v/>
      </c>
      <c r="P279" s="7">
        <f>IF($AD279="","",IF(AND(ISNUMBER(Q279),Q279&gt;0,AB279&gt;Q279),O279*Q279/100+(AB279-Q279),O279*AB279/100))</f>
        <v/>
      </c>
      <c r="Q279">
        <f>IF($AD279="","",INDEX('Per Line'!$AG$2:$AG$3001,$AD279))</f>
        <v/>
      </c>
      <c r="R279">
        <f>IF($AD279="","",IF(AND(ISNUMBER(Q279),Q279&gt;0),AB279&gt;Q279,FALSE))</f>
        <v/>
      </c>
      <c r="S279" s="7">
        <f>IF($AD279="","",SUMIFS('Per Line'!$AB$2:$AB$3001,'Per Line'!$E$2:$E$3001,$B279,'Per Line'!$AQ$2:$AQ$3001,1))</f>
        <v/>
      </c>
      <c r="T279">
        <f>IF($AD279="","",Settings!$C$7)</f>
        <v/>
      </c>
      <c r="U279" s="7">
        <f>IF($AD279="","",SUMIFS('Per Line'!$AB$2:$AB$3001,'Per Line'!$E$2:$E$3001,$B279,'Per Line'!$AP$2:$AP$3001,0,'Per Line'!$AQ$2:$AQ$3001,0))</f>
        <v/>
      </c>
      <c r="V279" s="7">
        <f>IF($AD279="","",U279*T279)</f>
        <v/>
      </c>
      <c r="W279">
        <f>IF($AD279="","",Settings!$C$6)</f>
        <v/>
      </c>
      <c r="X279" s="7">
        <f>IF($AD279="","",SUMIFS('Per Line'!$AB$2:$AB$3001,'Per Line'!$E$2:$E$3001,$B279,'Per Line'!$AP$2:$AP$3001,1,'Per Line'!$AQ$2:$AQ$3001,0))</f>
        <v/>
      </c>
      <c r="Y279" s="7">
        <f>IF($AD279="","",X279*W279)</f>
        <v/>
      </c>
      <c r="Z279" s="7">
        <f>IF($AD279="","",Y279+V279)</f>
        <v/>
      </c>
      <c r="AA279" s="7">
        <f>IF($AD279="","",AB279-Z279)</f>
        <v/>
      </c>
      <c r="AB279" s="7">
        <f>IF($AD279="","",U279+X279+S279)</f>
        <v/>
      </c>
      <c r="AC279" s="7">
        <f>IF($AD279="","",AB279-Z279-P279)</f>
        <v/>
      </c>
      <c r="AD279" s="13">
        <f>IF(ROWS($AD$2:$AD279)&lt;=MAX('Per Line'!$AO$2:$AO$3001),MATCH(ROWS($AD$2:$AD279),'Per Line'!$AO$2:$AO$3001,0),"")</f>
        <v/>
      </c>
      <c r="AE279" s="14">
        <f>IF($AD279="","",P279-O279*AB279/100)</f>
        <v/>
      </c>
    </row>
    <row r="280">
      <c r="A280" s="12" t="n"/>
      <c r="B280">
        <f>IF($AD280="","",INDEX('Per Line'!$E$2:$E$3001,$AD280)&amp;"")</f>
        <v/>
      </c>
      <c r="C280">
        <f>IF($AD280="","",INDEX('Per Line'!$A$2:$A$3001,$AD280)&amp;"")</f>
        <v/>
      </c>
      <c r="D280">
        <f>IF($AD280="","",INDEX('Per Line'!$C$2:$C$3001,$AD280)&amp;"")</f>
        <v/>
      </c>
      <c r="E280">
        <f>IF($AD280="","",INDEX('Per Line'!$B$2:$B$3001,$AD280))</f>
        <v/>
      </c>
      <c r="F280">
        <f>IF($AD280="","",INDEX('Per Line'!$D$2:$D$3001,$AD280)&amp;"")</f>
        <v/>
      </c>
      <c r="G280" s="11">
        <f>IF($AD280="","",INDEX('Per Line'!$G$2:$G$3001,$AD280))</f>
        <v/>
      </c>
      <c r="H280">
        <f>IF($AD280="","",INDEX('Per Line'!$J$2:$J$3001,$AD280)&amp;"")</f>
        <v/>
      </c>
      <c r="I280">
        <f>IF($AD280="","",INDEX('Per Line'!$H$2:$H$3001,$AD280)&amp;"")</f>
        <v/>
      </c>
      <c r="J280">
        <f>IF($AD280="","",INDEX('Per Line'!$F$2:$F$3001,$AD280)&amp;"")</f>
        <v/>
      </c>
      <c r="K280">
        <f>IF($AD280="","",INDEX('Per Line'!$K$2:$K$3001,$AD280)&amp;"")</f>
        <v/>
      </c>
      <c r="L280">
        <f>IF($AD280="","",INDEX('Per Line'!$L$2:$L$3001,$AD280)&amp;"")</f>
        <v/>
      </c>
      <c r="M280">
        <f>IF($AD280="","",INDEX('Per Line'!$M$2:$M$3001,$AD280)&amp;"")</f>
        <v/>
      </c>
      <c r="N280">
        <f>IF($AD280="","",INDEX('Per Line'!$AC$2:$AC$3001,$AD280)&amp;"")</f>
        <v/>
      </c>
      <c r="O280">
        <f>IF($AD280="","",INDEX('Per Line'!$P$2:$P$3001,$AD280))</f>
        <v/>
      </c>
      <c r="P280" s="7">
        <f>IF($AD280="","",IF(AND(ISNUMBER(Q280),Q280&gt;0,AB280&gt;Q280),O280*Q280/100+(AB280-Q280),O280*AB280/100))</f>
        <v/>
      </c>
      <c r="Q280">
        <f>IF($AD280="","",INDEX('Per Line'!$AG$2:$AG$3001,$AD280))</f>
        <v/>
      </c>
      <c r="R280">
        <f>IF($AD280="","",IF(AND(ISNUMBER(Q280),Q280&gt;0),AB280&gt;Q280,FALSE))</f>
        <v/>
      </c>
      <c r="S280" s="7">
        <f>IF($AD280="","",SUMIFS('Per Line'!$AB$2:$AB$3001,'Per Line'!$E$2:$E$3001,$B280,'Per Line'!$AQ$2:$AQ$3001,1))</f>
        <v/>
      </c>
      <c r="T280">
        <f>IF($AD280="","",Settings!$C$7)</f>
        <v/>
      </c>
      <c r="U280" s="7">
        <f>IF($AD280="","",SUMIFS('Per Line'!$AB$2:$AB$3001,'Per Line'!$E$2:$E$3001,$B280,'Per Line'!$AP$2:$AP$3001,0,'Per Line'!$AQ$2:$AQ$3001,0))</f>
        <v/>
      </c>
      <c r="V280" s="7">
        <f>IF($AD280="","",U280*T280)</f>
        <v/>
      </c>
      <c r="W280">
        <f>IF($AD280="","",Settings!$C$6)</f>
        <v/>
      </c>
      <c r="X280" s="7">
        <f>IF($AD280="","",SUMIFS('Per Line'!$AB$2:$AB$3001,'Per Line'!$E$2:$E$3001,$B280,'Per Line'!$AP$2:$AP$3001,1,'Per Line'!$AQ$2:$AQ$3001,0))</f>
        <v/>
      </c>
      <c r="Y280" s="7">
        <f>IF($AD280="","",X280*W280)</f>
        <v/>
      </c>
      <c r="Z280" s="7">
        <f>IF($AD280="","",Y280+V280)</f>
        <v/>
      </c>
      <c r="AA280" s="7">
        <f>IF($AD280="","",AB280-Z280)</f>
        <v/>
      </c>
      <c r="AB280" s="7">
        <f>IF($AD280="","",U280+X280+S280)</f>
        <v/>
      </c>
      <c r="AC280" s="7">
        <f>IF($AD280="","",AB280-Z280-P280)</f>
        <v/>
      </c>
      <c r="AD280" s="13">
        <f>IF(ROWS($AD$2:$AD280)&lt;=MAX('Per Line'!$AO$2:$AO$3001),MATCH(ROWS($AD$2:$AD280),'Per Line'!$AO$2:$AO$3001,0),"")</f>
        <v/>
      </c>
      <c r="AE280" s="14">
        <f>IF($AD280="","",P280-O280*AB280/100)</f>
        <v/>
      </c>
    </row>
    <row r="281">
      <c r="A281" s="12" t="n"/>
      <c r="B281">
        <f>IF($AD281="","",INDEX('Per Line'!$E$2:$E$3001,$AD281)&amp;"")</f>
        <v/>
      </c>
      <c r="C281">
        <f>IF($AD281="","",INDEX('Per Line'!$A$2:$A$3001,$AD281)&amp;"")</f>
        <v/>
      </c>
      <c r="D281">
        <f>IF($AD281="","",INDEX('Per Line'!$C$2:$C$3001,$AD281)&amp;"")</f>
        <v/>
      </c>
      <c r="E281">
        <f>IF($AD281="","",INDEX('Per Line'!$B$2:$B$3001,$AD281))</f>
        <v/>
      </c>
      <c r="F281">
        <f>IF($AD281="","",INDEX('Per Line'!$D$2:$D$3001,$AD281)&amp;"")</f>
        <v/>
      </c>
      <c r="G281" s="11">
        <f>IF($AD281="","",INDEX('Per Line'!$G$2:$G$3001,$AD281))</f>
        <v/>
      </c>
      <c r="H281">
        <f>IF($AD281="","",INDEX('Per Line'!$J$2:$J$3001,$AD281)&amp;"")</f>
        <v/>
      </c>
      <c r="I281">
        <f>IF($AD281="","",INDEX('Per Line'!$H$2:$H$3001,$AD281)&amp;"")</f>
        <v/>
      </c>
      <c r="J281">
        <f>IF($AD281="","",INDEX('Per Line'!$F$2:$F$3001,$AD281)&amp;"")</f>
        <v/>
      </c>
      <c r="K281">
        <f>IF($AD281="","",INDEX('Per Line'!$K$2:$K$3001,$AD281)&amp;"")</f>
        <v/>
      </c>
      <c r="L281">
        <f>IF($AD281="","",INDEX('Per Line'!$L$2:$L$3001,$AD281)&amp;"")</f>
        <v/>
      </c>
      <c r="M281">
        <f>IF($AD281="","",INDEX('Per Line'!$M$2:$M$3001,$AD281)&amp;"")</f>
        <v/>
      </c>
      <c r="N281">
        <f>IF($AD281="","",INDEX('Per Line'!$AC$2:$AC$3001,$AD281)&amp;"")</f>
        <v/>
      </c>
      <c r="O281">
        <f>IF($AD281="","",INDEX('Per Line'!$P$2:$P$3001,$AD281))</f>
        <v/>
      </c>
      <c r="P281" s="7">
        <f>IF($AD281="","",IF(AND(ISNUMBER(Q281),Q281&gt;0,AB281&gt;Q281),O281*Q281/100+(AB281-Q281),O281*AB281/100))</f>
        <v/>
      </c>
      <c r="Q281">
        <f>IF($AD281="","",INDEX('Per Line'!$AG$2:$AG$3001,$AD281))</f>
        <v/>
      </c>
      <c r="R281">
        <f>IF($AD281="","",IF(AND(ISNUMBER(Q281),Q281&gt;0),AB281&gt;Q281,FALSE))</f>
        <v/>
      </c>
      <c r="S281" s="7">
        <f>IF($AD281="","",SUMIFS('Per Line'!$AB$2:$AB$3001,'Per Line'!$E$2:$E$3001,$B281,'Per Line'!$AQ$2:$AQ$3001,1))</f>
        <v/>
      </c>
      <c r="T281">
        <f>IF($AD281="","",Settings!$C$7)</f>
        <v/>
      </c>
      <c r="U281" s="7">
        <f>IF($AD281="","",SUMIFS('Per Line'!$AB$2:$AB$3001,'Per Line'!$E$2:$E$3001,$B281,'Per Line'!$AP$2:$AP$3001,0,'Per Line'!$AQ$2:$AQ$3001,0))</f>
        <v/>
      </c>
      <c r="V281" s="7">
        <f>IF($AD281="","",U281*T281)</f>
        <v/>
      </c>
      <c r="W281">
        <f>IF($AD281="","",Settings!$C$6)</f>
        <v/>
      </c>
      <c r="X281" s="7">
        <f>IF($AD281="","",SUMIFS('Per Line'!$AB$2:$AB$3001,'Per Line'!$E$2:$E$3001,$B281,'Per Line'!$AP$2:$AP$3001,1,'Per Line'!$AQ$2:$AQ$3001,0))</f>
        <v/>
      </c>
      <c r="Y281" s="7">
        <f>IF($AD281="","",X281*W281)</f>
        <v/>
      </c>
      <c r="Z281" s="7">
        <f>IF($AD281="","",Y281+V281)</f>
        <v/>
      </c>
      <c r="AA281" s="7">
        <f>IF($AD281="","",AB281-Z281)</f>
        <v/>
      </c>
      <c r="AB281" s="7">
        <f>IF($AD281="","",U281+X281+S281)</f>
        <v/>
      </c>
      <c r="AC281" s="7">
        <f>IF($AD281="","",AB281-Z281-P281)</f>
        <v/>
      </c>
      <c r="AD281" s="13">
        <f>IF(ROWS($AD$2:$AD281)&lt;=MAX('Per Line'!$AO$2:$AO$3001),MATCH(ROWS($AD$2:$AD281),'Per Line'!$AO$2:$AO$3001,0),"")</f>
        <v/>
      </c>
      <c r="AE281" s="14">
        <f>IF($AD281="","",P281-O281*AB281/100)</f>
        <v/>
      </c>
    </row>
    <row r="282">
      <c r="A282" s="12" t="n"/>
      <c r="B282">
        <f>IF($AD282="","",INDEX('Per Line'!$E$2:$E$3001,$AD282)&amp;"")</f>
        <v/>
      </c>
      <c r="C282">
        <f>IF($AD282="","",INDEX('Per Line'!$A$2:$A$3001,$AD282)&amp;"")</f>
        <v/>
      </c>
      <c r="D282">
        <f>IF($AD282="","",INDEX('Per Line'!$C$2:$C$3001,$AD282)&amp;"")</f>
        <v/>
      </c>
      <c r="E282">
        <f>IF($AD282="","",INDEX('Per Line'!$B$2:$B$3001,$AD282))</f>
        <v/>
      </c>
      <c r="F282">
        <f>IF($AD282="","",INDEX('Per Line'!$D$2:$D$3001,$AD282)&amp;"")</f>
        <v/>
      </c>
      <c r="G282" s="11">
        <f>IF($AD282="","",INDEX('Per Line'!$G$2:$G$3001,$AD282))</f>
        <v/>
      </c>
      <c r="H282">
        <f>IF($AD282="","",INDEX('Per Line'!$J$2:$J$3001,$AD282)&amp;"")</f>
        <v/>
      </c>
      <c r="I282">
        <f>IF($AD282="","",INDEX('Per Line'!$H$2:$H$3001,$AD282)&amp;"")</f>
        <v/>
      </c>
      <c r="J282">
        <f>IF($AD282="","",INDEX('Per Line'!$F$2:$F$3001,$AD282)&amp;"")</f>
        <v/>
      </c>
      <c r="K282">
        <f>IF($AD282="","",INDEX('Per Line'!$K$2:$K$3001,$AD282)&amp;"")</f>
        <v/>
      </c>
      <c r="L282">
        <f>IF($AD282="","",INDEX('Per Line'!$L$2:$L$3001,$AD282)&amp;"")</f>
        <v/>
      </c>
      <c r="M282">
        <f>IF($AD282="","",INDEX('Per Line'!$M$2:$M$3001,$AD282)&amp;"")</f>
        <v/>
      </c>
      <c r="N282">
        <f>IF($AD282="","",INDEX('Per Line'!$AC$2:$AC$3001,$AD282)&amp;"")</f>
        <v/>
      </c>
      <c r="O282">
        <f>IF($AD282="","",INDEX('Per Line'!$P$2:$P$3001,$AD282))</f>
        <v/>
      </c>
      <c r="P282" s="7">
        <f>IF($AD282="","",IF(AND(ISNUMBER(Q282),Q282&gt;0,AB282&gt;Q282),O282*Q282/100+(AB282-Q282),O282*AB282/100))</f>
        <v/>
      </c>
      <c r="Q282">
        <f>IF($AD282="","",INDEX('Per Line'!$AG$2:$AG$3001,$AD282))</f>
        <v/>
      </c>
      <c r="R282">
        <f>IF($AD282="","",IF(AND(ISNUMBER(Q282),Q282&gt;0),AB282&gt;Q282,FALSE))</f>
        <v/>
      </c>
      <c r="S282" s="7">
        <f>IF($AD282="","",SUMIFS('Per Line'!$AB$2:$AB$3001,'Per Line'!$E$2:$E$3001,$B282,'Per Line'!$AQ$2:$AQ$3001,1))</f>
        <v/>
      </c>
      <c r="T282">
        <f>IF($AD282="","",Settings!$C$7)</f>
        <v/>
      </c>
      <c r="U282" s="7">
        <f>IF($AD282="","",SUMIFS('Per Line'!$AB$2:$AB$3001,'Per Line'!$E$2:$E$3001,$B282,'Per Line'!$AP$2:$AP$3001,0,'Per Line'!$AQ$2:$AQ$3001,0))</f>
        <v/>
      </c>
      <c r="V282" s="7">
        <f>IF($AD282="","",U282*T282)</f>
        <v/>
      </c>
      <c r="W282">
        <f>IF($AD282="","",Settings!$C$6)</f>
        <v/>
      </c>
      <c r="X282" s="7">
        <f>IF($AD282="","",SUMIFS('Per Line'!$AB$2:$AB$3001,'Per Line'!$E$2:$E$3001,$B282,'Per Line'!$AP$2:$AP$3001,1,'Per Line'!$AQ$2:$AQ$3001,0))</f>
        <v/>
      </c>
      <c r="Y282" s="7">
        <f>IF($AD282="","",X282*W282)</f>
        <v/>
      </c>
      <c r="Z282" s="7">
        <f>IF($AD282="","",Y282+V282)</f>
        <v/>
      </c>
      <c r="AA282" s="7">
        <f>IF($AD282="","",AB282-Z282)</f>
        <v/>
      </c>
      <c r="AB282" s="7">
        <f>IF($AD282="","",U282+X282+S282)</f>
        <v/>
      </c>
      <c r="AC282" s="7">
        <f>IF($AD282="","",AB282-Z282-P282)</f>
        <v/>
      </c>
      <c r="AD282" s="13">
        <f>IF(ROWS($AD$2:$AD282)&lt;=MAX('Per Line'!$AO$2:$AO$3001),MATCH(ROWS($AD$2:$AD282),'Per Line'!$AO$2:$AO$3001,0),"")</f>
        <v/>
      </c>
      <c r="AE282" s="14">
        <f>IF($AD282="","",P282-O282*AB282/100)</f>
        <v/>
      </c>
    </row>
    <row r="283">
      <c r="A283" s="12" t="n"/>
      <c r="B283">
        <f>IF($AD283="","",INDEX('Per Line'!$E$2:$E$3001,$AD283)&amp;"")</f>
        <v/>
      </c>
      <c r="C283">
        <f>IF($AD283="","",INDEX('Per Line'!$A$2:$A$3001,$AD283)&amp;"")</f>
        <v/>
      </c>
      <c r="D283">
        <f>IF($AD283="","",INDEX('Per Line'!$C$2:$C$3001,$AD283)&amp;"")</f>
        <v/>
      </c>
      <c r="E283">
        <f>IF($AD283="","",INDEX('Per Line'!$B$2:$B$3001,$AD283))</f>
        <v/>
      </c>
      <c r="F283">
        <f>IF($AD283="","",INDEX('Per Line'!$D$2:$D$3001,$AD283)&amp;"")</f>
        <v/>
      </c>
      <c r="G283" s="11">
        <f>IF($AD283="","",INDEX('Per Line'!$G$2:$G$3001,$AD283))</f>
        <v/>
      </c>
      <c r="H283">
        <f>IF($AD283="","",INDEX('Per Line'!$J$2:$J$3001,$AD283)&amp;"")</f>
        <v/>
      </c>
      <c r="I283">
        <f>IF($AD283="","",INDEX('Per Line'!$H$2:$H$3001,$AD283)&amp;"")</f>
        <v/>
      </c>
      <c r="J283">
        <f>IF($AD283="","",INDEX('Per Line'!$F$2:$F$3001,$AD283)&amp;"")</f>
        <v/>
      </c>
      <c r="K283">
        <f>IF($AD283="","",INDEX('Per Line'!$K$2:$K$3001,$AD283)&amp;"")</f>
        <v/>
      </c>
      <c r="L283">
        <f>IF($AD283="","",INDEX('Per Line'!$L$2:$L$3001,$AD283)&amp;"")</f>
        <v/>
      </c>
      <c r="M283">
        <f>IF($AD283="","",INDEX('Per Line'!$M$2:$M$3001,$AD283)&amp;"")</f>
        <v/>
      </c>
      <c r="N283">
        <f>IF($AD283="","",INDEX('Per Line'!$AC$2:$AC$3001,$AD283)&amp;"")</f>
        <v/>
      </c>
      <c r="O283">
        <f>IF($AD283="","",INDEX('Per Line'!$P$2:$P$3001,$AD283))</f>
        <v/>
      </c>
      <c r="P283" s="7">
        <f>IF($AD283="","",IF(AND(ISNUMBER(Q283),Q283&gt;0,AB283&gt;Q283),O283*Q283/100+(AB283-Q283),O283*AB283/100))</f>
        <v/>
      </c>
      <c r="Q283">
        <f>IF($AD283="","",INDEX('Per Line'!$AG$2:$AG$3001,$AD283))</f>
        <v/>
      </c>
      <c r="R283">
        <f>IF($AD283="","",IF(AND(ISNUMBER(Q283),Q283&gt;0),AB283&gt;Q283,FALSE))</f>
        <v/>
      </c>
      <c r="S283" s="7">
        <f>IF($AD283="","",SUMIFS('Per Line'!$AB$2:$AB$3001,'Per Line'!$E$2:$E$3001,$B283,'Per Line'!$AQ$2:$AQ$3001,1))</f>
        <v/>
      </c>
      <c r="T283">
        <f>IF($AD283="","",Settings!$C$7)</f>
        <v/>
      </c>
      <c r="U283" s="7">
        <f>IF($AD283="","",SUMIFS('Per Line'!$AB$2:$AB$3001,'Per Line'!$E$2:$E$3001,$B283,'Per Line'!$AP$2:$AP$3001,0,'Per Line'!$AQ$2:$AQ$3001,0))</f>
        <v/>
      </c>
      <c r="V283" s="7">
        <f>IF($AD283="","",U283*T283)</f>
        <v/>
      </c>
      <c r="W283">
        <f>IF($AD283="","",Settings!$C$6)</f>
        <v/>
      </c>
      <c r="X283" s="7">
        <f>IF($AD283="","",SUMIFS('Per Line'!$AB$2:$AB$3001,'Per Line'!$E$2:$E$3001,$B283,'Per Line'!$AP$2:$AP$3001,1,'Per Line'!$AQ$2:$AQ$3001,0))</f>
        <v/>
      </c>
      <c r="Y283" s="7">
        <f>IF($AD283="","",X283*W283)</f>
        <v/>
      </c>
      <c r="Z283" s="7">
        <f>IF($AD283="","",Y283+V283)</f>
        <v/>
      </c>
      <c r="AA283" s="7">
        <f>IF($AD283="","",AB283-Z283)</f>
        <v/>
      </c>
      <c r="AB283" s="7">
        <f>IF($AD283="","",U283+X283+S283)</f>
        <v/>
      </c>
      <c r="AC283" s="7">
        <f>IF($AD283="","",AB283-Z283-P283)</f>
        <v/>
      </c>
      <c r="AD283" s="13">
        <f>IF(ROWS($AD$2:$AD283)&lt;=MAX('Per Line'!$AO$2:$AO$3001),MATCH(ROWS($AD$2:$AD283),'Per Line'!$AO$2:$AO$3001,0),"")</f>
        <v/>
      </c>
      <c r="AE283" s="14">
        <f>IF($AD283="","",P283-O283*AB283/100)</f>
        <v/>
      </c>
    </row>
    <row r="284">
      <c r="A284" s="12" t="n"/>
      <c r="B284">
        <f>IF($AD284="","",INDEX('Per Line'!$E$2:$E$3001,$AD284)&amp;"")</f>
        <v/>
      </c>
      <c r="C284">
        <f>IF($AD284="","",INDEX('Per Line'!$A$2:$A$3001,$AD284)&amp;"")</f>
        <v/>
      </c>
      <c r="D284">
        <f>IF($AD284="","",INDEX('Per Line'!$C$2:$C$3001,$AD284)&amp;"")</f>
        <v/>
      </c>
      <c r="E284">
        <f>IF($AD284="","",INDEX('Per Line'!$B$2:$B$3001,$AD284))</f>
        <v/>
      </c>
      <c r="F284">
        <f>IF($AD284="","",INDEX('Per Line'!$D$2:$D$3001,$AD284)&amp;"")</f>
        <v/>
      </c>
      <c r="G284" s="11">
        <f>IF($AD284="","",INDEX('Per Line'!$G$2:$G$3001,$AD284))</f>
        <v/>
      </c>
      <c r="H284">
        <f>IF($AD284="","",INDEX('Per Line'!$J$2:$J$3001,$AD284)&amp;"")</f>
        <v/>
      </c>
      <c r="I284">
        <f>IF($AD284="","",INDEX('Per Line'!$H$2:$H$3001,$AD284)&amp;"")</f>
        <v/>
      </c>
      <c r="J284">
        <f>IF($AD284="","",INDEX('Per Line'!$F$2:$F$3001,$AD284)&amp;"")</f>
        <v/>
      </c>
      <c r="K284">
        <f>IF($AD284="","",INDEX('Per Line'!$K$2:$K$3001,$AD284)&amp;"")</f>
        <v/>
      </c>
      <c r="L284">
        <f>IF($AD284="","",INDEX('Per Line'!$L$2:$L$3001,$AD284)&amp;"")</f>
        <v/>
      </c>
      <c r="M284">
        <f>IF($AD284="","",INDEX('Per Line'!$M$2:$M$3001,$AD284)&amp;"")</f>
        <v/>
      </c>
      <c r="N284">
        <f>IF($AD284="","",INDEX('Per Line'!$AC$2:$AC$3001,$AD284)&amp;"")</f>
        <v/>
      </c>
      <c r="O284">
        <f>IF($AD284="","",INDEX('Per Line'!$P$2:$P$3001,$AD284))</f>
        <v/>
      </c>
      <c r="P284" s="7">
        <f>IF($AD284="","",IF(AND(ISNUMBER(Q284),Q284&gt;0,AB284&gt;Q284),O284*Q284/100+(AB284-Q284),O284*AB284/100))</f>
        <v/>
      </c>
      <c r="Q284">
        <f>IF($AD284="","",INDEX('Per Line'!$AG$2:$AG$3001,$AD284))</f>
        <v/>
      </c>
      <c r="R284">
        <f>IF($AD284="","",IF(AND(ISNUMBER(Q284),Q284&gt;0),AB284&gt;Q284,FALSE))</f>
        <v/>
      </c>
      <c r="S284" s="7">
        <f>IF($AD284="","",SUMIFS('Per Line'!$AB$2:$AB$3001,'Per Line'!$E$2:$E$3001,$B284,'Per Line'!$AQ$2:$AQ$3001,1))</f>
        <v/>
      </c>
      <c r="T284">
        <f>IF($AD284="","",Settings!$C$7)</f>
        <v/>
      </c>
      <c r="U284" s="7">
        <f>IF($AD284="","",SUMIFS('Per Line'!$AB$2:$AB$3001,'Per Line'!$E$2:$E$3001,$B284,'Per Line'!$AP$2:$AP$3001,0,'Per Line'!$AQ$2:$AQ$3001,0))</f>
        <v/>
      </c>
      <c r="V284" s="7">
        <f>IF($AD284="","",U284*T284)</f>
        <v/>
      </c>
      <c r="W284">
        <f>IF($AD284="","",Settings!$C$6)</f>
        <v/>
      </c>
      <c r="X284" s="7">
        <f>IF($AD284="","",SUMIFS('Per Line'!$AB$2:$AB$3001,'Per Line'!$E$2:$E$3001,$B284,'Per Line'!$AP$2:$AP$3001,1,'Per Line'!$AQ$2:$AQ$3001,0))</f>
        <v/>
      </c>
      <c r="Y284" s="7">
        <f>IF($AD284="","",X284*W284)</f>
        <v/>
      </c>
      <c r="Z284" s="7">
        <f>IF($AD284="","",Y284+V284)</f>
        <v/>
      </c>
      <c r="AA284" s="7">
        <f>IF($AD284="","",AB284-Z284)</f>
        <v/>
      </c>
      <c r="AB284" s="7">
        <f>IF($AD284="","",U284+X284+S284)</f>
        <v/>
      </c>
      <c r="AC284" s="7">
        <f>IF($AD284="","",AB284-Z284-P284)</f>
        <v/>
      </c>
      <c r="AD284" s="13">
        <f>IF(ROWS($AD$2:$AD284)&lt;=MAX('Per Line'!$AO$2:$AO$3001),MATCH(ROWS($AD$2:$AD284),'Per Line'!$AO$2:$AO$3001,0),"")</f>
        <v/>
      </c>
      <c r="AE284" s="14">
        <f>IF($AD284="","",P284-O284*AB284/100)</f>
        <v/>
      </c>
    </row>
    <row r="285">
      <c r="A285" s="12" t="n"/>
      <c r="B285">
        <f>IF($AD285="","",INDEX('Per Line'!$E$2:$E$3001,$AD285)&amp;"")</f>
        <v/>
      </c>
      <c r="C285">
        <f>IF($AD285="","",INDEX('Per Line'!$A$2:$A$3001,$AD285)&amp;"")</f>
        <v/>
      </c>
      <c r="D285">
        <f>IF($AD285="","",INDEX('Per Line'!$C$2:$C$3001,$AD285)&amp;"")</f>
        <v/>
      </c>
      <c r="E285">
        <f>IF($AD285="","",INDEX('Per Line'!$B$2:$B$3001,$AD285))</f>
        <v/>
      </c>
      <c r="F285">
        <f>IF($AD285="","",INDEX('Per Line'!$D$2:$D$3001,$AD285)&amp;"")</f>
        <v/>
      </c>
      <c r="G285" s="11">
        <f>IF($AD285="","",INDEX('Per Line'!$G$2:$G$3001,$AD285))</f>
        <v/>
      </c>
      <c r="H285">
        <f>IF($AD285="","",INDEX('Per Line'!$J$2:$J$3001,$AD285)&amp;"")</f>
        <v/>
      </c>
      <c r="I285">
        <f>IF($AD285="","",INDEX('Per Line'!$H$2:$H$3001,$AD285)&amp;"")</f>
        <v/>
      </c>
      <c r="J285">
        <f>IF($AD285="","",INDEX('Per Line'!$F$2:$F$3001,$AD285)&amp;"")</f>
        <v/>
      </c>
      <c r="K285">
        <f>IF($AD285="","",INDEX('Per Line'!$K$2:$K$3001,$AD285)&amp;"")</f>
        <v/>
      </c>
      <c r="L285">
        <f>IF($AD285="","",INDEX('Per Line'!$L$2:$L$3001,$AD285)&amp;"")</f>
        <v/>
      </c>
      <c r="M285">
        <f>IF($AD285="","",INDEX('Per Line'!$M$2:$M$3001,$AD285)&amp;"")</f>
        <v/>
      </c>
      <c r="N285">
        <f>IF($AD285="","",INDEX('Per Line'!$AC$2:$AC$3001,$AD285)&amp;"")</f>
        <v/>
      </c>
      <c r="O285">
        <f>IF($AD285="","",INDEX('Per Line'!$P$2:$P$3001,$AD285))</f>
        <v/>
      </c>
      <c r="P285" s="7">
        <f>IF($AD285="","",IF(AND(ISNUMBER(Q285),Q285&gt;0,AB285&gt;Q285),O285*Q285/100+(AB285-Q285),O285*AB285/100))</f>
        <v/>
      </c>
      <c r="Q285">
        <f>IF($AD285="","",INDEX('Per Line'!$AG$2:$AG$3001,$AD285))</f>
        <v/>
      </c>
      <c r="R285">
        <f>IF($AD285="","",IF(AND(ISNUMBER(Q285),Q285&gt;0),AB285&gt;Q285,FALSE))</f>
        <v/>
      </c>
      <c r="S285" s="7">
        <f>IF($AD285="","",SUMIFS('Per Line'!$AB$2:$AB$3001,'Per Line'!$E$2:$E$3001,$B285,'Per Line'!$AQ$2:$AQ$3001,1))</f>
        <v/>
      </c>
      <c r="T285">
        <f>IF($AD285="","",Settings!$C$7)</f>
        <v/>
      </c>
      <c r="U285" s="7">
        <f>IF($AD285="","",SUMIFS('Per Line'!$AB$2:$AB$3001,'Per Line'!$E$2:$E$3001,$B285,'Per Line'!$AP$2:$AP$3001,0,'Per Line'!$AQ$2:$AQ$3001,0))</f>
        <v/>
      </c>
      <c r="V285" s="7">
        <f>IF($AD285="","",U285*T285)</f>
        <v/>
      </c>
      <c r="W285">
        <f>IF($AD285="","",Settings!$C$6)</f>
        <v/>
      </c>
      <c r="X285" s="7">
        <f>IF($AD285="","",SUMIFS('Per Line'!$AB$2:$AB$3001,'Per Line'!$E$2:$E$3001,$B285,'Per Line'!$AP$2:$AP$3001,1,'Per Line'!$AQ$2:$AQ$3001,0))</f>
        <v/>
      </c>
      <c r="Y285" s="7">
        <f>IF($AD285="","",X285*W285)</f>
        <v/>
      </c>
      <c r="Z285" s="7">
        <f>IF($AD285="","",Y285+V285)</f>
        <v/>
      </c>
      <c r="AA285" s="7">
        <f>IF($AD285="","",AB285-Z285)</f>
        <v/>
      </c>
      <c r="AB285" s="7">
        <f>IF($AD285="","",U285+X285+S285)</f>
        <v/>
      </c>
      <c r="AC285" s="7">
        <f>IF($AD285="","",AB285-Z285-P285)</f>
        <v/>
      </c>
      <c r="AD285" s="13">
        <f>IF(ROWS($AD$2:$AD285)&lt;=MAX('Per Line'!$AO$2:$AO$3001),MATCH(ROWS($AD$2:$AD285),'Per Line'!$AO$2:$AO$3001,0),"")</f>
        <v/>
      </c>
      <c r="AE285" s="14">
        <f>IF($AD285="","",P285-O285*AB285/100)</f>
        <v/>
      </c>
    </row>
    <row r="286">
      <c r="A286" s="12" t="n"/>
      <c r="B286">
        <f>IF($AD286="","",INDEX('Per Line'!$E$2:$E$3001,$AD286)&amp;"")</f>
        <v/>
      </c>
      <c r="C286">
        <f>IF($AD286="","",INDEX('Per Line'!$A$2:$A$3001,$AD286)&amp;"")</f>
        <v/>
      </c>
      <c r="D286">
        <f>IF($AD286="","",INDEX('Per Line'!$C$2:$C$3001,$AD286)&amp;"")</f>
        <v/>
      </c>
      <c r="E286">
        <f>IF($AD286="","",INDEX('Per Line'!$B$2:$B$3001,$AD286))</f>
        <v/>
      </c>
      <c r="F286">
        <f>IF($AD286="","",INDEX('Per Line'!$D$2:$D$3001,$AD286)&amp;"")</f>
        <v/>
      </c>
      <c r="G286" s="11">
        <f>IF($AD286="","",INDEX('Per Line'!$G$2:$G$3001,$AD286))</f>
        <v/>
      </c>
      <c r="H286">
        <f>IF($AD286="","",INDEX('Per Line'!$J$2:$J$3001,$AD286)&amp;"")</f>
        <v/>
      </c>
      <c r="I286">
        <f>IF($AD286="","",INDEX('Per Line'!$H$2:$H$3001,$AD286)&amp;"")</f>
        <v/>
      </c>
      <c r="J286">
        <f>IF($AD286="","",INDEX('Per Line'!$F$2:$F$3001,$AD286)&amp;"")</f>
        <v/>
      </c>
      <c r="K286">
        <f>IF($AD286="","",INDEX('Per Line'!$K$2:$K$3001,$AD286)&amp;"")</f>
        <v/>
      </c>
      <c r="L286">
        <f>IF($AD286="","",INDEX('Per Line'!$L$2:$L$3001,$AD286)&amp;"")</f>
        <v/>
      </c>
      <c r="M286">
        <f>IF($AD286="","",INDEX('Per Line'!$M$2:$M$3001,$AD286)&amp;"")</f>
        <v/>
      </c>
      <c r="N286">
        <f>IF($AD286="","",INDEX('Per Line'!$AC$2:$AC$3001,$AD286)&amp;"")</f>
        <v/>
      </c>
      <c r="O286">
        <f>IF($AD286="","",INDEX('Per Line'!$P$2:$P$3001,$AD286))</f>
        <v/>
      </c>
      <c r="P286" s="7">
        <f>IF($AD286="","",IF(AND(ISNUMBER(Q286),Q286&gt;0,AB286&gt;Q286),O286*Q286/100+(AB286-Q286),O286*AB286/100))</f>
        <v/>
      </c>
      <c r="Q286">
        <f>IF($AD286="","",INDEX('Per Line'!$AG$2:$AG$3001,$AD286))</f>
        <v/>
      </c>
      <c r="R286">
        <f>IF($AD286="","",IF(AND(ISNUMBER(Q286),Q286&gt;0),AB286&gt;Q286,FALSE))</f>
        <v/>
      </c>
      <c r="S286" s="7">
        <f>IF($AD286="","",SUMIFS('Per Line'!$AB$2:$AB$3001,'Per Line'!$E$2:$E$3001,$B286,'Per Line'!$AQ$2:$AQ$3001,1))</f>
        <v/>
      </c>
      <c r="T286">
        <f>IF($AD286="","",Settings!$C$7)</f>
        <v/>
      </c>
      <c r="U286" s="7">
        <f>IF($AD286="","",SUMIFS('Per Line'!$AB$2:$AB$3001,'Per Line'!$E$2:$E$3001,$B286,'Per Line'!$AP$2:$AP$3001,0,'Per Line'!$AQ$2:$AQ$3001,0))</f>
        <v/>
      </c>
      <c r="V286" s="7">
        <f>IF($AD286="","",U286*T286)</f>
        <v/>
      </c>
      <c r="W286">
        <f>IF($AD286="","",Settings!$C$6)</f>
        <v/>
      </c>
      <c r="X286" s="7">
        <f>IF($AD286="","",SUMIFS('Per Line'!$AB$2:$AB$3001,'Per Line'!$E$2:$E$3001,$B286,'Per Line'!$AP$2:$AP$3001,1,'Per Line'!$AQ$2:$AQ$3001,0))</f>
        <v/>
      </c>
      <c r="Y286" s="7">
        <f>IF($AD286="","",X286*W286)</f>
        <v/>
      </c>
      <c r="Z286" s="7">
        <f>IF($AD286="","",Y286+V286)</f>
        <v/>
      </c>
      <c r="AA286" s="7">
        <f>IF($AD286="","",AB286-Z286)</f>
        <v/>
      </c>
      <c r="AB286" s="7">
        <f>IF($AD286="","",U286+X286+S286)</f>
        <v/>
      </c>
      <c r="AC286" s="7">
        <f>IF($AD286="","",AB286-Z286-P286)</f>
        <v/>
      </c>
      <c r="AD286" s="13">
        <f>IF(ROWS($AD$2:$AD286)&lt;=MAX('Per Line'!$AO$2:$AO$3001),MATCH(ROWS($AD$2:$AD286),'Per Line'!$AO$2:$AO$3001,0),"")</f>
        <v/>
      </c>
      <c r="AE286" s="14">
        <f>IF($AD286="","",P286-O286*AB286/100)</f>
        <v/>
      </c>
    </row>
    <row r="287">
      <c r="A287" s="12" t="n"/>
      <c r="B287">
        <f>IF($AD287="","",INDEX('Per Line'!$E$2:$E$3001,$AD287)&amp;"")</f>
        <v/>
      </c>
      <c r="C287">
        <f>IF($AD287="","",INDEX('Per Line'!$A$2:$A$3001,$AD287)&amp;"")</f>
        <v/>
      </c>
      <c r="D287">
        <f>IF($AD287="","",INDEX('Per Line'!$C$2:$C$3001,$AD287)&amp;"")</f>
        <v/>
      </c>
      <c r="E287">
        <f>IF($AD287="","",INDEX('Per Line'!$B$2:$B$3001,$AD287))</f>
        <v/>
      </c>
      <c r="F287">
        <f>IF($AD287="","",INDEX('Per Line'!$D$2:$D$3001,$AD287)&amp;"")</f>
        <v/>
      </c>
      <c r="G287" s="11">
        <f>IF($AD287="","",INDEX('Per Line'!$G$2:$G$3001,$AD287))</f>
        <v/>
      </c>
      <c r="H287">
        <f>IF($AD287="","",INDEX('Per Line'!$J$2:$J$3001,$AD287)&amp;"")</f>
        <v/>
      </c>
      <c r="I287">
        <f>IF($AD287="","",INDEX('Per Line'!$H$2:$H$3001,$AD287)&amp;"")</f>
        <v/>
      </c>
      <c r="J287">
        <f>IF($AD287="","",INDEX('Per Line'!$F$2:$F$3001,$AD287)&amp;"")</f>
        <v/>
      </c>
      <c r="K287">
        <f>IF($AD287="","",INDEX('Per Line'!$K$2:$K$3001,$AD287)&amp;"")</f>
        <v/>
      </c>
      <c r="L287">
        <f>IF($AD287="","",INDEX('Per Line'!$L$2:$L$3001,$AD287)&amp;"")</f>
        <v/>
      </c>
      <c r="M287">
        <f>IF($AD287="","",INDEX('Per Line'!$M$2:$M$3001,$AD287)&amp;"")</f>
        <v/>
      </c>
      <c r="N287">
        <f>IF($AD287="","",INDEX('Per Line'!$AC$2:$AC$3001,$AD287)&amp;"")</f>
        <v/>
      </c>
      <c r="O287">
        <f>IF($AD287="","",INDEX('Per Line'!$P$2:$P$3001,$AD287))</f>
        <v/>
      </c>
      <c r="P287" s="7">
        <f>IF($AD287="","",IF(AND(ISNUMBER(Q287),Q287&gt;0,AB287&gt;Q287),O287*Q287/100+(AB287-Q287),O287*AB287/100))</f>
        <v/>
      </c>
      <c r="Q287">
        <f>IF($AD287="","",INDEX('Per Line'!$AG$2:$AG$3001,$AD287))</f>
        <v/>
      </c>
      <c r="R287">
        <f>IF($AD287="","",IF(AND(ISNUMBER(Q287),Q287&gt;0),AB287&gt;Q287,FALSE))</f>
        <v/>
      </c>
      <c r="S287" s="7">
        <f>IF($AD287="","",SUMIFS('Per Line'!$AB$2:$AB$3001,'Per Line'!$E$2:$E$3001,$B287,'Per Line'!$AQ$2:$AQ$3001,1))</f>
        <v/>
      </c>
      <c r="T287">
        <f>IF($AD287="","",Settings!$C$7)</f>
        <v/>
      </c>
      <c r="U287" s="7">
        <f>IF($AD287="","",SUMIFS('Per Line'!$AB$2:$AB$3001,'Per Line'!$E$2:$E$3001,$B287,'Per Line'!$AP$2:$AP$3001,0,'Per Line'!$AQ$2:$AQ$3001,0))</f>
        <v/>
      </c>
      <c r="V287" s="7">
        <f>IF($AD287="","",U287*T287)</f>
        <v/>
      </c>
      <c r="W287">
        <f>IF($AD287="","",Settings!$C$6)</f>
        <v/>
      </c>
      <c r="X287" s="7">
        <f>IF($AD287="","",SUMIFS('Per Line'!$AB$2:$AB$3001,'Per Line'!$E$2:$E$3001,$B287,'Per Line'!$AP$2:$AP$3001,1,'Per Line'!$AQ$2:$AQ$3001,0))</f>
        <v/>
      </c>
      <c r="Y287" s="7">
        <f>IF($AD287="","",X287*W287)</f>
        <v/>
      </c>
      <c r="Z287" s="7">
        <f>IF($AD287="","",Y287+V287)</f>
        <v/>
      </c>
      <c r="AA287" s="7">
        <f>IF($AD287="","",AB287-Z287)</f>
        <v/>
      </c>
      <c r="AB287" s="7">
        <f>IF($AD287="","",U287+X287+S287)</f>
        <v/>
      </c>
      <c r="AC287" s="7">
        <f>IF($AD287="","",AB287-Z287-P287)</f>
        <v/>
      </c>
      <c r="AD287" s="13">
        <f>IF(ROWS($AD$2:$AD287)&lt;=MAX('Per Line'!$AO$2:$AO$3001),MATCH(ROWS($AD$2:$AD287),'Per Line'!$AO$2:$AO$3001,0),"")</f>
        <v/>
      </c>
      <c r="AE287" s="14">
        <f>IF($AD287="","",P287-O287*AB287/100)</f>
        <v/>
      </c>
    </row>
    <row r="288">
      <c r="A288" s="12" t="n"/>
      <c r="B288">
        <f>IF($AD288="","",INDEX('Per Line'!$E$2:$E$3001,$AD288)&amp;"")</f>
        <v/>
      </c>
      <c r="C288">
        <f>IF($AD288="","",INDEX('Per Line'!$A$2:$A$3001,$AD288)&amp;"")</f>
        <v/>
      </c>
      <c r="D288">
        <f>IF($AD288="","",INDEX('Per Line'!$C$2:$C$3001,$AD288)&amp;"")</f>
        <v/>
      </c>
      <c r="E288">
        <f>IF($AD288="","",INDEX('Per Line'!$B$2:$B$3001,$AD288))</f>
        <v/>
      </c>
      <c r="F288">
        <f>IF($AD288="","",INDEX('Per Line'!$D$2:$D$3001,$AD288)&amp;"")</f>
        <v/>
      </c>
      <c r="G288" s="11">
        <f>IF($AD288="","",INDEX('Per Line'!$G$2:$G$3001,$AD288))</f>
        <v/>
      </c>
      <c r="H288">
        <f>IF($AD288="","",INDEX('Per Line'!$J$2:$J$3001,$AD288)&amp;"")</f>
        <v/>
      </c>
      <c r="I288">
        <f>IF($AD288="","",INDEX('Per Line'!$H$2:$H$3001,$AD288)&amp;"")</f>
        <v/>
      </c>
      <c r="J288">
        <f>IF($AD288="","",INDEX('Per Line'!$F$2:$F$3001,$AD288)&amp;"")</f>
        <v/>
      </c>
      <c r="K288">
        <f>IF($AD288="","",INDEX('Per Line'!$K$2:$K$3001,$AD288)&amp;"")</f>
        <v/>
      </c>
      <c r="L288">
        <f>IF($AD288="","",INDEX('Per Line'!$L$2:$L$3001,$AD288)&amp;"")</f>
        <v/>
      </c>
      <c r="M288">
        <f>IF($AD288="","",INDEX('Per Line'!$M$2:$M$3001,$AD288)&amp;"")</f>
        <v/>
      </c>
      <c r="N288">
        <f>IF($AD288="","",INDEX('Per Line'!$AC$2:$AC$3001,$AD288)&amp;"")</f>
        <v/>
      </c>
      <c r="O288">
        <f>IF($AD288="","",INDEX('Per Line'!$P$2:$P$3001,$AD288))</f>
        <v/>
      </c>
      <c r="P288" s="7">
        <f>IF($AD288="","",IF(AND(ISNUMBER(Q288),Q288&gt;0,AB288&gt;Q288),O288*Q288/100+(AB288-Q288),O288*AB288/100))</f>
        <v/>
      </c>
      <c r="Q288">
        <f>IF($AD288="","",INDEX('Per Line'!$AG$2:$AG$3001,$AD288))</f>
        <v/>
      </c>
      <c r="R288">
        <f>IF($AD288="","",IF(AND(ISNUMBER(Q288),Q288&gt;0),AB288&gt;Q288,FALSE))</f>
        <v/>
      </c>
      <c r="S288" s="7">
        <f>IF($AD288="","",SUMIFS('Per Line'!$AB$2:$AB$3001,'Per Line'!$E$2:$E$3001,$B288,'Per Line'!$AQ$2:$AQ$3001,1))</f>
        <v/>
      </c>
      <c r="T288">
        <f>IF($AD288="","",Settings!$C$7)</f>
        <v/>
      </c>
      <c r="U288" s="7">
        <f>IF($AD288="","",SUMIFS('Per Line'!$AB$2:$AB$3001,'Per Line'!$E$2:$E$3001,$B288,'Per Line'!$AP$2:$AP$3001,0,'Per Line'!$AQ$2:$AQ$3001,0))</f>
        <v/>
      </c>
      <c r="V288" s="7">
        <f>IF($AD288="","",U288*T288)</f>
        <v/>
      </c>
      <c r="W288">
        <f>IF($AD288="","",Settings!$C$6)</f>
        <v/>
      </c>
      <c r="X288" s="7">
        <f>IF($AD288="","",SUMIFS('Per Line'!$AB$2:$AB$3001,'Per Line'!$E$2:$E$3001,$B288,'Per Line'!$AP$2:$AP$3001,1,'Per Line'!$AQ$2:$AQ$3001,0))</f>
        <v/>
      </c>
      <c r="Y288" s="7">
        <f>IF($AD288="","",X288*W288)</f>
        <v/>
      </c>
      <c r="Z288" s="7">
        <f>IF($AD288="","",Y288+V288)</f>
        <v/>
      </c>
      <c r="AA288" s="7">
        <f>IF($AD288="","",AB288-Z288)</f>
        <v/>
      </c>
      <c r="AB288" s="7">
        <f>IF($AD288="","",U288+X288+S288)</f>
        <v/>
      </c>
      <c r="AC288" s="7">
        <f>IF($AD288="","",AB288-Z288-P288)</f>
        <v/>
      </c>
      <c r="AD288" s="13">
        <f>IF(ROWS($AD$2:$AD288)&lt;=MAX('Per Line'!$AO$2:$AO$3001),MATCH(ROWS($AD$2:$AD288),'Per Line'!$AO$2:$AO$3001,0),"")</f>
        <v/>
      </c>
      <c r="AE288" s="14">
        <f>IF($AD288="","",P288-O288*AB288/100)</f>
        <v/>
      </c>
    </row>
    <row r="289">
      <c r="A289" s="12" t="n"/>
      <c r="B289">
        <f>IF($AD289="","",INDEX('Per Line'!$E$2:$E$3001,$AD289)&amp;"")</f>
        <v/>
      </c>
      <c r="C289">
        <f>IF($AD289="","",INDEX('Per Line'!$A$2:$A$3001,$AD289)&amp;"")</f>
        <v/>
      </c>
      <c r="D289">
        <f>IF($AD289="","",INDEX('Per Line'!$C$2:$C$3001,$AD289)&amp;"")</f>
        <v/>
      </c>
      <c r="E289">
        <f>IF($AD289="","",INDEX('Per Line'!$B$2:$B$3001,$AD289))</f>
        <v/>
      </c>
      <c r="F289">
        <f>IF($AD289="","",INDEX('Per Line'!$D$2:$D$3001,$AD289)&amp;"")</f>
        <v/>
      </c>
      <c r="G289" s="11">
        <f>IF($AD289="","",INDEX('Per Line'!$G$2:$G$3001,$AD289))</f>
        <v/>
      </c>
      <c r="H289">
        <f>IF($AD289="","",INDEX('Per Line'!$J$2:$J$3001,$AD289)&amp;"")</f>
        <v/>
      </c>
      <c r="I289">
        <f>IF($AD289="","",INDEX('Per Line'!$H$2:$H$3001,$AD289)&amp;"")</f>
        <v/>
      </c>
      <c r="J289">
        <f>IF($AD289="","",INDEX('Per Line'!$F$2:$F$3001,$AD289)&amp;"")</f>
        <v/>
      </c>
      <c r="K289">
        <f>IF($AD289="","",INDEX('Per Line'!$K$2:$K$3001,$AD289)&amp;"")</f>
        <v/>
      </c>
      <c r="L289">
        <f>IF($AD289="","",INDEX('Per Line'!$L$2:$L$3001,$AD289)&amp;"")</f>
        <v/>
      </c>
      <c r="M289">
        <f>IF($AD289="","",INDEX('Per Line'!$M$2:$M$3001,$AD289)&amp;"")</f>
        <v/>
      </c>
      <c r="N289">
        <f>IF($AD289="","",INDEX('Per Line'!$AC$2:$AC$3001,$AD289)&amp;"")</f>
        <v/>
      </c>
      <c r="O289">
        <f>IF($AD289="","",INDEX('Per Line'!$P$2:$P$3001,$AD289))</f>
        <v/>
      </c>
      <c r="P289" s="7">
        <f>IF($AD289="","",IF(AND(ISNUMBER(Q289),Q289&gt;0,AB289&gt;Q289),O289*Q289/100+(AB289-Q289),O289*AB289/100))</f>
        <v/>
      </c>
      <c r="Q289">
        <f>IF($AD289="","",INDEX('Per Line'!$AG$2:$AG$3001,$AD289))</f>
        <v/>
      </c>
      <c r="R289">
        <f>IF($AD289="","",IF(AND(ISNUMBER(Q289),Q289&gt;0),AB289&gt;Q289,FALSE))</f>
        <v/>
      </c>
      <c r="S289" s="7">
        <f>IF($AD289="","",SUMIFS('Per Line'!$AB$2:$AB$3001,'Per Line'!$E$2:$E$3001,$B289,'Per Line'!$AQ$2:$AQ$3001,1))</f>
        <v/>
      </c>
      <c r="T289">
        <f>IF($AD289="","",Settings!$C$7)</f>
        <v/>
      </c>
      <c r="U289" s="7">
        <f>IF($AD289="","",SUMIFS('Per Line'!$AB$2:$AB$3001,'Per Line'!$E$2:$E$3001,$B289,'Per Line'!$AP$2:$AP$3001,0,'Per Line'!$AQ$2:$AQ$3001,0))</f>
        <v/>
      </c>
      <c r="V289" s="7">
        <f>IF($AD289="","",U289*T289)</f>
        <v/>
      </c>
      <c r="W289">
        <f>IF($AD289="","",Settings!$C$6)</f>
        <v/>
      </c>
      <c r="X289" s="7">
        <f>IF($AD289="","",SUMIFS('Per Line'!$AB$2:$AB$3001,'Per Line'!$E$2:$E$3001,$B289,'Per Line'!$AP$2:$AP$3001,1,'Per Line'!$AQ$2:$AQ$3001,0))</f>
        <v/>
      </c>
      <c r="Y289" s="7">
        <f>IF($AD289="","",X289*W289)</f>
        <v/>
      </c>
      <c r="Z289" s="7">
        <f>IF($AD289="","",Y289+V289)</f>
        <v/>
      </c>
      <c r="AA289" s="7">
        <f>IF($AD289="","",AB289-Z289)</f>
        <v/>
      </c>
      <c r="AB289" s="7">
        <f>IF($AD289="","",U289+X289+S289)</f>
        <v/>
      </c>
      <c r="AC289" s="7">
        <f>IF($AD289="","",AB289-Z289-P289)</f>
        <v/>
      </c>
      <c r="AD289" s="13">
        <f>IF(ROWS($AD$2:$AD289)&lt;=MAX('Per Line'!$AO$2:$AO$3001),MATCH(ROWS($AD$2:$AD289),'Per Line'!$AO$2:$AO$3001,0),"")</f>
        <v/>
      </c>
      <c r="AE289" s="14">
        <f>IF($AD289="","",P289-O289*AB289/100)</f>
        <v/>
      </c>
    </row>
    <row r="290">
      <c r="A290" s="12" t="n"/>
      <c r="B290">
        <f>IF($AD290="","",INDEX('Per Line'!$E$2:$E$3001,$AD290)&amp;"")</f>
        <v/>
      </c>
      <c r="C290">
        <f>IF($AD290="","",INDEX('Per Line'!$A$2:$A$3001,$AD290)&amp;"")</f>
        <v/>
      </c>
      <c r="D290">
        <f>IF($AD290="","",INDEX('Per Line'!$C$2:$C$3001,$AD290)&amp;"")</f>
        <v/>
      </c>
      <c r="E290">
        <f>IF($AD290="","",INDEX('Per Line'!$B$2:$B$3001,$AD290))</f>
        <v/>
      </c>
      <c r="F290">
        <f>IF($AD290="","",INDEX('Per Line'!$D$2:$D$3001,$AD290)&amp;"")</f>
        <v/>
      </c>
      <c r="G290" s="11">
        <f>IF($AD290="","",INDEX('Per Line'!$G$2:$G$3001,$AD290))</f>
        <v/>
      </c>
      <c r="H290">
        <f>IF($AD290="","",INDEX('Per Line'!$J$2:$J$3001,$AD290)&amp;"")</f>
        <v/>
      </c>
      <c r="I290">
        <f>IF($AD290="","",INDEX('Per Line'!$H$2:$H$3001,$AD290)&amp;"")</f>
        <v/>
      </c>
      <c r="J290">
        <f>IF($AD290="","",INDEX('Per Line'!$F$2:$F$3001,$AD290)&amp;"")</f>
        <v/>
      </c>
      <c r="K290">
        <f>IF($AD290="","",INDEX('Per Line'!$K$2:$K$3001,$AD290)&amp;"")</f>
        <v/>
      </c>
      <c r="L290">
        <f>IF($AD290="","",INDEX('Per Line'!$L$2:$L$3001,$AD290)&amp;"")</f>
        <v/>
      </c>
      <c r="M290">
        <f>IF($AD290="","",INDEX('Per Line'!$M$2:$M$3001,$AD290)&amp;"")</f>
        <v/>
      </c>
      <c r="N290">
        <f>IF($AD290="","",INDEX('Per Line'!$AC$2:$AC$3001,$AD290)&amp;"")</f>
        <v/>
      </c>
      <c r="O290">
        <f>IF($AD290="","",INDEX('Per Line'!$P$2:$P$3001,$AD290))</f>
        <v/>
      </c>
      <c r="P290" s="7">
        <f>IF($AD290="","",IF(AND(ISNUMBER(Q290),Q290&gt;0,AB290&gt;Q290),O290*Q290/100+(AB290-Q290),O290*AB290/100))</f>
        <v/>
      </c>
      <c r="Q290">
        <f>IF($AD290="","",INDEX('Per Line'!$AG$2:$AG$3001,$AD290))</f>
        <v/>
      </c>
      <c r="R290">
        <f>IF($AD290="","",IF(AND(ISNUMBER(Q290),Q290&gt;0),AB290&gt;Q290,FALSE))</f>
        <v/>
      </c>
      <c r="S290" s="7">
        <f>IF($AD290="","",SUMIFS('Per Line'!$AB$2:$AB$3001,'Per Line'!$E$2:$E$3001,$B290,'Per Line'!$AQ$2:$AQ$3001,1))</f>
        <v/>
      </c>
      <c r="T290">
        <f>IF($AD290="","",Settings!$C$7)</f>
        <v/>
      </c>
      <c r="U290" s="7">
        <f>IF($AD290="","",SUMIFS('Per Line'!$AB$2:$AB$3001,'Per Line'!$E$2:$E$3001,$B290,'Per Line'!$AP$2:$AP$3001,0,'Per Line'!$AQ$2:$AQ$3001,0))</f>
        <v/>
      </c>
      <c r="V290" s="7">
        <f>IF($AD290="","",U290*T290)</f>
        <v/>
      </c>
      <c r="W290">
        <f>IF($AD290="","",Settings!$C$6)</f>
        <v/>
      </c>
      <c r="X290" s="7">
        <f>IF($AD290="","",SUMIFS('Per Line'!$AB$2:$AB$3001,'Per Line'!$E$2:$E$3001,$B290,'Per Line'!$AP$2:$AP$3001,1,'Per Line'!$AQ$2:$AQ$3001,0))</f>
        <v/>
      </c>
      <c r="Y290" s="7">
        <f>IF($AD290="","",X290*W290)</f>
        <v/>
      </c>
      <c r="Z290" s="7">
        <f>IF($AD290="","",Y290+V290)</f>
        <v/>
      </c>
      <c r="AA290" s="7">
        <f>IF($AD290="","",AB290-Z290)</f>
        <v/>
      </c>
      <c r="AB290" s="7">
        <f>IF($AD290="","",U290+X290+S290)</f>
        <v/>
      </c>
      <c r="AC290" s="7">
        <f>IF($AD290="","",AB290-Z290-P290)</f>
        <v/>
      </c>
      <c r="AD290" s="13">
        <f>IF(ROWS($AD$2:$AD290)&lt;=MAX('Per Line'!$AO$2:$AO$3001),MATCH(ROWS($AD$2:$AD290),'Per Line'!$AO$2:$AO$3001,0),"")</f>
        <v/>
      </c>
      <c r="AE290" s="14">
        <f>IF($AD290="","",P290-O290*AB290/100)</f>
        <v/>
      </c>
    </row>
    <row r="291">
      <c r="A291" s="12" t="n"/>
      <c r="B291">
        <f>IF($AD291="","",INDEX('Per Line'!$E$2:$E$3001,$AD291)&amp;"")</f>
        <v/>
      </c>
      <c r="C291">
        <f>IF($AD291="","",INDEX('Per Line'!$A$2:$A$3001,$AD291)&amp;"")</f>
        <v/>
      </c>
      <c r="D291">
        <f>IF($AD291="","",INDEX('Per Line'!$C$2:$C$3001,$AD291)&amp;"")</f>
        <v/>
      </c>
      <c r="E291">
        <f>IF($AD291="","",INDEX('Per Line'!$B$2:$B$3001,$AD291))</f>
        <v/>
      </c>
      <c r="F291">
        <f>IF($AD291="","",INDEX('Per Line'!$D$2:$D$3001,$AD291)&amp;"")</f>
        <v/>
      </c>
      <c r="G291" s="11">
        <f>IF($AD291="","",INDEX('Per Line'!$G$2:$G$3001,$AD291))</f>
        <v/>
      </c>
      <c r="H291">
        <f>IF($AD291="","",INDEX('Per Line'!$J$2:$J$3001,$AD291)&amp;"")</f>
        <v/>
      </c>
      <c r="I291">
        <f>IF($AD291="","",INDEX('Per Line'!$H$2:$H$3001,$AD291)&amp;"")</f>
        <v/>
      </c>
      <c r="J291">
        <f>IF($AD291="","",INDEX('Per Line'!$F$2:$F$3001,$AD291)&amp;"")</f>
        <v/>
      </c>
      <c r="K291">
        <f>IF($AD291="","",INDEX('Per Line'!$K$2:$K$3001,$AD291)&amp;"")</f>
        <v/>
      </c>
      <c r="L291">
        <f>IF($AD291="","",INDEX('Per Line'!$L$2:$L$3001,$AD291)&amp;"")</f>
        <v/>
      </c>
      <c r="M291">
        <f>IF($AD291="","",INDEX('Per Line'!$M$2:$M$3001,$AD291)&amp;"")</f>
        <v/>
      </c>
      <c r="N291">
        <f>IF($AD291="","",INDEX('Per Line'!$AC$2:$AC$3001,$AD291)&amp;"")</f>
        <v/>
      </c>
      <c r="O291">
        <f>IF($AD291="","",INDEX('Per Line'!$P$2:$P$3001,$AD291))</f>
        <v/>
      </c>
      <c r="P291" s="7">
        <f>IF($AD291="","",IF(AND(ISNUMBER(Q291),Q291&gt;0,AB291&gt;Q291),O291*Q291/100+(AB291-Q291),O291*AB291/100))</f>
        <v/>
      </c>
      <c r="Q291">
        <f>IF($AD291="","",INDEX('Per Line'!$AG$2:$AG$3001,$AD291))</f>
        <v/>
      </c>
      <c r="R291">
        <f>IF($AD291="","",IF(AND(ISNUMBER(Q291),Q291&gt;0),AB291&gt;Q291,FALSE))</f>
        <v/>
      </c>
      <c r="S291" s="7">
        <f>IF($AD291="","",SUMIFS('Per Line'!$AB$2:$AB$3001,'Per Line'!$E$2:$E$3001,$B291,'Per Line'!$AQ$2:$AQ$3001,1))</f>
        <v/>
      </c>
      <c r="T291">
        <f>IF($AD291="","",Settings!$C$7)</f>
        <v/>
      </c>
      <c r="U291" s="7">
        <f>IF($AD291="","",SUMIFS('Per Line'!$AB$2:$AB$3001,'Per Line'!$E$2:$E$3001,$B291,'Per Line'!$AP$2:$AP$3001,0,'Per Line'!$AQ$2:$AQ$3001,0))</f>
        <v/>
      </c>
      <c r="V291" s="7">
        <f>IF($AD291="","",U291*T291)</f>
        <v/>
      </c>
      <c r="W291">
        <f>IF($AD291="","",Settings!$C$6)</f>
        <v/>
      </c>
      <c r="X291" s="7">
        <f>IF($AD291="","",SUMIFS('Per Line'!$AB$2:$AB$3001,'Per Line'!$E$2:$E$3001,$B291,'Per Line'!$AP$2:$AP$3001,1,'Per Line'!$AQ$2:$AQ$3001,0))</f>
        <v/>
      </c>
      <c r="Y291" s="7">
        <f>IF($AD291="","",X291*W291)</f>
        <v/>
      </c>
      <c r="Z291" s="7">
        <f>IF($AD291="","",Y291+V291)</f>
        <v/>
      </c>
      <c r="AA291" s="7">
        <f>IF($AD291="","",AB291-Z291)</f>
        <v/>
      </c>
      <c r="AB291" s="7">
        <f>IF($AD291="","",U291+X291+S291)</f>
        <v/>
      </c>
      <c r="AC291" s="7">
        <f>IF($AD291="","",AB291-Z291-P291)</f>
        <v/>
      </c>
      <c r="AD291" s="13">
        <f>IF(ROWS($AD$2:$AD291)&lt;=MAX('Per Line'!$AO$2:$AO$3001),MATCH(ROWS($AD$2:$AD291),'Per Line'!$AO$2:$AO$3001,0),"")</f>
        <v/>
      </c>
      <c r="AE291" s="14">
        <f>IF($AD291="","",P291-O291*AB291/100)</f>
        <v/>
      </c>
    </row>
    <row r="292">
      <c r="A292" s="12" t="n"/>
      <c r="B292">
        <f>IF($AD292="","",INDEX('Per Line'!$E$2:$E$3001,$AD292)&amp;"")</f>
        <v/>
      </c>
      <c r="C292">
        <f>IF($AD292="","",INDEX('Per Line'!$A$2:$A$3001,$AD292)&amp;"")</f>
        <v/>
      </c>
      <c r="D292">
        <f>IF($AD292="","",INDEX('Per Line'!$C$2:$C$3001,$AD292)&amp;"")</f>
        <v/>
      </c>
      <c r="E292">
        <f>IF($AD292="","",INDEX('Per Line'!$B$2:$B$3001,$AD292))</f>
        <v/>
      </c>
      <c r="F292">
        <f>IF($AD292="","",INDEX('Per Line'!$D$2:$D$3001,$AD292)&amp;"")</f>
        <v/>
      </c>
      <c r="G292" s="11">
        <f>IF($AD292="","",INDEX('Per Line'!$G$2:$G$3001,$AD292))</f>
        <v/>
      </c>
      <c r="H292">
        <f>IF($AD292="","",INDEX('Per Line'!$J$2:$J$3001,$AD292)&amp;"")</f>
        <v/>
      </c>
      <c r="I292">
        <f>IF($AD292="","",INDEX('Per Line'!$H$2:$H$3001,$AD292)&amp;"")</f>
        <v/>
      </c>
      <c r="J292">
        <f>IF($AD292="","",INDEX('Per Line'!$F$2:$F$3001,$AD292)&amp;"")</f>
        <v/>
      </c>
      <c r="K292">
        <f>IF($AD292="","",INDEX('Per Line'!$K$2:$K$3001,$AD292)&amp;"")</f>
        <v/>
      </c>
      <c r="L292">
        <f>IF($AD292="","",INDEX('Per Line'!$L$2:$L$3001,$AD292)&amp;"")</f>
        <v/>
      </c>
      <c r="M292">
        <f>IF($AD292="","",INDEX('Per Line'!$M$2:$M$3001,$AD292)&amp;"")</f>
        <v/>
      </c>
      <c r="N292">
        <f>IF($AD292="","",INDEX('Per Line'!$AC$2:$AC$3001,$AD292)&amp;"")</f>
        <v/>
      </c>
      <c r="O292">
        <f>IF($AD292="","",INDEX('Per Line'!$P$2:$P$3001,$AD292))</f>
        <v/>
      </c>
      <c r="P292" s="7">
        <f>IF($AD292="","",IF(AND(ISNUMBER(Q292),Q292&gt;0,AB292&gt;Q292),O292*Q292/100+(AB292-Q292),O292*AB292/100))</f>
        <v/>
      </c>
      <c r="Q292">
        <f>IF($AD292="","",INDEX('Per Line'!$AG$2:$AG$3001,$AD292))</f>
        <v/>
      </c>
      <c r="R292">
        <f>IF($AD292="","",IF(AND(ISNUMBER(Q292),Q292&gt;0),AB292&gt;Q292,FALSE))</f>
        <v/>
      </c>
      <c r="S292" s="7">
        <f>IF($AD292="","",SUMIFS('Per Line'!$AB$2:$AB$3001,'Per Line'!$E$2:$E$3001,$B292,'Per Line'!$AQ$2:$AQ$3001,1))</f>
        <v/>
      </c>
      <c r="T292">
        <f>IF($AD292="","",Settings!$C$7)</f>
        <v/>
      </c>
      <c r="U292" s="7">
        <f>IF($AD292="","",SUMIFS('Per Line'!$AB$2:$AB$3001,'Per Line'!$E$2:$E$3001,$B292,'Per Line'!$AP$2:$AP$3001,0,'Per Line'!$AQ$2:$AQ$3001,0))</f>
        <v/>
      </c>
      <c r="V292" s="7">
        <f>IF($AD292="","",U292*T292)</f>
        <v/>
      </c>
      <c r="W292">
        <f>IF($AD292="","",Settings!$C$6)</f>
        <v/>
      </c>
      <c r="X292" s="7">
        <f>IF($AD292="","",SUMIFS('Per Line'!$AB$2:$AB$3001,'Per Line'!$E$2:$E$3001,$B292,'Per Line'!$AP$2:$AP$3001,1,'Per Line'!$AQ$2:$AQ$3001,0))</f>
        <v/>
      </c>
      <c r="Y292" s="7">
        <f>IF($AD292="","",X292*W292)</f>
        <v/>
      </c>
      <c r="Z292" s="7">
        <f>IF($AD292="","",Y292+V292)</f>
        <v/>
      </c>
      <c r="AA292" s="7">
        <f>IF($AD292="","",AB292-Z292)</f>
        <v/>
      </c>
      <c r="AB292" s="7">
        <f>IF($AD292="","",U292+X292+S292)</f>
        <v/>
      </c>
      <c r="AC292" s="7">
        <f>IF($AD292="","",AB292-Z292-P292)</f>
        <v/>
      </c>
      <c r="AD292" s="13">
        <f>IF(ROWS($AD$2:$AD292)&lt;=MAX('Per Line'!$AO$2:$AO$3001),MATCH(ROWS($AD$2:$AD292),'Per Line'!$AO$2:$AO$3001,0),"")</f>
        <v/>
      </c>
      <c r="AE292" s="14">
        <f>IF($AD292="","",P292-O292*AB292/100)</f>
        <v/>
      </c>
    </row>
    <row r="293">
      <c r="A293" s="12" t="n"/>
      <c r="B293">
        <f>IF($AD293="","",INDEX('Per Line'!$E$2:$E$3001,$AD293)&amp;"")</f>
        <v/>
      </c>
      <c r="C293">
        <f>IF($AD293="","",INDEX('Per Line'!$A$2:$A$3001,$AD293)&amp;"")</f>
        <v/>
      </c>
      <c r="D293">
        <f>IF($AD293="","",INDEX('Per Line'!$C$2:$C$3001,$AD293)&amp;"")</f>
        <v/>
      </c>
      <c r="E293">
        <f>IF($AD293="","",INDEX('Per Line'!$B$2:$B$3001,$AD293))</f>
        <v/>
      </c>
      <c r="F293">
        <f>IF($AD293="","",INDEX('Per Line'!$D$2:$D$3001,$AD293)&amp;"")</f>
        <v/>
      </c>
      <c r="G293" s="11">
        <f>IF($AD293="","",INDEX('Per Line'!$G$2:$G$3001,$AD293))</f>
        <v/>
      </c>
      <c r="H293">
        <f>IF($AD293="","",INDEX('Per Line'!$J$2:$J$3001,$AD293)&amp;"")</f>
        <v/>
      </c>
      <c r="I293">
        <f>IF($AD293="","",INDEX('Per Line'!$H$2:$H$3001,$AD293)&amp;"")</f>
        <v/>
      </c>
      <c r="J293">
        <f>IF($AD293="","",INDEX('Per Line'!$F$2:$F$3001,$AD293)&amp;"")</f>
        <v/>
      </c>
      <c r="K293">
        <f>IF($AD293="","",INDEX('Per Line'!$K$2:$K$3001,$AD293)&amp;"")</f>
        <v/>
      </c>
      <c r="L293">
        <f>IF($AD293="","",INDEX('Per Line'!$L$2:$L$3001,$AD293)&amp;"")</f>
        <v/>
      </c>
      <c r="M293">
        <f>IF($AD293="","",INDEX('Per Line'!$M$2:$M$3001,$AD293)&amp;"")</f>
        <v/>
      </c>
      <c r="N293">
        <f>IF($AD293="","",INDEX('Per Line'!$AC$2:$AC$3001,$AD293)&amp;"")</f>
        <v/>
      </c>
      <c r="O293">
        <f>IF($AD293="","",INDEX('Per Line'!$P$2:$P$3001,$AD293))</f>
        <v/>
      </c>
      <c r="P293" s="7">
        <f>IF($AD293="","",IF(AND(ISNUMBER(Q293),Q293&gt;0,AB293&gt;Q293),O293*Q293/100+(AB293-Q293),O293*AB293/100))</f>
        <v/>
      </c>
      <c r="Q293">
        <f>IF($AD293="","",INDEX('Per Line'!$AG$2:$AG$3001,$AD293))</f>
        <v/>
      </c>
      <c r="R293">
        <f>IF($AD293="","",IF(AND(ISNUMBER(Q293),Q293&gt;0),AB293&gt;Q293,FALSE))</f>
        <v/>
      </c>
      <c r="S293" s="7">
        <f>IF($AD293="","",SUMIFS('Per Line'!$AB$2:$AB$3001,'Per Line'!$E$2:$E$3001,$B293,'Per Line'!$AQ$2:$AQ$3001,1))</f>
        <v/>
      </c>
      <c r="T293">
        <f>IF($AD293="","",Settings!$C$7)</f>
        <v/>
      </c>
      <c r="U293" s="7">
        <f>IF($AD293="","",SUMIFS('Per Line'!$AB$2:$AB$3001,'Per Line'!$E$2:$E$3001,$B293,'Per Line'!$AP$2:$AP$3001,0,'Per Line'!$AQ$2:$AQ$3001,0))</f>
        <v/>
      </c>
      <c r="V293" s="7">
        <f>IF($AD293="","",U293*T293)</f>
        <v/>
      </c>
      <c r="W293">
        <f>IF($AD293="","",Settings!$C$6)</f>
        <v/>
      </c>
      <c r="X293" s="7">
        <f>IF($AD293="","",SUMIFS('Per Line'!$AB$2:$AB$3001,'Per Line'!$E$2:$E$3001,$B293,'Per Line'!$AP$2:$AP$3001,1,'Per Line'!$AQ$2:$AQ$3001,0))</f>
        <v/>
      </c>
      <c r="Y293" s="7">
        <f>IF($AD293="","",X293*W293)</f>
        <v/>
      </c>
      <c r="Z293" s="7">
        <f>IF($AD293="","",Y293+V293)</f>
        <v/>
      </c>
      <c r="AA293" s="7">
        <f>IF($AD293="","",AB293-Z293)</f>
        <v/>
      </c>
      <c r="AB293" s="7">
        <f>IF($AD293="","",U293+X293+S293)</f>
        <v/>
      </c>
      <c r="AC293" s="7">
        <f>IF($AD293="","",AB293-Z293-P293)</f>
        <v/>
      </c>
      <c r="AD293" s="13">
        <f>IF(ROWS($AD$2:$AD293)&lt;=MAX('Per Line'!$AO$2:$AO$3001),MATCH(ROWS($AD$2:$AD293),'Per Line'!$AO$2:$AO$3001,0),"")</f>
        <v/>
      </c>
      <c r="AE293" s="14">
        <f>IF($AD293="","",P293-O293*AB293/100)</f>
        <v/>
      </c>
    </row>
    <row r="294">
      <c r="A294" s="12" t="n"/>
      <c r="B294">
        <f>IF($AD294="","",INDEX('Per Line'!$E$2:$E$3001,$AD294)&amp;"")</f>
        <v/>
      </c>
      <c r="C294">
        <f>IF($AD294="","",INDEX('Per Line'!$A$2:$A$3001,$AD294)&amp;"")</f>
        <v/>
      </c>
      <c r="D294">
        <f>IF($AD294="","",INDEX('Per Line'!$C$2:$C$3001,$AD294)&amp;"")</f>
        <v/>
      </c>
      <c r="E294">
        <f>IF($AD294="","",INDEX('Per Line'!$B$2:$B$3001,$AD294))</f>
        <v/>
      </c>
      <c r="F294">
        <f>IF($AD294="","",INDEX('Per Line'!$D$2:$D$3001,$AD294)&amp;"")</f>
        <v/>
      </c>
      <c r="G294" s="11">
        <f>IF($AD294="","",INDEX('Per Line'!$G$2:$G$3001,$AD294))</f>
        <v/>
      </c>
      <c r="H294">
        <f>IF($AD294="","",INDEX('Per Line'!$J$2:$J$3001,$AD294)&amp;"")</f>
        <v/>
      </c>
      <c r="I294">
        <f>IF($AD294="","",INDEX('Per Line'!$H$2:$H$3001,$AD294)&amp;"")</f>
        <v/>
      </c>
      <c r="J294">
        <f>IF($AD294="","",INDEX('Per Line'!$F$2:$F$3001,$AD294)&amp;"")</f>
        <v/>
      </c>
      <c r="K294">
        <f>IF($AD294="","",INDEX('Per Line'!$K$2:$K$3001,$AD294)&amp;"")</f>
        <v/>
      </c>
      <c r="L294">
        <f>IF($AD294="","",INDEX('Per Line'!$L$2:$L$3001,$AD294)&amp;"")</f>
        <v/>
      </c>
      <c r="M294">
        <f>IF($AD294="","",INDEX('Per Line'!$M$2:$M$3001,$AD294)&amp;"")</f>
        <v/>
      </c>
      <c r="N294">
        <f>IF($AD294="","",INDEX('Per Line'!$AC$2:$AC$3001,$AD294)&amp;"")</f>
        <v/>
      </c>
      <c r="O294">
        <f>IF($AD294="","",INDEX('Per Line'!$P$2:$P$3001,$AD294))</f>
        <v/>
      </c>
      <c r="P294" s="7">
        <f>IF($AD294="","",IF(AND(ISNUMBER(Q294),Q294&gt;0,AB294&gt;Q294),O294*Q294/100+(AB294-Q294),O294*AB294/100))</f>
        <v/>
      </c>
      <c r="Q294">
        <f>IF($AD294="","",INDEX('Per Line'!$AG$2:$AG$3001,$AD294))</f>
        <v/>
      </c>
      <c r="R294">
        <f>IF($AD294="","",IF(AND(ISNUMBER(Q294),Q294&gt;0),AB294&gt;Q294,FALSE))</f>
        <v/>
      </c>
      <c r="S294" s="7">
        <f>IF($AD294="","",SUMIFS('Per Line'!$AB$2:$AB$3001,'Per Line'!$E$2:$E$3001,$B294,'Per Line'!$AQ$2:$AQ$3001,1))</f>
        <v/>
      </c>
      <c r="T294">
        <f>IF($AD294="","",Settings!$C$7)</f>
        <v/>
      </c>
      <c r="U294" s="7">
        <f>IF($AD294="","",SUMIFS('Per Line'!$AB$2:$AB$3001,'Per Line'!$E$2:$E$3001,$B294,'Per Line'!$AP$2:$AP$3001,0,'Per Line'!$AQ$2:$AQ$3001,0))</f>
        <v/>
      </c>
      <c r="V294" s="7">
        <f>IF($AD294="","",U294*T294)</f>
        <v/>
      </c>
      <c r="W294">
        <f>IF($AD294="","",Settings!$C$6)</f>
        <v/>
      </c>
      <c r="X294" s="7">
        <f>IF($AD294="","",SUMIFS('Per Line'!$AB$2:$AB$3001,'Per Line'!$E$2:$E$3001,$B294,'Per Line'!$AP$2:$AP$3001,1,'Per Line'!$AQ$2:$AQ$3001,0))</f>
        <v/>
      </c>
      <c r="Y294" s="7">
        <f>IF($AD294="","",X294*W294)</f>
        <v/>
      </c>
      <c r="Z294" s="7">
        <f>IF($AD294="","",Y294+V294)</f>
        <v/>
      </c>
      <c r="AA294" s="7">
        <f>IF($AD294="","",AB294-Z294)</f>
        <v/>
      </c>
      <c r="AB294" s="7">
        <f>IF($AD294="","",U294+X294+S294)</f>
        <v/>
      </c>
      <c r="AC294" s="7">
        <f>IF($AD294="","",AB294-Z294-P294)</f>
        <v/>
      </c>
      <c r="AD294" s="13">
        <f>IF(ROWS($AD$2:$AD294)&lt;=MAX('Per Line'!$AO$2:$AO$3001),MATCH(ROWS($AD$2:$AD294),'Per Line'!$AO$2:$AO$3001,0),"")</f>
        <v/>
      </c>
      <c r="AE294" s="14">
        <f>IF($AD294="","",P294-O294*AB294/100)</f>
        <v/>
      </c>
    </row>
    <row r="295">
      <c r="A295" s="12" t="n"/>
      <c r="B295">
        <f>IF($AD295="","",INDEX('Per Line'!$E$2:$E$3001,$AD295)&amp;"")</f>
        <v/>
      </c>
      <c r="C295">
        <f>IF($AD295="","",INDEX('Per Line'!$A$2:$A$3001,$AD295)&amp;"")</f>
        <v/>
      </c>
      <c r="D295">
        <f>IF($AD295="","",INDEX('Per Line'!$C$2:$C$3001,$AD295)&amp;"")</f>
        <v/>
      </c>
      <c r="E295">
        <f>IF($AD295="","",INDEX('Per Line'!$B$2:$B$3001,$AD295))</f>
        <v/>
      </c>
      <c r="F295">
        <f>IF($AD295="","",INDEX('Per Line'!$D$2:$D$3001,$AD295)&amp;"")</f>
        <v/>
      </c>
      <c r="G295" s="11">
        <f>IF($AD295="","",INDEX('Per Line'!$G$2:$G$3001,$AD295))</f>
        <v/>
      </c>
      <c r="H295">
        <f>IF($AD295="","",INDEX('Per Line'!$J$2:$J$3001,$AD295)&amp;"")</f>
        <v/>
      </c>
      <c r="I295">
        <f>IF($AD295="","",INDEX('Per Line'!$H$2:$H$3001,$AD295)&amp;"")</f>
        <v/>
      </c>
      <c r="J295">
        <f>IF($AD295="","",INDEX('Per Line'!$F$2:$F$3001,$AD295)&amp;"")</f>
        <v/>
      </c>
      <c r="K295">
        <f>IF($AD295="","",INDEX('Per Line'!$K$2:$K$3001,$AD295)&amp;"")</f>
        <v/>
      </c>
      <c r="L295">
        <f>IF($AD295="","",INDEX('Per Line'!$L$2:$L$3001,$AD295)&amp;"")</f>
        <v/>
      </c>
      <c r="M295">
        <f>IF($AD295="","",INDEX('Per Line'!$M$2:$M$3001,$AD295)&amp;"")</f>
        <v/>
      </c>
      <c r="N295">
        <f>IF($AD295="","",INDEX('Per Line'!$AC$2:$AC$3001,$AD295)&amp;"")</f>
        <v/>
      </c>
      <c r="O295">
        <f>IF($AD295="","",INDEX('Per Line'!$P$2:$P$3001,$AD295))</f>
        <v/>
      </c>
      <c r="P295" s="7">
        <f>IF($AD295="","",IF(AND(ISNUMBER(Q295),Q295&gt;0,AB295&gt;Q295),O295*Q295/100+(AB295-Q295),O295*AB295/100))</f>
        <v/>
      </c>
      <c r="Q295">
        <f>IF($AD295="","",INDEX('Per Line'!$AG$2:$AG$3001,$AD295))</f>
        <v/>
      </c>
      <c r="R295">
        <f>IF($AD295="","",IF(AND(ISNUMBER(Q295),Q295&gt;0),AB295&gt;Q295,FALSE))</f>
        <v/>
      </c>
      <c r="S295" s="7">
        <f>IF($AD295="","",SUMIFS('Per Line'!$AB$2:$AB$3001,'Per Line'!$E$2:$E$3001,$B295,'Per Line'!$AQ$2:$AQ$3001,1))</f>
        <v/>
      </c>
      <c r="T295">
        <f>IF($AD295="","",Settings!$C$7)</f>
        <v/>
      </c>
      <c r="U295" s="7">
        <f>IF($AD295="","",SUMIFS('Per Line'!$AB$2:$AB$3001,'Per Line'!$E$2:$E$3001,$B295,'Per Line'!$AP$2:$AP$3001,0,'Per Line'!$AQ$2:$AQ$3001,0))</f>
        <v/>
      </c>
      <c r="V295" s="7">
        <f>IF($AD295="","",U295*T295)</f>
        <v/>
      </c>
      <c r="W295">
        <f>IF($AD295="","",Settings!$C$6)</f>
        <v/>
      </c>
      <c r="X295" s="7">
        <f>IF($AD295="","",SUMIFS('Per Line'!$AB$2:$AB$3001,'Per Line'!$E$2:$E$3001,$B295,'Per Line'!$AP$2:$AP$3001,1,'Per Line'!$AQ$2:$AQ$3001,0))</f>
        <v/>
      </c>
      <c r="Y295" s="7">
        <f>IF($AD295="","",X295*W295)</f>
        <v/>
      </c>
      <c r="Z295" s="7">
        <f>IF($AD295="","",Y295+V295)</f>
        <v/>
      </c>
      <c r="AA295" s="7">
        <f>IF($AD295="","",AB295-Z295)</f>
        <v/>
      </c>
      <c r="AB295" s="7">
        <f>IF($AD295="","",U295+X295+S295)</f>
        <v/>
      </c>
      <c r="AC295" s="7">
        <f>IF($AD295="","",AB295-Z295-P295)</f>
        <v/>
      </c>
      <c r="AD295" s="13">
        <f>IF(ROWS($AD$2:$AD295)&lt;=MAX('Per Line'!$AO$2:$AO$3001),MATCH(ROWS($AD$2:$AD295),'Per Line'!$AO$2:$AO$3001,0),"")</f>
        <v/>
      </c>
      <c r="AE295" s="14">
        <f>IF($AD295="","",P295-O295*AB295/100)</f>
        <v/>
      </c>
    </row>
    <row r="296">
      <c r="A296" s="12" t="n"/>
      <c r="B296">
        <f>IF($AD296="","",INDEX('Per Line'!$E$2:$E$3001,$AD296)&amp;"")</f>
        <v/>
      </c>
      <c r="C296">
        <f>IF($AD296="","",INDEX('Per Line'!$A$2:$A$3001,$AD296)&amp;"")</f>
        <v/>
      </c>
      <c r="D296">
        <f>IF($AD296="","",INDEX('Per Line'!$C$2:$C$3001,$AD296)&amp;"")</f>
        <v/>
      </c>
      <c r="E296">
        <f>IF($AD296="","",INDEX('Per Line'!$B$2:$B$3001,$AD296))</f>
        <v/>
      </c>
      <c r="F296">
        <f>IF($AD296="","",INDEX('Per Line'!$D$2:$D$3001,$AD296)&amp;"")</f>
        <v/>
      </c>
      <c r="G296" s="11">
        <f>IF($AD296="","",INDEX('Per Line'!$G$2:$G$3001,$AD296))</f>
        <v/>
      </c>
      <c r="H296">
        <f>IF($AD296="","",INDEX('Per Line'!$J$2:$J$3001,$AD296)&amp;"")</f>
        <v/>
      </c>
      <c r="I296">
        <f>IF($AD296="","",INDEX('Per Line'!$H$2:$H$3001,$AD296)&amp;"")</f>
        <v/>
      </c>
      <c r="J296">
        <f>IF($AD296="","",INDEX('Per Line'!$F$2:$F$3001,$AD296)&amp;"")</f>
        <v/>
      </c>
      <c r="K296">
        <f>IF($AD296="","",INDEX('Per Line'!$K$2:$K$3001,$AD296)&amp;"")</f>
        <v/>
      </c>
      <c r="L296">
        <f>IF($AD296="","",INDEX('Per Line'!$L$2:$L$3001,$AD296)&amp;"")</f>
        <v/>
      </c>
      <c r="M296">
        <f>IF($AD296="","",INDEX('Per Line'!$M$2:$M$3001,$AD296)&amp;"")</f>
        <v/>
      </c>
      <c r="N296">
        <f>IF($AD296="","",INDEX('Per Line'!$AC$2:$AC$3001,$AD296)&amp;"")</f>
        <v/>
      </c>
      <c r="O296">
        <f>IF($AD296="","",INDEX('Per Line'!$P$2:$P$3001,$AD296))</f>
        <v/>
      </c>
      <c r="P296" s="7">
        <f>IF($AD296="","",IF(AND(ISNUMBER(Q296),Q296&gt;0,AB296&gt;Q296),O296*Q296/100+(AB296-Q296),O296*AB296/100))</f>
        <v/>
      </c>
      <c r="Q296">
        <f>IF($AD296="","",INDEX('Per Line'!$AG$2:$AG$3001,$AD296))</f>
        <v/>
      </c>
      <c r="R296">
        <f>IF($AD296="","",IF(AND(ISNUMBER(Q296),Q296&gt;0),AB296&gt;Q296,FALSE))</f>
        <v/>
      </c>
      <c r="S296" s="7">
        <f>IF($AD296="","",SUMIFS('Per Line'!$AB$2:$AB$3001,'Per Line'!$E$2:$E$3001,$B296,'Per Line'!$AQ$2:$AQ$3001,1))</f>
        <v/>
      </c>
      <c r="T296">
        <f>IF($AD296="","",Settings!$C$7)</f>
        <v/>
      </c>
      <c r="U296" s="7">
        <f>IF($AD296="","",SUMIFS('Per Line'!$AB$2:$AB$3001,'Per Line'!$E$2:$E$3001,$B296,'Per Line'!$AP$2:$AP$3001,0,'Per Line'!$AQ$2:$AQ$3001,0))</f>
        <v/>
      </c>
      <c r="V296" s="7">
        <f>IF($AD296="","",U296*T296)</f>
        <v/>
      </c>
      <c r="W296">
        <f>IF($AD296="","",Settings!$C$6)</f>
        <v/>
      </c>
      <c r="X296" s="7">
        <f>IF($AD296="","",SUMIFS('Per Line'!$AB$2:$AB$3001,'Per Line'!$E$2:$E$3001,$B296,'Per Line'!$AP$2:$AP$3001,1,'Per Line'!$AQ$2:$AQ$3001,0))</f>
        <v/>
      </c>
      <c r="Y296" s="7">
        <f>IF($AD296="","",X296*W296)</f>
        <v/>
      </c>
      <c r="Z296" s="7">
        <f>IF($AD296="","",Y296+V296)</f>
        <v/>
      </c>
      <c r="AA296" s="7">
        <f>IF($AD296="","",AB296-Z296)</f>
        <v/>
      </c>
      <c r="AB296" s="7">
        <f>IF($AD296="","",U296+X296+S296)</f>
        <v/>
      </c>
      <c r="AC296" s="7">
        <f>IF($AD296="","",AB296-Z296-P296)</f>
        <v/>
      </c>
      <c r="AD296" s="13">
        <f>IF(ROWS($AD$2:$AD296)&lt;=MAX('Per Line'!$AO$2:$AO$3001),MATCH(ROWS($AD$2:$AD296),'Per Line'!$AO$2:$AO$3001,0),"")</f>
        <v/>
      </c>
      <c r="AE296" s="14">
        <f>IF($AD296="","",P296-O296*AB296/100)</f>
        <v/>
      </c>
    </row>
    <row r="297">
      <c r="A297" s="12" t="n"/>
      <c r="B297">
        <f>IF($AD297="","",INDEX('Per Line'!$E$2:$E$3001,$AD297)&amp;"")</f>
        <v/>
      </c>
      <c r="C297">
        <f>IF($AD297="","",INDEX('Per Line'!$A$2:$A$3001,$AD297)&amp;"")</f>
        <v/>
      </c>
      <c r="D297">
        <f>IF($AD297="","",INDEX('Per Line'!$C$2:$C$3001,$AD297)&amp;"")</f>
        <v/>
      </c>
      <c r="E297">
        <f>IF($AD297="","",INDEX('Per Line'!$B$2:$B$3001,$AD297))</f>
        <v/>
      </c>
      <c r="F297">
        <f>IF($AD297="","",INDEX('Per Line'!$D$2:$D$3001,$AD297)&amp;"")</f>
        <v/>
      </c>
      <c r="G297" s="11">
        <f>IF($AD297="","",INDEX('Per Line'!$G$2:$G$3001,$AD297))</f>
        <v/>
      </c>
      <c r="H297">
        <f>IF($AD297="","",INDEX('Per Line'!$J$2:$J$3001,$AD297)&amp;"")</f>
        <v/>
      </c>
      <c r="I297">
        <f>IF($AD297="","",INDEX('Per Line'!$H$2:$H$3001,$AD297)&amp;"")</f>
        <v/>
      </c>
      <c r="J297">
        <f>IF($AD297="","",INDEX('Per Line'!$F$2:$F$3001,$AD297)&amp;"")</f>
        <v/>
      </c>
      <c r="K297">
        <f>IF($AD297="","",INDEX('Per Line'!$K$2:$K$3001,$AD297)&amp;"")</f>
        <v/>
      </c>
      <c r="L297">
        <f>IF($AD297="","",INDEX('Per Line'!$L$2:$L$3001,$AD297)&amp;"")</f>
        <v/>
      </c>
      <c r="M297">
        <f>IF($AD297="","",INDEX('Per Line'!$M$2:$M$3001,$AD297)&amp;"")</f>
        <v/>
      </c>
      <c r="N297">
        <f>IF($AD297="","",INDEX('Per Line'!$AC$2:$AC$3001,$AD297)&amp;"")</f>
        <v/>
      </c>
      <c r="O297">
        <f>IF($AD297="","",INDEX('Per Line'!$P$2:$P$3001,$AD297))</f>
        <v/>
      </c>
      <c r="P297" s="7">
        <f>IF($AD297="","",IF(AND(ISNUMBER(Q297),Q297&gt;0,AB297&gt;Q297),O297*Q297/100+(AB297-Q297),O297*AB297/100))</f>
        <v/>
      </c>
      <c r="Q297">
        <f>IF($AD297="","",INDEX('Per Line'!$AG$2:$AG$3001,$AD297))</f>
        <v/>
      </c>
      <c r="R297">
        <f>IF($AD297="","",IF(AND(ISNUMBER(Q297),Q297&gt;0),AB297&gt;Q297,FALSE))</f>
        <v/>
      </c>
      <c r="S297" s="7">
        <f>IF($AD297="","",SUMIFS('Per Line'!$AB$2:$AB$3001,'Per Line'!$E$2:$E$3001,$B297,'Per Line'!$AQ$2:$AQ$3001,1))</f>
        <v/>
      </c>
      <c r="T297">
        <f>IF($AD297="","",Settings!$C$7)</f>
        <v/>
      </c>
      <c r="U297" s="7">
        <f>IF($AD297="","",SUMIFS('Per Line'!$AB$2:$AB$3001,'Per Line'!$E$2:$E$3001,$B297,'Per Line'!$AP$2:$AP$3001,0,'Per Line'!$AQ$2:$AQ$3001,0))</f>
        <v/>
      </c>
      <c r="V297" s="7">
        <f>IF($AD297="","",U297*T297)</f>
        <v/>
      </c>
      <c r="W297">
        <f>IF($AD297="","",Settings!$C$6)</f>
        <v/>
      </c>
      <c r="X297" s="7">
        <f>IF($AD297="","",SUMIFS('Per Line'!$AB$2:$AB$3001,'Per Line'!$E$2:$E$3001,$B297,'Per Line'!$AP$2:$AP$3001,1,'Per Line'!$AQ$2:$AQ$3001,0))</f>
        <v/>
      </c>
      <c r="Y297" s="7">
        <f>IF($AD297="","",X297*W297)</f>
        <v/>
      </c>
      <c r="Z297" s="7">
        <f>IF($AD297="","",Y297+V297)</f>
        <v/>
      </c>
      <c r="AA297" s="7">
        <f>IF($AD297="","",AB297-Z297)</f>
        <v/>
      </c>
      <c r="AB297" s="7">
        <f>IF($AD297="","",U297+X297+S297)</f>
        <v/>
      </c>
      <c r="AC297" s="7">
        <f>IF($AD297="","",AB297-Z297-P297)</f>
        <v/>
      </c>
      <c r="AD297" s="13">
        <f>IF(ROWS($AD$2:$AD297)&lt;=MAX('Per Line'!$AO$2:$AO$3001),MATCH(ROWS($AD$2:$AD297),'Per Line'!$AO$2:$AO$3001,0),"")</f>
        <v/>
      </c>
      <c r="AE297" s="14">
        <f>IF($AD297="","",P297-O297*AB297/100)</f>
        <v/>
      </c>
    </row>
    <row r="298">
      <c r="A298" s="12" t="n"/>
      <c r="B298">
        <f>IF($AD298="","",INDEX('Per Line'!$E$2:$E$3001,$AD298)&amp;"")</f>
        <v/>
      </c>
      <c r="C298">
        <f>IF($AD298="","",INDEX('Per Line'!$A$2:$A$3001,$AD298)&amp;"")</f>
        <v/>
      </c>
      <c r="D298">
        <f>IF($AD298="","",INDEX('Per Line'!$C$2:$C$3001,$AD298)&amp;"")</f>
        <v/>
      </c>
      <c r="E298">
        <f>IF($AD298="","",INDEX('Per Line'!$B$2:$B$3001,$AD298))</f>
        <v/>
      </c>
      <c r="F298">
        <f>IF($AD298="","",INDEX('Per Line'!$D$2:$D$3001,$AD298)&amp;"")</f>
        <v/>
      </c>
      <c r="G298" s="11">
        <f>IF($AD298="","",INDEX('Per Line'!$G$2:$G$3001,$AD298))</f>
        <v/>
      </c>
      <c r="H298">
        <f>IF($AD298="","",INDEX('Per Line'!$J$2:$J$3001,$AD298)&amp;"")</f>
        <v/>
      </c>
      <c r="I298">
        <f>IF($AD298="","",INDEX('Per Line'!$H$2:$H$3001,$AD298)&amp;"")</f>
        <v/>
      </c>
      <c r="J298">
        <f>IF($AD298="","",INDEX('Per Line'!$F$2:$F$3001,$AD298)&amp;"")</f>
        <v/>
      </c>
      <c r="K298">
        <f>IF($AD298="","",INDEX('Per Line'!$K$2:$K$3001,$AD298)&amp;"")</f>
        <v/>
      </c>
      <c r="L298">
        <f>IF($AD298="","",INDEX('Per Line'!$L$2:$L$3001,$AD298)&amp;"")</f>
        <v/>
      </c>
      <c r="M298">
        <f>IF($AD298="","",INDEX('Per Line'!$M$2:$M$3001,$AD298)&amp;"")</f>
        <v/>
      </c>
      <c r="N298">
        <f>IF($AD298="","",INDEX('Per Line'!$AC$2:$AC$3001,$AD298)&amp;"")</f>
        <v/>
      </c>
      <c r="O298">
        <f>IF($AD298="","",INDEX('Per Line'!$P$2:$P$3001,$AD298))</f>
        <v/>
      </c>
      <c r="P298" s="7">
        <f>IF($AD298="","",IF(AND(ISNUMBER(Q298),Q298&gt;0,AB298&gt;Q298),O298*Q298/100+(AB298-Q298),O298*AB298/100))</f>
        <v/>
      </c>
      <c r="Q298">
        <f>IF($AD298="","",INDEX('Per Line'!$AG$2:$AG$3001,$AD298))</f>
        <v/>
      </c>
      <c r="R298">
        <f>IF($AD298="","",IF(AND(ISNUMBER(Q298),Q298&gt;0),AB298&gt;Q298,FALSE))</f>
        <v/>
      </c>
      <c r="S298" s="7">
        <f>IF($AD298="","",SUMIFS('Per Line'!$AB$2:$AB$3001,'Per Line'!$E$2:$E$3001,$B298,'Per Line'!$AQ$2:$AQ$3001,1))</f>
        <v/>
      </c>
      <c r="T298">
        <f>IF($AD298="","",Settings!$C$7)</f>
        <v/>
      </c>
      <c r="U298" s="7">
        <f>IF($AD298="","",SUMIFS('Per Line'!$AB$2:$AB$3001,'Per Line'!$E$2:$E$3001,$B298,'Per Line'!$AP$2:$AP$3001,0,'Per Line'!$AQ$2:$AQ$3001,0))</f>
        <v/>
      </c>
      <c r="V298" s="7">
        <f>IF($AD298="","",U298*T298)</f>
        <v/>
      </c>
      <c r="W298">
        <f>IF($AD298="","",Settings!$C$6)</f>
        <v/>
      </c>
      <c r="X298" s="7">
        <f>IF($AD298="","",SUMIFS('Per Line'!$AB$2:$AB$3001,'Per Line'!$E$2:$E$3001,$B298,'Per Line'!$AP$2:$AP$3001,1,'Per Line'!$AQ$2:$AQ$3001,0))</f>
        <v/>
      </c>
      <c r="Y298" s="7">
        <f>IF($AD298="","",X298*W298)</f>
        <v/>
      </c>
      <c r="Z298" s="7">
        <f>IF($AD298="","",Y298+V298)</f>
        <v/>
      </c>
      <c r="AA298" s="7">
        <f>IF($AD298="","",AB298-Z298)</f>
        <v/>
      </c>
      <c r="AB298" s="7">
        <f>IF($AD298="","",U298+X298+S298)</f>
        <v/>
      </c>
      <c r="AC298" s="7">
        <f>IF($AD298="","",AB298-Z298-P298)</f>
        <v/>
      </c>
      <c r="AD298" s="13">
        <f>IF(ROWS($AD$2:$AD298)&lt;=MAX('Per Line'!$AO$2:$AO$3001),MATCH(ROWS($AD$2:$AD298),'Per Line'!$AO$2:$AO$3001,0),"")</f>
        <v/>
      </c>
      <c r="AE298" s="14">
        <f>IF($AD298="","",P298-O298*AB298/100)</f>
        <v/>
      </c>
    </row>
    <row r="299">
      <c r="A299" s="12" t="n"/>
      <c r="B299">
        <f>IF($AD299="","",INDEX('Per Line'!$E$2:$E$3001,$AD299)&amp;"")</f>
        <v/>
      </c>
      <c r="C299">
        <f>IF($AD299="","",INDEX('Per Line'!$A$2:$A$3001,$AD299)&amp;"")</f>
        <v/>
      </c>
      <c r="D299">
        <f>IF($AD299="","",INDEX('Per Line'!$C$2:$C$3001,$AD299)&amp;"")</f>
        <v/>
      </c>
      <c r="E299">
        <f>IF($AD299="","",INDEX('Per Line'!$B$2:$B$3001,$AD299))</f>
        <v/>
      </c>
      <c r="F299">
        <f>IF($AD299="","",INDEX('Per Line'!$D$2:$D$3001,$AD299)&amp;"")</f>
        <v/>
      </c>
      <c r="G299" s="11">
        <f>IF($AD299="","",INDEX('Per Line'!$G$2:$G$3001,$AD299))</f>
        <v/>
      </c>
      <c r="H299">
        <f>IF($AD299="","",INDEX('Per Line'!$J$2:$J$3001,$AD299)&amp;"")</f>
        <v/>
      </c>
      <c r="I299">
        <f>IF($AD299="","",INDEX('Per Line'!$H$2:$H$3001,$AD299)&amp;"")</f>
        <v/>
      </c>
      <c r="J299">
        <f>IF($AD299="","",INDEX('Per Line'!$F$2:$F$3001,$AD299)&amp;"")</f>
        <v/>
      </c>
      <c r="K299">
        <f>IF($AD299="","",INDEX('Per Line'!$K$2:$K$3001,$AD299)&amp;"")</f>
        <v/>
      </c>
      <c r="L299">
        <f>IF($AD299="","",INDEX('Per Line'!$L$2:$L$3001,$AD299)&amp;"")</f>
        <v/>
      </c>
      <c r="M299">
        <f>IF($AD299="","",INDEX('Per Line'!$M$2:$M$3001,$AD299)&amp;"")</f>
        <v/>
      </c>
      <c r="N299">
        <f>IF($AD299="","",INDEX('Per Line'!$AC$2:$AC$3001,$AD299)&amp;"")</f>
        <v/>
      </c>
      <c r="O299">
        <f>IF($AD299="","",INDEX('Per Line'!$P$2:$P$3001,$AD299))</f>
        <v/>
      </c>
      <c r="P299" s="7">
        <f>IF($AD299="","",IF(AND(ISNUMBER(Q299),Q299&gt;0,AB299&gt;Q299),O299*Q299/100+(AB299-Q299),O299*AB299/100))</f>
        <v/>
      </c>
      <c r="Q299">
        <f>IF($AD299="","",INDEX('Per Line'!$AG$2:$AG$3001,$AD299))</f>
        <v/>
      </c>
      <c r="R299">
        <f>IF($AD299="","",IF(AND(ISNUMBER(Q299),Q299&gt;0),AB299&gt;Q299,FALSE))</f>
        <v/>
      </c>
      <c r="S299" s="7">
        <f>IF($AD299="","",SUMIFS('Per Line'!$AB$2:$AB$3001,'Per Line'!$E$2:$E$3001,$B299,'Per Line'!$AQ$2:$AQ$3001,1))</f>
        <v/>
      </c>
      <c r="T299">
        <f>IF($AD299="","",Settings!$C$7)</f>
        <v/>
      </c>
      <c r="U299" s="7">
        <f>IF($AD299="","",SUMIFS('Per Line'!$AB$2:$AB$3001,'Per Line'!$E$2:$E$3001,$B299,'Per Line'!$AP$2:$AP$3001,0,'Per Line'!$AQ$2:$AQ$3001,0))</f>
        <v/>
      </c>
      <c r="V299" s="7">
        <f>IF($AD299="","",U299*T299)</f>
        <v/>
      </c>
      <c r="W299">
        <f>IF($AD299="","",Settings!$C$6)</f>
        <v/>
      </c>
      <c r="X299" s="7">
        <f>IF($AD299="","",SUMIFS('Per Line'!$AB$2:$AB$3001,'Per Line'!$E$2:$E$3001,$B299,'Per Line'!$AP$2:$AP$3001,1,'Per Line'!$AQ$2:$AQ$3001,0))</f>
        <v/>
      </c>
      <c r="Y299" s="7">
        <f>IF($AD299="","",X299*W299)</f>
        <v/>
      </c>
      <c r="Z299" s="7">
        <f>IF($AD299="","",Y299+V299)</f>
        <v/>
      </c>
      <c r="AA299" s="7">
        <f>IF($AD299="","",AB299-Z299)</f>
        <v/>
      </c>
      <c r="AB299" s="7">
        <f>IF($AD299="","",U299+X299+S299)</f>
        <v/>
      </c>
      <c r="AC299" s="7">
        <f>IF($AD299="","",AB299-Z299-P299)</f>
        <v/>
      </c>
      <c r="AD299" s="13">
        <f>IF(ROWS($AD$2:$AD299)&lt;=MAX('Per Line'!$AO$2:$AO$3001),MATCH(ROWS($AD$2:$AD299),'Per Line'!$AO$2:$AO$3001,0),"")</f>
        <v/>
      </c>
      <c r="AE299" s="14">
        <f>IF($AD299="","",P299-O299*AB299/100)</f>
        <v/>
      </c>
    </row>
    <row r="300">
      <c r="A300" s="12" t="n"/>
      <c r="B300">
        <f>IF($AD300="","",INDEX('Per Line'!$E$2:$E$3001,$AD300)&amp;"")</f>
        <v/>
      </c>
      <c r="C300">
        <f>IF($AD300="","",INDEX('Per Line'!$A$2:$A$3001,$AD300)&amp;"")</f>
        <v/>
      </c>
      <c r="D300">
        <f>IF($AD300="","",INDEX('Per Line'!$C$2:$C$3001,$AD300)&amp;"")</f>
        <v/>
      </c>
      <c r="E300">
        <f>IF($AD300="","",INDEX('Per Line'!$B$2:$B$3001,$AD300))</f>
        <v/>
      </c>
      <c r="F300">
        <f>IF($AD300="","",INDEX('Per Line'!$D$2:$D$3001,$AD300)&amp;"")</f>
        <v/>
      </c>
      <c r="G300" s="11">
        <f>IF($AD300="","",INDEX('Per Line'!$G$2:$G$3001,$AD300))</f>
        <v/>
      </c>
      <c r="H300">
        <f>IF($AD300="","",INDEX('Per Line'!$J$2:$J$3001,$AD300)&amp;"")</f>
        <v/>
      </c>
      <c r="I300">
        <f>IF($AD300="","",INDEX('Per Line'!$H$2:$H$3001,$AD300)&amp;"")</f>
        <v/>
      </c>
      <c r="J300">
        <f>IF($AD300="","",INDEX('Per Line'!$F$2:$F$3001,$AD300)&amp;"")</f>
        <v/>
      </c>
      <c r="K300">
        <f>IF($AD300="","",INDEX('Per Line'!$K$2:$K$3001,$AD300)&amp;"")</f>
        <v/>
      </c>
      <c r="L300">
        <f>IF($AD300="","",INDEX('Per Line'!$L$2:$L$3001,$AD300)&amp;"")</f>
        <v/>
      </c>
      <c r="M300">
        <f>IF($AD300="","",INDEX('Per Line'!$M$2:$M$3001,$AD300)&amp;"")</f>
        <v/>
      </c>
      <c r="N300">
        <f>IF($AD300="","",INDEX('Per Line'!$AC$2:$AC$3001,$AD300)&amp;"")</f>
        <v/>
      </c>
      <c r="O300">
        <f>IF($AD300="","",INDEX('Per Line'!$P$2:$P$3001,$AD300))</f>
        <v/>
      </c>
      <c r="P300" s="7">
        <f>IF($AD300="","",IF(AND(ISNUMBER(Q300),Q300&gt;0,AB300&gt;Q300),O300*Q300/100+(AB300-Q300),O300*AB300/100))</f>
        <v/>
      </c>
      <c r="Q300">
        <f>IF($AD300="","",INDEX('Per Line'!$AG$2:$AG$3001,$AD300))</f>
        <v/>
      </c>
      <c r="R300">
        <f>IF($AD300="","",IF(AND(ISNUMBER(Q300),Q300&gt;0),AB300&gt;Q300,FALSE))</f>
        <v/>
      </c>
      <c r="S300" s="7">
        <f>IF($AD300="","",SUMIFS('Per Line'!$AB$2:$AB$3001,'Per Line'!$E$2:$E$3001,$B300,'Per Line'!$AQ$2:$AQ$3001,1))</f>
        <v/>
      </c>
      <c r="T300">
        <f>IF($AD300="","",Settings!$C$7)</f>
        <v/>
      </c>
      <c r="U300" s="7">
        <f>IF($AD300="","",SUMIFS('Per Line'!$AB$2:$AB$3001,'Per Line'!$E$2:$E$3001,$B300,'Per Line'!$AP$2:$AP$3001,0,'Per Line'!$AQ$2:$AQ$3001,0))</f>
        <v/>
      </c>
      <c r="V300" s="7">
        <f>IF($AD300="","",U300*T300)</f>
        <v/>
      </c>
      <c r="W300">
        <f>IF($AD300="","",Settings!$C$6)</f>
        <v/>
      </c>
      <c r="X300" s="7">
        <f>IF($AD300="","",SUMIFS('Per Line'!$AB$2:$AB$3001,'Per Line'!$E$2:$E$3001,$B300,'Per Line'!$AP$2:$AP$3001,1,'Per Line'!$AQ$2:$AQ$3001,0))</f>
        <v/>
      </c>
      <c r="Y300" s="7">
        <f>IF($AD300="","",X300*W300)</f>
        <v/>
      </c>
      <c r="Z300" s="7">
        <f>IF($AD300="","",Y300+V300)</f>
        <v/>
      </c>
      <c r="AA300" s="7">
        <f>IF($AD300="","",AB300-Z300)</f>
        <v/>
      </c>
      <c r="AB300" s="7">
        <f>IF($AD300="","",U300+X300+S300)</f>
        <v/>
      </c>
      <c r="AC300" s="7">
        <f>IF($AD300="","",AB300-Z300-P300)</f>
        <v/>
      </c>
      <c r="AD300" s="13">
        <f>IF(ROWS($AD$2:$AD300)&lt;=MAX('Per Line'!$AO$2:$AO$3001),MATCH(ROWS($AD$2:$AD300),'Per Line'!$AO$2:$AO$3001,0),"")</f>
        <v/>
      </c>
      <c r="AE300" s="14">
        <f>IF($AD300="","",P300-O300*AB300/100)</f>
        <v/>
      </c>
    </row>
    <row r="301">
      <c r="A301" s="12" t="n"/>
      <c r="B301">
        <f>IF($AD301="","",INDEX('Per Line'!$E$2:$E$3001,$AD301)&amp;"")</f>
        <v/>
      </c>
      <c r="C301">
        <f>IF($AD301="","",INDEX('Per Line'!$A$2:$A$3001,$AD301)&amp;"")</f>
        <v/>
      </c>
      <c r="D301">
        <f>IF($AD301="","",INDEX('Per Line'!$C$2:$C$3001,$AD301)&amp;"")</f>
        <v/>
      </c>
      <c r="E301">
        <f>IF($AD301="","",INDEX('Per Line'!$B$2:$B$3001,$AD301))</f>
        <v/>
      </c>
      <c r="F301">
        <f>IF($AD301="","",INDEX('Per Line'!$D$2:$D$3001,$AD301)&amp;"")</f>
        <v/>
      </c>
      <c r="G301" s="11">
        <f>IF($AD301="","",INDEX('Per Line'!$G$2:$G$3001,$AD301))</f>
        <v/>
      </c>
      <c r="H301">
        <f>IF($AD301="","",INDEX('Per Line'!$J$2:$J$3001,$AD301)&amp;"")</f>
        <v/>
      </c>
      <c r="I301">
        <f>IF($AD301="","",INDEX('Per Line'!$H$2:$H$3001,$AD301)&amp;"")</f>
        <v/>
      </c>
      <c r="J301">
        <f>IF($AD301="","",INDEX('Per Line'!$F$2:$F$3001,$AD301)&amp;"")</f>
        <v/>
      </c>
      <c r="K301">
        <f>IF($AD301="","",INDEX('Per Line'!$K$2:$K$3001,$AD301)&amp;"")</f>
        <v/>
      </c>
      <c r="L301">
        <f>IF($AD301="","",INDEX('Per Line'!$L$2:$L$3001,$AD301)&amp;"")</f>
        <v/>
      </c>
      <c r="M301">
        <f>IF($AD301="","",INDEX('Per Line'!$M$2:$M$3001,$AD301)&amp;"")</f>
        <v/>
      </c>
      <c r="N301">
        <f>IF($AD301="","",INDEX('Per Line'!$AC$2:$AC$3001,$AD301)&amp;"")</f>
        <v/>
      </c>
      <c r="O301">
        <f>IF($AD301="","",INDEX('Per Line'!$P$2:$P$3001,$AD301))</f>
        <v/>
      </c>
      <c r="P301" s="7">
        <f>IF($AD301="","",IF(AND(ISNUMBER(Q301),Q301&gt;0,AB301&gt;Q301),O301*Q301/100+(AB301-Q301),O301*AB301/100))</f>
        <v/>
      </c>
      <c r="Q301">
        <f>IF($AD301="","",INDEX('Per Line'!$AG$2:$AG$3001,$AD301))</f>
        <v/>
      </c>
      <c r="R301">
        <f>IF($AD301="","",IF(AND(ISNUMBER(Q301),Q301&gt;0),AB301&gt;Q301,FALSE))</f>
        <v/>
      </c>
      <c r="S301" s="7">
        <f>IF($AD301="","",SUMIFS('Per Line'!$AB$2:$AB$3001,'Per Line'!$E$2:$E$3001,$B301,'Per Line'!$AQ$2:$AQ$3001,1))</f>
        <v/>
      </c>
      <c r="T301">
        <f>IF($AD301="","",Settings!$C$7)</f>
        <v/>
      </c>
      <c r="U301" s="7">
        <f>IF($AD301="","",SUMIFS('Per Line'!$AB$2:$AB$3001,'Per Line'!$E$2:$E$3001,$B301,'Per Line'!$AP$2:$AP$3001,0,'Per Line'!$AQ$2:$AQ$3001,0))</f>
        <v/>
      </c>
      <c r="V301" s="7">
        <f>IF($AD301="","",U301*T301)</f>
        <v/>
      </c>
      <c r="W301">
        <f>IF($AD301="","",Settings!$C$6)</f>
        <v/>
      </c>
      <c r="X301" s="7">
        <f>IF($AD301="","",SUMIFS('Per Line'!$AB$2:$AB$3001,'Per Line'!$E$2:$E$3001,$B301,'Per Line'!$AP$2:$AP$3001,1,'Per Line'!$AQ$2:$AQ$3001,0))</f>
        <v/>
      </c>
      <c r="Y301" s="7">
        <f>IF($AD301="","",X301*W301)</f>
        <v/>
      </c>
      <c r="Z301" s="7">
        <f>IF($AD301="","",Y301+V301)</f>
        <v/>
      </c>
      <c r="AA301" s="7">
        <f>IF($AD301="","",AB301-Z301)</f>
        <v/>
      </c>
      <c r="AB301" s="7">
        <f>IF($AD301="","",U301+X301+S301)</f>
        <v/>
      </c>
      <c r="AC301" s="7">
        <f>IF($AD301="","",AB301-Z301-P301)</f>
        <v/>
      </c>
      <c r="AD301" s="13">
        <f>IF(ROWS($AD$2:$AD301)&lt;=MAX('Per Line'!$AO$2:$AO$3001),MATCH(ROWS($AD$2:$AD301),'Per Line'!$AO$2:$AO$3001,0),"")</f>
        <v/>
      </c>
      <c r="AE301" s="14">
        <f>IF($AD301="","",P301-O301*AB301/100)</f>
        <v/>
      </c>
    </row>
    <row r="302">
      <c r="A302" s="12" t="n"/>
      <c r="B302">
        <f>IF($AD302="","",INDEX('Per Line'!$E$2:$E$3001,$AD302)&amp;"")</f>
        <v/>
      </c>
      <c r="C302">
        <f>IF($AD302="","",INDEX('Per Line'!$A$2:$A$3001,$AD302)&amp;"")</f>
        <v/>
      </c>
      <c r="D302">
        <f>IF($AD302="","",INDEX('Per Line'!$C$2:$C$3001,$AD302)&amp;"")</f>
        <v/>
      </c>
      <c r="E302">
        <f>IF($AD302="","",INDEX('Per Line'!$B$2:$B$3001,$AD302))</f>
        <v/>
      </c>
      <c r="F302">
        <f>IF($AD302="","",INDEX('Per Line'!$D$2:$D$3001,$AD302)&amp;"")</f>
        <v/>
      </c>
      <c r="G302" s="11">
        <f>IF($AD302="","",INDEX('Per Line'!$G$2:$G$3001,$AD302))</f>
        <v/>
      </c>
      <c r="H302">
        <f>IF($AD302="","",INDEX('Per Line'!$J$2:$J$3001,$AD302)&amp;"")</f>
        <v/>
      </c>
      <c r="I302">
        <f>IF($AD302="","",INDEX('Per Line'!$H$2:$H$3001,$AD302)&amp;"")</f>
        <v/>
      </c>
      <c r="J302">
        <f>IF($AD302="","",INDEX('Per Line'!$F$2:$F$3001,$AD302)&amp;"")</f>
        <v/>
      </c>
      <c r="K302">
        <f>IF($AD302="","",INDEX('Per Line'!$K$2:$K$3001,$AD302)&amp;"")</f>
        <v/>
      </c>
      <c r="L302">
        <f>IF($AD302="","",INDEX('Per Line'!$L$2:$L$3001,$AD302)&amp;"")</f>
        <v/>
      </c>
      <c r="M302">
        <f>IF($AD302="","",INDEX('Per Line'!$M$2:$M$3001,$AD302)&amp;"")</f>
        <v/>
      </c>
      <c r="N302">
        <f>IF($AD302="","",INDEX('Per Line'!$AC$2:$AC$3001,$AD302)&amp;"")</f>
        <v/>
      </c>
      <c r="O302">
        <f>IF($AD302="","",INDEX('Per Line'!$P$2:$P$3001,$AD302))</f>
        <v/>
      </c>
      <c r="P302" s="7">
        <f>IF($AD302="","",IF(AND(ISNUMBER(Q302),Q302&gt;0,AB302&gt;Q302),O302*Q302/100+(AB302-Q302),O302*AB302/100))</f>
        <v/>
      </c>
      <c r="Q302">
        <f>IF($AD302="","",INDEX('Per Line'!$AG$2:$AG$3001,$AD302))</f>
        <v/>
      </c>
      <c r="R302">
        <f>IF($AD302="","",IF(AND(ISNUMBER(Q302),Q302&gt;0),AB302&gt;Q302,FALSE))</f>
        <v/>
      </c>
      <c r="S302" s="7">
        <f>IF($AD302="","",SUMIFS('Per Line'!$AB$2:$AB$3001,'Per Line'!$E$2:$E$3001,$B302,'Per Line'!$AQ$2:$AQ$3001,1))</f>
        <v/>
      </c>
      <c r="T302">
        <f>IF($AD302="","",Settings!$C$7)</f>
        <v/>
      </c>
      <c r="U302" s="7">
        <f>IF($AD302="","",SUMIFS('Per Line'!$AB$2:$AB$3001,'Per Line'!$E$2:$E$3001,$B302,'Per Line'!$AP$2:$AP$3001,0,'Per Line'!$AQ$2:$AQ$3001,0))</f>
        <v/>
      </c>
      <c r="V302" s="7">
        <f>IF($AD302="","",U302*T302)</f>
        <v/>
      </c>
      <c r="W302">
        <f>IF($AD302="","",Settings!$C$6)</f>
        <v/>
      </c>
      <c r="X302" s="7">
        <f>IF($AD302="","",SUMIFS('Per Line'!$AB$2:$AB$3001,'Per Line'!$E$2:$E$3001,$B302,'Per Line'!$AP$2:$AP$3001,1,'Per Line'!$AQ$2:$AQ$3001,0))</f>
        <v/>
      </c>
      <c r="Y302" s="7">
        <f>IF($AD302="","",X302*W302)</f>
        <v/>
      </c>
      <c r="Z302" s="7">
        <f>IF($AD302="","",Y302+V302)</f>
        <v/>
      </c>
      <c r="AA302" s="7">
        <f>IF($AD302="","",AB302-Z302)</f>
        <v/>
      </c>
      <c r="AB302" s="7">
        <f>IF($AD302="","",U302+X302+S302)</f>
        <v/>
      </c>
      <c r="AC302" s="7">
        <f>IF($AD302="","",AB302-Z302-P302)</f>
        <v/>
      </c>
      <c r="AD302" s="13">
        <f>IF(ROWS($AD$2:$AD302)&lt;=MAX('Per Line'!$AO$2:$AO$3001),MATCH(ROWS($AD$2:$AD302),'Per Line'!$AO$2:$AO$3001,0),"")</f>
        <v/>
      </c>
      <c r="AE302" s="14">
        <f>IF($AD302="","",P302-O302*AB302/100)</f>
        <v/>
      </c>
    </row>
    <row r="303">
      <c r="A303" s="12" t="n"/>
      <c r="B303">
        <f>IF($AD303="","",INDEX('Per Line'!$E$2:$E$3001,$AD303)&amp;"")</f>
        <v/>
      </c>
      <c r="C303">
        <f>IF($AD303="","",INDEX('Per Line'!$A$2:$A$3001,$AD303)&amp;"")</f>
        <v/>
      </c>
      <c r="D303">
        <f>IF($AD303="","",INDEX('Per Line'!$C$2:$C$3001,$AD303)&amp;"")</f>
        <v/>
      </c>
      <c r="E303">
        <f>IF($AD303="","",INDEX('Per Line'!$B$2:$B$3001,$AD303))</f>
        <v/>
      </c>
      <c r="F303">
        <f>IF($AD303="","",INDEX('Per Line'!$D$2:$D$3001,$AD303)&amp;"")</f>
        <v/>
      </c>
      <c r="G303" s="11">
        <f>IF($AD303="","",INDEX('Per Line'!$G$2:$G$3001,$AD303))</f>
        <v/>
      </c>
      <c r="H303">
        <f>IF($AD303="","",INDEX('Per Line'!$J$2:$J$3001,$AD303)&amp;"")</f>
        <v/>
      </c>
      <c r="I303">
        <f>IF($AD303="","",INDEX('Per Line'!$H$2:$H$3001,$AD303)&amp;"")</f>
        <v/>
      </c>
      <c r="J303">
        <f>IF($AD303="","",INDEX('Per Line'!$F$2:$F$3001,$AD303)&amp;"")</f>
        <v/>
      </c>
      <c r="K303">
        <f>IF($AD303="","",INDEX('Per Line'!$K$2:$K$3001,$AD303)&amp;"")</f>
        <v/>
      </c>
      <c r="L303">
        <f>IF($AD303="","",INDEX('Per Line'!$L$2:$L$3001,$AD303)&amp;"")</f>
        <v/>
      </c>
      <c r="M303">
        <f>IF($AD303="","",INDEX('Per Line'!$M$2:$M$3001,$AD303)&amp;"")</f>
        <v/>
      </c>
      <c r="N303">
        <f>IF($AD303="","",INDEX('Per Line'!$AC$2:$AC$3001,$AD303)&amp;"")</f>
        <v/>
      </c>
      <c r="O303">
        <f>IF($AD303="","",INDEX('Per Line'!$P$2:$P$3001,$AD303))</f>
        <v/>
      </c>
      <c r="P303" s="7">
        <f>IF($AD303="","",IF(AND(ISNUMBER(Q303),Q303&gt;0,AB303&gt;Q303),O303*Q303/100+(AB303-Q303),O303*AB303/100))</f>
        <v/>
      </c>
      <c r="Q303">
        <f>IF($AD303="","",INDEX('Per Line'!$AG$2:$AG$3001,$AD303))</f>
        <v/>
      </c>
      <c r="R303">
        <f>IF($AD303="","",IF(AND(ISNUMBER(Q303),Q303&gt;0),AB303&gt;Q303,FALSE))</f>
        <v/>
      </c>
      <c r="S303" s="7">
        <f>IF($AD303="","",SUMIFS('Per Line'!$AB$2:$AB$3001,'Per Line'!$E$2:$E$3001,$B303,'Per Line'!$AQ$2:$AQ$3001,1))</f>
        <v/>
      </c>
      <c r="T303">
        <f>IF($AD303="","",Settings!$C$7)</f>
        <v/>
      </c>
      <c r="U303" s="7">
        <f>IF($AD303="","",SUMIFS('Per Line'!$AB$2:$AB$3001,'Per Line'!$E$2:$E$3001,$B303,'Per Line'!$AP$2:$AP$3001,0,'Per Line'!$AQ$2:$AQ$3001,0))</f>
        <v/>
      </c>
      <c r="V303" s="7">
        <f>IF($AD303="","",U303*T303)</f>
        <v/>
      </c>
      <c r="W303">
        <f>IF($AD303="","",Settings!$C$6)</f>
        <v/>
      </c>
      <c r="X303" s="7">
        <f>IF($AD303="","",SUMIFS('Per Line'!$AB$2:$AB$3001,'Per Line'!$E$2:$E$3001,$B303,'Per Line'!$AP$2:$AP$3001,1,'Per Line'!$AQ$2:$AQ$3001,0))</f>
        <v/>
      </c>
      <c r="Y303" s="7">
        <f>IF($AD303="","",X303*W303)</f>
        <v/>
      </c>
      <c r="Z303" s="7">
        <f>IF($AD303="","",Y303+V303)</f>
        <v/>
      </c>
      <c r="AA303" s="7">
        <f>IF($AD303="","",AB303-Z303)</f>
        <v/>
      </c>
      <c r="AB303" s="7">
        <f>IF($AD303="","",U303+X303+S303)</f>
        <v/>
      </c>
      <c r="AC303" s="7">
        <f>IF($AD303="","",AB303-Z303-P303)</f>
        <v/>
      </c>
      <c r="AD303" s="13">
        <f>IF(ROWS($AD$2:$AD303)&lt;=MAX('Per Line'!$AO$2:$AO$3001),MATCH(ROWS($AD$2:$AD303),'Per Line'!$AO$2:$AO$3001,0),"")</f>
        <v/>
      </c>
      <c r="AE303" s="14">
        <f>IF($AD303="","",P303-O303*AB303/100)</f>
        <v/>
      </c>
    </row>
    <row r="304">
      <c r="A304" s="12" t="n"/>
      <c r="B304">
        <f>IF($AD304="","",INDEX('Per Line'!$E$2:$E$3001,$AD304)&amp;"")</f>
        <v/>
      </c>
      <c r="C304">
        <f>IF($AD304="","",INDEX('Per Line'!$A$2:$A$3001,$AD304)&amp;"")</f>
        <v/>
      </c>
      <c r="D304">
        <f>IF($AD304="","",INDEX('Per Line'!$C$2:$C$3001,$AD304)&amp;"")</f>
        <v/>
      </c>
      <c r="E304">
        <f>IF($AD304="","",INDEX('Per Line'!$B$2:$B$3001,$AD304))</f>
        <v/>
      </c>
      <c r="F304">
        <f>IF($AD304="","",INDEX('Per Line'!$D$2:$D$3001,$AD304)&amp;"")</f>
        <v/>
      </c>
      <c r="G304" s="11">
        <f>IF($AD304="","",INDEX('Per Line'!$G$2:$G$3001,$AD304))</f>
        <v/>
      </c>
      <c r="H304">
        <f>IF($AD304="","",INDEX('Per Line'!$J$2:$J$3001,$AD304)&amp;"")</f>
        <v/>
      </c>
      <c r="I304">
        <f>IF($AD304="","",INDEX('Per Line'!$H$2:$H$3001,$AD304)&amp;"")</f>
        <v/>
      </c>
      <c r="J304">
        <f>IF($AD304="","",INDEX('Per Line'!$F$2:$F$3001,$AD304)&amp;"")</f>
        <v/>
      </c>
      <c r="K304">
        <f>IF($AD304="","",INDEX('Per Line'!$K$2:$K$3001,$AD304)&amp;"")</f>
        <v/>
      </c>
      <c r="L304">
        <f>IF($AD304="","",INDEX('Per Line'!$L$2:$L$3001,$AD304)&amp;"")</f>
        <v/>
      </c>
      <c r="M304">
        <f>IF($AD304="","",INDEX('Per Line'!$M$2:$M$3001,$AD304)&amp;"")</f>
        <v/>
      </c>
      <c r="N304">
        <f>IF($AD304="","",INDEX('Per Line'!$AC$2:$AC$3001,$AD304)&amp;"")</f>
        <v/>
      </c>
      <c r="O304">
        <f>IF($AD304="","",INDEX('Per Line'!$P$2:$P$3001,$AD304))</f>
        <v/>
      </c>
      <c r="P304" s="7">
        <f>IF($AD304="","",IF(AND(ISNUMBER(Q304),Q304&gt;0,AB304&gt;Q304),O304*Q304/100+(AB304-Q304),O304*AB304/100))</f>
        <v/>
      </c>
      <c r="Q304">
        <f>IF($AD304="","",INDEX('Per Line'!$AG$2:$AG$3001,$AD304))</f>
        <v/>
      </c>
      <c r="R304">
        <f>IF($AD304="","",IF(AND(ISNUMBER(Q304),Q304&gt;0),AB304&gt;Q304,FALSE))</f>
        <v/>
      </c>
      <c r="S304" s="7">
        <f>IF($AD304="","",SUMIFS('Per Line'!$AB$2:$AB$3001,'Per Line'!$E$2:$E$3001,$B304,'Per Line'!$AQ$2:$AQ$3001,1))</f>
        <v/>
      </c>
      <c r="T304">
        <f>IF($AD304="","",Settings!$C$7)</f>
        <v/>
      </c>
      <c r="U304" s="7">
        <f>IF($AD304="","",SUMIFS('Per Line'!$AB$2:$AB$3001,'Per Line'!$E$2:$E$3001,$B304,'Per Line'!$AP$2:$AP$3001,0,'Per Line'!$AQ$2:$AQ$3001,0))</f>
        <v/>
      </c>
      <c r="V304" s="7">
        <f>IF($AD304="","",U304*T304)</f>
        <v/>
      </c>
      <c r="W304">
        <f>IF($AD304="","",Settings!$C$6)</f>
        <v/>
      </c>
      <c r="X304" s="7">
        <f>IF($AD304="","",SUMIFS('Per Line'!$AB$2:$AB$3001,'Per Line'!$E$2:$E$3001,$B304,'Per Line'!$AP$2:$AP$3001,1,'Per Line'!$AQ$2:$AQ$3001,0))</f>
        <v/>
      </c>
      <c r="Y304" s="7">
        <f>IF($AD304="","",X304*W304)</f>
        <v/>
      </c>
      <c r="Z304" s="7">
        <f>IF($AD304="","",Y304+V304)</f>
        <v/>
      </c>
      <c r="AA304" s="7">
        <f>IF($AD304="","",AB304-Z304)</f>
        <v/>
      </c>
      <c r="AB304" s="7">
        <f>IF($AD304="","",U304+X304+S304)</f>
        <v/>
      </c>
      <c r="AC304" s="7">
        <f>IF($AD304="","",AB304-Z304-P304)</f>
        <v/>
      </c>
      <c r="AD304" s="13">
        <f>IF(ROWS($AD$2:$AD304)&lt;=MAX('Per Line'!$AO$2:$AO$3001),MATCH(ROWS($AD$2:$AD304),'Per Line'!$AO$2:$AO$3001,0),"")</f>
        <v/>
      </c>
      <c r="AE304" s="14">
        <f>IF($AD304="","",P304-O304*AB304/100)</f>
        <v/>
      </c>
    </row>
    <row r="305">
      <c r="A305" s="12" t="n"/>
      <c r="B305">
        <f>IF($AD305="","",INDEX('Per Line'!$E$2:$E$3001,$AD305)&amp;"")</f>
        <v/>
      </c>
      <c r="C305">
        <f>IF($AD305="","",INDEX('Per Line'!$A$2:$A$3001,$AD305)&amp;"")</f>
        <v/>
      </c>
      <c r="D305">
        <f>IF($AD305="","",INDEX('Per Line'!$C$2:$C$3001,$AD305)&amp;"")</f>
        <v/>
      </c>
      <c r="E305">
        <f>IF($AD305="","",INDEX('Per Line'!$B$2:$B$3001,$AD305))</f>
        <v/>
      </c>
      <c r="F305">
        <f>IF($AD305="","",INDEX('Per Line'!$D$2:$D$3001,$AD305)&amp;"")</f>
        <v/>
      </c>
      <c r="G305" s="11">
        <f>IF($AD305="","",INDEX('Per Line'!$G$2:$G$3001,$AD305))</f>
        <v/>
      </c>
      <c r="H305">
        <f>IF($AD305="","",INDEX('Per Line'!$J$2:$J$3001,$AD305)&amp;"")</f>
        <v/>
      </c>
      <c r="I305">
        <f>IF($AD305="","",INDEX('Per Line'!$H$2:$H$3001,$AD305)&amp;"")</f>
        <v/>
      </c>
      <c r="J305">
        <f>IF($AD305="","",INDEX('Per Line'!$F$2:$F$3001,$AD305)&amp;"")</f>
        <v/>
      </c>
      <c r="K305">
        <f>IF($AD305="","",INDEX('Per Line'!$K$2:$K$3001,$AD305)&amp;"")</f>
        <v/>
      </c>
      <c r="L305">
        <f>IF($AD305="","",INDEX('Per Line'!$L$2:$L$3001,$AD305)&amp;"")</f>
        <v/>
      </c>
      <c r="M305">
        <f>IF($AD305="","",INDEX('Per Line'!$M$2:$M$3001,$AD305)&amp;"")</f>
        <v/>
      </c>
      <c r="N305">
        <f>IF($AD305="","",INDEX('Per Line'!$AC$2:$AC$3001,$AD305)&amp;"")</f>
        <v/>
      </c>
      <c r="O305">
        <f>IF($AD305="","",INDEX('Per Line'!$P$2:$P$3001,$AD305))</f>
        <v/>
      </c>
      <c r="P305" s="7">
        <f>IF($AD305="","",IF(AND(ISNUMBER(Q305),Q305&gt;0,AB305&gt;Q305),O305*Q305/100+(AB305-Q305),O305*AB305/100))</f>
        <v/>
      </c>
      <c r="Q305">
        <f>IF($AD305="","",INDEX('Per Line'!$AG$2:$AG$3001,$AD305))</f>
        <v/>
      </c>
      <c r="R305">
        <f>IF($AD305="","",IF(AND(ISNUMBER(Q305),Q305&gt;0),AB305&gt;Q305,FALSE))</f>
        <v/>
      </c>
      <c r="S305" s="7">
        <f>IF($AD305="","",SUMIFS('Per Line'!$AB$2:$AB$3001,'Per Line'!$E$2:$E$3001,$B305,'Per Line'!$AQ$2:$AQ$3001,1))</f>
        <v/>
      </c>
      <c r="T305">
        <f>IF($AD305="","",Settings!$C$7)</f>
        <v/>
      </c>
      <c r="U305" s="7">
        <f>IF($AD305="","",SUMIFS('Per Line'!$AB$2:$AB$3001,'Per Line'!$E$2:$E$3001,$B305,'Per Line'!$AP$2:$AP$3001,0,'Per Line'!$AQ$2:$AQ$3001,0))</f>
        <v/>
      </c>
      <c r="V305" s="7">
        <f>IF($AD305="","",U305*T305)</f>
        <v/>
      </c>
      <c r="W305">
        <f>IF($AD305="","",Settings!$C$6)</f>
        <v/>
      </c>
      <c r="X305" s="7">
        <f>IF($AD305="","",SUMIFS('Per Line'!$AB$2:$AB$3001,'Per Line'!$E$2:$E$3001,$B305,'Per Line'!$AP$2:$AP$3001,1,'Per Line'!$AQ$2:$AQ$3001,0))</f>
        <v/>
      </c>
      <c r="Y305" s="7">
        <f>IF($AD305="","",X305*W305)</f>
        <v/>
      </c>
      <c r="Z305" s="7">
        <f>IF($AD305="","",Y305+V305)</f>
        <v/>
      </c>
      <c r="AA305" s="7">
        <f>IF($AD305="","",AB305-Z305)</f>
        <v/>
      </c>
      <c r="AB305" s="7">
        <f>IF($AD305="","",U305+X305+S305)</f>
        <v/>
      </c>
      <c r="AC305" s="7">
        <f>IF($AD305="","",AB305-Z305-P305)</f>
        <v/>
      </c>
      <c r="AD305" s="13">
        <f>IF(ROWS($AD$2:$AD305)&lt;=MAX('Per Line'!$AO$2:$AO$3001),MATCH(ROWS($AD$2:$AD305),'Per Line'!$AO$2:$AO$3001,0),"")</f>
        <v/>
      </c>
      <c r="AE305" s="14">
        <f>IF($AD305="","",P305-O305*AB305/100)</f>
        <v/>
      </c>
    </row>
    <row r="306">
      <c r="A306" s="12" t="n"/>
      <c r="B306">
        <f>IF($AD306="","",INDEX('Per Line'!$E$2:$E$3001,$AD306)&amp;"")</f>
        <v/>
      </c>
      <c r="C306">
        <f>IF($AD306="","",INDEX('Per Line'!$A$2:$A$3001,$AD306)&amp;"")</f>
        <v/>
      </c>
      <c r="D306">
        <f>IF($AD306="","",INDEX('Per Line'!$C$2:$C$3001,$AD306)&amp;"")</f>
        <v/>
      </c>
      <c r="E306">
        <f>IF($AD306="","",INDEX('Per Line'!$B$2:$B$3001,$AD306))</f>
        <v/>
      </c>
      <c r="F306">
        <f>IF($AD306="","",INDEX('Per Line'!$D$2:$D$3001,$AD306)&amp;"")</f>
        <v/>
      </c>
      <c r="G306" s="11">
        <f>IF($AD306="","",INDEX('Per Line'!$G$2:$G$3001,$AD306))</f>
        <v/>
      </c>
      <c r="H306">
        <f>IF($AD306="","",INDEX('Per Line'!$J$2:$J$3001,$AD306)&amp;"")</f>
        <v/>
      </c>
      <c r="I306">
        <f>IF($AD306="","",INDEX('Per Line'!$H$2:$H$3001,$AD306)&amp;"")</f>
        <v/>
      </c>
      <c r="J306">
        <f>IF($AD306="","",INDEX('Per Line'!$F$2:$F$3001,$AD306)&amp;"")</f>
        <v/>
      </c>
      <c r="K306">
        <f>IF($AD306="","",INDEX('Per Line'!$K$2:$K$3001,$AD306)&amp;"")</f>
        <v/>
      </c>
      <c r="L306">
        <f>IF($AD306="","",INDEX('Per Line'!$L$2:$L$3001,$AD306)&amp;"")</f>
        <v/>
      </c>
      <c r="M306">
        <f>IF($AD306="","",INDEX('Per Line'!$M$2:$M$3001,$AD306)&amp;"")</f>
        <v/>
      </c>
      <c r="N306">
        <f>IF($AD306="","",INDEX('Per Line'!$AC$2:$AC$3001,$AD306)&amp;"")</f>
        <v/>
      </c>
      <c r="O306">
        <f>IF($AD306="","",INDEX('Per Line'!$P$2:$P$3001,$AD306))</f>
        <v/>
      </c>
      <c r="P306" s="7">
        <f>IF($AD306="","",IF(AND(ISNUMBER(Q306),Q306&gt;0,AB306&gt;Q306),O306*Q306/100+(AB306-Q306),O306*AB306/100))</f>
        <v/>
      </c>
      <c r="Q306">
        <f>IF($AD306="","",INDEX('Per Line'!$AG$2:$AG$3001,$AD306))</f>
        <v/>
      </c>
      <c r="R306">
        <f>IF($AD306="","",IF(AND(ISNUMBER(Q306),Q306&gt;0),AB306&gt;Q306,FALSE))</f>
        <v/>
      </c>
      <c r="S306" s="7">
        <f>IF($AD306="","",SUMIFS('Per Line'!$AB$2:$AB$3001,'Per Line'!$E$2:$E$3001,$B306,'Per Line'!$AQ$2:$AQ$3001,1))</f>
        <v/>
      </c>
      <c r="T306">
        <f>IF($AD306="","",Settings!$C$7)</f>
        <v/>
      </c>
      <c r="U306" s="7">
        <f>IF($AD306="","",SUMIFS('Per Line'!$AB$2:$AB$3001,'Per Line'!$E$2:$E$3001,$B306,'Per Line'!$AP$2:$AP$3001,0,'Per Line'!$AQ$2:$AQ$3001,0))</f>
        <v/>
      </c>
      <c r="V306" s="7">
        <f>IF($AD306="","",U306*T306)</f>
        <v/>
      </c>
      <c r="W306">
        <f>IF($AD306="","",Settings!$C$6)</f>
        <v/>
      </c>
      <c r="X306" s="7">
        <f>IF($AD306="","",SUMIFS('Per Line'!$AB$2:$AB$3001,'Per Line'!$E$2:$E$3001,$B306,'Per Line'!$AP$2:$AP$3001,1,'Per Line'!$AQ$2:$AQ$3001,0))</f>
        <v/>
      </c>
      <c r="Y306" s="7">
        <f>IF($AD306="","",X306*W306)</f>
        <v/>
      </c>
      <c r="Z306" s="7">
        <f>IF($AD306="","",Y306+V306)</f>
        <v/>
      </c>
      <c r="AA306" s="7">
        <f>IF($AD306="","",AB306-Z306)</f>
        <v/>
      </c>
      <c r="AB306" s="7">
        <f>IF($AD306="","",U306+X306+S306)</f>
        <v/>
      </c>
      <c r="AC306" s="7">
        <f>IF($AD306="","",AB306-Z306-P306)</f>
        <v/>
      </c>
      <c r="AD306" s="13">
        <f>IF(ROWS($AD$2:$AD306)&lt;=MAX('Per Line'!$AO$2:$AO$3001),MATCH(ROWS($AD$2:$AD306),'Per Line'!$AO$2:$AO$3001,0),"")</f>
        <v/>
      </c>
      <c r="AE306" s="14">
        <f>IF($AD306="","",P306-O306*AB306/100)</f>
        <v/>
      </c>
    </row>
    <row r="307">
      <c r="A307" s="12" t="n"/>
      <c r="B307">
        <f>IF($AD307="","",INDEX('Per Line'!$E$2:$E$3001,$AD307)&amp;"")</f>
        <v/>
      </c>
      <c r="C307">
        <f>IF($AD307="","",INDEX('Per Line'!$A$2:$A$3001,$AD307)&amp;"")</f>
        <v/>
      </c>
      <c r="D307">
        <f>IF($AD307="","",INDEX('Per Line'!$C$2:$C$3001,$AD307)&amp;"")</f>
        <v/>
      </c>
      <c r="E307">
        <f>IF($AD307="","",INDEX('Per Line'!$B$2:$B$3001,$AD307))</f>
        <v/>
      </c>
      <c r="F307">
        <f>IF($AD307="","",INDEX('Per Line'!$D$2:$D$3001,$AD307)&amp;"")</f>
        <v/>
      </c>
      <c r="G307" s="11">
        <f>IF($AD307="","",INDEX('Per Line'!$G$2:$G$3001,$AD307))</f>
        <v/>
      </c>
      <c r="H307">
        <f>IF($AD307="","",INDEX('Per Line'!$J$2:$J$3001,$AD307)&amp;"")</f>
        <v/>
      </c>
      <c r="I307">
        <f>IF($AD307="","",INDEX('Per Line'!$H$2:$H$3001,$AD307)&amp;"")</f>
        <v/>
      </c>
      <c r="J307">
        <f>IF($AD307="","",INDEX('Per Line'!$F$2:$F$3001,$AD307)&amp;"")</f>
        <v/>
      </c>
      <c r="K307">
        <f>IF($AD307="","",INDEX('Per Line'!$K$2:$K$3001,$AD307)&amp;"")</f>
        <v/>
      </c>
      <c r="L307">
        <f>IF($AD307="","",INDEX('Per Line'!$L$2:$L$3001,$AD307)&amp;"")</f>
        <v/>
      </c>
      <c r="M307">
        <f>IF($AD307="","",INDEX('Per Line'!$M$2:$M$3001,$AD307)&amp;"")</f>
        <v/>
      </c>
      <c r="N307">
        <f>IF($AD307="","",INDEX('Per Line'!$AC$2:$AC$3001,$AD307)&amp;"")</f>
        <v/>
      </c>
      <c r="O307">
        <f>IF($AD307="","",INDEX('Per Line'!$P$2:$P$3001,$AD307))</f>
        <v/>
      </c>
      <c r="P307" s="7">
        <f>IF($AD307="","",IF(AND(ISNUMBER(Q307),Q307&gt;0,AB307&gt;Q307),O307*Q307/100+(AB307-Q307),O307*AB307/100))</f>
        <v/>
      </c>
      <c r="Q307">
        <f>IF($AD307="","",INDEX('Per Line'!$AG$2:$AG$3001,$AD307))</f>
        <v/>
      </c>
      <c r="R307">
        <f>IF($AD307="","",IF(AND(ISNUMBER(Q307),Q307&gt;0),AB307&gt;Q307,FALSE))</f>
        <v/>
      </c>
      <c r="S307" s="7">
        <f>IF($AD307="","",SUMIFS('Per Line'!$AB$2:$AB$3001,'Per Line'!$E$2:$E$3001,$B307,'Per Line'!$AQ$2:$AQ$3001,1))</f>
        <v/>
      </c>
      <c r="T307">
        <f>IF($AD307="","",Settings!$C$7)</f>
        <v/>
      </c>
      <c r="U307" s="7">
        <f>IF($AD307="","",SUMIFS('Per Line'!$AB$2:$AB$3001,'Per Line'!$E$2:$E$3001,$B307,'Per Line'!$AP$2:$AP$3001,0,'Per Line'!$AQ$2:$AQ$3001,0))</f>
        <v/>
      </c>
      <c r="V307" s="7">
        <f>IF($AD307="","",U307*T307)</f>
        <v/>
      </c>
      <c r="W307">
        <f>IF($AD307="","",Settings!$C$6)</f>
        <v/>
      </c>
      <c r="X307" s="7">
        <f>IF($AD307="","",SUMIFS('Per Line'!$AB$2:$AB$3001,'Per Line'!$E$2:$E$3001,$B307,'Per Line'!$AP$2:$AP$3001,1,'Per Line'!$AQ$2:$AQ$3001,0))</f>
        <v/>
      </c>
      <c r="Y307" s="7">
        <f>IF($AD307="","",X307*W307)</f>
        <v/>
      </c>
      <c r="Z307" s="7">
        <f>IF($AD307="","",Y307+V307)</f>
        <v/>
      </c>
      <c r="AA307" s="7">
        <f>IF($AD307="","",AB307-Z307)</f>
        <v/>
      </c>
      <c r="AB307" s="7">
        <f>IF($AD307="","",U307+X307+S307)</f>
        <v/>
      </c>
      <c r="AC307" s="7">
        <f>IF($AD307="","",AB307-Z307-P307)</f>
        <v/>
      </c>
      <c r="AD307" s="13">
        <f>IF(ROWS($AD$2:$AD307)&lt;=MAX('Per Line'!$AO$2:$AO$3001),MATCH(ROWS($AD$2:$AD307),'Per Line'!$AO$2:$AO$3001,0),"")</f>
        <v/>
      </c>
      <c r="AE307" s="14">
        <f>IF($AD307="","",P307-O307*AB307/100)</f>
        <v/>
      </c>
    </row>
    <row r="308">
      <c r="A308" s="12" t="n"/>
      <c r="B308">
        <f>IF($AD308="","",INDEX('Per Line'!$E$2:$E$3001,$AD308)&amp;"")</f>
        <v/>
      </c>
      <c r="C308">
        <f>IF($AD308="","",INDEX('Per Line'!$A$2:$A$3001,$AD308)&amp;"")</f>
        <v/>
      </c>
      <c r="D308">
        <f>IF($AD308="","",INDEX('Per Line'!$C$2:$C$3001,$AD308)&amp;"")</f>
        <v/>
      </c>
      <c r="E308">
        <f>IF($AD308="","",INDEX('Per Line'!$B$2:$B$3001,$AD308))</f>
        <v/>
      </c>
      <c r="F308">
        <f>IF($AD308="","",INDEX('Per Line'!$D$2:$D$3001,$AD308)&amp;"")</f>
        <v/>
      </c>
      <c r="G308" s="11">
        <f>IF($AD308="","",INDEX('Per Line'!$G$2:$G$3001,$AD308))</f>
        <v/>
      </c>
      <c r="H308">
        <f>IF($AD308="","",INDEX('Per Line'!$J$2:$J$3001,$AD308)&amp;"")</f>
        <v/>
      </c>
      <c r="I308">
        <f>IF($AD308="","",INDEX('Per Line'!$H$2:$H$3001,$AD308)&amp;"")</f>
        <v/>
      </c>
      <c r="J308">
        <f>IF($AD308="","",INDEX('Per Line'!$F$2:$F$3001,$AD308)&amp;"")</f>
        <v/>
      </c>
      <c r="K308">
        <f>IF($AD308="","",INDEX('Per Line'!$K$2:$K$3001,$AD308)&amp;"")</f>
        <v/>
      </c>
      <c r="L308">
        <f>IF($AD308="","",INDEX('Per Line'!$L$2:$L$3001,$AD308)&amp;"")</f>
        <v/>
      </c>
      <c r="M308">
        <f>IF($AD308="","",INDEX('Per Line'!$M$2:$M$3001,$AD308)&amp;"")</f>
        <v/>
      </c>
      <c r="N308">
        <f>IF($AD308="","",INDEX('Per Line'!$AC$2:$AC$3001,$AD308)&amp;"")</f>
        <v/>
      </c>
      <c r="O308">
        <f>IF($AD308="","",INDEX('Per Line'!$P$2:$P$3001,$AD308))</f>
        <v/>
      </c>
      <c r="P308" s="7">
        <f>IF($AD308="","",IF(AND(ISNUMBER(Q308),Q308&gt;0,AB308&gt;Q308),O308*Q308/100+(AB308-Q308),O308*AB308/100))</f>
        <v/>
      </c>
      <c r="Q308">
        <f>IF($AD308="","",INDEX('Per Line'!$AG$2:$AG$3001,$AD308))</f>
        <v/>
      </c>
      <c r="R308">
        <f>IF($AD308="","",IF(AND(ISNUMBER(Q308),Q308&gt;0),AB308&gt;Q308,FALSE))</f>
        <v/>
      </c>
      <c r="S308" s="7">
        <f>IF($AD308="","",SUMIFS('Per Line'!$AB$2:$AB$3001,'Per Line'!$E$2:$E$3001,$B308,'Per Line'!$AQ$2:$AQ$3001,1))</f>
        <v/>
      </c>
      <c r="T308">
        <f>IF($AD308="","",Settings!$C$7)</f>
        <v/>
      </c>
      <c r="U308" s="7">
        <f>IF($AD308="","",SUMIFS('Per Line'!$AB$2:$AB$3001,'Per Line'!$E$2:$E$3001,$B308,'Per Line'!$AP$2:$AP$3001,0,'Per Line'!$AQ$2:$AQ$3001,0))</f>
        <v/>
      </c>
      <c r="V308" s="7">
        <f>IF($AD308="","",U308*T308)</f>
        <v/>
      </c>
      <c r="W308">
        <f>IF($AD308="","",Settings!$C$6)</f>
        <v/>
      </c>
      <c r="X308" s="7">
        <f>IF($AD308="","",SUMIFS('Per Line'!$AB$2:$AB$3001,'Per Line'!$E$2:$E$3001,$B308,'Per Line'!$AP$2:$AP$3001,1,'Per Line'!$AQ$2:$AQ$3001,0))</f>
        <v/>
      </c>
      <c r="Y308" s="7">
        <f>IF($AD308="","",X308*W308)</f>
        <v/>
      </c>
      <c r="Z308" s="7">
        <f>IF($AD308="","",Y308+V308)</f>
        <v/>
      </c>
      <c r="AA308" s="7">
        <f>IF($AD308="","",AB308-Z308)</f>
        <v/>
      </c>
      <c r="AB308" s="7">
        <f>IF($AD308="","",U308+X308+S308)</f>
        <v/>
      </c>
      <c r="AC308" s="7">
        <f>IF($AD308="","",AB308-Z308-P308)</f>
        <v/>
      </c>
      <c r="AD308" s="13">
        <f>IF(ROWS($AD$2:$AD308)&lt;=MAX('Per Line'!$AO$2:$AO$3001),MATCH(ROWS($AD$2:$AD308),'Per Line'!$AO$2:$AO$3001,0),"")</f>
        <v/>
      </c>
      <c r="AE308" s="14">
        <f>IF($AD308="","",P308-O308*AB308/100)</f>
        <v/>
      </c>
    </row>
    <row r="309">
      <c r="A309" s="12" t="n"/>
      <c r="B309">
        <f>IF($AD309="","",INDEX('Per Line'!$E$2:$E$3001,$AD309)&amp;"")</f>
        <v/>
      </c>
      <c r="C309">
        <f>IF($AD309="","",INDEX('Per Line'!$A$2:$A$3001,$AD309)&amp;"")</f>
        <v/>
      </c>
      <c r="D309">
        <f>IF($AD309="","",INDEX('Per Line'!$C$2:$C$3001,$AD309)&amp;"")</f>
        <v/>
      </c>
      <c r="E309">
        <f>IF($AD309="","",INDEX('Per Line'!$B$2:$B$3001,$AD309))</f>
        <v/>
      </c>
      <c r="F309">
        <f>IF($AD309="","",INDEX('Per Line'!$D$2:$D$3001,$AD309)&amp;"")</f>
        <v/>
      </c>
      <c r="G309" s="11">
        <f>IF($AD309="","",INDEX('Per Line'!$G$2:$G$3001,$AD309))</f>
        <v/>
      </c>
      <c r="H309">
        <f>IF($AD309="","",INDEX('Per Line'!$J$2:$J$3001,$AD309)&amp;"")</f>
        <v/>
      </c>
      <c r="I309">
        <f>IF($AD309="","",INDEX('Per Line'!$H$2:$H$3001,$AD309)&amp;"")</f>
        <v/>
      </c>
      <c r="J309">
        <f>IF($AD309="","",INDEX('Per Line'!$F$2:$F$3001,$AD309)&amp;"")</f>
        <v/>
      </c>
      <c r="K309">
        <f>IF($AD309="","",INDEX('Per Line'!$K$2:$K$3001,$AD309)&amp;"")</f>
        <v/>
      </c>
      <c r="L309">
        <f>IF($AD309="","",INDEX('Per Line'!$L$2:$L$3001,$AD309)&amp;"")</f>
        <v/>
      </c>
      <c r="M309">
        <f>IF($AD309="","",INDEX('Per Line'!$M$2:$M$3001,$AD309)&amp;"")</f>
        <v/>
      </c>
      <c r="N309">
        <f>IF($AD309="","",INDEX('Per Line'!$AC$2:$AC$3001,$AD309)&amp;"")</f>
        <v/>
      </c>
      <c r="O309">
        <f>IF($AD309="","",INDEX('Per Line'!$P$2:$P$3001,$AD309))</f>
        <v/>
      </c>
      <c r="P309" s="7">
        <f>IF($AD309="","",IF(AND(ISNUMBER(Q309),Q309&gt;0,AB309&gt;Q309),O309*Q309/100+(AB309-Q309),O309*AB309/100))</f>
        <v/>
      </c>
      <c r="Q309">
        <f>IF($AD309="","",INDEX('Per Line'!$AG$2:$AG$3001,$AD309))</f>
        <v/>
      </c>
      <c r="R309">
        <f>IF($AD309="","",IF(AND(ISNUMBER(Q309),Q309&gt;0),AB309&gt;Q309,FALSE))</f>
        <v/>
      </c>
      <c r="S309" s="7">
        <f>IF($AD309="","",SUMIFS('Per Line'!$AB$2:$AB$3001,'Per Line'!$E$2:$E$3001,$B309,'Per Line'!$AQ$2:$AQ$3001,1))</f>
        <v/>
      </c>
      <c r="T309">
        <f>IF($AD309="","",Settings!$C$7)</f>
        <v/>
      </c>
      <c r="U309" s="7">
        <f>IF($AD309="","",SUMIFS('Per Line'!$AB$2:$AB$3001,'Per Line'!$E$2:$E$3001,$B309,'Per Line'!$AP$2:$AP$3001,0,'Per Line'!$AQ$2:$AQ$3001,0))</f>
        <v/>
      </c>
      <c r="V309" s="7">
        <f>IF($AD309="","",U309*T309)</f>
        <v/>
      </c>
      <c r="W309">
        <f>IF($AD309="","",Settings!$C$6)</f>
        <v/>
      </c>
      <c r="X309" s="7">
        <f>IF($AD309="","",SUMIFS('Per Line'!$AB$2:$AB$3001,'Per Line'!$E$2:$E$3001,$B309,'Per Line'!$AP$2:$AP$3001,1,'Per Line'!$AQ$2:$AQ$3001,0))</f>
        <v/>
      </c>
      <c r="Y309" s="7">
        <f>IF($AD309="","",X309*W309)</f>
        <v/>
      </c>
      <c r="Z309" s="7">
        <f>IF($AD309="","",Y309+V309)</f>
        <v/>
      </c>
      <c r="AA309" s="7">
        <f>IF($AD309="","",AB309-Z309)</f>
        <v/>
      </c>
      <c r="AB309" s="7">
        <f>IF($AD309="","",U309+X309+S309)</f>
        <v/>
      </c>
      <c r="AC309" s="7">
        <f>IF($AD309="","",AB309-Z309-P309)</f>
        <v/>
      </c>
      <c r="AD309" s="13">
        <f>IF(ROWS($AD$2:$AD309)&lt;=MAX('Per Line'!$AO$2:$AO$3001),MATCH(ROWS($AD$2:$AD309),'Per Line'!$AO$2:$AO$3001,0),"")</f>
        <v/>
      </c>
      <c r="AE309" s="14">
        <f>IF($AD309="","",P309-O309*AB309/100)</f>
        <v/>
      </c>
    </row>
    <row r="310">
      <c r="A310" s="12" t="n"/>
      <c r="B310">
        <f>IF($AD310="","",INDEX('Per Line'!$E$2:$E$3001,$AD310)&amp;"")</f>
        <v/>
      </c>
      <c r="C310">
        <f>IF($AD310="","",INDEX('Per Line'!$A$2:$A$3001,$AD310)&amp;"")</f>
        <v/>
      </c>
      <c r="D310">
        <f>IF($AD310="","",INDEX('Per Line'!$C$2:$C$3001,$AD310)&amp;"")</f>
        <v/>
      </c>
      <c r="E310">
        <f>IF($AD310="","",INDEX('Per Line'!$B$2:$B$3001,$AD310))</f>
        <v/>
      </c>
      <c r="F310">
        <f>IF($AD310="","",INDEX('Per Line'!$D$2:$D$3001,$AD310)&amp;"")</f>
        <v/>
      </c>
      <c r="G310" s="11">
        <f>IF($AD310="","",INDEX('Per Line'!$G$2:$G$3001,$AD310))</f>
        <v/>
      </c>
      <c r="H310">
        <f>IF($AD310="","",INDEX('Per Line'!$J$2:$J$3001,$AD310)&amp;"")</f>
        <v/>
      </c>
      <c r="I310">
        <f>IF($AD310="","",INDEX('Per Line'!$H$2:$H$3001,$AD310)&amp;"")</f>
        <v/>
      </c>
      <c r="J310">
        <f>IF($AD310="","",INDEX('Per Line'!$F$2:$F$3001,$AD310)&amp;"")</f>
        <v/>
      </c>
      <c r="K310">
        <f>IF($AD310="","",INDEX('Per Line'!$K$2:$K$3001,$AD310)&amp;"")</f>
        <v/>
      </c>
      <c r="L310">
        <f>IF($AD310="","",INDEX('Per Line'!$L$2:$L$3001,$AD310)&amp;"")</f>
        <v/>
      </c>
      <c r="M310">
        <f>IF($AD310="","",INDEX('Per Line'!$M$2:$M$3001,$AD310)&amp;"")</f>
        <v/>
      </c>
      <c r="N310">
        <f>IF($AD310="","",INDEX('Per Line'!$AC$2:$AC$3001,$AD310)&amp;"")</f>
        <v/>
      </c>
      <c r="O310">
        <f>IF($AD310="","",INDEX('Per Line'!$P$2:$P$3001,$AD310))</f>
        <v/>
      </c>
      <c r="P310" s="7">
        <f>IF($AD310="","",IF(AND(ISNUMBER(Q310),Q310&gt;0,AB310&gt;Q310),O310*Q310/100+(AB310-Q310),O310*AB310/100))</f>
        <v/>
      </c>
      <c r="Q310">
        <f>IF($AD310="","",INDEX('Per Line'!$AG$2:$AG$3001,$AD310))</f>
        <v/>
      </c>
      <c r="R310">
        <f>IF($AD310="","",IF(AND(ISNUMBER(Q310),Q310&gt;0),AB310&gt;Q310,FALSE))</f>
        <v/>
      </c>
      <c r="S310" s="7">
        <f>IF($AD310="","",SUMIFS('Per Line'!$AB$2:$AB$3001,'Per Line'!$E$2:$E$3001,$B310,'Per Line'!$AQ$2:$AQ$3001,1))</f>
        <v/>
      </c>
      <c r="T310">
        <f>IF($AD310="","",Settings!$C$7)</f>
        <v/>
      </c>
      <c r="U310" s="7">
        <f>IF($AD310="","",SUMIFS('Per Line'!$AB$2:$AB$3001,'Per Line'!$E$2:$E$3001,$B310,'Per Line'!$AP$2:$AP$3001,0,'Per Line'!$AQ$2:$AQ$3001,0))</f>
        <v/>
      </c>
      <c r="V310" s="7">
        <f>IF($AD310="","",U310*T310)</f>
        <v/>
      </c>
      <c r="W310">
        <f>IF($AD310="","",Settings!$C$6)</f>
        <v/>
      </c>
      <c r="X310" s="7">
        <f>IF($AD310="","",SUMIFS('Per Line'!$AB$2:$AB$3001,'Per Line'!$E$2:$E$3001,$B310,'Per Line'!$AP$2:$AP$3001,1,'Per Line'!$AQ$2:$AQ$3001,0))</f>
        <v/>
      </c>
      <c r="Y310" s="7">
        <f>IF($AD310="","",X310*W310)</f>
        <v/>
      </c>
      <c r="Z310" s="7">
        <f>IF($AD310="","",Y310+V310)</f>
        <v/>
      </c>
      <c r="AA310" s="7">
        <f>IF($AD310="","",AB310-Z310)</f>
        <v/>
      </c>
      <c r="AB310" s="7">
        <f>IF($AD310="","",U310+X310+S310)</f>
        <v/>
      </c>
      <c r="AC310" s="7">
        <f>IF($AD310="","",AB310-Z310-P310)</f>
        <v/>
      </c>
      <c r="AD310" s="13">
        <f>IF(ROWS($AD$2:$AD310)&lt;=MAX('Per Line'!$AO$2:$AO$3001),MATCH(ROWS($AD$2:$AD310),'Per Line'!$AO$2:$AO$3001,0),"")</f>
        <v/>
      </c>
      <c r="AE310" s="14">
        <f>IF($AD310="","",P310-O310*AB310/100)</f>
        <v/>
      </c>
    </row>
    <row r="311">
      <c r="A311" s="12" t="n"/>
      <c r="B311">
        <f>IF($AD311="","",INDEX('Per Line'!$E$2:$E$3001,$AD311)&amp;"")</f>
        <v/>
      </c>
      <c r="C311">
        <f>IF($AD311="","",INDEX('Per Line'!$A$2:$A$3001,$AD311)&amp;"")</f>
        <v/>
      </c>
      <c r="D311">
        <f>IF($AD311="","",INDEX('Per Line'!$C$2:$C$3001,$AD311)&amp;"")</f>
        <v/>
      </c>
      <c r="E311">
        <f>IF($AD311="","",INDEX('Per Line'!$B$2:$B$3001,$AD311))</f>
        <v/>
      </c>
      <c r="F311">
        <f>IF($AD311="","",INDEX('Per Line'!$D$2:$D$3001,$AD311)&amp;"")</f>
        <v/>
      </c>
      <c r="G311" s="11">
        <f>IF($AD311="","",INDEX('Per Line'!$G$2:$G$3001,$AD311))</f>
        <v/>
      </c>
      <c r="H311">
        <f>IF($AD311="","",INDEX('Per Line'!$J$2:$J$3001,$AD311)&amp;"")</f>
        <v/>
      </c>
      <c r="I311">
        <f>IF($AD311="","",INDEX('Per Line'!$H$2:$H$3001,$AD311)&amp;"")</f>
        <v/>
      </c>
      <c r="J311">
        <f>IF($AD311="","",INDEX('Per Line'!$F$2:$F$3001,$AD311)&amp;"")</f>
        <v/>
      </c>
      <c r="K311">
        <f>IF($AD311="","",INDEX('Per Line'!$K$2:$K$3001,$AD311)&amp;"")</f>
        <v/>
      </c>
      <c r="L311">
        <f>IF($AD311="","",INDEX('Per Line'!$L$2:$L$3001,$AD311)&amp;"")</f>
        <v/>
      </c>
      <c r="M311">
        <f>IF($AD311="","",INDEX('Per Line'!$M$2:$M$3001,$AD311)&amp;"")</f>
        <v/>
      </c>
      <c r="N311">
        <f>IF($AD311="","",INDEX('Per Line'!$AC$2:$AC$3001,$AD311)&amp;"")</f>
        <v/>
      </c>
      <c r="O311">
        <f>IF($AD311="","",INDEX('Per Line'!$P$2:$P$3001,$AD311))</f>
        <v/>
      </c>
      <c r="P311" s="7">
        <f>IF($AD311="","",IF(AND(ISNUMBER(Q311),Q311&gt;0,AB311&gt;Q311),O311*Q311/100+(AB311-Q311),O311*AB311/100))</f>
        <v/>
      </c>
      <c r="Q311">
        <f>IF($AD311="","",INDEX('Per Line'!$AG$2:$AG$3001,$AD311))</f>
        <v/>
      </c>
      <c r="R311">
        <f>IF($AD311="","",IF(AND(ISNUMBER(Q311),Q311&gt;0),AB311&gt;Q311,FALSE))</f>
        <v/>
      </c>
      <c r="S311" s="7">
        <f>IF($AD311="","",SUMIFS('Per Line'!$AB$2:$AB$3001,'Per Line'!$E$2:$E$3001,$B311,'Per Line'!$AQ$2:$AQ$3001,1))</f>
        <v/>
      </c>
      <c r="T311">
        <f>IF($AD311="","",Settings!$C$7)</f>
        <v/>
      </c>
      <c r="U311" s="7">
        <f>IF($AD311="","",SUMIFS('Per Line'!$AB$2:$AB$3001,'Per Line'!$E$2:$E$3001,$B311,'Per Line'!$AP$2:$AP$3001,0,'Per Line'!$AQ$2:$AQ$3001,0))</f>
        <v/>
      </c>
      <c r="V311" s="7">
        <f>IF($AD311="","",U311*T311)</f>
        <v/>
      </c>
      <c r="W311">
        <f>IF($AD311="","",Settings!$C$6)</f>
        <v/>
      </c>
      <c r="X311" s="7">
        <f>IF($AD311="","",SUMIFS('Per Line'!$AB$2:$AB$3001,'Per Line'!$E$2:$E$3001,$B311,'Per Line'!$AP$2:$AP$3001,1,'Per Line'!$AQ$2:$AQ$3001,0))</f>
        <v/>
      </c>
      <c r="Y311" s="7">
        <f>IF($AD311="","",X311*W311)</f>
        <v/>
      </c>
      <c r="Z311" s="7">
        <f>IF($AD311="","",Y311+V311)</f>
        <v/>
      </c>
      <c r="AA311" s="7">
        <f>IF($AD311="","",AB311-Z311)</f>
        <v/>
      </c>
      <c r="AB311" s="7">
        <f>IF($AD311="","",U311+X311+S311)</f>
        <v/>
      </c>
      <c r="AC311" s="7">
        <f>IF($AD311="","",AB311-Z311-P311)</f>
        <v/>
      </c>
      <c r="AD311" s="13">
        <f>IF(ROWS($AD$2:$AD311)&lt;=MAX('Per Line'!$AO$2:$AO$3001),MATCH(ROWS($AD$2:$AD311),'Per Line'!$AO$2:$AO$3001,0),"")</f>
        <v/>
      </c>
      <c r="AE311" s="14">
        <f>IF($AD311="","",P311-O311*AB311/100)</f>
        <v/>
      </c>
    </row>
    <row r="312">
      <c r="A312" s="12" t="n"/>
      <c r="B312">
        <f>IF($AD312="","",INDEX('Per Line'!$E$2:$E$3001,$AD312)&amp;"")</f>
        <v/>
      </c>
      <c r="C312">
        <f>IF($AD312="","",INDEX('Per Line'!$A$2:$A$3001,$AD312)&amp;"")</f>
        <v/>
      </c>
      <c r="D312">
        <f>IF($AD312="","",INDEX('Per Line'!$C$2:$C$3001,$AD312)&amp;"")</f>
        <v/>
      </c>
      <c r="E312">
        <f>IF($AD312="","",INDEX('Per Line'!$B$2:$B$3001,$AD312))</f>
        <v/>
      </c>
      <c r="F312">
        <f>IF($AD312="","",INDEX('Per Line'!$D$2:$D$3001,$AD312)&amp;"")</f>
        <v/>
      </c>
      <c r="G312" s="11">
        <f>IF($AD312="","",INDEX('Per Line'!$G$2:$G$3001,$AD312))</f>
        <v/>
      </c>
      <c r="H312">
        <f>IF($AD312="","",INDEX('Per Line'!$J$2:$J$3001,$AD312)&amp;"")</f>
        <v/>
      </c>
      <c r="I312">
        <f>IF($AD312="","",INDEX('Per Line'!$H$2:$H$3001,$AD312)&amp;"")</f>
        <v/>
      </c>
      <c r="J312">
        <f>IF($AD312="","",INDEX('Per Line'!$F$2:$F$3001,$AD312)&amp;"")</f>
        <v/>
      </c>
      <c r="K312">
        <f>IF($AD312="","",INDEX('Per Line'!$K$2:$K$3001,$AD312)&amp;"")</f>
        <v/>
      </c>
      <c r="L312">
        <f>IF($AD312="","",INDEX('Per Line'!$L$2:$L$3001,$AD312)&amp;"")</f>
        <v/>
      </c>
      <c r="M312">
        <f>IF($AD312="","",INDEX('Per Line'!$M$2:$M$3001,$AD312)&amp;"")</f>
        <v/>
      </c>
      <c r="N312">
        <f>IF($AD312="","",INDEX('Per Line'!$AC$2:$AC$3001,$AD312)&amp;"")</f>
        <v/>
      </c>
      <c r="O312">
        <f>IF($AD312="","",INDEX('Per Line'!$P$2:$P$3001,$AD312))</f>
        <v/>
      </c>
      <c r="P312" s="7">
        <f>IF($AD312="","",IF(AND(ISNUMBER(Q312),Q312&gt;0,AB312&gt;Q312),O312*Q312/100+(AB312-Q312),O312*AB312/100))</f>
        <v/>
      </c>
      <c r="Q312">
        <f>IF($AD312="","",INDEX('Per Line'!$AG$2:$AG$3001,$AD312))</f>
        <v/>
      </c>
      <c r="R312">
        <f>IF($AD312="","",IF(AND(ISNUMBER(Q312),Q312&gt;0),AB312&gt;Q312,FALSE))</f>
        <v/>
      </c>
      <c r="S312" s="7">
        <f>IF($AD312="","",SUMIFS('Per Line'!$AB$2:$AB$3001,'Per Line'!$E$2:$E$3001,$B312,'Per Line'!$AQ$2:$AQ$3001,1))</f>
        <v/>
      </c>
      <c r="T312">
        <f>IF($AD312="","",Settings!$C$7)</f>
        <v/>
      </c>
      <c r="U312" s="7">
        <f>IF($AD312="","",SUMIFS('Per Line'!$AB$2:$AB$3001,'Per Line'!$E$2:$E$3001,$B312,'Per Line'!$AP$2:$AP$3001,0,'Per Line'!$AQ$2:$AQ$3001,0))</f>
        <v/>
      </c>
      <c r="V312" s="7">
        <f>IF($AD312="","",U312*T312)</f>
        <v/>
      </c>
      <c r="W312">
        <f>IF($AD312="","",Settings!$C$6)</f>
        <v/>
      </c>
      <c r="X312" s="7">
        <f>IF($AD312="","",SUMIFS('Per Line'!$AB$2:$AB$3001,'Per Line'!$E$2:$E$3001,$B312,'Per Line'!$AP$2:$AP$3001,1,'Per Line'!$AQ$2:$AQ$3001,0))</f>
        <v/>
      </c>
      <c r="Y312" s="7">
        <f>IF($AD312="","",X312*W312)</f>
        <v/>
      </c>
      <c r="Z312" s="7">
        <f>IF($AD312="","",Y312+V312)</f>
        <v/>
      </c>
      <c r="AA312" s="7">
        <f>IF($AD312="","",AB312-Z312)</f>
        <v/>
      </c>
      <c r="AB312" s="7">
        <f>IF($AD312="","",U312+X312+S312)</f>
        <v/>
      </c>
      <c r="AC312" s="7">
        <f>IF($AD312="","",AB312-Z312-P312)</f>
        <v/>
      </c>
      <c r="AD312" s="13">
        <f>IF(ROWS($AD$2:$AD312)&lt;=MAX('Per Line'!$AO$2:$AO$3001),MATCH(ROWS($AD$2:$AD312),'Per Line'!$AO$2:$AO$3001,0),"")</f>
        <v/>
      </c>
      <c r="AE312" s="14">
        <f>IF($AD312="","",P312-O312*AB312/100)</f>
        <v/>
      </c>
    </row>
    <row r="313">
      <c r="A313" s="12" t="n"/>
      <c r="B313">
        <f>IF($AD313="","",INDEX('Per Line'!$E$2:$E$3001,$AD313)&amp;"")</f>
        <v/>
      </c>
      <c r="C313">
        <f>IF($AD313="","",INDEX('Per Line'!$A$2:$A$3001,$AD313)&amp;"")</f>
        <v/>
      </c>
      <c r="D313">
        <f>IF($AD313="","",INDEX('Per Line'!$C$2:$C$3001,$AD313)&amp;"")</f>
        <v/>
      </c>
      <c r="E313">
        <f>IF($AD313="","",INDEX('Per Line'!$B$2:$B$3001,$AD313))</f>
        <v/>
      </c>
      <c r="F313">
        <f>IF($AD313="","",INDEX('Per Line'!$D$2:$D$3001,$AD313)&amp;"")</f>
        <v/>
      </c>
      <c r="G313" s="11">
        <f>IF($AD313="","",INDEX('Per Line'!$G$2:$G$3001,$AD313))</f>
        <v/>
      </c>
      <c r="H313">
        <f>IF($AD313="","",INDEX('Per Line'!$J$2:$J$3001,$AD313)&amp;"")</f>
        <v/>
      </c>
      <c r="I313">
        <f>IF($AD313="","",INDEX('Per Line'!$H$2:$H$3001,$AD313)&amp;"")</f>
        <v/>
      </c>
      <c r="J313">
        <f>IF($AD313="","",INDEX('Per Line'!$F$2:$F$3001,$AD313)&amp;"")</f>
        <v/>
      </c>
      <c r="K313">
        <f>IF($AD313="","",INDEX('Per Line'!$K$2:$K$3001,$AD313)&amp;"")</f>
        <v/>
      </c>
      <c r="L313">
        <f>IF($AD313="","",INDEX('Per Line'!$L$2:$L$3001,$AD313)&amp;"")</f>
        <v/>
      </c>
      <c r="M313">
        <f>IF($AD313="","",INDEX('Per Line'!$M$2:$M$3001,$AD313)&amp;"")</f>
        <v/>
      </c>
      <c r="N313">
        <f>IF($AD313="","",INDEX('Per Line'!$AC$2:$AC$3001,$AD313)&amp;"")</f>
        <v/>
      </c>
      <c r="O313">
        <f>IF($AD313="","",INDEX('Per Line'!$P$2:$P$3001,$AD313))</f>
        <v/>
      </c>
      <c r="P313" s="7">
        <f>IF($AD313="","",IF(AND(ISNUMBER(Q313),Q313&gt;0,AB313&gt;Q313),O313*Q313/100+(AB313-Q313),O313*AB313/100))</f>
        <v/>
      </c>
      <c r="Q313">
        <f>IF($AD313="","",INDEX('Per Line'!$AG$2:$AG$3001,$AD313))</f>
        <v/>
      </c>
      <c r="R313">
        <f>IF($AD313="","",IF(AND(ISNUMBER(Q313),Q313&gt;0),AB313&gt;Q313,FALSE))</f>
        <v/>
      </c>
      <c r="S313" s="7">
        <f>IF($AD313="","",SUMIFS('Per Line'!$AB$2:$AB$3001,'Per Line'!$E$2:$E$3001,$B313,'Per Line'!$AQ$2:$AQ$3001,1))</f>
        <v/>
      </c>
      <c r="T313">
        <f>IF($AD313="","",Settings!$C$7)</f>
        <v/>
      </c>
      <c r="U313" s="7">
        <f>IF($AD313="","",SUMIFS('Per Line'!$AB$2:$AB$3001,'Per Line'!$E$2:$E$3001,$B313,'Per Line'!$AP$2:$AP$3001,0,'Per Line'!$AQ$2:$AQ$3001,0))</f>
        <v/>
      </c>
      <c r="V313" s="7">
        <f>IF($AD313="","",U313*T313)</f>
        <v/>
      </c>
      <c r="W313">
        <f>IF($AD313="","",Settings!$C$6)</f>
        <v/>
      </c>
      <c r="X313" s="7">
        <f>IF($AD313="","",SUMIFS('Per Line'!$AB$2:$AB$3001,'Per Line'!$E$2:$E$3001,$B313,'Per Line'!$AP$2:$AP$3001,1,'Per Line'!$AQ$2:$AQ$3001,0))</f>
        <v/>
      </c>
      <c r="Y313" s="7">
        <f>IF($AD313="","",X313*W313)</f>
        <v/>
      </c>
      <c r="Z313" s="7">
        <f>IF($AD313="","",Y313+V313)</f>
        <v/>
      </c>
      <c r="AA313" s="7">
        <f>IF($AD313="","",AB313-Z313)</f>
        <v/>
      </c>
      <c r="AB313" s="7">
        <f>IF($AD313="","",U313+X313+S313)</f>
        <v/>
      </c>
      <c r="AC313" s="7">
        <f>IF($AD313="","",AB313-Z313-P313)</f>
        <v/>
      </c>
      <c r="AD313" s="13">
        <f>IF(ROWS($AD$2:$AD313)&lt;=MAX('Per Line'!$AO$2:$AO$3001),MATCH(ROWS($AD$2:$AD313),'Per Line'!$AO$2:$AO$3001,0),"")</f>
        <v/>
      </c>
      <c r="AE313" s="14">
        <f>IF($AD313="","",P313-O313*AB313/100)</f>
        <v/>
      </c>
    </row>
    <row r="314">
      <c r="A314" s="12" t="n"/>
      <c r="B314">
        <f>IF($AD314="","",INDEX('Per Line'!$E$2:$E$3001,$AD314)&amp;"")</f>
        <v/>
      </c>
      <c r="C314">
        <f>IF($AD314="","",INDEX('Per Line'!$A$2:$A$3001,$AD314)&amp;"")</f>
        <v/>
      </c>
      <c r="D314">
        <f>IF($AD314="","",INDEX('Per Line'!$C$2:$C$3001,$AD314)&amp;"")</f>
        <v/>
      </c>
      <c r="E314">
        <f>IF($AD314="","",INDEX('Per Line'!$B$2:$B$3001,$AD314))</f>
        <v/>
      </c>
      <c r="F314">
        <f>IF($AD314="","",INDEX('Per Line'!$D$2:$D$3001,$AD314)&amp;"")</f>
        <v/>
      </c>
      <c r="G314" s="11">
        <f>IF($AD314="","",INDEX('Per Line'!$G$2:$G$3001,$AD314))</f>
        <v/>
      </c>
      <c r="H314">
        <f>IF($AD314="","",INDEX('Per Line'!$J$2:$J$3001,$AD314)&amp;"")</f>
        <v/>
      </c>
      <c r="I314">
        <f>IF($AD314="","",INDEX('Per Line'!$H$2:$H$3001,$AD314)&amp;"")</f>
        <v/>
      </c>
      <c r="J314">
        <f>IF($AD314="","",INDEX('Per Line'!$F$2:$F$3001,$AD314)&amp;"")</f>
        <v/>
      </c>
      <c r="K314">
        <f>IF($AD314="","",INDEX('Per Line'!$K$2:$K$3001,$AD314)&amp;"")</f>
        <v/>
      </c>
      <c r="L314">
        <f>IF($AD314="","",INDEX('Per Line'!$L$2:$L$3001,$AD314)&amp;"")</f>
        <v/>
      </c>
      <c r="M314">
        <f>IF($AD314="","",INDEX('Per Line'!$M$2:$M$3001,$AD314)&amp;"")</f>
        <v/>
      </c>
      <c r="N314">
        <f>IF($AD314="","",INDEX('Per Line'!$AC$2:$AC$3001,$AD314)&amp;"")</f>
        <v/>
      </c>
      <c r="O314">
        <f>IF($AD314="","",INDEX('Per Line'!$P$2:$P$3001,$AD314))</f>
        <v/>
      </c>
      <c r="P314" s="7">
        <f>IF($AD314="","",IF(AND(ISNUMBER(Q314),Q314&gt;0,AB314&gt;Q314),O314*Q314/100+(AB314-Q314),O314*AB314/100))</f>
        <v/>
      </c>
      <c r="Q314">
        <f>IF($AD314="","",INDEX('Per Line'!$AG$2:$AG$3001,$AD314))</f>
        <v/>
      </c>
      <c r="R314">
        <f>IF($AD314="","",IF(AND(ISNUMBER(Q314),Q314&gt;0),AB314&gt;Q314,FALSE))</f>
        <v/>
      </c>
      <c r="S314" s="7">
        <f>IF($AD314="","",SUMIFS('Per Line'!$AB$2:$AB$3001,'Per Line'!$E$2:$E$3001,$B314,'Per Line'!$AQ$2:$AQ$3001,1))</f>
        <v/>
      </c>
      <c r="T314">
        <f>IF($AD314="","",Settings!$C$7)</f>
        <v/>
      </c>
      <c r="U314" s="7">
        <f>IF($AD314="","",SUMIFS('Per Line'!$AB$2:$AB$3001,'Per Line'!$E$2:$E$3001,$B314,'Per Line'!$AP$2:$AP$3001,0,'Per Line'!$AQ$2:$AQ$3001,0))</f>
        <v/>
      </c>
      <c r="V314" s="7">
        <f>IF($AD314="","",U314*T314)</f>
        <v/>
      </c>
      <c r="W314">
        <f>IF($AD314="","",Settings!$C$6)</f>
        <v/>
      </c>
      <c r="X314" s="7">
        <f>IF($AD314="","",SUMIFS('Per Line'!$AB$2:$AB$3001,'Per Line'!$E$2:$E$3001,$B314,'Per Line'!$AP$2:$AP$3001,1,'Per Line'!$AQ$2:$AQ$3001,0))</f>
        <v/>
      </c>
      <c r="Y314" s="7">
        <f>IF($AD314="","",X314*W314)</f>
        <v/>
      </c>
      <c r="Z314" s="7">
        <f>IF($AD314="","",Y314+V314)</f>
        <v/>
      </c>
      <c r="AA314" s="7">
        <f>IF($AD314="","",AB314-Z314)</f>
        <v/>
      </c>
      <c r="AB314" s="7">
        <f>IF($AD314="","",U314+X314+S314)</f>
        <v/>
      </c>
      <c r="AC314" s="7">
        <f>IF($AD314="","",AB314-Z314-P314)</f>
        <v/>
      </c>
      <c r="AD314" s="13">
        <f>IF(ROWS($AD$2:$AD314)&lt;=MAX('Per Line'!$AO$2:$AO$3001),MATCH(ROWS($AD$2:$AD314),'Per Line'!$AO$2:$AO$3001,0),"")</f>
        <v/>
      </c>
      <c r="AE314" s="14">
        <f>IF($AD314="","",P314-O314*AB314/100)</f>
        <v/>
      </c>
    </row>
    <row r="315">
      <c r="A315" s="12" t="n"/>
      <c r="B315">
        <f>IF($AD315="","",INDEX('Per Line'!$E$2:$E$3001,$AD315)&amp;"")</f>
        <v/>
      </c>
      <c r="C315">
        <f>IF($AD315="","",INDEX('Per Line'!$A$2:$A$3001,$AD315)&amp;"")</f>
        <v/>
      </c>
      <c r="D315">
        <f>IF($AD315="","",INDEX('Per Line'!$C$2:$C$3001,$AD315)&amp;"")</f>
        <v/>
      </c>
      <c r="E315">
        <f>IF($AD315="","",INDEX('Per Line'!$B$2:$B$3001,$AD315))</f>
        <v/>
      </c>
      <c r="F315">
        <f>IF($AD315="","",INDEX('Per Line'!$D$2:$D$3001,$AD315)&amp;"")</f>
        <v/>
      </c>
      <c r="G315" s="11">
        <f>IF($AD315="","",INDEX('Per Line'!$G$2:$G$3001,$AD315))</f>
        <v/>
      </c>
      <c r="H315">
        <f>IF($AD315="","",INDEX('Per Line'!$J$2:$J$3001,$AD315)&amp;"")</f>
        <v/>
      </c>
      <c r="I315">
        <f>IF($AD315="","",INDEX('Per Line'!$H$2:$H$3001,$AD315)&amp;"")</f>
        <v/>
      </c>
      <c r="J315">
        <f>IF($AD315="","",INDEX('Per Line'!$F$2:$F$3001,$AD315)&amp;"")</f>
        <v/>
      </c>
      <c r="K315">
        <f>IF($AD315="","",INDEX('Per Line'!$K$2:$K$3001,$AD315)&amp;"")</f>
        <v/>
      </c>
      <c r="L315">
        <f>IF($AD315="","",INDEX('Per Line'!$L$2:$L$3001,$AD315)&amp;"")</f>
        <v/>
      </c>
      <c r="M315">
        <f>IF($AD315="","",INDEX('Per Line'!$M$2:$M$3001,$AD315)&amp;"")</f>
        <v/>
      </c>
      <c r="N315">
        <f>IF($AD315="","",INDEX('Per Line'!$AC$2:$AC$3001,$AD315)&amp;"")</f>
        <v/>
      </c>
      <c r="O315">
        <f>IF($AD315="","",INDEX('Per Line'!$P$2:$P$3001,$AD315))</f>
        <v/>
      </c>
      <c r="P315" s="7">
        <f>IF($AD315="","",IF(AND(ISNUMBER(Q315),Q315&gt;0,AB315&gt;Q315),O315*Q315/100+(AB315-Q315),O315*AB315/100))</f>
        <v/>
      </c>
      <c r="Q315">
        <f>IF($AD315="","",INDEX('Per Line'!$AG$2:$AG$3001,$AD315))</f>
        <v/>
      </c>
      <c r="R315">
        <f>IF($AD315="","",IF(AND(ISNUMBER(Q315),Q315&gt;0),AB315&gt;Q315,FALSE))</f>
        <v/>
      </c>
      <c r="S315" s="7">
        <f>IF($AD315="","",SUMIFS('Per Line'!$AB$2:$AB$3001,'Per Line'!$E$2:$E$3001,$B315,'Per Line'!$AQ$2:$AQ$3001,1))</f>
        <v/>
      </c>
      <c r="T315">
        <f>IF($AD315="","",Settings!$C$7)</f>
        <v/>
      </c>
      <c r="U315" s="7">
        <f>IF($AD315="","",SUMIFS('Per Line'!$AB$2:$AB$3001,'Per Line'!$E$2:$E$3001,$B315,'Per Line'!$AP$2:$AP$3001,0,'Per Line'!$AQ$2:$AQ$3001,0))</f>
        <v/>
      </c>
      <c r="V315" s="7">
        <f>IF($AD315="","",U315*T315)</f>
        <v/>
      </c>
      <c r="W315">
        <f>IF($AD315="","",Settings!$C$6)</f>
        <v/>
      </c>
      <c r="X315" s="7">
        <f>IF($AD315="","",SUMIFS('Per Line'!$AB$2:$AB$3001,'Per Line'!$E$2:$E$3001,$B315,'Per Line'!$AP$2:$AP$3001,1,'Per Line'!$AQ$2:$AQ$3001,0))</f>
        <v/>
      </c>
      <c r="Y315" s="7">
        <f>IF($AD315="","",X315*W315)</f>
        <v/>
      </c>
      <c r="Z315" s="7">
        <f>IF($AD315="","",Y315+V315)</f>
        <v/>
      </c>
      <c r="AA315" s="7">
        <f>IF($AD315="","",AB315-Z315)</f>
        <v/>
      </c>
      <c r="AB315" s="7">
        <f>IF($AD315="","",U315+X315+S315)</f>
        <v/>
      </c>
      <c r="AC315" s="7">
        <f>IF($AD315="","",AB315-Z315-P315)</f>
        <v/>
      </c>
      <c r="AD315" s="13">
        <f>IF(ROWS($AD$2:$AD315)&lt;=MAX('Per Line'!$AO$2:$AO$3001),MATCH(ROWS($AD$2:$AD315),'Per Line'!$AO$2:$AO$3001,0),"")</f>
        <v/>
      </c>
      <c r="AE315" s="14">
        <f>IF($AD315="","",P315-O315*AB315/100)</f>
        <v/>
      </c>
    </row>
    <row r="316">
      <c r="A316" s="12" t="n"/>
      <c r="B316">
        <f>IF($AD316="","",INDEX('Per Line'!$E$2:$E$3001,$AD316)&amp;"")</f>
        <v/>
      </c>
      <c r="C316">
        <f>IF($AD316="","",INDEX('Per Line'!$A$2:$A$3001,$AD316)&amp;"")</f>
        <v/>
      </c>
      <c r="D316">
        <f>IF($AD316="","",INDEX('Per Line'!$C$2:$C$3001,$AD316)&amp;"")</f>
        <v/>
      </c>
      <c r="E316">
        <f>IF($AD316="","",INDEX('Per Line'!$B$2:$B$3001,$AD316))</f>
        <v/>
      </c>
      <c r="F316">
        <f>IF($AD316="","",INDEX('Per Line'!$D$2:$D$3001,$AD316)&amp;"")</f>
        <v/>
      </c>
      <c r="G316" s="11">
        <f>IF($AD316="","",INDEX('Per Line'!$G$2:$G$3001,$AD316))</f>
        <v/>
      </c>
      <c r="H316">
        <f>IF($AD316="","",INDEX('Per Line'!$J$2:$J$3001,$AD316)&amp;"")</f>
        <v/>
      </c>
      <c r="I316">
        <f>IF($AD316="","",INDEX('Per Line'!$H$2:$H$3001,$AD316)&amp;"")</f>
        <v/>
      </c>
      <c r="J316">
        <f>IF($AD316="","",INDEX('Per Line'!$F$2:$F$3001,$AD316)&amp;"")</f>
        <v/>
      </c>
      <c r="K316">
        <f>IF($AD316="","",INDEX('Per Line'!$K$2:$K$3001,$AD316)&amp;"")</f>
        <v/>
      </c>
      <c r="L316">
        <f>IF($AD316="","",INDEX('Per Line'!$L$2:$L$3001,$AD316)&amp;"")</f>
        <v/>
      </c>
      <c r="M316">
        <f>IF($AD316="","",INDEX('Per Line'!$M$2:$M$3001,$AD316)&amp;"")</f>
        <v/>
      </c>
      <c r="N316">
        <f>IF($AD316="","",INDEX('Per Line'!$AC$2:$AC$3001,$AD316)&amp;"")</f>
        <v/>
      </c>
      <c r="O316">
        <f>IF($AD316="","",INDEX('Per Line'!$P$2:$P$3001,$AD316))</f>
        <v/>
      </c>
      <c r="P316" s="7">
        <f>IF($AD316="","",IF(AND(ISNUMBER(Q316),Q316&gt;0,AB316&gt;Q316),O316*Q316/100+(AB316-Q316),O316*AB316/100))</f>
        <v/>
      </c>
      <c r="Q316">
        <f>IF($AD316="","",INDEX('Per Line'!$AG$2:$AG$3001,$AD316))</f>
        <v/>
      </c>
      <c r="R316">
        <f>IF($AD316="","",IF(AND(ISNUMBER(Q316),Q316&gt;0),AB316&gt;Q316,FALSE))</f>
        <v/>
      </c>
      <c r="S316" s="7">
        <f>IF($AD316="","",SUMIFS('Per Line'!$AB$2:$AB$3001,'Per Line'!$E$2:$E$3001,$B316,'Per Line'!$AQ$2:$AQ$3001,1))</f>
        <v/>
      </c>
      <c r="T316">
        <f>IF($AD316="","",Settings!$C$7)</f>
        <v/>
      </c>
      <c r="U316" s="7">
        <f>IF($AD316="","",SUMIFS('Per Line'!$AB$2:$AB$3001,'Per Line'!$E$2:$E$3001,$B316,'Per Line'!$AP$2:$AP$3001,0,'Per Line'!$AQ$2:$AQ$3001,0))</f>
        <v/>
      </c>
      <c r="V316" s="7">
        <f>IF($AD316="","",U316*T316)</f>
        <v/>
      </c>
      <c r="W316">
        <f>IF($AD316="","",Settings!$C$6)</f>
        <v/>
      </c>
      <c r="X316" s="7">
        <f>IF($AD316="","",SUMIFS('Per Line'!$AB$2:$AB$3001,'Per Line'!$E$2:$E$3001,$B316,'Per Line'!$AP$2:$AP$3001,1,'Per Line'!$AQ$2:$AQ$3001,0))</f>
        <v/>
      </c>
      <c r="Y316" s="7">
        <f>IF($AD316="","",X316*W316)</f>
        <v/>
      </c>
      <c r="Z316" s="7">
        <f>IF($AD316="","",Y316+V316)</f>
        <v/>
      </c>
      <c r="AA316" s="7">
        <f>IF($AD316="","",AB316-Z316)</f>
        <v/>
      </c>
      <c r="AB316" s="7">
        <f>IF($AD316="","",U316+X316+S316)</f>
        <v/>
      </c>
      <c r="AC316" s="7">
        <f>IF($AD316="","",AB316-Z316-P316)</f>
        <v/>
      </c>
      <c r="AD316" s="13">
        <f>IF(ROWS($AD$2:$AD316)&lt;=MAX('Per Line'!$AO$2:$AO$3001),MATCH(ROWS($AD$2:$AD316),'Per Line'!$AO$2:$AO$3001,0),"")</f>
        <v/>
      </c>
      <c r="AE316" s="14">
        <f>IF($AD316="","",P316-O316*AB316/100)</f>
        <v/>
      </c>
    </row>
    <row r="317">
      <c r="A317" s="12" t="n"/>
      <c r="B317">
        <f>IF($AD317="","",INDEX('Per Line'!$E$2:$E$3001,$AD317)&amp;"")</f>
        <v/>
      </c>
      <c r="C317">
        <f>IF($AD317="","",INDEX('Per Line'!$A$2:$A$3001,$AD317)&amp;"")</f>
        <v/>
      </c>
      <c r="D317">
        <f>IF($AD317="","",INDEX('Per Line'!$C$2:$C$3001,$AD317)&amp;"")</f>
        <v/>
      </c>
      <c r="E317">
        <f>IF($AD317="","",INDEX('Per Line'!$B$2:$B$3001,$AD317))</f>
        <v/>
      </c>
      <c r="F317">
        <f>IF($AD317="","",INDEX('Per Line'!$D$2:$D$3001,$AD317)&amp;"")</f>
        <v/>
      </c>
      <c r="G317" s="11">
        <f>IF($AD317="","",INDEX('Per Line'!$G$2:$G$3001,$AD317))</f>
        <v/>
      </c>
      <c r="H317">
        <f>IF($AD317="","",INDEX('Per Line'!$J$2:$J$3001,$AD317)&amp;"")</f>
        <v/>
      </c>
      <c r="I317">
        <f>IF($AD317="","",INDEX('Per Line'!$H$2:$H$3001,$AD317)&amp;"")</f>
        <v/>
      </c>
      <c r="J317">
        <f>IF($AD317="","",INDEX('Per Line'!$F$2:$F$3001,$AD317)&amp;"")</f>
        <v/>
      </c>
      <c r="K317">
        <f>IF($AD317="","",INDEX('Per Line'!$K$2:$K$3001,$AD317)&amp;"")</f>
        <v/>
      </c>
      <c r="L317">
        <f>IF($AD317="","",INDEX('Per Line'!$L$2:$L$3001,$AD317)&amp;"")</f>
        <v/>
      </c>
      <c r="M317">
        <f>IF($AD317="","",INDEX('Per Line'!$M$2:$M$3001,$AD317)&amp;"")</f>
        <v/>
      </c>
      <c r="N317">
        <f>IF($AD317="","",INDEX('Per Line'!$AC$2:$AC$3001,$AD317)&amp;"")</f>
        <v/>
      </c>
      <c r="O317">
        <f>IF($AD317="","",INDEX('Per Line'!$P$2:$P$3001,$AD317))</f>
        <v/>
      </c>
      <c r="P317" s="7">
        <f>IF($AD317="","",IF(AND(ISNUMBER(Q317),Q317&gt;0,AB317&gt;Q317),O317*Q317/100+(AB317-Q317),O317*AB317/100))</f>
        <v/>
      </c>
      <c r="Q317">
        <f>IF($AD317="","",INDEX('Per Line'!$AG$2:$AG$3001,$AD317))</f>
        <v/>
      </c>
      <c r="R317">
        <f>IF($AD317="","",IF(AND(ISNUMBER(Q317),Q317&gt;0),AB317&gt;Q317,FALSE))</f>
        <v/>
      </c>
      <c r="S317" s="7">
        <f>IF($AD317="","",SUMIFS('Per Line'!$AB$2:$AB$3001,'Per Line'!$E$2:$E$3001,$B317,'Per Line'!$AQ$2:$AQ$3001,1))</f>
        <v/>
      </c>
      <c r="T317">
        <f>IF($AD317="","",Settings!$C$7)</f>
        <v/>
      </c>
      <c r="U317" s="7">
        <f>IF($AD317="","",SUMIFS('Per Line'!$AB$2:$AB$3001,'Per Line'!$E$2:$E$3001,$B317,'Per Line'!$AP$2:$AP$3001,0,'Per Line'!$AQ$2:$AQ$3001,0))</f>
        <v/>
      </c>
      <c r="V317" s="7">
        <f>IF($AD317="","",U317*T317)</f>
        <v/>
      </c>
      <c r="W317">
        <f>IF($AD317="","",Settings!$C$6)</f>
        <v/>
      </c>
      <c r="X317" s="7">
        <f>IF($AD317="","",SUMIFS('Per Line'!$AB$2:$AB$3001,'Per Line'!$E$2:$E$3001,$B317,'Per Line'!$AP$2:$AP$3001,1,'Per Line'!$AQ$2:$AQ$3001,0))</f>
        <v/>
      </c>
      <c r="Y317" s="7">
        <f>IF($AD317="","",X317*W317)</f>
        <v/>
      </c>
      <c r="Z317" s="7">
        <f>IF($AD317="","",Y317+V317)</f>
        <v/>
      </c>
      <c r="AA317" s="7">
        <f>IF($AD317="","",AB317-Z317)</f>
        <v/>
      </c>
      <c r="AB317" s="7">
        <f>IF($AD317="","",U317+X317+S317)</f>
        <v/>
      </c>
      <c r="AC317" s="7">
        <f>IF($AD317="","",AB317-Z317-P317)</f>
        <v/>
      </c>
      <c r="AD317" s="13">
        <f>IF(ROWS($AD$2:$AD317)&lt;=MAX('Per Line'!$AO$2:$AO$3001),MATCH(ROWS($AD$2:$AD317),'Per Line'!$AO$2:$AO$3001,0),"")</f>
        <v/>
      </c>
      <c r="AE317" s="14">
        <f>IF($AD317="","",P317-O317*AB317/100)</f>
        <v/>
      </c>
    </row>
    <row r="318">
      <c r="A318" s="12" t="n"/>
      <c r="B318">
        <f>IF($AD318="","",INDEX('Per Line'!$E$2:$E$3001,$AD318)&amp;"")</f>
        <v/>
      </c>
      <c r="C318">
        <f>IF($AD318="","",INDEX('Per Line'!$A$2:$A$3001,$AD318)&amp;"")</f>
        <v/>
      </c>
      <c r="D318">
        <f>IF($AD318="","",INDEX('Per Line'!$C$2:$C$3001,$AD318)&amp;"")</f>
        <v/>
      </c>
      <c r="E318">
        <f>IF($AD318="","",INDEX('Per Line'!$B$2:$B$3001,$AD318))</f>
        <v/>
      </c>
      <c r="F318">
        <f>IF($AD318="","",INDEX('Per Line'!$D$2:$D$3001,$AD318)&amp;"")</f>
        <v/>
      </c>
      <c r="G318" s="11">
        <f>IF($AD318="","",INDEX('Per Line'!$G$2:$G$3001,$AD318))</f>
        <v/>
      </c>
      <c r="H318">
        <f>IF($AD318="","",INDEX('Per Line'!$J$2:$J$3001,$AD318)&amp;"")</f>
        <v/>
      </c>
      <c r="I318">
        <f>IF($AD318="","",INDEX('Per Line'!$H$2:$H$3001,$AD318)&amp;"")</f>
        <v/>
      </c>
      <c r="J318">
        <f>IF($AD318="","",INDEX('Per Line'!$F$2:$F$3001,$AD318)&amp;"")</f>
        <v/>
      </c>
      <c r="K318">
        <f>IF($AD318="","",INDEX('Per Line'!$K$2:$K$3001,$AD318)&amp;"")</f>
        <v/>
      </c>
      <c r="L318">
        <f>IF($AD318="","",INDEX('Per Line'!$L$2:$L$3001,$AD318)&amp;"")</f>
        <v/>
      </c>
      <c r="M318">
        <f>IF($AD318="","",INDEX('Per Line'!$M$2:$M$3001,$AD318)&amp;"")</f>
        <v/>
      </c>
      <c r="N318">
        <f>IF($AD318="","",INDEX('Per Line'!$AC$2:$AC$3001,$AD318)&amp;"")</f>
        <v/>
      </c>
      <c r="O318">
        <f>IF($AD318="","",INDEX('Per Line'!$P$2:$P$3001,$AD318))</f>
        <v/>
      </c>
      <c r="P318" s="7">
        <f>IF($AD318="","",IF(AND(ISNUMBER(Q318),Q318&gt;0,AB318&gt;Q318),O318*Q318/100+(AB318-Q318),O318*AB318/100))</f>
        <v/>
      </c>
      <c r="Q318">
        <f>IF($AD318="","",INDEX('Per Line'!$AG$2:$AG$3001,$AD318))</f>
        <v/>
      </c>
      <c r="R318">
        <f>IF($AD318="","",IF(AND(ISNUMBER(Q318),Q318&gt;0),AB318&gt;Q318,FALSE))</f>
        <v/>
      </c>
      <c r="S318" s="7">
        <f>IF($AD318="","",SUMIFS('Per Line'!$AB$2:$AB$3001,'Per Line'!$E$2:$E$3001,$B318,'Per Line'!$AQ$2:$AQ$3001,1))</f>
        <v/>
      </c>
      <c r="T318">
        <f>IF($AD318="","",Settings!$C$7)</f>
        <v/>
      </c>
      <c r="U318" s="7">
        <f>IF($AD318="","",SUMIFS('Per Line'!$AB$2:$AB$3001,'Per Line'!$E$2:$E$3001,$B318,'Per Line'!$AP$2:$AP$3001,0,'Per Line'!$AQ$2:$AQ$3001,0))</f>
        <v/>
      </c>
      <c r="V318" s="7">
        <f>IF($AD318="","",U318*T318)</f>
        <v/>
      </c>
      <c r="W318">
        <f>IF($AD318="","",Settings!$C$6)</f>
        <v/>
      </c>
      <c r="X318" s="7">
        <f>IF($AD318="","",SUMIFS('Per Line'!$AB$2:$AB$3001,'Per Line'!$E$2:$E$3001,$B318,'Per Line'!$AP$2:$AP$3001,1,'Per Line'!$AQ$2:$AQ$3001,0))</f>
        <v/>
      </c>
      <c r="Y318" s="7">
        <f>IF($AD318="","",X318*W318)</f>
        <v/>
      </c>
      <c r="Z318" s="7">
        <f>IF($AD318="","",Y318+V318)</f>
        <v/>
      </c>
      <c r="AA318" s="7">
        <f>IF($AD318="","",AB318-Z318)</f>
        <v/>
      </c>
      <c r="AB318" s="7">
        <f>IF($AD318="","",U318+X318+S318)</f>
        <v/>
      </c>
      <c r="AC318" s="7">
        <f>IF($AD318="","",AB318-Z318-P318)</f>
        <v/>
      </c>
      <c r="AD318" s="13">
        <f>IF(ROWS($AD$2:$AD318)&lt;=MAX('Per Line'!$AO$2:$AO$3001),MATCH(ROWS($AD$2:$AD318),'Per Line'!$AO$2:$AO$3001,0),"")</f>
        <v/>
      </c>
      <c r="AE318" s="14">
        <f>IF($AD318="","",P318-O318*AB318/100)</f>
        <v/>
      </c>
    </row>
    <row r="319">
      <c r="A319" s="12" t="n"/>
      <c r="B319">
        <f>IF($AD319="","",INDEX('Per Line'!$E$2:$E$3001,$AD319)&amp;"")</f>
        <v/>
      </c>
      <c r="C319">
        <f>IF($AD319="","",INDEX('Per Line'!$A$2:$A$3001,$AD319)&amp;"")</f>
        <v/>
      </c>
      <c r="D319">
        <f>IF($AD319="","",INDEX('Per Line'!$C$2:$C$3001,$AD319)&amp;"")</f>
        <v/>
      </c>
      <c r="E319">
        <f>IF($AD319="","",INDEX('Per Line'!$B$2:$B$3001,$AD319))</f>
        <v/>
      </c>
      <c r="F319">
        <f>IF($AD319="","",INDEX('Per Line'!$D$2:$D$3001,$AD319)&amp;"")</f>
        <v/>
      </c>
      <c r="G319" s="11">
        <f>IF($AD319="","",INDEX('Per Line'!$G$2:$G$3001,$AD319))</f>
        <v/>
      </c>
      <c r="H319">
        <f>IF($AD319="","",INDEX('Per Line'!$J$2:$J$3001,$AD319)&amp;"")</f>
        <v/>
      </c>
      <c r="I319">
        <f>IF($AD319="","",INDEX('Per Line'!$H$2:$H$3001,$AD319)&amp;"")</f>
        <v/>
      </c>
      <c r="J319">
        <f>IF($AD319="","",INDEX('Per Line'!$F$2:$F$3001,$AD319)&amp;"")</f>
        <v/>
      </c>
      <c r="K319">
        <f>IF($AD319="","",INDEX('Per Line'!$K$2:$K$3001,$AD319)&amp;"")</f>
        <v/>
      </c>
      <c r="L319">
        <f>IF($AD319="","",INDEX('Per Line'!$L$2:$L$3001,$AD319)&amp;"")</f>
        <v/>
      </c>
      <c r="M319">
        <f>IF($AD319="","",INDEX('Per Line'!$M$2:$M$3001,$AD319)&amp;"")</f>
        <v/>
      </c>
      <c r="N319">
        <f>IF($AD319="","",INDEX('Per Line'!$AC$2:$AC$3001,$AD319)&amp;"")</f>
        <v/>
      </c>
      <c r="O319">
        <f>IF($AD319="","",INDEX('Per Line'!$P$2:$P$3001,$AD319))</f>
        <v/>
      </c>
      <c r="P319" s="7">
        <f>IF($AD319="","",IF(AND(ISNUMBER(Q319),Q319&gt;0,AB319&gt;Q319),O319*Q319/100+(AB319-Q319),O319*AB319/100))</f>
        <v/>
      </c>
      <c r="Q319">
        <f>IF($AD319="","",INDEX('Per Line'!$AG$2:$AG$3001,$AD319))</f>
        <v/>
      </c>
      <c r="R319">
        <f>IF($AD319="","",IF(AND(ISNUMBER(Q319),Q319&gt;0),AB319&gt;Q319,FALSE))</f>
        <v/>
      </c>
      <c r="S319" s="7">
        <f>IF($AD319="","",SUMIFS('Per Line'!$AB$2:$AB$3001,'Per Line'!$E$2:$E$3001,$B319,'Per Line'!$AQ$2:$AQ$3001,1))</f>
        <v/>
      </c>
      <c r="T319">
        <f>IF($AD319="","",Settings!$C$7)</f>
        <v/>
      </c>
      <c r="U319" s="7">
        <f>IF($AD319="","",SUMIFS('Per Line'!$AB$2:$AB$3001,'Per Line'!$E$2:$E$3001,$B319,'Per Line'!$AP$2:$AP$3001,0,'Per Line'!$AQ$2:$AQ$3001,0))</f>
        <v/>
      </c>
      <c r="V319" s="7">
        <f>IF($AD319="","",U319*T319)</f>
        <v/>
      </c>
      <c r="W319">
        <f>IF($AD319="","",Settings!$C$6)</f>
        <v/>
      </c>
      <c r="X319" s="7">
        <f>IF($AD319="","",SUMIFS('Per Line'!$AB$2:$AB$3001,'Per Line'!$E$2:$E$3001,$B319,'Per Line'!$AP$2:$AP$3001,1,'Per Line'!$AQ$2:$AQ$3001,0))</f>
        <v/>
      </c>
      <c r="Y319" s="7">
        <f>IF($AD319="","",X319*W319)</f>
        <v/>
      </c>
      <c r="Z319" s="7">
        <f>IF($AD319="","",Y319+V319)</f>
        <v/>
      </c>
      <c r="AA319" s="7">
        <f>IF($AD319="","",AB319-Z319)</f>
        <v/>
      </c>
      <c r="AB319" s="7">
        <f>IF($AD319="","",U319+X319+S319)</f>
        <v/>
      </c>
      <c r="AC319" s="7">
        <f>IF($AD319="","",AB319-Z319-P319)</f>
        <v/>
      </c>
      <c r="AD319" s="13">
        <f>IF(ROWS($AD$2:$AD319)&lt;=MAX('Per Line'!$AO$2:$AO$3001),MATCH(ROWS($AD$2:$AD319),'Per Line'!$AO$2:$AO$3001,0),"")</f>
        <v/>
      </c>
      <c r="AE319" s="14">
        <f>IF($AD319="","",P319-O319*AB319/100)</f>
        <v/>
      </c>
    </row>
    <row r="320">
      <c r="A320" s="12" t="n"/>
      <c r="B320">
        <f>IF($AD320="","",INDEX('Per Line'!$E$2:$E$3001,$AD320)&amp;"")</f>
        <v/>
      </c>
      <c r="C320">
        <f>IF($AD320="","",INDEX('Per Line'!$A$2:$A$3001,$AD320)&amp;"")</f>
        <v/>
      </c>
      <c r="D320">
        <f>IF($AD320="","",INDEX('Per Line'!$C$2:$C$3001,$AD320)&amp;"")</f>
        <v/>
      </c>
      <c r="E320">
        <f>IF($AD320="","",INDEX('Per Line'!$B$2:$B$3001,$AD320))</f>
        <v/>
      </c>
      <c r="F320">
        <f>IF($AD320="","",INDEX('Per Line'!$D$2:$D$3001,$AD320)&amp;"")</f>
        <v/>
      </c>
      <c r="G320" s="11">
        <f>IF($AD320="","",INDEX('Per Line'!$G$2:$G$3001,$AD320))</f>
        <v/>
      </c>
      <c r="H320">
        <f>IF($AD320="","",INDEX('Per Line'!$J$2:$J$3001,$AD320)&amp;"")</f>
        <v/>
      </c>
      <c r="I320">
        <f>IF($AD320="","",INDEX('Per Line'!$H$2:$H$3001,$AD320)&amp;"")</f>
        <v/>
      </c>
      <c r="J320">
        <f>IF($AD320="","",INDEX('Per Line'!$F$2:$F$3001,$AD320)&amp;"")</f>
        <v/>
      </c>
      <c r="K320">
        <f>IF($AD320="","",INDEX('Per Line'!$K$2:$K$3001,$AD320)&amp;"")</f>
        <v/>
      </c>
      <c r="L320">
        <f>IF($AD320="","",INDEX('Per Line'!$L$2:$L$3001,$AD320)&amp;"")</f>
        <v/>
      </c>
      <c r="M320">
        <f>IF($AD320="","",INDEX('Per Line'!$M$2:$M$3001,$AD320)&amp;"")</f>
        <v/>
      </c>
      <c r="N320">
        <f>IF($AD320="","",INDEX('Per Line'!$AC$2:$AC$3001,$AD320)&amp;"")</f>
        <v/>
      </c>
      <c r="O320">
        <f>IF($AD320="","",INDEX('Per Line'!$P$2:$P$3001,$AD320))</f>
        <v/>
      </c>
      <c r="P320" s="7">
        <f>IF($AD320="","",IF(AND(ISNUMBER(Q320),Q320&gt;0,AB320&gt;Q320),O320*Q320/100+(AB320-Q320),O320*AB320/100))</f>
        <v/>
      </c>
      <c r="Q320">
        <f>IF($AD320="","",INDEX('Per Line'!$AG$2:$AG$3001,$AD320))</f>
        <v/>
      </c>
      <c r="R320">
        <f>IF($AD320="","",IF(AND(ISNUMBER(Q320),Q320&gt;0),AB320&gt;Q320,FALSE))</f>
        <v/>
      </c>
      <c r="S320" s="7">
        <f>IF($AD320="","",SUMIFS('Per Line'!$AB$2:$AB$3001,'Per Line'!$E$2:$E$3001,$B320,'Per Line'!$AQ$2:$AQ$3001,1))</f>
        <v/>
      </c>
      <c r="T320">
        <f>IF($AD320="","",Settings!$C$7)</f>
        <v/>
      </c>
      <c r="U320" s="7">
        <f>IF($AD320="","",SUMIFS('Per Line'!$AB$2:$AB$3001,'Per Line'!$E$2:$E$3001,$B320,'Per Line'!$AP$2:$AP$3001,0,'Per Line'!$AQ$2:$AQ$3001,0))</f>
        <v/>
      </c>
      <c r="V320" s="7">
        <f>IF($AD320="","",U320*T320)</f>
        <v/>
      </c>
      <c r="W320">
        <f>IF($AD320="","",Settings!$C$6)</f>
        <v/>
      </c>
      <c r="X320" s="7">
        <f>IF($AD320="","",SUMIFS('Per Line'!$AB$2:$AB$3001,'Per Line'!$E$2:$E$3001,$B320,'Per Line'!$AP$2:$AP$3001,1,'Per Line'!$AQ$2:$AQ$3001,0))</f>
        <v/>
      </c>
      <c r="Y320" s="7">
        <f>IF($AD320="","",X320*W320)</f>
        <v/>
      </c>
      <c r="Z320" s="7">
        <f>IF($AD320="","",Y320+V320)</f>
        <v/>
      </c>
      <c r="AA320" s="7">
        <f>IF($AD320="","",AB320-Z320)</f>
        <v/>
      </c>
      <c r="AB320" s="7">
        <f>IF($AD320="","",U320+X320+S320)</f>
        <v/>
      </c>
      <c r="AC320" s="7">
        <f>IF($AD320="","",AB320-Z320-P320)</f>
        <v/>
      </c>
      <c r="AD320" s="13">
        <f>IF(ROWS($AD$2:$AD320)&lt;=MAX('Per Line'!$AO$2:$AO$3001),MATCH(ROWS($AD$2:$AD320),'Per Line'!$AO$2:$AO$3001,0),"")</f>
        <v/>
      </c>
      <c r="AE320" s="14">
        <f>IF($AD320="","",P320-O320*AB320/100)</f>
        <v/>
      </c>
    </row>
    <row r="321">
      <c r="A321" s="12" t="n"/>
      <c r="B321">
        <f>IF($AD321="","",INDEX('Per Line'!$E$2:$E$3001,$AD321)&amp;"")</f>
        <v/>
      </c>
      <c r="C321">
        <f>IF($AD321="","",INDEX('Per Line'!$A$2:$A$3001,$AD321)&amp;"")</f>
        <v/>
      </c>
      <c r="D321">
        <f>IF($AD321="","",INDEX('Per Line'!$C$2:$C$3001,$AD321)&amp;"")</f>
        <v/>
      </c>
      <c r="E321">
        <f>IF($AD321="","",INDEX('Per Line'!$B$2:$B$3001,$AD321))</f>
        <v/>
      </c>
      <c r="F321">
        <f>IF($AD321="","",INDEX('Per Line'!$D$2:$D$3001,$AD321)&amp;"")</f>
        <v/>
      </c>
      <c r="G321" s="11">
        <f>IF($AD321="","",INDEX('Per Line'!$G$2:$G$3001,$AD321))</f>
        <v/>
      </c>
      <c r="H321">
        <f>IF($AD321="","",INDEX('Per Line'!$J$2:$J$3001,$AD321)&amp;"")</f>
        <v/>
      </c>
      <c r="I321">
        <f>IF($AD321="","",INDEX('Per Line'!$H$2:$H$3001,$AD321)&amp;"")</f>
        <v/>
      </c>
      <c r="J321">
        <f>IF($AD321="","",INDEX('Per Line'!$F$2:$F$3001,$AD321)&amp;"")</f>
        <v/>
      </c>
      <c r="K321">
        <f>IF($AD321="","",INDEX('Per Line'!$K$2:$K$3001,$AD321)&amp;"")</f>
        <v/>
      </c>
      <c r="L321">
        <f>IF($AD321="","",INDEX('Per Line'!$L$2:$L$3001,$AD321)&amp;"")</f>
        <v/>
      </c>
      <c r="M321">
        <f>IF($AD321="","",INDEX('Per Line'!$M$2:$M$3001,$AD321)&amp;"")</f>
        <v/>
      </c>
      <c r="N321">
        <f>IF($AD321="","",INDEX('Per Line'!$AC$2:$AC$3001,$AD321)&amp;"")</f>
        <v/>
      </c>
      <c r="O321">
        <f>IF($AD321="","",INDEX('Per Line'!$P$2:$P$3001,$AD321))</f>
        <v/>
      </c>
      <c r="P321" s="7">
        <f>IF($AD321="","",IF(AND(ISNUMBER(Q321),Q321&gt;0,AB321&gt;Q321),O321*Q321/100+(AB321-Q321),O321*AB321/100))</f>
        <v/>
      </c>
      <c r="Q321">
        <f>IF($AD321="","",INDEX('Per Line'!$AG$2:$AG$3001,$AD321))</f>
        <v/>
      </c>
      <c r="R321">
        <f>IF($AD321="","",IF(AND(ISNUMBER(Q321),Q321&gt;0),AB321&gt;Q321,FALSE))</f>
        <v/>
      </c>
      <c r="S321" s="7">
        <f>IF($AD321="","",SUMIFS('Per Line'!$AB$2:$AB$3001,'Per Line'!$E$2:$E$3001,$B321,'Per Line'!$AQ$2:$AQ$3001,1))</f>
        <v/>
      </c>
      <c r="T321">
        <f>IF($AD321="","",Settings!$C$7)</f>
        <v/>
      </c>
      <c r="U321" s="7">
        <f>IF($AD321="","",SUMIFS('Per Line'!$AB$2:$AB$3001,'Per Line'!$E$2:$E$3001,$B321,'Per Line'!$AP$2:$AP$3001,0,'Per Line'!$AQ$2:$AQ$3001,0))</f>
        <v/>
      </c>
      <c r="V321" s="7">
        <f>IF($AD321="","",U321*T321)</f>
        <v/>
      </c>
      <c r="W321">
        <f>IF($AD321="","",Settings!$C$6)</f>
        <v/>
      </c>
      <c r="X321" s="7">
        <f>IF($AD321="","",SUMIFS('Per Line'!$AB$2:$AB$3001,'Per Line'!$E$2:$E$3001,$B321,'Per Line'!$AP$2:$AP$3001,1,'Per Line'!$AQ$2:$AQ$3001,0))</f>
        <v/>
      </c>
      <c r="Y321" s="7">
        <f>IF($AD321="","",X321*W321)</f>
        <v/>
      </c>
      <c r="Z321" s="7">
        <f>IF($AD321="","",Y321+V321)</f>
        <v/>
      </c>
      <c r="AA321" s="7">
        <f>IF($AD321="","",AB321-Z321)</f>
        <v/>
      </c>
      <c r="AB321" s="7">
        <f>IF($AD321="","",U321+X321+S321)</f>
        <v/>
      </c>
      <c r="AC321" s="7">
        <f>IF($AD321="","",AB321-Z321-P321)</f>
        <v/>
      </c>
      <c r="AD321" s="13">
        <f>IF(ROWS($AD$2:$AD321)&lt;=MAX('Per Line'!$AO$2:$AO$3001),MATCH(ROWS($AD$2:$AD321),'Per Line'!$AO$2:$AO$3001,0),"")</f>
        <v/>
      </c>
      <c r="AE321" s="14">
        <f>IF($AD321="","",P321-O321*AB321/100)</f>
        <v/>
      </c>
    </row>
    <row r="322">
      <c r="A322" s="12" t="n"/>
      <c r="B322">
        <f>IF($AD322="","",INDEX('Per Line'!$E$2:$E$3001,$AD322)&amp;"")</f>
        <v/>
      </c>
      <c r="C322">
        <f>IF($AD322="","",INDEX('Per Line'!$A$2:$A$3001,$AD322)&amp;"")</f>
        <v/>
      </c>
      <c r="D322">
        <f>IF($AD322="","",INDEX('Per Line'!$C$2:$C$3001,$AD322)&amp;"")</f>
        <v/>
      </c>
      <c r="E322">
        <f>IF($AD322="","",INDEX('Per Line'!$B$2:$B$3001,$AD322))</f>
        <v/>
      </c>
      <c r="F322">
        <f>IF($AD322="","",INDEX('Per Line'!$D$2:$D$3001,$AD322)&amp;"")</f>
        <v/>
      </c>
      <c r="G322" s="11">
        <f>IF($AD322="","",INDEX('Per Line'!$G$2:$G$3001,$AD322))</f>
        <v/>
      </c>
      <c r="H322">
        <f>IF($AD322="","",INDEX('Per Line'!$J$2:$J$3001,$AD322)&amp;"")</f>
        <v/>
      </c>
      <c r="I322">
        <f>IF($AD322="","",INDEX('Per Line'!$H$2:$H$3001,$AD322)&amp;"")</f>
        <v/>
      </c>
      <c r="J322">
        <f>IF($AD322="","",INDEX('Per Line'!$F$2:$F$3001,$AD322)&amp;"")</f>
        <v/>
      </c>
      <c r="K322">
        <f>IF($AD322="","",INDEX('Per Line'!$K$2:$K$3001,$AD322)&amp;"")</f>
        <v/>
      </c>
      <c r="L322">
        <f>IF($AD322="","",INDEX('Per Line'!$L$2:$L$3001,$AD322)&amp;"")</f>
        <v/>
      </c>
      <c r="M322">
        <f>IF($AD322="","",INDEX('Per Line'!$M$2:$M$3001,$AD322)&amp;"")</f>
        <v/>
      </c>
      <c r="N322">
        <f>IF($AD322="","",INDEX('Per Line'!$AC$2:$AC$3001,$AD322)&amp;"")</f>
        <v/>
      </c>
      <c r="O322">
        <f>IF($AD322="","",INDEX('Per Line'!$P$2:$P$3001,$AD322))</f>
        <v/>
      </c>
      <c r="P322" s="7">
        <f>IF($AD322="","",IF(AND(ISNUMBER(Q322),Q322&gt;0,AB322&gt;Q322),O322*Q322/100+(AB322-Q322),O322*AB322/100))</f>
        <v/>
      </c>
      <c r="Q322">
        <f>IF($AD322="","",INDEX('Per Line'!$AG$2:$AG$3001,$AD322))</f>
        <v/>
      </c>
      <c r="R322">
        <f>IF($AD322="","",IF(AND(ISNUMBER(Q322),Q322&gt;0),AB322&gt;Q322,FALSE))</f>
        <v/>
      </c>
      <c r="S322" s="7">
        <f>IF($AD322="","",SUMIFS('Per Line'!$AB$2:$AB$3001,'Per Line'!$E$2:$E$3001,$B322,'Per Line'!$AQ$2:$AQ$3001,1))</f>
        <v/>
      </c>
      <c r="T322">
        <f>IF($AD322="","",Settings!$C$7)</f>
        <v/>
      </c>
      <c r="U322" s="7">
        <f>IF($AD322="","",SUMIFS('Per Line'!$AB$2:$AB$3001,'Per Line'!$E$2:$E$3001,$B322,'Per Line'!$AP$2:$AP$3001,0,'Per Line'!$AQ$2:$AQ$3001,0))</f>
        <v/>
      </c>
      <c r="V322" s="7">
        <f>IF($AD322="","",U322*T322)</f>
        <v/>
      </c>
      <c r="W322">
        <f>IF($AD322="","",Settings!$C$6)</f>
        <v/>
      </c>
      <c r="X322" s="7">
        <f>IF($AD322="","",SUMIFS('Per Line'!$AB$2:$AB$3001,'Per Line'!$E$2:$E$3001,$B322,'Per Line'!$AP$2:$AP$3001,1,'Per Line'!$AQ$2:$AQ$3001,0))</f>
        <v/>
      </c>
      <c r="Y322" s="7">
        <f>IF($AD322="","",X322*W322)</f>
        <v/>
      </c>
      <c r="Z322" s="7">
        <f>IF($AD322="","",Y322+V322)</f>
        <v/>
      </c>
      <c r="AA322" s="7">
        <f>IF($AD322="","",AB322-Z322)</f>
        <v/>
      </c>
      <c r="AB322" s="7">
        <f>IF($AD322="","",U322+X322+S322)</f>
        <v/>
      </c>
      <c r="AC322" s="7">
        <f>IF($AD322="","",AB322-Z322-P322)</f>
        <v/>
      </c>
      <c r="AD322" s="13">
        <f>IF(ROWS($AD$2:$AD322)&lt;=MAX('Per Line'!$AO$2:$AO$3001),MATCH(ROWS($AD$2:$AD322),'Per Line'!$AO$2:$AO$3001,0),"")</f>
        <v/>
      </c>
      <c r="AE322" s="14">
        <f>IF($AD322="","",P322-O322*AB322/100)</f>
        <v/>
      </c>
    </row>
    <row r="323">
      <c r="A323" s="12" t="n"/>
      <c r="B323">
        <f>IF($AD323="","",INDEX('Per Line'!$E$2:$E$3001,$AD323)&amp;"")</f>
        <v/>
      </c>
      <c r="C323">
        <f>IF($AD323="","",INDEX('Per Line'!$A$2:$A$3001,$AD323)&amp;"")</f>
        <v/>
      </c>
      <c r="D323">
        <f>IF($AD323="","",INDEX('Per Line'!$C$2:$C$3001,$AD323)&amp;"")</f>
        <v/>
      </c>
      <c r="E323">
        <f>IF($AD323="","",INDEX('Per Line'!$B$2:$B$3001,$AD323))</f>
        <v/>
      </c>
      <c r="F323">
        <f>IF($AD323="","",INDEX('Per Line'!$D$2:$D$3001,$AD323)&amp;"")</f>
        <v/>
      </c>
      <c r="G323" s="11">
        <f>IF($AD323="","",INDEX('Per Line'!$G$2:$G$3001,$AD323))</f>
        <v/>
      </c>
      <c r="H323">
        <f>IF($AD323="","",INDEX('Per Line'!$J$2:$J$3001,$AD323)&amp;"")</f>
        <v/>
      </c>
      <c r="I323">
        <f>IF($AD323="","",INDEX('Per Line'!$H$2:$H$3001,$AD323)&amp;"")</f>
        <v/>
      </c>
      <c r="J323">
        <f>IF($AD323="","",INDEX('Per Line'!$F$2:$F$3001,$AD323)&amp;"")</f>
        <v/>
      </c>
      <c r="K323">
        <f>IF($AD323="","",INDEX('Per Line'!$K$2:$K$3001,$AD323)&amp;"")</f>
        <v/>
      </c>
      <c r="L323">
        <f>IF($AD323="","",INDEX('Per Line'!$L$2:$L$3001,$AD323)&amp;"")</f>
        <v/>
      </c>
      <c r="M323">
        <f>IF($AD323="","",INDEX('Per Line'!$M$2:$M$3001,$AD323)&amp;"")</f>
        <v/>
      </c>
      <c r="N323">
        <f>IF($AD323="","",INDEX('Per Line'!$AC$2:$AC$3001,$AD323)&amp;"")</f>
        <v/>
      </c>
      <c r="O323">
        <f>IF($AD323="","",INDEX('Per Line'!$P$2:$P$3001,$AD323))</f>
        <v/>
      </c>
      <c r="P323" s="7">
        <f>IF($AD323="","",IF(AND(ISNUMBER(Q323),Q323&gt;0,AB323&gt;Q323),O323*Q323/100+(AB323-Q323),O323*AB323/100))</f>
        <v/>
      </c>
      <c r="Q323">
        <f>IF($AD323="","",INDEX('Per Line'!$AG$2:$AG$3001,$AD323))</f>
        <v/>
      </c>
      <c r="R323">
        <f>IF($AD323="","",IF(AND(ISNUMBER(Q323),Q323&gt;0),AB323&gt;Q323,FALSE))</f>
        <v/>
      </c>
      <c r="S323" s="7">
        <f>IF($AD323="","",SUMIFS('Per Line'!$AB$2:$AB$3001,'Per Line'!$E$2:$E$3001,$B323,'Per Line'!$AQ$2:$AQ$3001,1))</f>
        <v/>
      </c>
      <c r="T323">
        <f>IF($AD323="","",Settings!$C$7)</f>
        <v/>
      </c>
      <c r="U323" s="7">
        <f>IF($AD323="","",SUMIFS('Per Line'!$AB$2:$AB$3001,'Per Line'!$E$2:$E$3001,$B323,'Per Line'!$AP$2:$AP$3001,0,'Per Line'!$AQ$2:$AQ$3001,0))</f>
        <v/>
      </c>
      <c r="V323" s="7">
        <f>IF($AD323="","",U323*T323)</f>
        <v/>
      </c>
      <c r="W323">
        <f>IF($AD323="","",Settings!$C$6)</f>
        <v/>
      </c>
      <c r="X323" s="7">
        <f>IF($AD323="","",SUMIFS('Per Line'!$AB$2:$AB$3001,'Per Line'!$E$2:$E$3001,$B323,'Per Line'!$AP$2:$AP$3001,1,'Per Line'!$AQ$2:$AQ$3001,0))</f>
        <v/>
      </c>
      <c r="Y323" s="7">
        <f>IF($AD323="","",X323*W323)</f>
        <v/>
      </c>
      <c r="Z323" s="7">
        <f>IF($AD323="","",Y323+V323)</f>
        <v/>
      </c>
      <c r="AA323" s="7">
        <f>IF($AD323="","",AB323-Z323)</f>
        <v/>
      </c>
      <c r="AB323" s="7">
        <f>IF($AD323="","",U323+X323+S323)</f>
        <v/>
      </c>
      <c r="AC323" s="7">
        <f>IF($AD323="","",AB323-Z323-P323)</f>
        <v/>
      </c>
      <c r="AD323" s="13">
        <f>IF(ROWS($AD$2:$AD323)&lt;=MAX('Per Line'!$AO$2:$AO$3001),MATCH(ROWS($AD$2:$AD323),'Per Line'!$AO$2:$AO$3001,0),"")</f>
        <v/>
      </c>
      <c r="AE323" s="14">
        <f>IF($AD323="","",P323-O323*AB323/100)</f>
        <v/>
      </c>
    </row>
    <row r="324">
      <c r="A324" s="12" t="n"/>
      <c r="B324">
        <f>IF($AD324="","",INDEX('Per Line'!$E$2:$E$3001,$AD324)&amp;"")</f>
        <v/>
      </c>
      <c r="C324">
        <f>IF($AD324="","",INDEX('Per Line'!$A$2:$A$3001,$AD324)&amp;"")</f>
        <v/>
      </c>
      <c r="D324">
        <f>IF($AD324="","",INDEX('Per Line'!$C$2:$C$3001,$AD324)&amp;"")</f>
        <v/>
      </c>
      <c r="E324">
        <f>IF($AD324="","",INDEX('Per Line'!$B$2:$B$3001,$AD324))</f>
        <v/>
      </c>
      <c r="F324">
        <f>IF($AD324="","",INDEX('Per Line'!$D$2:$D$3001,$AD324)&amp;"")</f>
        <v/>
      </c>
      <c r="G324" s="11">
        <f>IF($AD324="","",INDEX('Per Line'!$G$2:$G$3001,$AD324))</f>
        <v/>
      </c>
      <c r="H324">
        <f>IF($AD324="","",INDEX('Per Line'!$J$2:$J$3001,$AD324)&amp;"")</f>
        <v/>
      </c>
      <c r="I324">
        <f>IF($AD324="","",INDEX('Per Line'!$H$2:$H$3001,$AD324)&amp;"")</f>
        <v/>
      </c>
      <c r="J324">
        <f>IF($AD324="","",INDEX('Per Line'!$F$2:$F$3001,$AD324)&amp;"")</f>
        <v/>
      </c>
      <c r="K324">
        <f>IF($AD324="","",INDEX('Per Line'!$K$2:$K$3001,$AD324)&amp;"")</f>
        <v/>
      </c>
      <c r="L324">
        <f>IF($AD324="","",INDEX('Per Line'!$L$2:$L$3001,$AD324)&amp;"")</f>
        <v/>
      </c>
      <c r="M324">
        <f>IF($AD324="","",INDEX('Per Line'!$M$2:$M$3001,$AD324)&amp;"")</f>
        <v/>
      </c>
      <c r="N324">
        <f>IF($AD324="","",INDEX('Per Line'!$AC$2:$AC$3001,$AD324)&amp;"")</f>
        <v/>
      </c>
      <c r="O324">
        <f>IF($AD324="","",INDEX('Per Line'!$P$2:$P$3001,$AD324))</f>
        <v/>
      </c>
      <c r="P324" s="7">
        <f>IF($AD324="","",IF(AND(ISNUMBER(Q324),Q324&gt;0,AB324&gt;Q324),O324*Q324/100+(AB324-Q324),O324*AB324/100))</f>
        <v/>
      </c>
      <c r="Q324">
        <f>IF($AD324="","",INDEX('Per Line'!$AG$2:$AG$3001,$AD324))</f>
        <v/>
      </c>
      <c r="R324">
        <f>IF($AD324="","",IF(AND(ISNUMBER(Q324),Q324&gt;0),AB324&gt;Q324,FALSE))</f>
        <v/>
      </c>
      <c r="S324" s="7">
        <f>IF($AD324="","",SUMIFS('Per Line'!$AB$2:$AB$3001,'Per Line'!$E$2:$E$3001,$B324,'Per Line'!$AQ$2:$AQ$3001,1))</f>
        <v/>
      </c>
      <c r="T324">
        <f>IF($AD324="","",Settings!$C$7)</f>
        <v/>
      </c>
      <c r="U324" s="7">
        <f>IF($AD324="","",SUMIFS('Per Line'!$AB$2:$AB$3001,'Per Line'!$E$2:$E$3001,$B324,'Per Line'!$AP$2:$AP$3001,0,'Per Line'!$AQ$2:$AQ$3001,0))</f>
        <v/>
      </c>
      <c r="V324" s="7">
        <f>IF($AD324="","",U324*T324)</f>
        <v/>
      </c>
      <c r="W324">
        <f>IF($AD324="","",Settings!$C$6)</f>
        <v/>
      </c>
      <c r="X324" s="7">
        <f>IF($AD324="","",SUMIFS('Per Line'!$AB$2:$AB$3001,'Per Line'!$E$2:$E$3001,$B324,'Per Line'!$AP$2:$AP$3001,1,'Per Line'!$AQ$2:$AQ$3001,0))</f>
        <v/>
      </c>
      <c r="Y324" s="7">
        <f>IF($AD324="","",X324*W324)</f>
        <v/>
      </c>
      <c r="Z324" s="7">
        <f>IF($AD324="","",Y324+V324)</f>
        <v/>
      </c>
      <c r="AA324" s="7">
        <f>IF($AD324="","",AB324-Z324)</f>
        <v/>
      </c>
      <c r="AB324" s="7">
        <f>IF($AD324="","",U324+X324+S324)</f>
        <v/>
      </c>
      <c r="AC324" s="7">
        <f>IF($AD324="","",AB324-Z324-P324)</f>
        <v/>
      </c>
      <c r="AD324" s="13">
        <f>IF(ROWS($AD$2:$AD324)&lt;=MAX('Per Line'!$AO$2:$AO$3001),MATCH(ROWS($AD$2:$AD324),'Per Line'!$AO$2:$AO$3001,0),"")</f>
        <v/>
      </c>
      <c r="AE324" s="14">
        <f>IF($AD324="","",P324-O324*AB324/100)</f>
        <v/>
      </c>
    </row>
    <row r="325">
      <c r="A325" s="12" t="n"/>
      <c r="B325">
        <f>IF($AD325="","",INDEX('Per Line'!$E$2:$E$3001,$AD325)&amp;"")</f>
        <v/>
      </c>
      <c r="C325">
        <f>IF($AD325="","",INDEX('Per Line'!$A$2:$A$3001,$AD325)&amp;"")</f>
        <v/>
      </c>
      <c r="D325">
        <f>IF($AD325="","",INDEX('Per Line'!$C$2:$C$3001,$AD325)&amp;"")</f>
        <v/>
      </c>
      <c r="E325">
        <f>IF($AD325="","",INDEX('Per Line'!$B$2:$B$3001,$AD325))</f>
        <v/>
      </c>
      <c r="F325">
        <f>IF($AD325="","",INDEX('Per Line'!$D$2:$D$3001,$AD325)&amp;"")</f>
        <v/>
      </c>
      <c r="G325" s="11">
        <f>IF($AD325="","",INDEX('Per Line'!$G$2:$G$3001,$AD325))</f>
        <v/>
      </c>
      <c r="H325">
        <f>IF($AD325="","",INDEX('Per Line'!$J$2:$J$3001,$AD325)&amp;"")</f>
        <v/>
      </c>
      <c r="I325">
        <f>IF($AD325="","",INDEX('Per Line'!$H$2:$H$3001,$AD325)&amp;"")</f>
        <v/>
      </c>
      <c r="J325">
        <f>IF($AD325="","",INDEX('Per Line'!$F$2:$F$3001,$AD325)&amp;"")</f>
        <v/>
      </c>
      <c r="K325">
        <f>IF($AD325="","",INDEX('Per Line'!$K$2:$K$3001,$AD325)&amp;"")</f>
        <v/>
      </c>
      <c r="L325">
        <f>IF($AD325="","",INDEX('Per Line'!$L$2:$L$3001,$AD325)&amp;"")</f>
        <v/>
      </c>
      <c r="M325">
        <f>IF($AD325="","",INDEX('Per Line'!$M$2:$M$3001,$AD325)&amp;"")</f>
        <v/>
      </c>
      <c r="N325">
        <f>IF($AD325="","",INDEX('Per Line'!$AC$2:$AC$3001,$AD325)&amp;"")</f>
        <v/>
      </c>
      <c r="O325">
        <f>IF($AD325="","",INDEX('Per Line'!$P$2:$P$3001,$AD325))</f>
        <v/>
      </c>
      <c r="P325" s="7">
        <f>IF($AD325="","",IF(AND(ISNUMBER(Q325),Q325&gt;0,AB325&gt;Q325),O325*Q325/100+(AB325-Q325),O325*AB325/100))</f>
        <v/>
      </c>
      <c r="Q325">
        <f>IF($AD325="","",INDEX('Per Line'!$AG$2:$AG$3001,$AD325))</f>
        <v/>
      </c>
      <c r="R325">
        <f>IF($AD325="","",IF(AND(ISNUMBER(Q325),Q325&gt;0),AB325&gt;Q325,FALSE))</f>
        <v/>
      </c>
      <c r="S325" s="7">
        <f>IF($AD325="","",SUMIFS('Per Line'!$AB$2:$AB$3001,'Per Line'!$E$2:$E$3001,$B325,'Per Line'!$AQ$2:$AQ$3001,1))</f>
        <v/>
      </c>
      <c r="T325">
        <f>IF($AD325="","",Settings!$C$7)</f>
        <v/>
      </c>
      <c r="U325" s="7">
        <f>IF($AD325="","",SUMIFS('Per Line'!$AB$2:$AB$3001,'Per Line'!$E$2:$E$3001,$B325,'Per Line'!$AP$2:$AP$3001,0,'Per Line'!$AQ$2:$AQ$3001,0))</f>
        <v/>
      </c>
      <c r="V325" s="7">
        <f>IF($AD325="","",U325*T325)</f>
        <v/>
      </c>
      <c r="W325">
        <f>IF($AD325="","",Settings!$C$6)</f>
        <v/>
      </c>
      <c r="X325" s="7">
        <f>IF($AD325="","",SUMIFS('Per Line'!$AB$2:$AB$3001,'Per Line'!$E$2:$E$3001,$B325,'Per Line'!$AP$2:$AP$3001,1,'Per Line'!$AQ$2:$AQ$3001,0))</f>
        <v/>
      </c>
      <c r="Y325" s="7">
        <f>IF($AD325="","",X325*W325)</f>
        <v/>
      </c>
      <c r="Z325" s="7">
        <f>IF($AD325="","",Y325+V325)</f>
        <v/>
      </c>
      <c r="AA325" s="7">
        <f>IF($AD325="","",AB325-Z325)</f>
        <v/>
      </c>
      <c r="AB325" s="7">
        <f>IF($AD325="","",U325+X325+S325)</f>
        <v/>
      </c>
      <c r="AC325" s="7">
        <f>IF($AD325="","",AB325-Z325-P325)</f>
        <v/>
      </c>
      <c r="AD325" s="13">
        <f>IF(ROWS($AD$2:$AD325)&lt;=MAX('Per Line'!$AO$2:$AO$3001),MATCH(ROWS($AD$2:$AD325),'Per Line'!$AO$2:$AO$3001,0),"")</f>
        <v/>
      </c>
      <c r="AE325" s="14">
        <f>IF($AD325="","",P325-O325*AB325/100)</f>
        <v/>
      </c>
    </row>
    <row r="326">
      <c r="A326" s="12" t="n"/>
      <c r="B326">
        <f>IF($AD326="","",INDEX('Per Line'!$E$2:$E$3001,$AD326)&amp;"")</f>
        <v/>
      </c>
      <c r="C326">
        <f>IF($AD326="","",INDEX('Per Line'!$A$2:$A$3001,$AD326)&amp;"")</f>
        <v/>
      </c>
      <c r="D326">
        <f>IF($AD326="","",INDEX('Per Line'!$C$2:$C$3001,$AD326)&amp;"")</f>
        <v/>
      </c>
      <c r="E326">
        <f>IF($AD326="","",INDEX('Per Line'!$B$2:$B$3001,$AD326))</f>
        <v/>
      </c>
      <c r="F326">
        <f>IF($AD326="","",INDEX('Per Line'!$D$2:$D$3001,$AD326)&amp;"")</f>
        <v/>
      </c>
      <c r="G326" s="11">
        <f>IF($AD326="","",INDEX('Per Line'!$G$2:$G$3001,$AD326))</f>
        <v/>
      </c>
      <c r="H326">
        <f>IF($AD326="","",INDEX('Per Line'!$J$2:$J$3001,$AD326)&amp;"")</f>
        <v/>
      </c>
      <c r="I326">
        <f>IF($AD326="","",INDEX('Per Line'!$H$2:$H$3001,$AD326)&amp;"")</f>
        <v/>
      </c>
      <c r="J326">
        <f>IF($AD326="","",INDEX('Per Line'!$F$2:$F$3001,$AD326)&amp;"")</f>
        <v/>
      </c>
      <c r="K326">
        <f>IF($AD326="","",INDEX('Per Line'!$K$2:$K$3001,$AD326)&amp;"")</f>
        <v/>
      </c>
      <c r="L326">
        <f>IF($AD326="","",INDEX('Per Line'!$L$2:$L$3001,$AD326)&amp;"")</f>
        <v/>
      </c>
      <c r="M326">
        <f>IF($AD326="","",INDEX('Per Line'!$M$2:$M$3001,$AD326)&amp;"")</f>
        <v/>
      </c>
      <c r="N326">
        <f>IF($AD326="","",INDEX('Per Line'!$AC$2:$AC$3001,$AD326)&amp;"")</f>
        <v/>
      </c>
      <c r="O326">
        <f>IF($AD326="","",INDEX('Per Line'!$P$2:$P$3001,$AD326))</f>
        <v/>
      </c>
      <c r="P326" s="7">
        <f>IF($AD326="","",IF(AND(ISNUMBER(Q326),Q326&gt;0,AB326&gt;Q326),O326*Q326/100+(AB326-Q326),O326*AB326/100))</f>
        <v/>
      </c>
      <c r="Q326">
        <f>IF($AD326="","",INDEX('Per Line'!$AG$2:$AG$3001,$AD326))</f>
        <v/>
      </c>
      <c r="R326">
        <f>IF($AD326="","",IF(AND(ISNUMBER(Q326),Q326&gt;0),AB326&gt;Q326,FALSE))</f>
        <v/>
      </c>
      <c r="S326" s="7">
        <f>IF($AD326="","",SUMIFS('Per Line'!$AB$2:$AB$3001,'Per Line'!$E$2:$E$3001,$B326,'Per Line'!$AQ$2:$AQ$3001,1))</f>
        <v/>
      </c>
      <c r="T326">
        <f>IF($AD326="","",Settings!$C$7)</f>
        <v/>
      </c>
      <c r="U326" s="7">
        <f>IF($AD326="","",SUMIFS('Per Line'!$AB$2:$AB$3001,'Per Line'!$E$2:$E$3001,$B326,'Per Line'!$AP$2:$AP$3001,0,'Per Line'!$AQ$2:$AQ$3001,0))</f>
        <v/>
      </c>
      <c r="V326" s="7">
        <f>IF($AD326="","",U326*T326)</f>
        <v/>
      </c>
      <c r="W326">
        <f>IF($AD326="","",Settings!$C$6)</f>
        <v/>
      </c>
      <c r="X326" s="7">
        <f>IF($AD326="","",SUMIFS('Per Line'!$AB$2:$AB$3001,'Per Line'!$E$2:$E$3001,$B326,'Per Line'!$AP$2:$AP$3001,1,'Per Line'!$AQ$2:$AQ$3001,0))</f>
        <v/>
      </c>
      <c r="Y326" s="7">
        <f>IF($AD326="","",X326*W326)</f>
        <v/>
      </c>
      <c r="Z326" s="7">
        <f>IF($AD326="","",Y326+V326)</f>
        <v/>
      </c>
      <c r="AA326" s="7">
        <f>IF($AD326="","",AB326-Z326)</f>
        <v/>
      </c>
      <c r="AB326" s="7">
        <f>IF($AD326="","",U326+X326+S326)</f>
        <v/>
      </c>
      <c r="AC326" s="7">
        <f>IF($AD326="","",AB326-Z326-P326)</f>
        <v/>
      </c>
      <c r="AD326" s="13">
        <f>IF(ROWS($AD$2:$AD326)&lt;=MAX('Per Line'!$AO$2:$AO$3001),MATCH(ROWS($AD$2:$AD326),'Per Line'!$AO$2:$AO$3001,0),"")</f>
        <v/>
      </c>
      <c r="AE326" s="14">
        <f>IF($AD326="","",P326-O326*AB326/100)</f>
        <v/>
      </c>
    </row>
    <row r="327">
      <c r="A327" s="12" t="n"/>
      <c r="B327">
        <f>IF($AD327="","",INDEX('Per Line'!$E$2:$E$3001,$AD327)&amp;"")</f>
        <v/>
      </c>
      <c r="C327">
        <f>IF($AD327="","",INDEX('Per Line'!$A$2:$A$3001,$AD327)&amp;"")</f>
        <v/>
      </c>
      <c r="D327">
        <f>IF($AD327="","",INDEX('Per Line'!$C$2:$C$3001,$AD327)&amp;"")</f>
        <v/>
      </c>
      <c r="E327">
        <f>IF($AD327="","",INDEX('Per Line'!$B$2:$B$3001,$AD327))</f>
        <v/>
      </c>
      <c r="F327">
        <f>IF($AD327="","",INDEX('Per Line'!$D$2:$D$3001,$AD327)&amp;"")</f>
        <v/>
      </c>
      <c r="G327" s="11">
        <f>IF($AD327="","",INDEX('Per Line'!$G$2:$G$3001,$AD327))</f>
        <v/>
      </c>
      <c r="H327">
        <f>IF($AD327="","",INDEX('Per Line'!$J$2:$J$3001,$AD327)&amp;"")</f>
        <v/>
      </c>
      <c r="I327">
        <f>IF($AD327="","",INDEX('Per Line'!$H$2:$H$3001,$AD327)&amp;"")</f>
        <v/>
      </c>
      <c r="J327">
        <f>IF($AD327="","",INDEX('Per Line'!$F$2:$F$3001,$AD327)&amp;"")</f>
        <v/>
      </c>
      <c r="K327">
        <f>IF($AD327="","",INDEX('Per Line'!$K$2:$K$3001,$AD327)&amp;"")</f>
        <v/>
      </c>
      <c r="L327">
        <f>IF($AD327="","",INDEX('Per Line'!$L$2:$L$3001,$AD327)&amp;"")</f>
        <v/>
      </c>
      <c r="M327">
        <f>IF($AD327="","",INDEX('Per Line'!$M$2:$M$3001,$AD327)&amp;"")</f>
        <v/>
      </c>
      <c r="N327">
        <f>IF($AD327="","",INDEX('Per Line'!$AC$2:$AC$3001,$AD327)&amp;"")</f>
        <v/>
      </c>
      <c r="O327">
        <f>IF($AD327="","",INDEX('Per Line'!$P$2:$P$3001,$AD327))</f>
        <v/>
      </c>
      <c r="P327" s="7">
        <f>IF($AD327="","",IF(AND(ISNUMBER(Q327),Q327&gt;0,AB327&gt;Q327),O327*Q327/100+(AB327-Q327),O327*AB327/100))</f>
        <v/>
      </c>
      <c r="Q327">
        <f>IF($AD327="","",INDEX('Per Line'!$AG$2:$AG$3001,$AD327))</f>
        <v/>
      </c>
      <c r="R327">
        <f>IF($AD327="","",IF(AND(ISNUMBER(Q327),Q327&gt;0),AB327&gt;Q327,FALSE))</f>
        <v/>
      </c>
      <c r="S327" s="7">
        <f>IF($AD327="","",SUMIFS('Per Line'!$AB$2:$AB$3001,'Per Line'!$E$2:$E$3001,$B327,'Per Line'!$AQ$2:$AQ$3001,1))</f>
        <v/>
      </c>
      <c r="T327">
        <f>IF($AD327="","",Settings!$C$7)</f>
        <v/>
      </c>
      <c r="U327" s="7">
        <f>IF($AD327="","",SUMIFS('Per Line'!$AB$2:$AB$3001,'Per Line'!$E$2:$E$3001,$B327,'Per Line'!$AP$2:$AP$3001,0,'Per Line'!$AQ$2:$AQ$3001,0))</f>
        <v/>
      </c>
      <c r="V327" s="7">
        <f>IF($AD327="","",U327*T327)</f>
        <v/>
      </c>
      <c r="W327">
        <f>IF($AD327="","",Settings!$C$6)</f>
        <v/>
      </c>
      <c r="X327" s="7">
        <f>IF($AD327="","",SUMIFS('Per Line'!$AB$2:$AB$3001,'Per Line'!$E$2:$E$3001,$B327,'Per Line'!$AP$2:$AP$3001,1,'Per Line'!$AQ$2:$AQ$3001,0))</f>
        <v/>
      </c>
      <c r="Y327" s="7">
        <f>IF($AD327="","",X327*W327)</f>
        <v/>
      </c>
      <c r="Z327" s="7">
        <f>IF($AD327="","",Y327+V327)</f>
        <v/>
      </c>
      <c r="AA327" s="7">
        <f>IF($AD327="","",AB327-Z327)</f>
        <v/>
      </c>
      <c r="AB327" s="7">
        <f>IF($AD327="","",U327+X327+S327)</f>
        <v/>
      </c>
      <c r="AC327" s="7">
        <f>IF($AD327="","",AB327-Z327-P327)</f>
        <v/>
      </c>
      <c r="AD327" s="13">
        <f>IF(ROWS($AD$2:$AD327)&lt;=MAX('Per Line'!$AO$2:$AO$3001),MATCH(ROWS($AD$2:$AD327),'Per Line'!$AO$2:$AO$3001,0),"")</f>
        <v/>
      </c>
      <c r="AE327" s="14">
        <f>IF($AD327="","",P327-O327*AB327/100)</f>
        <v/>
      </c>
    </row>
    <row r="328">
      <c r="A328" s="12" t="n"/>
      <c r="B328">
        <f>IF($AD328="","",INDEX('Per Line'!$E$2:$E$3001,$AD328)&amp;"")</f>
        <v/>
      </c>
      <c r="C328">
        <f>IF($AD328="","",INDEX('Per Line'!$A$2:$A$3001,$AD328)&amp;"")</f>
        <v/>
      </c>
      <c r="D328">
        <f>IF($AD328="","",INDEX('Per Line'!$C$2:$C$3001,$AD328)&amp;"")</f>
        <v/>
      </c>
      <c r="E328">
        <f>IF($AD328="","",INDEX('Per Line'!$B$2:$B$3001,$AD328))</f>
        <v/>
      </c>
      <c r="F328">
        <f>IF($AD328="","",INDEX('Per Line'!$D$2:$D$3001,$AD328)&amp;"")</f>
        <v/>
      </c>
      <c r="G328" s="11">
        <f>IF($AD328="","",INDEX('Per Line'!$G$2:$G$3001,$AD328))</f>
        <v/>
      </c>
      <c r="H328">
        <f>IF($AD328="","",INDEX('Per Line'!$J$2:$J$3001,$AD328)&amp;"")</f>
        <v/>
      </c>
      <c r="I328">
        <f>IF($AD328="","",INDEX('Per Line'!$H$2:$H$3001,$AD328)&amp;"")</f>
        <v/>
      </c>
      <c r="J328">
        <f>IF($AD328="","",INDEX('Per Line'!$F$2:$F$3001,$AD328)&amp;"")</f>
        <v/>
      </c>
      <c r="K328">
        <f>IF($AD328="","",INDEX('Per Line'!$K$2:$K$3001,$AD328)&amp;"")</f>
        <v/>
      </c>
      <c r="L328">
        <f>IF($AD328="","",INDEX('Per Line'!$L$2:$L$3001,$AD328)&amp;"")</f>
        <v/>
      </c>
      <c r="M328">
        <f>IF($AD328="","",INDEX('Per Line'!$M$2:$M$3001,$AD328)&amp;"")</f>
        <v/>
      </c>
      <c r="N328">
        <f>IF($AD328="","",INDEX('Per Line'!$AC$2:$AC$3001,$AD328)&amp;"")</f>
        <v/>
      </c>
      <c r="O328">
        <f>IF($AD328="","",INDEX('Per Line'!$P$2:$P$3001,$AD328))</f>
        <v/>
      </c>
      <c r="P328" s="7">
        <f>IF($AD328="","",IF(AND(ISNUMBER(Q328),Q328&gt;0,AB328&gt;Q328),O328*Q328/100+(AB328-Q328),O328*AB328/100))</f>
        <v/>
      </c>
      <c r="Q328">
        <f>IF($AD328="","",INDEX('Per Line'!$AG$2:$AG$3001,$AD328))</f>
        <v/>
      </c>
      <c r="R328">
        <f>IF($AD328="","",IF(AND(ISNUMBER(Q328),Q328&gt;0),AB328&gt;Q328,FALSE))</f>
        <v/>
      </c>
      <c r="S328" s="7">
        <f>IF($AD328="","",SUMIFS('Per Line'!$AB$2:$AB$3001,'Per Line'!$E$2:$E$3001,$B328,'Per Line'!$AQ$2:$AQ$3001,1))</f>
        <v/>
      </c>
      <c r="T328">
        <f>IF($AD328="","",Settings!$C$7)</f>
        <v/>
      </c>
      <c r="U328" s="7">
        <f>IF($AD328="","",SUMIFS('Per Line'!$AB$2:$AB$3001,'Per Line'!$E$2:$E$3001,$B328,'Per Line'!$AP$2:$AP$3001,0,'Per Line'!$AQ$2:$AQ$3001,0))</f>
        <v/>
      </c>
      <c r="V328" s="7">
        <f>IF($AD328="","",U328*T328)</f>
        <v/>
      </c>
      <c r="W328">
        <f>IF($AD328="","",Settings!$C$6)</f>
        <v/>
      </c>
      <c r="X328" s="7">
        <f>IF($AD328="","",SUMIFS('Per Line'!$AB$2:$AB$3001,'Per Line'!$E$2:$E$3001,$B328,'Per Line'!$AP$2:$AP$3001,1,'Per Line'!$AQ$2:$AQ$3001,0))</f>
        <v/>
      </c>
      <c r="Y328" s="7">
        <f>IF($AD328="","",X328*W328)</f>
        <v/>
      </c>
      <c r="Z328" s="7">
        <f>IF($AD328="","",Y328+V328)</f>
        <v/>
      </c>
      <c r="AA328" s="7">
        <f>IF($AD328="","",AB328-Z328)</f>
        <v/>
      </c>
      <c r="AB328" s="7">
        <f>IF($AD328="","",U328+X328+S328)</f>
        <v/>
      </c>
      <c r="AC328" s="7">
        <f>IF($AD328="","",AB328-Z328-P328)</f>
        <v/>
      </c>
      <c r="AD328" s="13">
        <f>IF(ROWS($AD$2:$AD328)&lt;=MAX('Per Line'!$AO$2:$AO$3001),MATCH(ROWS($AD$2:$AD328),'Per Line'!$AO$2:$AO$3001,0),"")</f>
        <v/>
      </c>
      <c r="AE328" s="14">
        <f>IF($AD328="","",P328-O328*AB328/100)</f>
        <v/>
      </c>
    </row>
    <row r="329">
      <c r="A329" s="12" t="n"/>
      <c r="B329">
        <f>IF($AD329="","",INDEX('Per Line'!$E$2:$E$3001,$AD329)&amp;"")</f>
        <v/>
      </c>
      <c r="C329">
        <f>IF($AD329="","",INDEX('Per Line'!$A$2:$A$3001,$AD329)&amp;"")</f>
        <v/>
      </c>
      <c r="D329">
        <f>IF($AD329="","",INDEX('Per Line'!$C$2:$C$3001,$AD329)&amp;"")</f>
        <v/>
      </c>
      <c r="E329">
        <f>IF($AD329="","",INDEX('Per Line'!$B$2:$B$3001,$AD329))</f>
        <v/>
      </c>
      <c r="F329">
        <f>IF($AD329="","",INDEX('Per Line'!$D$2:$D$3001,$AD329)&amp;"")</f>
        <v/>
      </c>
      <c r="G329" s="11">
        <f>IF($AD329="","",INDEX('Per Line'!$G$2:$G$3001,$AD329))</f>
        <v/>
      </c>
      <c r="H329">
        <f>IF($AD329="","",INDEX('Per Line'!$J$2:$J$3001,$AD329)&amp;"")</f>
        <v/>
      </c>
      <c r="I329">
        <f>IF($AD329="","",INDEX('Per Line'!$H$2:$H$3001,$AD329)&amp;"")</f>
        <v/>
      </c>
      <c r="J329">
        <f>IF($AD329="","",INDEX('Per Line'!$F$2:$F$3001,$AD329)&amp;"")</f>
        <v/>
      </c>
      <c r="K329">
        <f>IF($AD329="","",INDEX('Per Line'!$K$2:$K$3001,$AD329)&amp;"")</f>
        <v/>
      </c>
      <c r="L329">
        <f>IF($AD329="","",INDEX('Per Line'!$L$2:$L$3001,$AD329)&amp;"")</f>
        <v/>
      </c>
      <c r="M329">
        <f>IF($AD329="","",INDEX('Per Line'!$M$2:$M$3001,$AD329)&amp;"")</f>
        <v/>
      </c>
      <c r="N329">
        <f>IF($AD329="","",INDEX('Per Line'!$AC$2:$AC$3001,$AD329)&amp;"")</f>
        <v/>
      </c>
      <c r="O329">
        <f>IF($AD329="","",INDEX('Per Line'!$P$2:$P$3001,$AD329))</f>
        <v/>
      </c>
      <c r="P329" s="7">
        <f>IF($AD329="","",IF(AND(ISNUMBER(Q329),Q329&gt;0,AB329&gt;Q329),O329*Q329/100+(AB329-Q329),O329*AB329/100))</f>
        <v/>
      </c>
      <c r="Q329">
        <f>IF($AD329="","",INDEX('Per Line'!$AG$2:$AG$3001,$AD329))</f>
        <v/>
      </c>
      <c r="R329">
        <f>IF($AD329="","",IF(AND(ISNUMBER(Q329),Q329&gt;0),AB329&gt;Q329,FALSE))</f>
        <v/>
      </c>
      <c r="S329" s="7">
        <f>IF($AD329="","",SUMIFS('Per Line'!$AB$2:$AB$3001,'Per Line'!$E$2:$E$3001,$B329,'Per Line'!$AQ$2:$AQ$3001,1))</f>
        <v/>
      </c>
      <c r="T329">
        <f>IF($AD329="","",Settings!$C$7)</f>
        <v/>
      </c>
      <c r="U329" s="7">
        <f>IF($AD329="","",SUMIFS('Per Line'!$AB$2:$AB$3001,'Per Line'!$E$2:$E$3001,$B329,'Per Line'!$AP$2:$AP$3001,0,'Per Line'!$AQ$2:$AQ$3001,0))</f>
        <v/>
      </c>
      <c r="V329" s="7">
        <f>IF($AD329="","",U329*T329)</f>
        <v/>
      </c>
      <c r="W329">
        <f>IF($AD329="","",Settings!$C$6)</f>
        <v/>
      </c>
      <c r="X329" s="7">
        <f>IF($AD329="","",SUMIFS('Per Line'!$AB$2:$AB$3001,'Per Line'!$E$2:$E$3001,$B329,'Per Line'!$AP$2:$AP$3001,1,'Per Line'!$AQ$2:$AQ$3001,0))</f>
        <v/>
      </c>
      <c r="Y329" s="7">
        <f>IF($AD329="","",X329*W329)</f>
        <v/>
      </c>
      <c r="Z329" s="7">
        <f>IF($AD329="","",Y329+V329)</f>
        <v/>
      </c>
      <c r="AA329" s="7">
        <f>IF($AD329="","",AB329-Z329)</f>
        <v/>
      </c>
      <c r="AB329" s="7">
        <f>IF($AD329="","",U329+X329+S329)</f>
        <v/>
      </c>
      <c r="AC329" s="7">
        <f>IF($AD329="","",AB329-Z329-P329)</f>
        <v/>
      </c>
      <c r="AD329" s="13">
        <f>IF(ROWS($AD$2:$AD329)&lt;=MAX('Per Line'!$AO$2:$AO$3001),MATCH(ROWS($AD$2:$AD329),'Per Line'!$AO$2:$AO$3001,0),"")</f>
        <v/>
      </c>
      <c r="AE329" s="14">
        <f>IF($AD329="","",P329-O329*AB329/100)</f>
        <v/>
      </c>
    </row>
    <row r="330">
      <c r="A330" s="12" t="n"/>
      <c r="B330">
        <f>IF($AD330="","",INDEX('Per Line'!$E$2:$E$3001,$AD330)&amp;"")</f>
        <v/>
      </c>
      <c r="C330">
        <f>IF($AD330="","",INDEX('Per Line'!$A$2:$A$3001,$AD330)&amp;"")</f>
        <v/>
      </c>
      <c r="D330">
        <f>IF($AD330="","",INDEX('Per Line'!$C$2:$C$3001,$AD330)&amp;"")</f>
        <v/>
      </c>
      <c r="E330">
        <f>IF($AD330="","",INDEX('Per Line'!$B$2:$B$3001,$AD330))</f>
        <v/>
      </c>
      <c r="F330">
        <f>IF($AD330="","",INDEX('Per Line'!$D$2:$D$3001,$AD330)&amp;"")</f>
        <v/>
      </c>
      <c r="G330" s="11">
        <f>IF($AD330="","",INDEX('Per Line'!$G$2:$G$3001,$AD330))</f>
        <v/>
      </c>
      <c r="H330">
        <f>IF($AD330="","",INDEX('Per Line'!$J$2:$J$3001,$AD330)&amp;"")</f>
        <v/>
      </c>
      <c r="I330">
        <f>IF($AD330="","",INDEX('Per Line'!$H$2:$H$3001,$AD330)&amp;"")</f>
        <v/>
      </c>
      <c r="J330">
        <f>IF($AD330="","",INDEX('Per Line'!$F$2:$F$3001,$AD330)&amp;"")</f>
        <v/>
      </c>
      <c r="K330">
        <f>IF($AD330="","",INDEX('Per Line'!$K$2:$K$3001,$AD330)&amp;"")</f>
        <v/>
      </c>
      <c r="L330">
        <f>IF($AD330="","",INDEX('Per Line'!$L$2:$L$3001,$AD330)&amp;"")</f>
        <v/>
      </c>
      <c r="M330">
        <f>IF($AD330="","",INDEX('Per Line'!$M$2:$M$3001,$AD330)&amp;"")</f>
        <v/>
      </c>
      <c r="N330">
        <f>IF($AD330="","",INDEX('Per Line'!$AC$2:$AC$3001,$AD330)&amp;"")</f>
        <v/>
      </c>
      <c r="O330">
        <f>IF($AD330="","",INDEX('Per Line'!$P$2:$P$3001,$AD330))</f>
        <v/>
      </c>
      <c r="P330" s="7">
        <f>IF($AD330="","",IF(AND(ISNUMBER(Q330),Q330&gt;0,AB330&gt;Q330),O330*Q330/100+(AB330-Q330),O330*AB330/100))</f>
        <v/>
      </c>
      <c r="Q330">
        <f>IF($AD330="","",INDEX('Per Line'!$AG$2:$AG$3001,$AD330))</f>
        <v/>
      </c>
      <c r="R330">
        <f>IF($AD330="","",IF(AND(ISNUMBER(Q330),Q330&gt;0),AB330&gt;Q330,FALSE))</f>
        <v/>
      </c>
      <c r="S330" s="7">
        <f>IF($AD330="","",SUMIFS('Per Line'!$AB$2:$AB$3001,'Per Line'!$E$2:$E$3001,$B330,'Per Line'!$AQ$2:$AQ$3001,1))</f>
        <v/>
      </c>
      <c r="T330">
        <f>IF($AD330="","",Settings!$C$7)</f>
        <v/>
      </c>
      <c r="U330" s="7">
        <f>IF($AD330="","",SUMIFS('Per Line'!$AB$2:$AB$3001,'Per Line'!$E$2:$E$3001,$B330,'Per Line'!$AP$2:$AP$3001,0,'Per Line'!$AQ$2:$AQ$3001,0))</f>
        <v/>
      </c>
      <c r="V330" s="7">
        <f>IF($AD330="","",U330*T330)</f>
        <v/>
      </c>
      <c r="W330">
        <f>IF($AD330="","",Settings!$C$6)</f>
        <v/>
      </c>
      <c r="X330" s="7">
        <f>IF($AD330="","",SUMIFS('Per Line'!$AB$2:$AB$3001,'Per Line'!$E$2:$E$3001,$B330,'Per Line'!$AP$2:$AP$3001,1,'Per Line'!$AQ$2:$AQ$3001,0))</f>
        <v/>
      </c>
      <c r="Y330" s="7">
        <f>IF($AD330="","",X330*W330)</f>
        <v/>
      </c>
      <c r="Z330" s="7">
        <f>IF($AD330="","",Y330+V330)</f>
        <v/>
      </c>
      <c r="AA330" s="7">
        <f>IF($AD330="","",AB330-Z330)</f>
        <v/>
      </c>
      <c r="AB330" s="7">
        <f>IF($AD330="","",U330+X330+S330)</f>
        <v/>
      </c>
      <c r="AC330" s="7">
        <f>IF($AD330="","",AB330-Z330-P330)</f>
        <v/>
      </c>
      <c r="AD330" s="13">
        <f>IF(ROWS($AD$2:$AD330)&lt;=MAX('Per Line'!$AO$2:$AO$3001),MATCH(ROWS($AD$2:$AD330),'Per Line'!$AO$2:$AO$3001,0),"")</f>
        <v/>
      </c>
      <c r="AE330" s="14">
        <f>IF($AD330="","",P330-O330*AB330/100)</f>
        <v/>
      </c>
    </row>
    <row r="331">
      <c r="A331" s="12" t="n"/>
      <c r="B331">
        <f>IF($AD331="","",INDEX('Per Line'!$E$2:$E$3001,$AD331)&amp;"")</f>
        <v/>
      </c>
      <c r="C331">
        <f>IF($AD331="","",INDEX('Per Line'!$A$2:$A$3001,$AD331)&amp;"")</f>
        <v/>
      </c>
      <c r="D331">
        <f>IF($AD331="","",INDEX('Per Line'!$C$2:$C$3001,$AD331)&amp;"")</f>
        <v/>
      </c>
      <c r="E331">
        <f>IF($AD331="","",INDEX('Per Line'!$B$2:$B$3001,$AD331))</f>
        <v/>
      </c>
      <c r="F331">
        <f>IF($AD331="","",INDEX('Per Line'!$D$2:$D$3001,$AD331)&amp;"")</f>
        <v/>
      </c>
      <c r="G331" s="11">
        <f>IF($AD331="","",INDEX('Per Line'!$G$2:$G$3001,$AD331))</f>
        <v/>
      </c>
      <c r="H331">
        <f>IF($AD331="","",INDEX('Per Line'!$J$2:$J$3001,$AD331)&amp;"")</f>
        <v/>
      </c>
      <c r="I331">
        <f>IF($AD331="","",INDEX('Per Line'!$H$2:$H$3001,$AD331)&amp;"")</f>
        <v/>
      </c>
      <c r="J331">
        <f>IF($AD331="","",INDEX('Per Line'!$F$2:$F$3001,$AD331)&amp;"")</f>
        <v/>
      </c>
      <c r="K331">
        <f>IF($AD331="","",INDEX('Per Line'!$K$2:$K$3001,$AD331)&amp;"")</f>
        <v/>
      </c>
      <c r="L331">
        <f>IF($AD331="","",INDEX('Per Line'!$L$2:$L$3001,$AD331)&amp;"")</f>
        <v/>
      </c>
      <c r="M331">
        <f>IF($AD331="","",INDEX('Per Line'!$M$2:$M$3001,$AD331)&amp;"")</f>
        <v/>
      </c>
      <c r="N331">
        <f>IF($AD331="","",INDEX('Per Line'!$AC$2:$AC$3001,$AD331)&amp;"")</f>
        <v/>
      </c>
      <c r="O331">
        <f>IF($AD331="","",INDEX('Per Line'!$P$2:$P$3001,$AD331))</f>
        <v/>
      </c>
      <c r="P331" s="7">
        <f>IF($AD331="","",IF(AND(ISNUMBER(Q331),Q331&gt;0,AB331&gt;Q331),O331*Q331/100+(AB331-Q331),O331*AB331/100))</f>
        <v/>
      </c>
      <c r="Q331">
        <f>IF($AD331="","",INDEX('Per Line'!$AG$2:$AG$3001,$AD331))</f>
        <v/>
      </c>
      <c r="R331">
        <f>IF($AD331="","",IF(AND(ISNUMBER(Q331),Q331&gt;0),AB331&gt;Q331,FALSE))</f>
        <v/>
      </c>
      <c r="S331" s="7">
        <f>IF($AD331="","",SUMIFS('Per Line'!$AB$2:$AB$3001,'Per Line'!$E$2:$E$3001,$B331,'Per Line'!$AQ$2:$AQ$3001,1))</f>
        <v/>
      </c>
      <c r="T331">
        <f>IF($AD331="","",Settings!$C$7)</f>
        <v/>
      </c>
      <c r="U331" s="7">
        <f>IF($AD331="","",SUMIFS('Per Line'!$AB$2:$AB$3001,'Per Line'!$E$2:$E$3001,$B331,'Per Line'!$AP$2:$AP$3001,0,'Per Line'!$AQ$2:$AQ$3001,0))</f>
        <v/>
      </c>
      <c r="V331" s="7">
        <f>IF($AD331="","",U331*T331)</f>
        <v/>
      </c>
      <c r="W331">
        <f>IF($AD331="","",Settings!$C$6)</f>
        <v/>
      </c>
      <c r="X331" s="7">
        <f>IF($AD331="","",SUMIFS('Per Line'!$AB$2:$AB$3001,'Per Line'!$E$2:$E$3001,$B331,'Per Line'!$AP$2:$AP$3001,1,'Per Line'!$AQ$2:$AQ$3001,0))</f>
        <v/>
      </c>
      <c r="Y331" s="7">
        <f>IF($AD331="","",X331*W331)</f>
        <v/>
      </c>
      <c r="Z331" s="7">
        <f>IF($AD331="","",Y331+V331)</f>
        <v/>
      </c>
      <c r="AA331" s="7">
        <f>IF($AD331="","",AB331-Z331)</f>
        <v/>
      </c>
      <c r="AB331" s="7">
        <f>IF($AD331="","",U331+X331+S331)</f>
        <v/>
      </c>
      <c r="AC331" s="7">
        <f>IF($AD331="","",AB331-Z331-P331)</f>
        <v/>
      </c>
      <c r="AD331" s="13">
        <f>IF(ROWS($AD$2:$AD331)&lt;=MAX('Per Line'!$AO$2:$AO$3001),MATCH(ROWS($AD$2:$AD331),'Per Line'!$AO$2:$AO$3001,0),"")</f>
        <v/>
      </c>
      <c r="AE331" s="14">
        <f>IF($AD331="","",P331-O331*AB331/100)</f>
        <v/>
      </c>
    </row>
    <row r="332">
      <c r="A332" s="12" t="n"/>
      <c r="B332">
        <f>IF($AD332="","",INDEX('Per Line'!$E$2:$E$3001,$AD332)&amp;"")</f>
        <v/>
      </c>
      <c r="C332">
        <f>IF($AD332="","",INDEX('Per Line'!$A$2:$A$3001,$AD332)&amp;"")</f>
        <v/>
      </c>
      <c r="D332">
        <f>IF($AD332="","",INDEX('Per Line'!$C$2:$C$3001,$AD332)&amp;"")</f>
        <v/>
      </c>
      <c r="E332">
        <f>IF($AD332="","",INDEX('Per Line'!$B$2:$B$3001,$AD332))</f>
        <v/>
      </c>
      <c r="F332">
        <f>IF($AD332="","",INDEX('Per Line'!$D$2:$D$3001,$AD332)&amp;"")</f>
        <v/>
      </c>
      <c r="G332" s="11">
        <f>IF($AD332="","",INDEX('Per Line'!$G$2:$G$3001,$AD332))</f>
        <v/>
      </c>
      <c r="H332">
        <f>IF($AD332="","",INDEX('Per Line'!$J$2:$J$3001,$AD332)&amp;"")</f>
        <v/>
      </c>
      <c r="I332">
        <f>IF($AD332="","",INDEX('Per Line'!$H$2:$H$3001,$AD332)&amp;"")</f>
        <v/>
      </c>
      <c r="J332">
        <f>IF($AD332="","",INDEX('Per Line'!$F$2:$F$3001,$AD332)&amp;"")</f>
        <v/>
      </c>
      <c r="K332">
        <f>IF($AD332="","",INDEX('Per Line'!$K$2:$K$3001,$AD332)&amp;"")</f>
        <v/>
      </c>
      <c r="L332">
        <f>IF($AD332="","",INDEX('Per Line'!$L$2:$L$3001,$AD332)&amp;"")</f>
        <v/>
      </c>
      <c r="M332">
        <f>IF($AD332="","",INDEX('Per Line'!$M$2:$M$3001,$AD332)&amp;"")</f>
        <v/>
      </c>
      <c r="N332">
        <f>IF($AD332="","",INDEX('Per Line'!$AC$2:$AC$3001,$AD332)&amp;"")</f>
        <v/>
      </c>
      <c r="O332">
        <f>IF($AD332="","",INDEX('Per Line'!$P$2:$P$3001,$AD332))</f>
        <v/>
      </c>
      <c r="P332" s="7">
        <f>IF($AD332="","",IF(AND(ISNUMBER(Q332),Q332&gt;0,AB332&gt;Q332),O332*Q332/100+(AB332-Q332),O332*AB332/100))</f>
        <v/>
      </c>
      <c r="Q332">
        <f>IF($AD332="","",INDEX('Per Line'!$AG$2:$AG$3001,$AD332))</f>
        <v/>
      </c>
      <c r="R332">
        <f>IF($AD332="","",IF(AND(ISNUMBER(Q332),Q332&gt;0),AB332&gt;Q332,FALSE))</f>
        <v/>
      </c>
      <c r="S332" s="7">
        <f>IF($AD332="","",SUMIFS('Per Line'!$AB$2:$AB$3001,'Per Line'!$E$2:$E$3001,$B332,'Per Line'!$AQ$2:$AQ$3001,1))</f>
        <v/>
      </c>
      <c r="T332">
        <f>IF($AD332="","",Settings!$C$7)</f>
        <v/>
      </c>
      <c r="U332" s="7">
        <f>IF($AD332="","",SUMIFS('Per Line'!$AB$2:$AB$3001,'Per Line'!$E$2:$E$3001,$B332,'Per Line'!$AP$2:$AP$3001,0,'Per Line'!$AQ$2:$AQ$3001,0))</f>
        <v/>
      </c>
      <c r="V332" s="7">
        <f>IF($AD332="","",U332*T332)</f>
        <v/>
      </c>
      <c r="W332">
        <f>IF($AD332="","",Settings!$C$6)</f>
        <v/>
      </c>
      <c r="X332" s="7">
        <f>IF($AD332="","",SUMIFS('Per Line'!$AB$2:$AB$3001,'Per Line'!$E$2:$E$3001,$B332,'Per Line'!$AP$2:$AP$3001,1,'Per Line'!$AQ$2:$AQ$3001,0))</f>
        <v/>
      </c>
      <c r="Y332" s="7">
        <f>IF($AD332="","",X332*W332)</f>
        <v/>
      </c>
      <c r="Z332" s="7">
        <f>IF($AD332="","",Y332+V332)</f>
        <v/>
      </c>
      <c r="AA332" s="7">
        <f>IF($AD332="","",AB332-Z332)</f>
        <v/>
      </c>
      <c r="AB332" s="7">
        <f>IF($AD332="","",U332+X332+S332)</f>
        <v/>
      </c>
      <c r="AC332" s="7">
        <f>IF($AD332="","",AB332-Z332-P332)</f>
        <v/>
      </c>
      <c r="AD332" s="13">
        <f>IF(ROWS($AD$2:$AD332)&lt;=MAX('Per Line'!$AO$2:$AO$3001),MATCH(ROWS($AD$2:$AD332),'Per Line'!$AO$2:$AO$3001,0),"")</f>
        <v/>
      </c>
      <c r="AE332" s="14">
        <f>IF($AD332="","",P332-O332*AB332/100)</f>
        <v/>
      </c>
    </row>
    <row r="333">
      <c r="A333" s="12" t="n"/>
      <c r="B333">
        <f>IF($AD333="","",INDEX('Per Line'!$E$2:$E$3001,$AD333)&amp;"")</f>
        <v/>
      </c>
      <c r="C333">
        <f>IF($AD333="","",INDEX('Per Line'!$A$2:$A$3001,$AD333)&amp;"")</f>
        <v/>
      </c>
      <c r="D333">
        <f>IF($AD333="","",INDEX('Per Line'!$C$2:$C$3001,$AD333)&amp;"")</f>
        <v/>
      </c>
      <c r="E333">
        <f>IF($AD333="","",INDEX('Per Line'!$B$2:$B$3001,$AD333))</f>
        <v/>
      </c>
      <c r="F333">
        <f>IF($AD333="","",INDEX('Per Line'!$D$2:$D$3001,$AD333)&amp;"")</f>
        <v/>
      </c>
      <c r="G333" s="11">
        <f>IF($AD333="","",INDEX('Per Line'!$G$2:$G$3001,$AD333))</f>
        <v/>
      </c>
      <c r="H333">
        <f>IF($AD333="","",INDEX('Per Line'!$J$2:$J$3001,$AD333)&amp;"")</f>
        <v/>
      </c>
      <c r="I333">
        <f>IF($AD333="","",INDEX('Per Line'!$H$2:$H$3001,$AD333)&amp;"")</f>
        <v/>
      </c>
      <c r="J333">
        <f>IF($AD333="","",INDEX('Per Line'!$F$2:$F$3001,$AD333)&amp;"")</f>
        <v/>
      </c>
      <c r="K333">
        <f>IF($AD333="","",INDEX('Per Line'!$K$2:$K$3001,$AD333)&amp;"")</f>
        <v/>
      </c>
      <c r="L333">
        <f>IF($AD333="","",INDEX('Per Line'!$L$2:$L$3001,$AD333)&amp;"")</f>
        <v/>
      </c>
      <c r="M333">
        <f>IF($AD333="","",INDEX('Per Line'!$M$2:$M$3001,$AD333)&amp;"")</f>
        <v/>
      </c>
      <c r="N333">
        <f>IF($AD333="","",INDEX('Per Line'!$AC$2:$AC$3001,$AD333)&amp;"")</f>
        <v/>
      </c>
      <c r="O333">
        <f>IF($AD333="","",INDEX('Per Line'!$P$2:$P$3001,$AD333))</f>
        <v/>
      </c>
      <c r="P333" s="7">
        <f>IF($AD333="","",IF(AND(ISNUMBER(Q333),Q333&gt;0,AB333&gt;Q333),O333*Q333/100+(AB333-Q333),O333*AB333/100))</f>
        <v/>
      </c>
      <c r="Q333">
        <f>IF($AD333="","",INDEX('Per Line'!$AG$2:$AG$3001,$AD333))</f>
        <v/>
      </c>
      <c r="R333">
        <f>IF($AD333="","",IF(AND(ISNUMBER(Q333),Q333&gt;0),AB333&gt;Q333,FALSE))</f>
        <v/>
      </c>
      <c r="S333" s="7">
        <f>IF($AD333="","",SUMIFS('Per Line'!$AB$2:$AB$3001,'Per Line'!$E$2:$E$3001,$B333,'Per Line'!$AQ$2:$AQ$3001,1))</f>
        <v/>
      </c>
      <c r="T333">
        <f>IF($AD333="","",Settings!$C$7)</f>
        <v/>
      </c>
      <c r="U333" s="7">
        <f>IF($AD333="","",SUMIFS('Per Line'!$AB$2:$AB$3001,'Per Line'!$E$2:$E$3001,$B333,'Per Line'!$AP$2:$AP$3001,0,'Per Line'!$AQ$2:$AQ$3001,0))</f>
        <v/>
      </c>
      <c r="V333" s="7">
        <f>IF($AD333="","",U333*T333)</f>
        <v/>
      </c>
      <c r="W333">
        <f>IF($AD333="","",Settings!$C$6)</f>
        <v/>
      </c>
      <c r="X333" s="7">
        <f>IF($AD333="","",SUMIFS('Per Line'!$AB$2:$AB$3001,'Per Line'!$E$2:$E$3001,$B333,'Per Line'!$AP$2:$AP$3001,1,'Per Line'!$AQ$2:$AQ$3001,0))</f>
        <v/>
      </c>
      <c r="Y333" s="7">
        <f>IF($AD333="","",X333*W333)</f>
        <v/>
      </c>
      <c r="Z333" s="7">
        <f>IF($AD333="","",Y333+V333)</f>
        <v/>
      </c>
      <c r="AA333" s="7">
        <f>IF($AD333="","",AB333-Z333)</f>
        <v/>
      </c>
      <c r="AB333" s="7">
        <f>IF($AD333="","",U333+X333+S333)</f>
        <v/>
      </c>
      <c r="AC333" s="7">
        <f>IF($AD333="","",AB333-Z333-P333)</f>
        <v/>
      </c>
      <c r="AD333" s="13">
        <f>IF(ROWS($AD$2:$AD333)&lt;=MAX('Per Line'!$AO$2:$AO$3001),MATCH(ROWS($AD$2:$AD333),'Per Line'!$AO$2:$AO$3001,0),"")</f>
        <v/>
      </c>
      <c r="AE333" s="14">
        <f>IF($AD333="","",P333-O333*AB333/100)</f>
        <v/>
      </c>
    </row>
    <row r="334">
      <c r="A334" s="12" t="n"/>
      <c r="B334">
        <f>IF($AD334="","",INDEX('Per Line'!$E$2:$E$3001,$AD334)&amp;"")</f>
        <v/>
      </c>
      <c r="C334">
        <f>IF($AD334="","",INDEX('Per Line'!$A$2:$A$3001,$AD334)&amp;"")</f>
        <v/>
      </c>
      <c r="D334">
        <f>IF($AD334="","",INDEX('Per Line'!$C$2:$C$3001,$AD334)&amp;"")</f>
        <v/>
      </c>
      <c r="E334">
        <f>IF($AD334="","",INDEX('Per Line'!$B$2:$B$3001,$AD334))</f>
        <v/>
      </c>
      <c r="F334">
        <f>IF($AD334="","",INDEX('Per Line'!$D$2:$D$3001,$AD334)&amp;"")</f>
        <v/>
      </c>
      <c r="G334" s="11">
        <f>IF($AD334="","",INDEX('Per Line'!$G$2:$G$3001,$AD334))</f>
        <v/>
      </c>
      <c r="H334">
        <f>IF($AD334="","",INDEX('Per Line'!$J$2:$J$3001,$AD334)&amp;"")</f>
        <v/>
      </c>
      <c r="I334">
        <f>IF($AD334="","",INDEX('Per Line'!$H$2:$H$3001,$AD334)&amp;"")</f>
        <v/>
      </c>
      <c r="J334">
        <f>IF($AD334="","",INDEX('Per Line'!$F$2:$F$3001,$AD334)&amp;"")</f>
        <v/>
      </c>
      <c r="K334">
        <f>IF($AD334="","",INDEX('Per Line'!$K$2:$K$3001,$AD334)&amp;"")</f>
        <v/>
      </c>
      <c r="L334">
        <f>IF($AD334="","",INDEX('Per Line'!$L$2:$L$3001,$AD334)&amp;"")</f>
        <v/>
      </c>
      <c r="M334">
        <f>IF($AD334="","",INDEX('Per Line'!$M$2:$M$3001,$AD334)&amp;"")</f>
        <v/>
      </c>
      <c r="N334">
        <f>IF($AD334="","",INDEX('Per Line'!$AC$2:$AC$3001,$AD334)&amp;"")</f>
        <v/>
      </c>
      <c r="O334">
        <f>IF($AD334="","",INDEX('Per Line'!$P$2:$P$3001,$AD334))</f>
        <v/>
      </c>
      <c r="P334" s="7">
        <f>IF($AD334="","",IF(AND(ISNUMBER(Q334),Q334&gt;0,AB334&gt;Q334),O334*Q334/100+(AB334-Q334),O334*AB334/100))</f>
        <v/>
      </c>
      <c r="Q334">
        <f>IF($AD334="","",INDEX('Per Line'!$AG$2:$AG$3001,$AD334))</f>
        <v/>
      </c>
      <c r="R334">
        <f>IF($AD334="","",IF(AND(ISNUMBER(Q334),Q334&gt;0),AB334&gt;Q334,FALSE))</f>
        <v/>
      </c>
      <c r="S334" s="7">
        <f>IF($AD334="","",SUMIFS('Per Line'!$AB$2:$AB$3001,'Per Line'!$E$2:$E$3001,$B334,'Per Line'!$AQ$2:$AQ$3001,1))</f>
        <v/>
      </c>
      <c r="T334">
        <f>IF($AD334="","",Settings!$C$7)</f>
        <v/>
      </c>
      <c r="U334" s="7">
        <f>IF($AD334="","",SUMIFS('Per Line'!$AB$2:$AB$3001,'Per Line'!$E$2:$E$3001,$B334,'Per Line'!$AP$2:$AP$3001,0,'Per Line'!$AQ$2:$AQ$3001,0))</f>
        <v/>
      </c>
      <c r="V334" s="7">
        <f>IF($AD334="","",U334*T334)</f>
        <v/>
      </c>
      <c r="W334">
        <f>IF($AD334="","",Settings!$C$6)</f>
        <v/>
      </c>
      <c r="X334" s="7">
        <f>IF($AD334="","",SUMIFS('Per Line'!$AB$2:$AB$3001,'Per Line'!$E$2:$E$3001,$B334,'Per Line'!$AP$2:$AP$3001,1,'Per Line'!$AQ$2:$AQ$3001,0))</f>
        <v/>
      </c>
      <c r="Y334" s="7">
        <f>IF($AD334="","",X334*W334)</f>
        <v/>
      </c>
      <c r="Z334" s="7">
        <f>IF($AD334="","",Y334+V334)</f>
        <v/>
      </c>
      <c r="AA334" s="7">
        <f>IF($AD334="","",AB334-Z334)</f>
        <v/>
      </c>
      <c r="AB334" s="7">
        <f>IF($AD334="","",U334+X334+S334)</f>
        <v/>
      </c>
      <c r="AC334" s="7">
        <f>IF($AD334="","",AB334-Z334-P334)</f>
        <v/>
      </c>
      <c r="AD334" s="13">
        <f>IF(ROWS($AD$2:$AD334)&lt;=MAX('Per Line'!$AO$2:$AO$3001),MATCH(ROWS($AD$2:$AD334),'Per Line'!$AO$2:$AO$3001,0),"")</f>
        <v/>
      </c>
      <c r="AE334" s="14">
        <f>IF($AD334="","",P334-O334*AB334/100)</f>
        <v/>
      </c>
    </row>
    <row r="335">
      <c r="A335" s="12" t="n"/>
      <c r="B335">
        <f>IF($AD335="","",INDEX('Per Line'!$E$2:$E$3001,$AD335)&amp;"")</f>
        <v/>
      </c>
      <c r="C335">
        <f>IF($AD335="","",INDEX('Per Line'!$A$2:$A$3001,$AD335)&amp;"")</f>
        <v/>
      </c>
      <c r="D335">
        <f>IF($AD335="","",INDEX('Per Line'!$C$2:$C$3001,$AD335)&amp;"")</f>
        <v/>
      </c>
      <c r="E335">
        <f>IF($AD335="","",INDEX('Per Line'!$B$2:$B$3001,$AD335))</f>
        <v/>
      </c>
      <c r="F335">
        <f>IF($AD335="","",INDEX('Per Line'!$D$2:$D$3001,$AD335)&amp;"")</f>
        <v/>
      </c>
      <c r="G335" s="11">
        <f>IF($AD335="","",INDEX('Per Line'!$G$2:$G$3001,$AD335))</f>
        <v/>
      </c>
      <c r="H335">
        <f>IF($AD335="","",INDEX('Per Line'!$J$2:$J$3001,$AD335)&amp;"")</f>
        <v/>
      </c>
      <c r="I335">
        <f>IF($AD335="","",INDEX('Per Line'!$H$2:$H$3001,$AD335)&amp;"")</f>
        <v/>
      </c>
      <c r="J335">
        <f>IF($AD335="","",INDEX('Per Line'!$F$2:$F$3001,$AD335)&amp;"")</f>
        <v/>
      </c>
      <c r="K335">
        <f>IF($AD335="","",INDEX('Per Line'!$K$2:$K$3001,$AD335)&amp;"")</f>
        <v/>
      </c>
      <c r="L335">
        <f>IF($AD335="","",INDEX('Per Line'!$L$2:$L$3001,$AD335)&amp;"")</f>
        <v/>
      </c>
      <c r="M335">
        <f>IF($AD335="","",INDEX('Per Line'!$M$2:$M$3001,$AD335)&amp;"")</f>
        <v/>
      </c>
      <c r="N335">
        <f>IF($AD335="","",INDEX('Per Line'!$AC$2:$AC$3001,$AD335)&amp;"")</f>
        <v/>
      </c>
      <c r="O335">
        <f>IF($AD335="","",INDEX('Per Line'!$P$2:$P$3001,$AD335))</f>
        <v/>
      </c>
      <c r="P335" s="7">
        <f>IF($AD335="","",IF(AND(ISNUMBER(Q335),Q335&gt;0,AB335&gt;Q335),O335*Q335/100+(AB335-Q335),O335*AB335/100))</f>
        <v/>
      </c>
      <c r="Q335">
        <f>IF($AD335="","",INDEX('Per Line'!$AG$2:$AG$3001,$AD335))</f>
        <v/>
      </c>
      <c r="R335">
        <f>IF($AD335="","",IF(AND(ISNUMBER(Q335),Q335&gt;0),AB335&gt;Q335,FALSE))</f>
        <v/>
      </c>
      <c r="S335" s="7">
        <f>IF($AD335="","",SUMIFS('Per Line'!$AB$2:$AB$3001,'Per Line'!$E$2:$E$3001,$B335,'Per Line'!$AQ$2:$AQ$3001,1))</f>
        <v/>
      </c>
      <c r="T335">
        <f>IF($AD335="","",Settings!$C$7)</f>
        <v/>
      </c>
      <c r="U335" s="7">
        <f>IF($AD335="","",SUMIFS('Per Line'!$AB$2:$AB$3001,'Per Line'!$E$2:$E$3001,$B335,'Per Line'!$AP$2:$AP$3001,0,'Per Line'!$AQ$2:$AQ$3001,0))</f>
        <v/>
      </c>
      <c r="V335" s="7">
        <f>IF($AD335="","",U335*T335)</f>
        <v/>
      </c>
      <c r="W335">
        <f>IF($AD335="","",Settings!$C$6)</f>
        <v/>
      </c>
      <c r="X335" s="7">
        <f>IF($AD335="","",SUMIFS('Per Line'!$AB$2:$AB$3001,'Per Line'!$E$2:$E$3001,$B335,'Per Line'!$AP$2:$AP$3001,1,'Per Line'!$AQ$2:$AQ$3001,0))</f>
        <v/>
      </c>
      <c r="Y335" s="7">
        <f>IF($AD335="","",X335*W335)</f>
        <v/>
      </c>
      <c r="Z335" s="7">
        <f>IF($AD335="","",Y335+V335)</f>
        <v/>
      </c>
      <c r="AA335" s="7">
        <f>IF($AD335="","",AB335-Z335)</f>
        <v/>
      </c>
      <c r="AB335" s="7">
        <f>IF($AD335="","",U335+X335+S335)</f>
        <v/>
      </c>
      <c r="AC335" s="7">
        <f>IF($AD335="","",AB335-Z335-P335)</f>
        <v/>
      </c>
      <c r="AD335" s="13">
        <f>IF(ROWS($AD$2:$AD335)&lt;=MAX('Per Line'!$AO$2:$AO$3001),MATCH(ROWS($AD$2:$AD335),'Per Line'!$AO$2:$AO$3001,0),"")</f>
        <v/>
      </c>
      <c r="AE335" s="14">
        <f>IF($AD335="","",P335-O335*AB335/100)</f>
        <v/>
      </c>
    </row>
    <row r="336">
      <c r="A336" s="12" t="n"/>
      <c r="B336">
        <f>IF($AD336="","",INDEX('Per Line'!$E$2:$E$3001,$AD336)&amp;"")</f>
        <v/>
      </c>
      <c r="C336">
        <f>IF($AD336="","",INDEX('Per Line'!$A$2:$A$3001,$AD336)&amp;"")</f>
        <v/>
      </c>
      <c r="D336">
        <f>IF($AD336="","",INDEX('Per Line'!$C$2:$C$3001,$AD336)&amp;"")</f>
        <v/>
      </c>
      <c r="E336">
        <f>IF($AD336="","",INDEX('Per Line'!$B$2:$B$3001,$AD336))</f>
        <v/>
      </c>
      <c r="F336">
        <f>IF($AD336="","",INDEX('Per Line'!$D$2:$D$3001,$AD336)&amp;"")</f>
        <v/>
      </c>
      <c r="G336" s="11">
        <f>IF($AD336="","",INDEX('Per Line'!$G$2:$G$3001,$AD336))</f>
        <v/>
      </c>
      <c r="H336">
        <f>IF($AD336="","",INDEX('Per Line'!$J$2:$J$3001,$AD336)&amp;"")</f>
        <v/>
      </c>
      <c r="I336">
        <f>IF($AD336="","",INDEX('Per Line'!$H$2:$H$3001,$AD336)&amp;"")</f>
        <v/>
      </c>
      <c r="J336">
        <f>IF($AD336="","",INDEX('Per Line'!$F$2:$F$3001,$AD336)&amp;"")</f>
        <v/>
      </c>
      <c r="K336">
        <f>IF($AD336="","",INDEX('Per Line'!$K$2:$K$3001,$AD336)&amp;"")</f>
        <v/>
      </c>
      <c r="L336">
        <f>IF($AD336="","",INDEX('Per Line'!$L$2:$L$3001,$AD336)&amp;"")</f>
        <v/>
      </c>
      <c r="M336">
        <f>IF($AD336="","",INDEX('Per Line'!$M$2:$M$3001,$AD336)&amp;"")</f>
        <v/>
      </c>
      <c r="N336">
        <f>IF($AD336="","",INDEX('Per Line'!$AC$2:$AC$3001,$AD336)&amp;"")</f>
        <v/>
      </c>
      <c r="O336">
        <f>IF($AD336="","",INDEX('Per Line'!$P$2:$P$3001,$AD336))</f>
        <v/>
      </c>
      <c r="P336" s="7">
        <f>IF($AD336="","",IF(AND(ISNUMBER(Q336),Q336&gt;0,AB336&gt;Q336),O336*Q336/100+(AB336-Q336),O336*AB336/100))</f>
        <v/>
      </c>
      <c r="Q336">
        <f>IF($AD336="","",INDEX('Per Line'!$AG$2:$AG$3001,$AD336))</f>
        <v/>
      </c>
      <c r="R336">
        <f>IF($AD336="","",IF(AND(ISNUMBER(Q336),Q336&gt;0),AB336&gt;Q336,FALSE))</f>
        <v/>
      </c>
      <c r="S336" s="7">
        <f>IF($AD336="","",SUMIFS('Per Line'!$AB$2:$AB$3001,'Per Line'!$E$2:$E$3001,$B336,'Per Line'!$AQ$2:$AQ$3001,1))</f>
        <v/>
      </c>
      <c r="T336">
        <f>IF($AD336="","",Settings!$C$7)</f>
        <v/>
      </c>
      <c r="U336" s="7">
        <f>IF($AD336="","",SUMIFS('Per Line'!$AB$2:$AB$3001,'Per Line'!$E$2:$E$3001,$B336,'Per Line'!$AP$2:$AP$3001,0,'Per Line'!$AQ$2:$AQ$3001,0))</f>
        <v/>
      </c>
      <c r="V336" s="7">
        <f>IF($AD336="","",U336*T336)</f>
        <v/>
      </c>
      <c r="W336">
        <f>IF($AD336="","",Settings!$C$6)</f>
        <v/>
      </c>
      <c r="X336" s="7">
        <f>IF($AD336="","",SUMIFS('Per Line'!$AB$2:$AB$3001,'Per Line'!$E$2:$E$3001,$B336,'Per Line'!$AP$2:$AP$3001,1,'Per Line'!$AQ$2:$AQ$3001,0))</f>
        <v/>
      </c>
      <c r="Y336" s="7">
        <f>IF($AD336="","",X336*W336)</f>
        <v/>
      </c>
      <c r="Z336" s="7">
        <f>IF($AD336="","",Y336+V336)</f>
        <v/>
      </c>
      <c r="AA336" s="7">
        <f>IF($AD336="","",AB336-Z336)</f>
        <v/>
      </c>
      <c r="AB336" s="7">
        <f>IF($AD336="","",U336+X336+S336)</f>
        <v/>
      </c>
      <c r="AC336" s="7">
        <f>IF($AD336="","",AB336-Z336-P336)</f>
        <v/>
      </c>
      <c r="AD336" s="13">
        <f>IF(ROWS($AD$2:$AD336)&lt;=MAX('Per Line'!$AO$2:$AO$3001),MATCH(ROWS($AD$2:$AD336),'Per Line'!$AO$2:$AO$3001,0),"")</f>
        <v/>
      </c>
      <c r="AE336" s="14">
        <f>IF($AD336="","",P336-O336*AB336/100)</f>
        <v/>
      </c>
    </row>
    <row r="337">
      <c r="A337" s="12" t="n"/>
      <c r="B337">
        <f>IF($AD337="","",INDEX('Per Line'!$E$2:$E$3001,$AD337)&amp;"")</f>
        <v/>
      </c>
      <c r="C337">
        <f>IF($AD337="","",INDEX('Per Line'!$A$2:$A$3001,$AD337)&amp;"")</f>
        <v/>
      </c>
      <c r="D337">
        <f>IF($AD337="","",INDEX('Per Line'!$C$2:$C$3001,$AD337)&amp;"")</f>
        <v/>
      </c>
      <c r="E337">
        <f>IF($AD337="","",INDEX('Per Line'!$B$2:$B$3001,$AD337))</f>
        <v/>
      </c>
      <c r="F337">
        <f>IF($AD337="","",INDEX('Per Line'!$D$2:$D$3001,$AD337)&amp;"")</f>
        <v/>
      </c>
      <c r="G337" s="11">
        <f>IF($AD337="","",INDEX('Per Line'!$G$2:$G$3001,$AD337))</f>
        <v/>
      </c>
      <c r="H337">
        <f>IF($AD337="","",INDEX('Per Line'!$J$2:$J$3001,$AD337)&amp;"")</f>
        <v/>
      </c>
      <c r="I337">
        <f>IF($AD337="","",INDEX('Per Line'!$H$2:$H$3001,$AD337)&amp;"")</f>
        <v/>
      </c>
      <c r="J337">
        <f>IF($AD337="","",INDEX('Per Line'!$F$2:$F$3001,$AD337)&amp;"")</f>
        <v/>
      </c>
      <c r="K337">
        <f>IF($AD337="","",INDEX('Per Line'!$K$2:$K$3001,$AD337)&amp;"")</f>
        <v/>
      </c>
      <c r="L337">
        <f>IF($AD337="","",INDEX('Per Line'!$L$2:$L$3001,$AD337)&amp;"")</f>
        <v/>
      </c>
      <c r="M337">
        <f>IF($AD337="","",INDEX('Per Line'!$M$2:$M$3001,$AD337)&amp;"")</f>
        <v/>
      </c>
      <c r="N337">
        <f>IF($AD337="","",INDEX('Per Line'!$AC$2:$AC$3001,$AD337)&amp;"")</f>
        <v/>
      </c>
      <c r="O337">
        <f>IF($AD337="","",INDEX('Per Line'!$P$2:$P$3001,$AD337))</f>
        <v/>
      </c>
      <c r="P337" s="7">
        <f>IF($AD337="","",IF(AND(ISNUMBER(Q337),Q337&gt;0,AB337&gt;Q337),O337*Q337/100+(AB337-Q337),O337*AB337/100))</f>
        <v/>
      </c>
      <c r="Q337">
        <f>IF($AD337="","",INDEX('Per Line'!$AG$2:$AG$3001,$AD337))</f>
        <v/>
      </c>
      <c r="R337">
        <f>IF($AD337="","",IF(AND(ISNUMBER(Q337),Q337&gt;0),AB337&gt;Q337,FALSE))</f>
        <v/>
      </c>
      <c r="S337" s="7">
        <f>IF($AD337="","",SUMIFS('Per Line'!$AB$2:$AB$3001,'Per Line'!$E$2:$E$3001,$B337,'Per Line'!$AQ$2:$AQ$3001,1))</f>
        <v/>
      </c>
      <c r="T337">
        <f>IF($AD337="","",Settings!$C$7)</f>
        <v/>
      </c>
      <c r="U337" s="7">
        <f>IF($AD337="","",SUMIFS('Per Line'!$AB$2:$AB$3001,'Per Line'!$E$2:$E$3001,$B337,'Per Line'!$AP$2:$AP$3001,0,'Per Line'!$AQ$2:$AQ$3001,0))</f>
        <v/>
      </c>
      <c r="V337" s="7">
        <f>IF($AD337="","",U337*T337)</f>
        <v/>
      </c>
      <c r="W337">
        <f>IF($AD337="","",Settings!$C$6)</f>
        <v/>
      </c>
      <c r="X337" s="7">
        <f>IF($AD337="","",SUMIFS('Per Line'!$AB$2:$AB$3001,'Per Line'!$E$2:$E$3001,$B337,'Per Line'!$AP$2:$AP$3001,1,'Per Line'!$AQ$2:$AQ$3001,0))</f>
        <v/>
      </c>
      <c r="Y337" s="7">
        <f>IF($AD337="","",X337*W337)</f>
        <v/>
      </c>
      <c r="Z337" s="7">
        <f>IF($AD337="","",Y337+V337)</f>
        <v/>
      </c>
      <c r="AA337" s="7">
        <f>IF($AD337="","",AB337-Z337)</f>
        <v/>
      </c>
      <c r="AB337" s="7">
        <f>IF($AD337="","",U337+X337+S337)</f>
        <v/>
      </c>
      <c r="AC337" s="7">
        <f>IF($AD337="","",AB337-Z337-P337)</f>
        <v/>
      </c>
      <c r="AD337" s="13">
        <f>IF(ROWS($AD$2:$AD337)&lt;=MAX('Per Line'!$AO$2:$AO$3001),MATCH(ROWS($AD$2:$AD337),'Per Line'!$AO$2:$AO$3001,0),"")</f>
        <v/>
      </c>
      <c r="AE337" s="14">
        <f>IF($AD337="","",P337-O337*AB337/100)</f>
        <v/>
      </c>
    </row>
    <row r="338">
      <c r="A338" s="12" t="n"/>
      <c r="B338">
        <f>IF($AD338="","",INDEX('Per Line'!$E$2:$E$3001,$AD338)&amp;"")</f>
        <v/>
      </c>
      <c r="C338">
        <f>IF($AD338="","",INDEX('Per Line'!$A$2:$A$3001,$AD338)&amp;"")</f>
        <v/>
      </c>
      <c r="D338">
        <f>IF($AD338="","",INDEX('Per Line'!$C$2:$C$3001,$AD338)&amp;"")</f>
        <v/>
      </c>
      <c r="E338">
        <f>IF($AD338="","",INDEX('Per Line'!$B$2:$B$3001,$AD338))</f>
        <v/>
      </c>
      <c r="F338">
        <f>IF($AD338="","",INDEX('Per Line'!$D$2:$D$3001,$AD338)&amp;"")</f>
        <v/>
      </c>
      <c r="G338" s="11">
        <f>IF($AD338="","",INDEX('Per Line'!$G$2:$G$3001,$AD338))</f>
        <v/>
      </c>
      <c r="H338">
        <f>IF($AD338="","",INDEX('Per Line'!$J$2:$J$3001,$AD338)&amp;"")</f>
        <v/>
      </c>
      <c r="I338">
        <f>IF($AD338="","",INDEX('Per Line'!$H$2:$H$3001,$AD338)&amp;"")</f>
        <v/>
      </c>
      <c r="J338">
        <f>IF($AD338="","",INDEX('Per Line'!$F$2:$F$3001,$AD338)&amp;"")</f>
        <v/>
      </c>
      <c r="K338">
        <f>IF($AD338="","",INDEX('Per Line'!$K$2:$K$3001,$AD338)&amp;"")</f>
        <v/>
      </c>
      <c r="L338">
        <f>IF($AD338="","",INDEX('Per Line'!$L$2:$L$3001,$AD338)&amp;"")</f>
        <v/>
      </c>
      <c r="M338">
        <f>IF($AD338="","",INDEX('Per Line'!$M$2:$M$3001,$AD338)&amp;"")</f>
        <v/>
      </c>
      <c r="N338">
        <f>IF($AD338="","",INDEX('Per Line'!$AC$2:$AC$3001,$AD338)&amp;"")</f>
        <v/>
      </c>
      <c r="O338">
        <f>IF($AD338="","",INDEX('Per Line'!$P$2:$P$3001,$AD338))</f>
        <v/>
      </c>
      <c r="P338" s="7">
        <f>IF($AD338="","",IF(AND(ISNUMBER(Q338),Q338&gt;0,AB338&gt;Q338),O338*Q338/100+(AB338-Q338),O338*AB338/100))</f>
        <v/>
      </c>
      <c r="Q338">
        <f>IF($AD338="","",INDEX('Per Line'!$AG$2:$AG$3001,$AD338))</f>
        <v/>
      </c>
      <c r="R338">
        <f>IF($AD338="","",IF(AND(ISNUMBER(Q338),Q338&gt;0),AB338&gt;Q338,FALSE))</f>
        <v/>
      </c>
      <c r="S338" s="7">
        <f>IF($AD338="","",SUMIFS('Per Line'!$AB$2:$AB$3001,'Per Line'!$E$2:$E$3001,$B338,'Per Line'!$AQ$2:$AQ$3001,1))</f>
        <v/>
      </c>
      <c r="T338">
        <f>IF($AD338="","",Settings!$C$7)</f>
        <v/>
      </c>
      <c r="U338" s="7">
        <f>IF($AD338="","",SUMIFS('Per Line'!$AB$2:$AB$3001,'Per Line'!$E$2:$E$3001,$B338,'Per Line'!$AP$2:$AP$3001,0,'Per Line'!$AQ$2:$AQ$3001,0))</f>
        <v/>
      </c>
      <c r="V338" s="7">
        <f>IF($AD338="","",U338*T338)</f>
        <v/>
      </c>
      <c r="W338">
        <f>IF($AD338="","",Settings!$C$6)</f>
        <v/>
      </c>
      <c r="X338" s="7">
        <f>IF($AD338="","",SUMIFS('Per Line'!$AB$2:$AB$3001,'Per Line'!$E$2:$E$3001,$B338,'Per Line'!$AP$2:$AP$3001,1,'Per Line'!$AQ$2:$AQ$3001,0))</f>
        <v/>
      </c>
      <c r="Y338" s="7">
        <f>IF($AD338="","",X338*W338)</f>
        <v/>
      </c>
      <c r="Z338" s="7">
        <f>IF($AD338="","",Y338+V338)</f>
        <v/>
      </c>
      <c r="AA338" s="7">
        <f>IF($AD338="","",AB338-Z338)</f>
        <v/>
      </c>
      <c r="AB338" s="7">
        <f>IF($AD338="","",U338+X338+S338)</f>
        <v/>
      </c>
      <c r="AC338" s="7">
        <f>IF($AD338="","",AB338-Z338-P338)</f>
        <v/>
      </c>
      <c r="AD338" s="13">
        <f>IF(ROWS($AD$2:$AD338)&lt;=MAX('Per Line'!$AO$2:$AO$3001),MATCH(ROWS($AD$2:$AD338),'Per Line'!$AO$2:$AO$3001,0),"")</f>
        <v/>
      </c>
      <c r="AE338" s="14">
        <f>IF($AD338="","",P338-O338*AB338/100)</f>
        <v/>
      </c>
    </row>
    <row r="339">
      <c r="A339" s="12" t="n"/>
      <c r="B339">
        <f>IF($AD339="","",INDEX('Per Line'!$E$2:$E$3001,$AD339)&amp;"")</f>
        <v/>
      </c>
      <c r="C339">
        <f>IF($AD339="","",INDEX('Per Line'!$A$2:$A$3001,$AD339)&amp;"")</f>
        <v/>
      </c>
      <c r="D339">
        <f>IF($AD339="","",INDEX('Per Line'!$C$2:$C$3001,$AD339)&amp;"")</f>
        <v/>
      </c>
      <c r="E339">
        <f>IF($AD339="","",INDEX('Per Line'!$B$2:$B$3001,$AD339))</f>
        <v/>
      </c>
      <c r="F339">
        <f>IF($AD339="","",INDEX('Per Line'!$D$2:$D$3001,$AD339)&amp;"")</f>
        <v/>
      </c>
      <c r="G339" s="11">
        <f>IF($AD339="","",INDEX('Per Line'!$G$2:$G$3001,$AD339))</f>
        <v/>
      </c>
      <c r="H339">
        <f>IF($AD339="","",INDEX('Per Line'!$J$2:$J$3001,$AD339)&amp;"")</f>
        <v/>
      </c>
      <c r="I339">
        <f>IF($AD339="","",INDEX('Per Line'!$H$2:$H$3001,$AD339)&amp;"")</f>
        <v/>
      </c>
      <c r="J339">
        <f>IF($AD339="","",INDEX('Per Line'!$F$2:$F$3001,$AD339)&amp;"")</f>
        <v/>
      </c>
      <c r="K339">
        <f>IF($AD339="","",INDEX('Per Line'!$K$2:$K$3001,$AD339)&amp;"")</f>
        <v/>
      </c>
      <c r="L339">
        <f>IF($AD339="","",INDEX('Per Line'!$L$2:$L$3001,$AD339)&amp;"")</f>
        <v/>
      </c>
      <c r="M339">
        <f>IF($AD339="","",INDEX('Per Line'!$M$2:$M$3001,$AD339)&amp;"")</f>
        <v/>
      </c>
      <c r="N339">
        <f>IF($AD339="","",INDEX('Per Line'!$AC$2:$AC$3001,$AD339)&amp;"")</f>
        <v/>
      </c>
      <c r="O339">
        <f>IF($AD339="","",INDEX('Per Line'!$P$2:$P$3001,$AD339))</f>
        <v/>
      </c>
      <c r="P339" s="7">
        <f>IF($AD339="","",IF(AND(ISNUMBER(Q339),Q339&gt;0,AB339&gt;Q339),O339*Q339/100+(AB339-Q339),O339*AB339/100))</f>
        <v/>
      </c>
      <c r="Q339">
        <f>IF($AD339="","",INDEX('Per Line'!$AG$2:$AG$3001,$AD339))</f>
        <v/>
      </c>
      <c r="R339">
        <f>IF($AD339="","",IF(AND(ISNUMBER(Q339),Q339&gt;0),AB339&gt;Q339,FALSE))</f>
        <v/>
      </c>
      <c r="S339" s="7">
        <f>IF($AD339="","",SUMIFS('Per Line'!$AB$2:$AB$3001,'Per Line'!$E$2:$E$3001,$B339,'Per Line'!$AQ$2:$AQ$3001,1))</f>
        <v/>
      </c>
      <c r="T339">
        <f>IF($AD339="","",Settings!$C$7)</f>
        <v/>
      </c>
      <c r="U339" s="7">
        <f>IF($AD339="","",SUMIFS('Per Line'!$AB$2:$AB$3001,'Per Line'!$E$2:$E$3001,$B339,'Per Line'!$AP$2:$AP$3001,0,'Per Line'!$AQ$2:$AQ$3001,0))</f>
        <v/>
      </c>
      <c r="V339" s="7">
        <f>IF($AD339="","",U339*T339)</f>
        <v/>
      </c>
      <c r="W339">
        <f>IF($AD339="","",Settings!$C$6)</f>
        <v/>
      </c>
      <c r="X339" s="7">
        <f>IF($AD339="","",SUMIFS('Per Line'!$AB$2:$AB$3001,'Per Line'!$E$2:$E$3001,$B339,'Per Line'!$AP$2:$AP$3001,1,'Per Line'!$AQ$2:$AQ$3001,0))</f>
        <v/>
      </c>
      <c r="Y339" s="7">
        <f>IF($AD339="","",X339*W339)</f>
        <v/>
      </c>
      <c r="Z339" s="7">
        <f>IF($AD339="","",Y339+V339)</f>
        <v/>
      </c>
      <c r="AA339" s="7">
        <f>IF($AD339="","",AB339-Z339)</f>
        <v/>
      </c>
      <c r="AB339" s="7">
        <f>IF($AD339="","",U339+X339+S339)</f>
        <v/>
      </c>
      <c r="AC339" s="7">
        <f>IF($AD339="","",AB339-Z339-P339)</f>
        <v/>
      </c>
      <c r="AD339" s="13">
        <f>IF(ROWS($AD$2:$AD339)&lt;=MAX('Per Line'!$AO$2:$AO$3001),MATCH(ROWS($AD$2:$AD339),'Per Line'!$AO$2:$AO$3001,0),"")</f>
        <v/>
      </c>
      <c r="AE339" s="14">
        <f>IF($AD339="","",P339-O339*AB339/100)</f>
        <v/>
      </c>
    </row>
    <row r="340">
      <c r="A340" s="12" t="n"/>
      <c r="B340">
        <f>IF($AD340="","",INDEX('Per Line'!$E$2:$E$3001,$AD340)&amp;"")</f>
        <v/>
      </c>
      <c r="C340">
        <f>IF($AD340="","",INDEX('Per Line'!$A$2:$A$3001,$AD340)&amp;"")</f>
        <v/>
      </c>
      <c r="D340">
        <f>IF($AD340="","",INDEX('Per Line'!$C$2:$C$3001,$AD340)&amp;"")</f>
        <v/>
      </c>
      <c r="E340">
        <f>IF($AD340="","",INDEX('Per Line'!$B$2:$B$3001,$AD340))</f>
        <v/>
      </c>
      <c r="F340">
        <f>IF($AD340="","",INDEX('Per Line'!$D$2:$D$3001,$AD340)&amp;"")</f>
        <v/>
      </c>
      <c r="G340" s="11">
        <f>IF($AD340="","",INDEX('Per Line'!$G$2:$G$3001,$AD340))</f>
        <v/>
      </c>
      <c r="H340">
        <f>IF($AD340="","",INDEX('Per Line'!$J$2:$J$3001,$AD340)&amp;"")</f>
        <v/>
      </c>
      <c r="I340">
        <f>IF($AD340="","",INDEX('Per Line'!$H$2:$H$3001,$AD340)&amp;"")</f>
        <v/>
      </c>
      <c r="J340">
        <f>IF($AD340="","",INDEX('Per Line'!$F$2:$F$3001,$AD340)&amp;"")</f>
        <v/>
      </c>
      <c r="K340">
        <f>IF($AD340="","",INDEX('Per Line'!$K$2:$K$3001,$AD340)&amp;"")</f>
        <v/>
      </c>
      <c r="L340">
        <f>IF($AD340="","",INDEX('Per Line'!$L$2:$L$3001,$AD340)&amp;"")</f>
        <v/>
      </c>
      <c r="M340">
        <f>IF($AD340="","",INDEX('Per Line'!$M$2:$M$3001,$AD340)&amp;"")</f>
        <v/>
      </c>
      <c r="N340">
        <f>IF($AD340="","",INDEX('Per Line'!$AC$2:$AC$3001,$AD340)&amp;"")</f>
        <v/>
      </c>
      <c r="O340">
        <f>IF($AD340="","",INDEX('Per Line'!$P$2:$P$3001,$AD340))</f>
        <v/>
      </c>
      <c r="P340" s="7">
        <f>IF($AD340="","",IF(AND(ISNUMBER(Q340),Q340&gt;0,AB340&gt;Q340),O340*Q340/100+(AB340-Q340),O340*AB340/100))</f>
        <v/>
      </c>
      <c r="Q340">
        <f>IF($AD340="","",INDEX('Per Line'!$AG$2:$AG$3001,$AD340))</f>
        <v/>
      </c>
      <c r="R340">
        <f>IF($AD340="","",IF(AND(ISNUMBER(Q340),Q340&gt;0),AB340&gt;Q340,FALSE))</f>
        <v/>
      </c>
      <c r="S340" s="7">
        <f>IF($AD340="","",SUMIFS('Per Line'!$AB$2:$AB$3001,'Per Line'!$E$2:$E$3001,$B340,'Per Line'!$AQ$2:$AQ$3001,1))</f>
        <v/>
      </c>
      <c r="T340">
        <f>IF($AD340="","",Settings!$C$7)</f>
        <v/>
      </c>
      <c r="U340" s="7">
        <f>IF($AD340="","",SUMIFS('Per Line'!$AB$2:$AB$3001,'Per Line'!$E$2:$E$3001,$B340,'Per Line'!$AP$2:$AP$3001,0,'Per Line'!$AQ$2:$AQ$3001,0))</f>
        <v/>
      </c>
      <c r="V340" s="7">
        <f>IF($AD340="","",U340*T340)</f>
        <v/>
      </c>
      <c r="W340">
        <f>IF($AD340="","",Settings!$C$6)</f>
        <v/>
      </c>
      <c r="X340" s="7">
        <f>IF($AD340="","",SUMIFS('Per Line'!$AB$2:$AB$3001,'Per Line'!$E$2:$E$3001,$B340,'Per Line'!$AP$2:$AP$3001,1,'Per Line'!$AQ$2:$AQ$3001,0))</f>
        <v/>
      </c>
      <c r="Y340" s="7">
        <f>IF($AD340="","",X340*W340)</f>
        <v/>
      </c>
      <c r="Z340" s="7">
        <f>IF($AD340="","",Y340+V340)</f>
        <v/>
      </c>
      <c r="AA340" s="7">
        <f>IF($AD340="","",AB340-Z340)</f>
        <v/>
      </c>
      <c r="AB340" s="7">
        <f>IF($AD340="","",U340+X340+S340)</f>
        <v/>
      </c>
      <c r="AC340" s="7">
        <f>IF($AD340="","",AB340-Z340-P340)</f>
        <v/>
      </c>
      <c r="AD340" s="13">
        <f>IF(ROWS($AD$2:$AD340)&lt;=MAX('Per Line'!$AO$2:$AO$3001),MATCH(ROWS($AD$2:$AD340),'Per Line'!$AO$2:$AO$3001,0),"")</f>
        <v/>
      </c>
      <c r="AE340" s="14">
        <f>IF($AD340="","",P340-O340*AB340/100)</f>
        <v/>
      </c>
    </row>
    <row r="341">
      <c r="A341" s="12" t="n"/>
      <c r="B341">
        <f>IF($AD341="","",INDEX('Per Line'!$E$2:$E$3001,$AD341)&amp;"")</f>
        <v/>
      </c>
      <c r="C341">
        <f>IF($AD341="","",INDEX('Per Line'!$A$2:$A$3001,$AD341)&amp;"")</f>
        <v/>
      </c>
      <c r="D341">
        <f>IF($AD341="","",INDEX('Per Line'!$C$2:$C$3001,$AD341)&amp;"")</f>
        <v/>
      </c>
      <c r="E341">
        <f>IF($AD341="","",INDEX('Per Line'!$B$2:$B$3001,$AD341))</f>
        <v/>
      </c>
      <c r="F341">
        <f>IF($AD341="","",INDEX('Per Line'!$D$2:$D$3001,$AD341)&amp;"")</f>
        <v/>
      </c>
      <c r="G341" s="11">
        <f>IF($AD341="","",INDEX('Per Line'!$G$2:$G$3001,$AD341))</f>
        <v/>
      </c>
      <c r="H341">
        <f>IF($AD341="","",INDEX('Per Line'!$J$2:$J$3001,$AD341)&amp;"")</f>
        <v/>
      </c>
      <c r="I341">
        <f>IF($AD341="","",INDEX('Per Line'!$H$2:$H$3001,$AD341)&amp;"")</f>
        <v/>
      </c>
      <c r="J341">
        <f>IF($AD341="","",INDEX('Per Line'!$F$2:$F$3001,$AD341)&amp;"")</f>
        <v/>
      </c>
      <c r="K341">
        <f>IF($AD341="","",INDEX('Per Line'!$K$2:$K$3001,$AD341)&amp;"")</f>
        <v/>
      </c>
      <c r="L341">
        <f>IF($AD341="","",INDEX('Per Line'!$L$2:$L$3001,$AD341)&amp;"")</f>
        <v/>
      </c>
      <c r="M341">
        <f>IF($AD341="","",INDEX('Per Line'!$M$2:$M$3001,$AD341)&amp;"")</f>
        <v/>
      </c>
      <c r="N341">
        <f>IF($AD341="","",INDEX('Per Line'!$AC$2:$AC$3001,$AD341)&amp;"")</f>
        <v/>
      </c>
      <c r="O341">
        <f>IF($AD341="","",INDEX('Per Line'!$P$2:$P$3001,$AD341))</f>
        <v/>
      </c>
      <c r="P341" s="7">
        <f>IF($AD341="","",IF(AND(ISNUMBER(Q341),Q341&gt;0,AB341&gt;Q341),O341*Q341/100+(AB341-Q341),O341*AB341/100))</f>
        <v/>
      </c>
      <c r="Q341">
        <f>IF($AD341="","",INDEX('Per Line'!$AG$2:$AG$3001,$AD341))</f>
        <v/>
      </c>
      <c r="R341">
        <f>IF($AD341="","",IF(AND(ISNUMBER(Q341),Q341&gt;0),AB341&gt;Q341,FALSE))</f>
        <v/>
      </c>
      <c r="S341" s="7">
        <f>IF($AD341="","",SUMIFS('Per Line'!$AB$2:$AB$3001,'Per Line'!$E$2:$E$3001,$B341,'Per Line'!$AQ$2:$AQ$3001,1))</f>
        <v/>
      </c>
      <c r="T341">
        <f>IF($AD341="","",Settings!$C$7)</f>
        <v/>
      </c>
      <c r="U341" s="7">
        <f>IF($AD341="","",SUMIFS('Per Line'!$AB$2:$AB$3001,'Per Line'!$E$2:$E$3001,$B341,'Per Line'!$AP$2:$AP$3001,0,'Per Line'!$AQ$2:$AQ$3001,0))</f>
        <v/>
      </c>
      <c r="V341" s="7">
        <f>IF($AD341="","",U341*T341)</f>
        <v/>
      </c>
      <c r="W341">
        <f>IF($AD341="","",Settings!$C$6)</f>
        <v/>
      </c>
      <c r="X341" s="7">
        <f>IF($AD341="","",SUMIFS('Per Line'!$AB$2:$AB$3001,'Per Line'!$E$2:$E$3001,$B341,'Per Line'!$AP$2:$AP$3001,1,'Per Line'!$AQ$2:$AQ$3001,0))</f>
        <v/>
      </c>
      <c r="Y341" s="7">
        <f>IF($AD341="","",X341*W341)</f>
        <v/>
      </c>
      <c r="Z341" s="7">
        <f>IF($AD341="","",Y341+V341)</f>
        <v/>
      </c>
      <c r="AA341" s="7">
        <f>IF($AD341="","",AB341-Z341)</f>
        <v/>
      </c>
      <c r="AB341" s="7">
        <f>IF($AD341="","",U341+X341+S341)</f>
        <v/>
      </c>
      <c r="AC341" s="7">
        <f>IF($AD341="","",AB341-Z341-P341)</f>
        <v/>
      </c>
      <c r="AD341" s="13">
        <f>IF(ROWS($AD$2:$AD341)&lt;=MAX('Per Line'!$AO$2:$AO$3001),MATCH(ROWS($AD$2:$AD341),'Per Line'!$AO$2:$AO$3001,0),"")</f>
        <v/>
      </c>
      <c r="AE341" s="14">
        <f>IF($AD341="","",P341-O341*AB341/100)</f>
        <v/>
      </c>
    </row>
    <row r="342">
      <c r="A342" s="12" t="n"/>
      <c r="B342">
        <f>IF($AD342="","",INDEX('Per Line'!$E$2:$E$3001,$AD342)&amp;"")</f>
        <v/>
      </c>
      <c r="C342">
        <f>IF($AD342="","",INDEX('Per Line'!$A$2:$A$3001,$AD342)&amp;"")</f>
        <v/>
      </c>
      <c r="D342">
        <f>IF($AD342="","",INDEX('Per Line'!$C$2:$C$3001,$AD342)&amp;"")</f>
        <v/>
      </c>
      <c r="E342">
        <f>IF($AD342="","",INDEX('Per Line'!$B$2:$B$3001,$AD342))</f>
        <v/>
      </c>
      <c r="F342">
        <f>IF($AD342="","",INDEX('Per Line'!$D$2:$D$3001,$AD342)&amp;"")</f>
        <v/>
      </c>
      <c r="G342" s="11">
        <f>IF($AD342="","",INDEX('Per Line'!$G$2:$G$3001,$AD342))</f>
        <v/>
      </c>
      <c r="H342">
        <f>IF($AD342="","",INDEX('Per Line'!$J$2:$J$3001,$AD342)&amp;"")</f>
        <v/>
      </c>
      <c r="I342">
        <f>IF($AD342="","",INDEX('Per Line'!$H$2:$H$3001,$AD342)&amp;"")</f>
        <v/>
      </c>
      <c r="J342">
        <f>IF($AD342="","",INDEX('Per Line'!$F$2:$F$3001,$AD342)&amp;"")</f>
        <v/>
      </c>
      <c r="K342">
        <f>IF($AD342="","",INDEX('Per Line'!$K$2:$K$3001,$AD342)&amp;"")</f>
        <v/>
      </c>
      <c r="L342">
        <f>IF($AD342="","",INDEX('Per Line'!$L$2:$L$3001,$AD342)&amp;"")</f>
        <v/>
      </c>
      <c r="M342">
        <f>IF($AD342="","",INDEX('Per Line'!$M$2:$M$3001,$AD342)&amp;"")</f>
        <v/>
      </c>
      <c r="N342">
        <f>IF($AD342="","",INDEX('Per Line'!$AC$2:$AC$3001,$AD342)&amp;"")</f>
        <v/>
      </c>
      <c r="O342">
        <f>IF($AD342="","",INDEX('Per Line'!$P$2:$P$3001,$AD342))</f>
        <v/>
      </c>
      <c r="P342" s="7">
        <f>IF($AD342="","",IF(AND(ISNUMBER(Q342),Q342&gt;0,AB342&gt;Q342),O342*Q342/100+(AB342-Q342),O342*AB342/100))</f>
        <v/>
      </c>
      <c r="Q342">
        <f>IF($AD342="","",INDEX('Per Line'!$AG$2:$AG$3001,$AD342))</f>
        <v/>
      </c>
      <c r="R342">
        <f>IF($AD342="","",IF(AND(ISNUMBER(Q342),Q342&gt;0),AB342&gt;Q342,FALSE))</f>
        <v/>
      </c>
      <c r="S342" s="7">
        <f>IF($AD342="","",SUMIFS('Per Line'!$AB$2:$AB$3001,'Per Line'!$E$2:$E$3001,$B342,'Per Line'!$AQ$2:$AQ$3001,1))</f>
        <v/>
      </c>
      <c r="T342">
        <f>IF($AD342="","",Settings!$C$7)</f>
        <v/>
      </c>
      <c r="U342" s="7">
        <f>IF($AD342="","",SUMIFS('Per Line'!$AB$2:$AB$3001,'Per Line'!$E$2:$E$3001,$B342,'Per Line'!$AP$2:$AP$3001,0,'Per Line'!$AQ$2:$AQ$3001,0))</f>
        <v/>
      </c>
      <c r="V342" s="7">
        <f>IF($AD342="","",U342*T342)</f>
        <v/>
      </c>
      <c r="W342">
        <f>IF($AD342="","",Settings!$C$6)</f>
        <v/>
      </c>
      <c r="X342" s="7">
        <f>IF($AD342="","",SUMIFS('Per Line'!$AB$2:$AB$3001,'Per Line'!$E$2:$E$3001,$B342,'Per Line'!$AP$2:$AP$3001,1,'Per Line'!$AQ$2:$AQ$3001,0))</f>
        <v/>
      </c>
      <c r="Y342" s="7">
        <f>IF($AD342="","",X342*W342)</f>
        <v/>
      </c>
      <c r="Z342" s="7">
        <f>IF($AD342="","",Y342+V342)</f>
        <v/>
      </c>
      <c r="AA342" s="7">
        <f>IF($AD342="","",AB342-Z342)</f>
        <v/>
      </c>
      <c r="AB342" s="7">
        <f>IF($AD342="","",U342+X342+S342)</f>
        <v/>
      </c>
      <c r="AC342" s="7">
        <f>IF($AD342="","",AB342-Z342-P342)</f>
        <v/>
      </c>
      <c r="AD342" s="13">
        <f>IF(ROWS($AD$2:$AD342)&lt;=MAX('Per Line'!$AO$2:$AO$3001),MATCH(ROWS($AD$2:$AD342),'Per Line'!$AO$2:$AO$3001,0),"")</f>
        <v/>
      </c>
      <c r="AE342" s="14">
        <f>IF($AD342="","",P342-O342*AB342/100)</f>
        <v/>
      </c>
    </row>
    <row r="343">
      <c r="A343" s="12" t="n"/>
      <c r="B343">
        <f>IF($AD343="","",INDEX('Per Line'!$E$2:$E$3001,$AD343)&amp;"")</f>
        <v/>
      </c>
      <c r="C343">
        <f>IF($AD343="","",INDEX('Per Line'!$A$2:$A$3001,$AD343)&amp;"")</f>
        <v/>
      </c>
      <c r="D343">
        <f>IF($AD343="","",INDEX('Per Line'!$C$2:$C$3001,$AD343)&amp;"")</f>
        <v/>
      </c>
      <c r="E343">
        <f>IF($AD343="","",INDEX('Per Line'!$B$2:$B$3001,$AD343))</f>
        <v/>
      </c>
      <c r="F343">
        <f>IF($AD343="","",INDEX('Per Line'!$D$2:$D$3001,$AD343)&amp;"")</f>
        <v/>
      </c>
      <c r="G343" s="11">
        <f>IF($AD343="","",INDEX('Per Line'!$G$2:$G$3001,$AD343))</f>
        <v/>
      </c>
      <c r="H343">
        <f>IF($AD343="","",INDEX('Per Line'!$J$2:$J$3001,$AD343)&amp;"")</f>
        <v/>
      </c>
      <c r="I343">
        <f>IF($AD343="","",INDEX('Per Line'!$H$2:$H$3001,$AD343)&amp;"")</f>
        <v/>
      </c>
      <c r="J343">
        <f>IF($AD343="","",INDEX('Per Line'!$F$2:$F$3001,$AD343)&amp;"")</f>
        <v/>
      </c>
      <c r="K343">
        <f>IF($AD343="","",INDEX('Per Line'!$K$2:$K$3001,$AD343)&amp;"")</f>
        <v/>
      </c>
      <c r="L343">
        <f>IF($AD343="","",INDEX('Per Line'!$L$2:$L$3001,$AD343)&amp;"")</f>
        <v/>
      </c>
      <c r="M343">
        <f>IF($AD343="","",INDEX('Per Line'!$M$2:$M$3001,$AD343)&amp;"")</f>
        <v/>
      </c>
      <c r="N343">
        <f>IF($AD343="","",INDEX('Per Line'!$AC$2:$AC$3001,$AD343)&amp;"")</f>
        <v/>
      </c>
      <c r="O343">
        <f>IF($AD343="","",INDEX('Per Line'!$P$2:$P$3001,$AD343))</f>
        <v/>
      </c>
      <c r="P343" s="7">
        <f>IF($AD343="","",IF(AND(ISNUMBER(Q343),Q343&gt;0,AB343&gt;Q343),O343*Q343/100+(AB343-Q343),O343*AB343/100))</f>
        <v/>
      </c>
      <c r="Q343">
        <f>IF($AD343="","",INDEX('Per Line'!$AG$2:$AG$3001,$AD343))</f>
        <v/>
      </c>
      <c r="R343">
        <f>IF($AD343="","",IF(AND(ISNUMBER(Q343),Q343&gt;0),AB343&gt;Q343,FALSE))</f>
        <v/>
      </c>
      <c r="S343" s="7">
        <f>IF($AD343="","",SUMIFS('Per Line'!$AB$2:$AB$3001,'Per Line'!$E$2:$E$3001,$B343,'Per Line'!$AQ$2:$AQ$3001,1))</f>
        <v/>
      </c>
      <c r="T343">
        <f>IF($AD343="","",Settings!$C$7)</f>
        <v/>
      </c>
      <c r="U343" s="7">
        <f>IF($AD343="","",SUMIFS('Per Line'!$AB$2:$AB$3001,'Per Line'!$E$2:$E$3001,$B343,'Per Line'!$AP$2:$AP$3001,0,'Per Line'!$AQ$2:$AQ$3001,0))</f>
        <v/>
      </c>
      <c r="V343" s="7">
        <f>IF($AD343="","",U343*T343)</f>
        <v/>
      </c>
      <c r="W343">
        <f>IF($AD343="","",Settings!$C$6)</f>
        <v/>
      </c>
      <c r="X343" s="7">
        <f>IF($AD343="","",SUMIFS('Per Line'!$AB$2:$AB$3001,'Per Line'!$E$2:$E$3001,$B343,'Per Line'!$AP$2:$AP$3001,1,'Per Line'!$AQ$2:$AQ$3001,0))</f>
        <v/>
      </c>
      <c r="Y343" s="7">
        <f>IF($AD343="","",X343*W343)</f>
        <v/>
      </c>
      <c r="Z343" s="7">
        <f>IF($AD343="","",Y343+V343)</f>
        <v/>
      </c>
      <c r="AA343" s="7">
        <f>IF($AD343="","",AB343-Z343)</f>
        <v/>
      </c>
      <c r="AB343" s="7">
        <f>IF($AD343="","",U343+X343+S343)</f>
        <v/>
      </c>
      <c r="AC343" s="7">
        <f>IF($AD343="","",AB343-Z343-P343)</f>
        <v/>
      </c>
      <c r="AD343" s="13">
        <f>IF(ROWS($AD$2:$AD343)&lt;=MAX('Per Line'!$AO$2:$AO$3001),MATCH(ROWS($AD$2:$AD343),'Per Line'!$AO$2:$AO$3001,0),"")</f>
        <v/>
      </c>
      <c r="AE343" s="14">
        <f>IF($AD343="","",P343-O343*AB343/100)</f>
        <v/>
      </c>
    </row>
    <row r="344">
      <c r="A344" s="12" t="n"/>
      <c r="B344">
        <f>IF($AD344="","",INDEX('Per Line'!$E$2:$E$3001,$AD344)&amp;"")</f>
        <v/>
      </c>
      <c r="C344">
        <f>IF($AD344="","",INDEX('Per Line'!$A$2:$A$3001,$AD344)&amp;"")</f>
        <v/>
      </c>
      <c r="D344">
        <f>IF($AD344="","",INDEX('Per Line'!$C$2:$C$3001,$AD344)&amp;"")</f>
        <v/>
      </c>
      <c r="E344">
        <f>IF($AD344="","",INDEX('Per Line'!$B$2:$B$3001,$AD344))</f>
        <v/>
      </c>
      <c r="F344">
        <f>IF($AD344="","",INDEX('Per Line'!$D$2:$D$3001,$AD344)&amp;"")</f>
        <v/>
      </c>
      <c r="G344" s="11">
        <f>IF($AD344="","",INDEX('Per Line'!$G$2:$G$3001,$AD344))</f>
        <v/>
      </c>
      <c r="H344">
        <f>IF($AD344="","",INDEX('Per Line'!$J$2:$J$3001,$AD344)&amp;"")</f>
        <v/>
      </c>
      <c r="I344">
        <f>IF($AD344="","",INDEX('Per Line'!$H$2:$H$3001,$AD344)&amp;"")</f>
        <v/>
      </c>
      <c r="J344">
        <f>IF($AD344="","",INDEX('Per Line'!$F$2:$F$3001,$AD344)&amp;"")</f>
        <v/>
      </c>
      <c r="K344">
        <f>IF($AD344="","",INDEX('Per Line'!$K$2:$K$3001,$AD344)&amp;"")</f>
        <v/>
      </c>
      <c r="L344">
        <f>IF($AD344="","",INDEX('Per Line'!$L$2:$L$3001,$AD344)&amp;"")</f>
        <v/>
      </c>
      <c r="M344">
        <f>IF($AD344="","",INDEX('Per Line'!$M$2:$M$3001,$AD344)&amp;"")</f>
        <v/>
      </c>
      <c r="N344">
        <f>IF($AD344="","",INDEX('Per Line'!$AC$2:$AC$3001,$AD344)&amp;"")</f>
        <v/>
      </c>
      <c r="O344">
        <f>IF($AD344="","",INDEX('Per Line'!$P$2:$P$3001,$AD344))</f>
        <v/>
      </c>
      <c r="P344" s="7">
        <f>IF($AD344="","",IF(AND(ISNUMBER(Q344),Q344&gt;0,AB344&gt;Q344),O344*Q344/100+(AB344-Q344),O344*AB344/100))</f>
        <v/>
      </c>
      <c r="Q344">
        <f>IF($AD344="","",INDEX('Per Line'!$AG$2:$AG$3001,$AD344))</f>
        <v/>
      </c>
      <c r="R344">
        <f>IF($AD344="","",IF(AND(ISNUMBER(Q344),Q344&gt;0),AB344&gt;Q344,FALSE))</f>
        <v/>
      </c>
      <c r="S344" s="7">
        <f>IF($AD344="","",SUMIFS('Per Line'!$AB$2:$AB$3001,'Per Line'!$E$2:$E$3001,$B344,'Per Line'!$AQ$2:$AQ$3001,1))</f>
        <v/>
      </c>
      <c r="T344">
        <f>IF($AD344="","",Settings!$C$7)</f>
        <v/>
      </c>
      <c r="U344" s="7">
        <f>IF($AD344="","",SUMIFS('Per Line'!$AB$2:$AB$3001,'Per Line'!$E$2:$E$3001,$B344,'Per Line'!$AP$2:$AP$3001,0,'Per Line'!$AQ$2:$AQ$3001,0))</f>
        <v/>
      </c>
      <c r="V344" s="7">
        <f>IF($AD344="","",U344*T344)</f>
        <v/>
      </c>
      <c r="W344">
        <f>IF($AD344="","",Settings!$C$6)</f>
        <v/>
      </c>
      <c r="X344" s="7">
        <f>IF($AD344="","",SUMIFS('Per Line'!$AB$2:$AB$3001,'Per Line'!$E$2:$E$3001,$B344,'Per Line'!$AP$2:$AP$3001,1,'Per Line'!$AQ$2:$AQ$3001,0))</f>
        <v/>
      </c>
      <c r="Y344" s="7">
        <f>IF($AD344="","",X344*W344)</f>
        <v/>
      </c>
      <c r="Z344" s="7">
        <f>IF($AD344="","",Y344+V344)</f>
        <v/>
      </c>
      <c r="AA344" s="7">
        <f>IF($AD344="","",AB344-Z344)</f>
        <v/>
      </c>
      <c r="AB344" s="7">
        <f>IF($AD344="","",U344+X344+S344)</f>
        <v/>
      </c>
      <c r="AC344" s="7">
        <f>IF($AD344="","",AB344-Z344-P344)</f>
        <v/>
      </c>
      <c r="AD344" s="13">
        <f>IF(ROWS($AD$2:$AD344)&lt;=MAX('Per Line'!$AO$2:$AO$3001),MATCH(ROWS($AD$2:$AD344),'Per Line'!$AO$2:$AO$3001,0),"")</f>
        <v/>
      </c>
      <c r="AE344" s="14">
        <f>IF($AD344="","",P344-O344*AB344/100)</f>
        <v/>
      </c>
    </row>
    <row r="345">
      <c r="A345" s="12" t="n"/>
      <c r="B345">
        <f>IF($AD345="","",INDEX('Per Line'!$E$2:$E$3001,$AD345)&amp;"")</f>
        <v/>
      </c>
      <c r="C345">
        <f>IF($AD345="","",INDEX('Per Line'!$A$2:$A$3001,$AD345)&amp;"")</f>
        <v/>
      </c>
      <c r="D345">
        <f>IF($AD345="","",INDEX('Per Line'!$C$2:$C$3001,$AD345)&amp;"")</f>
        <v/>
      </c>
      <c r="E345">
        <f>IF($AD345="","",INDEX('Per Line'!$B$2:$B$3001,$AD345))</f>
        <v/>
      </c>
      <c r="F345">
        <f>IF($AD345="","",INDEX('Per Line'!$D$2:$D$3001,$AD345)&amp;"")</f>
        <v/>
      </c>
      <c r="G345" s="11">
        <f>IF($AD345="","",INDEX('Per Line'!$G$2:$G$3001,$AD345))</f>
        <v/>
      </c>
      <c r="H345">
        <f>IF($AD345="","",INDEX('Per Line'!$J$2:$J$3001,$AD345)&amp;"")</f>
        <v/>
      </c>
      <c r="I345">
        <f>IF($AD345="","",INDEX('Per Line'!$H$2:$H$3001,$AD345)&amp;"")</f>
        <v/>
      </c>
      <c r="J345">
        <f>IF($AD345="","",INDEX('Per Line'!$F$2:$F$3001,$AD345)&amp;"")</f>
        <v/>
      </c>
      <c r="K345">
        <f>IF($AD345="","",INDEX('Per Line'!$K$2:$K$3001,$AD345)&amp;"")</f>
        <v/>
      </c>
      <c r="L345">
        <f>IF($AD345="","",INDEX('Per Line'!$L$2:$L$3001,$AD345)&amp;"")</f>
        <v/>
      </c>
      <c r="M345">
        <f>IF($AD345="","",INDEX('Per Line'!$M$2:$M$3001,$AD345)&amp;"")</f>
        <v/>
      </c>
      <c r="N345">
        <f>IF($AD345="","",INDEX('Per Line'!$AC$2:$AC$3001,$AD345)&amp;"")</f>
        <v/>
      </c>
      <c r="O345">
        <f>IF($AD345="","",INDEX('Per Line'!$P$2:$P$3001,$AD345))</f>
        <v/>
      </c>
      <c r="P345" s="7">
        <f>IF($AD345="","",IF(AND(ISNUMBER(Q345),Q345&gt;0,AB345&gt;Q345),O345*Q345/100+(AB345-Q345),O345*AB345/100))</f>
        <v/>
      </c>
      <c r="Q345">
        <f>IF($AD345="","",INDEX('Per Line'!$AG$2:$AG$3001,$AD345))</f>
        <v/>
      </c>
      <c r="R345">
        <f>IF($AD345="","",IF(AND(ISNUMBER(Q345),Q345&gt;0),AB345&gt;Q345,FALSE))</f>
        <v/>
      </c>
      <c r="S345" s="7">
        <f>IF($AD345="","",SUMIFS('Per Line'!$AB$2:$AB$3001,'Per Line'!$E$2:$E$3001,$B345,'Per Line'!$AQ$2:$AQ$3001,1))</f>
        <v/>
      </c>
      <c r="T345">
        <f>IF($AD345="","",Settings!$C$7)</f>
        <v/>
      </c>
      <c r="U345" s="7">
        <f>IF($AD345="","",SUMIFS('Per Line'!$AB$2:$AB$3001,'Per Line'!$E$2:$E$3001,$B345,'Per Line'!$AP$2:$AP$3001,0,'Per Line'!$AQ$2:$AQ$3001,0))</f>
        <v/>
      </c>
      <c r="V345" s="7">
        <f>IF($AD345="","",U345*T345)</f>
        <v/>
      </c>
      <c r="W345">
        <f>IF($AD345="","",Settings!$C$6)</f>
        <v/>
      </c>
      <c r="X345" s="7">
        <f>IF($AD345="","",SUMIFS('Per Line'!$AB$2:$AB$3001,'Per Line'!$E$2:$E$3001,$B345,'Per Line'!$AP$2:$AP$3001,1,'Per Line'!$AQ$2:$AQ$3001,0))</f>
        <v/>
      </c>
      <c r="Y345" s="7">
        <f>IF($AD345="","",X345*W345)</f>
        <v/>
      </c>
      <c r="Z345" s="7">
        <f>IF($AD345="","",Y345+V345)</f>
        <v/>
      </c>
      <c r="AA345" s="7">
        <f>IF($AD345="","",AB345-Z345)</f>
        <v/>
      </c>
      <c r="AB345" s="7">
        <f>IF($AD345="","",U345+X345+S345)</f>
        <v/>
      </c>
      <c r="AC345" s="7">
        <f>IF($AD345="","",AB345-Z345-P345)</f>
        <v/>
      </c>
      <c r="AD345" s="13">
        <f>IF(ROWS($AD$2:$AD345)&lt;=MAX('Per Line'!$AO$2:$AO$3001),MATCH(ROWS($AD$2:$AD345),'Per Line'!$AO$2:$AO$3001,0),"")</f>
        <v/>
      </c>
      <c r="AE345" s="14">
        <f>IF($AD345="","",P345-O345*AB345/100)</f>
        <v/>
      </c>
    </row>
    <row r="346">
      <c r="A346" s="12" t="n"/>
      <c r="B346">
        <f>IF($AD346="","",INDEX('Per Line'!$E$2:$E$3001,$AD346)&amp;"")</f>
        <v/>
      </c>
      <c r="C346">
        <f>IF($AD346="","",INDEX('Per Line'!$A$2:$A$3001,$AD346)&amp;"")</f>
        <v/>
      </c>
      <c r="D346">
        <f>IF($AD346="","",INDEX('Per Line'!$C$2:$C$3001,$AD346)&amp;"")</f>
        <v/>
      </c>
      <c r="E346">
        <f>IF($AD346="","",INDEX('Per Line'!$B$2:$B$3001,$AD346))</f>
        <v/>
      </c>
      <c r="F346">
        <f>IF($AD346="","",INDEX('Per Line'!$D$2:$D$3001,$AD346)&amp;"")</f>
        <v/>
      </c>
      <c r="G346" s="11">
        <f>IF($AD346="","",INDEX('Per Line'!$G$2:$G$3001,$AD346))</f>
        <v/>
      </c>
      <c r="H346">
        <f>IF($AD346="","",INDEX('Per Line'!$J$2:$J$3001,$AD346)&amp;"")</f>
        <v/>
      </c>
      <c r="I346">
        <f>IF($AD346="","",INDEX('Per Line'!$H$2:$H$3001,$AD346)&amp;"")</f>
        <v/>
      </c>
      <c r="J346">
        <f>IF($AD346="","",INDEX('Per Line'!$F$2:$F$3001,$AD346)&amp;"")</f>
        <v/>
      </c>
      <c r="K346">
        <f>IF($AD346="","",INDEX('Per Line'!$K$2:$K$3001,$AD346)&amp;"")</f>
        <v/>
      </c>
      <c r="L346">
        <f>IF($AD346="","",INDEX('Per Line'!$L$2:$L$3001,$AD346)&amp;"")</f>
        <v/>
      </c>
      <c r="M346">
        <f>IF($AD346="","",INDEX('Per Line'!$M$2:$M$3001,$AD346)&amp;"")</f>
        <v/>
      </c>
      <c r="N346">
        <f>IF($AD346="","",INDEX('Per Line'!$AC$2:$AC$3001,$AD346)&amp;"")</f>
        <v/>
      </c>
      <c r="O346">
        <f>IF($AD346="","",INDEX('Per Line'!$P$2:$P$3001,$AD346))</f>
        <v/>
      </c>
      <c r="P346" s="7">
        <f>IF($AD346="","",IF(AND(ISNUMBER(Q346),Q346&gt;0,AB346&gt;Q346),O346*Q346/100+(AB346-Q346),O346*AB346/100))</f>
        <v/>
      </c>
      <c r="Q346">
        <f>IF($AD346="","",INDEX('Per Line'!$AG$2:$AG$3001,$AD346))</f>
        <v/>
      </c>
      <c r="R346">
        <f>IF($AD346="","",IF(AND(ISNUMBER(Q346),Q346&gt;0),AB346&gt;Q346,FALSE))</f>
        <v/>
      </c>
      <c r="S346" s="7">
        <f>IF($AD346="","",SUMIFS('Per Line'!$AB$2:$AB$3001,'Per Line'!$E$2:$E$3001,$B346,'Per Line'!$AQ$2:$AQ$3001,1))</f>
        <v/>
      </c>
      <c r="T346">
        <f>IF($AD346="","",Settings!$C$7)</f>
        <v/>
      </c>
      <c r="U346" s="7">
        <f>IF($AD346="","",SUMIFS('Per Line'!$AB$2:$AB$3001,'Per Line'!$E$2:$E$3001,$B346,'Per Line'!$AP$2:$AP$3001,0,'Per Line'!$AQ$2:$AQ$3001,0))</f>
        <v/>
      </c>
      <c r="V346" s="7">
        <f>IF($AD346="","",U346*T346)</f>
        <v/>
      </c>
      <c r="W346">
        <f>IF($AD346="","",Settings!$C$6)</f>
        <v/>
      </c>
      <c r="X346" s="7">
        <f>IF($AD346="","",SUMIFS('Per Line'!$AB$2:$AB$3001,'Per Line'!$E$2:$E$3001,$B346,'Per Line'!$AP$2:$AP$3001,1,'Per Line'!$AQ$2:$AQ$3001,0))</f>
        <v/>
      </c>
      <c r="Y346" s="7">
        <f>IF($AD346="","",X346*W346)</f>
        <v/>
      </c>
      <c r="Z346" s="7">
        <f>IF($AD346="","",Y346+V346)</f>
        <v/>
      </c>
      <c r="AA346" s="7">
        <f>IF($AD346="","",AB346-Z346)</f>
        <v/>
      </c>
      <c r="AB346" s="7">
        <f>IF($AD346="","",U346+X346+S346)</f>
        <v/>
      </c>
      <c r="AC346" s="7">
        <f>IF($AD346="","",AB346-Z346-P346)</f>
        <v/>
      </c>
      <c r="AD346" s="13">
        <f>IF(ROWS($AD$2:$AD346)&lt;=MAX('Per Line'!$AO$2:$AO$3001),MATCH(ROWS($AD$2:$AD346),'Per Line'!$AO$2:$AO$3001,0),"")</f>
        <v/>
      </c>
      <c r="AE346" s="14">
        <f>IF($AD346="","",P346-O346*AB346/100)</f>
        <v/>
      </c>
    </row>
    <row r="347">
      <c r="A347" s="12" t="n"/>
      <c r="B347">
        <f>IF($AD347="","",INDEX('Per Line'!$E$2:$E$3001,$AD347)&amp;"")</f>
        <v/>
      </c>
      <c r="C347">
        <f>IF($AD347="","",INDEX('Per Line'!$A$2:$A$3001,$AD347)&amp;"")</f>
        <v/>
      </c>
      <c r="D347">
        <f>IF($AD347="","",INDEX('Per Line'!$C$2:$C$3001,$AD347)&amp;"")</f>
        <v/>
      </c>
      <c r="E347">
        <f>IF($AD347="","",INDEX('Per Line'!$B$2:$B$3001,$AD347))</f>
        <v/>
      </c>
      <c r="F347">
        <f>IF($AD347="","",INDEX('Per Line'!$D$2:$D$3001,$AD347)&amp;"")</f>
        <v/>
      </c>
      <c r="G347" s="11">
        <f>IF($AD347="","",INDEX('Per Line'!$G$2:$G$3001,$AD347))</f>
        <v/>
      </c>
      <c r="H347">
        <f>IF($AD347="","",INDEX('Per Line'!$J$2:$J$3001,$AD347)&amp;"")</f>
        <v/>
      </c>
      <c r="I347">
        <f>IF($AD347="","",INDEX('Per Line'!$H$2:$H$3001,$AD347)&amp;"")</f>
        <v/>
      </c>
      <c r="J347">
        <f>IF($AD347="","",INDEX('Per Line'!$F$2:$F$3001,$AD347)&amp;"")</f>
        <v/>
      </c>
      <c r="K347">
        <f>IF($AD347="","",INDEX('Per Line'!$K$2:$K$3001,$AD347)&amp;"")</f>
        <v/>
      </c>
      <c r="L347">
        <f>IF($AD347="","",INDEX('Per Line'!$L$2:$L$3001,$AD347)&amp;"")</f>
        <v/>
      </c>
      <c r="M347">
        <f>IF($AD347="","",INDEX('Per Line'!$M$2:$M$3001,$AD347)&amp;"")</f>
        <v/>
      </c>
      <c r="N347">
        <f>IF($AD347="","",INDEX('Per Line'!$AC$2:$AC$3001,$AD347)&amp;"")</f>
        <v/>
      </c>
      <c r="O347">
        <f>IF($AD347="","",INDEX('Per Line'!$P$2:$P$3001,$AD347))</f>
        <v/>
      </c>
      <c r="P347" s="7">
        <f>IF($AD347="","",IF(AND(ISNUMBER(Q347),Q347&gt;0,AB347&gt;Q347),O347*Q347/100+(AB347-Q347),O347*AB347/100))</f>
        <v/>
      </c>
      <c r="Q347">
        <f>IF($AD347="","",INDEX('Per Line'!$AG$2:$AG$3001,$AD347))</f>
        <v/>
      </c>
      <c r="R347">
        <f>IF($AD347="","",IF(AND(ISNUMBER(Q347),Q347&gt;0),AB347&gt;Q347,FALSE))</f>
        <v/>
      </c>
      <c r="S347" s="7">
        <f>IF($AD347="","",SUMIFS('Per Line'!$AB$2:$AB$3001,'Per Line'!$E$2:$E$3001,$B347,'Per Line'!$AQ$2:$AQ$3001,1))</f>
        <v/>
      </c>
      <c r="T347">
        <f>IF($AD347="","",Settings!$C$7)</f>
        <v/>
      </c>
      <c r="U347" s="7">
        <f>IF($AD347="","",SUMIFS('Per Line'!$AB$2:$AB$3001,'Per Line'!$E$2:$E$3001,$B347,'Per Line'!$AP$2:$AP$3001,0,'Per Line'!$AQ$2:$AQ$3001,0))</f>
        <v/>
      </c>
      <c r="V347" s="7">
        <f>IF($AD347="","",U347*T347)</f>
        <v/>
      </c>
      <c r="W347">
        <f>IF($AD347="","",Settings!$C$6)</f>
        <v/>
      </c>
      <c r="X347" s="7">
        <f>IF($AD347="","",SUMIFS('Per Line'!$AB$2:$AB$3001,'Per Line'!$E$2:$E$3001,$B347,'Per Line'!$AP$2:$AP$3001,1,'Per Line'!$AQ$2:$AQ$3001,0))</f>
        <v/>
      </c>
      <c r="Y347" s="7">
        <f>IF($AD347="","",X347*W347)</f>
        <v/>
      </c>
      <c r="Z347" s="7">
        <f>IF($AD347="","",Y347+V347)</f>
        <v/>
      </c>
      <c r="AA347" s="7">
        <f>IF($AD347="","",AB347-Z347)</f>
        <v/>
      </c>
      <c r="AB347" s="7">
        <f>IF($AD347="","",U347+X347+S347)</f>
        <v/>
      </c>
      <c r="AC347" s="7">
        <f>IF($AD347="","",AB347-Z347-P347)</f>
        <v/>
      </c>
      <c r="AD347" s="13">
        <f>IF(ROWS($AD$2:$AD347)&lt;=MAX('Per Line'!$AO$2:$AO$3001),MATCH(ROWS($AD$2:$AD347),'Per Line'!$AO$2:$AO$3001,0),"")</f>
        <v/>
      </c>
      <c r="AE347" s="14">
        <f>IF($AD347="","",P347-O347*AB347/100)</f>
        <v/>
      </c>
    </row>
    <row r="348">
      <c r="A348" s="12" t="n"/>
      <c r="B348">
        <f>IF($AD348="","",INDEX('Per Line'!$E$2:$E$3001,$AD348)&amp;"")</f>
        <v/>
      </c>
      <c r="C348">
        <f>IF($AD348="","",INDEX('Per Line'!$A$2:$A$3001,$AD348)&amp;"")</f>
        <v/>
      </c>
      <c r="D348">
        <f>IF($AD348="","",INDEX('Per Line'!$C$2:$C$3001,$AD348)&amp;"")</f>
        <v/>
      </c>
      <c r="E348">
        <f>IF($AD348="","",INDEX('Per Line'!$B$2:$B$3001,$AD348))</f>
        <v/>
      </c>
      <c r="F348">
        <f>IF($AD348="","",INDEX('Per Line'!$D$2:$D$3001,$AD348)&amp;"")</f>
        <v/>
      </c>
      <c r="G348" s="11">
        <f>IF($AD348="","",INDEX('Per Line'!$G$2:$G$3001,$AD348))</f>
        <v/>
      </c>
      <c r="H348">
        <f>IF($AD348="","",INDEX('Per Line'!$J$2:$J$3001,$AD348)&amp;"")</f>
        <v/>
      </c>
      <c r="I348">
        <f>IF($AD348="","",INDEX('Per Line'!$H$2:$H$3001,$AD348)&amp;"")</f>
        <v/>
      </c>
      <c r="J348">
        <f>IF($AD348="","",INDEX('Per Line'!$F$2:$F$3001,$AD348)&amp;"")</f>
        <v/>
      </c>
      <c r="K348">
        <f>IF($AD348="","",INDEX('Per Line'!$K$2:$K$3001,$AD348)&amp;"")</f>
        <v/>
      </c>
      <c r="L348">
        <f>IF($AD348="","",INDEX('Per Line'!$L$2:$L$3001,$AD348)&amp;"")</f>
        <v/>
      </c>
      <c r="M348">
        <f>IF($AD348="","",INDEX('Per Line'!$M$2:$M$3001,$AD348)&amp;"")</f>
        <v/>
      </c>
      <c r="N348">
        <f>IF($AD348="","",INDEX('Per Line'!$AC$2:$AC$3001,$AD348)&amp;"")</f>
        <v/>
      </c>
      <c r="O348">
        <f>IF($AD348="","",INDEX('Per Line'!$P$2:$P$3001,$AD348))</f>
        <v/>
      </c>
      <c r="P348" s="7">
        <f>IF($AD348="","",IF(AND(ISNUMBER(Q348),Q348&gt;0,AB348&gt;Q348),O348*Q348/100+(AB348-Q348),O348*AB348/100))</f>
        <v/>
      </c>
      <c r="Q348">
        <f>IF($AD348="","",INDEX('Per Line'!$AG$2:$AG$3001,$AD348))</f>
        <v/>
      </c>
      <c r="R348">
        <f>IF($AD348="","",IF(AND(ISNUMBER(Q348),Q348&gt;0),AB348&gt;Q348,FALSE))</f>
        <v/>
      </c>
      <c r="S348" s="7">
        <f>IF($AD348="","",SUMIFS('Per Line'!$AB$2:$AB$3001,'Per Line'!$E$2:$E$3001,$B348,'Per Line'!$AQ$2:$AQ$3001,1))</f>
        <v/>
      </c>
      <c r="T348">
        <f>IF($AD348="","",Settings!$C$7)</f>
        <v/>
      </c>
      <c r="U348" s="7">
        <f>IF($AD348="","",SUMIFS('Per Line'!$AB$2:$AB$3001,'Per Line'!$E$2:$E$3001,$B348,'Per Line'!$AP$2:$AP$3001,0,'Per Line'!$AQ$2:$AQ$3001,0))</f>
        <v/>
      </c>
      <c r="V348" s="7">
        <f>IF($AD348="","",U348*T348)</f>
        <v/>
      </c>
      <c r="W348">
        <f>IF($AD348="","",Settings!$C$6)</f>
        <v/>
      </c>
      <c r="X348" s="7">
        <f>IF($AD348="","",SUMIFS('Per Line'!$AB$2:$AB$3001,'Per Line'!$E$2:$E$3001,$B348,'Per Line'!$AP$2:$AP$3001,1,'Per Line'!$AQ$2:$AQ$3001,0))</f>
        <v/>
      </c>
      <c r="Y348" s="7">
        <f>IF($AD348="","",X348*W348)</f>
        <v/>
      </c>
      <c r="Z348" s="7">
        <f>IF($AD348="","",Y348+V348)</f>
        <v/>
      </c>
      <c r="AA348" s="7">
        <f>IF($AD348="","",AB348-Z348)</f>
        <v/>
      </c>
      <c r="AB348" s="7">
        <f>IF($AD348="","",U348+X348+S348)</f>
        <v/>
      </c>
      <c r="AC348" s="7">
        <f>IF($AD348="","",AB348-Z348-P348)</f>
        <v/>
      </c>
      <c r="AD348" s="13">
        <f>IF(ROWS($AD$2:$AD348)&lt;=MAX('Per Line'!$AO$2:$AO$3001),MATCH(ROWS($AD$2:$AD348),'Per Line'!$AO$2:$AO$3001,0),"")</f>
        <v/>
      </c>
      <c r="AE348" s="14">
        <f>IF($AD348="","",P348-O348*AB348/100)</f>
        <v/>
      </c>
    </row>
    <row r="349">
      <c r="A349" s="12" t="n"/>
      <c r="B349">
        <f>IF($AD349="","",INDEX('Per Line'!$E$2:$E$3001,$AD349)&amp;"")</f>
        <v/>
      </c>
      <c r="C349">
        <f>IF($AD349="","",INDEX('Per Line'!$A$2:$A$3001,$AD349)&amp;"")</f>
        <v/>
      </c>
      <c r="D349">
        <f>IF($AD349="","",INDEX('Per Line'!$C$2:$C$3001,$AD349)&amp;"")</f>
        <v/>
      </c>
      <c r="E349">
        <f>IF($AD349="","",INDEX('Per Line'!$B$2:$B$3001,$AD349))</f>
        <v/>
      </c>
      <c r="F349">
        <f>IF($AD349="","",INDEX('Per Line'!$D$2:$D$3001,$AD349)&amp;"")</f>
        <v/>
      </c>
      <c r="G349" s="11">
        <f>IF($AD349="","",INDEX('Per Line'!$G$2:$G$3001,$AD349))</f>
        <v/>
      </c>
      <c r="H349">
        <f>IF($AD349="","",INDEX('Per Line'!$J$2:$J$3001,$AD349)&amp;"")</f>
        <v/>
      </c>
      <c r="I349">
        <f>IF($AD349="","",INDEX('Per Line'!$H$2:$H$3001,$AD349)&amp;"")</f>
        <v/>
      </c>
      <c r="J349">
        <f>IF($AD349="","",INDEX('Per Line'!$F$2:$F$3001,$AD349)&amp;"")</f>
        <v/>
      </c>
      <c r="K349">
        <f>IF($AD349="","",INDEX('Per Line'!$K$2:$K$3001,$AD349)&amp;"")</f>
        <v/>
      </c>
      <c r="L349">
        <f>IF($AD349="","",INDEX('Per Line'!$L$2:$L$3001,$AD349)&amp;"")</f>
        <v/>
      </c>
      <c r="M349">
        <f>IF($AD349="","",INDEX('Per Line'!$M$2:$M$3001,$AD349)&amp;"")</f>
        <v/>
      </c>
      <c r="N349">
        <f>IF($AD349="","",INDEX('Per Line'!$AC$2:$AC$3001,$AD349)&amp;"")</f>
        <v/>
      </c>
      <c r="O349">
        <f>IF($AD349="","",INDEX('Per Line'!$P$2:$P$3001,$AD349))</f>
        <v/>
      </c>
      <c r="P349" s="7">
        <f>IF($AD349="","",IF(AND(ISNUMBER(Q349),Q349&gt;0,AB349&gt;Q349),O349*Q349/100+(AB349-Q349),O349*AB349/100))</f>
        <v/>
      </c>
      <c r="Q349">
        <f>IF($AD349="","",INDEX('Per Line'!$AG$2:$AG$3001,$AD349))</f>
        <v/>
      </c>
      <c r="R349">
        <f>IF($AD349="","",IF(AND(ISNUMBER(Q349),Q349&gt;0),AB349&gt;Q349,FALSE))</f>
        <v/>
      </c>
      <c r="S349" s="7">
        <f>IF($AD349="","",SUMIFS('Per Line'!$AB$2:$AB$3001,'Per Line'!$E$2:$E$3001,$B349,'Per Line'!$AQ$2:$AQ$3001,1))</f>
        <v/>
      </c>
      <c r="T349">
        <f>IF($AD349="","",Settings!$C$7)</f>
        <v/>
      </c>
      <c r="U349" s="7">
        <f>IF($AD349="","",SUMIFS('Per Line'!$AB$2:$AB$3001,'Per Line'!$E$2:$E$3001,$B349,'Per Line'!$AP$2:$AP$3001,0,'Per Line'!$AQ$2:$AQ$3001,0))</f>
        <v/>
      </c>
      <c r="V349" s="7">
        <f>IF($AD349="","",U349*T349)</f>
        <v/>
      </c>
      <c r="W349">
        <f>IF($AD349="","",Settings!$C$6)</f>
        <v/>
      </c>
      <c r="X349" s="7">
        <f>IF($AD349="","",SUMIFS('Per Line'!$AB$2:$AB$3001,'Per Line'!$E$2:$E$3001,$B349,'Per Line'!$AP$2:$AP$3001,1,'Per Line'!$AQ$2:$AQ$3001,0))</f>
        <v/>
      </c>
      <c r="Y349" s="7">
        <f>IF($AD349="","",X349*W349)</f>
        <v/>
      </c>
      <c r="Z349" s="7">
        <f>IF($AD349="","",Y349+V349)</f>
        <v/>
      </c>
      <c r="AA349" s="7">
        <f>IF($AD349="","",AB349-Z349)</f>
        <v/>
      </c>
      <c r="AB349" s="7">
        <f>IF($AD349="","",U349+X349+S349)</f>
        <v/>
      </c>
      <c r="AC349" s="7">
        <f>IF($AD349="","",AB349-Z349-P349)</f>
        <v/>
      </c>
      <c r="AD349" s="13">
        <f>IF(ROWS($AD$2:$AD349)&lt;=MAX('Per Line'!$AO$2:$AO$3001),MATCH(ROWS($AD$2:$AD349),'Per Line'!$AO$2:$AO$3001,0),"")</f>
        <v/>
      </c>
      <c r="AE349" s="14">
        <f>IF($AD349="","",P349-O349*AB349/100)</f>
        <v/>
      </c>
    </row>
    <row r="350">
      <c r="A350" s="12" t="n"/>
      <c r="B350">
        <f>IF($AD350="","",INDEX('Per Line'!$E$2:$E$3001,$AD350)&amp;"")</f>
        <v/>
      </c>
      <c r="C350">
        <f>IF($AD350="","",INDEX('Per Line'!$A$2:$A$3001,$AD350)&amp;"")</f>
        <v/>
      </c>
      <c r="D350">
        <f>IF($AD350="","",INDEX('Per Line'!$C$2:$C$3001,$AD350)&amp;"")</f>
        <v/>
      </c>
      <c r="E350">
        <f>IF($AD350="","",INDEX('Per Line'!$B$2:$B$3001,$AD350))</f>
        <v/>
      </c>
      <c r="F350">
        <f>IF($AD350="","",INDEX('Per Line'!$D$2:$D$3001,$AD350)&amp;"")</f>
        <v/>
      </c>
      <c r="G350" s="11">
        <f>IF($AD350="","",INDEX('Per Line'!$G$2:$G$3001,$AD350))</f>
        <v/>
      </c>
      <c r="H350">
        <f>IF($AD350="","",INDEX('Per Line'!$J$2:$J$3001,$AD350)&amp;"")</f>
        <v/>
      </c>
      <c r="I350">
        <f>IF($AD350="","",INDEX('Per Line'!$H$2:$H$3001,$AD350)&amp;"")</f>
        <v/>
      </c>
      <c r="J350">
        <f>IF($AD350="","",INDEX('Per Line'!$F$2:$F$3001,$AD350)&amp;"")</f>
        <v/>
      </c>
      <c r="K350">
        <f>IF($AD350="","",INDEX('Per Line'!$K$2:$K$3001,$AD350)&amp;"")</f>
        <v/>
      </c>
      <c r="L350">
        <f>IF($AD350="","",INDEX('Per Line'!$L$2:$L$3001,$AD350)&amp;"")</f>
        <v/>
      </c>
      <c r="M350">
        <f>IF($AD350="","",INDEX('Per Line'!$M$2:$M$3001,$AD350)&amp;"")</f>
        <v/>
      </c>
      <c r="N350">
        <f>IF($AD350="","",INDEX('Per Line'!$AC$2:$AC$3001,$AD350)&amp;"")</f>
        <v/>
      </c>
      <c r="O350">
        <f>IF($AD350="","",INDEX('Per Line'!$P$2:$P$3001,$AD350))</f>
        <v/>
      </c>
      <c r="P350" s="7">
        <f>IF($AD350="","",IF(AND(ISNUMBER(Q350),Q350&gt;0,AB350&gt;Q350),O350*Q350/100+(AB350-Q350),O350*AB350/100))</f>
        <v/>
      </c>
      <c r="Q350">
        <f>IF($AD350="","",INDEX('Per Line'!$AG$2:$AG$3001,$AD350))</f>
        <v/>
      </c>
      <c r="R350">
        <f>IF($AD350="","",IF(AND(ISNUMBER(Q350),Q350&gt;0),AB350&gt;Q350,FALSE))</f>
        <v/>
      </c>
      <c r="S350" s="7">
        <f>IF($AD350="","",SUMIFS('Per Line'!$AB$2:$AB$3001,'Per Line'!$E$2:$E$3001,$B350,'Per Line'!$AQ$2:$AQ$3001,1))</f>
        <v/>
      </c>
      <c r="T350">
        <f>IF($AD350="","",Settings!$C$7)</f>
        <v/>
      </c>
      <c r="U350" s="7">
        <f>IF($AD350="","",SUMIFS('Per Line'!$AB$2:$AB$3001,'Per Line'!$E$2:$E$3001,$B350,'Per Line'!$AP$2:$AP$3001,0,'Per Line'!$AQ$2:$AQ$3001,0))</f>
        <v/>
      </c>
      <c r="V350" s="7">
        <f>IF($AD350="","",U350*T350)</f>
        <v/>
      </c>
      <c r="W350">
        <f>IF($AD350="","",Settings!$C$6)</f>
        <v/>
      </c>
      <c r="X350" s="7">
        <f>IF($AD350="","",SUMIFS('Per Line'!$AB$2:$AB$3001,'Per Line'!$E$2:$E$3001,$B350,'Per Line'!$AP$2:$AP$3001,1,'Per Line'!$AQ$2:$AQ$3001,0))</f>
        <v/>
      </c>
      <c r="Y350" s="7">
        <f>IF($AD350="","",X350*W350)</f>
        <v/>
      </c>
      <c r="Z350" s="7">
        <f>IF($AD350="","",Y350+V350)</f>
        <v/>
      </c>
      <c r="AA350" s="7">
        <f>IF($AD350="","",AB350-Z350)</f>
        <v/>
      </c>
      <c r="AB350" s="7">
        <f>IF($AD350="","",U350+X350+S350)</f>
        <v/>
      </c>
      <c r="AC350" s="7">
        <f>IF($AD350="","",AB350-Z350-P350)</f>
        <v/>
      </c>
      <c r="AD350" s="13">
        <f>IF(ROWS($AD$2:$AD350)&lt;=MAX('Per Line'!$AO$2:$AO$3001),MATCH(ROWS($AD$2:$AD350),'Per Line'!$AO$2:$AO$3001,0),"")</f>
        <v/>
      </c>
      <c r="AE350" s="14">
        <f>IF($AD350="","",P350-O350*AB350/100)</f>
        <v/>
      </c>
    </row>
    <row r="351">
      <c r="A351" s="12" t="n"/>
      <c r="B351">
        <f>IF($AD351="","",INDEX('Per Line'!$E$2:$E$3001,$AD351)&amp;"")</f>
        <v/>
      </c>
      <c r="C351">
        <f>IF($AD351="","",INDEX('Per Line'!$A$2:$A$3001,$AD351)&amp;"")</f>
        <v/>
      </c>
      <c r="D351">
        <f>IF($AD351="","",INDEX('Per Line'!$C$2:$C$3001,$AD351)&amp;"")</f>
        <v/>
      </c>
      <c r="E351">
        <f>IF($AD351="","",INDEX('Per Line'!$B$2:$B$3001,$AD351))</f>
        <v/>
      </c>
      <c r="F351">
        <f>IF($AD351="","",INDEX('Per Line'!$D$2:$D$3001,$AD351)&amp;"")</f>
        <v/>
      </c>
      <c r="G351" s="11">
        <f>IF($AD351="","",INDEX('Per Line'!$G$2:$G$3001,$AD351))</f>
        <v/>
      </c>
      <c r="H351">
        <f>IF($AD351="","",INDEX('Per Line'!$J$2:$J$3001,$AD351)&amp;"")</f>
        <v/>
      </c>
      <c r="I351">
        <f>IF($AD351="","",INDEX('Per Line'!$H$2:$H$3001,$AD351)&amp;"")</f>
        <v/>
      </c>
      <c r="J351">
        <f>IF($AD351="","",INDEX('Per Line'!$F$2:$F$3001,$AD351)&amp;"")</f>
        <v/>
      </c>
      <c r="K351">
        <f>IF($AD351="","",INDEX('Per Line'!$K$2:$K$3001,$AD351)&amp;"")</f>
        <v/>
      </c>
      <c r="L351">
        <f>IF($AD351="","",INDEX('Per Line'!$L$2:$L$3001,$AD351)&amp;"")</f>
        <v/>
      </c>
      <c r="M351">
        <f>IF($AD351="","",INDEX('Per Line'!$M$2:$M$3001,$AD351)&amp;"")</f>
        <v/>
      </c>
      <c r="N351">
        <f>IF($AD351="","",INDEX('Per Line'!$AC$2:$AC$3001,$AD351)&amp;"")</f>
        <v/>
      </c>
      <c r="O351">
        <f>IF($AD351="","",INDEX('Per Line'!$P$2:$P$3001,$AD351))</f>
        <v/>
      </c>
      <c r="P351" s="7">
        <f>IF($AD351="","",IF(AND(ISNUMBER(Q351),Q351&gt;0,AB351&gt;Q351),O351*Q351/100+(AB351-Q351),O351*AB351/100))</f>
        <v/>
      </c>
      <c r="Q351">
        <f>IF($AD351="","",INDEX('Per Line'!$AG$2:$AG$3001,$AD351))</f>
        <v/>
      </c>
      <c r="R351">
        <f>IF($AD351="","",IF(AND(ISNUMBER(Q351),Q351&gt;0),AB351&gt;Q351,FALSE))</f>
        <v/>
      </c>
      <c r="S351" s="7">
        <f>IF($AD351="","",SUMIFS('Per Line'!$AB$2:$AB$3001,'Per Line'!$E$2:$E$3001,$B351,'Per Line'!$AQ$2:$AQ$3001,1))</f>
        <v/>
      </c>
      <c r="T351">
        <f>IF($AD351="","",Settings!$C$7)</f>
        <v/>
      </c>
      <c r="U351" s="7">
        <f>IF($AD351="","",SUMIFS('Per Line'!$AB$2:$AB$3001,'Per Line'!$E$2:$E$3001,$B351,'Per Line'!$AP$2:$AP$3001,0,'Per Line'!$AQ$2:$AQ$3001,0))</f>
        <v/>
      </c>
      <c r="V351" s="7">
        <f>IF($AD351="","",U351*T351)</f>
        <v/>
      </c>
      <c r="W351">
        <f>IF($AD351="","",Settings!$C$6)</f>
        <v/>
      </c>
      <c r="X351" s="7">
        <f>IF($AD351="","",SUMIFS('Per Line'!$AB$2:$AB$3001,'Per Line'!$E$2:$E$3001,$B351,'Per Line'!$AP$2:$AP$3001,1,'Per Line'!$AQ$2:$AQ$3001,0))</f>
        <v/>
      </c>
      <c r="Y351" s="7">
        <f>IF($AD351="","",X351*W351)</f>
        <v/>
      </c>
      <c r="Z351" s="7">
        <f>IF($AD351="","",Y351+V351)</f>
        <v/>
      </c>
      <c r="AA351" s="7">
        <f>IF($AD351="","",AB351-Z351)</f>
        <v/>
      </c>
      <c r="AB351" s="7">
        <f>IF($AD351="","",U351+X351+S351)</f>
        <v/>
      </c>
      <c r="AC351" s="7">
        <f>IF($AD351="","",AB351-Z351-P351)</f>
        <v/>
      </c>
      <c r="AD351" s="13">
        <f>IF(ROWS($AD$2:$AD351)&lt;=MAX('Per Line'!$AO$2:$AO$3001),MATCH(ROWS($AD$2:$AD351),'Per Line'!$AO$2:$AO$3001,0),"")</f>
        <v/>
      </c>
      <c r="AE351" s="14">
        <f>IF($AD351="","",P351-O351*AB351/100)</f>
        <v/>
      </c>
    </row>
    <row r="352">
      <c r="A352" s="12" t="n"/>
      <c r="B352">
        <f>IF($AD352="","",INDEX('Per Line'!$E$2:$E$3001,$AD352)&amp;"")</f>
        <v/>
      </c>
      <c r="C352">
        <f>IF($AD352="","",INDEX('Per Line'!$A$2:$A$3001,$AD352)&amp;"")</f>
        <v/>
      </c>
      <c r="D352">
        <f>IF($AD352="","",INDEX('Per Line'!$C$2:$C$3001,$AD352)&amp;"")</f>
        <v/>
      </c>
      <c r="E352">
        <f>IF($AD352="","",INDEX('Per Line'!$B$2:$B$3001,$AD352))</f>
        <v/>
      </c>
      <c r="F352">
        <f>IF($AD352="","",INDEX('Per Line'!$D$2:$D$3001,$AD352)&amp;"")</f>
        <v/>
      </c>
      <c r="G352" s="11">
        <f>IF($AD352="","",INDEX('Per Line'!$G$2:$G$3001,$AD352))</f>
        <v/>
      </c>
      <c r="H352">
        <f>IF($AD352="","",INDEX('Per Line'!$J$2:$J$3001,$AD352)&amp;"")</f>
        <v/>
      </c>
      <c r="I352">
        <f>IF($AD352="","",INDEX('Per Line'!$H$2:$H$3001,$AD352)&amp;"")</f>
        <v/>
      </c>
      <c r="J352">
        <f>IF($AD352="","",INDEX('Per Line'!$F$2:$F$3001,$AD352)&amp;"")</f>
        <v/>
      </c>
      <c r="K352">
        <f>IF($AD352="","",INDEX('Per Line'!$K$2:$K$3001,$AD352)&amp;"")</f>
        <v/>
      </c>
      <c r="L352">
        <f>IF($AD352="","",INDEX('Per Line'!$L$2:$L$3001,$AD352)&amp;"")</f>
        <v/>
      </c>
      <c r="M352">
        <f>IF($AD352="","",INDEX('Per Line'!$M$2:$M$3001,$AD352)&amp;"")</f>
        <v/>
      </c>
      <c r="N352">
        <f>IF($AD352="","",INDEX('Per Line'!$AC$2:$AC$3001,$AD352)&amp;"")</f>
        <v/>
      </c>
      <c r="O352">
        <f>IF($AD352="","",INDEX('Per Line'!$P$2:$P$3001,$AD352))</f>
        <v/>
      </c>
      <c r="P352" s="7">
        <f>IF($AD352="","",IF(AND(ISNUMBER(Q352),Q352&gt;0,AB352&gt;Q352),O352*Q352/100+(AB352-Q352),O352*AB352/100))</f>
        <v/>
      </c>
      <c r="Q352">
        <f>IF($AD352="","",INDEX('Per Line'!$AG$2:$AG$3001,$AD352))</f>
        <v/>
      </c>
      <c r="R352">
        <f>IF($AD352="","",IF(AND(ISNUMBER(Q352),Q352&gt;0),AB352&gt;Q352,FALSE))</f>
        <v/>
      </c>
      <c r="S352" s="7">
        <f>IF($AD352="","",SUMIFS('Per Line'!$AB$2:$AB$3001,'Per Line'!$E$2:$E$3001,$B352,'Per Line'!$AQ$2:$AQ$3001,1))</f>
        <v/>
      </c>
      <c r="T352">
        <f>IF($AD352="","",Settings!$C$7)</f>
        <v/>
      </c>
      <c r="U352" s="7">
        <f>IF($AD352="","",SUMIFS('Per Line'!$AB$2:$AB$3001,'Per Line'!$E$2:$E$3001,$B352,'Per Line'!$AP$2:$AP$3001,0,'Per Line'!$AQ$2:$AQ$3001,0))</f>
        <v/>
      </c>
      <c r="V352" s="7">
        <f>IF($AD352="","",U352*T352)</f>
        <v/>
      </c>
      <c r="W352">
        <f>IF($AD352="","",Settings!$C$6)</f>
        <v/>
      </c>
      <c r="X352" s="7">
        <f>IF($AD352="","",SUMIFS('Per Line'!$AB$2:$AB$3001,'Per Line'!$E$2:$E$3001,$B352,'Per Line'!$AP$2:$AP$3001,1,'Per Line'!$AQ$2:$AQ$3001,0))</f>
        <v/>
      </c>
      <c r="Y352" s="7">
        <f>IF($AD352="","",X352*W352)</f>
        <v/>
      </c>
      <c r="Z352" s="7">
        <f>IF($AD352="","",Y352+V352)</f>
        <v/>
      </c>
      <c r="AA352" s="7">
        <f>IF($AD352="","",AB352-Z352)</f>
        <v/>
      </c>
      <c r="AB352" s="7">
        <f>IF($AD352="","",U352+X352+S352)</f>
        <v/>
      </c>
      <c r="AC352" s="7">
        <f>IF($AD352="","",AB352-Z352-P352)</f>
        <v/>
      </c>
      <c r="AD352" s="13">
        <f>IF(ROWS($AD$2:$AD352)&lt;=MAX('Per Line'!$AO$2:$AO$3001),MATCH(ROWS($AD$2:$AD352),'Per Line'!$AO$2:$AO$3001,0),"")</f>
        <v/>
      </c>
      <c r="AE352" s="14">
        <f>IF($AD352="","",P352-O352*AB352/100)</f>
        <v/>
      </c>
    </row>
    <row r="353">
      <c r="A353" s="12" t="n"/>
      <c r="B353">
        <f>IF($AD353="","",INDEX('Per Line'!$E$2:$E$3001,$AD353)&amp;"")</f>
        <v/>
      </c>
      <c r="C353">
        <f>IF($AD353="","",INDEX('Per Line'!$A$2:$A$3001,$AD353)&amp;"")</f>
        <v/>
      </c>
      <c r="D353">
        <f>IF($AD353="","",INDEX('Per Line'!$C$2:$C$3001,$AD353)&amp;"")</f>
        <v/>
      </c>
      <c r="E353">
        <f>IF($AD353="","",INDEX('Per Line'!$B$2:$B$3001,$AD353))</f>
        <v/>
      </c>
      <c r="F353">
        <f>IF($AD353="","",INDEX('Per Line'!$D$2:$D$3001,$AD353)&amp;"")</f>
        <v/>
      </c>
      <c r="G353" s="11">
        <f>IF($AD353="","",INDEX('Per Line'!$G$2:$G$3001,$AD353))</f>
        <v/>
      </c>
      <c r="H353">
        <f>IF($AD353="","",INDEX('Per Line'!$J$2:$J$3001,$AD353)&amp;"")</f>
        <v/>
      </c>
      <c r="I353">
        <f>IF($AD353="","",INDEX('Per Line'!$H$2:$H$3001,$AD353)&amp;"")</f>
        <v/>
      </c>
      <c r="J353">
        <f>IF($AD353="","",INDEX('Per Line'!$F$2:$F$3001,$AD353)&amp;"")</f>
        <v/>
      </c>
      <c r="K353">
        <f>IF($AD353="","",INDEX('Per Line'!$K$2:$K$3001,$AD353)&amp;"")</f>
        <v/>
      </c>
      <c r="L353">
        <f>IF($AD353="","",INDEX('Per Line'!$L$2:$L$3001,$AD353)&amp;"")</f>
        <v/>
      </c>
      <c r="M353">
        <f>IF($AD353="","",INDEX('Per Line'!$M$2:$M$3001,$AD353)&amp;"")</f>
        <v/>
      </c>
      <c r="N353">
        <f>IF($AD353="","",INDEX('Per Line'!$AC$2:$AC$3001,$AD353)&amp;"")</f>
        <v/>
      </c>
      <c r="O353">
        <f>IF($AD353="","",INDEX('Per Line'!$P$2:$P$3001,$AD353))</f>
        <v/>
      </c>
      <c r="P353" s="7">
        <f>IF($AD353="","",IF(AND(ISNUMBER(Q353),Q353&gt;0,AB353&gt;Q353),O353*Q353/100+(AB353-Q353),O353*AB353/100))</f>
        <v/>
      </c>
      <c r="Q353">
        <f>IF($AD353="","",INDEX('Per Line'!$AG$2:$AG$3001,$AD353))</f>
        <v/>
      </c>
      <c r="R353">
        <f>IF($AD353="","",IF(AND(ISNUMBER(Q353),Q353&gt;0),AB353&gt;Q353,FALSE))</f>
        <v/>
      </c>
      <c r="S353" s="7">
        <f>IF($AD353="","",SUMIFS('Per Line'!$AB$2:$AB$3001,'Per Line'!$E$2:$E$3001,$B353,'Per Line'!$AQ$2:$AQ$3001,1))</f>
        <v/>
      </c>
      <c r="T353">
        <f>IF($AD353="","",Settings!$C$7)</f>
        <v/>
      </c>
      <c r="U353" s="7">
        <f>IF($AD353="","",SUMIFS('Per Line'!$AB$2:$AB$3001,'Per Line'!$E$2:$E$3001,$B353,'Per Line'!$AP$2:$AP$3001,0,'Per Line'!$AQ$2:$AQ$3001,0))</f>
        <v/>
      </c>
      <c r="V353" s="7">
        <f>IF($AD353="","",U353*T353)</f>
        <v/>
      </c>
      <c r="W353">
        <f>IF($AD353="","",Settings!$C$6)</f>
        <v/>
      </c>
      <c r="X353" s="7">
        <f>IF($AD353="","",SUMIFS('Per Line'!$AB$2:$AB$3001,'Per Line'!$E$2:$E$3001,$B353,'Per Line'!$AP$2:$AP$3001,1,'Per Line'!$AQ$2:$AQ$3001,0))</f>
        <v/>
      </c>
      <c r="Y353" s="7">
        <f>IF($AD353="","",X353*W353)</f>
        <v/>
      </c>
      <c r="Z353" s="7">
        <f>IF($AD353="","",Y353+V353)</f>
        <v/>
      </c>
      <c r="AA353" s="7">
        <f>IF($AD353="","",AB353-Z353)</f>
        <v/>
      </c>
      <c r="AB353" s="7">
        <f>IF($AD353="","",U353+X353+S353)</f>
        <v/>
      </c>
      <c r="AC353" s="7">
        <f>IF($AD353="","",AB353-Z353-P353)</f>
        <v/>
      </c>
      <c r="AD353" s="13">
        <f>IF(ROWS($AD$2:$AD353)&lt;=MAX('Per Line'!$AO$2:$AO$3001),MATCH(ROWS($AD$2:$AD353),'Per Line'!$AO$2:$AO$3001,0),"")</f>
        <v/>
      </c>
      <c r="AE353" s="14">
        <f>IF($AD353="","",P353-O353*AB353/100)</f>
        <v/>
      </c>
    </row>
    <row r="354">
      <c r="A354" s="12" t="n"/>
      <c r="B354">
        <f>IF($AD354="","",INDEX('Per Line'!$E$2:$E$3001,$AD354)&amp;"")</f>
        <v/>
      </c>
      <c r="C354">
        <f>IF($AD354="","",INDEX('Per Line'!$A$2:$A$3001,$AD354)&amp;"")</f>
        <v/>
      </c>
      <c r="D354">
        <f>IF($AD354="","",INDEX('Per Line'!$C$2:$C$3001,$AD354)&amp;"")</f>
        <v/>
      </c>
      <c r="E354">
        <f>IF($AD354="","",INDEX('Per Line'!$B$2:$B$3001,$AD354))</f>
        <v/>
      </c>
      <c r="F354">
        <f>IF($AD354="","",INDEX('Per Line'!$D$2:$D$3001,$AD354)&amp;"")</f>
        <v/>
      </c>
      <c r="G354" s="11">
        <f>IF($AD354="","",INDEX('Per Line'!$G$2:$G$3001,$AD354))</f>
        <v/>
      </c>
      <c r="H354">
        <f>IF($AD354="","",INDEX('Per Line'!$J$2:$J$3001,$AD354)&amp;"")</f>
        <v/>
      </c>
      <c r="I354">
        <f>IF($AD354="","",INDEX('Per Line'!$H$2:$H$3001,$AD354)&amp;"")</f>
        <v/>
      </c>
      <c r="J354">
        <f>IF($AD354="","",INDEX('Per Line'!$F$2:$F$3001,$AD354)&amp;"")</f>
        <v/>
      </c>
      <c r="K354">
        <f>IF($AD354="","",INDEX('Per Line'!$K$2:$K$3001,$AD354)&amp;"")</f>
        <v/>
      </c>
      <c r="L354">
        <f>IF($AD354="","",INDEX('Per Line'!$L$2:$L$3001,$AD354)&amp;"")</f>
        <v/>
      </c>
      <c r="M354">
        <f>IF($AD354="","",INDEX('Per Line'!$M$2:$M$3001,$AD354)&amp;"")</f>
        <v/>
      </c>
      <c r="N354">
        <f>IF($AD354="","",INDEX('Per Line'!$AC$2:$AC$3001,$AD354)&amp;"")</f>
        <v/>
      </c>
      <c r="O354">
        <f>IF($AD354="","",INDEX('Per Line'!$P$2:$P$3001,$AD354))</f>
        <v/>
      </c>
      <c r="P354" s="7">
        <f>IF($AD354="","",IF(AND(ISNUMBER(Q354),Q354&gt;0,AB354&gt;Q354),O354*Q354/100+(AB354-Q354),O354*AB354/100))</f>
        <v/>
      </c>
      <c r="Q354">
        <f>IF($AD354="","",INDEX('Per Line'!$AG$2:$AG$3001,$AD354))</f>
        <v/>
      </c>
      <c r="R354">
        <f>IF($AD354="","",IF(AND(ISNUMBER(Q354),Q354&gt;0),AB354&gt;Q354,FALSE))</f>
        <v/>
      </c>
      <c r="S354" s="7">
        <f>IF($AD354="","",SUMIFS('Per Line'!$AB$2:$AB$3001,'Per Line'!$E$2:$E$3001,$B354,'Per Line'!$AQ$2:$AQ$3001,1))</f>
        <v/>
      </c>
      <c r="T354">
        <f>IF($AD354="","",Settings!$C$7)</f>
        <v/>
      </c>
      <c r="U354" s="7">
        <f>IF($AD354="","",SUMIFS('Per Line'!$AB$2:$AB$3001,'Per Line'!$E$2:$E$3001,$B354,'Per Line'!$AP$2:$AP$3001,0,'Per Line'!$AQ$2:$AQ$3001,0))</f>
        <v/>
      </c>
      <c r="V354" s="7">
        <f>IF($AD354="","",U354*T354)</f>
        <v/>
      </c>
      <c r="W354">
        <f>IF($AD354="","",Settings!$C$6)</f>
        <v/>
      </c>
      <c r="X354" s="7">
        <f>IF($AD354="","",SUMIFS('Per Line'!$AB$2:$AB$3001,'Per Line'!$E$2:$E$3001,$B354,'Per Line'!$AP$2:$AP$3001,1,'Per Line'!$AQ$2:$AQ$3001,0))</f>
        <v/>
      </c>
      <c r="Y354" s="7">
        <f>IF($AD354="","",X354*W354)</f>
        <v/>
      </c>
      <c r="Z354" s="7">
        <f>IF($AD354="","",Y354+V354)</f>
        <v/>
      </c>
      <c r="AA354" s="7">
        <f>IF($AD354="","",AB354-Z354)</f>
        <v/>
      </c>
      <c r="AB354" s="7">
        <f>IF($AD354="","",U354+X354+S354)</f>
        <v/>
      </c>
      <c r="AC354" s="7">
        <f>IF($AD354="","",AB354-Z354-P354)</f>
        <v/>
      </c>
      <c r="AD354" s="13">
        <f>IF(ROWS($AD$2:$AD354)&lt;=MAX('Per Line'!$AO$2:$AO$3001),MATCH(ROWS($AD$2:$AD354),'Per Line'!$AO$2:$AO$3001,0),"")</f>
        <v/>
      </c>
      <c r="AE354" s="14">
        <f>IF($AD354="","",P354-O354*AB354/100)</f>
        <v/>
      </c>
    </row>
    <row r="355">
      <c r="A355" s="12" t="n"/>
      <c r="B355">
        <f>IF($AD355="","",INDEX('Per Line'!$E$2:$E$3001,$AD355)&amp;"")</f>
        <v/>
      </c>
      <c r="C355">
        <f>IF($AD355="","",INDEX('Per Line'!$A$2:$A$3001,$AD355)&amp;"")</f>
        <v/>
      </c>
      <c r="D355">
        <f>IF($AD355="","",INDEX('Per Line'!$C$2:$C$3001,$AD355)&amp;"")</f>
        <v/>
      </c>
      <c r="E355">
        <f>IF($AD355="","",INDEX('Per Line'!$B$2:$B$3001,$AD355))</f>
        <v/>
      </c>
      <c r="F355">
        <f>IF($AD355="","",INDEX('Per Line'!$D$2:$D$3001,$AD355)&amp;"")</f>
        <v/>
      </c>
      <c r="G355" s="11">
        <f>IF($AD355="","",INDEX('Per Line'!$G$2:$G$3001,$AD355))</f>
        <v/>
      </c>
      <c r="H355">
        <f>IF($AD355="","",INDEX('Per Line'!$J$2:$J$3001,$AD355)&amp;"")</f>
        <v/>
      </c>
      <c r="I355">
        <f>IF($AD355="","",INDEX('Per Line'!$H$2:$H$3001,$AD355)&amp;"")</f>
        <v/>
      </c>
      <c r="J355">
        <f>IF($AD355="","",INDEX('Per Line'!$F$2:$F$3001,$AD355)&amp;"")</f>
        <v/>
      </c>
      <c r="K355">
        <f>IF($AD355="","",INDEX('Per Line'!$K$2:$K$3001,$AD355)&amp;"")</f>
        <v/>
      </c>
      <c r="L355">
        <f>IF($AD355="","",INDEX('Per Line'!$L$2:$L$3001,$AD355)&amp;"")</f>
        <v/>
      </c>
      <c r="M355">
        <f>IF($AD355="","",INDEX('Per Line'!$M$2:$M$3001,$AD355)&amp;"")</f>
        <v/>
      </c>
      <c r="N355">
        <f>IF($AD355="","",INDEX('Per Line'!$AC$2:$AC$3001,$AD355)&amp;"")</f>
        <v/>
      </c>
      <c r="O355">
        <f>IF($AD355="","",INDEX('Per Line'!$P$2:$P$3001,$AD355))</f>
        <v/>
      </c>
      <c r="P355" s="7">
        <f>IF($AD355="","",IF(AND(ISNUMBER(Q355),Q355&gt;0,AB355&gt;Q355),O355*Q355/100+(AB355-Q355),O355*AB355/100))</f>
        <v/>
      </c>
      <c r="Q355">
        <f>IF($AD355="","",INDEX('Per Line'!$AG$2:$AG$3001,$AD355))</f>
        <v/>
      </c>
      <c r="R355">
        <f>IF($AD355="","",IF(AND(ISNUMBER(Q355),Q355&gt;0),AB355&gt;Q355,FALSE))</f>
        <v/>
      </c>
      <c r="S355" s="7">
        <f>IF($AD355="","",SUMIFS('Per Line'!$AB$2:$AB$3001,'Per Line'!$E$2:$E$3001,$B355,'Per Line'!$AQ$2:$AQ$3001,1))</f>
        <v/>
      </c>
      <c r="T355">
        <f>IF($AD355="","",Settings!$C$7)</f>
        <v/>
      </c>
      <c r="U355" s="7">
        <f>IF($AD355="","",SUMIFS('Per Line'!$AB$2:$AB$3001,'Per Line'!$E$2:$E$3001,$B355,'Per Line'!$AP$2:$AP$3001,0,'Per Line'!$AQ$2:$AQ$3001,0))</f>
        <v/>
      </c>
      <c r="V355" s="7">
        <f>IF($AD355="","",U355*T355)</f>
        <v/>
      </c>
      <c r="W355">
        <f>IF($AD355="","",Settings!$C$6)</f>
        <v/>
      </c>
      <c r="X355" s="7">
        <f>IF($AD355="","",SUMIFS('Per Line'!$AB$2:$AB$3001,'Per Line'!$E$2:$E$3001,$B355,'Per Line'!$AP$2:$AP$3001,1,'Per Line'!$AQ$2:$AQ$3001,0))</f>
        <v/>
      </c>
      <c r="Y355" s="7">
        <f>IF($AD355="","",X355*W355)</f>
        <v/>
      </c>
      <c r="Z355" s="7">
        <f>IF($AD355="","",Y355+V355)</f>
        <v/>
      </c>
      <c r="AA355" s="7">
        <f>IF($AD355="","",AB355-Z355)</f>
        <v/>
      </c>
      <c r="AB355" s="7">
        <f>IF($AD355="","",U355+X355+S355)</f>
        <v/>
      </c>
      <c r="AC355" s="7">
        <f>IF($AD355="","",AB355-Z355-P355)</f>
        <v/>
      </c>
      <c r="AD355" s="13">
        <f>IF(ROWS($AD$2:$AD355)&lt;=MAX('Per Line'!$AO$2:$AO$3001),MATCH(ROWS($AD$2:$AD355),'Per Line'!$AO$2:$AO$3001,0),"")</f>
        <v/>
      </c>
      <c r="AE355" s="14">
        <f>IF($AD355="","",P355-O355*AB355/100)</f>
        <v/>
      </c>
    </row>
    <row r="356">
      <c r="A356" s="12" t="n"/>
      <c r="B356">
        <f>IF($AD356="","",INDEX('Per Line'!$E$2:$E$3001,$AD356)&amp;"")</f>
        <v/>
      </c>
      <c r="C356">
        <f>IF($AD356="","",INDEX('Per Line'!$A$2:$A$3001,$AD356)&amp;"")</f>
        <v/>
      </c>
      <c r="D356">
        <f>IF($AD356="","",INDEX('Per Line'!$C$2:$C$3001,$AD356)&amp;"")</f>
        <v/>
      </c>
      <c r="E356">
        <f>IF($AD356="","",INDEX('Per Line'!$B$2:$B$3001,$AD356))</f>
        <v/>
      </c>
      <c r="F356">
        <f>IF($AD356="","",INDEX('Per Line'!$D$2:$D$3001,$AD356)&amp;"")</f>
        <v/>
      </c>
      <c r="G356" s="11">
        <f>IF($AD356="","",INDEX('Per Line'!$G$2:$G$3001,$AD356))</f>
        <v/>
      </c>
      <c r="H356">
        <f>IF($AD356="","",INDEX('Per Line'!$J$2:$J$3001,$AD356)&amp;"")</f>
        <v/>
      </c>
      <c r="I356">
        <f>IF($AD356="","",INDEX('Per Line'!$H$2:$H$3001,$AD356)&amp;"")</f>
        <v/>
      </c>
      <c r="J356">
        <f>IF($AD356="","",INDEX('Per Line'!$F$2:$F$3001,$AD356)&amp;"")</f>
        <v/>
      </c>
      <c r="K356">
        <f>IF($AD356="","",INDEX('Per Line'!$K$2:$K$3001,$AD356)&amp;"")</f>
        <v/>
      </c>
      <c r="L356">
        <f>IF($AD356="","",INDEX('Per Line'!$L$2:$L$3001,$AD356)&amp;"")</f>
        <v/>
      </c>
      <c r="M356">
        <f>IF($AD356="","",INDEX('Per Line'!$M$2:$M$3001,$AD356)&amp;"")</f>
        <v/>
      </c>
      <c r="N356">
        <f>IF($AD356="","",INDEX('Per Line'!$AC$2:$AC$3001,$AD356)&amp;"")</f>
        <v/>
      </c>
      <c r="O356">
        <f>IF($AD356="","",INDEX('Per Line'!$P$2:$P$3001,$AD356))</f>
        <v/>
      </c>
      <c r="P356" s="7">
        <f>IF($AD356="","",IF(AND(ISNUMBER(Q356),Q356&gt;0,AB356&gt;Q356),O356*Q356/100+(AB356-Q356),O356*AB356/100))</f>
        <v/>
      </c>
      <c r="Q356">
        <f>IF($AD356="","",INDEX('Per Line'!$AG$2:$AG$3001,$AD356))</f>
        <v/>
      </c>
      <c r="R356">
        <f>IF($AD356="","",IF(AND(ISNUMBER(Q356),Q356&gt;0),AB356&gt;Q356,FALSE))</f>
        <v/>
      </c>
      <c r="S356" s="7">
        <f>IF($AD356="","",SUMIFS('Per Line'!$AB$2:$AB$3001,'Per Line'!$E$2:$E$3001,$B356,'Per Line'!$AQ$2:$AQ$3001,1))</f>
        <v/>
      </c>
      <c r="T356">
        <f>IF($AD356="","",Settings!$C$7)</f>
        <v/>
      </c>
      <c r="U356" s="7">
        <f>IF($AD356="","",SUMIFS('Per Line'!$AB$2:$AB$3001,'Per Line'!$E$2:$E$3001,$B356,'Per Line'!$AP$2:$AP$3001,0,'Per Line'!$AQ$2:$AQ$3001,0))</f>
        <v/>
      </c>
      <c r="V356" s="7">
        <f>IF($AD356="","",U356*T356)</f>
        <v/>
      </c>
      <c r="W356">
        <f>IF($AD356="","",Settings!$C$6)</f>
        <v/>
      </c>
      <c r="X356" s="7">
        <f>IF($AD356="","",SUMIFS('Per Line'!$AB$2:$AB$3001,'Per Line'!$E$2:$E$3001,$B356,'Per Line'!$AP$2:$AP$3001,1,'Per Line'!$AQ$2:$AQ$3001,0))</f>
        <v/>
      </c>
      <c r="Y356" s="7">
        <f>IF($AD356="","",X356*W356)</f>
        <v/>
      </c>
      <c r="Z356" s="7">
        <f>IF($AD356="","",Y356+V356)</f>
        <v/>
      </c>
      <c r="AA356" s="7">
        <f>IF($AD356="","",AB356-Z356)</f>
        <v/>
      </c>
      <c r="AB356" s="7">
        <f>IF($AD356="","",U356+X356+S356)</f>
        <v/>
      </c>
      <c r="AC356" s="7">
        <f>IF($AD356="","",AB356-Z356-P356)</f>
        <v/>
      </c>
      <c r="AD356" s="13">
        <f>IF(ROWS($AD$2:$AD356)&lt;=MAX('Per Line'!$AO$2:$AO$3001),MATCH(ROWS($AD$2:$AD356),'Per Line'!$AO$2:$AO$3001,0),"")</f>
        <v/>
      </c>
      <c r="AE356" s="14">
        <f>IF($AD356="","",P356-O356*AB356/100)</f>
        <v/>
      </c>
    </row>
    <row r="357">
      <c r="A357" s="12" t="n"/>
      <c r="B357">
        <f>IF($AD357="","",INDEX('Per Line'!$E$2:$E$3001,$AD357)&amp;"")</f>
        <v/>
      </c>
      <c r="C357">
        <f>IF($AD357="","",INDEX('Per Line'!$A$2:$A$3001,$AD357)&amp;"")</f>
        <v/>
      </c>
      <c r="D357">
        <f>IF($AD357="","",INDEX('Per Line'!$C$2:$C$3001,$AD357)&amp;"")</f>
        <v/>
      </c>
      <c r="E357">
        <f>IF($AD357="","",INDEX('Per Line'!$B$2:$B$3001,$AD357))</f>
        <v/>
      </c>
      <c r="F357">
        <f>IF($AD357="","",INDEX('Per Line'!$D$2:$D$3001,$AD357)&amp;"")</f>
        <v/>
      </c>
      <c r="G357" s="11">
        <f>IF($AD357="","",INDEX('Per Line'!$G$2:$G$3001,$AD357))</f>
        <v/>
      </c>
      <c r="H357">
        <f>IF($AD357="","",INDEX('Per Line'!$J$2:$J$3001,$AD357)&amp;"")</f>
        <v/>
      </c>
      <c r="I357">
        <f>IF($AD357="","",INDEX('Per Line'!$H$2:$H$3001,$AD357)&amp;"")</f>
        <v/>
      </c>
      <c r="J357">
        <f>IF($AD357="","",INDEX('Per Line'!$F$2:$F$3001,$AD357)&amp;"")</f>
        <v/>
      </c>
      <c r="K357">
        <f>IF($AD357="","",INDEX('Per Line'!$K$2:$K$3001,$AD357)&amp;"")</f>
        <v/>
      </c>
      <c r="L357">
        <f>IF($AD357="","",INDEX('Per Line'!$L$2:$L$3001,$AD357)&amp;"")</f>
        <v/>
      </c>
      <c r="M357">
        <f>IF($AD357="","",INDEX('Per Line'!$M$2:$M$3001,$AD357)&amp;"")</f>
        <v/>
      </c>
      <c r="N357">
        <f>IF($AD357="","",INDEX('Per Line'!$AC$2:$AC$3001,$AD357)&amp;"")</f>
        <v/>
      </c>
      <c r="O357">
        <f>IF($AD357="","",INDEX('Per Line'!$P$2:$P$3001,$AD357))</f>
        <v/>
      </c>
      <c r="P357" s="7">
        <f>IF($AD357="","",IF(AND(ISNUMBER(Q357),Q357&gt;0,AB357&gt;Q357),O357*Q357/100+(AB357-Q357),O357*AB357/100))</f>
        <v/>
      </c>
      <c r="Q357">
        <f>IF($AD357="","",INDEX('Per Line'!$AG$2:$AG$3001,$AD357))</f>
        <v/>
      </c>
      <c r="R357">
        <f>IF($AD357="","",IF(AND(ISNUMBER(Q357),Q357&gt;0),AB357&gt;Q357,FALSE))</f>
        <v/>
      </c>
      <c r="S357" s="7">
        <f>IF($AD357="","",SUMIFS('Per Line'!$AB$2:$AB$3001,'Per Line'!$E$2:$E$3001,$B357,'Per Line'!$AQ$2:$AQ$3001,1))</f>
        <v/>
      </c>
      <c r="T357">
        <f>IF($AD357="","",Settings!$C$7)</f>
        <v/>
      </c>
      <c r="U357" s="7">
        <f>IF($AD357="","",SUMIFS('Per Line'!$AB$2:$AB$3001,'Per Line'!$E$2:$E$3001,$B357,'Per Line'!$AP$2:$AP$3001,0,'Per Line'!$AQ$2:$AQ$3001,0))</f>
        <v/>
      </c>
      <c r="V357" s="7">
        <f>IF($AD357="","",U357*T357)</f>
        <v/>
      </c>
      <c r="W357">
        <f>IF($AD357="","",Settings!$C$6)</f>
        <v/>
      </c>
      <c r="X357" s="7">
        <f>IF($AD357="","",SUMIFS('Per Line'!$AB$2:$AB$3001,'Per Line'!$E$2:$E$3001,$B357,'Per Line'!$AP$2:$AP$3001,1,'Per Line'!$AQ$2:$AQ$3001,0))</f>
        <v/>
      </c>
      <c r="Y357" s="7">
        <f>IF($AD357="","",X357*W357)</f>
        <v/>
      </c>
      <c r="Z357" s="7">
        <f>IF($AD357="","",Y357+V357)</f>
        <v/>
      </c>
      <c r="AA357" s="7">
        <f>IF($AD357="","",AB357-Z357)</f>
        <v/>
      </c>
      <c r="AB357" s="7">
        <f>IF($AD357="","",U357+X357+S357)</f>
        <v/>
      </c>
      <c r="AC357" s="7">
        <f>IF($AD357="","",AB357-Z357-P357)</f>
        <v/>
      </c>
      <c r="AD357" s="13">
        <f>IF(ROWS($AD$2:$AD357)&lt;=MAX('Per Line'!$AO$2:$AO$3001),MATCH(ROWS($AD$2:$AD357),'Per Line'!$AO$2:$AO$3001,0),"")</f>
        <v/>
      </c>
      <c r="AE357" s="14">
        <f>IF($AD357="","",P357-O357*AB357/100)</f>
        <v/>
      </c>
    </row>
    <row r="358">
      <c r="A358" s="12" t="n"/>
      <c r="B358">
        <f>IF($AD358="","",INDEX('Per Line'!$E$2:$E$3001,$AD358)&amp;"")</f>
        <v/>
      </c>
      <c r="C358">
        <f>IF($AD358="","",INDEX('Per Line'!$A$2:$A$3001,$AD358)&amp;"")</f>
        <v/>
      </c>
      <c r="D358">
        <f>IF($AD358="","",INDEX('Per Line'!$C$2:$C$3001,$AD358)&amp;"")</f>
        <v/>
      </c>
      <c r="E358">
        <f>IF($AD358="","",INDEX('Per Line'!$B$2:$B$3001,$AD358))</f>
        <v/>
      </c>
      <c r="F358">
        <f>IF($AD358="","",INDEX('Per Line'!$D$2:$D$3001,$AD358)&amp;"")</f>
        <v/>
      </c>
      <c r="G358" s="11">
        <f>IF($AD358="","",INDEX('Per Line'!$G$2:$G$3001,$AD358))</f>
        <v/>
      </c>
      <c r="H358">
        <f>IF($AD358="","",INDEX('Per Line'!$J$2:$J$3001,$AD358)&amp;"")</f>
        <v/>
      </c>
      <c r="I358">
        <f>IF($AD358="","",INDEX('Per Line'!$H$2:$H$3001,$AD358)&amp;"")</f>
        <v/>
      </c>
      <c r="J358">
        <f>IF($AD358="","",INDEX('Per Line'!$F$2:$F$3001,$AD358)&amp;"")</f>
        <v/>
      </c>
      <c r="K358">
        <f>IF($AD358="","",INDEX('Per Line'!$K$2:$K$3001,$AD358)&amp;"")</f>
        <v/>
      </c>
      <c r="L358">
        <f>IF($AD358="","",INDEX('Per Line'!$L$2:$L$3001,$AD358)&amp;"")</f>
        <v/>
      </c>
      <c r="M358">
        <f>IF($AD358="","",INDEX('Per Line'!$M$2:$M$3001,$AD358)&amp;"")</f>
        <v/>
      </c>
      <c r="N358">
        <f>IF($AD358="","",INDEX('Per Line'!$AC$2:$AC$3001,$AD358)&amp;"")</f>
        <v/>
      </c>
      <c r="O358">
        <f>IF($AD358="","",INDEX('Per Line'!$P$2:$P$3001,$AD358))</f>
        <v/>
      </c>
      <c r="P358" s="7">
        <f>IF($AD358="","",IF(AND(ISNUMBER(Q358),Q358&gt;0,AB358&gt;Q358),O358*Q358/100+(AB358-Q358),O358*AB358/100))</f>
        <v/>
      </c>
      <c r="Q358">
        <f>IF($AD358="","",INDEX('Per Line'!$AG$2:$AG$3001,$AD358))</f>
        <v/>
      </c>
      <c r="R358">
        <f>IF($AD358="","",IF(AND(ISNUMBER(Q358),Q358&gt;0),AB358&gt;Q358,FALSE))</f>
        <v/>
      </c>
      <c r="S358" s="7">
        <f>IF($AD358="","",SUMIFS('Per Line'!$AB$2:$AB$3001,'Per Line'!$E$2:$E$3001,$B358,'Per Line'!$AQ$2:$AQ$3001,1))</f>
        <v/>
      </c>
      <c r="T358">
        <f>IF($AD358="","",Settings!$C$7)</f>
        <v/>
      </c>
      <c r="U358" s="7">
        <f>IF($AD358="","",SUMIFS('Per Line'!$AB$2:$AB$3001,'Per Line'!$E$2:$E$3001,$B358,'Per Line'!$AP$2:$AP$3001,0,'Per Line'!$AQ$2:$AQ$3001,0))</f>
        <v/>
      </c>
      <c r="V358" s="7">
        <f>IF($AD358="","",U358*T358)</f>
        <v/>
      </c>
      <c r="W358">
        <f>IF($AD358="","",Settings!$C$6)</f>
        <v/>
      </c>
      <c r="X358" s="7">
        <f>IF($AD358="","",SUMIFS('Per Line'!$AB$2:$AB$3001,'Per Line'!$E$2:$E$3001,$B358,'Per Line'!$AP$2:$AP$3001,1,'Per Line'!$AQ$2:$AQ$3001,0))</f>
        <v/>
      </c>
      <c r="Y358" s="7">
        <f>IF($AD358="","",X358*W358)</f>
        <v/>
      </c>
      <c r="Z358" s="7">
        <f>IF($AD358="","",Y358+V358)</f>
        <v/>
      </c>
      <c r="AA358" s="7">
        <f>IF($AD358="","",AB358-Z358)</f>
        <v/>
      </c>
      <c r="AB358" s="7">
        <f>IF($AD358="","",U358+X358+S358)</f>
        <v/>
      </c>
      <c r="AC358" s="7">
        <f>IF($AD358="","",AB358-Z358-P358)</f>
        <v/>
      </c>
      <c r="AD358" s="13">
        <f>IF(ROWS($AD$2:$AD358)&lt;=MAX('Per Line'!$AO$2:$AO$3001),MATCH(ROWS($AD$2:$AD358),'Per Line'!$AO$2:$AO$3001,0),"")</f>
        <v/>
      </c>
      <c r="AE358" s="14">
        <f>IF($AD358="","",P358-O358*AB358/100)</f>
        <v/>
      </c>
    </row>
    <row r="359">
      <c r="A359" s="12" t="n"/>
      <c r="B359">
        <f>IF($AD359="","",INDEX('Per Line'!$E$2:$E$3001,$AD359)&amp;"")</f>
        <v/>
      </c>
      <c r="C359">
        <f>IF($AD359="","",INDEX('Per Line'!$A$2:$A$3001,$AD359)&amp;"")</f>
        <v/>
      </c>
      <c r="D359">
        <f>IF($AD359="","",INDEX('Per Line'!$C$2:$C$3001,$AD359)&amp;"")</f>
        <v/>
      </c>
      <c r="E359">
        <f>IF($AD359="","",INDEX('Per Line'!$B$2:$B$3001,$AD359))</f>
        <v/>
      </c>
      <c r="F359">
        <f>IF($AD359="","",INDEX('Per Line'!$D$2:$D$3001,$AD359)&amp;"")</f>
        <v/>
      </c>
      <c r="G359" s="11">
        <f>IF($AD359="","",INDEX('Per Line'!$G$2:$G$3001,$AD359))</f>
        <v/>
      </c>
      <c r="H359">
        <f>IF($AD359="","",INDEX('Per Line'!$J$2:$J$3001,$AD359)&amp;"")</f>
        <v/>
      </c>
      <c r="I359">
        <f>IF($AD359="","",INDEX('Per Line'!$H$2:$H$3001,$AD359)&amp;"")</f>
        <v/>
      </c>
      <c r="J359">
        <f>IF($AD359="","",INDEX('Per Line'!$F$2:$F$3001,$AD359)&amp;"")</f>
        <v/>
      </c>
      <c r="K359">
        <f>IF($AD359="","",INDEX('Per Line'!$K$2:$K$3001,$AD359)&amp;"")</f>
        <v/>
      </c>
      <c r="L359">
        <f>IF($AD359="","",INDEX('Per Line'!$L$2:$L$3001,$AD359)&amp;"")</f>
        <v/>
      </c>
      <c r="M359">
        <f>IF($AD359="","",INDEX('Per Line'!$M$2:$M$3001,$AD359)&amp;"")</f>
        <v/>
      </c>
      <c r="N359">
        <f>IF($AD359="","",INDEX('Per Line'!$AC$2:$AC$3001,$AD359)&amp;"")</f>
        <v/>
      </c>
      <c r="O359">
        <f>IF($AD359="","",INDEX('Per Line'!$P$2:$P$3001,$AD359))</f>
        <v/>
      </c>
      <c r="P359" s="7">
        <f>IF($AD359="","",IF(AND(ISNUMBER(Q359),Q359&gt;0,AB359&gt;Q359),O359*Q359/100+(AB359-Q359),O359*AB359/100))</f>
        <v/>
      </c>
      <c r="Q359">
        <f>IF($AD359="","",INDEX('Per Line'!$AG$2:$AG$3001,$AD359))</f>
        <v/>
      </c>
      <c r="R359">
        <f>IF($AD359="","",IF(AND(ISNUMBER(Q359),Q359&gt;0),AB359&gt;Q359,FALSE))</f>
        <v/>
      </c>
      <c r="S359" s="7">
        <f>IF($AD359="","",SUMIFS('Per Line'!$AB$2:$AB$3001,'Per Line'!$E$2:$E$3001,$B359,'Per Line'!$AQ$2:$AQ$3001,1))</f>
        <v/>
      </c>
      <c r="T359">
        <f>IF($AD359="","",Settings!$C$7)</f>
        <v/>
      </c>
      <c r="U359" s="7">
        <f>IF($AD359="","",SUMIFS('Per Line'!$AB$2:$AB$3001,'Per Line'!$E$2:$E$3001,$B359,'Per Line'!$AP$2:$AP$3001,0,'Per Line'!$AQ$2:$AQ$3001,0))</f>
        <v/>
      </c>
      <c r="V359" s="7">
        <f>IF($AD359="","",U359*T359)</f>
        <v/>
      </c>
      <c r="W359">
        <f>IF($AD359="","",Settings!$C$6)</f>
        <v/>
      </c>
      <c r="X359" s="7">
        <f>IF($AD359="","",SUMIFS('Per Line'!$AB$2:$AB$3001,'Per Line'!$E$2:$E$3001,$B359,'Per Line'!$AP$2:$AP$3001,1,'Per Line'!$AQ$2:$AQ$3001,0))</f>
        <v/>
      </c>
      <c r="Y359" s="7">
        <f>IF($AD359="","",X359*W359)</f>
        <v/>
      </c>
      <c r="Z359" s="7">
        <f>IF($AD359="","",Y359+V359)</f>
        <v/>
      </c>
      <c r="AA359" s="7">
        <f>IF($AD359="","",AB359-Z359)</f>
        <v/>
      </c>
      <c r="AB359" s="7">
        <f>IF($AD359="","",U359+X359+S359)</f>
        <v/>
      </c>
      <c r="AC359" s="7">
        <f>IF($AD359="","",AB359-Z359-P359)</f>
        <v/>
      </c>
      <c r="AD359" s="13">
        <f>IF(ROWS($AD$2:$AD359)&lt;=MAX('Per Line'!$AO$2:$AO$3001),MATCH(ROWS($AD$2:$AD359),'Per Line'!$AO$2:$AO$3001,0),"")</f>
        <v/>
      </c>
      <c r="AE359" s="14">
        <f>IF($AD359="","",P359-O359*AB359/100)</f>
        <v/>
      </c>
    </row>
    <row r="360">
      <c r="A360" s="12" t="n"/>
      <c r="B360">
        <f>IF($AD360="","",INDEX('Per Line'!$E$2:$E$3001,$AD360)&amp;"")</f>
        <v/>
      </c>
      <c r="C360">
        <f>IF($AD360="","",INDEX('Per Line'!$A$2:$A$3001,$AD360)&amp;"")</f>
        <v/>
      </c>
      <c r="D360">
        <f>IF($AD360="","",INDEX('Per Line'!$C$2:$C$3001,$AD360)&amp;"")</f>
        <v/>
      </c>
      <c r="E360">
        <f>IF($AD360="","",INDEX('Per Line'!$B$2:$B$3001,$AD360))</f>
        <v/>
      </c>
      <c r="F360">
        <f>IF($AD360="","",INDEX('Per Line'!$D$2:$D$3001,$AD360)&amp;"")</f>
        <v/>
      </c>
      <c r="G360" s="11">
        <f>IF($AD360="","",INDEX('Per Line'!$G$2:$G$3001,$AD360))</f>
        <v/>
      </c>
      <c r="H360">
        <f>IF($AD360="","",INDEX('Per Line'!$J$2:$J$3001,$AD360)&amp;"")</f>
        <v/>
      </c>
      <c r="I360">
        <f>IF($AD360="","",INDEX('Per Line'!$H$2:$H$3001,$AD360)&amp;"")</f>
        <v/>
      </c>
      <c r="J360">
        <f>IF($AD360="","",INDEX('Per Line'!$F$2:$F$3001,$AD360)&amp;"")</f>
        <v/>
      </c>
      <c r="K360">
        <f>IF($AD360="","",INDEX('Per Line'!$K$2:$K$3001,$AD360)&amp;"")</f>
        <v/>
      </c>
      <c r="L360">
        <f>IF($AD360="","",INDEX('Per Line'!$L$2:$L$3001,$AD360)&amp;"")</f>
        <v/>
      </c>
      <c r="M360">
        <f>IF($AD360="","",INDEX('Per Line'!$M$2:$M$3001,$AD360)&amp;"")</f>
        <v/>
      </c>
      <c r="N360">
        <f>IF($AD360="","",INDEX('Per Line'!$AC$2:$AC$3001,$AD360)&amp;"")</f>
        <v/>
      </c>
      <c r="O360">
        <f>IF($AD360="","",INDEX('Per Line'!$P$2:$P$3001,$AD360))</f>
        <v/>
      </c>
      <c r="P360" s="7">
        <f>IF($AD360="","",IF(AND(ISNUMBER(Q360),Q360&gt;0,AB360&gt;Q360),O360*Q360/100+(AB360-Q360),O360*AB360/100))</f>
        <v/>
      </c>
      <c r="Q360">
        <f>IF($AD360="","",INDEX('Per Line'!$AG$2:$AG$3001,$AD360))</f>
        <v/>
      </c>
      <c r="R360">
        <f>IF($AD360="","",IF(AND(ISNUMBER(Q360),Q360&gt;0),AB360&gt;Q360,FALSE))</f>
        <v/>
      </c>
      <c r="S360" s="7">
        <f>IF($AD360="","",SUMIFS('Per Line'!$AB$2:$AB$3001,'Per Line'!$E$2:$E$3001,$B360,'Per Line'!$AQ$2:$AQ$3001,1))</f>
        <v/>
      </c>
      <c r="T360">
        <f>IF($AD360="","",Settings!$C$7)</f>
        <v/>
      </c>
      <c r="U360" s="7">
        <f>IF($AD360="","",SUMIFS('Per Line'!$AB$2:$AB$3001,'Per Line'!$E$2:$E$3001,$B360,'Per Line'!$AP$2:$AP$3001,0,'Per Line'!$AQ$2:$AQ$3001,0))</f>
        <v/>
      </c>
      <c r="V360" s="7">
        <f>IF($AD360="","",U360*T360)</f>
        <v/>
      </c>
      <c r="W360">
        <f>IF($AD360="","",Settings!$C$6)</f>
        <v/>
      </c>
      <c r="X360" s="7">
        <f>IF($AD360="","",SUMIFS('Per Line'!$AB$2:$AB$3001,'Per Line'!$E$2:$E$3001,$B360,'Per Line'!$AP$2:$AP$3001,1,'Per Line'!$AQ$2:$AQ$3001,0))</f>
        <v/>
      </c>
      <c r="Y360" s="7">
        <f>IF($AD360="","",X360*W360)</f>
        <v/>
      </c>
      <c r="Z360" s="7">
        <f>IF($AD360="","",Y360+V360)</f>
        <v/>
      </c>
      <c r="AA360" s="7">
        <f>IF($AD360="","",AB360-Z360)</f>
        <v/>
      </c>
      <c r="AB360" s="7">
        <f>IF($AD360="","",U360+X360+S360)</f>
        <v/>
      </c>
      <c r="AC360" s="7">
        <f>IF($AD360="","",AB360-Z360-P360)</f>
        <v/>
      </c>
      <c r="AD360" s="13">
        <f>IF(ROWS($AD$2:$AD360)&lt;=MAX('Per Line'!$AO$2:$AO$3001),MATCH(ROWS($AD$2:$AD360),'Per Line'!$AO$2:$AO$3001,0),"")</f>
        <v/>
      </c>
      <c r="AE360" s="14">
        <f>IF($AD360="","",P360-O360*AB360/100)</f>
        <v/>
      </c>
    </row>
    <row r="361">
      <c r="A361" s="12" t="n"/>
      <c r="B361">
        <f>IF($AD361="","",INDEX('Per Line'!$E$2:$E$3001,$AD361)&amp;"")</f>
        <v/>
      </c>
      <c r="C361">
        <f>IF($AD361="","",INDEX('Per Line'!$A$2:$A$3001,$AD361)&amp;"")</f>
        <v/>
      </c>
      <c r="D361">
        <f>IF($AD361="","",INDEX('Per Line'!$C$2:$C$3001,$AD361)&amp;"")</f>
        <v/>
      </c>
      <c r="E361">
        <f>IF($AD361="","",INDEX('Per Line'!$B$2:$B$3001,$AD361))</f>
        <v/>
      </c>
      <c r="F361">
        <f>IF($AD361="","",INDEX('Per Line'!$D$2:$D$3001,$AD361)&amp;"")</f>
        <v/>
      </c>
      <c r="G361" s="11">
        <f>IF($AD361="","",INDEX('Per Line'!$G$2:$G$3001,$AD361))</f>
        <v/>
      </c>
      <c r="H361">
        <f>IF($AD361="","",INDEX('Per Line'!$J$2:$J$3001,$AD361)&amp;"")</f>
        <v/>
      </c>
      <c r="I361">
        <f>IF($AD361="","",INDEX('Per Line'!$H$2:$H$3001,$AD361)&amp;"")</f>
        <v/>
      </c>
      <c r="J361">
        <f>IF($AD361="","",INDEX('Per Line'!$F$2:$F$3001,$AD361)&amp;"")</f>
        <v/>
      </c>
      <c r="K361">
        <f>IF($AD361="","",INDEX('Per Line'!$K$2:$K$3001,$AD361)&amp;"")</f>
        <v/>
      </c>
      <c r="L361">
        <f>IF($AD361="","",INDEX('Per Line'!$L$2:$L$3001,$AD361)&amp;"")</f>
        <v/>
      </c>
      <c r="M361">
        <f>IF($AD361="","",INDEX('Per Line'!$M$2:$M$3001,$AD361)&amp;"")</f>
        <v/>
      </c>
      <c r="N361">
        <f>IF($AD361="","",INDEX('Per Line'!$AC$2:$AC$3001,$AD361)&amp;"")</f>
        <v/>
      </c>
      <c r="O361">
        <f>IF($AD361="","",INDEX('Per Line'!$P$2:$P$3001,$AD361))</f>
        <v/>
      </c>
      <c r="P361" s="7">
        <f>IF($AD361="","",IF(AND(ISNUMBER(Q361),Q361&gt;0,AB361&gt;Q361),O361*Q361/100+(AB361-Q361),O361*AB361/100))</f>
        <v/>
      </c>
      <c r="Q361">
        <f>IF($AD361="","",INDEX('Per Line'!$AG$2:$AG$3001,$AD361))</f>
        <v/>
      </c>
      <c r="R361">
        <f>IF($AD361="","",IF(AND(ISNUMBER(Q361),Q361&gt;0),AB361&gt;Q361,FALSE))</f>
        <v/>
      </c>
      <c r="S361" s="7">
        <f>IF($AD361="","",SUMIFS('Per Line'!$AB$2:$AB$3001,'Per Line'!$E$2:$E$3001,$B361,'Per Line'!$AQ$2:$AQ$3001,1))</f>
        <v/>
      </c>
      <c r="T361">
        <f>IF($AD361="","",Settings!$C$7)</f>
        <v/>
      </c>
      <c r="U361" s="7">
        <f>IF($AD361="","",SUMIFS('Per Line'!$AB$2:$AB$3001,'Per Line'!$E$2:$E$3001,$B361,'Per Line'!$AP$2:$AP$3001,0,'Per Line'!$AQ$2:$AQ$3001,0))</f>
        <v/>
      </c>
      <c r="V361" s="7">
        <f>IF($AD361="","",U361*T361)</f>
        <v/>
      </c>
      <c r="W361">
        <f>IF($AD361="","",Settings!$C$6)</f>
        <v/>
      </c>
      <c r="X361" s="7">
        <f>IF($AD361="","",SUMIFS('Per Line'!$AB$2:$AB$3001,'Per Line'!$E$2:$E$3001,$B361,'Per Line'!$AP$2:$AP$3001,1,'Per Line'!$AQ$2:$AQ$3001,0))</f>
        <v/>
      </c>
      <c r="Y361" s="7">
        <f>IF($AD361="","",X361*W361)</f>
        <v/>
      </c>
      <c r="Z361" s="7">
        <f>IF($AD361="","",Y361+V361)</f>
        <v/>
      </c>
      <c r="AA361" s="7">
        <f>IF($AD361="","",AB361-Z361)</f>
        <v/>
      </c>
      <c r="AB361" s="7">
        <f>IF($AD361="","",U361+X361+S361)</f>
        <v/>
      </c>
      <c r="AC361" s="7">
        <f>IF($AD361="","",AB361-Z361-P361)</f>
        <v/>
      </c>
      <c r="AD361" s="13">
        <f>IF(ROWS($AD$2:$AD361)&lt;=MAX('Per Line'!$AO$2:$AO$3001),MATCH(ROWS($AD$2:$AD361),'Per Line'!$AO$2:$AO$3001,0),"")</f>
        <v/>
      </c>
      <c r="AE361" s="14">
        <f>IF($AD361="","",P361-O361*AB361/100)</f>
        <v/>
      </c>
    </row>
    <row r="362">
      <c r="A362" s="12" t="n"/>
      <c r="B362">
        <f>IF($AD362="","",INDEX('Per Line'!$E$2:$E$3001,$AD362)&amp;"")</f>
        <v/>
      </c>
      <c r="C362">
        <f>IF($AD362="","",INDEX('Per Line'!$A$2:$A$3001,$AD362)&amp;"")</f>
        <v/>
      </c>
      <c r="D362">
        <f>IF($AD362="","",INDEX('Per Line'!$C$2:$C$3001,$AD362)&amp;"")</f>
        <v/>
      </c>
      <c r="E362">
        <f>IF($AD362="","",INDEX('Per Line'!$B$2:$B$3001,$AD362))</f>
        <v/>
      </c>
      <c r="F362">
        <f>IF($AD362="","",INDEX('Per Line'!$D$2:$D$3001,$AD362)&amp;"")</f>
        <v/>
      </c>
      <c r="G362" s="11">
        <f>IF($AD362="","",INDEX('Per Line'!$G$2:$G$3001,$AD362))</f>
        <v/>
      </c>
      <c r="H362">
        <f>IF($AD362="","",INDEX('Per Line'!$J$2:$J$3001,$AD362)&amp;"")</f>
        <v/>
      </c>
      <c r="I362">
        <f>IF($AD362="","",INDEX('Per Line'!$H$2:$H$3001,$AD362)&amp;"")</f>
        <v/>
      </c>
      <c r="J362">
        <f>IF($AD362="","",INDEX('Per Line'!$F$2:$F$3001,$AD362)&amp;"")</f>
        <v/>
      </c>
      <c r="K362">
        <f>IF($AD362="","",INDEX('Per Line'!$K$2:$K$3001,$AD362)&amp;"")</f>
        <v/>
      </c>
      <c r="L362">
        <f>IF($AD362="","",INDEX('Per Line'!$L$2:$L$3001,$AD362)&amp;"")</f>
        <v/>
      </c>
      <c r="M362">
        <f>IF($AD362="","",INDEX('Per Line'!$M$2:$M$3001,$AD362)&amp;"")</f>
        <v/>
      </c>
      <c r="N362">
        <f>IF($AD362="","",INDEX('Per Line'!$AC$2:$AC$3001,$AD362)&amp;"")</f>
        <v/>
      </c>
      <c r="O362">
        <f>IF($AD362="","",INDEX('Per Line'!$P$2:$P$3001,$AD362))</f>
        <v/>
      </c>
      <c r="P362" s="7">
        <f>IF($AD362="","",IF(AND(ISNUMBER(Q362),Q362&gt;0,AB362&gt;Q362),O362*Q362/100+(AB362-Q362),O362*AB362/100))</f>
        <v/>
      </c>
      <c r="Q362">
        <f>IF($AD362="","",INDEX('Per Line'!$AG$2:$AG$3001,$AD362))</f>
        <v/>
      </c>
      <c r="R362">
        <f>IF($AD362="","",IF(AND(ISNUMBER(Q362),Q362&gt;0),AB362&gt;Q362,FALSE))</f>
        <v/>
      </c>
      <c r="S362" s="7">
        <f>IF($AD362="","",SUMIFS('Per Line'!$AB$2:$AB$3001,'Per Line'!$E$2:$E$3001,$B362,'Per Line'!$AQ$2:$AQ$3001,1))</f>
        <v/>
      </c>
      <c r="T362">
        <f>IF($AD362="","",Settings!$C$7)</f>
        <v/>
      </c>
      <c r="U362" s="7">
        <f>IF($AD362="","",SUMIFS('Per Line'!$AB$2:$AB$3001,'Per Line'!$E$2:$E$3001,$B362,'Per Line'!$AP$2:$AP$3001,0,'Per Line'!$AQ$2:$AQ$3001,0))</f>
        <v/>
      </c>
      <c r="V362" s="7">
        <f>IF($AD362="","",U362*T362)</f>
        <v/>
      </c>
      <c r="W362">
        <f>IF($AD362="","",Settings!$C$6)</f>
        <v/>
      </c>
      <c r="X362" s="7">
        <f>IF($AD362="","",SUMIFS('Per Line'!$AB$2:$AB$3001,'Per Line'!$E$2:$E$3001,$B362,'Per Line'!$AP$2:$AP$3001,1,'Per Line'!$AQ$2:$AQ$3001,0))</f>
        <v/>
      </c>
      <c r="Y362" s="7">
        <f>IF($AD362="","",X362*W362)</f>
        <v/>
      </c>
      <c r="Z362" s="7">
        <f>IF($AD362="","",Y362+V362)</f>
        <v/>
      </c>
      <c r="AA362" s="7">
        <f>IF($AD362="","",AB362-Z362)</f>
        <v/>
      </c>
      <c r="AB362" s="7">
        <f>IF($AD362="","",U362+X362+S362)</f>
        <v/>
      </c>
      <c r="AC362" s="7">
        <f>IF($AD362="","",AB362-Z362-P362)</f>
        <v/>
      </c>
      <c r="AD362" s="13">
        <f>IF(ROWS($AD$2:$AD362)&lt;=MAX('Per Line'!$AO$2:$AO$3001),MATCH(ROWS($AD$2:$AD362),'Per Line'!$AO$2:$AO$3001,0),"")</f>
        <v/>
      </c>
      <c r="AE362" s="14">
        <f>IF($AD362="","",P362-O362*AB362/100)</f>
        <v/>
      </c>
    </row>
    <row r="363">
      <c r="A363" s="12" t="n"/>
      <c r="B363">
        <f>IF($AD363="","",INDEX('Per Line'!$E$2:$E$3001,$AD363)&amp;"")</f>
        <v/>
      </c>
      <c r="C363">
        <f>IF($AD363="","",INDEX('Per Line'!$A$2:$A$3001,$AD363)&amp;"")</f>
        <v/>
      </c>
      <c r="D363">
        <f>IF($AD363="","",INDEX('Per Line'!$C$2:$C$3001,$AD363)&amp;"")</f>
        <v/>
      </c>
      <c r="E363">
        <f>IF($AD363="","",INDEX('Per Line'!$B$2:$B$3001,$AD363))</f>
        <v/>
      </c>
      <c r="F363">
        <f>IF($AD363="","",INDEX('Per Line'!$D$2:$D$3001,$AD363)&amp;"")</f>
        <v/>
      </c>
      <c r="G363" s="11">
        <f>IF($AD363="","",INDEX('Per Line'!$G$2:$G$3001,$AD363))</f>
        <v/>
      </c>
      <c r="H363">
        <f>IF($AD363="","",INDEX('Per Line'!$J$2:$J$3001,$AD363)&amp;"")</f>
        <v/>
      </c>
      <c r="I363">
        <f>IF($AD363="","",INDEX('Per Line'!$H$2:$H$3001,$AD363)&amp;"")</f>
        <v/>
      </c>
      <c r="J363">
        <f>IF($AD363="","",INDEX('Per Line'!$F$2:$F$3001,$AD363)&amp;"")</f>
        <v/>
      </c>
      <c r="K363">
        <f>IF($AD363="","",INDEX('Per Line'!$K$2:$K$3001,$AD363)&amp;"")</f>
        <v/>
      </c>
      <c r="L363">
        <f>IF($AD363="","",INDEX('Per Line'!$L$2:$L$3001,$AD363)&amp;"")</f>
        <v/>
      </c>
      <c r="M363">
        <f>IF($AD363="","",INDEX('Per Line'!$M$2:$M$3001,$AD363)&amp;"")</f>
        <v/>
      </c>
      <c r="N363">
        <f>IF($AD363="","",INDEX('Per Line'!$AC$2:$AC$3001,$AD363)&amp;"")</f>
        <v/>
      </c>
      <c r="O363">
        <f>IF($AD363="","",INDEX('Per Line'!$P$2:$P$3001,$AD363))</f>
        <v/>
      </c>
      <c r="P363" s="7">
        <f>IF($AD363="","",IF(AND(ISNUMBER(Q363),Q363&gt;0,AB363&gt;Q363),O363*Q363/100+(AB363-Q363),O363*AB363/100))</f>
        <v/>
      </c>
      <c r="Q363">
        <f>IF($AD363="","",INDEX('Per Line'!$AG$2:$AG$3001,$AD363))</f>
        <v/>
      </c>
      <c r="R363">
        <f>IF($AD363="","",IF(AND(ISNUMBER(Q363),Q363&gt;0),AB363&gt;Q363,FALSE))</f>
        <v/>
      </c>
      <c r="S363" s="7">
        <f>IF($AD363="","",SUMIFS('Per Line'!$AB$2:$AB$3001,'Per Line'!$E$2:$E$3001,$B363,'Per Line'!$AQ$2:$AQ$3001,1))</f>
        <v/>
      </c>
      <c r="T363">
        <f>IF($AD363="","",Settings!$C$7)</f>
        <v/>
      </c>
      <c r="U363" s="7">
        <f>IF($AD363="","",SUMIFS('Per Line'!$AB$2:$AB$3001,'Per Line'!$E$2:$E$3001,$B363,'Per Line'!$AP$2:$AP$3001,0,'Per Line'!$AQ$2:$AQ$3001,0))</f>
        <v/>
      </c>
      <c r="V363" s="7">
        <f>IF($AD363="","",U363*T363)</f>
        <v/>
      </c>
      <c r="W363">
        <f>IF($AD363="","",Settings!$C$6)</f>
        <v/>
      </c>
      <c r="X363" s="7">
        <f>IF($AD363="","",SUMIFS('Per Line'!$AB$2:$AB$3001,'Per Line'!$E$2:$E$3001,$B363,'Per Line'!$AP$2:$AP$3001,1,'Per Line'!$AQ$2:$AQ$3001,0))</f>
        <v/>
      </c>
      <c r="Y363" s="7">
        <f>IF($AD363="","",X363*W363)</f>
        <v/>
      </c>
      <c r="Z363" s="7">
        <f>IF($AD363="","",Y363+V363)</f>
        <v/>
      </c>
      <c r="AA363" s="7">
        <f>IF($AD363="","",AB363-Z363)</f>
        <v/>
      </c>
      <c r="AB363" s="7">
        <f>IF($AD363="","",U363+X363+S363)</f>
        <v/>
      </c>
      <c r="AC363" s="7">
        <f>IF($AD363="","",AB363-Z363-P363)</f>
        <v/>
      </c>
      <c r="AD363" s="13">
        <f>IF(ROWS($AD$2:$AD363)&lt;=MAX('Per Line'!$AO$2:$AO$3001),MATCH(ROWS($AD$2:$AD363),'Per Line'!$AO$2:$AO$3001,0),"")</f>
        <v/>
      </c>
      <c r="AE363" s="14">
        <f>IF($AD363="","",P363-O363*AB363/100)</f>
        <v/>
      </c>
    </row>
    <row r="364">
      <c r="A364" s="12" t="n"/>
      <c r="B364">
        <f>IF($AD364="","",INDEX('Per Line'!$E$2:$E$3001,$AD364)&amp;"")</f>
        <v/>
      </c>
      <c r="C364">
        <f>IF($AD364="","",INDEX('Per Line'!$A$2:$A$3001,$AD364)&amp;"")</f>
        <v/>
      </c>
      <c r="D364">
        <f>IF($AD364="","",INDEX('Per Line'!$C$2:$C$3001,$AD364)&amp;"")</f>
        <v/>
      </c>
      <c r="E364">
        <f>IF($AD364="","",INDEX('Per Line'!$B$2:$B$3001,$AD364))</f>
        <v/>
      </c>
      <c r="F364">
        <f>IF($AD364="","",INDEX('Per Line'!$D$2:$D$3001,$AD364)&amp;"")</f>
        <v/>
      </c>
      <c r="G364" s="11">
        <f>IF($AD364="","",INDEX('Per Line'!$G$2:$G$3001,$AD364))</f>
        <v/>
      </c>
      <c r="H364">
        <f>IF($AD364="","",INDEX('Per Line'!$J$2:$J$3001,$AD364)&amp;"")</f>
        <v/>
      </c>
      <c r="I364">
        <f>IF($AD364="","",INDEX('Per Line'!$H$2:$H$3001,$AD364)&amp;"")</f>
        <v/>
      </c>
      <c r="J364">
        <f>IF($AD364="","",INDEX('Per Line'!$F$2:$F$3001,$AD364)&amp;"")</f>
        <v/>
      </c>
      <c r="K364">
        <f>IF($AD364="","",INDEX('Per Line'!$K$2:$K$3001,$AD364)&amp;"")</f>
        <v/>
      </c>
      <c r="L364">
        <f>IF($AD364="","",INDEX('Per Line'!$L$2:$L$3001,$AD364)&amp;"")</f>
        <v/>
      </c>
      <c r="M364">
        <f>IF($AD364="","",INDEX('Per Line'!$M$2:$M$3001,$AD364)&amp;"")</f>
        <v/>
      </c>
      <c r="N364">
        <f>IF($AD364="","",INDEX('Per Line'!$AC$2:$AC$3001,$AD364)&amp;"")</f>
        <v/>
      </c>
      <c r="O364">
        <f>IF($AD364="","",INDEX('Per Line'!$P$2:$P$3001,$AD364))</f>
        <v/>
      </c>
      <c r="P364" s="7">
        <f>IF($AD364="","",IF(AND(ISNUMBER(Q364),Q364&gt;0,AB364&gt;Q364),O364*Q364/100+(AB364-Q364),O364*AB364/100))</f>
        <v/>
      </c>
      <c r="Q364">
        <f>IF($AD364="","",INDEX('Per Line'!$AG$2:$AG$3001,$AD364))</f>
        <v/>
      </c>
      <c r="R364">
        <f>IF($AD364="","",IF(AND(ISNUMBER(Q364),Q364&gt;0),AB364&gt;Q364,FALSE))</f>
        <v/>
      </c>
      <c r="S364" s="7">
        <f>IF($AD364="","",SUMIFS('Per Line'!$AB$2:$AB$3001,'Per Line'!$E$2:$E$3001,$B364,'Per Line'!$AQ$2:$AQ$3001,1))</f>
        <v/>
      </c>
      <c r="T364">
        <f>IF($AD364="","",Settings!$C$7)</f>
        <v/>
      </c>
      <c r="U364" s="7">
        <f>IF($AD364="","",SUMIFS('Per Line'!$AB$2:$AB$3001,'Per Line'!$E$2:$E$3001,$B364,'Per Line'!$AP$2:$AP$3001,0,'Per Line'!$AQ$2:$AQ$3001,0))</f>
        <v/>
      </c>
      <c r="V364" s="7">
        <f>IF($AD364="","",U364*T364)</f>
        <v/>
      </c>
      <c r="W364">
        <f>IF($AD364="","",Settings!$C$6)</f>
        <v/>
      </c>
      <c r="X364" s="7">
        <f>IF($AD364="","",SUMIFS('Per Line'!$AB$2:$AB$3001,'Per Line'!$E$2:$E$3001,$B364,'Per Line'!$AP$2:$AP$3001,1,'Per Line'!$AQ$2:$AQ$3001,0))</f>
        <v/>
      </c>
      <c r="Y364" s="7">
        <f>IF($AD364="","",X364*W364)</f>
        <v/>
      </c>
      <c r="Z364" s="7">
        <f>IF($AD364="","",Y364+V364)</f>
        <v/>
      </c>
      <c r="AA364" s="7">
        <f>IF($AD364="","",AB364-Z364)</f>
        <v/>
      </c>
      <c r="AB364" s="7">
        <f>IF($AD364="","",U364+X364+S364)</f>
        <v/>
      </c>
      <c r="AC364" s="7">
        <f>IF($AD364="","",AB364-Z364-P364)</f>
        <v/>
      </c>
      <c r="AD364" s="13">
        <f>IF(ROWS($AD$2:$AD364)&lt;=MAX('Per Line'!$AO$2:$AO$3001),MATCH(ROWS($AD$2:$AD364),'Per Line'!$AO$2:$AO$3001,0),"")</f>
        <v/>
      </c>
      <c r="AE364" s="14">
        <f>IF($AD364="","",P364-O364*AB364/100)</f>
        <v/>
      </c>
    </row>
    <row r="365">
      <c r="A365" s="12" t="n"/>
      <c r="B365">
        <f>IF($AD365="","",INDEX('Per Line'!$E$2:$E$3001,$AD365)&amp;"")</f>
        <v/>
      </c>
      <c r="C365">
        <f>IF($AD365="","",INDEX('Per Line'!$A$2:$A$3001,$AD365)&amp;"")</f>
        <v/>
      </c>
      <c r="D365">
        <f>IF($AD365="","",INDEX('Per Line'!$C$2:$C$3001,$AD365)&amp;"")</f>
        <v/>
      </c>
      <c r="E365">
        <f>IF($AD365="","",INDEX('Per Line'!$B$2:$B$3001,$AD365))</f>
        <v/>
      </c>
      <c r="F365">
        <f>IF($AD365="","",INDEX('Per Line'!$D$2:$D$3001,$AD365)&amp;"")</f>
        <v/>
      </c>
      <c r="G365" s="11">
        <f>IF($AD365="","",INDEX('Per Line'!$G$2:$G$3001,$AD365))</f>
        <v/>
      </c>
      <c r="H365">
        <f>IF($AD365="","",INDEX('Per Line'!$J$2:$J$3001,$AD365)&amp;"")</f>
        <v/>
      </c>
      <c r="I365">
        <f>IF($AD365="","",INDEX('Per Line'!$H$2:$H$3001,$AD365)&amp;"")</f>
        <v/>
      </c>
      <c r="J365">
        <f>IF($AD365="","",INDEX('Per Line'!$F$2:$F$3001,$AD365)&amp;"")</f>
        <v/>
      </c>
      <c r="K365">
        <f>IF($AD365="","",INDEX('Per Line'!$K$2:$K$3001,$AD365)&amp;"")</f>
        <v/>
      </c>
      <c r="L365">
        <f>IF($AD365="","",INDEX('Per Line'!$L$2:$L$3001,$AD365)&amp;"")</f>
        <v/>
      </c>
      <c r="M365">
        <f>IF($AD365="","",INDEX('Per Line'!$M$2:$M$3001,$AD365)&amp;"")</f>
        <v/>
      </c>
      <c r="N365">
        <f>IF($AD365="","",INDEX('Per Line'!$AC$2:$AC$3001,$AD365)&amp;"")</f>
        <v/>
      </c>
      <c r="O365">
        <f>IF($AD365="","",INDEX('Per Line'!$P$2:$P$3001,$AD365))</f>
        <v/>
      </c>
      <c r="P365" s="7">
        <f>IF($AD365="","",IF(AND(ISNUMBER(Q365),Q365&gt;0,AB365&gt;Q365),O365*Q365/100+(AB365-Q365),O365*AB365/100))</f>
        <v/>
      </c>
      <c r="Q365">
        <f>IF($AD365="","",INDEX('Per Line'!$AG$2:$AG$3001,$AD365))</f>
        <v/>
      </c>
      <c r="R365">
        <f>IF($AD365="","",IF(AND(ISNUMBER(Q365),Q365&gt;0),AB365&gt;Q365,FALSE))</f>
        <v/>
      </c>
      <c r="S365" s="7">
        <f>IF($AD365="","",SUMIFS('Per Line'!$AB$2:$AB$3001,'Per Line'!$E$2:$E$3001,$B365,'Per Line'!$AQ$2:$AQ$3001,1))</f>
        <v/>
      </c>
      <c r="T365">
        <f>IF($AD365="","",Settings!$C$7)</f>
        <v/>
      </c>
      <c r="U365" s="7">
        <f>IF($AD365="","",SUMIFS('Per Line'!$AB$2:$AB$3001,'Per Line'!$E$2:$E$3001,$B365,'Per Line'!$AP$2:$AP$3001,0,'Per Line'!$AQ$2:$AQ$3001,0))</f>
        <v/>
      </c>
      <c r="V365" s="7">
        <f>IF($AD365="","",U365*T365)</f>
        <v/>
      </c>
      <c r="W365">
        <f>IF($AD365="","",Settings!$C$6)</f>
        <v/>
      </c>
      <c r="X365" s="7">
        <f>IF($AD365="","",SUMIFS('Per Line'!$AB$2:$AB$3001,'Per Line'!$E$2:$E$3001,$B365,'Per Line'!$AP$2:$AP$3001,1,'Per Line'!$AQ$2:$AQ$3001,0))</f>
        <v/>
      </c>
      <c r="Y365" s="7">
        <f>IF($AD365="","",X365*W365)</f>
        <v/>
      </c>
      <c r="Z365" s="7">
        <f>IF($AD365="","",Y365+V365)</f>
        <v/>
      </c>
      <c r="AA365" s="7">
        <f>IF($AD365="","",AB365-Z365)</f>
        <v/>
      </c>
      <c r="AB365" s="7">
        <f>IF($AD365="","",U365+X365+S365)</f>
        <v/>
      </c>
      <c r="AC365" s="7">
        <f>IF($AD365="","",AB365-Z365-P365)</f>
        <v/>
      </c>
      <c r="AD365" s="13">
        <f>IF(ROWS($AD$2:$AD365)&lt;=MAX('Per Line'!$AO$2:$AO$3001),MATCH(ROWS($AD$2:$AD365),'Per Line'!$AO$2:$AO$3001,0),"")</f>
        <v/>
      </c>
      <c r="AE365" s="14">
        <f>IF($AD365="","",P365-O365*AB365/100)</f>
        <v/>
      </c>
    </row>
    <row r="366">
      <c r="A366" s="12" t="n"/>
      <c r="B366">
        <f>IF($AD366="","",INDEX('Per Line'!$E$2:$E$3001,$AD366)&amp;"")</f>
        <v/>
      </c>
      <c r="C366">
        <f>IF($AD366="","",INDEX('Per Line'!$A$2:$A$3001,$AD366)&amp;"")</f>
        <v/>
      </c>
      <c r="D366">
        <f>IF($AD366="","",INDEX('Per Line'!$C$2:$C$3001,$AD366)&amp;"")</f>
        <v/>
      </c>
      <c r="E366">
        <f>IF($AD366="","",INDEX('Per Line'!$B$2:$B$3001,$AD366))</f>
        <v/>
      </c>
      <c r="F366">
        <f>IF($AD366="","",INDEX('Per Line'!$D$2:$D$3001,$AD366)&amp;"")</f>
        <v/>
      </c>
      <c r="G366" s="11">
        <f>IF($AD366="","",INDEX('Per Line'!$G$2:$G$3001,$AD366))</f>
        <v/>
      </c>
      <c r="H366">
        <f>IF($AD366="","",INDEX('Per Line'!$J$2:$J$3001,$AD366)&amp;"")</f>
        <v/>
      </c>
      <c r="I366">
        <f>IF($AD366="","",INDEX('Per Line'!$H$2:$H$3001,$AD366)&amp;"")</f>
        <v/>
      </c>
      <c r="J366">
        <f>IF($AD366="","",INDEX('Per Line'!$F$2:$F$3001,$AD366)&amp;"")</f>
        <v/>
      </c>
      <c r="K366">
        <f>IF($AD366="","",INDEX('Per Line'!$K$2:$K$3001,$AD366)&amp;"")</f>
        <v/>
      </c>
      <c r="L366">
        <f>IF($AD366="","",INDEX('Per Line'!$L$2:$L$3001,$AD366)&amp;"")</f>
        <v/>
      </c>
      <c r="M366">
        <f>IF($AD366="","",INDEX('Per Line'!$M$2:$M$3001,$AD366)&amp;"")</f>
        <v/>
      </c>
      <c r="N366">
        <f>IF($AD366="","",INDEX('Per Line'!$AC$2:$AC$3001,$AD366)&amp;"")</f>
        <v/>
      </c>
      <c r="O366">
        <f>IF($AD366="","",INDEX('Per Line'!$P$2:$P$3001,$AD366))</f>
        <v/>
      </c>
      <c r="P366" s="7">
        <f>IF($AD366="","",IF(AND(ISNUMBER(Q366),Q366&gt;0,AB366&gt;Q366),O366*Q366/100+(AB366-Q366),O366*AB366/100))</f>
        <v/>
      </c>
      <c r="Q366">
        <f>IF($AD366="","",INDEX('Per Line'!$AG$2:$AG$3001,$AD366))</f>
        <v/>
      </c>
      <c r="R366">
        <f>IF($AD366="","",IF(AND(ISNUMBER(Q366),Q366&gt;0),AB366&gt;Q366,FALSE))</f>
        <v/>
      </c>
      <c r="S366" s="7">
        <f>IF($AD366="","",SUMIFS('Per Line'!$AB$2:$AB$3001,'Per Line'!$E$2:$E$3001,$B366,'Per Line'!$AQ$2:$AQ$3001,1))</f>
        <v/>
      </c>
      <c r="T366">
        <f>IF($AD366="","",Settings!$C$7)</f>
        <v/>
      </c>
      <c r="U366" s="7">
        <f>IF($AD366="","",SUMIFS('Per Line'!$AB$2:$AB$3001,'Per Line'!$E$2:$E$3001,$B366,'Per Line'!$AP$2:$AP$3001,0,'Per Line'!$AQ$2:$AQ$3001,0))</f>
        <v/>
      </c>
      <c r="V366" s="7">
        <f>IF($AD366="","",U366*T366)</f>
        <v/>
      </c>
      <c r="W366">
        <f>IF($AD366="","",Settings!$C$6)</f>
        <v/>
      </c>
      <c r="X366" s="7">
        <f>IF($AD366="","",SUMIFS('Per Line'!$AB$2:$AB$3001,'Per Line'!$E$2:$E$3001,$B366,'Per Line'!$AP$2:$AP$3001,1,'Per Line'!$AQ$2:$AQ$3001,0))</f>
        <v/>
      </c>
      <c r="Y366" s="7">
        <f>IF($AD366="","",X366*W366)</f>
        <v/>
      </c>
      <c r="Z366" s="7">
        <f>IF($AD366="","",Y366+V366)</f>
        <v/>
      </c>
      <c r="AA366" s="7">
        <f>IF($AD366="","",AB366-Z366)</f>
        <v/>
      </c>
      <c r="AB366" s="7">
        <f>IF($AD366="","",U366+X366+S366)</f>
        <v/>
      </c>
      <c r="AC366" s="7">
        <f>IF($AD366="","",AB366-Z366-P366)</f>
        <v/>
      </c>
      <c r="AD366" s="13">
        <f>IF(ROWS($AD$2:$AD366)&lt;=MAX('Per Line'!$AO$2:$AO$3001),MATCH(ROWS($AD$2:$AD366),'Per Line'!$AO$2:$AO$3001,0),"")</f>
        <v/>
      </c>
      <c r="AE366" s="14">
        <f>IF($AD366="","",P366-O366*AB366/100)</f>
        <v/>
      </c>
    </row>
    <row r="367">
      <c r="A367" s="12" t="n"/>
      <c r="B367">
        <f>IF($AD367="","",INDEX('Per Line'!$E$2:$E$3001,$AD367)&amp;"")</f>
        <v/>
      </c>
      <c r="C367">
        <f>IF($AD367="","",INDEX('Per Line'!$A$2:$A$3001,$AD367)&amp;"")</f>
        <v/>
      </c>
      <c r="D367">
        <f>IF($AD367="","",INDEX('Per Line'!$C$2:$C$3001,$AD367)&amp;"")</f>
        <v/>
      </c>
      <c r="E367">
        <f>IF($AD367="","",INDEX('Per Line'!$B$2:$B$3001,$AD367))</f>
        <v/>
      </c>
      <c r="F367">
        <f>IF($AD367="","",INDEX('Per Line'!$D$2:$D$3001,$AD367)&amp;"")</f>
        <v/>
      </c>
      <c r="G367" s="11">
        <f>IF($AD367="","",INDEX('Per Line'!$G$2:$G$3001,$AD367))</f>
        <v/>
      </c>
      <c r="H367">
        <f>IF($AD367="","",INDEX('Per Line'!$J$2:$J$3001,$AD367)&amp;"")</f>
        <v/>
      </c>
      <c r="I367">
        <f>IF($AD367="","",INDEX('Per Line'!$H$2:$H$3001,$AD367)&amp;"")</f>
        <v/>
      </c>
      <c r="J367">
        <f>IF($AD367="","",INDEX('Per Line'!$F$2:$F$3001,$AD367)&amp;"")</f>
        <v/>
      </c>
      <c r="K367">
        <f>IF($AD367="","",INDEX('Per Line'!$K$2:$K$3001,$AD367)&amp;"")</f>
        <v/>
      </c>
      <c r="L367">
        <f>IF($AD367="","",INDEX('Per Line'!$L$2:$L$3001,$AD367)&amp;"")</f>
        <v/>
      </c>
      <c r="M367">
        <f>IF($AD367="","",INDEX('Per Line'!$M$2:$M$3001,$AD367)&amp;"")</f>
        <v/>
      </c>
      <c r="N367">
        <f>IF($AD367="","",INDEX('Per Line'!$AC$2:$AC$3001,$AD367)&amp;"")</f>
        <v/>
      </c>
      <c r="O367">
        <f>IF($AD367="","",INDEX('Per Line'!$P$2:$P$3001,$AD367))</f>
        <v/>
      </c>
      <c r="P367" s="7">
        <f>IF($AD367="","",IF(AND(ISNUMBER(Q367),Q367&gt;0,AB367&gt;Q367),O367*Q367/100+(AB367-Q367),O367*AB367/100))</f>
        <v/>
      </c>
      <c r="Q367">
        <f>IF($AD367="","",INDEX('Per Line'!$AG$2:$AG$3001,$AD367))</f>
        <v/>
      </c>
      <c r="R367">
        <f>IF($AD367="","",IF(AND(ISNUMBER(Q367),Q367&gt;0),AB367&gt;Q367,FALSE))</f>
        <v/>
      </c>
      <c r="S367" s="7">
        <f>IF($AD367="","",SUMIFS('Per Line'!$AB$2:$AB$3001,'Per Line'!$E$2:$E$3001,$B367,'Per Line'!$AQ$2:$AQ$3001,1))</f>
        <v/>
      </c>
      <c r="T367">
        <f>IF($AD367="","",Settings!$C$7)</f>
        <v/>
      </c>
      <c r="U367" s="7">
        <f>IF($AD367="","",SUMIFS('Per Line'!$AB$2:$AB$3001,'Per Line'!$E$2:$E$3001,$B367,'Per Line'!$AP$2:$AP$3001,0,'Per Line'!$AQ$2:$AQ$3001,0))</f>
        <v/>
      </c>
      <c r="V367" s="7">
        <f>IF($AD367="","",U367*T367)</f>
        <v/>
      </c>
      <c r="W367">
        <f>IF($AD367="","",Settings!$C$6)</f>
        <v/>
      </c>
      <c r="X367" s="7">
        <f>IF($AD367="","",SUMIFS('Per Line'!$AB$2:$AB$3001,'Per Line'!$E$2:$E$3001,$B367,'Per Line'!$AP$2:$AP$3001,1,'Per Line'!$AQ$2:$AQ$3001,0))</f>
        <v/>
      </c>
      <c r="Y367" s="7">
        <f>IF($AD367="","",X367*W367)</f>
        <v/>
      </c>
      <c r="Z367" s="7">
        <f>IF($AD367="","",Y367+V367)</f>
        <v/>
      </c>
      <c r="AA367" s="7">
        <f>IF($AD367="","",AB367-Z367)</f>
        <v/>
      </c>
      <c r="AB367" s="7">
        <f>IF($AD367="","",U367+X367+S367)</f>
        <v/>
      </c>
      <c r="AC367" s="7">
        <f>IF($AD367="","",AB367-Z367-P367)</f>
        <v/>
      </c>
      <c r="AD367" s="13">
        <f>IF(ROWS($AD$2:$AD367)&lt;=MAX('Per Line'!$AO$2:$AO$3001),MATCH(ROWS($AD$2:$AD367),'Per Line'!$AO$2:$AO$3001,0),"")</f>
        <v/>
      </c>
      <c r="AE367" s="14">
        <f>IF($AD367="","",P367-O367*AB367/100)</f>
        <v/>
      </c>
    </row>
    <row r="368">
      <c r="A368" s="12" t="n"/>
      <c r="B368">
        <f>IF($AD368="","",INDEX('Per Line'!$E$2:$E$3001,$AD368)&amp;"")</f>
        <v/>
      </c>
      <c r="C368">
        <f>IF($AD368="","",INDEX('Per Line'!$A$2:$A$3001,$AD368)&amp;"")</f>
        <v/>
      </c>
      <c r="D368">
        <f>IF($AD368="","",INDEX('Per Line'!$C$2:$C$3001,$AD368)&amp;"")</f>
        <v/>
      </c>
      <c r="E368">
        <f>IF($AD368="","",INDEX('Per Line'!$B$2:$B$3001,$AD368))</f>
        <v/>
      </c>
      <c r="F368">
        <f>IF($AD368="","",INDEX('Per Line'!$D$2:$D$3001,$AD368)&amp;"")</f>
        <v/>
      </c>
      <c r="G368" s="11">
        <f>IF($AD368="","",INDEX('Per Line'!$G$2:$G$3001,$AD368))</f>
        <v/>
      </c>
      <c r="H368">
        <f>IF($AD368="","",INDEX('Per Line'!$J$2:$J$3001,$AD368)&amp;"")</f>
        <v/>
      </c>
      <c r="I368">
        <f>IF($AD368="","",INDEX('Per Line'!$H$2:$H$3001,$AD368)&amp;"")</f>
        <v/>
      </c>
      <c r="J368">
        <f>IF($AD368="","",INDEX('Per Line'!$F$2:$F$3001,$AD368)&amp;"")</f>
        <v/>
      </c>
      <c r="K368">
        <f>IF($AD368="","",INDEX('Per Line'!$K$2:$K$3001,$AD368)&amp;"")</f>
        <v/>
      </c>
      <c r="L368">
        <f>IF($AD368="","",INDEX('Per Line'!$L$2:$L$3001,$AD368)&amp;"")</f>
        <v/>
      </c>
      <c r="M368">
        <f>IF($AD368="","",INDEX('Per Line'!$M$2:$M$3001,$AD368)&amp;"")</f>
        <v/>
      </c>
      <c r="N368">
        <f>IF($AD368="","",INDEX('Per Line'!$AC$2:$AC$3001,$AD368)&amp;"")</f>
        <v/>
      </c>
      <c r="O368">
        <f>IF($AD368="","",INDEX('Per Line'!$P$2:$P$3001,$AD368))</f>
        <v/>
      </c>
      <c r="P368" s="7">
        <f>IF($AD368="","",IF(AND(ISNUMBER(Q368),Q368&gt;0,AB368&gt;Q368),O368*Q368/100+(AB368-Q368),O368*AB368/100))</f>
        <v/>
      </c>
      <c r="Q368">
        <f>IF($AD368="","",INDEX('Per Line'!$AG$2:$AG$3001,$AD368))</f>
        <v/>
      </c>
      <c r="R368">
        <f>IF($AD368="","",IF(AND(ISNUMBER(Q368),Q368&gt;0),AB368&gt;Q368,FALSE))</f>
        <v/>
      </c>
      <c r="S368" s="7">
        <f>IF($AD368="","",SUMIFS('Per Line'!$AB$2:$AB$3001,'Per Line'!$E$2:$E$3001,$B368,'Per Line'!$AQ$2:$AQ$3001,1))</f>
        <v/>
      </c>
      <c r="T368">
        <f>IF($AD368="","",Settings!$C$7)</f>
        <v/>
      </c>
      <c r="U368" s="7">
        <f>IF($AD368="","",SUMIFS('Per Line'!$AB$2:$AB$3001,'Per Line'!$E$2:$E$3001,$B368,'Per Line'!$AP$2:$AP$3001,0,'Per Line'!$AQ$2:$AQ$3001,0))</f>
        <v/>
      </c>
      <c r="V368" s="7">
        <f>IF($AD368="","",U368*T368)</f>
        <v/>
      </c>
      <c r="W368">
        <f>IF($AD368="","",Settings!$C$6)</f>
        <v/>
      </c>
      <c r="X368" s="7">
        <f>IF($AD368="","",SUMIFS('Per Line'!$AB$2:$AB$3001,'Per Line'!$E$2:$E$3001,$B368,'Per Line'!$AP$2:$AP$3001,1,'Per Line'!$AQ$2:$AQ$3001,0))</f>
        <v/>
      </c>
      <c r="Y368" s="7">
        <f>IF($AD368="","",X368*W368)</f>
        <v/>
      </c>
      <c r="Z368" s="7">
        <f>IF($AD368="","",Y368+V368)</f>
        <v/>
      </c>
      <c r="AA368" s="7">
        <f>IF($AD368="","",AB368-Z368)</f>
        <v/>
      </c>
      <c r="AB368" s="7">
        <f>IF($AD368="","",U368+X368+S368)</f>
        <v/>
      </c>
      <c r="AC368" s="7">
        <f>IF($AD368="","",AB368-Z368-P368)</f>
        <v/>
      </c>
      <c r="AD368" s="13">
        <f>IF(ROWS($AD$2:$AD368)&lt;=MAX('Per Line'!$AO$2:$AO$3001),MATCH(ROWS($AD$2:$AD368),'Per Line'!$AO$2:$AO$3001,0),"")</f>
        <v/>
      </c>
      <c r="AE368" s="14">
        <f>IF($AD368="","",P368-O368*AB368/100)</f>
        <v/>
      </c>
    </row>
    <row r="369">
      <c r="A369" s="12" t="n"/>
      <c r="B369">
        <f>IF($AD369="","",INDEX('Per Line'!$E$2:$E$3001,$AD369)&amp;"")</f>
        <v/>
      </c>
      <c r="C369">
        <f>IF($AD369="","",INDEX('Per Line'!$A$2:$A$3001,$AD369)&amp;"")</f>
        <v/>
      </c>
      <c r="D369">
        <f>IF($AD369="","",INDEX('Per Line'!$C$2:$C$3001,$AD369)&amp;"")</f>
        <v/>
      </c>
      <c r="E369">
        <f>IF($AD369="","",INDEX('Per Line'!$B$2:$B$3001,$AD369))</f>
        <v/>
      </c>
      <c r="F369">
        <f>IF($AD369="","",INDEX('Per Line'!$D$2:$D$3001,$AD369)&amp;"")</f>
        <v/>
      </c>
      <c r="G369" s="11">
        <f>IF($AD369="","",INDEX('Per Line'!$G$2:$G$3001,$AD369))</f>
        <v/>
      </c>
      <c r="H369">
        <f>IF($AD369="","",INDEX('Per Line'!$J$2:$J$3001,$AD369)&amp;"")</f>
        <v/>
      </c>
      <c r="I369">
        <f>IF($AD369="","",INDEX('Per Line'!$H$2:$H$3001,$AD369)&amp;"")</f>
        <v/>
      </c>
      <c r="J369">
        <f>IF($AD369="","",INDEX('Per Line'!$F$2:$F$3001,$AD369)&amp;"")</f>
        <v/>
      </c>
      <c r="K369">
        <f>IF($AD369="","",INDEX('Per Line'!$K$2:$K$3001,$AD369)&amp;"")</f>
        <v/>
      </c>
      <c r="L369">
        <f>IF($AD369="","",INDEX('Per Line'!$L$2:$L$3001,$AD369)&amp;"")</f>
        <v/>
      </c>
      <c r="M369">
        <f>IF($AD369="","",INDEX('Per Line'!$M$2:$M$3001,$AD369)&amp;"")</f>
        <v/>
      </c>
      <c r="N369">
        <f>IF($AD369="","",INDEX('Per Line'!$AC$2:$AC$3001,$AD369)&amp;"")</f>
        <v/>
      </c>
      <c r="O369">
        <f>IF($AD369="","",INDEX('Per Line'!$P$2:$P$3001,$AD369))</f>
        <v/>
      </c>
      <c r="P369" s="7">
        <f>IF($AD369="","",IF(AND(ISNUMBER(Q369),Q369&gt;0,AB369&gt;Q369),O369*Q369/100+(AB369-Q369),O369*AB369/100))</f>
        <v/>
      </c>
      <c r="Q369">
        <f>IF($AD369="","",INDEX('Per Line'!$AG$2:$AG$3001,$AD369))</f>
        <v/>
      </c>
      <c r="R369">
        <f>IF($AD369="","",IF(AND(ISNUMBER(Q369),Q369&gt;0),AB369&gt;Q369,FALSE))</f>
        <v/>
      </c>
      <c r="S369" s="7">
        <f>IF($AD369="","",SUMIFS('Per Line'!$AB$2:$AB$3001,'Per Line'!$E$2:$E$3001,$B369,'Per Line'!$AQ$2:$AQ$3001,1))</f>
        <v/>
      </c>
      <c r="T369">
        <f>IF($AD369="","",Settings!$C$7)</f>
        <v/>
      </c>
      <c r="U369" s="7">
        <f>IF($AD369="","",SUMIFS('Per Line'!$AB$2:$AB$3001,'Per Line'!$E$2:$E$3001,$B369,'Per Line'!$AP$2:$AP$3001,0,'Per Line'!$AQ$2:$AQ$3001,0))</f>
        <v/>
      </c>
      <c r="V369" s="7">
        <f>IF($AD369="","",U369*T369)</f>
        <v/>
      </c>
      <c r="W369">
        <f>IF($AD369="","",Settings!$C$6)</f>
        <v/>
      </c>
      <c r="X369" s="7">
        <f>IF($AD369="","",SUMIFS('Per Line'!$AB$2:$AB$3001,'Per Line'!$E$2:$E$3001,$B369,'Per Line'!$AP$2:$AP$3001,1,'Per Line'!$AQ$2:$AQ$3001,0))</f>
        <v/>
      </c>
      <c r="Y369" s="7">
        <f>IF($AD369="","",X369*W369)</f>
        <v/>
      </c>
      <c r="Z369" s="7">
        <f>IF($AD369="","",Y369+V369)</f>
        <v/>
      </c>
      <c r="AA369" s="7">
        <f>IF($AD369="","",AB369-Z369)</f>
        <v/>
      </c>
      <c r="AB369" s="7">
        <f>IF($AD369="","",U369+X369+S369)</f>
        <v/>
      </c>
      <c r="AC369" s="7">
        <f>IF($AD369="","",AB369-Z369-P369)</f>
        <v/>
      </c>
      <c r="AD369" s="13">
        <f>IF(ROWS($AD$2:$AD369)&lt;=MAX('Per Line'!$AO$2:$AO$3001),MATCH(ROWS($AD$2:$AD369),'Per Line'!$AO$2:$AO$3001,0),"")</f>
        <v/>
      </c>
      <c r="AE369" s="14">
        <f>IF($AD369="","",P369-O369*AB369/100)</f>
        <v/>
      </c>
    </row>
    <row r="370">
      <c r="A370" s="12" t="n"/>
      <c r="B370">
        <f>IF($AD370="","",INDEX('Per Line'!$E$2:$E$3001,$AD370)&amp;"")</f>
        <v/>
      </c>
      <c r="C370">
        <f>IF($AD370="","",INDEX('Per Line'!$A$2:$A$3001,$AD370)&amp;"")</f>
        <v/>
      </c>
      <c r="D370">
        <f>IF($AD370="","",INDEX('Per Line'!$C$2:$C$3001,$AD370)&amp;"")</f>
        <v/>
      </c>
      <c r="E370">
        <f>IF($AD370="","",INDEX('Per Line'!$B$2:$B$3001,$AD370))</f>
        <v/>
      </c>
      <c r="F370">
        <f>IF($AD370="","",INDEX('Per Line'!$D$2:$D$3001,$AD370)&amp;"")</f>
        <v/>
      </c>
      <c r="G370" s="11">
        <f>IF($AD370="","",INDEX('Per Line'!$G$2:$G$3001,$AD370))</f>
        <v/>
      </c>
      <c r="H370">
        <f>IF($AD370="","",INDEX('Per Line'!$J$2:$J$3001,$AD370)&amp;"")</f>
        <v/>
      </c>
      <c r="I370">
        <f>IF($AD370="","",INDEX('Per Line'!$H$2:$H$3001,$AD370)&amp;"")</f>
        <v/>
      </c>
      <c r="J370">
        <f>IF($AD370="","",INDEX('Per Line'!$F$2:$F$3001,$AD370)&amp;"")</f>
        <v/>
      </c>
      <c r="K370">
        <f>IF($AD370="","",INDEX('Per Line'!$K$2:$K$3001,$AD370)&amp;"")</f>
        <v/>
      </c>
      <c r="L370">
        <f>IF($AD370="","",INDEX('Per Line'!$L$2:$L$3001,$AD370)&amp;"")</f>
        <v/>
      </c>
      <c r="M370">
        <f>IF($AD370="","",INDEX('Per Line'!$M$2:$M$3001,$AD370)&amp;"")</f>
        <v/>
      </c>
      <c r="N370">
        <f>IF($AD370="","",INDEX('Per Line'!$AC$2:$AC$3001,$AD370)&amp;"")</f>
        <v/>
      </c>
      <c r="O370">
        <f>IF($AD370="","",INDEX('Per Line'!$P$2:$P$3001,$AD370))</f>
        <v/>
      </c>
      <c r="P370" s="7">
        <f>IF($AD370="","",IF(AND(ISNUMBER(Q370),Q370&gt;0,AB370&gt;Q370),O370*Q370/100+(AB370-Q370),O370*AB370/100))</f>
        <v/>
      </c>
      <c r="Q370">
        <f>IF($AD370="","",INDEX('Per Line'!$AG$2:$AG$3001,$AD370))</f>
        <v/>
      </c>
      <c r="R370">
        <f>IF($AD370="","",IF(AND(ISNUMBER(Q370),Q370&gt;0),AB370&gt;Q370,FALSE))</f>
        <v/>
      </c>
      <c r="S370" s="7">
        <f>IF($AD370="","",SUMIFS('Per Line'!$AB$2:$AB$3001,'Per Line'!$E$2:$E$3001,$B370,'Per Line'!$AQ$2:$AQ$3001,1))</f>
        <v/>
      </c>
      <c r="T370">
        <f>IF($AD370="","",Settings!$C$7)</f>
        <v/>
      </c>
      <c r="U370" s="7">
        <f>IF($AD370="","",SUMIFS('Per Line'!$AB$2:$AB$3001,'Per Line'!$E$2:$E$3001,$B370,'Per Line'!$AP$2:$AP$3001,0,'Per Line'!$AQ$2:$AQ$3001,0))</f>
        <v/>
      </c>
      <c r="V370" s="7">
        <f>IF($AD370="","",U370*T370)</f>
        <v/>
      </c>
      <c r="W370">
        <f>IF($AD370="","",Settings!$C$6)</f>
        <v/>
      </c>
      <c r="X370" s="7">
        <f>IF($AD370="","",SUMIFS('Per Line'!$AB$2:$AB$3001,'Per Line'!$E$2:$E$3001,$B370,'Per Line'!$AP$2:$AP$3001,1,'Per Line'!$AQ$2:$AQ$3001,0))</f>
        <v/>
      </c>
      <c r="Y370" s="7">
        <f>IF($AD370="","",X370*W370)</f>
        <v/>
      </c>
      <c r="Z370" s="7">
        <f>IF($AD370="","",Y370+V370)</f>
        <v/>
      </c>
      <c r="AA370" s="7">
        <f>IF($AD370="","",AB370-Z370)</f>
        <v/>
      </c>
      <c r="AB370" s="7">
        <f>IF($AD370="","",U370+X370+S370)</f>
        <v/>
      </c>
      <c r="AC370" s="7">
        <f>IF($AD370="","",AB370-Z370-P370)</f>
        <v/>
      </c>
      <c r="AD370" s="13">
        <f>IF(ROWS($AD$2:$AD370)&lt;=MAX('Per Line'!$AO$2:$AO$3001),MATCH(ROWS($AD$2:$AD370),'Per Line'!$AO$2:$AO$3001,0),"")</f>
        <v/>
      </c>
      <c r="AE370" s="14">
        <f>IF($AD370="","",P370-O370*AB370/100)</f>
        <v/>
      </c>
    </row>
    <row r="371">
      <c r="A371" s="12" t="n"/>
      <c r="B371">
        <f>IF($AD371="","",INDEX('Per Line'!$E$2:$E$3001,$AD371)&amp;"")</f>
        <v/>
      </c>
      <c r="C371">
        <f>IF($AD371="","",INDEX('Per Line'!$A$2:$A$3001,$AD371)&amp;"")</f>
        <v/>
      </c>
      <c r="D371">
        <f>IF($AD371="","",INDEX('Per Line'!$C$2:$C$3001,$AD371)&amp;"")</f>
        <v/>
      </c>
      <c r="E371">
        <f>IF($AD371="","",INDEX('Per Line'!$B$2:$B$3001,$AD371))</f>
        <v/>
      </c>
      <c r="F371">
        <f>IF($AD371="","",INDEX('Per Line'!$D$2:$D$3001,$AD371)&amp;"")</f>
        <v/>
      </c>
      <c r="G371" s="11">
        <f>IF($AD371="","",INDEX('Per Line'!$G$2:$G$3001,$AD371))</f>
        <v/>
      </c>
      <c r="H371">
        <f>IF($AD371="","",INDEX('Per Line'!$J$2:$J$3001,$AD371)&amp;"")</f>
        <v/>
      </c>
      <c r="I371">
        <f>IF($AD371="","",INDEX('Per Line'!$H$2:$H$3001,$AD371)&amp;"")</f>
        <v/>
      </c>
      <c r="J371">
        <f>IF($AD371="","",INDEX('Per Line'!$F$2:$F$3001,$AD371)&amp;"")</f>
        <v/>
      </c>
      <c r="K371">
        <f>IF($AD371="","",INDEX('Per Line'!$K$2:$K$3001,$AD371)&amp;"")</f>
        <v/>
      </c>
      <c r="L371">
        <f>IF($AD371="","",INDEX('Per Line'!$L$2:$L$3001,$AD371)&amp;"")</f>
        <v/>
      </c>
      <c r="M371">
        <f>IF($AD371="","",INDEX('Per Line'!$M$2:$M$3001,$AD371)&amp;"")</f>
        <v/>
      </c>
      <c r="N371">
        <f>IF($AD371="","",INDEX('Per Line'!$AC$2:$AC$3001,$AD371)&amp;"")</f>
        <v/>
      </c>
      <c r="O371">
        <f>IF($AD371="","",INDEX('Per Line'!$P$2:$P$3001,$AD371))</f>
        <v/>
      </c>
      <c r="P371" s="7">
        <f>IF($AD371="","",IF(AND(ISNUMBER(Q371),Q371&gt;0,AB371&gt;Q371),O371*Q371/100+(AB371-Q371),O371*AB371/100))</f>
        <v/>
      </c>
      <c r="Q371">
        <f>IF($AD371="","",INDEX('Per Line'!$AG$2:$AG$3001,$AD371))</f>
        <v/>
      </c>
      <c r="R371">
        <f>IF($AD371="","",IF(AND(ISNUMBER(Q371),Q371&gt;0),AB371&gt;Q371,FALSE))</f>
        <v/>
      </c>
      <c r="S371" s="7">
        <f>IF($AD371="","",SUMIFS('Per Line'!$AB$2:$AB$3001,'Per Line'!$E$2:$E$3001,$B371,'Per Line'!$AQ$2:$AQ$3001,1))</f>
        <v/>
      </c>
      <c r="T371">
        <f>IF($AD371="","",Settings!$C$7)</f>
        <v/>
      </c>
      <c r="U371" s="7">
        <f>IF($AD371="","",SUMIFS('Per Line'!$AB$2:$AB$3001,'Per Line'!$E$2:$E$3001,$B371,'Per Line'!$AP$2:$AP$3001,0,'Per Line'!$AQ$2:$AQ$3001,0))</f>
        <v/>
      </c>
      <c r="V371" s="7">
        <f>IF($AD371="","",U371*T371)</f>
        <v/>
      </c>
      <c r="W371">
        <f>IF($AD371="","",Settings!$C$6)</f>
        <v/>
      </c>
      <c r="X371" s="7">
        <f>IF($AD371="","",SUMIFS('Per Line'!$AB$2:$AB$3001,'Per Line'!$E$2:$E$3001,$B371,'Per Line'!$AP$2:$AP$3001,1,'Per Line'!$AQ$2:$AQ$3001,0))</f>
        <v/>
      </c>
      <c r="Y371" s="7">
        <f>IF($AD371="","",X371*W371)</f>
        <v/>
      </c>
      <c r="Z371" s="7">
        <f>IF($AD371="","",Y371+V371)</f>
        <v/>
      </c>
      <c r="AA371" s="7">
        <f>IF($AD371="","",AB371-Z371)</f>
        <v/>
      </c>
      <c r="AB371" s="7">
        <f>IF($AD371="","",U371+X371+S371)</f>
        <v/>
      </c>
      <c r="AC371" s="7">
        <f>IF($AD371="","",AB371-Z371-P371)</f>
        <v/>
      </c>
      <c r="AD371" s="13">
        <f>IF(ROWS($AD$2:$AD371)&lt;=MAX('Per Line'!$AO$2:$AO$3001),MATCH(ROWS($AD$2:$AD371),'Per Line'!$AO$2:$AO$3001,0),"")</f>
        <v/>
      </c>
      <c r="AE371" s="14">
        <f>IF($AD371="","",P371-O371*AB371/100)</f>
        <v/>
      </c>
    </row>
    <row r="372">
      <c r="A372" s="12" t="n"/>
      <c r="B372">
        <f>IF($AD372="","",INDEX('Per Line'!$E$2:$E$3001,$AD372)&amp;"")</f>
        <v/>
      </c>
      <c r="C372">
        <f>IF($AD372="","",INDEX('Per Line'!$A$2:$A$3001,$AD372)&amp;"")</f>
        <v/>
      </c>
      <c r="D372">
        <f>IF($AD372="","",INDEX('Per Line'!$C$2:$C$3001,$AD372)&amp;"")</f>
        <v/>
      </c>
      <c r="E372">
        <f>IF($AD372="","",INDEX('Per Line'!$B$2:$B$3001,$AD372))</f>
        <v/>
      </c>
      <c r="F372">
        <f>IF($AD372="","",INDEX('Per Line'!$D$2:$D$3001,$AD372)&amp;"")</f>
        <v/>
      </c>
      <c r="G372" s="11">
        <f>IF($AD372="","",INDEX('Per Line'!$G$2:$G$3001,$AD372))</f>
        <v/>
      </c>
      <c r="H372">
        <f>IF($AD372="","",INDEX('Per Line'!$J$2:$J$3001,$AD372)&amp;"")</f>
        <v/>
      </c>
      <c r="I372">
        <f>IF($AD372="","",INDEX('Per Line'!$H$2:$H$3001,$AD372)&amp;"")</f>
        <v/>
      </c>
      <c r="J372">
        <f>IF($AD372="","",INDEX('Per Line'!$F$2:$F$3001,$AD372)&amp;"")</f>
        <v/>
      </c>
      <c r="K372">
        <f>IF($AD372="","",INDEX('Per Line'!$K$2:$K$3001,$AD372)&amp;"")</f>
        <v/>
      </c>
      <c r="L372">
        <f>IF($AD372="","",INDEX('Per Line'!$L$2:$L$3001,$AD372)&amp;"")</f>
        <v/>
      </c>
      <c r="M372">
        <f>IF($AD372="","",INDEX('Per Line'!$M$2:$M$3001,$AD372)&amp;"")</f>
        <v/>
      </c>
      <c r="N372">
        <f>IF($AD372="","",INDEX('Per Line'!$AC$2:$AC$3001,$AD372)&amp;"")</f>
        <v/>
      </c>
      <c r="O372">
        <f>IF($AD372="","",INDEX('Per Line'!$P$2:$P$3001,$AD372))</f>
        <v/>
      </c>
      <c r="P372" s="7">
        <f>IF($AD372="","",IF(AND(ISNUMBER(Q372),Q372&gt;0,AB372&gt;Q372),O372*Q372/100+(AB372-Q372),O372*AB372/100))</f>
        <v/>
      </c>
      <c r="Q372">
        <f>IF($AD372="","",INDEX('Per Line'!$AG$2:$AG$3001,$AD372))</f>
        <v/>
      </c>
      <c r="R372">
        <f>IF($AD372="","",IF(AND(ISNUMBER(Q372),Q372&gt;0),AB372&gt;Q372,FALSE))</f>
        <v/>
      </c>
      <c r="S372" s="7">
        <f>IF($AD372="","",SUMIFS('Per Line'!$AB$2:$AB$3001,'Per Line'!$E$2:$E$3001,$B372,'Per Line'!$AQ$2:$AQ$3001,1))</f>
        <v/>
      </c>
      <c r="T372">
        <f>IF($AD372="","",Settings!$C$7)</f>
        <v/>
      </c>
      <c r="U372" s="7">
        <f>IF($AD372="","",SUMIFS('Per Line'!$AB$2:$AB$3001,'Per Line'!$E$2:$E$3001,$B372,'Per Line'!$AP$2:$AP$3001,0,'Per Line'!$AQ$2:$AQ$3001,0))</f>
        <v/>
      </c>
      <c r="V372" s="7">
        <f>IF($AD372="","",U372*T372)</f>
        <v/>
      </c>
      <c r="W372">
        <f>IF($AD372="","",Settings!$C$6)</f>
        <v/>
      </c>
      <c r="X372" s="7">
        <f>IF($AD372="","",SUMIFS('Per Line'!$AB$2:$AB$3001,'Per Line'!$E$2:$E$3001,$B372,'Per Line'!$AP$2:$AP$3001,1,'Per Line'!$AQ$2:$AQ$3001,0))</f>
        <v/>
      </c>
      <c r="Y372" s="7">
        <f>IF($AD372="","",X372*W372)</f>
        <v/>
      </c>
      <c r="Z372" s="7">
        <f>IF($AD372="","",Y372+V372)</f>
        <v/>
      </c>
      <c r="AA372" s="7">
        <f>IF($AD372="","",AB372-Z372)</f>
        <v/>
      </c>
      <c r="AB372" s="7">
        <f>IF($AD372="","",U372+X372+S372)</f>
        <v/>
      </c>
      <c r="AC372" s="7">
        <f>IF($AD372="","",AB372-Z372-P372)</f>
        <v/>
      </c>
      <c r="AD372" s="13">
        <f>IF(ROWS($AD$2:$AD372)&lt;=MAX('Per Line'!$AO$2:$AO$3001),MATCH(ROWS($AD$2:$AD372),'Per Line'!$AO$2:$AO$3001,0),"")</f>
        <v/>
      </c>
      <c r="AE372" s="14">
        <f>IF($AD372="","",P372-O372*AB372/100)</f>
        <v/>
      </c>
    </row>
    <row r="373">
      <c r="A373" s="12" t="n"/>
      <c r="B373">
        <f>IF($AD373="","",INDEX('Per Line'!$E$2:$E$3001,$AD373)&amp;"")</f>
        <v/>
      </c>
      <c r="C373">
        <f>IF($AD373="","",INDEX('Per Line'!$A$2:$A$3001,$AD373)&amp;"")</f>
        <v/>
      </c>
      <c r="D373">
        <f>IF($AD373="","",INDEX('Per Line'!$C$2:$C$3001,$AD373)&amp;"")</f>
        <v/>
      </c>
      <c r="E373">
        <f>IF($AD373="","",INDEX('Per Line'!$B$2:$B$3001,$AD373))</f>
        <v/>
      </c>
      <c r="F373">
        <f>IF($AD373="","",INDEX('Per Line'!$D$2:$D$3001,$AD373)&amp;"")</f>
        <v/>
      </c>
      <c r="G373" s="11">
        <f>IF($AD373="","",INDEX('Per Line'!$G$2:$G$3001,$AD373))</f>
        <v/>
      </c>
      <c r="H373">
        <f>IF($AD373="","",INDEX('Per Line'!$J$2:$J$3001,$AD373)&amp;"")</f>
        <v/>
      </c>
      <c r="I373">
        <f>IF($AD373="","",INDEX('Per Line'!$H$2:$H$3001,$AD373)&amp;"")</f>
        <v/>
      </c>
      <c r="J373">
        <f>IF($AD373="","",INDEX('Per Line'!$F$2:$F$3001,$AD373)&amp;"")</f>
        <v/>
      </c>
      <c r="K373">
        <f>IF($AD373="","",INDEX('Per Line'!$K$2:$K$3001,$AD373)&amp;"")</f>
        <v/>
      </c>
      <c r="L373">
        <f>IF($AD373="","",INDEX('Per Line'!$L$2:$L$3001,$AD373)&amp;"")</f>
        <v/>
      </c>
      <c r="M373">
        <f>IF($AD373="","",INDEX('Per Line'!$M$2:$M$3001,$AD373)&amp;"")</f>
        <v/>
      </c>
      <c r="N373">
        <f>IF($AD373="","",INDEX('Per Line'!$AC$2:$AC$3001,$AD373)&amp;"")</f>
        <v/>
      </c>
      <c r="O373">
        <f>IF($AD373="","",INDEX('Per Line'!$P$2:$P$3001,$AD373))</f>
        <v/>
      </c>
      <c r="P373" s="7">
        <f>IF($AD373="","",IF(AND(ISNUMBER(Q373),Q373&gt;0,AB373&gt;Q373),O373*Q373/100+(AB373-Q373),O373*AB373/100))</f>
        <v/>
      </c>
      <c r="Q373">
        <f>IF($AD373="","",INDEX('Per Line'!$AG$2:$AG$3001,$AD373))</f>
        <v/>
      </c>
      <c r="R373">
        <f>IF($AD373="","",IF(AND(ISNUMBER(Q373),Q373&gt;0),AB373&gt;Q373,FALSE))</f>
        <v/>
      </c>
      <c r="S373" s="7">
        <f>IF($AD373="","",SUMIFS('Per Line'!$AB$2:$AB$3001,'Per Line'!$E$2:$E$3001,$B373,'Per Line'!$AQ$2:$AQ$3001,1))</f>
        <v/>
      </c>
      <c r="T373">
        <f>IF($AD373="","",Settings!$C$7)</f>
        <v/>
      </c>
      <c r="U373" s="7">
        <f>IF($AD373="","",SUMIFS('Per Line'!$AB$2:$AB$3001,'Per Line'!$E$2:$E$3001,$B373,'Per Line'!$AP$2:$AP$3001,0,'Per Line'!$AQ$2:$AQ$3001,0))</f>
        <v/>
      </c>
      <c r="V373" s="7">
        <f>IF($AD373="","",U373*T373)</f>
        <v/>
      </c>
      <c r="W373">
        <f>IF($AD373="","",Settings!$C$6)</f>
        <v/>
      </c>
      <c r="X373" s="7">
        <f>IF($AD373="","",SUMIFS('Per Line'!$AB$2:$AB$3001,'Per Line'!$E$2:$E$3001,$B373,'Per Line'!$AP$2:$AP$3001,1,'Per Line'!$AQ$2:$AQ$3001,0))</f>
        <v/>
      </c>
      <c r="Y373" s="7">
        <f>IF($AD373="","",X373*W373)</f>
        <v/>
      </c>
      <c r="Z373" s="7">
        <f>IF($AD373="","",Y373+V373)</f>
        <v/>
      </c>
      <c r="AA373" s="7">
        <f>IF($AD373="","",AB373-Z373)</f>
        <v/>
      </c>
      <c r="AB373" s="7">
        <f>IF($AD373="","",U373+X373+S373)</f>
        <v/>
      </c>
      <c r="AC373" s="7">
        <f>IF($AD373="","",AB373-Z373-P373)</f>
        <v/>
      </c>
      <c r="AD373" s="13">
        <f>IF(ROWS($AD$2:$AD373)&lt;=MAX('Per Line'!$AO$2:$AO$3001),MATCH(ROWS($AD$2:$AD373),'Per Line'!$AO$2:$AO$3001,0),"")</f>
        <v/>
      </c>
      <c r="AE373" s="14">
        <f>IF($AD373="","",P373-O373*AB373/100)</f>
        <v/>
      </c>
    </row>
    <row r="374">
      <c r="A374" s="12" t="n"/>
      <c r="B374">
        <f>IF($AD374="","",INDEX('Per Line'!$E$2:$E$3001,$AD374)&amp;"")</f>
        <v/>
      </c>
      <c r="C374">
        <f>IF($AD374="","",INDEX('Per Line'!$A$2:$A$3001,$AD374)&amp;"")</f>
        <v/>
      </c>
      <c r="D374">
        <f>IF($AD374="","",INDEX('Per Line'!$C$2:$C$3001,$AD374)&amp;"")</f>
        <v/>
      </c>
      <c r="E374">
        <f>IF($AD374="","",INDEX('Per Line'!$B$2:$B$3001,$AD374))</f>
        <v/>
      </c>
      <c r="F374">
        <f>IF($AD374="","",INDEX('Per Line'!$D$2:$D$3001,$AD374)&amp;"")</f>
        <v/>
      </c>
      <c r="G374" s="11">
        <f>IF($AD374="","",INDEX('Per Line'!$G$2:$G$3001,$AD374))</f>
        <v/>
      </c>
      <c r="H374">
        <f>IF($AD374="","",INDEX('Per Line'!$J$2:$J$3001,$AD374)&amp;"")</f>
        <v/>
      </c>
      <c r="I374">
        <f>IF($AD374="","",INDEX('Per Line'!$H$2:$H$3001,$AD374)&amp;"")</f>
        <v/>
      </c>
      <c r="J374">
        <f>IF($AD374="","",INDEX('Per Line'!$F$2:$F$3001,$AD374)&amp;"")</f>
        <v/>
      </c>
      <c r="K374">
        <f>IF($AD374="","",INDEX('Per Line'!$K$2:$K$3001,$AD374)&amp;"")</f>
        <v/>
      </c>
      <c r="L374">
        <f>IF($AD374="","",INDEX('Per Line'!$L$2:$L$3001,$AD374)&amp;"")</f>
        <v/>
      </c>
      <c r="M374">
        <f>IF($AD374="","",INDEX('Per Line'!$M$2:$M$3001,$AD374)&amp;"")</f>
        <v/>
      </c>
      <c r="N374">
        <f>IF($AD374="","",INDEX('Per Line'!$AC$2:$AC$3001,$AD374)&amp;"")</f>
        <v/>
      </c>
      <c r="O374">
        <f>IF($AD374="","",INDEX('Per Line'!$P$2:$P$3001,$AD374))</f>
        <v/>
      </c>
      <c r="P374" s="7">
        <f>IF($AD374="","",IF(AND(ISNUMBER(Q374),Q374&gt;0,AB374&gt;Q374),O374*Q374/100+(AB374-Q374),O374*AB374/100))</f>
        <v/>
      </c>
      <c r="Q374">
        <f>IF($AD374="","",INDEX('Per Line'!$AG$2:$AG$3001,$AD374))</f>
        <v/>
      </c>
      <c r="R374">
        <f>IF($AD374="","",IF(AND(ISNUMBER(Q374),Q374&gt;0),AB374&gt;Q374,FALSE))</f>
        <v/>
      </c>
      <c r="S374" s="7">
        <f>IF($AD374="","",SUMIFS('Per Line'!$AB$2:$AB$3001,'Per Line'!$E$2:$E$3001,$B374,'Per Line'!$AQ$2:$AQ$3001,1))</f>
        <v/>
      </c>
      <c r="T374">
        <f>IF($AD374="","",Settings!$C$7)</f>
        <v/>
      </c>
      <c r="U374" s="7">
        <f>IF($AD374="","",SUMIFS('Per Line'!$AB$2:$AB$3001,'Per Line'!$E$2:$E$3001,$B374,'Per Line'!$AP$2:$AP$3001,0,'Per Line'!$AQ$2:$AQ$3001,0))</f>
        <v/>
      </c>
      <c r="V374" s="7">
        <f>IF($AD374="","",U374*T374)</f>
        <v/>
      </c>
      <c r="W374">
        <f>IF($AD374="","",Settings!$C$6)</f>
        <v/>
      </c>
      <c r="X374" s="7">
        <f>IF($AD374="","",SUMIFS('Per Line'!$AB$2:$AB$3001,'Per Line'!$E$2:$E$3001,$B374,'Per Line'!$AP$2:$AP$3001,1,'Per Line'!$AQ$2:$AQ$3001,0))</f>
        <v/>
      </c>
      <c r="Y374" s="7">
        <f>IF($AD374="","",X374*W374)</f>
        <v/>
      </c>
      <c r="Z374" s="7">
        <f>IF($AD374="","",Y374+V374)</f>
        <v/>
      </c>
      <c r="AA374" s="7">
        <f>IF($AD374="","",AB374-Z374)</f>
        <v/>
      </c>
      <c r="AB374" s="7">
        <f>IF($AD374="","",U374+X374+S374)</f>
        <v/>
      </c>
      <c r="AC374" s="7">
        <f>IF($AD374="","",AB374-Z374-P374)</f>
        <v/>
      </c>
      <c r="AD374" s="13">
        <f>IF(ROWS($AD$2:$AD374)&lt;=MAX('Per Line'!$AO$2:$AO$3001),MATCH(ROWS($AD$2:$AD374),'Per Line'!$AO$2:$AO$3001,0),"")</f>
        <v/>
      </c>
      <c r="AE374" s="14">
        <f>IF($AD374="","",P374-O374*AB374/100)</f>
        <v/>
      </c>
    </row>
    <row r="375">
      <c r="A375" s="12" t="n"/>
      <c r="B375">
        <f>IF($AD375="","",INDEX('Per Line'!$E$2:$E$3001,$AD375)&amp;"")</f>
        <v/>
      </c>
      <c r="C375">
        <f>IF($AD375="","",INDEX('Per Line'!$A$2:$A$3001,$AD375)&amp;"")</f>
        <v/>
      </c>
      <c r="D375">
        <f>IF($AD375="","",INDEX('Per Line'!$C$2:$C$3001,$AD375)&amp;"")</f>
        <v/>
      </c>
      <c r="E375">
        <f>IF($AD375="","",INDEX('Per Line'!$B$2:$B$3001,$AD375))</f>
        <v/>
      </c>
      <c r="F375">
        <f>IF($AD375="","",INDEX('Per Line'!$D$2:$D$3001,$AD375)&amp;"")</f>
        <v/>
      </c>
      <c r="G375" s="11">
        <f>IF($AD375="","",INDEX('Per Line'!$G$2:$G$3001,$AD375))</f>
        <v/>
      </c>
      <c r="H375">
        <f>IF($AD375="","",INDEX('Per Line'!$J$2:$J$3001,$AD375)&amp;"")</f>
        <v/>
      </c>
      <c r="I375">
        <f>IF($AD375="","",INDEX('Per Line'!$H$2:$H$3001,$AD375)&amp;"")</f>
        <v/>
      </c>
      <c r="J375">
        <f>IF($AD375="","",INDEX('Per Line'!$F$2:$F$3001,$AD375)&amp;"")</f>
        <v/>
      </c>
      <c r="K375">
        <f>IF($AD375="","",INDEX('Per Line'!$K$2:$K$3001,$AD375)&amp;"")</f>
        <v/>
      </c>
      <c r="L375">
        <f>IF($AD375="","",INDEX('Per Line'!$L$2:$L$3001,$AD375)&amp;"")</f>
        <v/>
      </c>
      <c r="M375">
        <f>IF($AD375="","",INDEX('Per Line'!$M$2:$M$3001,$AD375)&amp;"")</f>
        <v/>
      </c>
      <c r="N375">
        <f>IF($AD375="","",INDEX('Per Line'!$AC$2:$AC$3001,$AD375)&amp;"")</f>
        <v/>
      </c>
      <c r="O375">
        <f>IF($AD375="","",INDEX('Per Line'!$P$2:$P$3001,$AD375))</f>
        <v/>
      </c>
      <c r="P375" s="7">
        <f>IF($AD375="","",IF(AND(ISNUMBER(Q375),Q375&gt;0,AB375&gt;Q375),O375*Q375/100+(AB375-Q375),O375*AB375/100))</f>
        <v/>
      </c>
      <c r="Q375">
        <f>IF($AD375="","",INDEX('Per Line'!$AG$2:$AG$3001,$AD375))</f>
        <v/>
      </c>
      <c r="R375">
        <f>IF($AD375="","",IF(AND(ISNUMBER(Q375),Q375&gt;0),AB375&gt;Q375,FALSE))</f>
        <v/>
      </c>
      <c r="S375" s="7">
        <f>IF($AD375="","",SUMIFS('Per Line'!$AB$2:$AB$3001,'Per Line'!$E$2:$E$3001,$B375,'Per Line'!$AQ$2:$AQ$3001,1))</f>
        <v/>
      </c>
      <c r="T375">
        <f>IF($AD375="","",Settings!$C$7)</f>
        <v/>
      </c>
      <c r="U375" s="7">
        <f>IF($AD375="","",SUMIFS('Per Line'!$AB$2:$AB$3001,'Per Line'!$E$2:$E$3001,$B375,'Per Line'!$AP$2:$AP$3001,0,'Per Line'!$AQ$2:$AQ$3001,0))</f>
        <v/>
      </c>
      <c r="V375" s="7">
        <f>IF($AD375="","",U375*T375)</f>
        <v/>
      </c>
      <c r="W375">
        <f>IF($AD375="","",Settings!$C$6)</f>
        <v/>
      </c>
      <c r="X375" s="7">
        <f>IF($AD375="","",SUMIFS('Per Line'!$AB$2:$AB$3001,'Per Line'!$E$2:$E$3001,$B375,'Per Line'!$AP$2:$AP$3001,1,'Per Line'!$AQ$2:$AQ$3001,0))</f>
        <v/>
      </c>
      <c r="Y375" s="7">
        <f>IF($AD375="","",X375*W375)</f>
        <v/>
      </c>
      <c r="Z375" s="7">
        <f>IF($AD375="","",Y375+V375)</f>
        <v/>
      </c>
      <c r="AA375" s="7">
        <f>IF($AD375="","",AB375-Z375)</f>
        <v/>
      </c>
      <c r="AB375" s="7">
        <f>IF($AD375="","",U375+X375+S375)</f>
        <v/>
      </c>
      <c r="AC375" s="7">
        <f>IF($AD375="","",AB375-Z375-P375)</f>
        <v/>
      </c>
      <c r="AD375" s="13">
        <f>IF(ROWS($AD$2:$AD375)&lt;=MAX('Per Line'!$AO$2:$AO$3001),MATCH(ROWS($AD$2:$AD375),'Per Line'!$AO$2:$AO$3001,0),"")</f>
        <v/>
      </c>
      <c r="AE375" s="14">
        <f>IF($AD375="","",P375-O375*AB375/100)</f>
        <v/>
      </c>
    </row>
    <row r="376">
      <c r="A376" s="12" t="n"/>
      <c r="B376">
        <f>IF($AD376="","",INDEX('Per Line'!$E$2:$E$3001,$AD376)&amp;"")</f>
        <v/>
      </c>
      <c r="C376">
        <f>IF($AD376="","",INDEX('Per Line'!$A$2:$A$3001,$AD376)&amp;"")</f>
        <v/>
      </c>
      <c r="D376">
        <f>IF($AD376="","",INDEX('Per Line'!$C$2:$C$3001,$AD376)&amp;"")</f>
        <v/>
      </c>
      <c r="E376">
        <f>IF($AD376="","",INDEX('Per Line'!$B$2:$B$3001,$AD376))</f>
        <v/>
      </c>
      <c r="F376">
        <f>IF($AD376="","",INDEX('Per Line'!$D$2:$D$3001,$AD376)&amp;"")</f>
        <v/>
      </c>
      <c r="G376" s="11">
        <f>IF($AD376="","",INDEX('Per Line'!$G$2:$G$3001,$AD376))</f>
        <v/>
      </c>
      <c r="H376">
        <f>IF($AD376="","",INDEX('Per Line'!$J$2:$J$3001,$AD376)&amp;"")</f>
        <v/>
      </c>
      <c r="I376">
        <f>IF($AD376="","",INDEX('Per Line'!$H$2:$H$3001,$AD376)&amp;"")</f>
        <v/>
      </c>
      <c r="J376">
        <f>IF($AD376="","",INDEX('Per Line'!$F$2:$F$3001,$AD376)&amp;"")</f>
        <v/>
      </c>
      <c r="K376">
        <f>IF($AD376="","",INDEX('Per Line'!$K$2:$K$3001,$AD376)&amp;"")</f>
        <v/>
      </c>
      <c r="L376">
        <f>IF($AD376="","",INDEX('Per Line'!$L$2:$L$3001,$AD376)&amp;"")</f>
        <v/>
      </c>
      <c r="M376">
        <f>IF($AD376="","",INDEX('Per Line'!$M$2:$M$3001,$AD376)&amp;"")</f>
        <v/>
      </c>
      <c r="N376">
        <f>IF($AD376="","",INDEX('Per Line'!$AC$2:$AC$3001,$AD376)&amp;"")</f>
        <v/>
      </c>
      <c r="O376">
        <f>IF($AD376="","",INDEX('Per Line'!$P$2:$P$3001,$AD376))</f>
        <v/>
      </c>
      <c r="P376" s="7">
        <f>IF($AD376="","",IF(AND(ISNUMBER(Q376),Q376&gt;0,AB376&gt;Q376),O376*Q376/100+(AB376-Q376),O376*AB376/100))</f>
        <v/>
      </c>
      <c r="Q376">
        <f>IF($AD376="","",INDEX('Per Line'!$AG$2:$AG$3001,$AD376))</f>
        <v/>
      </c>
      <c r="R376">
        <f>IF($AD376="","",IF(AND(ISNUMBER(Q376),Q376&gt;0),AB376&gt;Q376,FALSE))</f>
        <v/>
      </c>
      <c r="S376" s="7">
        <f>IF($AD376="","",SUMIFS('Per Line'!$AB$2:$AB$3001,'Per Line'!$E$2:$E$3001,$B376,'Per Line'!$AQ$2:$AQ$3001,1))</f>
        <v/>
      </c>
      <c r="T376">
        <f>IF($AD376="","",Settings!$C$7)</f>
        <v/>
      </c>
      <c r="U376" s="7">
        <f>IF($AD376="","",SUMIFS('Per Line'!$AB$2:$AB$3001,'Per Line'!$E$2:$E$3001,$B376,'Per Line'!$AP$2:$AP$3001,0,'Per Line'!$AQ$2:$AQ$3001,0))</f>
        <v/>
      </c>
      <c r="V376" s="7">
        <f>IF($AD376="","",U376*T376)</f>
        <v/>
      </c>
      <c r="W376">
        <f>IF($AD376="","",Settings!$C$6)</f>
        <v/>
      </c>
      <c r="X376" s="7">
        <f>IF($AD376="","",SUMIFS('Per Line'!$AB$2:$AB$3001,'Per Line'!$E$2:$E$3001,$B376,'Per Line'!$AP$2:$AP$3001,1,'Per Line'!$AQ$2:$AQ$3001,0))</f>
        <v/>
      </c>
      <c r="Y376" s="7">
        <f>IF($AD376="","",X376*W376)</f>
        <v/>
      </c>
      <c r="Z376" s="7">
        <f>IF($AD376="","",Y376+V376)</f>
        <v/>
      </c>
      <c r="AA376" s="7">
        <f>IF($AD376="","",AB376-Z376)</f>
        <v/>
      </c>
      <c r="AB376" s="7">
        <f>IF($AD376="","",U376+X376+S376)</f>
        <v/>
      </c>
      <c r="AC376" s="7">
        <f>IF($AD376="","",AB376-Z376-P376)</f>
        <v/>
      </c>
      <c r="AD376" s="13">
        <f>IF(ROWS($AD$2:$AD376)&lt;=MAX('Per Line'!$AO$2:$AO$3001),MATCH(ROWS($AD$2:$AD376),'Per Line'!$AO$2:$AO$3001,0),"")</f>
        <v/>
      </c>
      <c r="AE376" s="14">
        <f>IF($AD376="","",P376-O376*AB376/100)</f>
        <v/>
      </c>
    </row>
    <row r="377">
      <c r="A377" s="12" t="n"/>
      <c r="B377">
        <f>IF($AD377="","",INDEX('Per Line'!$E$2:$E$3001,$AD377)&amp;"")</f>
        <v/>
      </c>
      <c r="C377">
        <f>IF($AD377="","",INDEX('Per Line'!$A$2:$A$3001,$AD377)&amp;"")</f>
        <v/>
      </c>
      <c r="D377">
        <f>IF($AD377="","",INDEX('Per Line'!$C$2:$C$3001,$AD377)&amp;"")</f>
        <v/>
      </c>
      <c r="E377">
        <f>IF($AD377="","",INDEX('Per Line'!$B$2:$B$3001,$AD377))</f>
        <v/>
      </c>
      <c r="F377">
        <f>IF($AD377="","",INDEX('Per Line'!$D$2:$D$3001,$AD377)&amp;"")</f>
        <v/>
      </c>
      <c r="G377" s="11">
        <f>IF($AD377="","",INDEX('Per Line'!$G$2:$G$3001,$AD377))</f>
        <v/>
      </c>
      <c r="H377">
        <f>IF($AD377="","",INDEX('Per Line'!$J$2:$J$3001,$AD377)&amp;"")</f>
        <v/>
      </c>
      <c r="I377">
        <f>IF($AD377="","",INDEX('Per Line'!$H$2:$H$3001,$AD377)&amp;"")</f>
        <v/>
      </c>
      <c r="J377">
        <f>IF($AD377="","",INDEX('Per Line'!$F$2:$F$3001,$AD377)&amp;"")</f>
        <v/>
      </c>
      <c r="K377">
        <f>IF($AD377="","",INDEX('Per Line'!$K$2:$K$3001,$AD377)&amp;"")</f>
        <v/>
      </c>
      <c r="L377">
        <f>IF($AD377="","",INDEX('Per Line'!$L$2:$L$3001,$AD377)&amp;"")</f>
        <v/>
      </c>
      <c r="M377">
        <f>IF($AD377="","",INDEX('Per Line'!$M$2:$M$3001,$AD377)&amp;"")</f>
        <v/>
      </c>
      <c r="N377">
        <f>IF($AD377="","",INDEX('Per Line'!$AC$2:$AC$3001,$AD377)&amp;"")</f>
        <v/>
      </c>
      <c r="O377">
        <f>IF($AD377="","",INDEX('Per Line'!$P$2:$P$3001,$AD377))</f>
        <v/>
      </c>
      <c r="P377" s="7">
        <f>IF($AD377="","",IF(AND(ISNUMBER(Q377),Q377&gt;0,AB377&gt;Q377),O377*Q377/100+(AB377-Q377),O377*AB377/100))</f>
        <v/>
      </c>
      <c r="Q377">
        <f>IF($AD377="","",INDEX('Per Line'!$AG$2:$AG$3001,$AD377))</f>
        <v/>
      </c>
      <c r="R377">
        <f>IF($AD377="","",IF(AND(ISNUMBER(Q377),Q377&gt;0),AB377&gt;Q377,FALSE))</f>
        <v/>
      </c>
      <c r="S377" s="7">
        <f>IF($AD377="","",SUMIFS('Per Line'!$AB$2:$AB$3001,'Per Line'!$E$2:$E$3001,$B377,'Per Line'!$AQ$2:$AQ$3001,1))</f>
        <v/>
      </c>
      <c r="T377">
        <f>IF($AD377="","",Settings!$C$7)</f>
        <v/>
      </c>
      <c r="U377" s="7">
        <f>IF($AD377="","",SUMIFS('Per Line'!$AB$2:$AB$3001,'Per Line'!$E$2:$E$3001,$B377,'Per Line'!$AP$2:$AP$3001,0,'Per Line'!$AQ$2:$AQ$3001,0))</f>
        <v/>
      </c>
      <c r="V377" s="7">
        <f>IF($AD377="","",U377*T377)</f>
        <v/>
      </c>
      <c r="W377">
        <f>IF($AD377="","",Settings!$C$6)</f>
        <v/>
      </c>
      <c r="X377" s="7">
        <f>IF($AD377="","",SUMIFS('Per Line'!$AB$2:$AB$3001,'Per Line'!$E$2:$E$3001,$B377,'Per Line'!$AP$2:$AP$3001,1,'Per Line'!$AQ$2:$AQ$3001,0))</f>
        <v/>
      </c>
      <c r="Y377" s="7">
        <f>IF($AD377="","",X377*W377)</f>
        <v/>
      </c>
      <c r="Z377" s="7">
        <f>IF($AD377="","",Y377+V377)</f>
        <v/>
      </c>
      <c r="AA377" s="7">
        <f>IF($AD377="","",AB377-Z377)</f>
        <v/>
      </c>
      <c r="AB377" s="7">
        <f>IF($AD377="","",U377+X377+S377)</f>
        <v/>
      </c>
      <c r="AC377" s="7">
        <f>IF($AD377="","",AB377-Z377-P377)</f>
        <v/>
      </c>
      <c r="AD377" s="13">
        <f>IF(ROWS($AD$2:$AD377)&lt;=MAX('Per Line'!$AO$2:$AO$3001),MATCH(ROWS($AD$2:$AD377),'Per Line'!$AO$2:$AO$3001,0),"")</f>
        <v/>
      </c>
      <c r="AE377" s="14">
        <f>IF($AD377="","",P377-O377*AB377/100)</f>
        <v/>
      </c>
    </row>
    <row r="378">
      <c r="A378" s="12" t="n"/>
      <c r="B378">
        <f>IF($AD378="","",INDEX('Per Line'!$E$2:$E$3001,$AD378)&amp;"")</f>
        <v/>
      </c>
      <c r="C378">
        <f>IF($AD378="","",INDEX('Per Line'!$A$2:$A$3001,$AD378)&amp;"")</f>
        <v/>
      </c>
      <c r="D378">
        <f>IF($AD378="","",INDEX('Per Line'!$C$2:$C$3001,$AD378)&amp;"")</f>
        <v/>
      </c>
      <c r="E378">
        <f>IF($AD378="","",INDEX('Per Line'!$B$2:$B$3001,$AD378))</f>
        <v/>
      </c>
      <c r="F378">
        <f>IF($AD378="","",INDEX('Per Line'!$D$2:$D$3001,$AD378)&amp;"")</f>
        <v/>
      </c>
      <c r="G378" s="11">
        <f>IF($AD378="","",INDEX('Per Line'!$G$2:$G$3001,$AD378))</f>
        <v/>
      </c>
      <c r="H378">
        <f>IF($AD378="","",INDEX('Per Line'!$J$2:$J$3001,$AD378)&amp;"")</f>
        <v/>
      </c>
      <c r="I378">
        <f>IF($AD378="","",INDEX('Per Line'!$H$2:$H$3001,$AD378)&amp;"")</f>
        <v/>
      </c>
      <c r="J378">
        <f>IF($AD378="","",INDEX('Per Line'!$F$2:$F$3001,$AD378)&amp;"")</f>
        <v/>
      </c>
      <c r="K378">
        <f>IF($AD378="","",INDEX('Per Line'!$K$2:$K$3001,$AD378)&amp;"")</f>
        <v/>
      </c>
      <c r="L378">
        <f>IF($AD378="","",INDEX('Per Line'!$L$2:$L$3001,$AD378)&amp;"")</f>
        <v/>
      </c>
      <c r="M378">
        <f>IF($AD378="","",INDEX('Per Line'!$M$2:$M$3001,$AD378)&amp;"")</f>
        <v/>
      </c>
      <c r="N378">
        <f>IF($AD378="","",INDEX('Per Line'!$AC$2:$AC$3001,$AD378)&amp;"")</f>
        <v/>
      </c>
      <c r="O378">
        <f>IF($AD378="","",INDEX('Per Line'!$P$2:$P$3001,$AD378))</f>
        <v/>
      </c>
      <c r="P378" s="7">
        <f>IF($AD378="","",IF(AND(ISNUMBER(Q378),Q378&gt;0,AB378&gt;Q378),O378*Q378/100+(AB378-Q378),O378*AB378/100))</f>
        <v/>
      </c>
      <c r="Q378">
        <f>IF($AD378="","",INDEX('Per Line'!$AG$2:$AG$3001,$AD378))</f>
        <v/>
      </c>
      <c r="R378">
        <f>IF($AD378="","",IF(AND(ISNUMBER(Q378),Q378&gt;0),AB378&gt;Q378,FALSE))</f>
        <v/>
      </c>
      <c r="S378" s="7">
        <f>IF($AD378="","",SUMIFS('Per Line'!$AB$2:$AB$3001,'Per Line'!$E$2:$E$3001,$B378,'Per Line'!$AQ$2:$AQ$3001,1))</f>
        <v/>
      </c>
      <c r="T378">
        <f>IF($AD378="","",Settings!$C$7)</f>
        <v/>
      </c>
      <c r="U378" s="7">
        <f>IF($AD378="","",SUMIFS('Per Line'!$AB$2:$AB$3001,'Per Line'!$E$2:$E$3001,$B378,'Per Line'!$AP$2:$AP$3001,0,'Per Line'!$AQ$2:$AQ$3001,0))</f>
        <v/>
      </c>
      <c r="V378" s="7">
        <f>IF($AD378="","",U378*T378)</f>
        <v/>
      </c>
      <c r="W378">
        <f>IF($AD378="","",Settings!$C$6)</f>
        <v/>
      </c>
      <c r="X378" s="7">
        <f>IF($AD378="","",SUMIFS('Per Line'!$AB$2:$AB$3001,'Per Line'!$E$2:$E$3001,$B378,'Per Line'!$AP$2:$AP$3001,1,'Per Line'!$AQ$2:$AQ$3001,0))</f>
        <v/>
      </c>
      <c r="Y378" s="7">
        <f>IF($AD378="","",X378*W378)</f>
        <v/>
      </c>
      <c r="Z378" s="7">
        <f>IF($AD378="","",Y378+V378)</f>
        <v/>
      </c>
      <c r="AA378" s="7">
        <f>IF($AD378="","",AB378-Z378)</f>
        <v/>
      </c>
      <c r="AB378" s="7">
        <f>IF($AD378="","",U378+X378+S378)</f>
        <v/>
      </c>
      <c r="AC378" s="7">
        <f>IF($AD378="","",AB378-Z378-P378)</f>
        <v/>
      </c>
      <c r="AD378" s="13">
        <f>IF(ROWS($AD$2:$AD378)&lt;=MAX('Per Line'!$AO$2:$AO$3001),MATCH(ROWS($AD$2:$AD378),'Per Line'!$AO$2:$AO$3001,0),"")</f>
        <v/>
      </c>
      <c r="AE378" s="14">
        <f>IF($AD378="","",P378-O378*AB378/100)</f>
        <v/>
      </c>
    </row>
    <row r="379">
      <c r="A379" s="12" t="n"/>
      <c r="B379">
        <f>IF($AD379="","",INDEX('Per Line'!$E$2:$E$3001,$AD379)&amp;"")</f>
        <v/>
      </c>
      <c r="C379">
        <f>IF($AD379="","",INDEX('Per Line'!$A$2:$A$3001,$AD379)&amp;"")</f>
        <v/>
      </c>
      <c r="D379">
        <f>IF($AD379="","",INDEX('Per Line'!$C$2:$C$3001,$AD379)&amp;"")</f>
        <v/>
      </c>
      <c r="E379">
        <f>IF($AD379="","",INDEX('Per Line'!$B$2:$B$3001,$AD379))</f>
        <v/>
      </c>
      <c r="F379">
        <f>IF($AD379="","",INDEX('Per Line'!$D$2:$D$3001,$AD379)&amp;"")</f>
        <v/>
      </c>
      <c r="G379" s="11">
        <f>IF($AD379="","",INDEX('Per Line'!$G$2:$G$3001,$AD379))</f>
        <v/>
      </c>
      <c r="H379">
        <f>IF($AD379="","",INDEX('Per Line'!$J$2:$J$3001,$AD379)&amp;"")</f>
        <v/>
      </c>
      <c r="I379">
        <f>IF($AD379="","",INDEX('Per Line'!$H$2:$H$3001,$AD379)&amp;"")</f>
        <v/>
      </c>
      <c r="J379">
        <f>IF($AD379="","",INDEX('Per Line'!$F$2:$F$3001,$AD379)&amp;"")</f>
        <v/>
      </c>
      <c r="K379">
        <f>IF($AD379="","",INDEX('Per Line'!$K$2:$K$3001,$AD379)&amp;"")</f>
        <v/>
      </c>
      <c r="L379">
        <f>IF($AD379="","",INDEX('Per Line'!$L$2:$L$3001,$AD379)&amp;"")</f>
        <v/>
      </c>
      <c r="M379">
        <f>IF($AD379="","",INDEX('Per Line'!$M$2:$M$3001,$AD379)&amp;"")</f>
        <v/>
      </c>
      <c r="N379">
        <f>IF($AD379="","",INDEX('Per Line'!$AC$2:$AC$3001,$AD379)&amp;"")</f>
        <v/>
      </c>
      <c r="O379">
        <f>IF($AD379="","",INDEX('Per Line'!$P$2:$P$3001,$AD379))</f>
        <v/>
      </c>
      <c r="P379" s="7">
        <f>IF($AD379="","",IF(AND(ISNUMBER(Q379),Q379&gt;0,AB379&gt;Q379),O379*Q379/100+(AB379-Q379),O379*AB379/100))</f>
        <v/>
      </c>
      <c r="Q379">
        <f>IF($AD379="","",INDEX('Per Line'!$AG$2:$AG$3001,$AD379))</f>
        <v/>
      </c>
      <c r="R379">
        <f>IF($AD379="","",IF(AND(ISNUMBER(Q379),Q379&gt;0),AB379&gt;Q379,FALSE))</f>
        <v/>
      </c>
      <c r="S379" s="7">
        <f>IF($AD379="","",SUMIFS('Per Line'!$AB$2:$AB$3001,'Per Line'!$E$2:$E$3001,$B379,'Per Line'!$AQ$2:$AQ$3001,1))</f>
        <v/>
      </c>
      <c r="T379">
        <f>IF($AD379="","",Settings!$C$7)</f>
        <v/>
      </c>
      <c r="U379" s="7">
        <f>IF($AD379="","",SUMIFS('Per Line'!$AB$2:$AB$3001,'Per Line'!$E$2:$E$3001,$B379,'Per Line'!$AP$2:$AP$3001,0,'Per Line'!$AQ$2:$AQ$3001,0))</f>
        <v/>
      </c>
      <c r="V379" s="7">
        <f>IF($AD379="","",U379*T379)</f>
        <v/>
      </c>
      <c r="W379">
        <f>IF($AD379="","",Settings!$C$6)</f>
        <v/>
      </c>
      <c r="X379" s="7">
        <f>IF($AD379="","",SUMIFS('Per Line'!$AB$2:$AB$3001,'Per Line'!$E$2:$E$3001,$B379,'Per Line'!$AP$2:$AP$3001,1,'Per Line'!$AQ$2:$AQ$3001,0))</f>
        <v/>
      </c>
      <c r="Y379" s="7">
        <f>IF($AD379="","",X379*W379)</f>
        <v/>
      </c>
      <c r="Z379" s="7">
        <f>IF($AD379="","",Y379+V379)</f>
        <v/>
      </c>
      <c r="AA379" s="7">
        <f>IF($AD379="","",AB379-Z379)</f>
        <v/>
      </c>
      <c r="AB379" s="7">
        <f>IF($AD379="","",U379+X379+S379)</f>
        <v/>
      </c>
      <c r="AC379" s="7">
        <f>IF($AD379="","",AB379-Z379-P379)</f>
        <v/>
      </c>
      <c r="AD379" s="13">
        <f>IF(ROWS($AD$2:$AD379)&lt;=MAX('Per Line'!$AO$2:$AO$3001),MATCH(ROWS($AD$2:$AD379),'Per Line'!$AO$2:$AO$3001,0),"")</f>
        <v/>
      </c>
      <c r="AE379" s="14">
        <f>IF($AD379="","",P379-O379*AB379/100)</f>
        <v/>
      </c>
    </row>
    <row r="380">
      <c r="A380" s="12" t="n"/>
      <c r="B380">
        <f>IF($AD380="","",INDEX('Per Line'!$E$2:$E$3001,$AD380)&amp;"")</f>
        <v/>
      </c>
      <c r="C380">
        <f>IF($AD380="","",INDEX('Per Line'!$A$2:$A$3001,$AD380)&amp;"")</f>
        <v/>
      </c>
      <c r="D380">
        <f>IF($AD380="","",INDEX('Per Line'!$C$2:$C$3001,$AD380)&amp;"")</f>
        <v/>
      </c>
      <c r="E380">
        <f>IF($AD380="","",INDEX('Per Line'!$B$2:$B$3001,$AD380))</f>
        <v/>
      </c>
      <c r="F380">
        <f>IF($AD380="","",INDEX('Per Line'!$D$2:$D$3001,$AD380)&amp;"")</f>
        <v/>
      </c>
      <c r="G380" s="11">
        <f>IF($AD380="","",INDEX('Per Line'!$G$2:$G$3001,$AD380))</f>
        <v/>
      </c>
      <c r="H380">
        <f>IF($AD380="","",INDEX('Per Line'!$J$2:$J$3001,$AD380)&amp;"")</f>
        <v/>
      </c>
      <c r="I380">
        <f>IF($AD380="","",INDEX('Per Line'!$H$2:$H$3001,$AD380)&amp;"")</f>
        <v/>
      </c>
      <c r="J380">
        <f>IF($AD380="","",INDEX('Per Line'!$F$2:$F$3001,$AD380)&amp;"")</f>
        <v/>
      </c>
      <c r="K380">
        <f>IF($AD380="","",INDEX('Per Line'!$K$2:$K$3001,$AD380)&amp;"")</f>
        <v/>
      </c>
      <c r="L380">
        <f>IF($AD380="","",INDEX('Per Line'!$L$2:$L$3001,$AD380)&amp;"")</f>
        <v/>
      </c>
      <c r="M380">
        <f>IF($AD380="","",INDEX('Per Line'!$M$2:$M$3001,$AD380)&amp;"")</f>
        <v/>
      </c>
      <c r="N380">
        <f>IF($AD380="","",INDEX('Per Line'!$AC$2:$AC$3001,$AD380)&amp;"")</f>
        <v/>
      </c>
      <c r="O380">
        <f>IF($AD380="","",INDEX('Per Line'!$P$2:$P$3001,$AD380))</f>
        <v/>
      </c>
      <c r="P380" s="7">
        <f>IF($AD380="","",IF(AND(ISNUMBER(Q380),Q380&gt;0,AB380&gt;Q380),O380*Q380/100+(AB380-Q380),O380*AB380/100))</f>
        <v/>
      </c>
      <c r="Q380">
        <f>IF($AD380="","",INDEX('Per Line'!$AG$2:$AG$3001,$AD380))</f>
        <v/>
      </c>
      <c r="R380">
        <f>IF($AD380="","",IF(AND(ISNUMBER(Q380),Q380&gt;0),AB380&gt;Q380,FALSE))</f>
        <v/>
      </c>
      <c r="S380" s="7">
        <f>IF($AD380="","",SUMIFS('Per Line'!$AB$2:$AB$3001,'Per Line'!$E$2:$E$3001,$B380,'Per Line'!$AQ$2:$AQ$3001,1))</f>
        <v/>
      </c>
      <c r="T380">
        <f>IF($AD380="","",Settings!$C$7)</f>
        <v/>
      </c>
      <c r="U380" s="7">
        <f>IF($AD380="","",SUMIFS('Per Line'!$AB$2:$AB$3001,'Per Line'!$E$2:$E$3001,$B380,'Per Line'!$AP$2:$AP$3001,0,'Per Line'!$AQ$2:$AQ$3001,0))</f>
        <v/>
      </c>
      <c r="V380" s="7">
        <f>IF($AD380="","",U380*T380)</f>
        <v/>
      </c>
      <c r="W380">
        <f>IF($AD380="","",Settings!$C$6)</f>
        <v/>
      </c>
      <c r="X380" s="7">
        <f>IF($AD380="","",SUMIFS('Per Line'!$AB$2:$AB$3001,'Per Line'!$E$2:$E$3001,$B380,'Per Line'!$AP$2:$AP$3001,1,'Per Line'!$AQ$2:$AQ$3001,0))</f>
        <v/>
      </c>
      <c r="Y380" s="7">
        <f>IF($AD380="","",X380*W380)</f>
        <v/>
      </c>
      <c r="Z380" s="7">
        <f>IF($AD380="","",Y380+V380)</f>
        <v/>
      </c>
      <c r="AA380" s="7">
        <f>IF($AD380="","",AB380-Z380)</f>
        <v/>
      </c>
      <c r="AB380" s="7">
        <f>IF($AD380="","",U380+X380+S380)</f>
        <v/>
      </c>
      <c r="AC380" s="7">
        <f>IF($AD380="","",AB380-Z380-P380)</f>
        <v/>
      </c>
      <c r="AD380" s="13">
        <f>IF(ROWS($AD$2:$AD380)&lt;=MAX('Per Line'!$AO$2:$AO$3001),MATCH(ROWS($AD$2:$AD380),'Per Line'!$AO$2:$AO$3001,0),"")</f>
        <v/>
      </c>
      <c r="AE380" s="14">
        <f>IF($AD380="","",P380-O380*AB380/100)</f>
        <v/>
      </c>
    </row>
    <row r="381">
      <c r="A381" s="12" t="n"/>
      <c r="B381">
        <f>IF($AD381="","",INDEX('Per Line'!$E$2:$E$3001,$AD381)&amp;"")</f>
        <v/>
      </c>
      <c r="C381">
        <f>IF($AD381="","",INDEX('Per Line'!$A$2:$A$3001,$AD381)&amp;"")</f>
        <v/>
      </c>
      <c r="D381">
        <f>IF($AD381="","",INDEX('Per Line'!$C$2:$C$3001,$AD381)&amp;"")</f>
        <v/>
      </c>
      <c r="E381">
        <f>IF($AD381="","",INDEX('Per Line'!$B$2:$B$3001,$AD381))</f>
        <v/>
      </c>
      <c r="F381">
        <f>IF($AD381="","",INDEX('Per Line'!$D$2:$D$3001,$AD381)&amp;"")</f>
        <v/>
      </c>
      <c r="G381" s="11">
        <f>IF($AD381="","",INDEX('Per Line'!$G$2:$G$3001,$AD381))</f>
        <v/>
      </c>
      <c r="H381">
        <f>IF($AD381="","",INDEX('Per Line'!$J$2:$J$3001,$AD381)&amp;"")</f>
        <v/>
      </c>
      <c r="I381">
        <f>IF($AD381="","",INDEX('Per Line'!$H$2:$H$3001,$AD381)&amp;"")</f>
        <v/>
      </c>
      <c r="J381">
        <f>IF($AD381="","",INDEX('Per Line'!$F$2:$F$3001,$AD381)&amp;"")</f>
        <v/>
      </c>
      <c r="K381">
        <f>IF($AD381="","",INDEX('Per Line'!$K$2:$K$3001,$AD381)&amp;"")</f>
        <v/>
      </c>
      <c r="L381">
        <f>IF($AD381="","",INDEX('Per Line'!$L$2:$L$3001,$AD381)&amp;"")</f>
        <v/>
      </c>
      <c r="M381">
        <f>IF($AD381="","",INDEX('Per Line'!$M$2:$M$3001,$AD381)&amp;"")</f>
        <v/>
      </c>
      <c r="N381">
        <f>IF($AD381="","",INDEX('Per Line'!$AC$2:$AC$3001,$AD381)&amp;"")</f>
        <v/>
      </c>
      <c r="O381">
        <f>IF($AD381="","",INDEX('Per Line'!$P$2:$P$3001,$AD381))</f>
        <v/>
      </c>
      <c r="P381" s="7">
        <f>IF($AD381="","",IF(AND(ISNUMBER(Q381),Q381&gt;0,AB381&gt;Q381),O381*Q381/100+(AB381-Q381),O381*AB381/100))</f>
        <v/>
      </c>
      <c r="Q381">
        <f>IF($AD381="","",INDEX('Per Line'!$AG$2:$AG$3001,$AD381))</f>
        <v/>
      </c>
      <c r="R381">
        <f>IF($AD381="","",IF(AND(ISNUMBER(Q381),Q381&gt;0),AB381&gt;Q381,FALSE))</f>
        <v/>
      </c>
      <c r="S381" s="7">
        <f>IF($AD381="","",SUMIFS('Per Line'!$AB$2:$AB$3001,'Per Line'!$E$2:$E$3001,$B381,'Per Line'!$AQ$2:$AQ$3001,1))</f>
        <v/>
      </c>
      <c r="T381">
        <f>IF($AD381="","",Settings!$C$7)</f>
        <v/>
      </c>
      <c r="U381" s="7">
        <f>IF($AD381="","",SUMIFS('Per Line'!$AB$2:$AB$3001,'Per Line'!$E$2:$E$3001,$B381,'Per Line'!$AP$2:$AP$3001,0,'Per Line'!$AQ$2:$AQ$3001,0))</f>
        <v/>
      </c>
      <c r="V381" s="7">
        <f>IF($AD381="","",U381*T381)</f>
        <v/>
      </c>
      <c r="W381">
        <f>IF($AD381="","",Settings!$C$6)</f>
        <v/>
      </c>
      <c r="X381" s="7">
        <f>IF($AD381="","",SUMIFS('Per Line'!$AB$2:$AB$3001,'Per Line'!$E$2:$E$3001,$B381,'Per Line'!$AP$2:$AP$3001,1,'Per Line'!$AQ$2:$AQ$3001,0))</f>
        <v/>
      </c>
      <c r="Y381" s="7">
        <f>IF($AD381="","",X381*W381)</f>
        <v/>
      </c>
      <c r="Z381" s="7">
        <f>IF($AD381="","",Y381+V381)</f>
        <v/>
      </c>
      <c r="AA381" s="7">
        <f>IF($AD381="","",AB381-Z381)</f>
        <v/>
      </c>
      <c r="AB381" s="7">
        <f>IF($AD381="","",U381+X381+S381)</f>
        <v/>
      </c>
      <c r="AC381" s="7">
        <f>IF($AD381="","",AB381-Z381-P381)</f>
        <v/>
      </c>
      <c r="AD381" s="13">
        <f>IF(ROWS($AD$2:$AD381)&lt;=MAX('Per Line'!$AO$2:$AO$3001),MATCH(ROWS($AD$2:$AD381),'Per Line'!$AO$2:$AO$3001,0),"")</f>
        <v/>
      </c>
      <c r="AE381" s="14">
        <f>IF($AD381="","",P381-O381*AB381/100)</f>
        <v/>
      </c>
    </row>
    <row r="382">
      <c r="A382" s="12" t="n"/>
      <c r="B382">
        <f>IF($AD382="","",INDEX('Per Line'!$E$2:$E$3001,$AD382)&amp;"")</f>
        <v/>
      </c>
      <c r="C382">
        <f>IF($AD382="","",INDEX('Per Line'!$A$2:$A$3001,$AD382)&amp;"")</f>
        <v/>
      </c>
      <c r="D382">
        <f>IF($AD382="","",INDEX('Per Line'!$C$2:$C$3001,$AD382)&amp;"")</f>
        <v/>
      </c>
      <c r="E382">
        <f>IF($AD382="","",INDEX('Per Line'!$B$2:$B$3001,$AD382))</f>
        <v/>
      </c>
      <c r="F382">
        <f>IF($AD382="","",INDEX('Per Line'!$D$2:$D$3001,$AD382)&amp;"")</f>
        <v/>
      </c>
      <c r="G382" s="11">
        <f>IF($AD382="","",INDEX('Per Line'!$G$2:$G$3001,$AD382))</f>
        <v/>
      </c>
      <c r="H382">
        <f>IF($AD382="","",INDEX('Per Line'!$J$2:$J$3001,$AD382)&amp;"")</f>
        <v/>
      </c>
      <c r="I382">
        <f>IF($AD382="","",INDEX('Per Line'!$H$2:$H$3001,$AD382)&amp;"")</f>
        <v/>
      </c>
      <c r="J382">
        <f>IF($AD382="","",INDEX('Per Line'!$F$2:$F$3001,$AD382)&amp;"")</f>
        <v/>
      </c>
      <c r="K382">
        <f>IF($AD382="","",INDEX('Per Line'!$K$2:$K$3001,$AD382)&amp;"")</f>
        <v/>
      </c>
      <c r="L382">
        <f>IF($AD382="","",INDEX('Per Line'!$L$2:$L$3001,$AD382)&amp;"")</f>
        <v/>
      </c>
      <c r="M382">
        <f>IF($AD382="","",INDEX('Per Line'!$M$2:$M$3001,$AD382)&amp;"")</f>
        <v/>
      </c>
      <c r="N382">
        <f>IF($AD382="","",INDEX('Per Line'!$AC$2:$AC$3001,$AD382)&amp;"")</f>
        <v/>
      </c>
      <c r="O382">
        <f>IF($AD382="","",INDEX('Per Line'!$P$2:$P$3001,$AD382))</f>
        <v/>
      </c>
      <c r="P382" s="7">
        <f>IF($AD382="","",IF(AND(ISNUMBER(Q382),Q382&gt;0,AB382&gt;Q382),O382*Q382/100+(AB382-Q382),O382*AB382/100))</f>
        <v/>
      </c>
      <c r="Q382">
        <f>IF($AD382="","",INDEX('Per Line'!$AG$2:$AG$3001,$AD382))</f>
        <v/>
      </c>
      <c r="R382">
        <f>IF($AD382="","",IF(AND(ISNUMBER(Q382),Q382&gt;0),AB382&gt;Q382,FALSE))</f>
        <v/>
      </c>
      <c r="S382" s="7">
        <f>IF($AD382="","",SUMIFS('Per Line'!$AB$2:$AB$3001,'Per Line'!$E$2:$E$3001,$B382,'Per Line'!$AQ$2:$AQ$3001,1))</f>
        <v/>
      </c>
      <c r="T382">
        <f>IF($AD382="","",Settings!$C$7)</f>
        <v/>
      </c>
      <c r="U382" s="7">
        <f>IF($AD382="","",SUMIFS('Per Line'!$AB$2:$AB$3001,'Per Line'!$E$2:$E$3001,$B382,'Per Line'!$AP$2:$AP$3001,0,'Per Line'!$AQ$2:$AQ$3001,0))</f>
        <v/>
      </c>
      <c r="V382" s="7">
        <f>IF($AD382="","",U382*T382)</f>
        <v/>
      </c>
      <c r="W382">
        <f>IF($AD382="","",Settings!$C$6)</f>
        <v/>
      </c>
      <c r="X382" s="7">
        <f>IF($AD382="","",SUMIFS('Per Line'!$AB$2:$AB$3001,'Per Line'!$E$2:$E$3001,$B382,'Per Line'!$AP$2:$AP$3001,1,'Per Line'!$AQ$2:$AQ$3001,0))</f>
        <v/>
      </c>
      <c r="Y382" s="7">
        <f>IF($AD382="","",X382*W382)</f>
        <v/>
      </c>
      <c r="Z382" s="7">
        <f>IF($AD382="","",Y382+V382)</f>
        <v/>
      </c>
      <c r="AA382" s="7">
        <f>IF($AD382="","",AB382-Z382)</f>
        <v/>
      </c>
      <c r="AB382" s="7">
        <f>IF($AD382="","",U382+X382+S382)</f>
        <v/>
      </c>
      <c r="AC382" s="7">
        <f>IF($AD382="","",AB382-Z382-P382)</f>
        <v/>
      </c>
      <c r="AD382" s="13">
        <f>IF(ROWS($AD$2:$AD382)&lt;=MAX('Per Line'!$AO$2:$AO$3001),MATCH(ROWS($AD$2:$AD382),'Per Line'!$AO$2:$AO$3001,0),"")</f>
        <v/>
      </c>
      <c r="AE382" s="14">
        <f>IF($AD382="","",P382-O382*AB382/100)</f>
        <v/>
      </c>
    </row>
    <row r="383">
      <c r="A383" s="12" t="n"/>
      <c r="B383">
        <f>IF($AD383="","",INDEX('Per Line'!$E$2:$E$3001,$AD383)&amp;"")</f>
        <v/>
      </c>
      <c r="C383">
        <f>IF($AD383="","",INDEX('Per Line'!$A$2:$A$3001,$AD383)&amp;"")</f>
        <v/>
      </c>
      <c r="D383">
        <f>IF($AD383="","",INDEX('Per Line'!$C$2:$C$3001,$AD383)&amp;"")</f>
        <v/>
      </c>
      <c r="E383">
        <f>IF($AD383="","",INDEX('Per Line'!$B$2:$B$3001,$AD383))</f>
        <v/>
      </c>
      <c r="F383">
        <f>IF($AD383="","",INDEX('Per Line'!$D$2:$D$3001,$AD383)&amp;"")</f>
        <v/>
      </c>
      <c r="G383" s="11">
        <f>IF($AD383="","",INDEX('Per Line'!$G$2:$G$3001,$AD383))</f>
        <v/>
      </c>
      <c r="H383">
        <f>IF($AD383="","",INDEX('Per Line'!$J$2:$J$3001,$AD383)&amp;"")</f>
        <v/>
      </c>
      <c r="I383">
        <f>IF($AD383="","",INDEX('Per Line'!$H$2:$H$3001,$AD383)&amp;"")</f>
        <v/>
      </c>
      <c r="J383">
        <f>IF($AD383="","",INDEX('Per Line'!$F$2:$F$3001,$AD383)&amp;"")</f>
        <v/>
      </c>
      <c r="K383">
        <f>IF($AD383="","",INDEX('Per Line'!$K$2:$K$3001,$AD383)&amp;"")</f>
        <v/>
      </c>
      <c r="L383">
        <f>IF($AD383="","",INDEX('Per Line'!$L$2:$L$3001,$AD383)&amp;"")</f>
        <v/>
      </c>
      <c r="M383">
        <f>IF($AD383="","",INDEX('Per Line'!$M$2:$M$3001,$AD383)&amp;"")</f>
        <v/>
      </c>
      <c r="N383">
        <f>IF($AD383="","",INDEX('Per Line'!$AC$2:$AC$3001,$AD383)&amp;"")</f>
        <v/>
      </c>
      <c r="O383">
        <f>IF($AD383="","",INDEX('Per Line'!$P$2:$P$3001,$AD383))</f>
        <v/>
      </c>
      <c r="P383" s="7">
        <f>IF($AD383="","",IF(AND(ISNUMBER(Q383),Q383&gt;0,AB383&gt;Q383),O383*Q383/100+(AB383-Q383),O383*AB383/100))</f>
        <v/>
      </c>
      <c r="Q383">
        <f>IF($AD383="","",INDEX('Per Line'!$AG$2:$AG$3001,$AD383))</f>
        <v/>
      </c>
      <c r="R383">
        <f>IF($AD383="","",IF(AND(ISNUMBER(Q383),Q383&gt;0),AB383&gt;Q383,FALSE))</f>
        <v/>
      </c>
      <c r="S383" s="7">
        <f>IF($AD383="","",SUMIFS('Per Line'!$AB$2:$AB$3001,'Per Line'!$E$2:$E$3001,$B383,'Per Line'!$AQ$2:$AQ$3001,1))</f>
        <v/>
      </c>
      <c r="T383">
        <f>IF($AD383="","",Settings!$C$7)</f>
        <v/>
      </c>
      <c r="U383" s="7">
        <f>IF($AD383="","",SUMIFS('Per Line'!$AB$2:$AB$3001,'Per Line'!$E$2:$E$3001,$B383,'Per Line'!$AP$2:$AP$3001,0,'Per Line'!$AQ$2:$AQ$3001,0))</f>
        <v/>
      </c>
      <c r="V383" s="7">
        <f>IF($AD383="","",U383*T383)</f>
        <v/>
      </c>
      <c r="W383">
        <f>IF($AD383="","",Settings!$C$6)</f>
        <v/>
      </c>
      <c r="X383" s="7">
        <f>IF($AD383="","",SUMIFS('Per Line'!$AB$2:$AB$3001,'Per Line'!$E$2:$E$3001,$B383,'Per Line'!$AP$2:$AP$3001,1,'Per Line'!$AQ$2:$AQ$3001,0))</f>
        <v/>
      </c>
      <c r="Y383" s="7">
        <f>IF($AD383="","",X383*W383)</f>
        <v/>
      </c>
      <c r="Z383" s="7">
        <f>IF($AD383="","",Y383+V383)</f>
        <v/>
      </c>
      <c r="AA383" s="7">
        <f>IF($AD383="","",AB383-Z383)</f>
        <v/>
      </c>
      <c r="AB383" s="7">
        <f>IF($AD383="","",U383+X383+S383)</f>
        <v/>
      </c>
      <c r="AC383" s="7">
        <f>IF($AD383="","",AB383-Z383-P383)</f>
        <v/>
      </c>
      <c r="AD383" s="13">
        <f>IF(ROWS($AD$2:$AD383)&lt;=MAX('Per Line'!$AO$2:$AO$3001),MATCH(ROWS($AD$2:$AD383),'Per Line'!$AO$2:$AO$3001,0),"")</f>
        <v/>
      </c>
      <c r="AE383" s="14">
        <f>IF($AD383="","",P383-O383*AB383/100)</f>
        <v/>
      </c>
    </row>
    <row r="384">
      <c r="A384" s="12" t="n"/>
      <c r="B384">
        <f>IF($AD384="","",INDEX('Per Line'!$E$2:$E$3001,$AD384)&amp;"")</f>
        <v/>
      </c>
      <c r="C384">
        <f>IF($AD384="","",INDEX('Per Line'!$A$2:$A$3001,$AD384)&amp;"")</f>
        <v/>
      </c>
      <c r="D384">
        <f>IF($AD384="","",INDEX('Per Line'!$C$2:$C$3001,$AD384)&amp;"")</f>
        <v/>
      </c>
      <c r="E384">
        <f>IF($AD384="","",INDEX('Per Line'!$B$2:$B$3001,$AD384))</f>
        <v/>
      </c>
      <c r="F384">
        <f>IF($AD384="","",INDEX('Per Line'!$D$2:$D$3001,$AD384)&amp;"")</f>
        <v/>
      </c>
      <c r="G384" s="11">
        <f>IF($AD384="","",INDEX('Per Line'!$G$2:$G$3001,$AD384))</f>
        <v/>
      </c>
      <c r="H384">
        <f>IF($AD384="","",INDEX('Per Line'!$J$2:$J$3001,$AD384)&amp;"")</f>
        <v/>
      </c>
      <c r="I384">
        <f>IF($AD384="","",INDEX('Per Line'!$H$2:$H$3001,$AD384)&amp;"")</f>
        <v/>
      </c>
      <c r="J384">
        <f>IF($AD384="","",INDEX('Per Line'!$F$2:$F$3001,$AD384)&amp;"")</f>
        <v/>
      </c>
      <c r="K384">
        <f>IF($AD384="","",INDEX('Per Line'!$K$2:$K$3001,$AD384)&amp;"")</f>
        <v/>
      </c>
      <c r="L384">
        <f>IF($AD384="","",INDEX('Per Line'!$L$2:$L$3001,$AD384)&amp;"")</f>
        <v/>
      </c>
      <c r="M384">
        <f>IF($AD384="","",INDEX('Per Line'!$M$2:$M$3001,$AD384)&amp;"")</f>
        <v/>
      </c>
      <c r="N384">
        <f>IF($AD384="","",INDEX('Per Line'!$AC$2:$AC$3001,$AD384)&amp;"")</f>
        <v/>
      </c>
      <c r="O384">
        <f>IF($AD384="","",INDEX('Per Line'!$P$2:$P$3001,$AD384))</f>
        <v/>
      </c>
      <c r="P384" s="7">
        <f>IF($AD384="","",IF(AND(ISNUMBER(Q384),Q384&gt;0,AB384&gt;Q384),O384*Q384/100+(AB384-Q384),O384*AB384/100))</f>
        <v/>
      </c>
      <c r="Q384">
        <f>IF($AD384="","",INDEX('Per Line'!$AG$2:$AG$3001,$AD384))</f>
        <v/>
      </c>
      <c r="R384">
        <f>IF($AD384="","",IF(AND(ISNUMBER(Q384),Q384&gt;0),AB384&gt;Q384,FALSE))</f>
        <v/>
      </c>
      <c r="S384" s="7">
        <f>IF($AD384="","",SUMIFS('Per Line'!$AB$2:$AB$3001,'Per Line'!$E$2:$E$3001,$B384,'Per Line'!$AQ$2:$AQ$3001,1))</f>
        <v/>
      </c>
      <c r="T384">
        <f>IF($AD384="","",Settings!$C$7)</f>
        <v/>
      </c>
      <c r="U384" s="7">
        <f>IF($AD384="","",SUMIFS('Per Line'!$AB$2:$AB$3001,'Per Line'!$E$2:$E$3001,$B384,'Per Line'!$AP$2:$AP$3001,0,'Per Line'!$AQ$2:$AQ$3001,0))</f>
        <v/>
      </c>
      <c r="V384" s="7">
        <f>IF($AD384="","",U384*T384)</f>
        <v/>
      </c>
      <c r="W384">
        <f>IF($AD384="","",Settings!$C$6)</f>
        <v/>
      </c>
      <c r="X384" s="7">
        <f>IF($AD384="","",SUMIFS('Per Line'!$AB$2:$AB$3001,'Per Line'!$E$2:$E$3001,$B384,'Per Line'!$AP$2:$AP$3001,1,'Per Line'!$AQ$2:$AQ$3001,0))</f>
        <v/>
      </c>
      <c r="Y384" s="7">
        <f>IF($AD384="","",X384*W384)</f>
        <v/>
      </c>
      <c r="Z384" s="7">
        <f>IF($AD384="","",Y384+V384)</f>
        <v/>
      </c>
      <c r="AA384" s="7">
        <f>IF($AD384="","",AB384-Z384)</f>
        <v/>
      </c>
      <c r="AB384" s="7">
        <f>IF($AD384="","",U384+X384+S384)</f>
        <v/>
      </c>
      <c r="AC384" s="7">
        <f>IF($AD384="","",AB384-Z384-P384)</f>
        <v/>
      </c>
      <c r="AD384" s="13">
        <f>IF(ROWS($AD$2:$AD384)&lt;=MAX('Per Line'!$AO$2:$AO$3001),MATCH(ROWS($AD$2:$AD384),'Per Line'!$AO$2:$AO$3001,0),"")</f>
        <v/>
      </c>
      <c r="AE384" s="14">
        <f>IF($AD384="","",P384-O384*AB384/100)</f>
        <v/>
      </c>
    </row>
    <row r="385">
      <c r="A385" s="12" t="n"/>
      <c r="B385">
        <f>IF($AD385="","",INDEX('Per Line'!$E$2:$E$3001,$AD385)&amp;"")</f>
        <v/>
      </c>
      <c r="C385">
        <f>IF($AD385="","",INDEX('Per Line'!$A$2:$A$3001,$AD385)&amp;"")</f>
        <v/>
      </c>
      <c r="D385">
        <f>IF($AD385="","",INDEX('Per Line'!$C$2:$C$3001,$AD385)&amp;"")</f>
        <v/>
      </c>
      <c r="E385">
        <f>IF($AD385="","",INDEX('Per Line'!$B$2:$B$3001,$AD385))</f>
        <v/>
      </c>
      <c r="F385">
        <f>IF($AD385="","",INDEX('Per Line'!$D$2:$D$3001,$AD385)&amp;"")</f>
        <v/>
      </c>
      <c r="G385" s="11">
        <f>IF($AD385="","",INDEX('Per Line'!$G$2:$G$3001,$AD385))</f>
        <v/>
      </c>
      <c r="H385">
        <f>IF($AD385="","",INDEX('Per Line'!$J$2:$J$3001,$AD385)&amp;"")</f>
        <v/>
      </c>
      <c r="I385">
        <f>IF($AD385="","",INDEX('Per Line'!$H$2:$H$3001,$AD385)&amp;"")</f>
        <v/>
      </c>
      <c r="J385">
        <f>IF($AD385="","",INDEX('Per Line'!$F$2:$F$3001,$AD385)&amp;"")</f>
        <v/>
      </c>
      <c r="K385">
        <f>IF($AD385="","",INDEX('Per Line'!$K$2:$K$3001,$AD385)&amp;"")</f>
        <v/>
      </c>
      <c r="L385">
        <f>IF($AD385="","",INDEX('Per Line'!$L$2:$L$3001,$AD385)&amp;"")</f>
        <v/>
      </c>
      <c r="M385">
        <f>IF($AD385="","",INDEX('Per Line'!$M$2:$M$3001,$AD385)&amp;"")</f>
        <v/>
      </c>
      <c r="N385">
        <f>IF($AD385="","",INDEX('Per Line'!$AC$2:$AC$3001,$AD385)&amp;"")</f>
        <v/>
      </c>
      <c r="O385">
        <f>IF($AD385="","",INDEX('Per Line'!$P$2:$P$3001,$AD385))</f>
        <v/>
      </c>
      <c r="P385" s="7">
        <f>IF($AD385="","",IF(AND(ISNUMBER(Q385),Q385&gt;0,AB385&gt;Q385),O385*Q385/100+(AB385-Q385),O385*AB385/100))</f>
        <v/>
      </c>
      <c r="Q385">
        <f>IF($AD385="","",INDEX('Per Line'!$AG$2:$AG$3001,$AD385))</f>
        <v/>
      </c>
      <c r="R385">
        <f>IF($AD385="","",IF(AND(ISNUMBER(Q385),Q385&gt;0),AB385&gt;Q385,FALSE))</f>
        <v/>
      </c>
      <c r="S385" s="7">
        <f>IF($AD385="","",SUMIFS('Per Line'!$AB$2:$AB$3001,'Per Line'!$E$2:$E$3001,$B385,'Per Line'!$AQ$2:$AQ$3001,1))</f>
        <v/>
      </c>
      <c r="T385">
        <f>IF($AD385="","",Settings!$C$7)</f>
        <v/>
      </c>
      <c r="U385" s="7">
        <f>IF($AD385="","",SUMIFS('Per Line'!$AB$2:$AB$3001,'Per Line'!$E$2:$E$3001,$B385,'Per Line'!$AP$2:$AP$3001,0,'Per Line'!$AQ$2:$AQ$3001,0))</f>
        <v/>
      </c>
      <c r="V385" s="7">
        <f>IF($AD385="","",U385*T385)</f>
        <v/>
      </c>
      <c r="W385">
        <f>IF($AD385="","",Settings!$C$6)</f>
        <v/>
      </c>
      <c r="X385" s="7">
        <f>IF($AD385="","",SUMIFS('Per Line'!$AB$2:$AB$3001,'Per Line'!$E$2:$E$3001,$B385,'Per Line'!$AP$2:$AP$3001,1,'Per Line'!$AQ$2:$AQ$3001,0))</f>
        <v/>
      </c>
      <c r="Y385" s="7">
        <f>IF($AD385="","",X385*W385)</f>
        <v/>
      </c>
      <c r="Z385" s="7">
        <f>IF($AD385="","",Y385+V385)</f>
        <v/>
      </c>
      <c r="AA385" s="7">
        <f>IF($AD385="","",AB385-Z385)</f>
        <v/>
      </c>
      <c r="AB385" s="7">
        <f>IF($AD385="","",U385+X385+S385)</f>
        <v/>
      </c>
      <c r="AC385" s="7">
        <f>IF($AD385="","",AB385-Z385-P385)</f>
        <v/>
      </c>
      <c r="AD385" s="13">
        <f>IF(ROWS($AD$2:$AD385)&lt;=MAX('Per Line'!$AO$2:$AO$3001),MATCH(ROWS($AD$2:$AD385),'Per Line'!$AO$2:$AO$3001,0),"")</f>
        <v/>
      </c>
      <c r="AE385" s="14">
        <f>IF($AD385="","",P385-O385*AB385/100)</f>
        <v/>
      </c>
    </row>
    <row r="386">
      <c r="A386" s="12" t="n"/>
      <c r="B386">
        <f>IF($AD386="","",INDEX('Per Line'!$E$2:$E$3001,$AD386)&amp;"")</f>
        <v/>
      </c>
      <c r="C386">
        <f>IF($AD386="","",INDEX('Per Line'!$A$2:$A$3001,$AD386)&amp;"")</f>
        <v/>
      </c>
      <c r="D386">
        <f>IF($AD386="","",INDEX('Per Line'!$C$2:$C$3001,$AD386)&amp;"")</f>
        <v/>
      </c>
      <c r="E386">
        <f>IF($AD386="","",INDEX('Per Line'!$B$2:$B$3001,$AD386))</f>
        <v/>
      </c>
      <c r="F386">
        <f>IF($AD386="","",INDEX('Per Line'!$D$2:$D$3001,$AD386)&amp;"")</f>
        <v/>
      </c>
      <c r="G386" s="11">
        <f>IF($AD386="","",INDEX('Per Line'!$G$2:$G$3001,$AD386))</f>
        <v/>
      </c>
      <c r="H386">
        <f>IF($AD386="","",INDEX('Per Line'!$J$2:$J$3001,$AD386)&amp;"")</f>
        <v/>
      </c>
      <c r="I386">
        <f>IF($AD386="","",INDEX('Per Line'!$H$2:$H$3001,$AD386)&amp;"")</f>
        <v/>
      </c>
      <c r="J386">
        <f>IF($AD386="","",INDEX('Per Line'!$F$2:$F$3001,$AD386)&amp;"")</f>
        <v/>
      </c>
      <c r="K386">
        <f>IF($AD386="","",INDEX('Per Line'!$K$2:$K$3001,$AD386)&amp;"")</f>
        <v/>
      </c>
      <c r="L386">
        <f>IF($AD386="","",INDEX('Per Line'!$L$2:$L$3001,$AD386)&amp;"")</f>
        <v/>
      </c>
      <c r="M386">
        <f>IF($AD386="","",INDEX('Per Line'!$M$2:$M$3001,$AD386)&amp;"")</f>
        <v/>
      </c>
      <c r="N386">
        <f>IF($AD386="","",INDEX('Per Line'!$AC$2:$AC$3001,$AD386)&amp;"")</f>
        <v/>
      </c>
      <c r="O386">
        <f>IF($AD386="","",INDEX('Per Line'!$P$2:$P$3001,$AD386))</f>
        <v/>
      </c>
      <c r="P386" s="7">
        <f>IF($AD386="","",IF(AND(ISNUMBER(Q386),Q386&gt;0,AB386&gt;Q386),O386*Q386/100+(AB386-Q386),O386*AB386/100))</f>
        <v/>
      </c>
      <c r="Q386">
        <f>IF($AD386="","",INDEX('Per Line'!$AG$2:$AG$3001,$AD386))</f>
        <v/>
      </c>
      <c r="R386">
        <f>IF($AD386="","",IF(AND(ISNUMBER(Q386),Q386&gt;0),AB386&gt;Q386,FALSE))</f>
        <v/>
      </c>
      <c r="S386" s="7">
        <f>IF($AD386="","",SUMIFS('Per Line'!$AB$2:$AB$3001,'Per Line'!$E$2:$E$3001,$B386,'Per Line'!$AQ$2:$AQ$3001,1))</f>
        <v/>
      </c>
      <c r="T386">
        <f>IF($AD386="","",Settings!$C$7)</f>
        <v/>
      </c>
      <c r="U386" s="7">
        <f>IF($AD386="","",SUMIFS('Per Line'!$AB$2:$AB$3001,'Per Line'!$E$2:$E$3001,$B386,'Per Line'!$AP$2:$AP$3001,0,'Per Line'!$AQ$2:$AQ$3001,0))</f>
        <v/>
      </c>
      <c r="V386" s="7">
        <f>IF($AD386="","",U386*T386)</f>
        <v/>
      </c>
      <c r="W386">
        <f>IF($AD386="","",Settings!$C$6)</f>
        <v/>
      </c>
      <c r="X386" s="7">
        <f>IF($AD386="","",SUMIFS('Per Line'!$AB$2:$AB$3001,'Per Line'!$E$2:$E$3001,$B386,'Per Line'!$AP$2:$AP$3001,1,'Per Line'!$AQ$2:$AQ$3001,0))</f>
        <v/>
      </c>
      <c r="Y386" s="7">
        <f>IF($AD386="","",X386*W386)</f>
        <v/>
      </c>
      <c r="Z386" s="7">
        <f>IF($AD386="","",Y386+V386)</f>
        <v/>
      </c>
      <c r="AA386" s="7">
        <f>IF($AD386="","",AB386-Z386)</f>
        <v/>
      </c>
      <c r="AB386" s="7">
        <f>IF($AD386="","",U386+X386+S386)</f>
        <v/>
      </c>
      <c r="AC386" s="7">
        <f>IF($AD386="","",AB386-Z386-P386)</f>
        <v/>
      </c>
      <c r="AD386" s="13">
        <f>IF(ROWS($AD$2:$AD386)&lt;=MAX('Per Line'!$AO$2:$AO$3001),MATCH(ROWS($AD$2:$AD386),'Per Line'!$AO$2:$AO$3001,0),"")</f>
        <v/>
      </c>
      <c r="AE386" s="14">
        <f>IF($AD386="","",P386-O386*AB386/100)</f>
        <v/>
      </c>
    </row>
    <row r="387">
      <c r="A387" s="12" t="n"/>
      <c r="B387">
        <f>IF($AD387="","",INDEX('Per Line'!$E$2:$E$3001,$AD387)&amp;"")</f>
        <v/>
      </c>
      <c r="C387">
        <f>IF($AD387="","",INDEX('Per Line'!$A$2:$A$3001,$AD387)&amp;"")</f>
        <v/>
      </c>
      <c r="D387">
        <f>IF($AD387="","",INDEX('Per Line'!$C$2:$C$3001,$AD387)&amp;"")</f>
        <v/>
      </c>
      <c r="E387">
        <f>IF($AD387="","",INDEX('Per Line'!$B$2:$B$3001,$AD387))</f>
        <v/>
      </c>
      <c r="F387">
        <f>IF($AD387="","",INDEX('Per Line'!$D$2:$D$3001,$AD387)&amp;"")</f>
        <v/>
      </c>
      <c r="G387" s="11">
        <f>IF($AD387="","",INDEX('Per Line'!$G$2:$G$3001,$AD387))</f>
        <v/>
      </c>
      <c r="H387">
        <f>IF($AD387="","",INDEX('Per Line'!$J$2:$J$3001,$AD387)&amp;"")</f>
        <v/>
      </c>
      <c r="I387">
        <f>IF($AD387="","",INDEX('Per Line'!$H$2:$H$3001,$AD387)&amp;"")</f>
        <v/>
      </c>
      <c r="J387">
        <f>IF($AD387="","",INDEX('Per Line'!$F$2:$F$3001,$AD387)&amp;"")</f>
        <v/>
      </c>
      <c r="K387">
        <f>IF($AD387="","",INDEX('Per Line'!$K$2:$K$3001,$AD387)&amp;"")</f>
        <v/>
      </c>
      <c r="L387">
        <f>IF($AD387="","",INDEX('Per Line'!$L$2:$L$3001,$AD387)&amp;"")</f>
        <v/>
      </c>
      <c r="M387">
        <f>IF($AD387="","",INDEX('Per Line'!$M$2:$M$3001,$AD387)&amp;"")</f>
        <v/>
      </c>
      <c r="N387">
        <f>IF($AD387="","",INDEX('Per Line'!$AC$2:$AC$3001,$AD387)&amp;"")</f>
        <v/>
      </c>
      <c r="O387">
        <f>IF($AD387="","",INDEX('Per Line'!$P$2:$P$3001,$AD387))</f>
        <v/>
      </c>
      <c r="P387" s="7">
        <f>IF($AD387="","",IF(AND(ISNUMBER(Q387),Q387&gt;0,AB387&gt;Q387),O387*Q387/100+(AB387-Q387),O387*AB387/100))</f>
        <v/>
      </c>
      <c r="Q387">
        <f>IF($AD387="","",INDEX('Per Line'!$AG$2:$AG$3001,$AD387))</f>
        <v/>
      </c>
      <c r="R387">
        <f>IF($AD387="","",IF(AND(ISNUMBER(Q387),Q387&gt;0),AB387&gt;Q387,FALSE))</f>
        <v/>
      </c>
      <c r="S387" s="7">
        <f>IF($AD387="","",SUMIFS('Per Line'!$AB$2:$AB$3001,'Per Line'!$E$2:$E$3001,$B387,'Per Line'!$AQ$2:$AQ$3001,1))</f>
        <v/>
      </c>
      <c r="T387">
        <f>IF($AD387="","",Settings!$C$7)</f>
        <v/>
      </c>
      <c r="U387" s="7">
        <f>IF($AD387="","",SUMIFS('Per Line'!$AB$2:$AB$3001,'Per Line'!$E$2:$E$3001,$B387,'Per Line'!$AP$2:$AP$3001,0,'Per Line'!$AQ$2:$AQ$3001,0))</f>
        <v/>
      </c>
      <c r="V387" s="7">
        <f>IF($AD387="","",U387*T387)</f>
        <v/>
      </c>
      <c r="W387">
        <f>IF($AD387="","",Settings!$C$6)</f>
        <v/>
      </c>
      <c r="X387" s="7">
        <f>IF($AD387="","",SUMIFS('Per Line'!$AB$2:$AB$3001,'Per Line'!$E$2:$E$3001,$B387,'Per Line'!$AP$2:$AP$3001,1,'Per Line'!$AQ$2:$AQ$3001,0))</f>
        <v/>
      </c>
      <c r="Y387" s="7">
        <f>IF($AD387="","",X387*W387)</f>
        <v/>
      </c>
      <c r="Z387" s="7">
        <f>IF($AD387="","",Y387+V387)</f>
        <v/>
      </c>
      <c r="AA387" s="7">
        <f>IF($AD387="","",AB387-Z387)</f>
        <v/>
      </c>
      <c r="AB387" s="7">
        <f>IF($AD387="","",U387+X387+S387)</f>
        <v/>
      </c>
      <c r="AC387" s="7">
        <f>IF($AD387="","",AB387-Z387-P387)</f>
        <v/>
      </c>
      <c r="AD387" s="13">
        <f>IF(ROWS($AD$2:$AD387)&lt;=MAX('Per Line'!$AO$2:$AO$3001),MATCH(ROWS($AD$2:$AD387),'Per Line'!$AO$2:$AO$3001,0),"")</f>
        <v/>
      </c>
      <c r="AE387" s="14">
        <f>IF($AD387="","",P387-O387*AB387/100)</f>
        <v/>
      </c>
    </row>
    <row r="388">
      <c r="A388" s="12" t="n"/>
      <c r="B388">
        <f>IF($AD388="","",INDEX('Per Line'!$E$2:$E$3001,$AD388)&amp;"")</f>
        <v/>
      </c>
      <c r="C388">
        <f>IF($AD388="","",INDEX('Per Line'!$A$2:$A$3001,$AD388)&amp;"")</f>
        <v/>
      </c>
      <c r="D388">
        <f>IF($AD388="","",INDEX('Per Line'!$C$2:$C$3001,$AD388)&amp;"")</f>
        <v/>
      </c>
      <c r="E388">
        <f>IF($AD388="","",INDEX('Per Line'!$B$2:$B$3001,$AD388))</f>
        <v/>
      </c>
      <c r="F388">
        <f>IF($AD388="","",INDEX('Per Line'!$D$2:$D$3001,$AD388)&amp;"")</f>
        <v/>
      </c>
      <c r="G388" s="11">
        <f>IF($AD388="","",INDEX('Per Line'!$G$2:$G$3001,$AD388))</f>
        <v/>
      </c>
      <c r="H388">
        <f>IF($AD388="","",INDEX('Per Line'!$J$2:$J$3001,$AD388)&amp;"")</f>
        <v/>
      </c>
      <c r="I388">
        <f>IF($AD388="","",INDEX('Per Line'!$H$2:$H$3001,$AD388)&amp;"")</f>
        <v/>
      </c>
      <c r="J388">
        <f>IF($AD388="","",INDEX('Per Line'!$F$2:$F$3001,$AD388)&amp;"")</f>
        <v/>
      </c>
      <c r="K388">
        <f>IF($AD388="","",INDEX('Per Line'!$K$2:$K$3001,$AD388)&amp;"")</f>
        <v/>
      </c>
      <c r="L388">
        <f>IF($AD388="","",INDEX('Per Line'!$L$2:$L$3001,$AD388)&amp;"")</f>
        <v/>
      </c>
      <c r="M388">
        <f>IF($AD388="","",INDEX('Per Line'!$M$2:$M$3001,$AD388)&amp;"")</f>
        <v/>
      </c>
      <c r="N388">
        <f>IF($AD388="","",INDEX('Per Line'!$AC$2:$AC$3001,$AD388)&amp;"")</f>
        <v/>
      </c>
      <c r="O388">
        <f>IF($AD388="","",INDEX('Per Line'!$P$2:$P$3001,$AD388))</f>
        <v/>
      </c>
      <c r="P388" s="7">
        <f>IF($AD388="","",IF(AND(ISNUMBER(Q388),Q388&gt;0,AB388&gt;Q388),O388*Q388/100+(AB388-Q388),O388*AB388/100))</f>
        <v/>
      </c>
      <c r="Q388">
        <f>IF($AD388="","",INDEX('Per Line'!$AG$2:$AG$3001,$AD388))</f>
        <v/>
      </c>
      <c r="R388">
        <f>IF($AD388="","",IF(AND(ISNUMBER(Q388),Q388&gt;0),AB388&gt;Q388,FALSE))</f>
        <v/>
      </c>
      <c r="S388" s="7">
        <f>IF($AD388="","",SUMIFS('Per Line'!$AB$2:$AB$3001,'Per Line'!$E$2:$E$3001,$B388,'Per Line'!$AQ$2:$AQ$3001,1))</f>
        <v/>
      </c>
      <c r="T388">
        <f>IF($AD388="","",Settings!$C$7)</f>
        <v/>
      </c>
      <c r="U388" s="7">
        <f>IF($AD388="","",SUMIFS('Per Line'!$AB$2:$AB$3001,'Per Line'!$E$2:$E$3001,$B388,'Per Line'!$AP$2:$AP$3001,0,'Per Line'!$AQ$2:$AQ$3001,0))</f>
        <v/>
      </c>
      <c r="V388" s="7">
        <f>IF($AD388="","",U388*T388)</f>
        <v/>
      </c>
      <c r="W388">
        <f>IF($AD388="","",Settings!$C$6)</f>
        <v/>
      </c>
      <c r="X388" s="7">
        <f>IF($AD388="","",SUMIFS('Per Line'!$AB$2:$AB$3001,'Per Line'!$E$2:$E$3001,$B388,'Per Line'!$AP$2:$AP$3001,1,'Per Line'!$AQ$2:$AQ$3001,0))</f>
        <v/>
      </c>
      <c r="Y388" s="7">
        <f>IF($AD388="","",X388*W388)</f>
        <v/>
      </c>
      <c r="Z388" s="7">
        <f>IF($AD388="","",Y388+V388)</f>
        <v/>
      </c>
      <c r="AA388" s="7">
        <f>IF($AD388="","",AB388-Z388)</f>
        <v/>
      </c>
      <c r="AB388" s="7">
        <f>IF($AD388="","",U388+X388+S388)</f>
        <v/>
      </c>
      <c r="AC388" s="7">
        <f>IF($AD388="","",AB388-Z388-P388)</f>
        <v/>
      </c>
      <c r="AD388" s="13">
        <f>IF(ROWS($AD$2:$AD388)&lt;=MAX('Per Line'!$AO$2:$AO$3001),MATCH(ROWS($AD$2:$AD388),'Per Line'!$AO$2:$AO$3001,0),"")</f>
        <v/>
      </c>
      <c r="AE388" s="14">
        <f>IF($AD388="","",P388-O388*AB388/100)</f>
        <v/>
      </c>
    </row>
    <row r="389">
      <c r="A389" s="12" t="n"/>
      <c r="B389">
        <f>IF($AD389="","",INDEX('Per Line'!$E$2:$E$3001,$AD389)&amp;"")</f>
        <v/>
      </c>
      <c r="C389">
        <f>IF($AD389="","",INDEX('Per Line'!$A$2:$A$3001,$AD389)&amp;"")</f>
        <v/>
      </c>
      <c r="D389">
        <f>IF($AD389="","",INDEX('Per Line'!$C$2:$C$3001,$AD389)&amp;"")</f>
        <v/>
      </c>
      <c r="E389">
        <f>IF($AD389="","",INDEX('Per Line'!$B$2:$B$3001,$AD389))</f>
        <v/>
      </c>
      <c r="F389">
        <f>IF($AD389="","",INDEX('Per Line'!$D$2:$D$3001,$AD389)&amp;"")</f>
        <v/>
      </c>
      <c r="G389" s="11">
        <f>IF($AD389="","",INDEX('Per Line'!$G$2:$G$3001,$AD389))</f>
        <v/>
      </c>
      <c r="H389">
        <f>IF($AD389="","",INDEX('Per Line'!$J$2:$J$3001,$AD389)&amp;"")</f>
        <v/>
      </c>
      <c r="I389">
        <f>IF($AD389="","",INDEX('Per Line'!$H$2:$H$3001,$AD389)&amp;"")</f>
        <v/>
      </c>
      <c r="J389">
        <f>IF($AD389="","",INDEX('Per Line'!$F$2:$F$3001,$AD389)&amp;"")</f>
        <v/>
      </c>
      <c r="K389">
        <f>IF($AD389="","",INDEX('Per Line'!$K$2:$K$3001,$AD389)&amp;"")</f>
        <v/>
      </c>
      <c r="L389">
        <f>IF($AD389="","",INDEX('Per Line'!$L$2:$L$3001,$AD389)&amp;"")</f>
        <v/>
      </c>
      <c r="M389">
        <f>IF($AD389="","",INDEX('Per Line'!$M$2:$M$3001,$AD389)&amp;"")</f>
        <v/>
      </c>
      <c r="N389">
        <f>IF($AD389="","",INDEX('Per Line'!$AC$2:$AC$3001,$AD389)&amp;"")</f>
        <v/>
      </c>
      <c r="O389">
        <f>IF($AD389="","",INDEX('Per Line'!$P$2:$P$3001,$AD389))</f>
        <v/>
      </c>
      <c r="P389" s="7">
        <f>IF($AD389="","",IF(AND(ISNUMBER(Q389),Q389&gt;0,AB389&gt;Q389),O389*Q389/100+(AB389-Q389),O389*AB389/100))</f>
        <v/>
      </c>
      <c r="Q389">
        <f>IF($AD389="","",INDEX('Per Line'!$AG$2:$AG$3001,$AD389))</f>
        <v/>
      </c>
      <c r="R389">
        <f>IF($AD389="","",IF(AND(ISNUMBER(Q389),Q389&gt;0),AB389&gt;Q389,FALSE))</f>
        <v/>
      </c>
      <c r="S389" s="7">
        <f>IF($AD389="","",SUMIFS('Per Line'!$AB$2:$AB$3001,'Per Line'!$E$2:$E$3001,$B389,'Per Line'!$AQ$2:$AQ$3001,1))</f>
        <v/>
      </c>
      <c r="T389">
        <f>IF($AD389="","",Settings!$C$7)</f>
        <v/>
      </c>
      <c r="U389" s="7">
        <f>IF($AD389="","",SUMIFS('Per Line'!$AB$2:$AB$3001,'Per Line'!$E$2:$E$3001,$B389,'Per Line'!$AP$2:$AP$3001,0,'Per Line'!$AQ$2:$AQ$3001,0))</f>
        <v/>
      </c>
      <c r="V389" s="7">
        <f>IF($AD389="","",U389*T389)</f>
        <v/>
      </c>
      <c r="W389">
        <f>IF($AD389="","",Settings!$C$6)</f>
        <v/>
      </c>
      <c r="X389" s="7">
        <f>IF($AD389="","",SUMIFS('Per Line'!$AB$2:$AB$3001,'Per Line'!$E$2:$E$3001,$B389,'Per Line'!$AP$2:$AP$3001,1,'Per Line'!$AQ$2:$AQ$3001,0))</f>
        <v/>
      </c>
      <c r="Y389" s="7">
        <f>IF($AD389="","",X389*W389)</f>
        <v/>
      </c>
      <c r="Z389" s="7">
        <f>IF($AD389="","",Y389+V389)</f>
        <v/>
      </c>
      <c r="AA389" s="7">
        <f>IF($AD389="","",AB389-Z389)</f>
        <v/>
      </c>
      <c r="AB389" s="7">
        <f>IF($AD389="","",U389+X389+S389)</f>
        <v/>
      </c>
      <c r="AC389" s="7">
        <f>IF($AD389="","",AB389-Z389-P389)</f>
        <v/>
      </c>
      <c r="AD389" s="13">
        <f>IF(ROWS($AD$2:$AD389)&lt;=MAX('Per Line'!$AO$2:$AO$3001),MATCH(ROWS($AD$2:$AD389),'Per Line'!$AO$2:$AO$3001,0),"")</f>
        <v/>
      </c>
      <c r="AE389" s="14">
        <f>IF($AD389="","",P389-O389*AB389/100)</f>
        <v/>
      </c>
    </row>
    <row r="390">
      <c r="A390" s="12" t="n"/>
      <c r="B390">
        <f>IF($AD390="","",INDEX('Per Line'!$E$2:$E$3001,$AD390)&amp;"")</f>
        <v/>
      </c>
      <c r="C390">
        <f>IF($AD390="","",INDEX('Per Line'!$A$2:$A$3001,$AD390)&amp;"")</f>
        <v/>
      </c>
      <c r="D390">
        <f>IF($AD390="","",INDEX('Per Line'!$C$2:$C$3001,$AD390)&amp;"")</f>
        <v/>
      </c>
      <c r="E390">
        <f>IF($AD390="","",INDEX('Per Line'!$B$2:$B$3001,$AD390))</f>
        <v/>
      </c>
      <c r="F390">
        <f>IF($AD390="","",INDEX('Per Line'!$D$2:$D$3001,$AD390)&amp;"")</f>
        <v/>
      </c>
      <c r="G390" s="11">
        <f>IF($AD390="","",INDEX('Per Line'!$G$2:$G$3001,$AD390))</f>
        <v/>
      </c>
      <c r="H390">
        <f>IF($AD390="","",INDEX('Per Line'!$J$2:$J$3001,$AD390)&amp;"")</f>
        <v/>
      </c>
      <c r="I390">
        <f>IF($AD390="","",INDEX('Per Line'!$H$2:$H$3001,$AD390)&amp;"")</f>
        <v/>
      </c>
      <c r="J390">
        <f>IF($AD390="","",INDEX('Per Line'!$F$2:$F$3001,$AD390)&amp;"")</f>
        <v/>
      </c>
      <c r="K390">
        <f>IF($AD390="","",INDEX('Per Line'!$K$2:$K$3001,$AD390)&amp;"")</f>
        <v/>
      </c>
      <c r="L390">
        <f>IF($AD390="","",INDEX('Per Line'!$L$2:$L$3001,$AD390)&amp;"")</f>
        <v/>
      </c>
      <c r="M390">
        <f>IF($AD390="","",INDEX('Per Line'!$M$2:$M$3001,$AD390)&amp;"")</f>
        <v/>
      </c>
      <c r="N390">
        <f>IF($AD390="","",INDEX('Per Line'!$AC$2:$AC$3001,$AD390)&amp;"")</f>
        <v/>
      </c>
      <c r="O390">
        <f>IF($AD390="","",INDEX('Per Line'!$P$2:$P$3001,$AD390))</f>
        <v/>
      </c>
      <c r="P390" s="7">
        <f>IF($AD390="","",IF(AND(ISNUMBER(Q390),Q390&gt;0,AB390&gt;Q390),O390*Q390/100+(AB390-Q390),O390*AB390/100))</f>
        <v/>
      </c>
      <c r="Q390">
        <f>IF($AD390="","",INDEX('Per Line'!$AG$2:$AG$3001,$AD390))</f>
        <v/>
      </c>
      <c r="R390">
        <f>IF($AD390="","",IF(AND(ISNUMBER(Q390),Q390&gt;0),AB390&gt;Q390,FALSE))</f>
        <v/>
      </c>
      <c r="S390" s="7">
        <f>IF($AD390="","",SUMIFS('Per Line'!$AB$2:$AB$3001,'Per Line'!$E$2:$E$3001,$B390,'Per Line'!$AQ$2:$AQ$3001,1))</f>
        <v/>
      </c>
      <c r="T390">
        <f>IF($AD390="","",Settings!$C$7)</f>
        <v/>
      </c>
      <c r="U390" s="7">
        <f>IF($AD390="","",SUMIFS('Per Line'!$AB$2:$AB$3001,'Per Line'!$E$2:$E$3001,$B390,'Per Line'!$AP$2:$AP$3001,0,'Per Line'!$AQ$2:$AQ$3001,0))</f>
        <v/>
      </c>
      <c r="V390" s="7">
        <f>IF($AD390="","",U390*T390)</f>
        <v/>
      </c>
      <c r="W390">
        <f>IF($AD390="","",Settings!$C$6)</f>
        <v/>
      </c>
      <c r="X390" s="7">
        <f>IF($AD390="","",SUMIFS('Per Line'!$AB$2:$AB$3001,'Per Line'!$E$2:$E$3001,$B390,'Per Line'!$AP$2:$AP$3001,1,'Per Line'!$AQ$2:$AQ$3001,0))</f>
        <v/>
      </c>
      <c r="Y390" s="7">
        <f>IF($AD390="","",X390*W390)</f>
        <v/>
      </c>
      <c r="Z390" s="7">
        <f>IF($AD390="","",Y390+V390)</f>
        <v/>
      </c>
      <c r="AA390" s="7">
        <f>IF($AD390="","",AB390-Z390)</f>
        <v/>
      </c>
      <c r="AB390" s="7">
        <f>IF($AD390="","",U390+X390+S390)</f>
        <v/>
      </c>
      <c r="AC390" s="7">
        <f>IF($AD390="","",AB390-Z390-P390)</f>
        <v/>
      </c>
      <c r="AD390" s="13">
        <f>IF(ROWS($AD$2:$AD390)&lt;=MAX('Per Line'!$AO$2:$AO$3001),MATCH(ROWS($AD$2:$AD390),'Per Line'!$AO$2:$AO$3001,0),"")</f>
        <v/>
      </c>
      <c r="AE390" s="14">
        <f>IF($AD390="","",P390-O390*AB390/100)</f>
        <v/>
      </c>
    </row>
    <row r="391">
      <c r="A391" s="12" t="n"/>
      <c r="B391">
        <f>IF($AD391="","",INDEX('Per Line'!$E$2:$E$3001,$AD391)&amp;"")</f>
        <v/>
      </c>
      <c r="C391">
        <f>IF($AD391="","",INDEX('Per Line'!$A$2:$A$3001,$AD391)&amp;"")</f>
        <v/>
      </c>
      <c r="D391">
        <f>IF($AD391="","",INDEX('Per Line'!$C$2:$C$3001,$AD391)&amp;"")</f>
        <v/>
      </c>
      <c r="E391">
        <f>IF($AD391="","",INDEX('Per Line'!$B$2:$B$3001,$AD391))</f>
        <v/>
      </c>
      <c r="F391">
        <f>IF($AD391="","",INDEX('Per Line'!$D$2:$D$3001,$AD391)&amp;"")</f>
        <v/>
      </c>
      <c r="G391" s="11">
        <f>IF($AD391="","",INDEX('Per Line'!$G$2:$G$3001,$AD391))</f>
        <v/>
      </c>
      <c r="H391">
        <f>IF($AD391="","",INDEX('Per Line'!$J$2:$J$3001,$AD391)&amp;"")</f>
        <v/>
      </c>
      <c r="I391">
        <f>IF($AD391="","",INDEX('Per Line'!$H$2:$H$3001,$AD391)&amp;"")</f>
        <v/>
      </c>
      <c r="J391">
        <f>IF($AD391="","",INDEX('Per Line'!$F$2:$F$3001,$AD391)&amp;"")</f>
        <v/>
      </c>
      <c r="K391">
        <f>IF($AD391="","",INDEX('Per Line'!$K$2:$K$3001,$AD391)&amp;"")</f>
        <v/>
      </c>
      <c r="L391">
        <f>IF($AD391="","",INDEX('Per Line'!$L$2:$L$3001,$AD391)&amp;"")</f>
        <v/>
      </c>
      <c r="M391">
        <f>IF($AD391="","",INDEX('Per Line'!$M$2:$M$3001,$AD391)&amp;"")</f>
        <v/>
      </c>
      <c r="N391">
        <f>IF($AD391="","",INDEX('Per Line'!$AC$2:$AC$3001,$AD391)&amp;"")</f>
        <v/>
      </c>
      <c r="O391">
        <f>IF($AD391="","",INDEX('Per Line'!$P$2:$P$3001,$AD391))</f>
        <v/>
      </c>
      <c r="P391" s="7">
        <f>IF($AD391="","",IF(AND(ISNUMBER(Q391),Q391&gt;0,AB391&gt;Q391),O391*Q391/100+(AB391-Q391),O391*AB391/100))</f>
        <v/>
      </c>
      <c r="Q391">
        <f>IF($AD391="","",INDEX('Per Line'!$AG$2:$AG$3001,$AD391))</f>
        <v/>
      </c>
      <c r="R391">
        <f>IF($AD391="","",IF(AND(ISNUMBER(Q391),Q391&gt;0),AB391&gt;Q391,FALSE))</f>
        <v/>
      </c>
      <c r="S391" s="7">
        <f>IF($AD391="","",SUMIFS('Per Line'!$AB$2:$AB$3001,'Per Line'!$E$2:$E$3001,$B391,'Per Line'!$AQ$2:$AQ$3001,1))</f>
        <v/>
      </c>
      <c r="T391">
        <f>IF($AD391="","",Settings!$C$7)</f>
        <v/>
      </c>
      <c r="U391" s="7">
        <f>IF($AD391="","",SUMIFS('Per Line'!$AB$2:$AB$3001,'Per Line'!$E$2:$E$3001,$B391,'Per Line'!$AP$2:$AP$3001,0,'Per Line'!$AQ$2:$AQ$3001,0))</f>
        <v/>
      </c>
      <c r="V391" s="7">
        <f>IF($AD391="","",U391*T391)</f>
        <v/>
      </c>
      <c r="W391">
        <f>IF($AD391="","",Settings!$C$6)</f>
        <v/>
      </c>
      <c r="X391" s="7">
        <f>IF($AD391="","",SUMIFS('Per Line'!$AB$2:$AB$3001,'Per Line'!$E$2:$E$3001,$B391,'Per Line'!$AP$2:$AP$3001,1,'Per Line'!$AQ$2:$AQ$3001,0))</f>
        <v/>
      </c>
      <c r="Y391" s="7">
        <f>IF($AD391="","",X391*W391)</f>
        <v/>
      </c>
      <c r="Z391" s="7">
        <f>IF($AD391="","",Y391+V391)</f>
        <v/>
      </c>
      <c r="AA391" s="7">
        <f>IF($AD391="","",AB391-Z391)</f>
        <v/>
      </c>
      <c r="AB391" s="7">
        <f>IF($AD391="","",U391+X391+S391)</f>
        <v/>
      </c>
      <c r="AC391" s="7">
        <f>IF($AD391="","",AB391-Z391-P391)</f>
        <v/>
      </c>
      <c r="AD391" s="13">
        <f>IF(ROWS($AD$2:$AD391)&lt;=MAX('Per Line'!$AO$2:$AO$3001),MATCH(ROWS($AD$2:$AD391),'Per Line'!$AO$2:$AO$3001,0),"")</f>
        <v/>
      </c>
      <c r="AE391" s="14">
        <f>IF($AD391="","",P391-O391*AB391/100)</f>
        <v/>
      </c>
    </row>
    <row r="392">
      <c r="A392" s="12" t="n"/>
      <c r="B392">
        <f>IF($AD392="","",INDEX('Per Line'!$E$2:$E$3001,$AD392)&amp;"")</f>
        <v/>
      </c>
      <c r="C392">
        <f>IF($AD392="","",INDEX('Per Line'!$A$2:$A$3001,$AD392)&amp;"")</f>
        <v/>
      </c>
      <c r="D392">
        <f>IF($AD392="","",INDEX('Per Line'!$C$2:$C$3001,$AD392)&amp;"")</f>
        <v/>
      </c>
      <c r="E392">
        <f>IF($AD392="","",INDEX('Per Line'!$B$2:$B$3001,$AD392))</f>
        <v/>
      </c>
      <c r="F392">
        <f>IF($AD392="","",INDEX('Per Line'!$D$2:$D$3001,$AD392)&amp;"")</f>
        <v/>
      </c>
      <c r="G392" s="11">
        <f>IF($AD392="","",INDEX('Per Line'!$G$2:$G$3001,$AD392))</f>
        <v/>
      </c>
      <c r="H392">
        <f>IF($AD392="","",INDEX('Per Line'!$J$2:$J$3001,$AD392)&amp;"")</f>
        <v/>
      </c>
      <c r="I392">
        <f>IF($AD392="","",INDEX('Per Line'!$H$2:$H$3001,$AD392)&amp;"")</f>
        <v/>
      </c>
      <c r="J392">
        <f>IF($AD392="","",INDEX('Per Line'!$F$2:$F$3001,$AD392)&amp;"")</f>
        <v/>
      </c>
      <c r="K392">
        <f>IF($AD392="","",INDEX('Per Line'!$K$2:$K$3001,$AD392)&amp;"")</f>
        <v/>
      </c>
      <c r="L392">
        <f>IF($AD392="","",INDEX('Per Line'!$L$2:$L$3001,$AD392)&amp;"")</f>
        <v/>
      </c>
      <c r="M392">
        <f>IF($AD392="","",INDEX('Per Line'!$M$2:$M$3001,$AD392)&amp;"")</f>
        <v/>
      </c>
      <c r="N392">
        <f>IF($AD392="","",INDEX('Per Line'!$AC$2:$AC$3001,$AD392)&amp;"")</f>
        <v/>
      </c>
      <c r="O392">
        <f>IF($AD392="","",INDEX('Per Line'!$P$2:$P$3001,$AD392))</f>
        <v/>
      </c>
      <c r="P392" s="7">
        <f>IF($AD392="","",IF(AND(ISNUMBER(Q392),Q392&gt;0,AB392&gt;Q392),O392*Q392/100+(AB392-Q392),O392*AB392/100))</f>
        <v/>
      </c>
      <c r="Q392">
        <f>IF($AD392="","",INDEX('Per Line'!$AG$2:$AG$3001,$AD392))</f>
        <v/>
      </c>
      <c r="R392">
        <f>IF($AD392="","",IF(AND(ISNUMBER(Q392),Q392&gt;0),AB392&gt;Q392,FALSE))</f>
        <v/>
      </c>
      <c r="S392" s="7">
        <f>IF($AD392="","",SUMIFS('Per Line'!$AB$2:$AB$3001,'Per Line'!$E$2:$E$3001,$B392,'Per Line'!$AQ$2:$AQ$3001,1))</f>
        <v/>
      </c>
      <c r="T392">
        <f>IF($AD392="","",Settings!$C$7)</f>
        <v/>
      </c>
      <c r="U392" s="7">
        <f>IF($AD392="","",SUMIFS('Per Line'!$AB$2:$AB$3001,'Per Line'!$E$2:$E$3001,$B392,'Per Line'!$AP$2:$AP$3001,0,'Per Line'!$AQ$2:$AQ$3001,0))</f>
        <v/>
      </c>
      <c r="V392" s="7">
        <f>IF($AD392="","",U392*T392)</f>
        <v/>
      </c>
      <c r="W392">
        <f>IF($AD392="","",Settings!$C$6)</f>
        <v/>
      </c>
      <c r="X392" s="7">
        <f>IF($AD392="","",SUMIFS('Per Line'!$AB$2:$AB$3001,'Per Line'!$E$2:$E$3001,$B392,'Per Line'!$AP$2:$AP$3001,1,'Per Line'!$AQ$2:$AQ$3001,0))</f>
        <v/>
      </c>
      <c r="Y392" s="7">
        <f>IF($AD392="","",X392*W392)</f>
        <v/>
      </c>
      <c r="Z392" s="7">
        <f>IF($AD392="","",Y392+V392)</f>
        <v/>
      </c>
      <c r="AA392" s="7">
        <f>IF($AD392="","",AB392-Z392)</f>
        <v/>
      </c>
      <c r="AB392" s="7">
        <f>IF($AD392="","",U392+X392+S392)</f>
        <v/>
      </c>
      <c r="AC392" s="7">
        <f>IF($AD392="","",AB392-Z392-P392)</f>
        <v/>
      </c>
      <c r="AD392" s="13">
        <f>IF(ROWS($AD$2:$AD392)&lt;=MAX('Per Line'!$AO$2:$AO$3001),MATCH(ROWS($AD$2:$AD392),'Per Line'!$AO$2:$AO$3001,0),"")</f>
        <v/>
      </c>
      <c r="AE392" s="14">
        <f>IF($AD392="","",P392-O392*AB392/100)</f>
        <v/>
      </c>
    </row>
    <row r="393">
      <c r="A393" s="12" t="n"/>
      <c r="B393">
        <f>IF($AD393="","",INDEX('Per Line'!$E$2:$E$3001,$AD393)&amp;"")</f>
        <v/>
      </c>
      <c r="C393">
        <f>IF($AD393="","",INDEX('Per Line'!$A$2:$A$3001,$AD393)&amp;"")</f>
        <v/>
      </c>
      <c r="D393">
        <f>IF($AD393="","",INDEX('Per Line'!$C$2:$C$3001,$AD393)&amp;"")</f>
        <v/>
      </c>
      <c r="E393">
        <f>IF($AD393="","",INDEX('Per Line'!$B$2:$B$3001,$AD393))</f>
        <v/>
      </c>
      <c r="F393">
        <f>IF($AD393="","",INDEX('Per Line'!$D$2:$D$3001,$AD393)&amp;"")</f>
        <v/>
      </c>
      <c r="G393" s="11">
        <f>IF($AD393="","",INDEX('Per Line'!$G$2:$G$3001,$AD393))</f>
        <v/>
      </c>
      <c r="H393">
        <f>IF($AD393="","",INDEX('Per Line'!$J$2:$J$3001,$AD393)&amp;"")</f>
        <v/>
      </c>
      <c r="I393">
        <f>IF($AD393="","",INDEX('Per Line'!$H$2:$H$3001,$AD393)&amp;"")</f>
        <v/>
      </c>
      <c r="J393">
        <f>IF($AD393="","",INDEX('Per Line'!$F$2:$F$3001,$AD393)&amp;"")</f>
        <v/>
      </c>
      <c r="K393">
        <f>IF($AD393="","",INDEX('Per Line'!$K$2:$K$3001,$AD393)&amp;"")</f>
        <v/>
      </c>
      <c r="L393">
        <f>IF($AD393="","",INDEX('Per Line'!$L$2:$L$3001,$AD393)&amp;"")</f>
        <v/>
      </c>
      <c r="M393">
        <f>IF($AD393="","",INDEX('Per Line'!$M$2:$M$3001,$AD393)&amp;"")</f>
        <v/>
      </c>
      <c r="N393">
        <f>IF($AD393="","",INDEX('Per Line'!$AC$2:$AC$3001,$AD393)&amp;"")</f>
        <v/>
      </c>
      <c r="O393">
        <f>IF($AD393="","",INDEX('Per Line'!$P$2:$P$3001,$AD393))</f>
        <v/>
      </c>
      <c r="P393" s="7">
        <f>IF($AD393="","",IF(AND(ISNUMBER(Q393),Q393&gt;0,AB393&gt;Q393),O393*Q393/100+(AB393-Q393),O393*AB393/100))</f>
        <v/>
      </c>
      <c r="Q393">
        <f>IF($AD393="","",INDEX('Per Line'!$AG$2:$AG$3001,$AD393))</f>
        <v/>
      </c>
      <c r="R393">
        <f>IF($AD393="","",IF(AND(ISNUMBER(Q393),Q393&gt;0),AB393&gt;Q393,FALSE))</f>
        <v/>
      </c>
      <c r="S393" s="7">
        <f>IF($AD393="","",SUMIFS('Per Line'!$AB$2:$AB$3001,'Per Line'!$E$2:$E$3001,$B393,'Per Line'!$AQ$2:$AQ$3001,1))</f>
        <v/>
      </c>
      <c r="T393">
        <f>IF($AD393="","",Settings!$C$7)</f>
        <v/>
      </c>
      <c r="U393" s="7">
        <f>IF($AD393="","",SUMIFS('Per Line'!$AB$2:$AB$3001,'Per Line'!$E$2:$E$3001,$B393,'Per Line'!$AP$2:$AP$3001,0,'Per Line'!$AQ$2:$AQ$3001,0))</f>
        <v/>
      </c>
      <c r="V393" s="7">
        <f>IF($AD393="","",U393*T393)</f>
        <v/>
      </c>
      <c r="W393">
        <f>IF($AD393="","",Settings!$C$6)</f>
        <v/>
      </c>
      <c r="X393" s="7">
        <f>IF($AD393="","",SUMIFS('Per Line'!$AB$2:$AB$3001,'Per Line'!$E$2:$E$3001,$B393,'Per Line'!$AP$2:$AP$3001,1,'Per Line'!$AQ$2:$AQ$3001,0))</f>
        <v/>
      </c>
      <c r="Y393" s="7">
        <f>IF($AD393="","",X393*W393)</f>
        <v/>
      </c>
      <c r="Z393" s="7">
        <f>IF($AD393="","",Y393+V393)</f>
        <v/>
      </c>
      <c r="AA393" s="7">
        <f>IF($AD393="","",AB393-Z393)</f>
        <v/>
      </c>
      <c r="AB393" s="7">
        <f>IF($AD393="","",U393+X393+S393)</f>
        <v/>
      </c>
      <c r="AC393" s="7">
        <f>IF($AD393="","",AB393-Z393-P393)</f>
        <v/>
      </c>
      <c r="AD393" s="13">
        <f>IF(ROWS($AD$2:$AD393)&lt;=MAX('Per Line'!$AO$2:$AO$3001),MATCH(ROWS($AD$2:$AD393),'Per Line'!$AO$2:$AO$3001,0),"")</f>
        <v/>
      </c>
      <c r="AE393" s="14">
        <f>IF($AD393="","",P393-O393*AB393/100)</f>
        <v/>
      </c>
    </row>
    <row r="394">
      <c r="A394" s="12" t="n"/>
      <c r="B394">
        <f>IF($AD394="","",INDEX('Per Line'!$E$2:$E$3001,$AD394)&amp;"")</f>
        <v/>
      </c>
      <c r="C394">
        <f>IF($AD394="","",INDEX('Per Line'!$A$2:$A$3001,$AD394)&amp;"")</f>
        <v/>
      </c>
      <c r="D394">
        <f>IF($AD394="","",INDEX('Per Line'!$C$2:$C$3001,$AD394)&amp;"")</f>
        <v/>
      </c>
      <c r="E394">
        <f>IF($AD394="","",INDEX('Per Line'!$B$2:$B$3001,$AD394))</f>
        <v/>
      </c>
      <c r="F394">
        <f>IF($AD394="","",INDEX('Per Line'!$D$2:$D$3001,$AD394)&amp;"")</f>
        <v/>
      </c>
      <c r="G394" s="11">
        <f>IF($AD394="","",INDEX('Per Line'!$G$2:$G$3001,$AD394))</f>
        <v/>
      </c>
      <c r="H394">
        <f>IF($AD394="","",INDEX('Per Line'!$J$2:$J$3001,$AD394)&amp;"")</f>
        <v/>
      </c>
      <c r="I394">
        <f>IF($AD394="","",INDEX('Per Line'!$H$2:$H$3001,$AD394)&amp;"")</f>
        <v/>
      </c>
      <c r="J394">
        <f>IF($AD394="","",INDEX('Per Line'!$F$2:$F$3001,$AD394)&amp;"")</f>
        <v/>
      </c>
      <c r="K394">
        <f>IF($AD394="","",INDEX('Per Line'!$K$2:$K$3001,$AD394)&amp;"")</f>
        <v/>
      </c>
      <c r="L394">
        <f>IF($AD394="","",INDEX('Per Line'!$L$2:$L$3001,$AD394)&amp;"")</f>
        <v/>
      </c>
      <c r="M394">
        <f>IF($AD394="","",INDEX('Per Line'!$M$2:$M$3001,$AD394)&amp;"")</f>
        <v/>
      </c>
      <c r="N394">
        <f>IF($AD394="","",INDEX('Per Line'!$AC$2:$AC$3001,$AD394)&amp;"")</f>
        <v/>
      </c>
      <c r="O394">
        <f>IF($AD394="","",INDEX('Per Line'!$P$2:$P$3001,$AD394))</f>
        <v/>
      </c>
      <c r="P394" s="7">
        <f>IF($AD394="","",IF(AND(ISNUMBER(Q394),Q394&gt;0,AB394&gt;Q394),O394*Q394/100+(AB394-Q394),O394*AB394/100))</f>
        <v/>
      </c>
      <c r="Q394">
        <f>IF($AD394="","",INDEX('Per Line'!$AG$2:$AG$3001,$AD394))</f>
        <v/>
      </c>
      <c r="R394">
        <f>IF($AD394="","",IF(AND(ISNUMBER(Q394),Q394&gt;0),AB394&gt;Q394,FALSE))</f>
        <v/>
      </c>
      <c r="S394" s="7">
        <f>IF($AD394="","",SUMIFS('Per Line'!$AB$2:$AB$3001,'Per Line'!$E$2:$E$3001,$B394,'Per Line'!$AQ$2:$AQ$3001,1))</f>
        <v/>
      </c>
      <c r="T394">
        <f>IF($AD394="","",Settings!$C$7)</f>
        <v/>
      </c>
      <c r="U394" s="7">
        <f>IF($AD394="","",SUMIFS('Per Line'!$AB$2:$AB$3001,'Per Line'!$E$2:$E$3001,$B394,'Per Line'!$AP$2:$AP$3001,0,'Per Line'!$AQ$2:$AQ$3001,0))</f>
        <v/>
      </c>
      <c r="V394" s="7">
        <f>IF($AD394="","",U394*T394)</f>
        <v/>
      </c>
      <c r="W394">
        <f>IF($AD394="","",Settings!$C$6)</f>
        <v/>
      </c>
      <c r="X394" s="7">
        <f>IF($AD394="","",SUMIFS('Per Line'!$AB$2:$AB$3001,'Per Line'!$E$2:$E$3001,$B394,'Per Line'!$AP$2:$AP$3001,1,'Per Line'!$AQ$2:$AQ$3001,0))</f>
        <v/>
      </c>
      <c r="Y394" s="7">
        <f>IF($AD394="","",X394*W394)</f>
        <v/>
      </c>
      <c r="Z394" s="7">
        <f>IF($AD394="","",Y394+V394)</f>
        <v/>
      </c>
      <c r="AA394" s="7">
        <f>IF($AD394="","",AB394-Z394)</f>
        <v/>
      </c>
      <c r="AB394" s="7">
        <f>IF($AD394="","",U394+X394+S394)</f>
        <v/>
      </c>
      <c r="AC394" s="7">
        <f>IF($AD394="","",AB394-Z394-P394)</f>
        <v/>
      </c>
      <c r="AD394" s="13">
        <f>IF(ROWS($AD$2:$AD394)&lt;=MAX('Per Line'!$AO$2:$AO$3001),MATCH(ROWS($AD$2:$AD394),'Per Line'!$AO$2:$AO$3001,0),"")</f>
        <v/>
      </c>
      <c r="AE394" s="14">
        <f>IF($AD394="","",P394-O394*AB394/100)</f>
        <v/>
      </c>
    </row>
    <row r="395">
      <c r="A395" s="12" t="n"/>
      <c r="B395">
        <f>IF($AD395="","",INDEX('Per Line'!$E$2:$E$3001,$AD395)&amp;"")</f>
        <v/>
      </c>
      <c r="C395">
        <f>IF($AD395="","",INDEX('Per Line'!$A$2:$A$3001,$AD395)&amp;"")</f>
        <v/>
      </c>
      <c r="D395">
        <f>IF($AD395="","",INDEX('Per Line'!$C$2:$C$3001,$AD395)&amp;"")</f>
        <v/>
      </c>
      <c r="E395">
        <f>IF($AD395="","",INDEX('Per Line'!$B$2:$B$3001,$AD395))</f>
        <v/>
      </c>
      <c r="F395">
        <f>IF($AD395="","",INDEX('Per Line'!$D$2:$D$3001,$AD395)&amp;"")</f>
        <v/>
      </c>
      <c r="G395" s="11">
        <f>IF($AD395="","",INDEX('Per Line'!$G$2:$G$3001,$AD395))</f>
        <v/>
      </c>
      <c r="H395">
        <f>IF($AD395="","",INDEX('Per Line'!$J$2:$J$3001,$AD395)&amp;"")</f>
        <v/>
      </c>
      <c r="I395">
        <f>IF($AD395="","",INDEX('Per Line'!$H$2:$H$3001,$AD395)&amp;"")</f>
        <v/>
      </c>
      <c r="J395">
        <f>IF($AD395="","",INDEX('Per Line'!$F$2:$F$3001,$AD395)&amp;"")</f>
        <v/>
      </c>
      <c r="K395">
        <f>IF($AD395="","",INDEX('Per Line'!$K$2:$K$3001,$AD395)&amp;"")</f>
        <v/>
      </c>
      <c r="L395">
        <f>IF($AD395="","",INDEX('Per Line'!$L$2:$L$3001,$AD395)&amp;"")</f>
        <v/>
      </c>
      <c r="M395">
        <f>IF($AD395="","",INDEX('Per Line'!$M$2:$M$3001,$AD395)&amp;"")</f>
        <v/>
      </c>
      <c r="N395">
        <f>IF($AD395="","",INDEX('Per Line'!$AC$2:$AC$3001,$AD395)&amp;"")</f>
        <v/>
      </c>
      <c r="O395">
        <f>IF($AD395="","",INDEX('Per Line'!$P$2:$P$3001,$AD395))</f>
        <v/>
      </c>
      <c r="P395" s="7">
        <f>IF($AD395="","",IF(AND(ISNUMBER(Q395),Q395&gt;0,AB395&gt;Q395),O395*Q395/100+(AB395-Q395),O395*AB395/100))</f>
        <v/>
      </c>
      <c r="Q395">
        <f>IF($AD395="","",INDEX('Per Line'!$AG$2:$AG$3001,$AD395))</f>
        <v/>
      </c>
      <c r="R395">
        <f>IF($AD395="","",IF(AND(ISNUMBER(Q395),Q395&gt;0),AB395&gt;Q395,FALSE))</f>
        <v/>
      </c>
      <c r="S395" s="7">
        <f>IF($AD395="","",SUMIFS('Per Line'!$AB$2:$AB$3001,'Per Line'!$E$2:$E$3001,$B395,'Per Line'!$AQ$2:$AQ$3001,1))</f>
        <v/>
      </c>
      <c r="T395">
        <f>IF($AD395="","",Settings!$C$7)</f>
        <v/>
      </c>
      <c r="U395" s="7">
        <f>IF($AD395="","",SUMIFS('Per Line'!$AB$2:$AB$3001,'Per Line'!$E$2:$E$3001,$B395,'Per Line'!$AP$2:$AP$3001,0,'Per Line'!$AQ$2:$AQ$3001,0))</f>
        <v/>
      </c>
      <c r="V395" s="7">
        <f>IF($AD395="","",U395*T395)</f>
        <v/>
      </c>
      <c r="W395">
        <f>IF($AD395="","",Settings!$C$6)</f>
        <v/>
      </c>
      <c r="X395" s="7">
        <f>IF($AD395="","",SUMIFS('Per Line'!$AB$2:$AB$3001,'Per Line'!$E$2:$E$3001,$B395,'Per Line'!$AP$2:$AP$3001,1,'Per Line'!$AQ$2:$AQ$3001,0))</f>
        <v/>
      </c>
      <c r="Y395" s="7">
        <f>IF($AD395="","",X395*W395)</f>
        <v/>
      </c>
      <c r="Z395" s="7">
        <f>IF($AD395="","",Y395+V395)</f>
        <v/>
      </c>
      <c r="AA395" s="7">
        <f>IF($AD395="","",AB395-Z395)</f>
        <v/>
      </c>
      <c r="AB395" s="7">
        <f>IF($AD395="","",U395+X395+S395)</f>
        <v/>
      </c>
      <c r="AC395" s="7">
        <f>IF($AD395="","",AB395-Z395-P395)</f>
        <v/>
      </c>
      <c r="AD395" s="13">
        <f>IF(ROWS($AD$2:$AD395)&lt;=MAX('Per Line'!$AO$2:$AO$3001),MATCH(ROWS($AD$2:$AD395),'Per Line'!$AO$2:$AO$3001,0),"")</f>
        <v/>
      </c>
      <c r="AE395" s="14">
        <f>IF($AD395="","",P395-O395*AB395/100)</f>
        <v/>
      </c>
    </row>
    <row r="396">
      <c r="A396" s="12" t="n"/>
      <c r="B396">
        <f>IF($AD396="","",INDEX('Per Line'!$E$2:$E$3001,$AD396)&amp;"")</f>
        <v/>
      </c>
      <c r="C396">
        <f>IF($AD396="","",INDEX('Per Line'!$A$2:$A$3001,$AD396)&amp;"")</f>
        <v/>
      </c>
      <c r="D396">
        <f>IF($AD396="","",INDEX('Per Line'!$C$2:$C$3001,$AD396)&amp;"")</f>
        <v/>
      </c>
      <c r="E396">
        <f>IF($AD396="","",INDEX('Per Line'!$B$2:$B$3001,$AD396))</f>
        <v/>
      </c>
      <c r="F396">
        <f>IF($AD396="","",INDEX('Per Line'!$D$2:$D$3001,$AD396)&amp;"")</f>
        <v/>
      </c>
      <c r="G396" s="11">
        <f>IF($AD396="","",INDEX('Per Line'!$G$2:$G$3001,$AD396))</f>
        <v/>
      </c>
      <c r="H396">
        <f>IF($AD396="","",INDEX('Per Line'!$J$2:$J$3001,$AD396)&amp;"")</f>
        <v/>
      </c>
      <c r="I396">
        <f>IF($AD396="","",INDEX('Per Line'!$H$2:$H$3001,$AD396)&amp;"")</f>
        <v/>
      </c>
      <c r="J396">
        <f>IF($AD396="","",INDEX('Per Line'!$F$2:$F$3001,$AD396)&amp;"")</f>
        <v/>
      </c>
      <c r="K396">
        <f>IF($AD396="","",INDEX('Per Line'!$K$2:$K$3001,$AD396)&amp;"")</f>
        <v/>
      </c>
      <c r="L396">
        <f>IF($AD396="","",INDEX('Per Line'!$L$2:$L$3001,$AD396)&amp;"")</f>
        <v/>
      </c>
      <c r="M396">
        <f>IF($AD396="","",INDEX('Per Line'!$M$2:$M$3001,$AD396)&amp;"")</f>
        <v/>
      </c>
      <c r="N396">
        <f>IF($AD396="","",INDEX('Per Line'!$AC$2:$AC$3001,$AD396)&amp;"")</f>
        <v/>
      </c>
      <c r="O396">
        <f>IF($AD396="","",INDEX('Per Line'!$P$2:$P$3001,$AD396))</f>
        <v/>
      </c>
      <c r="P396" s="7">
        <f>IF($AD396="","",IF(AND(ISNUMBER(Q396),Q396&gt;0,AB396&gt;Q396),O396*Q396/100+(AB396-Q396),O396*AB396/100))</f>
        <v/>
      </c>
      <c r="Q396">
        <f>IF($AD396="","",INDEX('Per Line'!$AG$2:$AG$3001,$AD396))</f>
        <v/>
      </c>
      <c r="R396">
        <f>IF($AD396="","",IF(AND(ISNUMBER(Q396),Q396&gt;0),AB396&gt;Q396,FALSE))</f>
        <v/>
      </c>
      <c r="S396" s="7">
        <f>IF($AD396="","",SUMIFS('Per Line'!$AB$2:$AB$3001,'Per Line'!$E$2:$E$3001,$B396,'Per Line'!$AQ$2:$AQ$3001,1))</f>
        <v/>
      </c>
      <c r="T396">
        <f>IF($AD396="","",Settings!$C$7)</f>
        <v/>
      </c>
      <c r="U396" s="7">
        <f>IF($AD396="","",SUMIFS('Per Line'!$AB$2:$AB$3001,'Per Line'!$E$2:$E$3001,$B396,'Per Line'!$AP$2:$AP$3001,0,'Per Line'!$AQ$2:$AQ$3001,0))</f>
        <v/>
      </c>
      <c r="V396" s="7">
        <f>IF($AD396="","",U396*T396)</f>
        <v/>
      </c>
      <c r="W396">
        <f>IF($AD396="","",Settings!$C$6)</f>
        <v/>
      </c>
      <c r="X396" s="7">
        <f>IF($AD396="","",SUMIFS('Per Line'!$AB$2:$AB$3001,'Per Line'!$E$2:$E$3001,$B396,'Per Line'!$AP$2:$AP$3001,1,'Per Line'!$AQ$2:$AQ$3001,0))</f>
        <v/>
      </c>
      <c r="Y396" s="7">
        <f>IF($AD396="","",X396*W396)</f>
        <v/>
      </c>
      <c r="Z396" s="7">
        <f>IF($AD396="","",Y396+V396)</f>
        <v/>
      </c>
      <c r="AA396" s="7">
        <f>IF($AD396="","",AB396-Z396)</f>
        <v/>
      </c>
      <c r="AB396" s="7">
        <f>IF($AD396="","",U396+X396+S396)</f>
        <v/>
      </c>
      <c r="AC396" s="7">
        <f>IF($AD396="","",AB396-Z396-P396)</f>
        <v/>
      </c>
      <c r="AD396" s="13">
        <f>IF(ROWS($AD$2:$AD396)&lt;=MAX('Per Line'!$AO$2:$AO$3001),MATCH(ROWS($AD$2:$AD396),'Per Line'!$AO$2:$AO$3001,0),"")</f>
        <v/>
      </c>
      <c r="AE396" s="14">
        <f>IF($AD396="","",P396-O396*AB396/100)</f>
        <v/>
      </c>
    </row>
    <row r="397">
      <c r="A397" s="12" t="n"/>
      <c r="B397">
        <f>IF($AD397="","",INDEX('Per Line'!$E$2:$E$3001,$AD397)&amp;"")</f>
        <v/>
      </c>
      <c r="C397">
        <f>IF($AD397="","",INDEX('Per Line'!$A$2:$A$3001,$AD397)&amp;"")</f>
        <v/>
      </c>
      <c r="D397">
        <f>IF($AD397="","",INDEX('Per Line'!$C$2:$C$3001,$AD397)&amp;"")</f>
        <v/>
      </c>
      <c r="E397">
        <f>IF($AD397="","",INDEX('Per Line'!$B$2:$B$3001,$AD397))</f>
        <v/>
      </c>
      <c r="F397">
        <f>IF($AD397="","",INDEX('Per Line'!$D$2:$D$3001,$AD397)&amp;"")</f>
        <v/>
      </c>
      <c r="G397" s="11">
        <f>IF($AD397="","",INDEX('Per Line'!$G$2:$G$3001,$AD397))</f>
        <v/>
      </c>
      <c r="H397">
        <f>IF($AD397="","",INDEX('Per Line'!$J$2:$J$3001,$AD397)&amp;"")</f>
        <v/>
      </c>
      <c r="I397">
        <f>IF($AD397="","",INDEX('Per Line'!$H$2:$H$3001,$AD397)&amp;"")</f>
        <v/>
      </c>
      <c r="J397">
        <f>IF($AD397="","",INDEX('Per Line'!$F$2:$F$3001,$AD397)&amp;"")</f>
        <v/>
      </c>
      <c r="K397">
        <f>IF($AD397="","",INDEX('Per Line'!$K$2:$K$3001,$AD397)&amp;"")</f>
        <v/>
      </c>
      <c r="L397">
        <f>IF($AD397="","",INDEX('Per Line'!$L$2:$L$3001,$AD397)&amp;"")</f>
        <v/>
      </c>
      <c r="M397">
        <f>IF($AD397="","",INDEX('Per Line'!$M$2:$M$3001,$AD397)&amp;"")</f>
        <v/>
      </c>
      <c r="N397">
        <f>IF($AD397="","",INDEX('Per Line'!$AC$2:$AC$3001,$AD397)&amp;"")</f>
        <v/>
      </c>
      <c r="O397">
        <f>IF($AD397="","",INDEX('Per Line'!$P$2:$P$3001,$AD397))</f>
        <v/>
      </c>
      <c r="P397" s="7">
        <f>IF($AD397="","",IF(AND(ISNUMBER(Q397),Q397&gt;0,AB397&gt;Q397),O397*Q397/100+(AB397-Q397),O397*AB397/100))</f>
        <v/>
      </c>
      <c r="Q397">
        <f>IF($AD397="","",INDEX('Per Line'!$AG$2:$AG$3001,$AD397))</f>
        <v/>
      </c>
      <c r="R397">
        <f>IF($AD397="","",IF(AND(ISNUMBER(Q397),Q397&gt;0),AB397&gt;Q397,FALSE))</f>
        <v/>
      </c>
      <c r="S397" s="7">
        <f>IF($AD397="","",SUMIFS('Per Line'!$AB$2:$AB$3001,'Per Line'!$E$2:$E$3001,$B397,'Per Line'!$AQ$2:$AQ$3001,1))</f>
        <v/>
      </c>
      <c r="T397">
        <f>IF($AD397="","",Settings!$C$7)</f>
        <v/>
      </c>
      <c r="U397" s="7">
        <f>IF($AD397="","",SUMIFS('Per Line'!$AB$2:$AB$3001,'Per Line'!$E$2:$E$3001,$B397,'Per Line'!$AP$2:$AP$3001,0,'Per Line'!$AQ$2:$AQ$3001,0))</f>
        <v/>
      </c>
      <c r="V397" s="7">
        <f>IF($AD397="","",U397*T397)</f>
        <v/>
      </c>
      <c r="W397">
        <f>IF($AD397="","",Settings!$C$6)</f>
        <v/>
      </c>
      <c r="X397" s="7">
        <f>IF($AD397="","",SUMIFS('Per Line'!$AB$2:$AB$3001,'Per Line'!$E$2:$E$3001,$B397,'Per Line'!$AP$2:$AP$3001,1,'Per Line'!$AQ$2:$AQ$3001,0))</f>
        <v/>
      </c>
      <c r="Y397" s="7">
        <f>IF($AD397="","",X397*W397)</f>
        <v/>
      </c>
      <c r="Z397" s="7">
        <f>IF($AD397="","",Y397+V397)</f>
        <v/>
      </c>
      <c r="AA397" s="7">
        <f>IF($AD397="","",AB397-Z397)</f>
        <v/>
      </c>
      <c r="AB397" s="7">
        <f>IF($AD397="","",U397+X397+S397)</f>
        <v/>
      </c>
      <c r="AC397" s="7">
        <f>IF($AD397="","",AB397-Z397-P397)</f>
        <v/>
      </c>
      <c r="AD397" s="13">
        <f>IF(ROWS($AD$2:$AD397)&lt;=MAX('Per Line'!$AO$2:$AO$3001),MATCH(ROWS($AD$2:$AD397),'Per Line'!$AO$2:$AO$3001,0),"")</f>
        <v/>
      </c>
      <c r="AE397" s="14">
        <f>IF($AD397="","",P397-O397*AB397/100)</f>
        <v/>
      </c>
    </row>
    <row r="398">
      <c r="A398" s="12" t="n"/>
      <c r="B398">
        <f>IF($AD398="","",INDEX('Per Line'!$E$2:$E$3001,$AD398)&amp;"")</f>
        <v/>
      </c>
      <c r="C398">
        <f>IF($AD398="","",INDEX('Per Line'!$A$2:$A$3001,$AD398)&amp;"")</f>
        <v/>
      </c>
      <c r="D398">
        <f>IF($AD398="","",INDEX('Per Line'!$C$2:$C$3001,$AD398)&amp;"")</f>
        <v/>
      </c>
      <c r="E398">
        <f>IF($AD398="","",INDEX('Per Line'!$B$2:$B$3001,$AD398))</f>
        <v/>
      </c>
      <c r="F398">
        <f>IF($AD398="","",INDEX('Per Line'!$D$2:$D$3001,$AD398)&amp;"")</f>
        <v/>
      </c>
      <c r="G398" s="11">
        <f>IF($AD398="","",INDEX('Per Line'!$G$2:$G$3001,$AD398))</f>
        <v/>
      </c>
      <c r="H398">
        <f>IF($AD398="","",INDEX('Per Line'!$J$2:$J$3001,$AD398)&amp;"")</f>
        <v/>
      </c>
      <c r="I398">
        <f>IF($AD398="","",INDEX('Per Line'!$H$2:$H$3001,$AD398)&amp;"")</f>
        <v/>
      </c>
      <c r="J398">
        <f>IF($AD398="","",INDEX('Per Line'!$F$2:$F$3001,$AD398)&amp;"")</f>
        <v/>
      </c>
      <c r="K398">
        <f>IF($AD398="","",INDEX('Per Line'!$K$2:$K$3001,$AD398)&amp;"")</f>
        <v/>
      </c>
      <c r="L398">
        <f>IF($AD398="","",INDEX('Per Line'!$L$2:$L$3001,$AD398)&amp;"")</f>
        <v/>
      </c>
      <c r="M398">
        <f>IF($AD398="","",INDEX('Per Line'!$M$2:$M$3001,$AD398)&amp;"")</f>
        <v/>
      </c>
      <c r="N398">
        <f>IF($AD398="","",INDEX('Per Line'!$AC$2:$AC$3001,$AD398)&amp;"")</f>
        <v/>
      </c>
      <c r="O398">
        <f>IF($AD398="","",INDEX('Per Line'!$P$2:$P$3001,$AD398))</f>
        <v/>
      </c>
      <c r="P398" s="7">
        <f>IF($AD398="","",IF(AND(ISNUMBER(Q398),Q398&gt;0,AB398&gt;Q398),O398*Q398/100+(AB398-Q398),O398*AB398/100))</f>
        <v/>
      </c>
      <c r="Q398">
        <f>IF($AD398="","",INDEX('Per Line'!$AG$2:$AG$3001,$AD398))</f>
        <v/>
      </c>
      <c r="R398">
        <f>IF($AD398="","",IF(AND(ISNUMBER(Q398),Q398&gt;0),AB398&gt;Q398,FALSE))</f>
        <v/>
      </c>
      <c r="S398" s="7">
        <f>IF($AD398="","",SUMIFS('Per Line'!$AB$2:$AB$3001,'Per Line'!$E$2:$E$3001,$B398,'Per Line'!$AQ$2:$AQ$3001,1))</f>
        <v/>
      </c>
      <c r="T398">
        <f>IF($AD398="","",Settings!$C$7)</f>
        <v/>
      </c>
      <c r="U398" s="7">
        <f>IF($AD398="","",SUMIFS('Per Line'!$AB$2:$AB$3001,'Per Line'!$E$2:$E$3001,$B398,'Per Line'!$AP$2:$AP$3001,0,'Per Line'!$AQ$2:$AQ$3001,0))</f>
        <v/>
      </c>
      <c r="V398" s="7">
        <f>IF($AD398="","",U398*T398)</f>
        <v/>
      </c>
      <c r="W398">
        <f>IF($AD398="","",Settings!$C$6)</f>
        <v/>
      </c>
      <c r="X398" s="7">
        <f>IF($AD398="","",SUMIFS('Per Line'!$AB$2:$AB$3001,'Per Line'!$E$2:$E$3001,$B398,'Per Line'!$AP$2:$AP$3001,1,'Per Line'!$AQ$2:$AQ$3001,0))</f>
        <v/>
      </c>
      <c r="Y398" s="7">
        <f>IF($AD398="","",X398*W398)</f>
        <v/>
      </c>
      <c r="Z398" s="7">
        <f>IF($AD398="","",Y398+V398)</f>
        <v/>
      </c>
      <c r="AA398" s="7">
        <f>IF($AD398="","",AB398-Z398)</f>
        <v/>
      </c>
      <c r="AB398" s="7">
        <f>IF($AD398="","",U398+X398+S398)</f>
        <v/>
      </c>
      <c r="AC398" s="7">
        <f>IF($AD398="","",AB398-Z398-P398)</f>
        <v/>
      </c>
      <c r="AD398" s="13">
        <f>IF(ROWS($AD$2:$AD398)&lt;=MAX('Per Line'!$AO$2:$AO$3001),MATCH(ROWS($AD$2:$AD398),'Per Line'!$AO$2:$AO$3001,0),"")</f>
        <v/>
      </c>
      <c r="AE398" s="14">
        <f>IF($AD398="","",P398-O398*AB398/100)</f>
        <v/>
      </c>
    </row>
    <row r="399">
      <c r="A399" s="12" t="n"/>
      <c r="B399">
        <f>IF($AD399="","",INDEX('Per Line'!$E$2:$E$3001,$AD399)&amp;"")</f>
        <v/>
      </c>
      <c r="C399">
        <f>IF($AD399="","",INDEX('Per Line'!$A$2:$A$3001,$AD399)&amp;"")</f>
        <v/>
      </c>
      <c r="D399">
        <f>IF($AD399="","",INDEX('Per Line'!$C$2:$C$3001,$AD399)&amp;"")</f>
        <v/>
      </c>
      <c r="E399">
        <f>IF($AD399="","",INDEX('Per Line'!$B$2:$B$3001,$AD399))</f>
        <v/>
      </c>
      <c r="F399">
        <f>IF($AD399="","",INDEX('Per Line'!$D$2:$D$3001,$AD399)&amp;"")</f>
        <v/>
      </c>
      <c r="G399" s="11">
        <f>IF($AD399="","",INDEX('Per Line'!$G$2:$G$3001,$AD399))</f>
        <v/>
      </c>
      <c r="H399">
        <f>IF($AD399="","",INDEX('Per Line'!$J$2:$J$3001,$AD399)&amp;"")</f>
        <v/>
      </c>
      <c r="I399">
        <f>IF($AD399="","",INDEX('Per Line'!$H$2:$H$3001,$AD399)&amp;"")</f>
        <v/>
      </c>
      <c r="J399">
        <f>IF($AD399="","",INDEX('Per Line'!$F$2:$F$3001,$AD399)&amp;"")</f>
        <v/>
      </c>
      <c r="K399">
        <f>IF($AD399="","",INDEX('Per Line'!$K$2:$K$3001,$AD399)&amp;"")</f>
        <v/>
      </c>
      <c r="L399">
        <f>IF($AD399="","",INDEX('Per Line'!$L$2:$L$3001,$AD399)&amp;"")</f>
        <v/>
      </c>
      <c r="M399">
        <f>IF($AD399="","",INDEX('Per Line'!$M$2:$M$3001,$AD399)&amp;"")</f>
        <v/>
      </c>
      <c r="N399">
        <f>IF($AD399="","",INDEX('Per Line'!$AC$2:$AC$3001,$AD399)&amp;"")</f>
        <v/>
      </c>
      <c r="O399">
        <f>IF($AD399="","",INDEX('Per Line'!$P$2:$P$3001,$AD399))</f>
        <v/>
      </c>
      <c r="P399" s="7">
        <f>IF($AD399="","",IF(AND(ISNUMBER(Q399),Q399&gt;0,AB399&gt;Q399),O399*Q399/100+(AB399-Q399),O399*AB399/100))</f>
        <v/>
      </c>
      <c r="Q399">
        <f>IF($AD399="","",INDEX('Per Line'!$AG$2:$AG$3001,$AD399))</f>
        <v/>
      </c>
      <c r="R399">
        <f>IF($AD399="","",IF(AND(ISNUMBER(Q399),Q399&gt;0),AB399&gt;Q399,FALSE))</f>
        <v/>
      </c>
      <c r="S399" s="7">
        <f>IF($AD399="","",SUMIFS('Per Line'!$AB$2:$AB$3001,'Per Line'!$E$2:$E$3001,$B399,'Per Line'!$AQ$2:$AQ$3001,1))</f>
        <v/>
      </c>
      <c r="T399">
        <f>IF($AD399="","",Settings!$C$7)</f>
        <v/>
      </c>
      <c r="U399" s="7">
        <f>IF($AD399="","",SUMIFS('Per Line'!$AB$2:$AB$3001,'Per Line'!$E$2:$E$3001,$B399,'Per Line'!$AP$2:$AP$3001,0,'Per Line'!$AQ$2:$AQ$3001,0))</f>
        <v/>
      </c>
      <c r="V399" s="7">
        <f>IF($AD399="","",U399*T399)</f>
        <v/>
      </c>
      <c r="W399">
        <f>IF($AD399="","",Settings!$C$6)</f>
        <v/>
      </c>
      <c r="X399" s="7">
        <f>IF($AD399="","",SUMIFS('Per Line'!$AB$2:$AB$3001,'Per Line'!$E$2:$E$3001,$B399,'Per Line'!$AP$2:$AP$3001,1,'Per Line'!$AQ$2:$AQ$3001,0))</f>
        <v/>
      </c>
      <c r="Y399" s="7">
        <f>IF($AD399="","",X399*W399)</f>
        <v/>
      </c>
      <c r="Z399" s="7">
        <f>IF($AD399="","",Y399+V399)</f>
        <v/>
      </c>
      <c r="AA399" s="7">
        <f>IF($AD399="","",AB399-Z399)</f>
        <v/>
      </c>
      <c r="AB399" s="7">
        <f>IF($AD399="","",U399+X399+S399)</f>
        <v/>
      </c>
      <c r="AC399" s="7">
        <f>IF($AD399="","",AB399-Z399-P399)</f>
        <v/>
      </c>
      <c r="AD399" s="13">
        <f>IF(ROWS($AD$2:$AD399)&lt;=MAX('Per Line'!$AO$2:$AO$3001),MATCH(ROWS($AD$2:$AD399),'Per Line'!$AO$2:$AO$3001,0),"")</f>
        <v/>
      </c>
      <c r="AE399" s="14">
        <f>IF($AD399="","",P399-O399*AB399/100)</f>
        <v/>
      </c>
    </row>
    <row r="400">
      <c r="A400" s="12" t="n"/>
      <c r="B400">
        <f>IF($AD400="","",INDEX('Per Line'!$E$2:$E$3001,$AD400)&amp;"")</f>
        <v/>
      </c>
      <c r="C400">
        <f>IF($AD400="","",INDEX('Per Line'!$A$2:$A$3001,$AD400)&amp;"")</f>
        <v/>
      </c>
      <c r="D400">
        <f>IF($AD400="","",INDEX('Per Line'!$C$2:$C$3001,$AD400)&amp;"")</f>
        <v/>
      </c>
      <c r="E400">
        <f>IF($AD400="","",INDEX('Per Line'!$B$2:$B$3001,$AD400))</f>
        <v/>
      </c>
      <c r="F400">
        <f>IF($AD400="","",INDEX('Per Line'!$D$2:$D$3001,$AD400)&amp;"")</f>
        <v/>
      </c>
      <c r="G400" s="11">
        <f>IF($AD400="","",INDEX('Per Line'!$G$2:$G$3001,$AD400))</f>
        <v/>
      </c>
      <c r="H400">
        <f>IF($AD400="","",INDEX('Per Line'!$J$2:$J$3001,$AD400)&amp;"")</f>
        <v/>
      </c>
      <c r="I400">
        <f>IF($AD400="","",INDEX('Per Line'!$H$2:$H$3001,$AD400)&amp;"")</f>
        <v/>
      </c>
      <c r="J400">
        <f>IF($AD400="","",INDEX('Per Line'!$F$2:$F$3001,$AD400)&amp;"")</f>
        <v/>
      </c>
      <c r="K400">
        <f>IF($AD400="","",INDEX('Per Line'!$K$2:$K$3001,$AD400)&amp;"")</f>
        <v/>
      </c>
      <c r="L400">
        <f>IF($AD400="","",INDEX('Per Line'!$L$2:$L$3001,$AD400)&amp;"")</f>
        <v/>
      </c>
      <c r="M400">
        <f>IF($AD400="","",INDEX('Per Line'!$M$2:$M$3001,$AD400)&amp;"")</f>
        <v/>
      </c>
      <c r="N400">
        <f>IF($AD400="","",INDEX('Per Line'!$AC$2:$AC$3001,$AD400)&amp;"")</f>
        <v/>
      </c>
      <c r="O400">
        <f>IF($AD400="","",INDEX('Per Line'!$P$2:$P$3001,$AD400))</f>
        <v/>
      </c>
      <c r="P400" s="7">
        <f>IF($AD400="","",IF(AND(ISNUMBER(Q400),Q400&gt;0,AB400&gt;Q400),O400*Q400/100+(AB400-Q400),O400*AB400/100))</f>
        <v/>
      </c>
      <c r="Q400">
        <f>IF($AD400="","",INDEX('Per Line'!$AG$2:$AG$3001,$AD400))</f>
        <v/>
      </c>
      <c r="R400">
        <f>IF($AD400="","",IF(AND(ISNUMBER(Q400),Q400&gt;0),AB400&gt;Q400,FALSE))</f>
        <v/>
      </c>
      <c r="S400" s="7">
        <f>IF($AD400="","",SUMIFS('Per Line'!$AB$2:$AB$3001,'Per Line'!$E$2:$E$3001,$B400,'Per Line'!$AQ$2:$AQ$3001,1))</f>
        <v/>
      </c>
      <c r="T400">
        <f>IF($AD400="","",Settings!$C$7)</f>
        <v/>
      </c>
      <c r="U400" s="7">
        <f>IF($AD400="","",SUMIFS('Per Line'!$AB$2:$AB$3001,'Per Line'!$E$2:$E$3001,$B400,'Per Line'!$AP$2:$AP$3001,0,'Per Line'!$AQ$2:$AQ$3001,0))</f>
        <v/>
      </c>
      <c r="V400" s="7">
        <f>IF($AD400="","",U400*T400)</f>
        <v/>
      </c>
      <c r="W400">
        <f>IF($AD400="","",Settings!$C$6)</f>
        <v/>
      </c>
      <c r="X400" s="7">
        <f>IF($AD400="","",SUMIFS('Per Line'!$AB$2:$AB$3001,'Per Line'!$E$2:$E$3001,$B400,'Per Line'!$AP$2:$AP$3001,1,'Per Line'!$AQ$2:$AQ$3001,0))</f>
        <v/>
      </c>
      <c r="Y400" s="7">
        <f>IF($AD400="","",X400*W400)</f>
        <v/>
      </c>
      <c r="Z400" s="7">
        <f>IF($AD400="","",Y400+V400)</f>
        <v/>
      </c>
      <c r="AA400" s="7">
        <f>IF($AD400="","",AB400-Z400)</f>
        <v/>
      </c>
      <c r="AB400" s="7">
        <f>IF($AD400="","",U400+X400+S400)</f>
        <v/>
      </c>
      <c r="AC400" s="7">
        <f>IF($AD400="","",AB400-Z400-P400)</f>
        <v/>
      </c>
      <c r="AD400" s="13">
        <f>IF(ROWS($AD$2:$AD400)&lt;=MAX('Per Line'!$AO$2:$AO$3001),MATCH(ROWS($AD$2:$AD400),'Per Line'!$AO$2:$AO$3001,0),"")</f>
        <v/>
      </c>
      <c r="AE400" s="14">
        <f>IF($AD400="","",P400-O400*AB400/100)</f>
        <v/>
      </c>
    </row>
    <row r="401">
      <c r="A401" s="12" t="n"/>
      <c r="B401">
        <f>IF($AD401="","",INDEX('Per Line'!$E$2:$E$3001,$AD401)&amp;"")</f>
        <v/>
      </c>
      <c r="C401">
        <f>IF($AD401="","",INDEX('Per Line'!$A$2:$A$3001,$AD401)&amp;"")</f>
        <v/>
      </c>
      <c r="D401">
        <f>IF($AD401="","",INDEX('Per Line'!$C$2:$C$3001,$AD401)&amp;"")</f>
        <v/>
      </c>
      <c r="E401">
        <f>IF($AD401="","",INDEX('Per Line'!$B$2:$B$3001,$AD401))</f>
        <v/>
      </c>
      <c r="F401">
        <f>IF($AD401="","",INDEX('Per Line'!$D$2:$D$3001,$AD401)&amp;"")</f>
        <v/>
      </c>
      <c r="G401" s="11">
        <f>IF($AD401="","",INDEX('Per Line'!$G$2:$G$3001,$AD401))</f>
        <v/>
      </c>
      <c r="H401">
        <f>IF($AD401="","",INDEX('Per Line'!$J$2:$J$3001,$AD401)&amp;"")</f>
        <v/>
      </c>
      <c r="I401">
        <f>IF($AD401="","",INDEX('Per Line'!$H$2:$H$3001,$AD401)&amp;"")</f>
        <v/>
      </c>
      <c r="J401">
        <f>IF($AD401="","",INDEX('Per Line'!$F$2:$F$3001,$AD401)&amp;"")</f>
        <v/>
      </c>
      <c r="K401">
        <f>IF($AD401="","",INDEX('Per Line'!$K$2:$K$3001,$AD401)&amp;"")</f>
        <v/>
      </c>
      <c r="L401">
        <f>IF($AD401="","",INDEX('Per Line'!$L$2:$L$3001,$AD401)&amp;"")</f>
        <v/>
      </c>
      <c r="M401">
        <f>IF($AD401="","",INDEX('Per Line'!$M$2:$M$3001,$AD401)&amp;"")</f>
        <v/>
      </c>
      <c r="N401">
        <f>IF($AD401="","",INDEX('Per Line'!$AC$2:$AC$3001,$AD401)&amp;"")</f>
        <v/>
      </c>
      <c r="O401">
        <f>IF($AD401="","",INDEX('Per Line'!$P$2:$P$3001,$AD401))</f>
        <v/>
      </c>
      <c r="P401" s="7">
        <f>IF($AD401="","",IF(AND(ISNUMBER(Q401),Q401&gt;0,AB401&gt;Q401),O401*Q401/100+(AB401-Q401),O401*AB401/100))</f>
        <v/>
      </c>
      <c r="Q401">
        <f>IF($AD401="","",INDEX('Per Line'!$AG$2:$AG$3001,$AD401))</f>
        <v/>
      </c>
      <c r="R401">
        <f>IF($AD401="","",IF(AND(ISNUMBER(Q401),Q401&gt;0),AB401&gt;Q401,FALSE))</f>
        <v/>
      </c>
      <c r="S401" s="7">
        <f>IF($AD401="","",SUMIFS('Per Line'!$AB$2:$AB$3001,'Per Line'!$E$2:$E$3001,$B401,'Per Line'!$AQ$2:$AQ$3001,1))</f>
        <v/>
      </c>
      <c r="T401">
        <f>IF($AD401="","",Settings!$C$7)</f>
        <v/>
      </c>
      <c r="U401" s="7">
        <f>IF($AD401="","",SUMIFS('Per Line'!$AB$2:$AB$3001,'Per Line'!$E$2:$E$3001,$B401,'Per Line'!$AP$2:$AP$3001,0,'Per Line'!$AQ$2:$AQ$3001,0))</f>
        <v/>
      </c>
      <c r="V401" s="7">
        <f>IF($AD401="","",U401*T401)</f>
        <v/>
      </c>
      <c r="W401">
        <f>IF($AD401="","",Settings!$C$6)</f>
        <v/>
      </c>
      <c r="X401" s="7">
        <f>IF($AD401="","",SUMIFS('Per Line'!$AB$2:$AB$3001,'Per Line'!$E$2:$E$3001,$B401,'Per Line'!$AP$2:$AP$3001,1,'Per Line'!$AQ$2:$AQ$3001,0))</f>
        <v/>
      </c>
      <c r="Y401" s="7">
        <f>IF($AD401="","",X401*W401)</f>
        <v/>
      </c>
      <c r="Z401" s="7">
        <f>IF($AD401="","",Y401+V401)</f>
        <v/>
      </c>
      <c r="AA401" s="7">
        <f>IF($AD401="","",AB401-Z401)</f>
        <v/>
      </c>
      <c r="AB401" s="7">
        <f>IF($AD401="","",U401+X401+S401)</f>
        <v/>
      </c>
      <c r="AC401" s="7">
        <f>IF($AD401="","",AB401-Z401-P401)</f>
        <v/>
      </c>
      <c r="AD401" s="13">
        <f>IF(ROWS($AD$2:$AD401)&lt;=MAX('Per Line'!$AO$2:$AO$3001),MATCH(ROWS($AD$2:$AD401),'Per Line'!$AO$2:$AO$3001,0),"")</f>
        <v/>
      </c>
      <c r="AE401" s="14">
        <f>IF($AD401="","",P401-O401*AB401/100)</f>
        <v/>
      </c>
    </row>
    <row r="402">
      <c r="A402" s="12" t="n"/>
      <c r="B402">
        <f>IF($AD402="","",INDEX('Per Line'!$E$2:$E$3001,$AD402)&amp;"")</f>
        <v/>
      </c>
      <c r="C402">
        <f>IF($AD402="","",INDEX('Per Line'!$A$2:$A$3001,$AD402)&amp;"")</f>
        <v/>
      </c>
      <c r="D402">
        <f>IF($AD402="","",INDEX('Per Line'!$C$2:$C$3001,$AD402)&amp;"")</f>
        <v/>
      </c>
      <c r="E402">
        <f>IF($AD402="","",INDEX('Per Line'!$B$2:$B$3001,$AD402))</f>
        <v/>
      </c>
      <c r="F402">
        <f>IF($AD402="","",INDEX('Per Line'!$D$2:$D$3001,$AD402)&amp;"")</f>
        <v/>
      </c>
      <c r="G402" s="11">
        <f>IF($AD402="","",INDEX('Per Line'!$G$2:$G$3001,$AD402))</f>
        <v/>
      </c>
      <c r="H402">
        <f>IF($AD402="","",INDEX('Per Line'!$J$2:$J$3001,$AD402)&amp;"")</f>
        <v/>
      </c>
      <c r="I402">
        <f>IF($AD402="","",INDEX('Per Line'!$H$2:$H$3001,$AD402)&amp;"")</f>
        <v/>
      </c>
      <c r="J402">
        <f>IF($AD402="","",INDEX('Per Line'!$F$2:$F$3001,$AD402)&amp;"")</f>
        <v/>
      </c>
      <c r="K402">
        <f>IF($AD402="","",INDEX('Per Line'!$K$2:$K$3001,$AD402)&amp;"")</f>
        <v/>
      </c>
      <c r="L402">
        <f>IF($AD402="","",INDEX('Per Line'!$L$2:$L$3001,$AD402)&amp;"")</f>
        <v/>
      </c>
      <c r="M402">
        <f>IF($AD402="","",INDEX('Per Line'!$M$2:$M$3001,$AD402)&amp;"")</f>
        <v/>
      </c>
      <c r="N402">
        <f>IF($AD402="","",INDEX('Per Line'!$AC$2:$AC$3001,$AD402)&amp;"")</f>
        <v/>
      </c>
      <c r="O402">
        <f>IF($AD402="","",INDEX('Per Line'!$P$2:$P$3001,$AD402))</f>
        <v/>
      </c>
      <c r="P402" s="7">
        <f>IF($AD402="","",IF(AND(ISNUMBER(Q402),Q402&gt;0,AB402&gt;Q402),O402*Q402/100+(AB402-Q402),O402*AB402/100))</f>
        <v/>
      </c>
      <c r="Q402">
        <f>IF($AD402="","",INDEX('Per Line'!$AG$2:$AG$3001,$AD402))</f>
        <v/>
      </c>
      <c r="R402">
        <f>IF($AD402="","",IF(AND(ISNUMBER(Q402),Q402&gt;0),AB402&gt;Q402,FALSE))</f>
        <v/>
      </c>
      <c r="S402" s="7">
        <f>IF($AD402="","",SUMIFS('Per Line'!$AB$2:$AB$3001,'Per Line'!$E$2:$E$3001,$B402,'Per Line'!$AQ$2:$AQ$3001,1))</f>
        <v/>
      </c>
      <c r="T402">
        <f>IF($AD402="","",Settings!$C$7)</f>
        <v/>
      </c>
      <c r="U402" s="7">
        <f>IF($AD402="","",SUMIFS('Per Line'!$AB$2:$AB$3001,'Per Line'!$E$2:$E$3001,$B402,'Per Line'!$AP$2:$AP$3001,0,'Per Line'!$AQ$2:$AQ$3001,0))</f>
        <v/>
      </c>
      <c r="V402" s="7">
        <f>IF($AD402="","",U402*T402)</f>
        <v/>
      </c>
      <c r="W402">
        <f>IF($AD402="","",Settings!$C$6)</f>
        <v/>
      </c>
      <c r="X402" s="7">
        <f>IF($AD402="","",SUMIFS('Per Line'!$AB$2:$AB$3001,'Per Line'!$E$2:$E$3001,$B402,'Per Line'!$AP$2:$AP$3001,1,'Per Line'!$AQ$2:$AQ$3001,0))</f>
        <v/>
      </c>
      <c r="Y402" s="7">
        <f>IF($AD402="","",X402*W402)</f>
        <v/>
      </c>
      <c r="Z402" s="7">
        <f>IF($AD402="","",Y402+V402)</f>
        <v/>
      </c>
      <c r="AA402" s="7">
        <f>IF($AD402="","",AB402-Z402)</f>
        <v/>
      </c>
      <c r="AB402" s="7">
        <f>IF($AD402="","",U402+X402+S402)</f>
        <v/>
      </c>
      <c r="AC402" s="7">
        <f>IF($AD402="","",AB402-Z402-P402)</f>
        <v/>
      </c>
      <c r="AD402" s="13">
        <f>IF(ROWS($AD$2:$AD402)&lt;=MAX('Per Line'!$AO$2:$AO$3001),MATCH(ROWS($AD$2:$AD402),'Per Line'!$AO$2:$AO$3001,0),"")</f>
        <v/>
      </c>
      <c r="AE402" s="14">
        <f>IF($AD402="","",P402-O402*AB402/100)</f>
        <v/>
      </c>
    </row>
    <row r="403">
      <c r="A403" s="12" t="n"/>
      <c r="B403">
        <f>IF($AD403="","",INDEX('Per Line'!$E$2:$E$3001,$AD403)&amp;"")</f>
        <v/>
      </c>
      <c r="C403">
        <f>IF($AD403="","",INDEX('Per Line'!$A$2:$A$3001,$AD403)&amp;"")</f>
        <v/>
      </c>
      <c r="D403">
        <f>IF($AD403="","",INDEX('Per Line'!$C$2:$C$3001,$AD403)&amp;"")</f>
        <v/>
      </c>
      <c r="E403">
        <f>IF($AD403="","",INDEX('Per Line'!$B$2:$B$3001,$AD403))</f>
        <v/>
      </c>
      <c r="F403">
        <f>IF($AD403="","",INDEX('Per Line'!$D$2:$D$3001,$AD403)&amp;"")</f>
        <v/>
      </c>
      <c r="G403" s="11">
        <f>IF($AD403="","",INDEX('Per Line'!$G$2:$G$3001,$AD403))</f>
        <v/>
      </c>
      <c r="H403">
        <f>IF($AD403="","",INDEX('Per Line'!$J$2:$J$3001,$AD403)&amp;"")</f>
        <v/>
      </c>
      <c r="I403">
        <f>IF($AD403="","",INDEX('Per Line'!$H$2:$H$3001,$AD403)&amp;"")</f>
        <v/>
      </c>
      <c r="J403">
        <f>IF($AD403="","",INDEX('Per Line'!$F$2:$F$3001,$AD403)&amp;"")</f>
        <v/>
      </c>
      <c r="K403">
        <f>IF($AD403="","",INDEX('Per Line'!$K$2:$K$3001,$AD403)&amp;"")</f>
        <v/>
      </c>
      <c r="L403">
        <f>IF($AD403="","",INDEX('Per Line'!$L$2:$L$3001,$AD403)&amp;"")</f>
        <v/>
      </c>
      <c r="M403">
        <f>IF($AD403="","",INDEX('Per Line'!$M$2:$M$3001,$AD403)&amp;"")</f>
        <v/>
      </c>
      <c r="N403">
        <f>IF($AD403="","",INDEX('Per Line'!$AC$2:$AC$3001,$AD403)&amp;"")</f>
        <v/>
      </c>
      <c r="O403">
        <f>IF($AD403="","",INDEX('Per Line'!$P$2:$P$3001,$AD403))</f>
        <v/>
      </c>
      <c r="P403" s="7">
        <f>IF($AD403="","",IF(AND(ISNUMBER(Q403),Q403&gt;0,AB403&gt;Q403),O403*Q403/100+(AB403-Q403),O403*AB403/100))</f>
        <v/>
      </c>
      <c r="Q403">
        <f>IF($AD403="","",INDEX('Per Line'!$AG$2:$AG$3001,$AD403))</f>
        <v/>
      </c>
      <c r="R403">
        <f>IF($AD403="","",IF(AND(ISNUMBER(Q403),Q403&gt;0),AB403&gt;Q403,FALSE))</f>
        <v/>
      </c>
      <c r="S403" s="7">
        <f>IF($AD403="","",SUMIFS('Per Line'!$AB$2:$AB$3001,'Per Line'!$E$2:$E$3001,$B403,'Per Line'!$AQ$2:$AQ$3001,1))</f>
        <v/>
      </c>
      <c r="T403">
        <f>IF($AD403="","",Settings!$C$7)</f>
        <v/>
      </c>
      <c r="U403" s="7">
        <f>IF($AD403="","",SUMIFS('Per Line'!$AB$2:$AB$3001,'Per Line'!$E$2:$E$3001,$B403,'Per Line'!$AP$2:$AP$3001,0,'Per Line'!$AQ$2:$AQ$3001,0))</f>
        <v/>
      </c>
      <c r="V403" s="7">
        <f>IF($AD403="","",U403*T403)</f>
        <v/>
      </c>
      <c r="W403">
        <f>IF($AD403="","",Settings!$C$6)</f>
        <v/>
      </c>
      <c r="X403" s="7">
        <f>IF($AD403="","",SUMIFS('Per Line'!$AB$2:$AB$3001,'Per Line'!$E$2:$E$3001,$B403,'Per Line'!$AP$2:$AP$3001,1,'Per Line'!$AQ$2:$AQ$3001,0))</f>
        <v/>
      </c>
      <c r="Y403" s="7">
        <f>IF($AD403="","",X403*W403)</f>
        <v/>
      </c>
      <c r="Z403" s="7">
        <f>IF($AD403="","",Y403+V403)</f>
        <v/>
      </c>
      <c r="AA403" s="7">
        <f>IF($AD403="","",AB403-Z403)</f>
        <v/>
      </c>
      <c r="AB403" s="7">
        <f>IF($AD403="","",U403+X403+S403)</f>
        <v/>
      </c>
      <c r="AC403" s="7">
        <f>IF($AD403="","",AB403-Z403-P403)</f>
        <v/>
      </c>
      <c r="AD403" s="13">
        <f>IF(ROWS($AD$2:$AD403)&lt;=MAX('Per Line'!$AO$2:$AO$3001),MATCH(ROWS($AD$2:$AD403),'Per Line'!$AO$2:$AO$3001,0),"")</f>
        <v/>
      </c>
      <c r="AE403" s="14">
        <f>IF($AD403="","",P403-O403*AB403/100)</f>
        <v/>
      </c>
    </row>
    <row r="404">
      <c r="A404" s="12" t="n"/>
      <c r="B404">
        <f>IF($AD404="","",INDEX('Per Line'!$E$2:$E$3001,$AD404)&amp;"")</f>
        <v/>
      </c>
      <c r="C404">
        <f>IF($AD404="","",INDEX('Per Line'!$A$2:$A$3001,$AD404)&amp;"")</f>
        <v/>
      </c>
      <c r="D404">
        <f>IF($AD404="","",INDEX('Per Line'!$C$2:$C$3001,$AD404)&amp;"")</f>
        <v/>
      </c>
      <c r="E404">
        <f>IF($AD404="","",INDEX('Per Line'!$B$2:$B$3001,$AD404))</f>
        <v/>
      </c>
      <c r="F404">
        <f>IF($AD404="","",INDEX('Per Line'!$D$2:$D$3001,$AD404)&amp;"")</f>
        <v/>
      </c>
      <c r="G404" s="11">
        <f>IF($AD404="","",INDEX('Per Line'!$G$2:$G$3001,$AD404))</f>
        <v/>
      </c>
      <c r="H404">
        <f>IF($AD404="","",INDEX('Per Line'!$J$2:$J$3001,$AD404)&amp;"")</f>
        <v/>
      </c>
      <c r="I404">
        <f>IF($AD404="","",INDEX('Per Line'!$H$2:$H$3001,$AD404)&amp;"")</f>
        <v/>
      </c>
      <c r="J404">
        <f>IF($AD404="","",INDEX('Per Line'!$F$2:$F$3001,$AD404)&amp;"")</f>
        <v/>
      </c>
      <c r="K404">
        <f>IF($AD404="","",INDEX('Per Line'!$K$2:$K$3001,$AD404)&amp;"")</f>
        <v/>
      </c>
      <c r="L404">
        <f>IF($AD404="","",INDEX('Per Line'!$L$2:$L$3001,$AD404)&amp;"")</f>
        <v/>
      </c>
      <c r="M404">
        <f>IF($AD404="","",INDEX('Per Line'!$M$2:$M$3001,$AD404)&amp;"")</f>
        <v/>
      </c>
      <c r="N404">
        <f>IF($AD404="","",INDEX('Per Line'!$AC$2:$AC$3001,$AD404)&amp;"")</f>
        <v/>
      </c>
      <c r="O404">
        <f>IF($AD404="","",INDEX('Per Line'!$P$2:$P$3001,$AD404))</f>
        <v/>
      </c>
      <c r="P404" s="7">
        <f>IF($AD404="","",IF(AND(ISNUMBER(Q404),Q404&gt;0,AB404&gt;Q404),O404*Q404/100+(AB404-Q404),O404*AB404/100))</f>
        <v/>
      </c>
      <c r="Q404">
        <f>IF($AD404="","",INDEX('Per Line'!$AG$2:$AG$3001,$AD404))</f>
        <v/>
      </c>
      <c r="R404">
        <f>IF($AD404="","",IF(AND(ISNUMBER(Q404),Q404&gt;0),AB404&gt;Q404,FALSE))</f>
        <v/>
      </c>
      <c r="S404" s="7">
        <f>IF($AD404="","",SUMIFS('Per Line'!$AB$2:$AB$3001,'Per Line'!$E$2:$E$3001,$B404,'Per Line'!$AQ$2:$AQ$3001,1))</f>
        <v/>
      </c>
      <c r="T404">
        <f>IF($AD404="","",Settings!$C$7)</f>
        <v/>
      </c>
      <c r="U404" s="7">
        <f>IF($AD404="","",SUMIFS('Per Line'!$AB$2:$AB$3001,'Per Line'!$E$2:$E$3001,$B404,'Per Line'!$AP$2:$AP$3001,0,'Per Line'!$AQ$2:$AQ$3001,0))</f>
        <v/>
      </c>
      <c r="V404" s="7">
        <f>IF($AD404="","",U404*T404)</f>
        <v/>
      </c>
      <c r="W404">
        <f>IF($AD404="","",Settings!$C$6)</f>
        <v/>
      </c>
      <c r="X404" s="7">
        <f>IF($AD404="","",SUMIFS('Per Line'!$AB$2:$AB$3001,'Per Line'!$E$2:$E$3001,$B404,'Per Line'!$AP$2:$AP$3001,1,'Per Line'!$AQ$2:$AQ$3001,0))</f>
        <v/>
      </c>
      <c r="Y404" s="7">
        <f>IF($AD404="","",X404*W404)</f>
        <v/>
      </c>
      <c r="Z404" s="7">
        <f>IF($AD404="","",Y404+V404)</f>
        <v/>
      </c>
      <c r="AA404" s="7">
        <f>IF($AD404="","",AB404-Z404)</f>
        <v/>
      </c>
      <c r="AB404" s="7">
        <f>IF($AD404="","",U404+X404+S404)</f>
        <v/>
      </c>
      <c r="AC404" s="7">
        <f>IF($AD404="","",AB404-Z404-P404)</f>
        <v/>
      </c>
      <c r="AD404" s="13">
        <f>IF(ROWS($AD$2:$AD404)&lt;=MAX('Per Line'!$AO$2:$AO$3001),MATCH(ROWS($AD$2:$AD404),'Per Line'!$AO$2:$AO$3001,0),"")</f>
        <v/>
      </c>
      <c r="AE404" s="14">
        <f>IF($AD404="","",P404-O404*AB404/100)</f>
        <v/>
      </c>
    </row>
    <row r="405">
      <c r="A405" s="12" t="n"/>
      <c r="B405">
        <f>IF($AD405="","",INDEX('Per Line'!$E$2:$E$3001,$AD405)&amp;"")</f>
        <v/>
      </c>
      <c r="C405">
        <f>IF($AD405="","",INDEX('Per Line'!$A$2:$A$3001,$AD405)&amp;"")</f>
        <v/>
      </c>
      <c r="D405">
        <f>IF($AD405="","",INDEX('Per Line'!$C$2:$C$3001,$AD405)&amp;"")</f>
        <v/>
      </c>
      <c r="E405">
        <f>IF($AD405="","",INDEX('Per Line'!$B$2:$B$3001,$AD405))</f>
        <v/>
      </c>
      <c r="F405">
        <f>IF($AD405="","",INDEX('Per Line'!$D$2:$D$3001,$AD405)&amp;"")</f>
        <v/>
      </c>
      <c r="G405" s="11">
        <f>IF($AD405="","",INDEX('Per Line'!$G$2:$G$3001,$AD405))</f>
        <v/>
      </c>
      <c r="H405">
        <f>IF($AD405="","",INDEX('Per Line'!$J$2:$J$3001,$AD405)&amp;"")</f>
        <v/>
      </c>
      <c r="I405">
        <f>IF($AD405="","",INDEX('Per Line'!$H$2:$H$3001,$AD405)&amp;"")</f>
        <v/>
      </c>
      <c r="J405">
        <f>IF($AD405="","",INDEX('Per Line'!$F$2:$F$3001,$AD405)&amp;"")</f>
        <v/>
      </c>
      <c r="K405">
        <f>IF($AD405="","",INDEX('Per Line'!$K$2:$K$3001,$AD405)&amp;"")</f>
        <v/>
      </c>
      <c r="L405">
        <f>IF($AD405="","",INDEX('Per Line'!$L$2:$L$3001,$AD405)&amp;"")</f>
        <v/>
      </c>
      <c r="M405">
        <f>IF($AD405="","",INDEX('Per Line'!$M$2:$M$3001,$AD405)&amp;"")</f>
        <v/>
      </c>
      <c r="N405">
        <f>IF($AD405="","",INDEX('Per Line'!$AC$2:$AC$3001,$AD405)&amp;"")</f>
        <v/>
      </c>
      <c r="O405">
        <f>IF($AD405="","",INDEX('Per Line'!$P$2:$P$3001,$AD405))</f>
        <v/>
      </c>
      <c r="P405" s="7">
        <f>IF($AD405="","",IF(AND(ISNUMBER(Q405),Q405&gt;0,AB405&gt;Q405),O405*Q405/100+(AB405-Q405),O405*AB405/100))</f>
        <v/>
      </c>
      <c r="Q405">
        <f>IF($AD405="","",INDEX('Per Line'!$AG$2:$AG$3001,$AD405))</f>
        <v/>
      </c>
      <c r="R405">
        <f>IF($AD405="","",IF(AND(ISNUMBER(Q405),Q405&gt;0),AB405&gt;Q405,FALSE))</f>
        <v/>
      </c>
      <c r="S405" s="7">
        <f>IF($AD405="","",SUMIFS('Per Line'!$AB$2:$AB$3001,'Per Line'!$E$2:$E$3001,$B405,'Per Line'!$AQ$2:$AQ$3001,1))</f>
        <v/>
      </c>
      <c r="T405">
        <f>IF($AD405="","",Settings!$C$7)</f>
        <v/>
      </c>
      <c r="U405" s="7">
        <f>IF($AD405="","",SUMIFS('Per Line'!$AB$2:$AB$3001,'Per Line'!$E$2:$E$3001,$B405,'Per Line'!$AP$2:$AP$3001,0,'Per Line'!$AQ$2:$AQ$3001,0))</f>
        <v/>
      </c>
      <c r="V405" s="7">
        <f>IF($AD405="","",U405*T405)</f>
        <v/>
      </c>
      <c r="W405">
        <f>IF($AD405="","",Settings!$C$6)</f>
        <v/>
      </c>
      <c r="X405" s="7">
        <f>IF($AD405="","",SUMIFS('Per Line'!$AB$2:$AB$3001,'Per Line'!$E$2:$E$3001,$B405,'Per Line'!$AP$2:$AP$3001,1,'Per Line'!$AQ$2:$AQ$3001,0))</f>
        <v/>
      </c>
      <c r="Y405" s="7">
        <f>IF($AD405="","",X405*W405)</f>
        <v/>
      </c>
      <c r="Z405" s="7">
        <f>IF($AD405="","",Y405+V405)</f>
        <v/>
      </c>
      <c r="AA405" s="7">
        <f>IF($AD405="","",AB405-Z405)</f>
        <v/>
      </c>
      <c r="AB405" s="7">
        <f>IF($AD405="","",U405+X405+S405)</f>
        <v/>
      </c>
      <c r="AC405" s="7">
        <f>IF($AD405="","",AB405-Z405-P405)</f>
        <v/>
      </c>
      <c r="AD405" s="13">
        <f>IF(ROWS($AD$2:$AD405)&lt;=MAX('Per Line'!$AO$2:$AO$3001),MATCH(ROWS($AD$2:$AD405),'Per Line'!$AO$2:$AO$3001,0),"")</f>
        <v/>
      </c>
      <c r="AE405" s="14">
        <f>IF($AD405="","",P405-O405*AB405/100)</f>
        <v/>
      </c>
    </row>
    <row r="406">
      <c r="A406" s="12" t="n"/>
      <c r="B406">
        <f>IF($AD406="","",INDEX('Per Line'!$E$2:$E$3001,$AD406)&amp;"")</f>
        <v/>
      </c>
      <c r="C406">
        <f>IF($AD406="","",INDEX('Per Line'!$A$2:$A$3001,$AD406)&amp;"")</f>
        <v/>
      </c>
      <c r="D406">
        <f>IF($AD406="","",INDEX('Per Line'!$C$2:$C$3001,$AD406)&amp;"")</f>
        <v/>
      </c>
      <c r="E406">
        <f>IF($AD406="","",INDEX('Per Line'!$B$2:$B$3001,$AD406))</f>
        <v/>
      </c>
      <c r="F406">
        <f>IF($AD406="","",INDEX('Per Line'!$D$2:$D$3001,$AD406)&amp;"")</f>
        <v/>
      </c>
      <c r="G406" s="11">
        <f>IF($AD406="","",INDEX('Per Line'!$G$2:$G$3001,$AD406))</f>
        <v/>
      </c>
      <c r="H406">
        <f>IF($AD406="","",INDEX('Per Line'!$J$2:$J$3001,$AD406)&amp;"")</f>
        <v/>
      </c>
      <c r="I406">
        <f>IF($AD406="","",INDEX('Per Line'!$H$2:$H$3001,$AD406)&amp;"")</f>
        <v/>
      </c>
      <c r="J406">
        <f>IF($AD406="","",INDEX('Per Line'!$F$2:$F$3001,$AD406)&amp;"")</f>
        <v/>
      </c>
      <c r="K406">
        <f>IF($AD406="","",INDEX('Per Line'!$K$2:$K$3001,$AD406)&amp;"")</f>
        <v/>
      </c>
      <c r="L406">
        <f>IF($AD406="","",INDEX('Per Line'!$L$2:$L$3001,$AD406)&amp;"")</f>
        <v/>
      </c>
      <c r="M406">
        <f>IF($AD406="","",INDEX('Per Line'!$M$2:$M$3001,$AD406)&amp;"")</f>
        <v/>
      </c>
      <c r="N406">
        <f>IF($AD406="","",INDEX('Per Line'!$AC$2:$AC$3001,$AD406)&amp;"")</f>
        <v/>
      </c>
      <c r="O406">
        <f>IF($AD406="","",INDEX('Per Line'!$P$2:$P$3001,$AD406))</f>
        <v/>
      </c>
      <c r="P406" s="7">
        <f>IF($AD406="","",IF(AND(ISNUMBER(Q406),Q406&gt;0,AB406&gt;Q406),O406*Q406/100+(AB406-Q406),O406*AB406/100))</f>
        <v/>
      </c>
      <c r="Q406">
        <f>IF($AD406="","",INDEX('Per Line'!$AG$2:$AG$3001,$AD406))</f>
        <v/>
      </c>
      <c r="R406">
        <f>IF($AD406="","",IF(AND(ISNUMBER(Q406),Q406&gt;0),AB406&gt;Q406,FALSE))</f>
        <v/>
      </c>
      <c r="S406" s="7">
        <f>IF($AD406="","",SUMIFS('Per Line'!$AB$2:$AB$3001,'Per Line'!$E$2:$E$3001,$B406,'Per Line'!$AQ$2:$AQ$3001,1))</f>
        <v/>
      </c>
      <c r="T406">
        <f>IF($AD406="","",Settings!$C$7)</f>
        <v/>
      </c>
      <c r="U406" s="7">
        <f>IF($AD406="","",SUMIFS('Per Line'!$AB$2:$AB$3001,'Per Line'!$E$2:$E$3001,$B406,'Per Line'!$AP$2:$AP$3001,0,'Per Line'!$AQ$2:$AQ$3001,0))</f>
        <v/>
      </c>
      <c r="V406" s="7">
        <f>IF($AD406="","",U406*T406)</f>
        <v/>
      </c>
      <c r="W406">
        <f>IF($AD406="","",Settings!$C$6)</f>
        <v/>
      </c>
      <c r="X406" s="7">
        <f>IF($AD406="","",SUMIFS('Per Line'!$AB$2:$AB$3001,'Per Line'!$E$2:$E$3001,$B406,'Per Line'!$AP$2:$AP$3001,1,'Per Line'!$AQ$2:$AQ$3001,0))</f>
        <v/>
      </c>
      <c r="Y406" s="7">
        <f>IF($AD406="","",X406*W406)</f>
        <v/>
      </c>
      <c r="Z406" s="7">
        <f>IF($AD406="","",Y406+V406)</f>
        <v/>
      </c>
      <c r="AA406" s="7">
        <f>IF($AD406="","",AB406-Z406)</f>
        <v/>
      </c>
      <c r="AB406" s="7">
        <f>IF($AD406="","",U406+X406+S406)</f>
        <v/>
      </c>
      <c r="AC406" s="7">
        <f>IF($AD406="","",AB406-Z406-P406)</f>
        <v/>
      </c>
      <c r="AD406" s="13">
        <f>IF(ROWS($AD$2:$AD406)&lt;=MAX('Per Line'!$AO$2:$AO$3001),MATCH(ROWS($AD$2:$AD406),'Per Line'!$AO$2:$AO$3001,0),"")</f>
        <v/>
      </c>
      <c r="AE406" s="14">
        <f>IF($AD406="","",P406-O406*AB406/100)</f>
        <v/>
      </c>
    </row>
    <row r="407">
      <c r="A407" s="12" t="n"/>
      <c r="B407">
        <f>IF($AD407="","",INDEX('Per Line'!$E$2:$E$3001,$AD407)&amp;"")</f>
        <v/>
      </c>
      <c r="C407">
        <f>IF($AD407="","",INDEX('Per Line'!$A$2:$A$3001,$AD407)&amp;"")</f>
        <v/>
      </c>
      <c r="D407">
        <f>IF($AD407="","",INDEX('Per Line'!$C$2:$C$3001,$AD407)&amp;"")</f>
        <v/>
      </c>
      <c r="E407">
        <f>IF($AD407="","",INDEX('Per Line'!$B$2:$B$3001,$AD407))</f>
        <v/>
      </c>
      <c r="F407">
        <f>IF($AD407="","",INDEX('Per Line'!$D$2:$D$3001,$AD407)&amp;"")</f>
        <v/>
      </c>
      <c r="G407" s="11">
        <f>IF($AD407="","",INDEX('Per Line'!$G$2:$G$3001,$AD407))</f>
        <v/>
      </c>
      <c r="H407">
        <f>IF($AD407="","",INDEX('Per Line'!$J$2:$J$3001,$AD407)&amp;"")</f>
        <v/>
      </c>
      <c r="I407">
        <f>IF($AD407="","",INDEX('Per Line'!$H$2:$H$3001,$AD407)&amp;"")</f>
        <v/>
      </c>
      <c r="J407">
        <f>IF($AD407="","",INDEX('Per Line'!$F$2:$F$3001,$AD407)&amp;"")</f>
        <v/>
      </c>
      <c r="K407">
        <f>IF($AD407="","",INDEX('Per Line'!$K$2:$K$3001,$AD407)&amp;"")</f>
        <v/>
      </c>
      <c r="L407">
        <f>IF($AD407="","",INDEX('Per Line'!$L$2:$L$3001,$AD407)&amp;"")</f>
        <v/>
      </c>
      <c r="M407">
        <f>IF($AD407="","",INDEX('Per Line'!$M$2:$M$3001,$AD407)&amp;"")</f>
        <v/>
      </c>
      <c r="N407">
        <f>IF($AD407="","",INDEX('Per Line'!$AC$2:$AC$3001,$AD407)&amp;"")</f>
        <v/>
      </c>
      <c r="O407">
        <f>IF($AD407="","",INDEX('Per Line'!$P$2:$P$3001,$AD407))</f>
        <v/>
      </c>
      <c r="P407" s="7">
        <f>IF($AD407="","",IF(AND(ISNUMBER(Q407),Q407&gt;0,AB407&gt;Q407),O407*Q407/100+(AB407-Q407),O407*AB407/100))</f>
        <v/>
      </c>
      <c r="Q407">
        <f>IF($AD407="","",INDEX('Per Line'!$AG$2:$AG$3001,$AD407))</f>
        <v/>
      </c>
      <c r="R407">
        <f>IF($AD407="","",IF(AND(ISNUMBER(Q407),Q407&gt;0),AB407&gt;Q407,FALSE))</f>
        <v/>
      </c>
      <c r="S407" s="7">
        <f>IF($AD407="","",SUMIFS('Per Line'!$AB$2:$AB$3001,'Per Line'!$E$2:$E$3001,$B407,'Per Line'!$AQ$2:$AQ$3001,1))</f>
        <v/>
      </c>
      <c r="T407">
        <f>IF($AD407="","",Settings!$C$7)</f>
        <v/>
      </c>
      <c r="U407" s="7">
        <f>IF($AD407="","",SUMIFS('Per Line'!$AB$2:$AB$3001,'Per Line'!$E$2:$E$3001,$B407,'Per Line'!$AP$2:$AP$3001,0,'Per Line'!$AQ$2:$AQ$3001,0))</f>
        <v/>
      </c>
      <c r="V407" s="7">
        <f>IF($AD407="","",U407*T407)</f>
        <v/>
      </c>
      <c r="W407">
        <f>IF($AD407="","",Settings!$C$6)</f>
        <v/>
      </c>
      <c r="X407" s="7">
        <f>IF($AD407="","",SUMIFS('Per Line'!$AB$2:$AB$3001,'Per Line'!$E$2:$E$3001,$B407,'Per Line'!$AP$2:$AP$3001,1,'Per Line'!$AQ$2:$AQ$3001,0))</f>
        <v/>
      </c>
      <c r="Y407" s="7">
        <f>IF($AD407="","",X407*W407)</f>
        <v/>
      </c>
      <c r="Z407" s="7">
        <f>IF($AD407="","",Y407+V407)</f>
        <v/>
      </c>
      <c r="AA407" s="7">
        <f>IF($AD407="","",AB407-Z407)</f>
        <v/>
      </c>
      <c r="AB407" s="7">
        <f>IF($AD407="","",U407+X407+S407)</f>
        <v/>
      </c>
      <c r="AC407" s="7">
        <f>IF($AD407="","",AB407-Z407-P407)</f>
        <v/>
      </c>
      <c r="AD407" s="13">
        <f>IF(ROWS($AD$2:$AD407)&lt;=MAX('Per Line'!$AO$2:$AO$3001),MATCH(ROWS($AD$2:$AD407),'Per Line'!$AO$2:$AO$3001,0),"")</f>
        <v/>
      </c>
      <c r="AE407" s="14">
        <f>IF($AD407="","",P407-O407*AB407/100)</f>
        <v/>
      </c>
    </row>
    <row r="408">
      <c r="A408" s="12" t="n"/>
      <c r="B408">
        <f>IF($AD408="","",INDEX('Per Line'!$E$2:$E$3001,$AD408)&amp;"")</f>
        <v/>
      </c>
      <c r="C408">
        <f>IF($AD408="","",INDEX('Per Line'!$A$2:$A$3001,$AD408)&amp;"")</f>
        <v/>
      </c>
      <c r="D408">
        <f>IF($AD408="","",INDEX('Per Line'!$C$2:$C$3001,$AD408)&amp;"")</f>
        <v/>
      </c>
      <c r="E408">
        <f>IF($AD408="","",INDEX('Per Line'!$B$2:$B$3001,$AD408))</f>
        <v/>
      </c>
      <c r="F408">
        <f>IF($AD408="","",INDEX('Per Line'!$D$2:$D$3001,$AD408)&amp;"")</f>
        <v/>
      </c>
      <c r="G408" s="11">
        <f>IF($AD408="","",INDEX('Per Line'!$G$2:$G$3001,$AD408))</f>
        <v/>
      </c>
      <c r="H408">
        <f>IF($AD408="","",INDEX('Per Line'!$J$2:$J$3001,$AD408)&amp;"")</f>
        <v/>
      </c>
      <c r="I408">
        <f>IF($AD408="","",INDEX('Per Line'!$H$2:$H$3001,$AD408)&amp;"")</f>
        <v/>
      </c>
      <c r="J408">
        <f>IF($AD408="","",INDEX('Per Line'!$F$2:$F$3001,$AD408)&amp;"")</f>
        <v/>
      </c>
      <c r="K408">
        <f>IF($AD408="","",INDEX('Per Line'!$K$2:$K$3001,$AD408)&amp;"")</f>
        <v/>
      </c>
      <c r="L408">
        <f>IF($AD408="","",INDEX('Per Line'!$L$2:$L$3001,$AD408)&amp;"")</f>
        <v/>
      </c>
      <c r="M408">
        <f>IF($AD408="","",INDEX('Per Line'!$M$2:$M$3001,$AD408)&amp;"")</f>
        <v/>
      </c>
      <c r="N408">
        <f>IF($AD408="","",INDEX('Per Line'!$AC$2:$AC$3001,$AD408)&amp;"")</f>
        <v/>
      </c>
      <c r="O408">
        <f>IF($AD408="","",INDEX('Per Line'!$P$2:$P$3001,$AD408))</f>
        <v/>
      </c>
      <c r="P408" s="7">
        <f>IF($AD408="","",IF(AND(ISNUMBER(Q408),Q408&gt;0,AB408&gt;Q408),O408*Q408/100+(AB408-Q408),O408*AB408/100))</f>
        <v/>
      </c>
      <c r="Q408">
        <f>IF($AD408="","",INDEX('Per Line'!$AG$2:$AG$3001,$AD408))</f>
        <v/>
      </c>
      <c r="R408">
        <f>IF($AD408="","",IF(AND(ISNUMBER(Q408),Q408&gt;0),AB408&gt;Q408,FALSE))</f>
        <v/>
      </c>
      <c r="S408" s="7">
        <f>IF($AD408="","",SUMIFS('Per Line'!$AB$2:$AB$3001,'Per Line'!$E$2:$E$3001,$B408,'Per Line'!$AQ$2:$AQ$3001,1))</f>
        <v/>
      </c>
      <c r="T408">
        <f>IF($AD408="","",Settings!$C$7)</f>
        <v/>
      </c>
      <c r="U408" s="7">
        <f>IF($AD408="","",SUMIFS('Per Line'!$AB$2:$AB$3001,'Per Line'!$E$2:$E$3001,$B408,'Per Line'!$AP$2:$AP$3001,0,'Per Line'!$AQ$2:$AQ$3001,0))</f>
        <v/>
      </c>
      <c r="V408" s="7">
        <f>IF($AD408="","",U408*T408)</f>
        <v/>
      </c>
      <c r="W408">
        <f>IF($AD408="","",Settings!$C$6)</f>
        <v/>
      </c>
      <c r="X408" s="7">
        <f>IF($AD408="","",SUMIFS('Per Line'!$AB$2:$AB$3001,'Per Line'!$E$2:$E$3001,$B408,'Per Line'!$AP$2:$AP$3001,1,'Per Line'!$AQ$2:$AQ$3001,0))</f>
        <v/>
      </c>
      <c r="Y408" s="7">
        <f>IF($AD408="","",X408*W408)</f>
        <v/>
      </c>
      <c r="Z408" s="7">
        <f>IF($AD408="","",Y408+V408)</f>
        <v/>
      </c>
      <c r="AA408" s="7">
        <f>IF($AD408="","",AB408-Z408)</f>
        <v/>
      </c>
      <c r="AB408" s="7">
        <f>IF($AD408="","",U408+X408+S408)</f>
        <v/>
      </c>
      <c r="AC408" s="7">
        <f>IF($AD408="","",AB408-Z408-P408)</f>
        <v/>
      </c>
      <c r="AD408" s="13">
        <f>IF(ROWS($AD$2:$AD408)&lt;=MAX('Per Line'!$AO$2:$AO$3001),MATCH(ROWS($AD$2:$AD408),'Per Line'!$AO$2:$AO$3001,0),"")</f>
        <v/>
      </c>
      <c r="AE408" s="14">
        <f>IF($AD408="","",P408-O408*AB408/100)</f>
        <v/>
      </c>
    </row>
    <row r="409">
      <c r="A409" s="12" t="n"/>
      <c r="B409">
        <f>IF($AD409="","",INDEX('Per Line'!$E$2:$E$3001,$AD409)&amp;"")</f>
        <v/>
      </c>
      <c r="C409">
        <f>IF($AD409="","",INDEX('Per Line'!$A$2:$A$3001,$AD409)&amp;"")</f>
        <v/>
      </c>
      <c r="D409">
        <f>IF($AD409="","",INDEX('Per Line'!$C$2:$C$3001,$AD409)&amp;"")</f>
        <v/>
      </c>
      <c r="E409">
        <f>IF($AD409="","",INDEX('Per Line'!$B$2:$B$3001,$AD409))</f>
        <v/>
      </c>
      <c r="F409">
        <f>IF($AD409="","",INDEX('Per Line'!$D$2:$D$3001,$AD409)&amp;"")</f>
        <v/>
      </c>
      <c r="G409" s="11">
        <f>IF($AD409="","",INDEX('Per Line'!$G$2:$G$3001,$AD409))</f>
        <v/>
      </c>
      <c r="H409">
        <f>IF($AD409="","",INDEX('Per Line'!$J$2:$J$3001,$AD409)&amp;"")</f>
        <v/>
      </c>
      <c r="I409">
        <f>IF($AD409="","",INDEX('Per Line'!$H$2:$H$3001,$AD409)&amp;"")</f>
        <v/>
      </c>
      <c r="J409">
        <f>IF($AD409="","",INDEX('Per Line'!$F$2:$F$3001,$AD409)&amp;"")</f>
        <v/>
      </c>
      <c r="K409">
        <f>IF($AD409="","",INDEX('Per Line'!$K$2:$K$3001,$AD409)&amp;"")</f>
        <v/>
      </c>
      <c r="L409">
        <f>IF($AD409="","",INDEX('Per Line'!$L$2:$L$3001,$AD409)&amp;"")</f>
        <v/>
      </c>
      <c r="M409">
        <f>IF($AD409="","",INDEX('Per Line'!$M$2:$M$3001,$AD409)&amp;"")</f>
        <v/>
      </c>
      <c r="N409">
        <f>IF($AD409="","",INDEX('Per Line'!$AC$2:$AC$3001,$AD409)&amp;"")</f>
        <v/>
      </c>
      <c r="O409">
        <f>IF($AD409="","",INDEX('Per Line'!$P$2:$P$3001,$AD409))</f>
        <v/>
      </c>
      <c r="P409" s="7">
        <f>IF($AD409="","",IF(AND(ISNUMBER(Q409),Q409&gt;0,AB409&gt;Q409),O409*Q409/100+(AB409-Q409),O409*AB409/100))</f>
        <v/>
      </c>
      <c r="Q409">
        <f>IF($AD409="","",INDEX('Per Line'!$AG$2:$AG$3001,$AD409))</f>
        <v/>
      </c>
      <c r="R409">
        <f>IF($AD409="","",IF(AND(ISNUMBER(Q409),Q409&gt;0),AB409&gt;Q409,FALSE))</f>
        <v/>
      </c>
      <c r="S409" s="7">
        <f>IF($AD409="","",SUMIFS('Per Line'!$AB$2:$AB$3001,'Per Line'!$E$2:$E$3001,$B409,'Per Line'!$AQ$2:$AQ$3001,1))</f>
        <v/>
      </c>
      <c r="T409">
        <f>IF($AD409="","",Settings!$C$7)</f>
        <v/>
      </c>
      <c r="U409" s="7">
        <f>IF($AD409="","",SUMIFS('Per Line'!$AB$2:$AB$3001,'Per Line'!$E$2:$E$3001,$B409,'Per Line'!$AP$2:$AP$3001,0,'Per Line'!$AQ$2:$AQ$3001,0))</f>
        <v/>
      </c>
      <c r="V409" s="7">
        <f>IF($AD409="","",U409*T409)</f>
        <v/>
      </c>
      <c r="W409">
        <f>IF($AD409="","",Settings!$C$6)</f>
        <v/>
      </c>
      <c r="X409" s="7">
        <f>IF($AD409="","",SUMIFS('Per Line'!$AB$2:$AB$3001,'Per Line'!$E$2:$E$3001,$B409,'Per Line'!$AP$2:$AP$3001,1,'Per Line'!$AQ$2:$AQ$3001,0))</f>
        <v/>
      </c>
      <c r="Y409" s="7">
        <f>IF($AD409="","",X409*W409)</f>
        <v/>
      </c>
      <c r="Z409" s="7">
        <f>IF($AD409="","",Y409+V409)</f>
        <v/>
      </c>
      <c r="AA409" s="7">
        <f>IF($AD409="","",AB409-Z409)</f>
        <v/>
      </c>
      <c r="AB409" s="7">
        <f>IF($AD409="","",U409+X409+S409)</f>
        <v/>
      </c>
      <c r="AC409" s="7">
        <f>IF($AD409="","",AB409-Z409-P409)</f>
        <v/>
      </c>
      <c r="AD409" s="13">
        <f>IF(ROWS($AD$2:$AD409)&lt;=MAX('Per Line'!$AO$2:$AO$3001),MATCH(ROWS($AD$2:$AD409),'Per Line'!$AO$2:$AO$3001,0),"")</f>
        <v/>
      </c>
      <c r="AE409" s="14">
        <f>IF($AD409="","",P409-O409*AB409/100)</f>
        <v/>
      </c>
    </row>
    <row r="410">
      <c r="A410" s="12" t="n"/>
      <c r="B410">
        <f>IF($AD410="","",INDEX('Per Line'!$E$2:$E$3001,$AD410)&amp;"")</f>
        <v/>
      </c>
      <c r="C410">
        <f>IF($AD410="","",INDEX('Per Line'!$A$2:$A$3001,$AD410)&amp;"")</f>
        <v/>
      </c>
      <c r="D410">
        <f>IF($AD410="","",INDEX('Per Line'!$C$2:$C$3001,$AD410)&amp;"")</f>
        <v/>
      </c>
      <c r="E410">
        <f>IF($AD410="","",INDEX('Per Line'!$B$2:$B$3001,$AD410))</f>
        <v/>
      </c>
      <c r="F410">
        <f>IF($AD410="","",INDEX('Per Line'!$D$2:$D$3001,$AD410)&amp;"")</f>
        <v/>
      </c>
      <c r="G410" s="11">
        <f>IF($AD410="","",INDEX('Per Line'!$G$2:$G$3001,$AD410))</f>
        <v/>
      </c>
      <c r="H410">
        <f>IF($AD410="","",INDEX('Per Line'!$J$2:$J$3001,$AD410)&amp;"")</f>
        <v/>
      </c>
      <c r="I410">
        <f>IF($AD410="","",INDEX('Per Line'!$H$2:$H$3001,$AD410)&amp;"")</f>
        <v/>
      </c>
      <c r="J410">
        <f>IF($AD410="","",INDEX('Per Line'!$F$2:$F$3001,$AD410)&amp;"")</f>
        <v/>
      </c>
      <c r="K410">
        <f>IF($AD410="","",INDEX('Per Line'!$K$2:$K$3001,$AD410)&amp;"")</f>
        <v/>
      </c>
      <c r="L410">
        <f>IF($AD410="","",INDEX('Per Line'!$L$2:$L$3001,$AD410)&amp;"")</f>
        <v/>
      </c>
      <c r="M410">
        <f>IF($AD410="","",INDEX('Per Line'!$M$2:$M$3001,$AD410)&amp;"")</f>
        <v/>
      </c>
      <c r="N410">
        <f>IF($AD410="","",INDEX('Per Line'!$AC$2:$AC$3001,$AD410)&amp;"")</f>
        <v/>
      </c>
      <c r="O410">
        <f>IF($AD410="","",INDEX('Per Line'!$P$2:$P$3001,$AD410))</f>
        <v/>
      </c>
      <c r="P410" s="7">
        <f>IF($AD410="","",IF(AND(ISNUMBER(Q410),Q410&gt;0,AB410&gt;Q410),O410*Q410/100+(AB410-Q410),O410*AB410/100))</f>
        <v/>
      </c>
      <c r="Q410">
        <f>IF($AD410="","",INDEX('Per Line'!$AG$2:$AG$3001,$AD410))</f>
        <v/>
      </c>
      <c r="R410">
        <f>IF($AD410="","",IF(AND(ISNUMBER(Q410),Q410&gt;0),AB410&gt;Q410,FALSE))</f>
        <v/>
      </c>
      <c r="S410" s="7">
        <f>IF($AD410="","",SUMIFS('Per Line'!$AB$2:$AB$3001,'Per Line'!$E$2:$E$3001,$B410,'Per Line'!$AQ$2:$AQ$3001,1))</f>
        <v/>
      </c>
      <c r="T410">
        <f>IF($AD410="","",Settings!$C$7)</f>
        <v/>
      </c>
      <c r="U410" s="7">
        <f>IF($AD410="","",SUMIFS('Per Line'!$AB$2:$AB$3001,'Per Line'!$E$2:$E$3001,$B410,'Per Line'!$AP$2:$AP$3001,0,'Per Line'!$AQ$2:$AQ$3001,0))</f>
        <v/>
      </c>
      <c r="V410" s="7">
        <f>IF($AD410="","",U410*T410)</f>
        <v/>
      </c>
      <c r="W410">
        <f>IF($AD410="","",Settings!$C$6)</f>
        <v/>
      </c>
      <c r="X410" s="7">
        <f>IF($AD410="","",SUMIFS('Per Line'!$AB$2:$AB$3001,'Per Line'!$E$2:$E$3001,$B410,'Per Line'!$AP$2:$AP$3001,1,'Per Line'!$AQ$2:$AQ$3001,0))</f>
        <v/>
      </c>
      <c r="Y410" s="7">
        <f>IF($AD410="","",X410*W410)</f>
        <v/>
      </c>
      <c r="Z410" s="7">
        <f>IF($AD410="","",Y410+V410)</f>
        <v/>
      </c>
      <c r="AA410" s="7">
        <f>IF($AD410="","",AB410-Z410)</f>
        <v/>
      </c>
      <c r="AB410" s="7">
        <f>IF($AD410="","",U410+X410+S410)</f>
        <v/>
      </c>
      <c r="AC410" s="7">
        <f>IF($AD410="","",AB410-Z410-P410)</f>
        <v/>
      </c>
      <c r="AD410" s="13">
        <f>IF(ROWS($AD$2:$AD410)&lt;=MAX('Per Line'!$AO$2:$AO$3001),MATCH(ROWS($AD$2:$AD410),'Per Line'!$AO$2:$AO$3001,0),"")</f>
        <v/>
      </c>
      <c r="AE410" s="14">
        <f>IF($AD410="","",P410-O410*AB410/100)</f>
        <v/>
      </c>
    </row>
    <row r="411">
      <c r="A411" s="12" t="n"/>
      <c r="B411">
        <f>IF($AD411="","",INDEX('Per Line'!$E$2:$E$3001,$AD411)&amp;"")</f>
        <v/>
      </c>
      <c r="C411">
        <f>IF($AD411="","",INDEX('Per Line'!$A$2:$A$3001,$AD411)&amp;"")</f>
        <v/>
      </c>
      <c r="D411">
        <f>IF($AD411="","",INDEX('Per Line'!$C$2:$C$3001,$AD411)&amp;"")</f>
        <v/>
      </c>
      <c r="E411">
        <f>IF($AD411="","",INDEX('Per Line'!$B$2:$B$3001,$AD411))</f>
        <v/>
      </c>
      <c r="F411">
        <f>IF($AD411="","",INDEX('Per Line'!$D$2:$D$3001,$AD411)&amp;"")</f>
        <v/>
      </c>
      <c r="G411" s="11">
        <f>IF($AD411="","",INDEX('Per Line'!$G$2:$G$3001,$AD411))</f>
        <v/>
      </c>
      <c r="H411">
        <f>IF($AD411="","",INDEX('Per Line'!$J$2:$J$3001,$AD411)&amp;"")</f>
        <v/>
      </c>
      <c r="I411">
        <f>IF($AD411="","",INDEX('Per Line'!$H$2:$H$3001,$AD411)&amp;"")</f>
        <v/>
      </c>
      <c r="J411">
        <f>IF($AD411="","",INDEX('Per Line'!$F$2:$F$3001,$AD411)&amp;"")</f>
        <v/>
      </c>
      <c r="K411">
        <f>IF($AD411="","",INDEX('Per Line'!$K$2:$K$3001,$AD411)&amp;"")</f>
        <v/>
      </c>
      <c r="L411">
        <f>IF($AD411="","",INDEX('Per Line'!$L$2:$L$3001,$AD411)&amp;"")</f>
        <v/>
      </c>
      <c r="M411">
        <f>IF($AD411="","",INDEX('Per Line'!$M$2:$M$3001,$AD411)&amp;"")</f>
        <v/>
      </c>
      <c r="N411">
        <f>IF($AD411="","",INDEX('Per Line'!$AC$2:$AC$3001,$AD411)&amp;"")</f>
        <v/>
      </c>
      <c r="O411">
        <f>IF($AD411="","",INDEX('Per Line'!$P$2:$P$3001,$AD411))</f>
        <v/>
      </c>
      <c r="P411" s="7">
        <f>IF($AD411="","",IF(AND(ISNUMBER(Q411),Q411&gt;0,AB411&gt;Q411),O411*Q411/100+(AB411-Q411),O411*AB411/100))</f>
        <v/>
      </c>
      <c r="Q411">
        <f>IF($AD411="","",INDEX('Per Line'!$AG$2:$AG$3001,$AD411))</f>
        <v/>
      </c>
      <c r="R411">
        <f>IF($AD411="","",IF(AND(ISNUMBER(Q411),Q411&gt;0),AB411&gt;Q411,FALSE))</f>
        <v/>
      </c>
      <c r="S411" s="7">
        <f>IF($AD411="","",SUMIFS('Per Line'!$AB$2:$AB$3001,'Per Line'!$E$2:$E$3001,$B411,'Per Line'!$AQ$2:$AQ$3001,1))</f>
        <v/>
      </c>
      <c r="T411">
        <f>IF($AD411="","",Settings!$C$7)</f>
        <v/>
      </c>
      <c r="U411" s="7">
        <f>IF($AD411="","",SUMIFS('Per Line'!$AB$2:$AB$3001,'Per Line'!$E$2:$E$3001,$B411,'Per Line'!$AP$2:$AP$3001,0,'Per Line'!$AQ$2:$AQ$3001,0))</f>
        <v/>
      </c>
      <c r="V411" s="7">
        <f>IF($AD411="","",U411*T411)</f>
        <v/>
      </c>
      <c r="W411">
        <f>IF($AD411="","",Settings!$C$6)</f>
        <v/>
      </c>
      <c r="X411" s="7">
        <f>IF($AD411="","",SUMIFS('Per Line'!$AB$2:$AB$3001,'Per Line'!$E$2:$E$3001,$B411,'Per Line'!$AP$2:$AP$3001,1,'Per Line'!$AQ$2:$AQ$3001,0))</f>
        <v/>
      </c>
      <c r="Y411" s="7">
        <f>IF($AD411="","",X411*W411)</f>
        <v/>
      </c>
      <c r="Z411" s="7">
        <f>IF($AD411="","",Y411+V411)</f>
        <v/>
      </c>
      <c r="AA411" s="7">
        <f>IF($AD411="","",AB411-Z411)</f>
        <v/>
      </c>
      <c r="AB411" s="7">
        <f>IF($AD411="","",U411+X411+S411)</f>
        <v/>
      </c>
      <c r="AC411" s="7">
        <f>IF($AD411="","",AB411-Z411-P411)</f>
        <v/>
      </c>
      <c r="AD411" s="13">
        <f>IF(ROWS($AD$2:$AD411)&lt;=MAX('Per Line'!$AO$2:$AO$3001),MATCH(ROWS($AD$2:$AD411),'Per Line'!$AO$2:$AO$3001,0),"")</f>
        <v/>
      </c>
      <c r="AE411" s="14">
        <f>IF($AD411="","",P411-O411*AB411/100)</f>
        <v/>
      </c>
    </row>
    <row r="412">
      <c r="A412" s="12" t="n"/>
      <c r="B412">
        <f>IF($AD412="","",INDEX('Per Line'!$E$2:$E$3001,$AD412)&amp;"")</f>
        <v/>
      </c>
      <c r="C412">
        <f>IF($AD412="","",INDEX('Per Line'!$A$2:$A$3001,$AD412)&amp;"")</f>
        <v/>
      </c>
      <c r="D412">
        <f>IF($AD412="","",INDEX('Per Line'!$C$2:$C$3001,$AD412)&amp;"")</f>
        <v/>
      </c>
      <c r="E412">
        <f>IF($AD412="","",INDEX('Per Line'!$B$2:$B$3001,$AD412))</f>
        <v/>
      </c>
      <c r="F412">
        <f>IF($AD412="","",INDEX('Per Line'!$D$2:$D$3001,$AD412)&amp;"")</f>
        <v/>
      </c>
      <c r="G412" s="11">
        <f>IF($AD412="","",INDEX('Per Line'!$G$2:$G$3001,$AD412))</f>
        <v/>
      </c>
      <c r="H412">
        <f>IF($AD412="","",INDEX('Per Line'!$J$2:$J$3001,$AD412)&amp;"")</f>
        <v/>
      </c>
      <c r="I412">
        <f>IF($AD412="","",INDEX('Per Line'!$H$2:$H$3001,$AD412)&amp;"")</f>
        <v/>
      </c>
      <c r="J412">
        <f>IF($AD412="","",INDEX('Per Line'!$F$2:$F$3001,$AD412)&amp;"")</f>
        <v/>
      </c>
      <c r="K412">
        <f>IF($AD412="","",INDEX('Per Line'!$K$2:$K$3001,$AD412)&amp;"")</f>
        <v/>
      </c>
      <c r="L412">
        <f>IF($AD412="","",INDEX('Per Line'!$L$2:$L$3001,$AD412)&amp;"")</f>
        <v/>
      </c>
      <c r="M412">
        <f>IF($AD412="","",INDEX('Per Line'!$M$2:$M$3001,$AD412)&amp;"")</f>
        <v/>
      </c>
      <c r="N412">
        <f>IF($AD412="","",INDEX('Per Line'!$AC$2:$AC$3001,$AD412)&amp;"")</f>
        <v/>
      </c>
      <c r="O412">
        <f>IF($AD412="","",INDEX('Per Line'!$P$2:$P$3001,$AD412))</f>
        <v/>
      </c>
      <c r="P412" s="7">
        <f>IF($AD412="","",IF(AND(ISNUMBER(Q412),Q412&gt;0,AB412&gt;Q412),O412*Q412/100+(AB412-Q412),O412*AB412/100))</f>
        <v/>
      </c>
      <c r="Q412">
        <f>IF($AD412="","",INDEX('Per Line'!$AG$2:$AG$3001,$AD412))</f>
        <v/>
      </c>
      <c r="R412">
        <f>IF($AD412="","",IF(AND(ISNUMBER(Q412),Q412&gt;0),AB412&gt;Q412,FALSE))</f>
        <v/>
      </c>
      <c r="S412" s="7">
        <f>IF($AD412="","",SUMIFS('Per Line'!$AB$2:$AB$3001,'Per Line'!$E$2:$E$3001,$B412,'Per Line'!$AQ$2:$AQ$3001,1))</f>
        <v/>
      </c>
      <c r="T412">
        <f>IF($AD412="","",Settings!$C$7)</f>
        <v/>
      </c>
      <c r="U412" s="7">
        <f>IF($AD412="","",SUMIFS('Per Line'!$AB$2:$AB$3001,'Per Line'!$E$2:$E$3001,$B412,'Per Line'!$AP$2:$AP$3001,0,'Per Line'!$AQ$2:$AQ$3001,0))</f>
        <v/>
      </c>
      <c r="V412" s="7">
        <f>IF($AD412="","",U412*T412)</f>
        <v/>
      </c>
      <c r="W412">
        <f>IF($AD412="","",Settings!$C$6)</f>
        <v/>
      </c>
      <c r="X412" s="7">
        <f>IF($AD412="","",SUMIFS('Per Line'!$AB$2:$AB$3001,'Per Line'!$E$2:$E$3001,$B412,'Per Line'!$AP$2:$AP$3001,1,'Per Line'!$AQ$2:$AQ$3001,0))</f>
        <v/>
      </c>
      <c r="Y412" s="7">
        <f>IF($AD412="","",X412*W412)</f>
        <v/>
      </c>
      <c r="Z412" s="7">
        <f>IF($AD412="","",Y412+V412)</f>
        <v/>
      </c>
      <c r="AA412" s="7">
        <f>IF($AD412="","",AB412-Z412)</f>
        <v/>
      </c>
      <c r="AB412" s="7">
        <f>IF($AD412="","",U412+X412+S412)</f>
        <v/>
      </c>
      <c r="AC412" s="7">
        <f>IF($AD412="","",AB412-Z412-P412)</f>
        <v/>
      </c>
      <c r="AD412" s="13">
        <f>IF(ROWS($AD$2:$AD412)&lt;=MAX('Per Line'!$AO$2:$AO$3001),MATCH(ROWS($AD$2:$AD412),'Per Line'!$AO$2:$AO$3001,0),"")</f>
        <v/>
      </c>
      <c r="AE412" s="14">
        <f>IF($AD412="","",P412-O412*AB412/100)</f>
        <v/>
      </c>
    </row>
    <row r="413">
      <c r="A413" s="12" t="n"/>
      <c r="B413">
        <f>IF($AD413="","",INDEX('Per Line'!$E$2:$E$3001,$AD413)&amp;"")</f>
        <v/>
      </c>
      <c r="C413">
        <f>IF($AD413="","",INDEX('Per Line'!$A$2:$A$3001,$AD413)&amp;"")</f>
        <v/>
      </c>
      <c r="D413">
        <f>IF($AD413="","",INDEX('Per Line'!$C$2:$C$3001,$AD413)&amp;"")</f>
        <v/>
      </c>
      <c r="E413">
        <f>IF($AD413="","",INDEX('Per Line'!$B$2:$B$3001,$AD413))</f>
        <v/>
      </c>
      <c r="F413">
        <f>IF($AD413="","",INDEX('Per Line'!$D$2:$D$3001,$AD413)&amp;"")</f>
        <v/>
      </c>
      <c r="G413" s="11">
        <f>IF($AD413="","",INDEX('Per Line'!$G$2:$G$3001,$AD413))</f>
        <v/>
      </c>
      <c r="H413">
        <f>IF($AD413="","",INDEX('Per Line'!$J$2:$J$3001,$AD413)&amp;"")</f>
        <v/>
      </c>
      <c r="I413">
        <f>IF($AD413="","",INDEX('Per Line'!$H$2:$H$3001,$AD413)&amp;"")</f>
        <v/>
      </c>
      <c r="J413">
        <f>IF($AD413="","",INDEX('Per Line'!$F$2:$F$3001,$AD413)&amp;"")</f>
        <v/>
      </c>
      <c r="K413">
        <f>IF($AD413="","",INDEX('Per Line'!$K$2:$K$3001,$AD413)&amp;"")</f>
        <v/>
      </c>
      <c r="L413">
        <f>IF($AD413="","",INDEX('Per Line'!$L$2:$L$3001,$AD413)&amp;"")</f>
        <v/>
      </c>
      <c r="M413">
        <f>IF($AD413="","",INDEX('Per Line'!$M$2:$M$3001,$AD413)&amp;"")</f>
        <v/>
      </c>
      <c r="N413">
        <f>IF($AD413="","",INDEX('Per Line'!$AC$2:$AC$3001,$AD413)&amp;"")</f>
        <v/>
      </c>
      <c r="O413">
        <f>IF($AD413="","",INDEX('Per Line'!$P$2:$P$3001,$AD413))</f>
        <v/>
      </c>
      <c r="P413" s="7">
        <f>IF($AD413="","",IF(AND(ISNUMBER(Q413),Q413&gt;0,AB413&gt;Q413),O413*Q413/100+(AB413-Q413),O413*AB413/100))</f>
        <v/>
      </c>
      <c r="Q413">
        <f>IF($AD413="","",INDEX('Per Line'!$AG$2:$AG$3001,$AD413))</f>
        <v/>
      </c>
      <c r="R413">
        <f>IF($AD413="","",IF(AND(ISNUMBER(Q413),Q413&gt;0),AB413&gt;Q413,FALSE))</f>
        <v/>
      </c>
      <c r="S413" s="7">
        <f>IF($AD413="","",SUMIFS('Per Line'!$AB$2:$AB$3001,'Per Line'!$E$2:$E$3001,$B413,'Per Line'!$AQ$2:$AQ$3001,1))</f>
        <v/>
      </c>
      <c r="T413">
        <f>IF($AD413="","",Settings!$C$7)</f>
        <v/>
      </c>
      <c r="U413" s="7">
        <f>IF($AD413="","",SUMIFS('Per Line'!$AB$2:$AB$3001,'Per Line'!$E$2:$E$3001,$B413,'Per Line'!$AP$2:$AP$3001,0,'Per Line'!$AQ$2:$AQ$3001,0))</f>
        <v/>
      </c>
      <c r="V413" s="7">
        <f>IF($AD413="","",U413*T413)</f>
        <v/>
      </c>
      <c r="W413">
        <f>IF($AD413="","",Settings!$C$6)</f>
        <v/>
      </c>
      <c r="X413" s="7">
        <f>IF($AD413="","",SUMIFS('Per Line'!$AB$2:$AB$3001,'Per Line'!$E$2:$E$3001,$B413,'Per Line'!$AP$2:$AP$3001,1,'Per Line'!$AQ$2:$AQ$3001,0))</f>
        <v/>
      </c>
      <c r="Y413" s="7">
        <f>IF($AD413="","",X413*W413)</f>
        <v/>
      </c>
      <c r="Z413" s="7">
        <f>IF($AD413="","",Y413+V413)</f>
        <v/>
      </c>
      <c r="AA413" s="7">
        <f>IF($AD413="","",AB413-Z413)</f>
        <v/>
      </c>
      <c r="AB413" s="7">
        <f>IF($AD413="","",U413+X413+S413)</f>
        <v/>
      </c>
      <c r="AC413" s="7">
        <f>IF($AD413="","",AB413-Z413-P413)</f>
        <v/>
      </c>
      <c r="AD413" s="13">
        <f>IF(ROWS($AD$2:$AD413)&lt;=MAX('Per Line'!$AO$2:$AO$3001),MATCH(ROWS($AD$2:$AD413),'Per Line'!$AO$2:$AO$3001,0),"")</f>
        <v/>
      </c>
      <c r="AE413" s="14">
        <f>IF($AD413="","",P413-O413*AB413/100)</f>
        <v/>
      </c>
    </row>
    <row r="414">
      <c r="A414" s="12" t="n"/>
      <c r="B414">
        <f>IF($AD414="","",INDEX('Per Line'!$E$2:$E$3001,$AD414)&amp;"")</f>
        <v/>
      </c>
      <c r="C414">
        <f>IF($AD414="","",INDEX('Per Line'!$A$2:$A$3001,$AD414)&amp;"")</f>
        <v/>
      </c>
      <c r="D414">
        <f>IF($AD414="","",INDEX('Per Line'!$C$2:$C$3001,$AD414)&amp;"")</f>
        <v/>
      </c>
      <c r="E414">
        <f>IF($AD414="","",INDEX('Per Line'!$B$2:$B$3001,$AD414))</f>
        <v/>
      </c>
      <c r="F414">
        <f>IF($AD414="","",INDEX('Per Line'!$D$2:$D$3001,$AD414)&amp;"")</f>
        <v/>
      </c>
      <c r="G414" s="11">
        <f>IF($AD414="","",INDEX('Per Line'!$G$2:$G$3001,$AD414))</f>
        <v/>
      </c>
      <c r="H414">
        <f>IF($AD414="","",INDEX('Per Line'!$J$2:$J$3001,$AD414)&amp;"")</f>
        <v/>
      </c>
      <c r="I414">
        <f>IF($AD414="","",INDEX('Per Line'!$H$2:$H$3001,$AD414)&amp;"")</f>
        <v/>
      </c>
      <c r="J414">
        <f>IF($AD414="","",INDEX('Per Line'!$F$2:$F$3001,$AD414)&amp;"")</f>
        <v/>
      </c>
      <c r="K414">
        <f>IF($AD414="","",INDEX('Per Line'!$K$2:$K$3001,$AD414)&amp;"")</f>
        <v/>
      </c>
      <c r="L414">
        <f>IF($AD414="","",INDEX('Per Line'!$L$2:$L$3001,$AD414)&amp;"")</f>
        <v/>
      </c>
      <c r="M414">
        <f>IF($AD414="","",INDEX('Per Line'!$M$2:$M$3001,$AD414)&amp;"")</f>
        <v/>
      </c>
      <c r="N414">
        <f>IF($AD414="","",INDEX('Per Line'!$AC$2:$AC$3001,$AD414)&amp;"")</f>
        <v/>
      </c>
      <c r="O414">
        <f>IF($AD414="","",INDEX('Per Line'!$P$2:$P$3001,$AD414))</f>
        <v/>
      </c>
      <c r="P414" s="7">
        <f>IF($AD414="","",IF(AND(ISNUMBER(Q414),Q414&gt;0,AB414&gt;Q414),O414*Q414/100+(AB414-Q414),O414*AB414/100))</f>
        <v/>
      </c>
      <c r="Q414">
        <f>IF($AD414="","",INDEX('Per Line'!$AG$2:$AG$3001,$AD414))</f>
        <v/>
      </c>
      <c r="R414">
        <f>IF($AD414="","",IF(AND(ISNUMBER(Q414),Q414&gt;0),AB414&gt;Q414,FALSE))</f>
        <v/>
      </c>
      <c r="S414" s="7">
        <f>IF($AD414="","",SUMIFS('Per Line'!$AB$2:$AB$3001,'Per Line'!$E$2:$E$3001,$B414,'Per Line'!$AQ$2:$AQ$3001,1))</f>
        <v/>
      </c>
      <c r="T414">
        <f>IF($AD414="","",Settings!$C$7)</f>
        <v/>
      </c>
      <c r="U414" s="7">
        <f>IF($AD414="","",SUMIFS('Per Line'!$AB$2:$AB$3001,'Per Line'!$E$2:$E$3001,$B414,'Per Line'!$AP$2:$AP$3001,0,'Per Line'!$AQ$2:$AQ$3001,0))</f>
        <v/>
      </c>
      <c r="V414" s="7">
        <f>IF($AD414="","",U414*T414)</f>
        <v/>
      </c>
      <c r="W414">
        <f>IF($AD414="","",Settings!$C$6)</f>
        <v/>
      </c>
      <c r="X414" s="7">
        <f>IF($AD414="","",SUMIFS('Per Line'!$AB$2:$AB$3001,'Per Line'!$E$2:$E$3001,$B414,'Per Line'!$AP$2:$AP$3001,1,'Per Line'!$AQ$2:$AQ$3001,0))</f>
        <v/>
      </c>
      <c r="Y414" s="7">
        <f>IF($AD414="","",X414*W414)</f>
        <v/>
      </c>
      <c r="Z414" s="7">
        <f>IF($AD414="","",Y414+V414)</f>
        <v/>
      </c>
      <c r="AA414" s="7">
        <f>IF($AD414="","",AB414-Z414)</f>
        <v/>
      </c>
      <c r="AB414" s="7">
        <f>IF($AD414="","",U414+X414+S414)</f>
        <v/>
      </c>
      <c r="AC414" s="7">
        <f>IF($AD414="","",AB414-Z414-P414)</f>
        <v/>
      </c>
      <c r="AD414" s="13">
        <f>IF(ROWS($AD$2:$AD414)&lt;=MAX('Per Line'!$AO$2:$AO$3001),MATCH(ROWS($AD$2:$AD414),'Per Line'!$AO$2:$AO$3001,0),"")</f>
        <v/>
      </c>
      <c r="AE414" s="14">
        <f>IF($AD414="","",P414-O414*AB414/100)</f>
        <v/>
      </c>
    </row>
    <row r="415">
      <c r="A415" s="12" t="n"/>
      <c r="B415">
        <f>IF($AD415="","",INDEX('Per Line'!$E$2:$E$3001,$AD415)&amp;"")</f>
        <v/>
      </c>
      <c r="C415">
        <f>IF($AD415="","",INDEX('Per Line'!$A$2:$A$3001,$AD415)&amp;"")</f>
        <v/>
      </c>
      <c r="D415">
        <f>IF($AD415="","",INDEX('Per Line'!$C$2:$C$3001,$AD415)&amp;"")</f>
        <v/>
      </c>
      <c r="E415">
        <f>IF($AD415="","",INDEX('Per Line'!$B$2:$B$3001,$AD415))</f>
        <v/>
      </c>
      <c r="F415">
        <f>IF($AD415="","",INDEX('Per Line'!$D$2:$D$3001,$AD415)&amp;"")</f>
        <v/>
      </c>
      <c r="G415" s="11">
        <f>IF($AD415="","",INDEX('Per Line'!$G$2:$G$3001,$AD415))</f>
        <v/>
      </c>
      <c r="H415">
        <f>IF($AD415="","",INDEX('Per Line'!$J$2:$J$3001,$AD415)&amp;"")</f>
        <v/>
      </c>
      <c r="I415">
        <f>IF($AD415="","",INDEX('Per Line'!$H$2:$H$3001,$AD415)&amp;"")</f>
        <v/>
      </c>
      <c r="J415">
        <f>IF($AD415="","",INDEX('Per Line'!$F$2:$F$3001,$AD415)&amp;"")</f>
        <v/>
      </c>
      <c r="K415">
        <f>IF($AD415="","",INDEX('Per Line'!$K$2:$K$3001,$AD415)&amp;"")</f>
        <v/>
      </c>
      <c r="L415">
        <f>IF($AD415="","",INDEX('Per Line'!$L$2:$L$3001,$AD415)&amp;"")</f>
        <v/>
      </c>
      <c r="M415">
        <f>IF($AD415="","",INDEX('Per Line'!$M$2:$M$3001,$AD415)&amp;"")</f>
        <v/>
      </c>
      <c r="N415">
        <f>IF($AD415="","",INDEX('Per Line'!$AC$2:$AC$3001,$AD415)&amp;"")</f>
        <v/>
      </c>
      <c r="O415">
        <f>IF($AD415="","",INDEX('Per Line'!$P$2:$P$3001,$AD415))</f>
        <v/>
      </c>
      <c r="P415" s="7">
        <f>IF($AD415="","",IF(AND(ISNUMBER(Q415),Q415&gt;0,AB415&gt;Q415),O415*Q415/100+(AB415-Q415),O415*AB415/100))</f>
        <v/>
      </c>
      <c r="Q415">
        <f>IF($AD415="","",INDEX('Per Line'!$AG$2:$AG$3001,$AD415))</f>
        <v/>
      </c>
      <c r="R415">
        <f>IF($AD415="","",IF(AND(ISNUMBER(Q415),Q415&gt;0),AB415&gt;Q415,FALSE))</f>
        <v/>
      </c>
      <c r="S415" s="7">
        <f>IF($AD415="","",SUMIFS('Per Line'!$AB$2:$AB$3001,'Per Line'!$E$2:$E$3001,$B415,'Per Line'!$AQ$2:$AQ$3001,1))</f>
        <v/>
      </c>
      <c r="T415">
        <f>IF($AD415="","",Settings!$C$7)</f>
        <v/>
      </c>
      <c r="U415" s="7">
        <f>IF($AD415="","",SUMIFS('Per Line'!$AB$2:$AB$3001,'Per Line'!$E$2:$E$3001,$B415,'Per Line'!$AP$2:$AP$3001,0,'Per Line'!$AQ$2:$AQ$3001,0))</f>
        <v/>
      </c>
      <c r="V415" s="7">
        <f>IF($AD415="","",U415*T415)</f>
        <v/>
      </c>
      <c r="W415">
        <f>IF($AD415="","",Settings!$C$6)</f>
        <v/>
      </c>
      <c r="X415" s="7">
        <f>IF($AD415="","",SUMIFS('Per Line'!$AB$2:$AB$3001,'Per Line'!$E$2:$E$3001,$B415,'Per Line'!$AP$2:$AP$3001,1,'Per Line'!$AQ$2:$AQ$3001,0))</f>
        <v/>
      </c>
      <c r="Y415" s="7">
        <f>IF($AD415="","",X415*W415)</f>
        <v/>
      </c>
      <c r="Z415" s="7">
        <f>IF($AD415="","",Y415+V415)</f>
        <v/>
      </c>
      <c r="AA415" s="7">
        <f>IF($AD415="","",AB415-Z415)</f>
        <v/>
      </c>
      <c r="AB415" s="7">
        <f>IF($AD415="","",U415+X415+S415)</f>
        <v/>
      </c>
      <c r="AC415" s="7">
        <f>IF($AD415="","",AB415-Z415-P415)</f>
        <v/>
      </c>
      <c r="AD415" s="13">
        <f>IF(ROWS($AD$2:$AD415)&lt;=MAX('Per Line'!$AO$2:$AO$3001),MATCH(ROWS($AD$2:$AD415),'Per Line'!$AO$2:$AO$3001,0),"")</f>
        <v/>
      </c>
      <c r="AE415" s="14">
        <f>IF($AD415="","",P415-O415*AB415/100)</f>
        <v/>
      </c>
    </row>
    <row r="416">
      <c r="A416" s="12" t="n"/>
      <c r="B416">
        <f>IF($AD416="","",INDEX('Per Line'!$E$2:$E$3001,$AD416)&amp;"")</f>
        <v/>
      </c>
      <c r="C416">
        <f>IF($AD416="","",INDEX('Per Line'!$A$2:$A$3001,$AD416)&amp;"")</f>
        <v/>
      </c>
      <c r="D416">
        <f>IF($AD416="","",INDEX('Per Line'!$C$2:$C$3001,$AD416)&amp;"")</f>
        <v/>
      </c>
      <c r="E416">
        <f>IF($AD416="","",INDEX('Per Line'!$B$2:$B$3001,$AD416))</f>
        <v/>
      </c>
      <c r="F416">
        <f>IF($AD416="","",INDEX('Per Line'!$D$2:$D$3001,$AD416)&amp;"")</f>
        <v/>
      </c>
      <c r="G416" s="11">
        <f>IF($AD416="","",INDEX('Per Line'!$G$2:$G$3001,$AD416))</f>
        <v/>
      </c>
      <c r="H416">
        <f>IF($AD416="","",INDEX('Per Line'!$J$2:$J$3001,$AD416)&amp;"")</f>
        <v/>
      </c>
      <c r="I416">
        <f>IF($AD416="","",INDEX('Per Line'!$H$2:$H$3001,$AD416)&amp;"")</f>
        <v/>
      </c>
      <c r="J416">
        <f>IF($AD416="","",INDEX('Per Line'!$F$2:$F$3001,$AD416)&amp;"")</f>
        <v/>
      </c>
      <c r="K416">
        <f>IF($AD416="","",INDEX('Per Line'!$K$2:$K$3001,$AD416)&amp;"")</f>
        <v/>
      </c>
      <c r="L416">
        <f>IF($AD416="","",INDEX('Per Line'!$L$2:$L$3001,$AD416)&amp;"")</f>
        <v/>
      </c>
      <c r="M416">
        <f>IF($AD416="","",INDEX('Per Line'!$M$2:$M$3001,$AD416)&amp;"")</f>
        <v/>
      </c>
      <c r="N416">
        <f>IF($AD416="","",INDEX('Per Line'!$AC$2:$AC$3001,$AD416)&amp;"")</f>
        <v/>
      </c>
      <c r="O416">
        <f>IF($AD416="","",INDEX('Per Line'!$P$2:$P$3001,$AD416))</f>
        <v/>
      </c>
      <c r="P416" s="7">
        <f>IF($AD416="","",IF(AND(ISNUMBER(Q416),Q416&gt;0,AB416&gt;Q416),O416*Q416/100+(AB416-Q416),O416*AB416/100))</f>
        <v/>
      </c>
      <c r="Q416">
        <f>IF($AD416="","",INDEX('Per Line'!$AG$2:$AG$3001,$AD416))</f>
        <v/>
      </c>
      <c r="R416">
        <f>IF($AD416="","",IF(AND(ISNUMBER(Q416),Q416&gt;0),AB416&gt;Q416,FALSE))</f>
        <v/>
      </c>
      <c r="S416" s="7">
        <f>IF($AD416="","",SUMIFS('Per Line'!$AB$2:$AB$3001,'Per Line'!$E$2:$E$3001,$B416,'Per Line'!$AQ$2:$AQ$3001,1))</f>
        <v/>
      </c>
      <c r="T416">
        <f>IF($AD416="","",Settings!$C$7)</f>
        <v/>
      </c>
      <c r="U416" s="7">
        <f>IF($AD416="","",SUMIFS('Per Line'!$AB$2:$AB$3001,'Per Line'!$E$2:$E$3001,$B416,'Per Line'!$AP$2:$AP$3001,0,'Per Line'!$AQ$2:$AQ$3001,0))</f>
        <v/>
      </c>
      <c r="V416" s="7">
        <f>IF($AD416="","",U416*T416)</f>
        <v/>
      </c>
      <c r="W416">
        <f>IF($AD416="","",Settings!$C$6)</f>
        <v/>
      </c>
      <c r="X416" s="7">
        <f>IF($AD416="","",SUMIFS('Per Line'!$AB$2:$AB$3001,'Per Line'!$E$2:$E$3001,$B416,'Per Line'!$AP$2:$AP$3001,1,'Per Line'!$AQ$2:$AQ$3001,0))</f>
        <v/>
      </c>
      <c r="Y416" s="7">
        <f>IF($AD416="","",X416*W416)</f>
        <v/>
      </c>
      <c r="Z416" s="7">
        <f>IF($AD416="","",Y416+V416)</f>
        <v/>
      </c>
      <c r="AA416" s="7">
        <f>IF($AD416="","",AB416-Z416)</f>
        <v/>
      </c>
      <c r="AB416" s="7">
        <f>IF($AD416="","",U416+X416+S416)</f>
        <v/>
      </c>
      <c r="AC416" s="7">
        <f>IF($AD416="","",AB416-Z416-P416)</f>
        <v/>
      </c>
      <c r="AD416" s="13">
        <f>IF(ROWS($AD$2:$AD416)&lt;=MAX('Per Line'!$AO$2:$AO$3001),MATCH(ROWS($AD$2:$AD416),'Per Line'!$AO$2:$AO$3001,0),"")</f>
        <v/>
      </c>
      <c r="AE416" s="14">
        <f>IF($AD416="","",P416-O416*AB416/100)</f>
        <v/>
      </c>
    </row>
    <row r="417">
      <c r="A417" s="12" t="n"/>
      <c r="B417">
        <f>IF($AD417="","",INDEX('Per Line'!$E$2:$E$3001,$AD417)&amp;"")</f>
        <v/>
      </c>
      <c r="C417">
        <f>IF($AD417="","",INDEX('Per Line'!$A$2:$A$3001,$AD417)&amp;"")</f>
        <v/>
      </c>
      <c r="D417">
        <f>IF($AD417="","",INDEX('Per Line'!$C$2:$C$3001,$AD417)&amp;"")</f>
        <v/>
      </c>
      <c r="E417">
        <f>IF($AD417="","",INDEX('Per Line'!$B$2:$B$3001,$AD417))</f>
        <v/>
      </c>
      <c r="F417">
        <f>IF($AD417="","",INDEX('Per Line'!$D$2:$D$3001,$AD417)&amp;"")</f>
        <v/>
      </c>
      <c r="G417" s="11">
        <f>IF($AD417="","",INDEX('Per Line'!$G$2:$G$3001,$AD417))</f>
        <v/>
      </c>
      <c r="H417">
        <f>IF($AD417="","",INDEX('Per Line'!$J$2:$J$3001,$AD417)&amp;"")</f>
        <v/>
      </c>
      <c r="I417">
        <f>IF($AD417="","",INDEX('Per Line'!$H$2:$H$3001,$AD417)&amp;"")</f>
        <v/>
      </c>
      <c r="J417">
        <f>IF($AD417="","",INDEX('Per Line'!$F$2:$F$3001,$AD417)&amp;"")</f>
        <v/>
      </c>
      <c r="K417">
        <f>IF($AD417="","",INDEX('Per Line'!$K$2:$K$3001,$AD417)&amp;"")</f>
        <v/>
      </c>
      <c r="L417">
        <f>IF($AD417="","",INDEX('Per Line'!$L$2:$L$3001,$AD417)&amp;"")</f>
        <v/>
      </c>
      <c r="M417">
        <f>IF($AD417="","",INDEX('Per Line'!$M$2:$M$3001,$AD417)&amp;"")</f>
        <v/>
      </c>
      <c r="N417">
        <f>IF($AD417="","",INDEX('Per Line'!$AC$2:$AC$3001,$AD417)&amp;"")</f>
        <v/>
      </c>
      <c r="O417">
        <f>IF($AD417="","",INDEX('Per Line'!$P$2:$P$3001,$AD417))</f>
        <v/>
      </c>
      <c r="P417" s="7">
        <f>IF($AD417="","",IF(AND(ISNUMBER(Q417),Q417&gt;0,AB417&gt;Q417),O417*Q417/100+(AB417-Q417),O417*AB417/100))</f>
        <v/>
      </c>
      <c r="Q417">
        <f>IF($AD417="","",INDEX('Per Line'!$AG$2:$AG$3001,$AD417))</f>
        <v/>
      </c>
      <c r="R417">
        <f>IF($AD417="","",IF(AND(ISNUMBER(Q417),Q417&gt;0),AB417&gt;Q417,FALSE))</f>
        <v/>
      </c>
      <c r="S417" s="7">
        <f>IF($AD417="","",SUMIFS('Per Line'!$AB$2:$AB$3001,'Per Line'!$E$2:$E$3001,$B417,'Per Line'!$AQ$2:$AQ$3001,1))</f>
        <v/>
      </c>
      <c r="T417">
        <f>IF($AD417="","",Settings!$C$7)</f>
        <v/>
      </c>
      <c r="U417" s="7">
        <f>IF($AD417="","",SUMIFS('Per Line'!$AB$2:$AB$3001,'Per Line'!$E$2:$E$3001,$B417,'Per Line'!$AP$2:$AP$3001,0,'Per Line'!$AQ$2:$AQ$3001,0))</f>
        <v/>
      </c>
      <c r="V417" s="7">
        <f>IF($AD417="","",U417*T417)</f>
        <v/>
      </c>
      <c r="W417">
        <f>IF($AD417="","",Settings!$C$6)</f>
        <v/>
      </c>
      <c r="X417" s="7">
        <f>IF($AD417="","",SUMIFS('Per Line'!$AB$2:$AB$3001,'Per Line'!$E$2:$E$3001,$B417,'Per Line'!$AP$2:$AP$3001,1,'Per Line'!$AQ$2:$AQ$3001,0))</f>
        <v/>
      </c>
      <c r="Y417" s="7">
        <f>IF($AD417="","",X417*W417)</f>
        <v/>
      </c>
      <c r="Z417" s="7">
        <f>IF($AD417="","",Y417+V417)</f>
        <v/>
      </c>
      <c r="AA417" s="7">
        <f>IF($AD417="","",AB417-Z417)</f>
        <v/>
      </c>
      <c r="AB417" s="7">
        <f>IF($AD417="","",U417+X417+S417)</f>
        <v/>
      </c>
      <c r="AC417" s="7">
        <f>IF($AD417="","",AB417-Z417-P417)</f>
        <v/>
      </c>
      <c r="AD417" s="13">
        <f>IF(ROWS($AD$2:$AD417)&lt;=MAX('Per Line'!$AO$2:$AO$3001),MATCH(ROWS($AD$2:$AD417),'Per Line'!$AO$2:$AO$3001,0),"")</f>
        <v/>
      </c>
      <c r="AE417" s="14">
        <f>IF($AD417="","",P417-O417*AB417/100)</f>
        <v/>
      </c>
    </row>
    <row r="418">
      <c r="A418" s="12" t="n"/>
      <c r="B418">
        <f>IF($AD418="","",INDEX('Per Line'!$E$2:$E$3001,$AD418)&amp;"")</f>
        <v/>
      </c>
      <c r="C418">
        <f>IF($AD418="","",INDEX('Per Line'!$A$2:$A$3001,$AD418)&amp;"")</f>
        <v/>
      </c>
      <c r="D418">
        <f>IF($AD418="","",INDEX('Per Line'!$C$2:$C$3001,$AD418)&amp;"")</f>
        <v/>
      </c>
      <c r="E418">
        <f>IF($AD418="","",INDEX('Per Line'!$B$2:$B$3001,$AD418))</f>
        <v/>
      </c>
      <c r="F418">
        <f>IF($AD418="","",INDEX('Per Line'!$D$2:$D$3001,$AD418)&amp;"")</f>
        <v/>
      </c>
      <c r="G418" s="11">
        <f>IF($AD418="","",INDEX('Per Line'!$G$2:$G$3001,$AD418))</f>
        <v/>
      </c>
      <c r="H418">
        <f>IF($AD418="","",INDEX('Per Line'!$J$2:$J$3001,$AD418)&amp;"")</f>
        <v/>
      </c>
      <c r="I418">
        <f>IF($AD418="","",INDEX('Per Line'!$H$2:$H$3001,$AD418)&amp;"")</f>
        <v/>
      </c>
      <c r="J418">
        <f>IF($AD418="","",INDEX('Per Line'!$F$2:$F$3001,$AD418)&amp;"")</f>
        <v/>
      </c>
      <c r="K418">
        <f>IF($AD418="","",INDEX('Per Line'!$K$2:$K$3001,$AD418)&amp;"")</f>
        <v/>
      </c>
      <c r="L418">
        <f>IF($AD418="","",INDEX('Per Line'!$L$2:$L$3001,$AD418)&amp;"")</f>
        <v/>
      </c>
      <c r="M418">
        <f>IF($AD418="","",INDEX('Per Line'!$M$2:$M$3001,$AD418)&amp;"")</f>
        <v/>
      </c>
      <c r="N418">
        <f>IF($AD418="","",INDEX('Per Line'!$AC$2:$AC$3001,$AD418)&amp;"")</f>
        <v/>
      </c>
      <c r="O418">
        <f>IF($AD418="","",INDEX('Per Line'!$P$2:$P$3001,$AD418))</f>
        <v/>
      </c>
      <c r="P418" s="7">
        <f>IF($AD418="","",IF(AND(ISNUMBER(Q418),Q418&gt;0,AB418&gt;Q418),O418*Q418/100+(AB418-Q418),O418*AB418/100))</f>
        <v/>
      </c>
      <c r="Q418">
        <f>IF($AD418="","",INDEX('Per Line'!$AG$2:$AG$3001,$AD418))</f>
        <v/>
      </c>
      <c r="R418">
        <f>IF($AD418="","",IF(AND(ISNUMBER(Q418),Q418&gt;0),AB418&gt;Q418,FALSE))</f>
        <v/>
      </c>
      <c r="S418" s="7">
        <f>IF($AD418="","",SUMIFS('Per Line'!$AB$2:$AB$3001,'Per Line'!$E$2:$E$3001,$B418,'Per Line'!$AQ$2:$AQ$3001,1))</f>
        <v/>
      </c>
      <c r="T418">
        <f>IF($AD418="","",Settings!$C$7)</f>
        <v/>
      </c>
      <c r="U418" s="7">
        <f>IF($AD418="","",SUMIFS('Per Line'!$AB$2:$AB$3001,'Per Line'!$E$2:$E$3001,$B418,'Per Line'!$AP$2:$AP$3001,0,'Per Line'!$AQ$2:$AQ$3001,0))</f>
        <v/>
      </c>
      <c r="V418" s="7">
        <f>IF($AD418="","",U418*T418)</f>
        <v/>
      </c>
      <c r="W418">
        <f>IF($AD418="","",Settings!$C$6)</f>
        <v/>
      </c>
      <c r="X418" s="7">
        <f>IF($AD418="","",SUMIFS('Per Line'!$AB$2:$AB$3001,'Per Line'!$E$2:$E$3001,$B418,'Per Line'!$AP$2:$AP$3001,1,'Per Line'!$AQ$2:$AQ$3001,0))</f>
        <v/>
      </c>
      <c r="Y418" s="7">
        <f>IF($AD418="","",X418*W418)</f>
        <v/>
      </c>
      <c r="Z418" s="7">
        <f>IF($AD418="","",Y418+V418)</f>
        <v/>
      </c>
      <c r="AA418" s="7">
        <f>IF($AD418="","",AB418-Z418)</f>
        <v/>
      </c>
      <c r="AB418" s="7">
        <f>IF($AD418="","",U418+X418+S418)</f>
        <v/>
      </c>
      <c r="AC418" s="7">
        <f>IF($AD418="","",AB418-Z418-P418)</f>
        <v/>
      </c>
      <c r="AD418" s="13">
        <f>IF(ROWS($AD$2:$AD418)&lt;=MAX('Per Line'!$AO$2:$AO$3001),MATCH(ROWS($AD$2:$AD418),'Per Line'!$AO$2:$AO$3001,0),"")</f>
        <v/>
      </c>
      <c r="AE418" s="14">
        <f>IF($AD418="","",P418-O418*AB418/100)</f>
        <v/>
      </c>
    </row>
    <row r="419">
      <c r="A419" s="12" t="n"/>
      <c r="B419">
        <f>IF($AD419="","",INDEX('Per Line'!$E$2:$E$3001,$AD419)&amp;"")</f>
        <v/>
      </c>
      <c r="C419">
        <f>IF($AD419="","",INDEX('Per Line'!$A$2:$A$3001,$AD419)&amp;"")</f>
        <v/>
      </c>
      <c r="D419">
        <f>IF($AD419="","",INDEX('Per Line'!$C$2:$C$3001,$AD419)&amp;"")</f>
        <v/>
      </c>
      <c r="E419">
        <f>IF($AD419="","",INDEX('Per Line'!$B$2:$B$3001,$AD419))</f>
        <v/>
      </c>
      <c r="F419">
        <f>IF($AD419="","",INDEX('Per Line'!$D$2:$D$3001,$AD419)&amp;"")</f>
        <v/>
      </c>
      <c r="G419" s="11">
        <f>IF($AD419="","",INDEX('Per Line'!$G$2:$G$3001,$AD419))</f>
        <v/>
      </c>
      <c r="H419">
        <f>IF($AD419="","",INDEX('Per Line'!$J$2:$J$3001,$AD419)&amp;"")</f>
        <v/>
      </c>
      <c r="I419">
        <f>IF($AD419="","",INDEX('Per Line'!$H$2:$H$3001,$AD419)&amp;"")</f>
        <v/>
      </c>
      <c r="J419">
        <f>IF($AD419="","",INDEX('Per Line'!$F$2:$F$3001,$AD419)&amp;"")</f>
        <v/>
      </c>
      <c r="K419">
        <f>IF($AD419="","",INDEX('Per Line'!$K$2:$K$3001,$AD419)&amp;"")</f>
        <v/>
      </c>
      <c r="L419">
        <f>IF($AD419="","",INDEX('Per Line'!$L$2:$L$3001,$AD419)&amp;"")</f>
        <v/>
      </c>
      <c r="M419">
        <f>IF($AD419="","",INDEX('Per Line'!$M$2:$M$3001,$AD419)&amp;"")</f>
        <v/>
      </c>
      <c r="N419">
        <f>IF($AD419="","",INDEX('Per Line'!$AC$2:$AC$3001,$AD419)&amp;"")</f>
        <v/>
      </c>
      <c r="O419">
        <f>IF($AD419="","",INDEX('Per Line'!$P$2:$P$3001,$AD419))</f>
        <v/>
      </c>
      <c r="P419" s="7">
        <f>IF($AD419="","",IF(AND(ISNUMBER(Q419),Q419&gt;0,AB419&gt;Q419),O419*Q419/100+(AB419-Q419),O419*AB419/100))</f>
        <v/>
      </c>
      <c r="Q419">
        <f>IF($AD419="","",INDEX('Per Line'!$AG$2:$AG$3001,$AD419))</f>
        <v/>
      </c>
      <c r="R419">
        <f>IF($AD419="","",IF(AND(ISNUMBER(Q419),Q419&gt;0),AB419&gt;Q419,FALSE))</f>
        <v/>
      </c>
      <c r="S419" s="7">
        <f>IF($AD419="","",SUMIFS('Per Line'!$AB$2:$AB$3001,'Per Line'!$E$2:$E$3001,$B419,'Per Line'!$AQ$2:$AQ$3001,1))</f>
        <v/>
      </c>
      <c r="T419">
        <f>IF($AD419="","",Settings!$C$7)</f>
        <v/>
      </c>
      <c r="U419" s="7">
        <f>IF($AD419="","",SUMIFS('Per Line'!$AB$2:$AB$3001,'Per Line'!$E$2:$E$3001,$B419,'Per Line'!$AP$2:$AP$3001,0,'Per Line'!$AQ$2:$AQ$3001,0))</f>
        <v/>
      </c>
      <c r="V419" s="7">
        <f>IF($AD419="","",U419*T419)</f>
        <v/>
      </c>
      <c r="W419">
        <f>IF($AD419="","",Settings!$C$6)</f>
        <v/>
      </c>
      <c r="X419" s="7">
        <f>IF($AD419="","",SUMIFS('Per Line'!$AB$2:$AB$3001,'Per Line'!$E$2:$E$3001,$B419,'Per Line'!$AP$2:$AP$3001,1,'Per Line'!$AQ$2:$AQ$3001,0))</f>
        <v/>
      </c>
      <c r="Y419" s="7">
        <f>IF($AD419="","",X419*W419)</f>
        <v/>
      </c>
      <c r="Z419" s="7">
        <f>IF($AD419="","",Y419+V419)</f>
        <v/>
      </c>
      <c r="AA419" s="7">
        <f>IF($AD419="","",AB419-Z419)</f>
        <v/>
      </c>
      <c r="AB419" s="7">
        <f>IF($AD419="","",U419+X419+S419)</f>
        <v/>
      </c>
      <c r="AC419" s="7">
        <f>IF($AD419="","",AB419-Z419-P419)</f>
        <v/>
      </c>
      <c r="AD419" s="13">
        <f>IF(ROWS($AD$2:$AD419)&lt;=MAX('Per Line'!$AO$2:$AO$3001),MATCH(ROWS($AD$2:$AD419),'Per Line'!$AO$2:$AO$3001,0),"")</f>
        <v/>
      </c>
      <c r="AE419" s="14">
        <f>IF($AD419="","",P419-O419*AB419/100)</f>
        <v/>
      </c>
    </row>
    <row r="420">
      <c r="A420" s="12" t="n"/>
      <c r="B420">
        <f>IF($AD420="","",INDEX('Per Line'!$E$2:$E$3001,$AD420)&amp;"")</f>
        <v/>
      </c>
      <c r="C420">
        <f>IF($AD420="","",INDEX('Per Line'!$A$2:$A$3001,$AD420)&amp;"")</f>
        <v/>
      </c>
      <c r="D420">
        <f>IF($AD420="","",INDEX('Per Line'!$C$2:$C$3001,$AD420)&amp;"")</f>
        <v/>
      </c>
      <c r="E420">
        <f>IF($AD420="","",INDEX('Per Line'!$B$2:$B$3001,$AD420))</f>
        <v/>
      </c>
      <c r="F420">
        <f>IF($AD420="","",INDEX('Per Line'!$D$2:$D$3001,$AD420)&amp;"")</f>
        <v/>
      </c>
      <c r="G420" s="11">
        <f>IF($AD420="","",INDEX('Per Line'!$G$2:$G$3001,$AD420))</f>
        <v/>
      </c>
      <c r="H420">
        <f>IF($AD420="","",INDEX('Per Line'!$J$2:$J$3001,$AD420)&amp;"")</f>
        <v/>
      </c>
      <c r="I420">
        <f>IF($AD420="","",INDEX('Per Line'!$H$2:$H$3001,$AD420)&amp;"")</f>
        <v/>
      </c>
      <c r="J420">
        <f>IF($AD420="","",INDEX('Per Line'!$F$2:$F$3001,$AD420)&amp;"")</f>
        <v/>
      </c>
      <c r="K420">
        <f>IF($AD420="","",INDEX('Per Line'!$K$2:$K$3001,$AD420)&amp;"")</f>
        <v/>
      </c>
      <c r="L420">
        <f>IF($AD420="","",INDEX('Per Line'!$L$2:$L$3001,$AD420)&amp;"")</f>
        <v/>
      </c>
      <c r="M420">
        <f>IF($AD420="","",INDEX('Per Line'!$M$2:$M$3001,$AD420)&amp;"")</f>
        <v/>
      </c>
      <c r="N420">
        <f>IF($AD420="","",INDEX('Per Line'!$AC$2:$AC$3001,$AD420)&amp;"")</f>
        <v/>
      </c>
      <c r="O420">
        <f>IF($AD420="","",INDEX('Per Line'!$P$2:$P$3001,$AD420))</f>
        <v/>
      </c>
      <c r="P420" s="7">
        <f>IF($AD420="","",IF(AND(ISNUMBER(Q420),Q420&gt;0,AB420&gt;Q420),O420*Q420/100+(AB420-Q420),O420*AB420/100))</f>
        <v/>
      </c>
      <c r="Q420">
        <f>IF($AD420="","",INDEX('Per Line'!$AG$2:$AG$3001,$AD420))</f>
        <v/>
      </c>
      <c r="R420">
        <f>IF($AD420="","",IF(AND(ISNUMBER(Q420),Q420&gt;0),AB420&gt;Q420,FALSE))</f>
        <v/>
      </c>
      <c r="S420" s="7">
        <f>IF($AD420="","",SUMIFS('Per Line'!$AB$2:$AB$3001,'Per Line'!$E$2:$E$3001,$B420,'Per Line'!$AQ$2:$AQ$3001,1))</f>
        <v/>
      </c>
      <c r="T420">
        <f>IF($AD420="","",Settings!$C$7)</f>
        <v/>
      </c>
      <c r="U420" s="7">
        <f>IF($AD420="","",SUMIFS('Per Line'!$AB$2:$AB$3001,'Per Line'!$E$2:$E$3001,$B420,'Per Line'!$AP$2:$AP$3001,0,'Per Line'!$AQ$2:$AQ$3001,0))</f>
        <v/>
      </c>
      <c r="V420" s="7">
        <f>IF($AD420="","",U420*T420)</f>
        <v/>
      </c>
      <c r="W420">
        <f>IF($AD420="","",Settings!$C$6)</f>
        <v/>
      </c>
      <c r="X420" s="7">
        <f>IF($AD420="","",SUMIFS('Per Line'!$AB$2:$AB$3001,'Per Line'!$E$2:$E$3001,$B420,'Per Line'!$AP$2:$AP$3001,1,'Per Line'!$AQ$2:$AQ$3001,0))</f>
        <v/>
      </c>
      <c r="Y420" s="7">
        <f>IF($AD420="","",X420*W420)</f>
        <v/>
      </c>
      <c r="Z420" s="7">
        <f>IF($AD420="","",Y420+V420)</f>
        <v/>
      </c>
      <c r="AA420" s="7">
        <f>IF($AD420="","",AB420-Z420)</f>
        <v/>
      </c>
      <c r="AB420" s="7">
        <f>IF($AD420="","",U420+X420+S420)</f>
        <v/>
      </c>
      <c r="AC420" s="7">
        <f>IF($AD420="","",AB420-Z420-P420)</f>
        <v/>
      </c>
      <c r="AD420" s="13">
        <f>IF(ROWS($AD$2:$AD420)&lt;=MAX('Per Line'!$AO$2:$AO$3001),MATCH(ROWS($AD$2:$AD420),'Per Line'!$AO$2:$AO$3001,0),"")</f>
        <v/>
      </c>
      <c r="AE420" s="14">
        <f>IF($AD420="","",P420-O420*AB420/100)</f>
        <v/>
      </c>
    </row>
    <row r="421">
      <c r="A421" s="12" t="n"/>
      <c r="B421">
        <f>IF($AD421="","",INDEX('Per Line'!$E$2:$E$3001,$AD421)&amp;"")</f>
        <v/>
      </c>
      <c r="C421">
        <f>IF($AD421="","",INDEX('Per Line'!$A$2:$A$3001,$AD421)&amp;"")</f>
        <v/>
      </c>
      <c r="D421">
        <f>IF($AD421="","",INDEX('Per Line'!$C$2:$C$3001,$AD421)&amp;"")</f>
        <v/>
      </c>
      <c r="E421">
        <f>IF($AD421="","",INDEX('Per Line'!$B$2:$B$3001,$AD421))</f>
        <v/>
      </c>
      <c r="F421">
        <f>IF($AD421="","",INDEX('Per Line'!$D$2:$D$3001,$AD421)&amp;"")</f>
        <v/>
      </c>
      <c r="G421" s="11">
        <f>IF($AD421="","",INDEX('Per Line'!$G$2:$G$3001,$AD421))</f>
        <v/>
      </c>
      <c r="H421">
        <f>IF($AD421="","",INDEX('Per Line'!$J$2:$J$3001,$AD421)&amp;"")</f>
        <v/>
      </c>
      <c r="I421">
        <f>IF($AD421="","",INDEX('Per Line'!$H$2:$H$3001,$AD421)&amp;"")</f>
        <v/>
      </c>
      <c r="J421">
        <f>IF($AD421="","",INDEX('Per Line'!$F$2:$F$3001,$AD421)&amp;"")</f>
        <v/>
      </c>
      <c r="K421">
        <f>IF($AD421="","",INDEX('Per Line'!$K$2:$K$3001,$AD421)&amp;"")</f>
        <v/>
      </c>
      <c r="L421">
        <f>IF($AD421="","",INDEX('Per Line'!$L$2:$L$3001,$AD421)&amp;"")</f>
        <v/>
      </c>
      <c r="M421">
        <f>IF($AD421="","",INDEX('Per Line'!$M$2:$M$3001,$AD421)&amp;"")</f>
        <v/>
      </c>
      <c r="N421">
        <f>IF($AD421="","",INDEX('Per Line'!$AC$2:$AC$3001,$AD421)&amp;"")</f>
        <v/>
      </c>
      <c r="O421">
        <f>IF($AD421="","",INDEX('Per Line'!$P$2:$P$3001,$AD421))</f>
        <v/>
      </c>
      <c r="P421" s="7">
        <f>IF($AD421="","",IF(AND(ISNUMBER(Q421),Q421&gt;0,AB421&gt;Q421),O421*Q421/100+(AB421-Q421),O421*AB421/100))</f>
        <v/>
      </c>
      <c r="Q421">
        <f>IF($AD421="","",INDEX('Per Line'!$AG$2:$AG$3001,$AD421))</f>
        <v/>
      </c>
      <c r="R421">
        <f>IF($AD421="","",IF(AND(ISNUMBER(Q421),Q421&gt;0),AB421&gt;Q421,FALSE))</f>
        <v/>
      </c>
      <c r="S421" s="7">
        <f>IF($AD421="","",SUMIFS('Per Line'!$AB$2:$AB$3001,'Per Line'!$E$2:$E$3001,$B421,'Per Line'!$AQ$2:$AQ$3001,1))</f>
        <v/>
      </c>
      <c r="T421">
        <f>IF($AD421="","",Settings!$C$7)</f>
        <v/>
      </c>
      <c r="U421" s="7">
        <f>IF($AD421="","",SUMIFS('Per Line'!$AB$2:$AB$3001,'Per Line'!$E$2:$E$3001,$B421,'Per Line'!$AP$2:$AP$3001,0,'Per Line'!$AQ$2:$AQ$3001,0))</f>
        <v/>
      </c>
      <c r="V421" s="7">
        <f>IF($AD421="","",U421*T421)</f>
        <v/>
      </c>
      <c r="W421">
        <f>IF($AD421="","",Settings!$C$6)</f>
        <v/>
      </c>
      <c r="X421" s="7">
        <f>IF($AD421="","",SUMIFS('Per Line'!$AB$2:$AB$3001,'Per Line'!$E$2:$E$3001,$B421,'Per Line'!$AP$2:$AP$3001,1,'Per Line'!$AQ$2:$AQ$3001,0))</f>
        <v/>
      </c>
      <c r="Y421" s="7">
        <f>IF($AD421="","",X421*W421)</f>
        <v/>
      </c>
      <c r="Z421" s="7">
        <f>IF($AD421="","",Y421+V421)</f>
        <v/>
      </c>
      <c r="AA421" s="7">
        <f>IF($AD421="","",AB421-Z421)</f>
        <v/>
      </c>
      <c r="AB421" s="7">
        <f>IF($AD421="","",U421+X421+S421)</f>
        <v/>
      </c>
      <c r="AC421" s="7">
        <f>IF($AD421="","",AB421-Z421-P421)</f>
        <v/>
      </c>
      <c r="AD421" s="13">
        <f>IF(ROWS($AD$2:$AD421)&lt;=MAX('Per Line'!$AO$2:$AO$3001),MATCH(ROWS($AD$2:$AD421),'Per Line'!$AO$2:$AO$3001,0),"")</f>
        <v/>
      </c>
      <c r="AE421" s="14">
        <f>IF($AD421="","",P421-O421*AB421/100)</f>
        <v/>
      </c>
    </row>
    <row r="422">
      <c r="A422" s="12" t="n"/>
      <c r="B422">
        <f>IF($AD422="","",INDEX('Per Line'!$E$2:$E$3001,$AD422)&amp;"")</f>
        <v/>
      </c>
      <c r="C422">
        <f>IF($AD422="","",INDEX('Per Line'!$A$2:$A$3001,$AD422)&amp;"")</f>
        <v/>
      </c>
      <c r="D422">
        <f>IF($AD422="","",INDEX('Per Line'!$C$2:$C$3001,$AD422)&amp;"")</f>
        <v/>
      </c>
      <c r="E422">
        <f>IF($AD422="","",INDEX('Per Line'!$B$2:$B$3001,$AD422))</f>
        <v/>
      </c>
      <c r="F422">
        <f>IF($AD422="","",INDEX('Per Line'!$D$2:$D$3001,$AD422)&amp;"")</f>
        <v/>
      </c>
      <c r="G422" s="11">
        <f>IF($AD422="","",INDEX('Per Line'!$G$2:$G$3001,$AD422))</f>
        <v/>
      </c>
      <c r="H422">
        <f>IF($AD422="","",INDEX('Per Line'!$J$2:$J$3001,$AD422)&amp;"")</f>
        <v/>
      </c>
      <c r="I422">
        <f>IF($AD422="","",INDEX('Per Line'!$H$2:$H$3001,$AD422)&amp;"")</f>
        <v/>
      </c>
      <c r="J422">
        <f>IF($AD422="","",INDEX('Per Line'!$F$2:$F$3001,$AD422)&amp;"")</f>
        <v/>
      </c>
      <c r="K422">
        <f>IF($AD422="","",INDEX('Per Line'!$K$2:$K$3001,$AD422)&amp;"")</f>
        <v/>
      </c>
      <c r="L422">
        <f>IF($AD422="","",INDEX('Per Line'!$L$2:$L$3001,$AD422)&amp;"")</f>
        <v/>
      </c>
      <c r="M422">
        <f>IF($AD422="","",INDEX('Per Line'!$M$2:$M$3001,$AD422)&amp;"")</f>
        <v/>
      </c>
      <c r="N422">
        <f>IF($AD422="","",INDEX('Per Line'!$AC$2:$AC$3001,$AD422)&amp;"")</f>
        <v/>
      </c>
      <c r="O422">
        <f>IF($AD422="","",INDEX('Per Line'!$P$2:$P$3001,$AD422))</f>
        <v/>
      </c>
      <c r="P422" s="7">
        <f>IF($AD422="","",IF(AND(ISNUMBER(Q422),Q422&gt;0,AB422&gt;Q422),O422*Q422/100+(AB422-Q422),O422*AB422/100))</f>
        <v/>
      </c>
      <c r="Q422">
        <f>IF($AD422="","",INDEX('Per Line'!$AG$2:$AG$3001,$AD422))</f>
        <v/>
      </c>
      <c r="R422">
        <f>IF($AD422="","",IF(AND(ISNUMBER(Q422),Q422&gt;0),AB422&gt;Q422,FALSE))</f>
        <v/>
      </c>
      <c r="S422" s="7">
        <f>IF($AD422="","",SUMIFS('Per Line'!$AB$2:$AB$3001,'Per Line'!$E$2:$E$3001,$B422,'Per Line'!$AQ$2:$AQ$3001,1))</f>
        <v/>
      </c>
      <c r="T422">
        <f>IF($AD422="","",Settings!$C$7)</f>
        <v/>
      </c>
      <c r="U422" s="7">
        <f>IF($AD422="","",SUMIFS('Per Line'!$AB$2:$AB$3001,'Per Line'!$E$2:$E$3001,$B422,'Per Line'!$AP$2:$AP$3001,0,'Per Line'!$AQ$2:$AQ$3001,0))</f>
        <v/>
      </c>
      <c r="V422" s="7">
        <f>IF($AD422="","",U422*T422)</f>
        <v/>
      </c>
      <c r="W422">
        <f>IF($AD422="","",Settings!$C$6)</f>
        <v/>
      </c>
      <c r="X422" s="7">
        <f>IF($AD422="","",SUMIFS('Per Line'!$AB$2:$AB$3001,'Per Line'!$E$2:$E$3001,$B422,'Per Line'!$AP$2:$AP$3001,1,'Per Line'!$AQ$2:$AQ$3001,0))</f>
        <v/>
      </c>
      <c r="Y422" s="7">
        <f>IF($AD422="","",X422*W422)</f>
        <v/>
      </c>
      <c r="Z422" s="7">
        <f>IF($AD422="","",Y422+V422)</f>
        <v/>
      </c>
      <c r="AA422" s="7">
        <f>IF($AD422="","",AB422-Z422)</f>
        <v/>
      </c>
      <c r="AB422" s="7">
        <f>IF($AD422="","",U422+X422+S422)</f>
        <v/>
      </c>
      <c r="AC422" s="7">
        <f>IF($AD422="","",AB422-Z422-P422)</f>
        <v/>
      </c>
      <c r="AD422" s="13">
        <f>IF(ROWS($AD$2:$AD422)&lt;=MAX('Per Line'!$AO$2:$AO$3001),MATCH(ROWS($AD$2:$AD422),'Per Line'!$AO$2:$AO$3001,0),"")</f>
        <v/>
      </c>
      <c r="AE422" s="14">
        <f>IF($AD422="","",P422-O422*AB422/100)</f>
        <v/>
      </c>
    </row>
    <row r="423">
      <c r="A423" s="12" t="n"/>
      <c r="B423">
        <f>IF($AD423="","",INDEX('Per Line'!$E$2:$E$3001,$AD423)&amp;"")</f>
        <v/>
      </c>
      <c r="C423">
        <f>IF($AD423="","",INDEX('Per Line'!$A$2:$A$3001,$AD423)&amp;"")</f>
        <v/>
      </c>
      <c r="D423">
        <f>IF($AD423="","",INDEX('Per Line'!$C$2:$C$3001,$AD423)&amp;"")</f>
        <v/>
      </c>
      <c r="E423">
        <f>IF($AD423="","",INDEX('Per Line'!$B$2:$B$3001,$AD423))</f>
        <v/>
      </c>
      <c r="F423">
        <f>IF($AD423="","",INDEX('Per Line'!$D$2:$D$3001,$AD423)&amp;"")</f>
        <v/>
      </c>
      <c r="G423" s="11">
        <f>IF($AD423="","",INDEX('Per Line'!$G$2:$G$3001,$AD423))</f>
        <v/>
      </c>
      <c r="H423">
        <f>IF($AD423="","",INDEX('Per Line'!$J$2:$J$3001,$AD423)&amp;"")</f>
        <v/>
      </c>
      <c r="I423">
        <f>IF($AD423="","",INDEX('Per Line'!$H$2:$H$3001,$AD423)&amp;"")</f>
        <v/>
      </c>
      <c r="J423">
        <f>IF($AD423="","",INDEX('Per Line'!$F$2:$F$3001,$AD423)&amp;"")</f>
        <v/>
      </c>
      <c r="K423">
        <f>IF($AD423="","",INDEX('Per Line'!$K$2:$K$3001,$AD423)&amp;"")</f>
        <v/>
      </c>
      <c r="L423">
        <f>IF($AD423="","",INDEX('Per Line'!$L$2:$L$3001,$AD423)&amp;"")</f>
        <v/>
      </c>
      <c r="M423">
        <f>IF($AD423="","",INDEX('Per Line'!$M$2:$M$3001,$AD423)&amp;"")</f>
        <v/>
      </c>
      <c r="N423">
        <f>IF($AD423="","",INDEX('Per Line'!$AC$2:$AC$3001,$AD423)&amp;"")</f>
        <v/>
      </c>
      <c r="O423">
        <f>IF($AD423="","",INDEX('Per Line'!$P$2:$P$3001,$AD423))</f>
        <v/>
      </c>
      <c r="P423" s="7">
        <f>IF($AD423="","",IF(AND(ISNUMBER(Q423),Q423&gt;0,AB423&gt;Q423),O423*Q423/100+(AB423-Q423),O423*AB423/100))</f>
        <v/>
      </c>
      <c r="Q423">
        <f>IF($AD423="","",INDEX('Per Line'!$AG$2:$AG$3001,$AD423))</f>
        <v/>
      </c>
      <c r="R423">
        <f>IF($AD423="","",IF(AND(ISNUMBER(Q423),Q423&gt;0),AB423&gt;Q423,FALSE))</f>
        <v/>
      </c>
      <c r="S423" s="7">
        <f>IF($AD423="","",SUMIFS('Per Line'!$AB$2:$AB$3001,'Per Line'!$E$2:$E$3001,$B423,'Per Line'!$AQ$2:$AQ$3001,1))</f>
        <v/>
      </c>
      <c r="T423">
        <f>IF($AD423="","",Settings!$C$7)</f>
        <v/>
      </c>
      <c r="U423" s="7">
        <f>IF($AD423="","",SUMIFS('Per Line'!$AB$2:$AB$3001,'Per Line'!$E$2:$E$3001,$B423,'Per Line'!$AP$2:$AP$3001,0,'Per Line'!$AQ$2:$AQ$3001,0))</f>
        <v/>
      </c>
      <c r="V423" s="7">
        <f>IF($AD423="","",U423*T423)</f>
        <v/>
      </c>
      <c r="W423">
        <f>IF($AD423="","",Settings!$C$6)</f>
        <v/>
      </c>
      <c r="X423" s="7">
        <f>IF($AD423="","",SUMIFS('Per Line'!$AB$2:$AB$3001,'Per Line'!$E$2:$E$3001,$B423,'Per Line'!$AP$2:$AP$3001,1,'Per Line'!$AQ$2:$AQ$3001,0))</f>
        <v/>
      </c>
      <c r="Y423" s="7">
        <f>IF($AD423="","",X423*W423)</f>
        <v/>
      </c>
      <c r="Z423" s="7">
        <f>IF($AD423="","",Y423+V423)</f>
        <v/>
      </c>
      <c r="AA423" s="7">
        <f>IF($AD423="","",AB423-Z423)</f>
        <v/>
      </c>
      <c r="AB423" s="7">
        <f>IF($AD423="","",U423+X423+S423)</f>
        <v/>
      </c>
      <c r="AC423" s="7">
        <f>IF($AD423="","",AB423-Z423-P423)</f>
        <v/>
      </c>
      <c r="AD423" s="13">
        <f>IF(ROWS($AD$2:$AD423)&lt;=MAX('Per Line'!$AO$2:$AO$3001),MATCH(ROWS($AD$2:$AD423),'Per Line'!$AO$2:$AO$3001,0),"")</f>
        <v/>
      </c>
      <c r="AE423" s="14">
        <f>IF($AD423="","",P423-O423*AB423/100)</f>
        <v/>
      </c>
    </row>
    <row r="424">
      <c r="A424" s="12" t="n"/>
      <c r="B424">
        <f>IF($AD424="","",INDEX('Per Line'!$E$2:$E$3001,$AD424)&amp;"")</f>
        <v/>
      </c>
      <c r="C424">
        <f>IF($AD424="","",INDEX('Per Line'!$A$2:$A$3001,$AD424)&amp;"")</f>
        <v/>
      </c>
      <c r="D424">
        <f>IF($AD424="","",INDEX('Per Line'!$C$2:$C$3001,$AD424)&amp;"")</f>
        <v/>
      </c>
      <c r="E424">
        <f>IF($AD424="","",INDEX('Per Line'!$B$2:$B$3001,$AD424))</f>
        <v/>
      </c>
      <c r="F424">
        <f>IF($AD424="","",INDEX('Per Line'!$D$2:$D$3001,$AD424)&amp;"")</f>
        <v/>
      </c>
      <c r="G424" s="11">
        <f>IF($AD424="","",INDEX('Per Line'!$G$2:$G$3001,$AD424))</f>
        <v/>
      </c>
      <c r="H424">
        <f>IF($AD424="","",INDEX('Per Line'!$J$2:$J$3001,$AD424)&amp;"")</f>
        <v/>
      </c>
      <c r="I424">
        <f>IF($AD424="","",INDEX('Per Line'!$H$2:$H$3001,$AD424)&amp;"")</f>
        <v/>
      </c>
      <c r="J424">
        <f>IF($AD424="","",INDEX('Per Line'!$F$2:$F$3001,$AD424)&amp;"")</f>
        <v/>
      </c>
      <c r="K424">
        <f>IF($AD424="","",INDEX('Per Line'!$K$2:$K$3001,$AD424)&amp;"")</f>
        <v/>
      </c>
      <c r="L424">
        <f>IF($AD424="","",INDEX('Per Line'!$L$2:$L$3001,$AD424)&amp;"")</f>
        <v/>
      </c>
      <c r="M424">
        <f>IF($AD424="","",INDEX('Per Line'!$M$2:$M$3001,$AD424)&amp;"")</f>
        <v/>
      </c>
      <c r="N424">
        <f>IF($AD424="","",INDEX('Per Line'!$AC$2:$AC$3001,$AD424)&amp;"")</f>
        <v/>
      </c>
      <c r="O424">
        <f>IF($AD424="","",INDEX('Per Line'!$P$2:$P$3001,$AD424))</f>
        <v/>
      </c>
      <c r="P424" s="7">
        <f>IF($AD424="","",IF(AND(ISNUMBER(Q424),Q424&gt;0,AB424&gt;Q424),O424*Q424/100+(AB424-Q424),O424*AB424/100))</f>
        <v/>
      </c>
      <c r="Q424">
        <f>IF($AD424="","",INDEX('Per Line'!$AG$2:$AG$3001,$AD424))</f>
        <v/>
      </c>
      <c r="R424">
        <f>IF($AD424="","",IF(AND(ISNUMBER(Q424),Q424&gt;0),AB424&gt;Q424,FALSE))</f>
        <v/>
      </c>
      <c r="S424" s="7">
        <f>IF($AD424="","",SUMIFS('Per Line'!$AB$2:$AB$3001,'Per Line'!$E$2:$E$3001,$B424,'Per Line'!$AQ$2:$AQ$3001,1))</f>
        <v/>
      </c>
      <c r="T424">
        <f>IF($AD424="","",Settings!$C$7)</f>
        <v/>
      </c>
      <c r="U424" s="7">
        <f>IF($AD424="","",SUMIFS('Per Line'!$AB$2:$AB$3001,'Per Line'!$E$2:$E$3001,$B424,'Per Line'!$AP$2:$AP$3001,0,'Per Line'!$AQ$2:$AQ$3001,0))</f>
        <v/>
      </c>
      <c r="V424" s="7">
        <f>IF($AD424="","",U424*T424)</f>
        <v/>
      </c>
      <c r="W424">
        <f>IF($AD424="","",Settings!$C$6)</f>
        <v/>
      </c>
      <c r="X424" s="7">
        <f>IF($AD424="","",SUMIFS('Per Line'!$AB$2:$AB$3001,'Per Line'!$E$2:$E$3001,$B424,'Per Line'!$AP$2:$AP$3001,1,'Per Line'!$AQ$2:$AQ$3001,0))</f>
        <v/>
      </c>
      <c r="Y424" s="7">
        <f>IF($AD424="","",X424*W424)</f>
        <v/>
      </c>
      <c r="Z424" s="7">
        <f>IF($AD424="","",Y424+V424)</f>
        <v/>
      </c>
      <c r="AA424" s="7">
        <f>IF($AD424="","",AB424-Z424)</f>
        <v/>
      </c>
      <c r="AB424" s="7">
        <f>IF($AD424="","",U424+X424+S424)</f>
        <v/>
      </c>
      <c r="AC424" s="7">
        <f>IF($AD424="","",AB424-Z424-P424)</f>
        <v/>
      </c>
      <c r="AD424" s="13">
        <f>IF(ROWS($AD$2:$AD424)&lt;=MAX('Per Line'!$AO$2:$AO$3001),MATCH(ROWS($AD$2:$AD424),'Per Line'!$AO$2:$AO$3001,0),"")</f>
        <v/>
      </c>
      <c r="AE424" s="14">
        <f>IF($AD424="","",P424-O424*AB424/100)</f>
        <v/>
      </c>
    </row>
    <row r="425">
      <c r="A425" s="12" t="n"/>
      <c r="B425">
        <f>IF($AD425="","",INDEX('Per Line'!$E$2:$E$3001,$AD425)&amp;"")</f>
        <v/>
      </c>
      <c r="C425">
        <f>IF($AD425="","",INDEX('Per Line'!$A$2:$A$3001,$AD425)&amp;"")</f>
        <v/>
      </c>
      <c r="D425">
        <f>IF($AD425="","",INDEX('Per Line'!$C$2:$C$3001,$AD425)&amp;"")</f>
        <v/>
      </c>
      <c r="E425">
        <f>IF($AD425="","",INDEX('Per Line'!$B$2:$B$3001,$AD425))</f>
        <v/>
      </c>
      <c r="F425">
        <f>IF($AD425="","",INDEX('Per Line'!$D$2:$D$3001,$AD425)&amp;"")</f>
        <v/>
      </c>
      <c r="G425" s="11">
        <f>IF($AD425="","",INDEX('Per Line'!$G$2:$G$3001,$AD425))</f>
        <v/>
      </c>
      <c r="H425">
        <f>IF($AD425="","",INDEX('Per Line'!$J$2:$J$3001,$AD425)&amp;"")</f>
        <v/>
      </c>
      <c r="I425">
        <f>IF($AD425="","",INDEX('Per Line'!$H$2:$H$3001,$AD425)&amp;"")</f>
        <v/>
      </c>
      <c r="J425">
        <f>IF($AD425="","",INDEX('Per Line'!$F$2:$F$3001,$AD425)&amp;"")</f>
        <v/>
      </c>
      <c r="K425">
        <f>IF($AD425="","",INDEX('Per Line'!$K$2:$K$3001,$AD425)&amp;"")</f>
        <v/>
      </c>
      <c r="L425">
        <f>IF($AD425="","",INDEX('Per Line'!$L$2:$L$3001,$AD425)&amp;"")</f>
        <v/>
      </c>
      <c r="M425">
        <f>IF($AD425="","",INDEX('Per Line'!$M$2:$M$3001,$AD425)&amp;"")</f>
        <v/>
      </c>
      <c r="N425">
        <f>IF($AD425="","",INDEX('Per Line'!$AC$2:$AC$3001,$AD425)&amp;"")</f>
        <v/>
      </c>
      <c r="O425">
        <f>IF($AD425="","",INDEX('Per Line'!$P$2:$P$3001,$AD425))</f>
        <v/>
      </c>
      <c r="P425" s="7">
        <f>IF($AD425="","",IF(AND(ISNUMBER(Q425),Q425&gt;0,AB425&gt;Q425),O425*Q425/100+(AB425-Q425),O425*AB425/100))</f>
        <v/>
      </c>
      <c r="Q425">
        <f>IF($AD425="","",INDEX('Per Line'!$AG$2:$AG$3001,$AD425))</f>
        <v/>
      </c>
      <c r="R425">
        <f>IF($AD425="","",IF(AND(ISNUMBER(Q425),Q425&gt;0),AB425&gt;Q425,FALSE))</f>
        <v/>
      </c>
      <c r="S425" s="7">
        <f>IF($AD425="","",SUMIFS('Per Line'!$AB$2:$AB$3001,'Per Line'!$E$2:$E$3001,$B425,'Per Line'!$AQ$2:$AQ$3001,1))</f>
        <v/>
      </c>
      <c r="T425">
        <f>IF($AD425="","",Settings!$C$7)</f>
        <v/>
      </c>
      <c r="U425" s="7">
        <f>IF($AD425="","",SUMIFS('Per Line'!$AB$2:$AB$3001,'Per Line'!$E$2:$E$3001,$B425,'Per Line'!$AP$2:$AP$3001,0,'Per Line'!$AQ$2:$AQ$3001,0))</f>
        <v/>
      </c>
      <c r="V425" s="7">
        <f>IF($AD425="","",U425*T425)</f>
        <v/>
      </c>
      <c r="W425">
        <f>IF($AD425="","",Settings!$C$6)</f>
        <v/>
      </c>
      <c r="X425" s="7">
        <f>IF($AD425="","",SUMIFS('Per Line'!$AB$2:$AB$3001,'Per Line'!$E$2:$E$3001,$B425,'Per Line'!$AP$2:$AP$3001,1,'Per Line'!$AQ$2:$AQ$3001,0))</f>
        <v/>
      </c>
      <c r="Y425" s="7">
        <f>IF($AD425="","",X425*W425)</f>
        <v/>
      </c>
      <c r="Z425" s="7">
        <f>IF($AD425="","",Y425+V425)</f>
        <v/>
      </c>
      <c r="AA425" s="7">
        <f>IF($AD425="","",AB425-Z425)</f>
        <v/>
      </c>
      <c r="AB425" s="7">
        <f>IF($AD425="","",U425+X425+S425)</f>
        <v/>
      </c>
      <c r="AC425" s="7">
        <f>IF($AD425="","",AB425-Z425-P425)</f>
        <v/>
      </c>
      <c r="AD425" s="13">
        <f>IF(ROWS($AD$2:$AD425)&lt;=MAX('Per Line'!$AO$2:$AO$3001),MATCH(ROWS($AD$2:$AD425),'Per Line'!$AO$2:$AO$3001,0),"")</f>
        <v/>
      </c>
      <c r="AE425" s="14">
        <f>IF($AD425="","",P425-O425*AB425/100)</f>
        <v/>
      </c>
    </row>
    <row r="426">
      <c r="A426" s="12" t="n"/>
      <c r="B426">
        <f>IF($AD426="","",INDEX('Per Line'!$E$2:$E$3001,$AD426)&amp;"")</f>
        <v/>
      </c>
      <c r="C426">
        <f>IF($AD426="","",INDEX('Per Line'!$A$2:$A$3001,$AD426)&amp;"")</f>
        <v/>
      </c>
      <c r="D426">
        <f>IF($AD426="","",INDEX('Per Line'!$C$2:$C$3001,$AD426)&amp;"")</f>
        <v/>
      </c>
      <c r="E426">
        <f>IF($AD426="","",INDEX('Per Line'!$B$2:$B$3001,$AD426))</f>
        <v/>
      </c>
      <c r="F426">
        <f>IF($AD426="","",INDEX('Per Line'!$D$2:$D$3001,$AD426)&amp;"")</f>
        <v/>
      </c>
      <c r="G426" s="11">
        <f>IF($AD426="","",INDEX('Per Line'!$G$2:$G$3001,$AD426))</f>
        <v/>
      </c>
      <c r="H426">
        <f>IF($AD426="","",INDEX('Per Line'!$J$2:$J$3001,$AD426)&amp;"")</f>
        <v/>
      </c>
      <c r="I426">
        <f>IF($AD426="","",INDEX('Per Line'!$H$2:$H$3001,$AD426)&amp;"")</f>
        <v/>
      </c>
      <c r="J426">
        <f>IF($AD426="","",INDEX('Per Line'!$F$2:$F$3001,$AD426)&amp;"")</f>
        <v/>
      </c>
      <c r="K426">
        <f>IF($AD426="","",INDEX('Per Line'!$K$2:$K$3001,$AD426)&amp;"")</f>
        <v/>
      </c>
      <c r="L426">
        <f>IF($AD426="","",INDEX('Per Line'!$L$2:$L$3001,$AD426)&amp;"")</f>
        <v/>
      </c>
      <c r="M426">
        <f>IF($AD426="","",INDEX('Per Line'!$M$2:$M$3001,$AD426)&amp;"")</f>
        <v/>
      </c>
      <c r="N426">
        <f>IF($AD426="","",INDEX('Per Line'!$AC$2:$AC$3001,$AD426)&amp;"")</f>
        <v/>
      </c>
      <c r="O426">
        <f>IF($AD426="","",INDEX('Per Line'!$P$2:$P$3001,$AD426))</f>
        <v/>
      </c>
      <c r="P426" s="7">
        <f>IF($AD426="","",IF(AND(ISNUMBER(Q426),Q426&gt;0,AB426&gt;Q426),O426*Q426/100+(AB426-Q426),O426*AB426/100))</f>
        <v/>
      </c>
      <c r="Q426">
        <f>IF($AD426="","",INDEX('Per Line'!$AG$2:$AG$3001,$AD426))</f>
        <v/>
      </c>
      <c r="R426">
        <f>IF($AD426="","",IF(AND(ISNUMBER(Q426),Q426&gt;0),AB426&gt;Q426,FALSE))</f>
        <v/>
      </c>
      <c r="S426" s="7">
        <f>IF($AD426="","",SUMIFS('Per Line'!$AB$2:$AB$3001,'Per Line'!$E$2:$E$3001,$B426,'Per Line'!$AQ$2:$AQ$3001,1))</f>
        <v/>
      </c>
      <c r="T426">
        <f>IF($AD426="","",Settings!$C$7)</f>
        <v/>
      </c>
      <c r="U426" s="7">
        <f>IF($AD426="","",SUMIFS('Per Line'!$AB$2:$AB$3001,'Per Line'!$E$2:$E$3001,$B426,'Per Line'!$AP$2:$AP$3001,0,'Per Line'!$AQ$2:$AQ$3001,0))</f>
        <v/>
      </c>
      <c r="V426" s="7">
        <f>IF($AD426="","",U426*T426)</f>
        <v/>
      </c>
      <c r="W426">
        <f>IF($AD426="","",Settings!$C$6)</f>
        <v/>
      </c>
      <c r="X426" s="7">
        <f>IF($AD426="","",SUMIFS('Per Line'!$AB$2:$AB$3001,'Per Line'!$E$2:$E$3001,$B426,'Per Line'!$AP$2:$AP$3001,1,'Per Line'!$AQ$2:$AQ$3001,0))</f>
        <v/>
      </c>
      <c r="Y426" s="7">
        <f>IF($AD426="","",X426*W426)</f>
        <v/>
      </c>
      <c r="Z426" s="7">
        <f>IF($AD426="","",Y426+V426)</f>
        <v/>
      </c>
      <c r="AA426" s="7">
        <f>IF($AD426="","",AB426-Z426)</f>
        <v/>
      </c>
      <c r="AB426" s="7">
        <f>IF($AD426="","",U426+X426+S426)</f>
        <v/>
      </c>
      <c r="AC426" s="7">
        <f>IF($AD426="","",AB426-Z426-P426)</f>
        <v/>
      </c>
      <c r="AD426" s="13">
        <f>IF(ROWS($AD$2:$AD426)&lt;=MAX('Per Line'!$AO$2:$AO$3001),MATCH(ROWS($AD$2:$AD426),'Per Line'!$AO$2:$AO$3001,0),"")</f>
        <v/>
      </c>
      <c r="AE426" s="14">
        <f>IF($AD426="","",P426-O426*AB426/100)</f>
        <v/>
      </c>
    </row>
    <row r="427">
      <c r="A427" s="12" t="n"/>
      <c r="B427">
        <f>IF($AD427="","",INDEX('Per Line'!$E$2:$E$3001,$AD427)&amp;"")</f>
        <v/>
      </c>
      <c r="C427">
        <f>IF($AD427="","",INDEX('Per Line'!$A$2:$A$3001,$AD427)&amp;"")</f>
        <v/>
      </c>
      <c r="D427">
        <f>IF($AD427="","",INDEX('Per Line'!$C$2:$C$3001,$AD427)&amp;"")</f>
        <v/>
      </c>
      <c r="E427">
        <f>IF($AD427="","",INDEX('Per Line'!$B$2:$B$3001,$AD427))</f>
        <v/>
      </c>
      <c r="F427">
        <f>IF($AD427="","",INDEX('Per Line'!$D$2:$D$3001,$AD427)&amp;"")</f>
        <v/>
      </c>
      <c r="G427" s="11">
        <f>IF($AD427="","",INDEX('Per Line'!$G$2:$G$3001,$AD427))</f>
        <v/>
      </c>
      <c r="H427">
        <f>IF($AD427="","",INDEX('Per Line'!$J$2:$J$3001,$AD427)&amp;"")</f>
        <v/>
      </c>
      <c r="I427">
        <f>IF($AD427="","",INDEX('Per Line'!$H$2:$H$3001,$AD427)&amp;"")</f>
        <v/>
      </c>
      <c r="J427">
        <f>IF($AD427="","",INDEX('Per Line'!$F$2:$F$3001,$AD427)&amp;"")</f>
        <v/>
      </c>
      <c r="K427">
        <f>IF($AD427="","",INDEX('Per Line'!$K$2:$K$3001,$AD427)&amp;"")</f>
        <v/>
      </c>
      <c r="L427">
        <f>IF($AD427="","",INDEX('Per Line'!$L$2:$L$3001,$AD427)&amp;"")</f>
        <v/>
      </c>
      <c r="M427">
        <f>IF($AD427="","",INDEX('Per Line'!$M$2:$M$3001,$AD427)&amp;"")</f>
        <v/>
      </c>
      <c r="N427">
        <f>IF($AD427="","",INDEX('Per Line'!$AC$2:$AC$3001,$AD427)&amp;"")</f>
        <v/>
      </c>
      <c r="O427">
        <f>IF($AD427="","",INDEX('Per Line'!$P$2:$P$3001,$AD427))</f>
        <v/>
      </c>
      <c r="P427" s="7">
        <f>IF($AD427="","",IF(AND(ISNUMBER(Q427),Q427&gt;0,AB427&gt;Q427),O427*Q427/100+(AB427-Q427),O427*AB427/100))</f>
        <v/>
      </c>
      <c r="Q427">
        <f>IF($AD427="","",INDEX('Per Line'!$AG$2:$AG$3001,$AD427))</f>
        <v/>
      </c>
      <c r="R427">
        <f>IF($AD427="","",IF(AND(ISNUMBER(Q427),Q427&gt;0),AB427&gt;Q427,FALSE))</f>
        <v/>
      </c>
      <c r="S427" s="7">
        <f>IF($AD427="","",SUMIFS('Per Line'!$AB$2:$AB$3001,'Per Line'!$E$2:$E$3001,$B427,'Per Line'!$AQ$2:$AQ$3001,1))</f>
        <v/>
      </c>
      <c r="T427">
        <f>IF($AD427="","",Settings!$C$7)</f>
        <v/>
      </c>
      <c r="U427" s="7">
        <f>IF($AD427="","",SUMIFS('Per Line'!$AB$2:$AB$3001,'Per Line'!$E$2:$E$3001,$B427,'Per Line'!$AP$2:$AP$3001,0,'Per Line'!$AQ$2:$AQ$3001,0))</f>
        <v/>
      </c>
      <c r="V427" s="7">
        <f>IF($AD427="","",U427*T427)</f>
        <v/>
      </c>
      <c r="W427">
        <f>IF($AD427="","",Settings!$C$6)</f>
        <v/>
      </c>
      <c r="X427" s="7">
        <f>IF($AD427="","",SUMIFS('Per Line'!$AB$2:$AB$3001,'Per Line'!$E$2:$E$3001,$B427,'Per Line'!$AP$2:$AP$3001,1,'Per Line'!$AQ$2:$AQ$3001,0))</f>
        <v/>
      </c>
      <c r="Y427" s="7">
        <f>IF($AD427="","",X427*W427)</f>
        <v/>
      </c>
      <c r="Z427" s="7">
        <f>IF($AD427="","",Y427+V427)</f>
        <v/>
      </c>
      <c r="AA427" s="7">
        <f>IF($AD427="","",AB427-Z427)</f>
        <v/>
      </c>
      <c r="AB427" s="7">
        <f>IF($AD427="","",U427+X427+S427)</f>
        <v/>
      </c>
      <c r="AC427" s="7">
        <f>IF($AD427="","",AB427-Z427-P427)</f>
        <v/>
      </c>
      <c r="AD427" s="13">
        <f>IF(ROWS($AD$2:$AD427)&lt;=MAX('Per Line'!$AO$2:$AO$3001),MATCH(ROWS($AD$2:$AD427),'Per Line'!$AO$2:$AO$3001,0),"")</f>
        <v/>
      </c>
      <c r="AE427" s="14">
        <f>IF($AD427="","",P427-O427*AB427/100)</f>
        <v/>
      </c>
    </row>
    <row r="428">
      <c r="A428" s="12" t="n"/>
      <c r="B428">
        <f>IF($AD428="","",INDEX('Per Line'!$E$2:$E$3001,$AD428)&amp;"")</f>
        <v/>
      </c>
      <c r="C428">
        <f>IF($AD428="","",INDEX('Per Line'!$A$2:$A$3001,$AD428)&amp;"")</f>
        <v/>
      </c>
      <c r="D428">
        <f>IF($AD428="","",INDEX('Per Line'!$C$2:$C$3001,$AD428)&amp;"")</f>
        <v/>
      </c>
      <c r="E428">
        <f>IF($AD428="","",INDEX('Per Line'!$B$2:$B$3001,$AD428))</f>
        <v/>
      </c>
      <c r="F428">
        <f>IF($AD428="","",INDEX('Per Line'!$D$2:$D$3001,$AD428)&amp;"")</f>
        <v/>
      </c>
      <c r="G428" s="11">
        <f>IF($AD428="","",INDEX('Per Line'!$G$2:$G$3001,$AD428))</f>
        <v/>
      </c>
      <c r="H428">
        <f>IF($AD428="","",INDEX('Per Line'!$J$2:$J$3001,$AD428)&amp;"")</f>
        <v/>
      </c>
      <c r="I428">
        <f>IF($AD428="","",INDEX('Per Line'!$H$2:$H$3001,$AD428)&amp;"")</f>
        <v/>
      </c>
      <c r="J428">
        <f>IF($AD428="","",INDEX('Per Line'!$F$2:$F$3001,$AD428)&amp;"")</f>
        <v/>
      </c>
      <c r="K428">
        <f>IF($AD428="","",INDEX('Per Line'!$K$2:$K$3001,$AD428)&amp;"")</f>
        <v/>
      </c>
      <c r="L428">
        <f>IF($AD428="","",INDEX('Per Line'!$L$2:$L$3001,$AD428)&amp;"")</f>
        <v/>
      </c>
      <c r="M428">
        <f>IF($AD428="","",INDEX('Per Line'!$M$2:$M$3001,$AD428)&amp;"")</f>
        <v/>
      </c>
      <c r="N428">
        <f>IF($AD428="","",INDEX('Per Line'!$AC$2:$AC$3001,$AD428)&amp;"")</f>
        <v/>
      </c>
      <c r="O428">
        <f>IF($AD428="","",INDEX('Per Line'!$P$2:$P$3001,$AD428))</f>
        <v/>
      </c>
      <c r="P428" s="7">
        <f>IF($AD428="","",IF(AND(ISNUMBER(Q428),Q428&gt;0,AB428&gt;Q428),O428*Q428/100+(AB428-Q428),O428*AB428/100))</f>
        <v/>
      </c>
      <c r="Q428">
        <f>IF($AD428="","",INDEX('Per Line'!$AG$2:$AG$3001,$AD428))</f>
        <v/>
      </c>
      <c r="R428">
        <f>IF($AD428="","",IF(AND(ISNUMBER(Q428),Q428&gt;0),AB428&gt;Q428,FALSE))</f>
        <v/>
      </c>
      <c r="S428" s="7">
        <f>IF($AD428="","",SUMIFS('Per Line'!$AB$2:$AB$3001,'Per Line'!$E$2:$E$3001,$B428,'Per Line'!$AQ$2:$AQ$3001,1))</f>
        <v/>
      </c>
      <c r="T428">
        <f>IF($AD428="","",Settings!$C$7)</f>
        <v/>
      </c>
      <c r="U428" s="7">
        <f>IF($AD428="","",SUMIFS('Per Line'!$AB$2:$AB$3001,'Per Line'!$E$2:$E$3001,$B428,'Per Line'!$AP$2:$AP$3001,0,'Per Line'!$AQ$2:$AQ$3001,0))</f>
        <v/>
      </c>
      <c r="V428" s="7">
        <f>IF($AD428="","",U428*T428)</f>
        <v/>
      </c>
      <c r="W428">
        <f>IF($AD428="","",Settings!$C$6)</f>
        <v/>
      </c>
      <c r="X428" s="7">
        <f>IF($AD428="","",SUMIFS('Per Line'!$AB$2:$AB$3001,'Per Line'!$E$2:$E$3001,$B428,'Per Line'!$AP$2:$AP$3001,1,'Per Line'!$AQ$2:$AQ$3001,0))</f>
        <v/>
      </c>
      <c r="Y428" s="7">
        <f>IF($AD428="","",X428*W428)</f>
        <v/>
      </c>
      <c r="Z428" s="7">
        <f>IF($AD428="","",Y428+V428)</f>
        <v/>
      </c>
      <c r="AA428" s="7">
        <f>IF($AD428="","",AB428-Z428)</f>
        <v/>
      </c>
      <c r="AB428" s="7">
        <f>IF($AD428="","",U428+X428+S428)</f>
        <v/>
      </c>
      <c r="AC428" s="7">
        <f>IF($AD428="","",AB428-Z428-P428)</f>
        <v/>
      </c>
      <c r="AD428" s="13">
        <f>IF(ROWS($AD$2:$AD428)&lt;=MAX('Per Line'!$AO$2:$AO$3001),MATCH(ROWS($AD$2:$AD428),'Per Line'!$AO$2:$AO$3001,0),"")</f>
        <v/>
      </c>
      <c r="AE428" s="14">
        <f>IF($AD428="","",P428-O428*AB428/100)</f>
        <v/>
      </c>
    </row>
    <row r="429">
      <c r="A429" s="12" t="n"/>
      <c r="B429">
        <f>IF($AD429="","",INDEX('Per Line'!$E$2:$E$3001,$AD429)&amp;"")</f>
        <v/>
      </c>
      <c r="C429">
        <f>IF($AD429="","",INDEX('Per Line'!$A$2:$A$3001,$AD429)&amp;"")</f>
        <v/>
      </c>
      <c r="D429">
        <f>IF($AD429="","",INDEX('Per Line'!$C$2:$C$3001,$AD429)&amp;"")</f>
        <v/>
      </c>
      <c r="E429">
        <f>IF($AD429="","",INDEX('Per Line'!$B$2:$B$3001,$AD429))</f>
        <v/>
      </c>
      <c r="F429">
        <f>IF($AD429="","",INDEX('Per Line'!$D$2:$D$3001,$AD429)&amp;"")</f>
        <v/>
      </c>
      <c r="G429" s="11">
        <f>IF($AD429="","",INDEX('Per Line'!$G$2:$G$3001,$AD429))</f>
        <v/>
      </c>
      <c r="H429">
        <f>IF($AD429="","",INDEX('Per Line'!$J$2:$J$3001,$AD429)&amp;"")</f>
        <v/>
      </c>
      <c r="I429">
        <f>IF($AD429="","",INDEX('Per Line'!$H$2:$H$3001,$AD429)&amp;"")</f>
        <v/>
      </c>
      <c r="J429">
        <f>IF($AD429="","",INDEX('Per Line'!$F$2:$F$3001,$AD429)&amp;"")</f>
        <v/>
      </c>
      <c r="K429">
        <f>IF($AD429="","",INDEX('Per Line'!$K$2:$K$3001,$AD429)&amp;"")</f>
        <v/>
      </c>
      <c r="L429">
        <f>IF($AD429="","",INDEX('Per Line'!$L$2:$L$3001,$AD429)&amp;"")</f>
        <v/>
      </c>
      <c r="M429">
        <f>IF($AD429="","",INDEX('Per Line'!$M$2:$M$3001,$AD429)&amp;"")</f>
        <v/>
      </c>
      <c r="N429">
        <f>IF($AD429="","",INDEX('Per Line'!$AC$2:$AC$3001,$AD429)&amp;"")</f>
        <v/>
      </c>
      <c r="O429">
        <f>IF($AD429="","",INDEX('Per Line'!$P$2:$P$3001,$AD429))</f>
        <v/>
      </c>
      <c r="P429" s="7">
        <f>IF($AD429="","",IF(AND(ISNUMBER(Q429),Q429&gt;0,AB429&gt;Q429),O429*Q429/100+(AB429-Q429),O429*AB429/100))</f>
        <v/>
      </c>
      <c r="Q429">
        <f>IF($AD429="","",INDEX('Per Line'!$AG$2:$AG$3001,$AD429))</f>
        <v/>
      </c>
      <c r="R429">
        <f>IF($AD429="","",IF(AND(ISNUMBER(Q429),Q429&gt;0),AB429&gt;Q429,FALSE))</f>
        <v/>
      </c>
      <c r="S429" s="7">
        <f>IF($AD429="","",SUMIFS('Per Line'!$AB$2:$AB$3001,'Per Line'!$E$2:$E$3001,$B429,'Per Line'!$AQ$2:$AQ$3001,1))</f>
        <v/>
      </c>
      <c r="T429">
        <f>IF($AD429="","",Settings!$C$7)</f>
        <v/>
      </c>
      <c r="U429" s="7">
        <f>IF($AD429="","",SUMIFS('Per Line'!$AB$2:$AB$3001,'Per Line'!$E$2:$E$3001,$B429,'Per Line'!$AP$2:$AP$3001,0,'Per Line'!$AQ$2:$AQ$3001,0))</f>
        <v/>
      </c>
      <c r="V429" s="7">
        <f>IF($AD429="","",U429*T429)</f>
        <v/>
      </c>
      <c r="W429">
        <f>IF($AD429="","",Settings!$C$6)</f>
        <v/>
      </c>
      <c r="X429" s="7">
        <f>IF($AD429="","",SUMIFS('Per Line'!$AB$2:$AB$3001,'Per Line'!$E$2:$E$3001,$B429,'Per Line'!$AP$2:$AP$3001,1,'Per Line'!$AQ$2:$AQ$3001,0))</f>
        <v/>
      </c>
      <c r="Y429" s="7">
        <f>IF($AD429="","",X429*W429)</f>
        <v/>
      </c>
      <c r="Z429" s="7">
        <f>IF($AD429="","",Y429+V429)</f>
        <v/>
      </c>
      <c r="AA429" s="7">
        <f>IF($AD429="","",AB429-Z429)</f>
        <v/>
      </c>
      <c r="AB429" s="7">
        <f>IF($AD429="","",U429+X429+S429)</f>
        <v/>
      </c>
      <c r="AC429" s="7">
        <f>IF($AD429="","",AB429-Z429-P429)</f>
        <v/>
      </c>
      <c r="AD429" s="13">
        <f>IF(ROWS($AD$2:$AD429)&lt;=MAX('Per Line'!$AO$2:$AO$3001),MATCH(ROWS($AD$2:$AD429),'Per Line'!$AO$2:$AO$3001,0),"")</f>
        <v/>
      </c>
      <c r="AE429" s="14">
        <f>IF($AD429="","",P429-O429*AB429/100)</f>
        <v/>
      </c>
    </row>
    <row r="430">
      <c r="A430" s="12" t="n"/>
      <c r="B430">
        <f>IF($AD430="","",INDEX('Per Line'!$E$2:$E$3001,$AD430)&amp;"")</f>
        <v/>
      </c>
      <c r="C430">
        <f>IF($AD430="","",INDEX('Per Line'!$A$2:$A$3001,$AD430)&amp;"")</f>
        <v/>
      </c>
      <c r="D430">
        <f>IF($AD430="","",INDEX('Per Line'!$C$2:$C$3001,$AD430)&amp;"")</f>
        <v/>
      </c>
      <c r="E430">
        <f>IF($AD430="","",INDEX('Per Line'!$B$2:$B$3001,$AD430))</f>
        <v/>
      </c>
      <c r="F430">
        <f>IF($AD430="","",INDEX('Per Line'!$D$2:$D$3001,$AD430)&amp;"")</f>
        <v/>
      </c>
      <c r="G430" s="11">
        <f>IF($AD430="","",INDEX('Per Line'!$G$2:$G$3001,$AD430))</f>
        <v/>
      </c>
      <c r="H430">
        <f>IF($AD430="","",INDEX('Per Line'!$J$2:$J$3001,$AD430)&amp;"")</f>
        <v/>
      </c>
      <c r="I430">
        <f>IF($AD430="","",INDEX('Per Line'!$H$2:$H$3001,$AD430)&amp;"")</f>
        <v/>
      </c>
      <c r="J430">
        <f>IF($AD430="","",INDEX('Per Line'!$F$2:$F$3001,$AD430)&amp;"")</f>
        <v/>
      </c>
      <c r="K430">
        <f>IF($AD430="","",INDEX('Per Line'!$K$2:$K$3001,$AD430)&amp;"")</f>
        <v/>
      </c>
      <c r="L430">
        <f>IF($AD430="","",INDEX('Per Line'!$L$2:$L$3001,$AD430)&amp;"")</f>
        <v/>
      </c>
      <c r="M430">
        <f>IF($AD430="","",INDEX('Per Line'!$M$2:$M$3001,$AD430)&amp;"")</f>
        <v/>
      </c>
      <c r="N430">
        <f>IF($AD430="","",INDEX('Per Line'!$AC$2:$AC$3001,$AD430)&amp;"")</f>
        <v/>
      </c>
      <c r="O430">
        <f>IF($AD430="","",INDEX('Per Line'!$P$2:$P$3001,$AD430))</f>
        <v/>
      </c>
      <c r="P430" s="7">
        <f>IF($AD430="","",IF(AND(ISNUMBER(Q430),Q430&gt;0,AB430&gt;Q430),O430*Q430/100+(AB430-Q430),O430*AB430/100))</f>
        <v/>
      </c>
      <c r="Q430">
        <f>IF($AD430="","",INDEX('Per Line'!$AG$2:$AG$3001,$AD430))</f>
        <v/>
      </c>
      <c r="R430">
        <f>IF($AD430="","",IF(AND(ISNUMBER(Q430),Q430&gt;0),AB430&gt;Q430,FALSE))</f>
        <v/>
      </c>
      <c r="S430" s="7">
        <f>IF($AD430="","",SUMIFS('Per Line'!$AB$2:$AB$3001,'Per Line'!$E$2:$E$3001,$B430,'Per Line'!$AQ$2:$AQ$3001,1))</f>
        <v/>
      </c>
      <c r="T430">
        <f>IF($AD430="","",Settings!$C$7)</f>
        <v/>
      </c>
      <c r="U430" s="7">
        <f>IF($AD430="","",SUMIFS('Per Line'!$AB$2:$AB$3001,'Per Line'!$E$2:$E$3001,$B430,'Per Line'!$AP$2:$AP$3001,0,'Per Line'!$AQ$2:$AQ$3001,0))</f>
        <v/>
      </c>
      <c r="V430" s="7">
        <f>IF($AD430="","",U430*T430)</f>
        <v/>
      </c>
      <c r="W430">
        <f>IF($AD430="","",Settings!$C$6)</f>
        <v/>
      </c>
      <c r="X430" s="7">
        <f>IF($AD430="","",SUMIFS('Per Line'!$AB$2:$AB$3001,'Per Line'!$E$2:$E$3001,$B430,'Per Line'!$AP$2:$AP$3001,1,'Per Line'!$AQ$2:$AQ$3001,0))</f>
        <v/>
      </c>
      <c r="Y430" s="7">
        <f>IF($AD430="","",X430*W430)</f>
        <v/>
      </c>
      <c r="Z430" s="7">
        <f>IF($AD430="","",Y430+V430)</f>
        <v/>
      </c>
      <c r="AA430" s="7">
        <f>IF($AD430="","",AB430-Z430)</f>
        <v/>
      </c>
      <c r="AB430" s="7">
        <f>IF($AD430="","",U430+X430+S430)</f>
        <v/>
      </c>
      <c r="AC430" s="7">
        <f>IF($AD430="","",AB430-Z430-P430)</f>
        <v/>
      </c>
      <c r="AD430" s="13">
        <f>IF(ROWS($AD$2:$AD430)&lt;=MAX('Per Line'!$AO$2:$AO$3001),MATCH(ROWS($AD$2:$AD430),'Per Line'!$AO$2:$AO$3001,0),"")</f>
        <v/>
      </c>
      <c r="AE430" s="14">
        <f>IF($AD430="","",P430-O430*AB430/100)</f>
        <v/>
      </c>
    </row>
    <row r="431">
      <c r="A431" s="12" t="n"/>
      <c r="B431">
        <f>IF($AD431="","",INDEX('Per Line'!$E$2:$E$3001,$AD431)&amp;"")</f>
        <v/>
      </c>
      <c r="C431">
        <f>IF($AD431="","",INDEX('Per Line'!$A$2:$A$3001,$AD431)&amp;"")</f>
        <v/>
      </c>
      <c r="D431">
        <f>IF($AD431="","",INDEX('Per Line'!$C$2:$C$3001,$AD431)&amp;"")</f>
        <v/>
      </c>
      <c r="E431">
        <f>IF($AD431="","",INDEX('Per Line'!$B$2:$B$3001,$AD431))</f>
        <v/>
      </c>
      <c r="F431">
        <f>IF($AD431="","",INDEX('Per Line'!$D$2:$D$3001,$AD431)&amp;"")</f>
        <v/>
      </c>
      <c r="G431" s="11">
        <f>IF($AD431="","",INDEX('Per Line'!$G$2:$G$3001,$AD431))</f>
        <v/>
      </c>
      <c r="H431">
        <f>IF($AD431="","",INDEX('Per Line'!$J$2:$J$3001,$AD431)&amp;"")</f>
        <v/>
      </c>
      <c r="I431">
        <f>IF($AD431="","",INDEX('Per Line'!$H$2:$H$3001,$AD431)&amp;"")</f>
        <v/>
      </c>
      <c r="J431">
        <f>IF($AD431="","",INDEX('Per Line'!$F$2:$F$3001,$AD431)&amp;"")</f>
        <v/>
      </c>
      <c r="K431">
        <f>IF($AD431="","",INDEX('Per Line'!$K$2:$K$3001,$AD431)&amp;"")</f>
        <v/>
      </c>
      <c r="L431">
        <f>IF($AD431="","",INDEX('Per Line'!$L$2:$L$3001,$AD431)&amp;"")</f>
        <v/>
      </c>
      <c r="M431">
        <f>IF($AD431="","",INDEX('Per Line'!$M$2:$M$3001,$AD431)&amp;"")</f>
        <v/>
      </c>
      <c r="N431">
        <f>IF($AD431="","",INDEX('Per Line'!$AC$2:$AC$3001,$AD431)&amp;"")</f>
        <v/>
      </c>
      <c r="O431">
        <f>IF($AD431="","",INDEX('Per Line'!$P$2:$P$3001,$AD431))</f>
        <v/>
      </c>
      <c r="P431" s="7">
        <f>IF($AD431="","",IF(AND(ISNUMBER(Q431),Q431&gt;0,AB431&gt;Q431),O431*Q431/100+(AB431-Q431),O431*AB431/100))</f>
        <v/>
      </c>
      <c r="Q431">
        <f>IF($AD431="","",INDEX('Per Line'!$AG$2:$AG$3001,$AD431))</f>
        <v/>
      </c>
      <c r="R431">
        <f>IF($AD431="","",IF(AND(ISNUMBER(Q431),Q431&gt;0),AB431&gt;Q431,FALSE))</f>
        <v/>
      </c>
      <c r="S431" s="7">
        <f>IF($AD431="","",SUMIFS('Per Line'!$AB$2:$AB$3001,'Per Line'!$E$2:$E$3001,$B431,'Per Line'!$AQ$2:$AQ$3001,1))</f>
        <v/>
      </c>
      <c r="T431">
        <f>IF($AD431="","",Settings!$C$7)</f>
        <v/>
      </c>
      <c r="U431" s="7">
        <f>IF($AD431="","",SUMIFS('Per Line'!$AB$2:$AB$3001,'Per Line'!$E$2:$E$3001,$B431,'Per Line'!$AP$2:$AP$3001,0,'Per Line'!$AQ$2:$AQ$3001,0))</f>
        <v/>
      </c>
      <c r="V431" s="7">
        <f>IF($AD431="","",U431*T431)</f>
        <v/>
      </c>
      <c r="W431">
        <f>IF($AD431="","",Settings!$C$6)</f>
        <v/>
      </c>
      <c r="X431" s="7">
        <f>IF($AD431="","",SUMIFS('Per Line'!$AB$2:$AB$3001,'Per Line'!$E$2:$E$3001,$B431,'Per Line'!$AP$2:$AP$3001,1,'Per Line'!$AQ$2:$AQ$3001,0))</f>
        <v/>
      </c>
      <c r="Y431" s="7">
        <f>IF($AD431="","",X431*W431)</f>
        <v/>
      </c>
      <c r="Z431" s="7">
        <f>IF($AD431="","",Y431+V431)</f>
        <v/>
      </c>
      <c r="AA431" s="7">
        <f>IF($AD431="","",AB431-Z431)</f>
        <v/>
      </c>
      <c r="AB431" s="7">
        <f>IF($AD431="","",U431+X431+S431)</f>
        <v/>
      </c>
      <c r="AC431" s="7">
        <f>IF($AD431="","",AB431-Z431-P431)</f>
        <v/>
      </c>
      <c r="AD431" s="13">
        <f>IF(ROWS($AD$2:$AD431)&lt;=MAX('Per Line'!$AO$2:$AO$3001),MATCH(ROWS($AD$2:$AD431),'Per Line'!$AO$2:$AO$3001,0),"")</f>
        <v/>
      </c>
      <c r="AE431" s="14">
        <f>IF($AD431="","",P431-O431*AB431/100)</f>
        <v/>
      </c>
    </row>
    <row r="432">
      <c r="A432" s="12" t="n"/>
      <c r="B432">
        <f>IF($AD432="","",INDEX('Per Line'!$E$2:$E$3001,$AD432)&amp;"")</f>
        <v/>
      </c>
      <c r="C432">
        <f>IF($AD432="","",INDEX('Per Line'!$A$2:$A$3001,$AD432)&amp;"")</f>
        <v/>
      </c>
      <c r="D432">
        <f>IF($AD432="","",INDEX('Per Line'!$C$2:$C$3001,$AD432)&amp;"")</f>
        <v/>
      </c>
      <c r="E432">
        <f>IF($AD432="","",INDEX('Per Line'!$B$2:$B$3001,$AD432))</f>
        <v/>
      </c>
      <c r="F432">
        <f>IF($AD432="","",INDEX('Per Line'!$D$2:$D$3001,$AD432)&amp;"")</f>
        <v/>
      </c>
      <c r="G432" s="11">
        <f>IF($AD432="","",INDEX('Per Line'!$G$2:$G$3001,$AD432))</f>
        <v/>
      </c>
      <c r="H432">
        <f>IF($AD432="","",INDEX('Per Line'!$J$2:$J$3001,$AD432)&amp;"")</f>
        <v/>
      </c>
      <c r="I432">
        <f>IF($AD432="","",INDEX('Per Line'!$H$2:$H$3001,$AD432)&amp;"")</f>
        <v/>
      </c>
      <c r="J432">
        <f>IF($AD432="","",INDEX('Per Line'!$F$2:$F$3001,$AD432)&amp;"")</f>
        <v/>
      </c>
      <c r="K432">
        <f>IF($AD432="","",INDEX('Per Line'!$K$2:$K$3001,$AD432)&amp;"")</f>
        <v/>
      </c>
      <c r="L432">
        <f>IF($AD432="","",INDEX('Per Line'!$L$2:$L$3001,$AD432)&amp;"")</f>
        <v/>
      </c>
      <c r="M432">
        <f>IF($AD432="","",INDEX('Per Line'!$M$2:$M$3001,$AD432)&amp;"")</f>
        <v/>
      </c>
      <c r="N432">
        <f>IF($AD432="","",INDEX('Per Line'!$AC$2:$AC$3001,$AD432)&amp;"")</f>
        <v/>
      </c>
      <c r="O432">
        <f>IF($AD432="","",INDEX('Per Line'!$P$2:$P$3001,$AD432))</f>
        <v/>
      </c>
      <c r="P432" s="7">
        <f>IF($AD432="","",IF(AND(ISNUMBER(Q432),Q432&gt;0,AB432&gt;Q432),O432*Q432/100+(AB432-Q432),O432*AB432/100))</f>
        <v/>
      </c>
      <c r="Q432">
        <f>IF($AD432="","",INDEX('Per Line'!$AG$2:$AG$3001,$AD432))</f>
        <v/>
      </c>
      <c r="R432">
        <f>IF($AD432="","",IF(AND(ISNUMBER(Q432),Q432&gt;0),AB432&gt;Q432,FALSE))</f>
        <v/>
      </c>
      <c r="S432" s="7">
        <f>IF($AD432="","",SUMIFS('Per Line'!$AB$2:$AB$3001,'Per Line'!$E$2:$E$3001,$B432,'Per Line'!$AQ$2:$AQ$3001,1))</f>
        <v/>
      </c>
      <c r="T432">
        <f>IF($AD432="","",Settings!$C$7)</f>
        <v/>
      </c>
      <c r="U432" s="7">
        <f>IF($AD432="","",SUMIFS('Per Line'!$AB$2:$AB$3001,'Per Line'!$E$2:$E$3001,$B432,'Per Line'!$AP$2:$AP$3001,0,'Per Line'!$AQ$2:$AQ$3001,0))</f>
        <v/>
      </c>
      <c r="V432" s="7">
        <f>IF($AD432="","",U432*T432)</f>
        <v/>
      </c>
      <c r="W432">
        <f>IF($AD432="","",Settings!$C$6)</f>
        <v/>
      </c>
      <c r="X432" s="7">
        <f>IF($AD432="","",SUMIFS('Per Line'!$AB$2:$AB$3001,'Per Line'!$E$2:$E$3001,$B432,'Per Line'!$AP$2:$AP$3001,1,'Per Line'!$AQ$2:$AQ$3001,0))</f>
        <v/>
      </c>
      <c r="Y432" s="7">
        <f>IF($AD432="","",X432*W432)</f>
        <v/>
      </c>
      <c r="Z432" s="7">
        <f>IF($AD432="","",Y432+V432)</f>
        <v/>
      </c>
      <c r="AA432" s="7">
        <f>IF($AD432="","",AB432-Z432)</f>
        <v/>
      </c>
      <c r="AB432" s="7">
        <f>IF($AD432="","",U432+X432+S432)</f>
        <v/>
      </c>
      <c r="AC432" s="7">
        <f>IF($AD432="","",AB432-Z432-P432)</f>
        <v/>
      </c>
      <c r="AD432" s="13">
        <f>IF(ROWS($AD$2:$AD432)&lt;=MAX('Per Line'!$AO$2:$AO$3001),MATCH(ROWS($AD$2:$AD432),'Per Line'!$AO$2:$AO$3001,0),"")</f>
        <v/>
      </c>
      <c r="AE432" s="14">
        <f>IF($AD432="","",P432-O432*AB432/100)</f>
        <v/>
      </c>
    </row>
    <row r="433">
      <c r="A433" s="12" t="n"/>
      <c r="B433">
        <f>IF($AD433="","",INDEX('Per Line'!$E$2:$E$3001,$AD433)&amp;"")</f>
        <v/>
      </c>
      <c r="C433">
        <f>IF($AD433="","",INDEX('Per Line'!$A$2:$A$3001,$AD433)&amp;"")</f>
        <v/>
      </c>
      <c r="D433">
        <f>IF($AD433="","",INDEX('Per Line'!$C$2:$C$3001,$AD433)&amp;"")</f>
        <v/>
      </c>
      <c r="E433">
        <f>IF($AD433="","",INDEX('Per Line'!$B$2:$B$3001,$AD433))</f>
        <v/>
      </c>
      <c r="F433">
        <f>IF($AD433="","",INDEX('Per Line'!$D$2:$D$3001,$AD433)&amp;"")</f>
        <v/>
      </c>
      <c r="G433" s="11">
        <f>IF($AD433="","",INDEX('Per Line'!$G$2:$G$3001,$AD433))</f>
        <v/>
      </c>
      <c r="H433">
        <f>IF($AD433="","",INDEX('Per Line'!$J$2:$J$3001,$AD433)&amp;"")</f>
        <v/>
      </c>
      <c r="I433">
        <f>IF($AD433="","",INDEX('Per Line'!$H$2:$H$3001,$AD433)&amp;"")</f>
        <v/>
      </c>
      <c r="J433">
        <f>IF($AD433="","",INDEX('Per Line'!$F$2:$F$3001,$AD433)&amp;"")</f>
        <v/>
      </c>
      <c r="K433">
        <f>IF($AD433="","",INDEX('Per Line'!$K$2:$K$3001,$AD433)&amp;"")</f>
        <v/>
      </c>
      <c r="L433">
        <f>IF($AD433="","",INDEX('Per Line'!$L$2:$L$3001,$AD433)&amp;"")</f>
        <v/>
      </c>
      <c r="M433">
        <f>IF($AD433="","",INDEX('Per Line'!$M$2:$M$3001,$AD433)&amp;"")</f>
        <v/>
      </c>
      <c r="N433">
        <f>IF($AD433="","",INDEX('Per Line'!$AC$2:$AC$3001,$AD433)&amp;"")</f>
        <v/>
      </c>
      <c r="O433">
        <f>IF($AD433="","",INDEX('Per Line'!$P$2:$P$3001,$AD433))</f>
        <v/>
      </c>
      <c r="P433" s="7">
        <f>IF($AD433="","",IF(AND(ISNUMBER(Q433),Q433&gt;0,AB433&gt;Q433),O433*Q433/100+(AB433-Q433),O433*AB433/100))</f>
        <v/>
      </c>
      <c r="Q433">
        <f>IF($AD433="","",INDEX('Per Line'!$AG$2:$AG$3001,$AD433))</f>
        <v/>
      </c>
      <c r="R433">
        <f>IF($AD433="","",IF(AND(ISNUMBER(Q433),Q433&gt;0),AB433&gt;Q433,FALSE))</f>
        <v/>
      </c>
      <c r="S433" s="7">
        <f>IF($AD433="","",SUMIFS('Per Line'!$AB$2:$AB$3001,'Per Line'!$E$2:$E$3001,$B433,'Per Line'!$AQ$2:$AQ$3001,1))</f>
        <v/>
      </c>
      <c r="T433">
        <f>IF($AD433="","",Settings!$C$7)</f>
        <v/>
      </c>
      <c r="U433" s="7">
        <f>IF($AD433="","",SUMIFS('Per Line'!$AB$2:$AB$3001,'Per Line'!$E$2:$E$3001,$B433,'Per Line'!$AP$2:$AP$3001,0,'Per Line'!$AQ$2:$AQ$3001,0))</f>
        <v/>
      </c>
      <c r="V433" s="7">
        <f>IF($AD433="","",U433*T433)</f>
        <v/>
      </c>
      <c r="W433">
        <f>IF($AD433="","",Settings!$C$6)</f>
        <v/>
      </c>
      <c r="X433" s="7">
        <f>IF($AD433="","",SUMIFS('Per Line'!$AB$2:$AB$3001,'Per Line'!$E$2:$E$3001,$B433,'Per Line'!$AP$2:$AP$3001,1,'Per Line'!$AQ$2:$AQ$3001,0))</f>
        <v/>
      </c>
      <c r="Y433" s="7">
        <f>IF($AD433="","",X433*W433)</f>
        <v/>
      </c>
      <c r="Z433" s="7">
        <f>IF($AD433="","",Y433+V433)</f>
        <v/>
      </c>
      <c r="AA433" s="7">
        <f>IF($AD433="","",AB433-Z433)</f>
        <v/>
      </c>
      <c r="AB433" s="7">
        <f>IF($AD433="","",U433+X433+S433)</f>
        <v/>
      </c>
      <c r="AC433" s="7">
        <f>IF($AD433="","",AB433-Z433-P433)</f>
        <v/>
      </c>
      <c r="AD433" s="13">
        <f>IF(ROWS($AD$2:$AD433)&lt;=MAX('Per Line'!$AO$2:$AO$3001),MATCH(ROWS($AD$2:$AD433),'Per Line'!$AO$2:$AO$3001,0),"")</f>
        <v/>
      </c>
      <c r="AE433" s="14">
        <f>IF($AD433="","",P433-O433*AB433/100)</f>
        <v/>
      </c>
    </row>
    <row r="434">
      <c r="A434" s="12" t="n"/>
      <c r="B434">
        <f>IF($AD434="","",INDEX('Per Line'!$E$2:$E$3001,$AD434)&amp;"")</f>
        <v/>
      </c>
      <c r="C434">
        <f>IF($AD434="","",INDEX('Per Line'!$A$2:$A$3001,$AD434)&amp;"")</f>
        <v/>
      </c>
      <c r="D434">
        <f>IF($AD434="","",INDEX('Per Line'!$C$2:$C$3001,$AD434)&amp;"")</f>
        <v/>
      </c>
      <c r="E434">
        <f>IF($AD434="","",INDEX('Per Line'!$B$2:$B$3001,$AD434))</f>
        <v/>
      </c>
      <c r="F434">
        <f>IF($AD434="","",INDEX('Per Line'!$D$2:$D$3001,$AD434)&amp;"")</f>
        <v/>
      </c>
      <c r="G434" s="11">
        <f>IF($AD434="","",INDEX('Per Line'!$G$2:$G$3001,$AD434))</f>
        <v/>
      </c>
      <c r="H434">
        <f>IF($AD434="","",INDEX('Per Line'!$J$2:$J$3001,$AD434)&amp;"")</f>
        <v/>
      </c>
      <c r="I434">
        <f>IF($AD434="","",INDEX('Per Line'!$H$2:$H$3001,$AD434)&amp;"")</f>
        <v/>
      </c>
      <c r="J434">
        <f>IF($AD434="","",INDEX('Per Line'!$F$2:$F$3001,$AD434)&amp;"")</f>
        <v/>
      </c>
      <c r="K434">
        <f>IF($AD434="","",INDEX('Per Line'!$K$2:$K$3001,$AD434)&amp;"")</f>
        <v/>
      </c>
      <c r="L434">
        <f>IF($AD434="","",INDEX('Per Line'!$L$2:$L$3001,$AD434)&amp;"")</f>
        <v/>
      </c>
      <c r="M434">
        <f>IF($AD434="","",INDEX('Per Line'!$M$2:$M$3001,$AD434)&amp;"")</f>
        <v/>
      </c>
      <c r="N434">
        <f>IF($AD434="","",INDEX('Per Line'!$AC$2:$AC$3001,$AD434)&amp;"")</f>
        <v/>
      </c>
      <c r="O434">
        <f>IF($AD434="","",INDEX('Per Line'!$P$2:$P$3001,$AD434))</f>
        <v/>
      </c>
      <c r="P434" s="7">
        <f>IF($AD434="","",IF(AND(ISNUMBER(Q434),Q434&gt;0,AB434&gt;Q434),O434*Q434/100+(AB434-Q434),O434*AB434/100))</f>
        <v/>
      </c>
      <c r="Q434">
        <f>IF($AD434="","",INDEX('Per Line'!$AG$2:$AG$3001,$AD434))</f>
        <v/>
      </c>
      <c r="R434">
        <f>IF($AD434="","",IF(AND(ISNUMBER(Q434),Q434&gt;0),AB434&gt;Q434,FALSE))</f>
        <v/>
      </c>
      <c r="S434" s="7">
        <f>IF($AD434="","",SUMIFS('Per Line'!$AB$2:$AB$3001,'Per Line'!$E$2:$E$3001,$B434,'Per Line'!$AQ$2:$AQ$3001,1))</f>
        <v/>
      </c>
      <c r="T434">
        <f>IF($AD434="","",Settings!$C$7)</f>
        <v/>
      </c>
      <c r="U434" s="7">
        <f>IF($AD434="","",SUMIFS('Per Line'!$AB$2:$AB$3001,'Per Line'!$E$2:$E$3001,$B434,'Per Line'!$AP$2:$AP$3001,0,'Per Line'!$AQ$2:$AQ$3001,0))</f>
        <v/>
      </c>
      <c r="V434" s="7">
        <f>IF($AD434="","",U434*T434)</f>
        <v/>
      </c>
      <c r="W434">
        <f>IF($AD434="","",Settings!$C$6)</f>
        <v/>
      </c>
      <c r="X434" s="7">
        <f>IF($AD434="","",SUMIFS('Per Line'!$AB$2:$AB$3001,'Per Line'!$E$2:$E$3001,$B434,'Per Line'!$AP$2:$AP$3001,1,'Per Line'!$AQ$2:$AQ$3001,0))</f>
        <v/>
      </c>
      <c r="Y434" s="7">
        <f>IF($AD434="","",X434*W434)</f>
        <v/>
      </c>
      <c r="Z434" s="7">
        <f>IF($AD434="","",Y434+V434)</f>
        <v/>
      </c>
      <c r="AA434" s="7">
        <f>IF($AD434="","",AB434-Z434)</f>
        <v/>
      </c>
      <c r="AB434" s="7">
        <f>IF($AD434="","",U434+X434+S434)</f>
        <v/>
      </c>
      <c r="AC434" s="7">
        <f>IF($AD434="","",AB434-Z434-P434)</f>
        <v/>
      </c>
      <c r="AD434" s="13">
        <f>IF(ROWS($AD$2:$AD434)&lt;=MAX('Per Line'!$AO$2:$AO$3001),MATCH(ROWS($AD$2:$AD434),'Per Line'!$AO$2:$AO$3001,0),"")</f>
        <v/>
      </c>
      <c r="AE434" s="14">
        <f>IF($AD434="","",P434-O434*AB434/100)</f>
        <v/>
      </c>
    </row>
    <row r="435">
      <c r="A435" s="12" t="n"/>
      <c r="B435">
        <f>IF($AD435="","",INDEX('Per Line'!$E$2:$E$3001,$AD435)&amp;"")</f>
        <v/>
      </c>
      <c r="C435">
        <f>IF($AD435="","",INDEX('Per Line'!$A$2:$A$3001,$AD435)&amp;"")</f>
        <v/>
      </c>
      <c r="D435">
        <f>IF($AD435="","",INDEX('Per Line'!$C$2:$C$3001,$AD435)&amp;"")</f>
        <v/>
      </c>
      <c r="E435">
        <f>IF($AD435="","",INDEX('Per Line'!$B$2:$B$3001,$AD435))</f>
        <v/>
      </c>
      <c r="F435">
        <f>IF($AD435="","",INDEX('Per Line'!$D$2:$D$3001,$AD435)&amp;"")</f>
        <v/>
      </c>
      <c r="G435" s="11">
        <f>IF($AD435="","",INDEX('Per Line'!$G$2:$G$3001,$AD435))</f>
        <v/>
      </c>
      <c r="H435">
        <f>IF($AD435="","",INDEX('Per Line'!$J$2:$J$3001,$AD435)&amp;"")</f>
        <v/>
      </c>
      <c r="I435">
        <f>IF($AD435="","",INDEX('Per Line'!$H$2:$H$3001,$AD435)&amp;"")</f>
        <v/>
      </c>
      <c r="J435">
        <f>IF($AD435="","",INDEX('Per Line'!$F$2:$F$3001,$AD435)&amp;"")</f>
        <v/>
      </c>
      <c r="K435">
        <f>IF($AD435="","",INDEX('Per Line'!$K$2:$K$3001,$AD435)&amp;"")</f>
        <v/>
      </c>
      <c r="L435">
        <f>IF($AD435="","",INDEX('Per Line'!$L$2:$L$3001,$AD435)&amp;"")</f>
        <v/>
      </c>
      <c r="M435">
        <f>IF($AD435="","",INDEX('Per Line'!$M$2:$M$3001,$AD435)&amp;"")</f>
        <v/>
      </c>
      <c r="N435">
        <f>IF($AD435="","",INDEX('Per Line'!$AC$2:$AC$3001,$AD435)&amp;"")</f>
        <v/>
      </c>
      <c r="O435">
        <f>IF($AD435="","",INDEX('Per Line'!$P$2:$P$3001,$AD435))</f>
        <v/>
      </c>
      <c r="P435" s="7">
        <f>IF($AD435="","",IF(AND(ISNUMBER(Q435),Q435&gt;0,AB435&gt;Q435),O435*Q435/100+(AB435-Q435),O435*AB435/100))</f>
        <v/>
      </c>
      <c r="Q435">
        <f>IF($AD435="","",INDEX('Per Line'!$AG$2:$AG$3001,$AD435))</f>
        <v/>
      </c>
      <c r="R435">
        <f>IF($AD435="","",IF(AND(ISNUMBER(Q435),Q435&gt;0),AB435&gt;Q435,FALSE))</f>
        <v/>
      </c>
      <c r="S435" s="7">
        <f>IF($AD435="","",SUMIFS('Per Line'!$AB$2:$AB$3001,'Per Line'!$E$2:$E$3001,$B435,'Per Line'!$AQ$2:$AQ$3001,1))</f>
        <v/>
      </c>
      <c r="T435">
        <f>IF($AD435="","",Settings!$C$7)</f>
        <v/>
      </c>
      <c r="U435" s="7">
        <f>IF($AD435="","",SUMIFS('Per Line'!$AB$2:$AB$3001,'Per Line'!$E$2:$E$3001,$B435,'Per Line'!$AP$2:$AP$3001,0,'Per Line'!$AQ$2:$AQ$3001,0))</f>
        <v/>
      </c>
      <c r="V435" s="7">
        <f>IF($AD435="","",U435*T435)</f>
        <v/>
      </c>
      <c r="W435">
        <f>IF($AD435="","",Settings!$C$6)</f>
        <v/>
      </c>
      <c r="X435" s="7">
        <f>IF($AD435="","",SUMIFS('Per Line'!$AB$2:$AB$3001,'Per Line'!$E$2:$E$3001,$B435,'Per Line'!$AP$2:$AP$3001,1,'Per Line'!$AQ$2:$AQ$3001,0))</f>
        <v/>
      </c>
      <c r="Y435" s="7">
        <f>IF($AD435="","",X435*W435)</f>
        <v/>
      </c>
      <c r="Z435" s="7">
        <f>IF($AD435="","",Y435+V435)</f>
        <v/>
      </c>
      <c r="AA435" s="7">
        <f>IF($AD435="","",AB435-Z435)</f>
        <v/>
      </c>
      <c r="AB435" s="7">
        <f>IF($AD435="","",U435+X435+S435)</f>
        <v/>
      </c>
      <c r="AC435" s="7">
        <f>IF($AD435="","",AB435-Z435-P435)</f>
        <v/>
      </c>
      <c r="AD435" s="13">
        <f>IF(ROWS($AD$2:$AD435)&lt;=MAX('Per Line'!$AO$2:$AO$3001),MATCH(ROWS($AD$2:$AD435),'Per Line'!$AO$2:$AO$3001,0),"")</f>
        <v/>
      </c>
      <c r="AE435" s="14">
        <f>IF($AD435="","",P435-O435*AB435/100)</f>
        <v/>
      </c>
    </row>
    <row r="436">
      <c r="A436" s="12" t="n"/>
      <c r="B436">
        <f>IF($AD436="","",INDEX('Per Line'!$E$2:$E$3001,$AD436)&amp;"")</f>
        <v/>
      </c>
      <c r="C436">
        <f>IF($AD436="","",INDEX('Per Line'!$A$2:$A$3001,$AD436)&amp;"")</f>
        <v/>
      </c>
      <c r="D436">
        <f>IF($AD436="","",INDEX('Per Line'!$C$2:$C$3001,$AD436)&amp;"")</f>
        <v/>
      </c>
      <c r="E436">
        <f>IF($AD436="","",INDEX('Per Line'!$B$2:$B$3001,$AD436))</f>
        <v/>
      </c>
      <c r="F436">
        <f>IF($AD436="","",INDEX('Per Line'!$D$2:$D$3001,$AD436)&amp;"")</f>
        <v/>
      </c>
      <c r="G436" s="11">
        <f>IF($AD436="","",INDEX('Per Line'!$G$2:$G$3001,$AD436))</f>
        <v/>
      </c>
      <c r="H436">
        <f>IF($AD436="","",INDEX('Per Line'!$J$2:$J$3001,$AD436)&amp;"")</f>
        <v/>
      </c>
      <c r="I436">
        <f>IF($AD436="","",INDEX('Per Line'!$H$2:$H$3001,$AD436)&amp;"")</f>
        <v/>
      </c>
      <c r="J436">
        <f>IF($AD436="","",INDEX('Per Line'!$F$2:$F$3001,$AD436)&amp;"")</f>
        <v/>
      </c>
      <c r="K436">
        <f>IF($AD436="","",INDEX('Per Line'!$K$2:$K$3001,$AD436)&amp;"")</f>
        <v/>
      </c>
      <c r="L436">
        <f>IF($AD436="","",INDEX('Per Line'!$L$2:$L$3001,$AD436)&amp;"")</f>
        <v/>
      </c>
      <c r="M436">
        <f>IF($AD436="","",INDEX('Per Line'!$M$2:$M$3001,$AD436)&amp;"")</f>
        <v/>
      </c>
      <c r="N436">
        <f>IF($AD436="","",INDEX('Per Line'!$AC$2:$AC$3001,$AD436)&amp;"")</f>
        <v/>
      </c>
      <c r="O436">
        <f>IF($AD436="","",INDEX('Per Line'!$P$2:$P$3001,$AD436))</f>
        <v/>
      </c>
      <c r="P436" s="7">
        <f>IF($AD436="","",IF(AND(ISNUMBER(Q436),Q436&gt;0,AB436&gt;Q436),O436*Q436/100+(AB436-Q436),O436*AB436/100))</f>
        <v/>
      </c>
      <c r="Q436">
        <f>IF($AD436="","",INDEX('Per Line'!$AG$2:$AG$3001,$AD436))</f>
        <v/>
      </c>
      <c r="R436">
        <f>IF($AD436="","",IF(AND(ISNUMBER(Q436),Q436&gt;0),AB436&gt;Q436,FALSE))</f>
        <v/>
      </c>
      <c r="S436" s="7">
        <f>IF($AD436="","",SUMIFS('Per Line'!$AB$2:$AB$3001,'Per Line'!$E$2:$E$3001,$B436,'Per Line'!$AQ$2:$AQ$3001,1))</f>
        <v/>
      </c>
      <c r="T436">
        <f>IF($AD436="","",Settings!$C$7)</f>
        <v/>
      </c>
      <c r="U436" s="7">
        <f>IF($AD436="","",SUMIFS('Per Line'!$AB$2:$AB$3001,'Per Line'!$E$2:$E$3001,$B436,'Per Line'!$AP$2:$AP$3001,0,'Per Line'!$AQ$2:$AQ$3001,0))</f>
        <v/>
      </c>
      <c r="V436" s="7">
        <f>IF($AD436="","",U436*T436)</f>
        <v/>
      </c>
      <c r="W436">
        <f>IF($AD436="","",Settings!$C$6)</f>
        <v/>
      </c>
      <c r="X436" s="7">
        <f>IF($AD436="","",SUMIFS('Per Line'!$AB$2:$AB$3001,'Per Line'!$E$2:$E$3001,$B436,'Per Line'!$AP$2:$AP$3001,1,'Per Line'!$AQ$2:$AQ$3001,0))</f>
        <v/>
      </c>
      <c r="Y436" s="7">
        <f>IF($AD436="","",X436*W436)</f>
        <v/>
      </c>
      <c r="Z436" s="7">
        <f>IF($AD436="","",Y436+V436)</f>
        <v/>
      </c>
      <c r="AA436" s="7">
        <f>IF($AD436="","",AB436-Z436)</f>
        <v/>
      </c>
      <c r="AB436" s="7">
        <f>IF($AD436="","",U436+X436+S436)</f>
        <v/>
      </c>
      <c r="AC436" s="7">
        <f>IF($AD436="","",AB436-Z436-P436)</f>
        <v/>
      </c>
      <c r="AD436" s="13">
        <f>IF(ROWS($AD$2:$AD436)&lt;=MAX('Per Line'!$AO$2:$AO$3001),MATCH(ROWS($AD$2:$AD436),'Per Line'!$AO$2:$AO$3001,0),"")</f>
        <v/>
      </c>
      <c r="AE436" s="14">
        <f>IF($AD436="","",P436-O436*AB436/100)</f>
        <v/>
      </c>
    </row>
    <row r="437">
      <c r="A437" s="12" t="n"/>
      <c r="B437">
        <f>IF($AD437="","",INDEX('Per Line'!$E$2:$E$3001,$AD437)&amp;"")</f>
        <v/>
      </c>
      <c r="C437">
        <f>IF($AD437="","",INDEX('Per Line'!$A$2:$A$3001,$AD437)&amp;"")</f>
        <v/>
      </c>
      <c r="D437">
        <f>IF($AD437="","",INDEX('Per Line'!$C$2:$C$3001,$AD437)&amp;"")</f>
        <v/>
      </c>
      <c r="E437">
        <f>IF($AD437="","",INDEX('Per Line'!$B$2:$B$3001,$AD437))</f>
        <v/>
      </c>
      <c r="F437">
        <f>IF($AD437="","",INDEX('Per Line'!$D$2:$D$3001,$AD437)&amp;"")</f>
        <v/>
      </c>
      <c r="G437" s="11">
        <f>IF($AD437="","",INDEX('Per Line'!$G$2:$G$3001,$AD437))</f>
        <v/>
      </c>
      <c r="H437">
        <f>IF($AD437="","",INDEX('Per Line'!$J$2:$J$3001,$AD437)&amp;"")</f>
        <v/>
      </c>
      <c r="I437">
        <f>IF($AD437="","",INDEX('Per Line'!$H$2:$H$3001,$AD437)&amp;"")</f>
        <v/>
      </c>
      <c r="J437">
        <f>IF($AD437="","",INDEX('Per Line'!$F$2:$F$3001,$AD437)&amp;"")</f>
        <v/>
      </c>
      <c r="K437">
        <f>IF($AD437="","",INDEX('Per Line'!$K$2:$K$3001,$AD437)&amp;"")</f>
        <v/>
      </c>
      <c r="L437">
        <f>IF($AD437="","",INDEX('Per Line'!$L$2:$L$3001,$AD437)&amp;"")</f>
        <v/>
      </c>
      <c r="M437">
        <f>IF($AD437="","",INDEX('Per Line'!$M$2:$M$3001,$AD437)&amp;"")</f>
        <v/>
      </c>
      <c r="N437">
        <f>IF($AD437="","",INDEX('Per Line'!$AC$2:$AC$3001,$AD437)&amp;"")</f>
        <v/>
      </c>
      <c r="O437">
        <f>IF($AD437="","",INDEX('Per Line'!$P$2:$P$3001,$AD437))</f>
        <v/>
      </c>
      <c r="P437" s="7">
        <f>IF($AD437="","",IF(AND(ISNUMBER(Q437),Q437&gt;0,AB437&gt;Q437),O437*Q437/100+(AB437-Q437),O437*AB437/100))</f>
        <v/>
      </c>
      <c r="Q437">
        <f>IF($AD437="","",INDEX('Per Line'!$AG$2:$AG$3001,$AD437))</f>
        <v/>
      </c>
      <c r="R437">
        <f>IF($AD437="","",IF(AND(ISNUMBER(Q437),Q437&gt;0),AB437&gt;Q437,FALSE))</f>
        <v/>
      </c>
      <c r="S437" s="7">
        <f>IF($AD437="","",SUMIFS('Per Line'!$AB$2:$AB$3001,'Per Line'!$E$2:$E$3001,$B437,'Per Line'!$AQ$2:$AQ$3001,1))</f>
        <v/>
      </c>
      <c r="T437">
        <f>IF($AD437="","",Settings!$C$7)</f>
        <v/>
      </c>
      <c r="U437" s="7">
        <f>IF($AD437="","",SUMIFS('Per Line'!$AB$2:$AB$3001,'Per Line'!$E$2:$E$3001,$B437,'Per Line'!$AP$2:$AP$3001,0,'Per Line'!$AQ$2:$AQ$3001,0))</f>
        <v/>
      </c>
      <c r="V437" s="7">
        <f>IF($AD437="","",U437*T437)</f>
        <v/>
      </c>
      <c r="W437">
        <f>IF($AD437="","",Settings!$C$6)</f>
        <v/>
      </c>
      <c r="X437" s="7">
        <f>IF($AD437="","",SUMIFS('Per Line'!$AB$2:$AB$3001,'Per Line'!$E$2:$E$3001,$B437,'Per Line'!$AP$2:$AP$3001,1,'Per Line'!$AQ$2:$AQ$3001,0))</f>
        <v/>
      </c>
      <c r="Y437" s="7">
        <f>IF($AD437="","",X437*W437)</f>
        <v/>
      </c>
      <c r="Z437" s="7">
        <f>IF($AD437="","",Y437+V437)</f>
        <v/>
      </c>
      <c r="AA437" s="7">
        <f>IF($AD437="","",AB437-Z437)</f>
        <v/>
      </c>
      <c r="AB437" s="7">
        <f>IF($AD437="","",U437+X437+S437)</f>
        <v/>
      </c>
      <c r="AC437" s="7">
        <f>IF($AD437="","",AB437-Z437-P437)</f>
        <v/>
      </c>
      <c r="AD437" s="13">
        <f>IF(ROWS($AD$2:$AD437)&lt;=MAX('Per Line'!$AO$2:$AO$3001),MATCH(ROWS($AD$2:$AD437),'Per Line'!$AO$2:$AO$3001,0),"")</f>
        <v/>
      </c>
      <c r="AE437" s="14">
        <f>IF($AD437="","",P437-O437*AB437/100)</f>
        <v/>
      </c>
    </row>
    <row r="438">
      <c r="A438" s="12" t="n"/>
      <c r="B438">
        <f>IF($AD438="","",INDEX('Per Line'!$E$2:$E$3001,$AD438)&amp;"")</f>
        <v/>
      </c>
      <c r="C438">
        <f>IF($AD438="","",INDEX('Per Line'!$A$2:$A$3001,$AD438)&amp;"")</f>
        <v/>
      </c>
      <c r="D438">
        <f>IF($AD438="","",INDEX('Per Line'!$C$2:$C$3001,$AD438)&amp;"")</f>
        <v/>
      </c>
      <c r="E438">
        <f>IF($AD438="","",INDEX('Per Line'!$B$2:$B$3001,$AD438))</f>
        <v/>
      </c>
      <c r="F438">
        <f>IF($AD438="","",INDEX('Per Line'!$D$2:$D$3001,$AD438)&amp;"")</f>
        <v/>
      </c>
      <c r="G438" s="11">
        <f>IF($AD438="","",INDEX('Per Line'!$G$2:$G$3001,$AD438))</f>
        <v/>
      </c>
      <c r="H438">
        <f>IF($AD438="","",INDEX('Per Line'!$J$2:$J$3001,$AD438)&amp;"")</f>
        <v/>
      </c>
      <c r="I438">
        <f>IF($AD438="","",INDEX('Per Line'!$H$2:$H$3001,$AD438)&amp;"")</f>
        <v/>
      </c>
      <c r="J438">
        <f>IF($AD438="","",INDEX('Per Line'!$F$2:$F$3001,$AD438)&amp;"")</f>
        <v/>
      </c>
      <c r="K438">
        <f>IF($AD438="","",INDEX('Per Line'!$K$2:$K$3001,$AD438)&amp;"")</f>
        <v/>
      </c>
      <c r="L438">
        <f>IF($AD438="","",INDEX('Per Line'!$L$2:$L$3001,$AD438)&amp;"")</f>
        <v/>
      </c>
      <c r="M438">
        <f>IF($AD438="","",INDEX('Per Line'!$M$2:$M$3001,$AD438)&amp;"")</f>
        <v/>
      </c>
      <c r="N438">
        <f>IF($AD438="","",INDEX('Per Line'!$AC$2:$AC$3001,$AD438)&amp;"")</f>
        <v/>
      </c>
      <c r="O438">
        <f>IF($AD438="","",INDEX('Per Line'!$P$2:$P$3001,$AD438))</f>
        <v/>
      </c>
      <c r="P438" s="7">
        <f>IF($AD438="","",IF(AND(ISNUMBER(Q438),Q438&gt;0,AB438&gt;Q438),O438*Q438/100+(AB438-Q438),O438*AB438/100))</f>
        <v/>
      </c>
      <c r="Q438">
        <f>IF($AD438="","",INDEX('Per Line'!$AG$2:$AG$3001,$AD438))</f>
        <v/>
      </c>
      <c r="R438">
        <f>IF($AD438="","",IF(AND(ISNUMBER(Q438),Q438&gt;0),AB438&gt;Q438,FALSE))</f>
        <v/>
      </c>
      <c r="S438" s="7">
        <f>IF($AD438="","",SUMIFS('Per Line'!$AB$2:$AB$3001,'Per Line'!$E$2:$E$3001,$B438,'Per Line'!$AQ$2:$AQ$3001,1))</f>
        <v/>
      </c>
      <c r="T438">
        <f>IF($AD438="","",Settings!$C$7)</f>
        <v/>
      </c>
      <c r="U438" s="7">
        <f>IF($AD438="","",SUMIFS('Per Line'!$AB$2:$AB$3001,'Per Line'!$E$2:$E$3001,$B438,'Per Line'!$AP$2:$AP$3001,0,'Per Line'!$AQ$2:$AQ$3001,0))</f>
        <v/>
      </c>
      <c r="V438" s="7">
        <f>IF($AD438="","",U438*T438)</f>
        <v/>
      </c>
      <c r="W438">
        <f>IF($AD438="","",Settings!$C$6)</f>
        <v/>
      </c>
      <c r="X438" s="7">
        <f>IF($AD438="","",SUMIFS('Per Line'!$AB$2:$AB$3001,'Per Line'!$E$2:$E$3001,$B438,'Per Line'!$AP$2:$AP$3001,1,'Per Line'!$AQ$2:$AQ$3001,0))</f>
        <v/>
      </c>
      <c r="Y438" s="7">
        <f>IF($AD438="","",X438*W438)</f>
        <v/>
      </c>
      <c r="Z438" s="7">
        <f>IF($AD438="","",Y438+V438)</f>
        <v/>
      </c>
      <c r="AA438" s="7">
        <f>IF($AD438="","",AB438-Z438)</f>
        <v/>
      </c>
      <c r="AB438" s="7">
        <f>IF($AD438="","",U438+X438+S438)</f>
        <v/>
      </c>
      <c r="AC438" s="7">
        <f>IF($AD438="","",AB438-Z438-P438)</f>
        <v/>
      </c>
      <c r="AD438" s="13">
        <f>IF(ROWS($AD$2:$AD438)&lt;=MAX('Per Line'!$AO$2:$AO$3001),MATCH(ROWS($AD$2:$AD438),'Per Line'!$AO$2:$AO$3001,0),"")</f>
        <v/>
      </c>
      <c r="AE438" s="14">
        <f>IF($AD438="","",P438-O438*AB438/100)</f>
        <v/>
      </c>
    </row>
    <row r="439">
      <c r="A439" s="12" t="n"/>
      <c r="B439">
        <f>IF($AD439="","",INDEX('Per Line'!$E$2:$E$3001,$AD439)&amp;"")</f>
        <v/>
      </c>
      <c r="C439">
        <f>IF($AD439="","",INDEX('Per Line'!$A$2:$A$3001,$AD439)&amp;"")</f>
        <v/>
      </c>
      <c r="D439">
        <f>IF($AD439="","",INDEX('Per Line'!$C$2:$C$3001,$AD439)&amp;"")</f>
        <v/>
      </c>
      <c r="E439">
        <f>IF($AD439="","",INDEX('Per Line'!$B$2:$B$3001,$AD439))</f>
        <v/>
      </c>
      <c r="F439">
        <f>IF($AD439="","",INDEX('Per Line'!$D$2:$D$3001,$AD439)&amp;"")</f>
        <v/>
      </c>
      <c r="G439" s="11">
        <f>IF($AD439="","",INDEX('Per Line'!$G$2:$G$3001,$AD439))</f>
        <v/>
      </c>
      <c r="H439">
        <f>IF($AD439="","",INDEX('Per Line'!$J$2:$J$3001,$AD439)&amp;"")</f>
        <v/>
      </c>
      <c r="I439">
        <f>IF($AD439="","",INDEX('Per Line'!$H$2:$H$3001,$AD439)&amp;"")</f>
        <v/>
      </c>
      <c r="J439">
        <f>IF($AD439="","",INDEX('Per Line'!$F$2:$F$3001,$AD439)&amp;"")</f>
        <v/>
      </c>
      <c r="K439">
        <f>IF($AD439="","",INDEX('Per Line'!$K$2:$K$3001,$AD439)&amp;"")</f>
        <v/>
      </c>
      <c r="L439">
        <f>IF($AD439="","",INDEX('Per Line'!$L$2:$L$3001,$AD439)&amp;"")</f>
        <v/>
      </c>
      <c r="M439">
        <f>IF($AD439="","",INDEX('Per Line'!$M$2:$M$3001,$AD439)&amp;"")</f>
        <v/>
      </c>
      <c r="N439">
        <f>IF($AD439="","",INDEX('Per Line'!$AC$2:$AC$3001,$AD439)&amp;"")</f>
        <v/>
      </c>
      <c r="O439">
        <f>IF($AD439="","",INDEX('Per Line'!$P$2:$P$3001,$AD439))</f>
        <v/>
      </c>
      <c r="P439" s="7">
        <f>IF($AD439="","",IF(AND(ISNUMBER(Q439),Q439&gt;0,AB439&gt;Q439),O439*Q439/100+(AB439-Q439),O439*AB439/100))</f>
        <v/>
      </c>
      <c r="Q439">
        <f>IF($AD439="","",INDEX('Per Line'!$AG$2:$AG$3001,$AD439))</f>
        <v/>
      </c>
      <c r="R439">
        <f>IF($AD439="","",IF(AND(ISNUMBER(Q439),Q439&gt;0),AB439&gt;Q439,FALSE))</f>
        <v/>
      </c>
      <c r="S439" s="7">
        <f>IF($AD439="","",SUMIFS('Per Line'!$AB$2:$AB$3001,'Per Line'!$E$2:$E$3001,$B439,'Per Line'!$AQ$2:$AQ$3001,1))</f>
        <v/>
      </c>
      <c r="T439">
        <f>IF($AD439="","",Settings!$C$7)</f>
        <v/>
      </c>
      <c r="U439" s="7">
        <f>IF($AD439="","",SUMIFS('Per Line'!$AB$2:$AB$3001,'Per Line'!$E$2:$E$3001,$B439,'Per Line'!$AP$2:$AP$3001,0,'Per Line'!$AQ$2:$AQ$3001,0))</f>
        <v/>
      </c>
      <c r="V439" s="7">
        <f>IF($AD439="","",U439*T439)</f>
        <v/>
      </c>
      <c r="W439">
        <f>IF($AD439="","",Settings!$C$6)</f>
        <v/>
      </c>
      <c r="X439" s="7">
        <f>IF($AD439="","",SUMIFS('Per Line'!$AB$2:$AB$3001,'Per Line'!$E$2:$E$3001,$B439,'Per Line'!$AP$2:$AP$3001,1,'Per Line'!$AQ$2:$AQ$3001,0))</f>
        <v/>
      </c>
      <c r="Y439" s="7">
        <f>IF($AD439="","",X439*W439)</f>
        <v/>
      </c>
      <c r="Z439" s="7">
        <f>IF($AD439="","",Y439+V439)</f>
        <v/>
      </c>
      <c r="AA439" s="7">
        <f>IF($AD439="","",AB439-Z439)</f>
        <v/>
      </c>
      <c r="AB439" s="7">
        <f>IF($AD439="","",U439+X439+S439)</f>
        <v/>
      </c>
      <c r="AC439" s="7">
        <f>IF($AD439="","",AB439-Z439-P439)</f>
        <v/>
      </c>
      <c r="AD439" s="13">
        <f>IF(ROWS($AD$2:$AD439)&lt;=MAX('Per Line'!$AO$2:$AO$3001),MATCH(ROWS($AD$2:$AD439),'Per Line'!$AO$2:$AO$3001,0),"")</f>
        <v/>
      </c>
      <c r="AE439" s="14">
        <f>IF($AD439="","",P439-O439*AB439/100)</f>
        <v/>
      </c>
    </row>
    <row r="440">
      <c r="A440" s="12" t="n"/>
      <c r="B440">
        <f>IF($AD440="","",INDEX('Per Line'!$E$2:$E$3001,$AD440)&amp;"")</f>
        <v/>
      </c>
      <c r="C440">
        <f>IF($AD440="","",INDEX('Per Line'!$A$2:$A$3001,$AD440)&amp;"")</f>
        <v/>
      </c>
      <c r="D440">
        <f>IF($AD440="","",INDEX('Per Line'!$C$2:$C$3001,$AD440)&amp;"")</f>
        <v/>
      </c>
      <c r="E440">
        <f>IF($AD440="","",INDEX('Per Line'!$B$2:$B$3001,$AD440))</f>
        <v/>
      </c>
      <c r="F440">
        <f>IF($AD440="","",INDEX('Per Line'!$D$2:$D$3001,$AD440)&amp;"")</f>
        <v/>
      </c>
      <c r="G440" s="11">
        <f>IF($AD440="","",INDEX('Per Line'!$G$2:$G$3001,$AD440))</f>
        <v/>
      </c>
      <c r="H440">
        <f>IF($AD440="","",INDEX('Per Line'!$J$2:$J$3001,$AD440)&amp;"")</f>
        <v/>
      </c>
      <c r="I440">
        <f>IF($AD440="","",INDEX('Per Line'!$H$2:$H$3001,$AD440)&amp;"")</f>
        <v/>
      </c>
      <c r="J440">
        <f>IF($AD440="","",INDEX('Per Line'!$F$2:$F$3001,$AD440)&amp;"")</f>
        <v/>
      </c>
      <c r="K440">
        <f>IF($AD440="","",INDEX('Per Line'!$K$2:$K$3001,$AD440)&amp;"")</f>
        <v/>
      </c>
      <c r="L440">
        <f>IF($AD440="","",INDEX('Per Line'!$L$2:$L$3001,$AD440)&amp;"")</f>
        <v/>
      </c>
      <c r="M440">
        <f>IF($AD440="","",INDEX('Per Line'!$M$2:$M$3001,$AD440)&amp;"")</f>
        <v/>
      </c>
      <c r="N440">
        <f>IF($AD440="","",INDEX('Per Line'!$AC$2:$AC$3001,$AD440)&amp;"")</f>
        <v/>
      </c>
      <c r="O440">
        <f>IF($AD440="","",INDEX('Per Line'!$P$2:$P$3001,$AD440))</f>
        <v/>
      </c>
      <c r="P440" s="7">
        <f>IF($AD440="","",IF(AND(ISNUMBER(Q440),Q440&gt;0,AB440&gt;Q440),O440*Q440/100+(AB440-Q440),O440*AB440/100))</f>
        <v/>
      </c>
      <c r="Q440">
        <f>IF($AD440="","",INDEX('Per Line'!$AG$2:$AG$3001,$AD440))</f>
        <v/>
      </c>
      <c r="R440">
        <f>IF($AD440="","",IF(AND(ISNUMBER(Q440),Q440&gt;0),AB440&gt;Q440,FALSE))</f>
        <v/>
      </c>
      <c r="S440" s="7">
        <f>IF($AD440="","",SUMIFS('Per Line'!$AB$2:$AB$3001,'Per Line'!$E$2:$E$3001,$B440,'Per Line'!$AQ$2:$AQ$3001,1))</f>
        <v/>
      </c>
      <c r="T440">
        <f>IF($AD440="","",Settings!$C$7)</f>
        <v/>
      </c>
      <c r="U440" s="7">
        <f>IF($AD440="","",SUMIFS('Per Line'!$AB$2:$AB$3001,'Per Line'!$E$2:$E$3001,$B440,'Per Line'!$AP$2:$AP$3001,0,'Per Line'!$AQ$2:$AQ$3001,0))</f>
        <v/>
      </c>
      <c r="V440" s="7">
        <f>IF($AD440="","",U440*T440)</f>
        <v/>
      </c>
      <c r="W440">
        <f>IF($AD440="","",Settings!$C$6)</f>
        <v/>
      </c>
      <c r="X440" s="7">
        <f>IF($AD440="","",SUMIFS('Per Line'!$AB$2:$AB$3001,'Per Line'!$E$2:$E$3001,$B440,'Per Line'!$AP$2:$AP$3001,1,'Per Line'!$AQ$2:$AQ$3001,0))</f>
        <v/>
      </c>
      <c r="Y440" s="7">
        <f>IF($AD440="","",X440*W440)</f>
        <v/>
      </c>
      <c r="Z440" s="7">
        <f>IF($AD440="","",Y440+V440)</f>
        <v/>
      </c>
      <c r="AA440" s="7">
        <f>IF($AD440="","",AB440-Z440)</f>
        <v/>
      </c>
      <c r="AB440" s="7">
        <f>IF($AD440="","",U440+X440+S440)</f>
        <v/>
      </c>
      <c r="AC440" s="7">
        <f>IF($AD440="","",AB440-Z440-P440)</f>
        <v/>
      </c>
      <c r="AD440" s="13">
        <f>IF(ROWS($AD$2:$AD440)&lt;=MAX('Per Line'!$AO$2:$AO$3001),MATCH(ROWS($AD$2:$AD440),'Per Line'!$AO$2:$AO$3001,0),"")</f>
        <v/>
      </c>
      <c r="AE440" s="14">
        <f>IF($AD440="","",P440-O440*AB440/100)</f>
        <v/>
      </c>
    </row>
    <row r="441">
      <c r="A441" s="12" t="n"/>
      <c r="B441">
        <f>IF($AD441="","",INDEX('Per Line'!$E$2:$E$3001,$AD441)&amp;"")</f>
        <v/>
      </c>
      <c r="C441">
        <f>IF($AD441="","",INDEX('Per Line'!$A$2:$A$3001,$AD441)&amp;"")</f>
        <v/>
      </c>
      <c r="D441">
        <f>IF($AD441="","",INDEX('Per Line'!$C$2:$C$3001,$AD441)&amp;"")</f>
        <v/>
      </c>
      <c r="E441">
        <f>IF($AD441="","",INDEX('Per Line'!$B$2:$B$3001,$AD441))</f>
        <v/>
      </c>
      <c r="F441">
        <f>IF($AD441="","",INDEX('Per Line'!$D$2:$D$3001,$AD441)&amp;"")</f>
        <v/>
      </c>
      <c r="G441" s="11">
        <f>IF($AD441="","",INDEX('Per Line'!$G$2:$G$3001,$AD441))</f>
        <v/>
      </c>
      <c r="H441">
        <f>IF($AD441="","",INDEX('Per Line'!$J$2:$J$3001,$AD441)&amp;"")</f>
        <v/>
      </c>
      <c r="I441">
        <f>IF($AD441="","",INDEX('Per Line'!$H$2:$H$3001,$AD441)&amp;"")</f>
        <v/>
      </c>
      <c r="J441">
        <f>IF($AD441="","",INDEX('Per Line'!$F$2:$F$3001,$AD441)&amp;"")</f>
        <v/>
      </c>
      <c r="K441">
        <f>IF($AD441="","",INDEX('Per Line'!$K$2:$K$3001,$AD441)&amp;"")</f>
        <v/>
      </c>
      <c r="L441">
        <f>IF($AD441="","",INDEX('Per Line'!$L$2:$L$3001,$AD441)&amp;"")</f>
        <v/>
      </c>
      <c r="M441">
        <f>IF($AD441="","",INDEX('Per Line'!$M$2:$M$3001,$AD441)&amp;"")</f>
        <v/>
      </c>
      <c r="N441">
        <f>IF($AD441="","",INDEX('Per Line'!$AC$2:$AC$3001,$AD441)&amp;"")</f>
        <v/>
      </c>
      <c r="O441">
        <f>IF($AD441="","",INDEX('Per Line'!$P$2:$P$3001,$AD441))</f>
        <v/>
      </c>
      <c r="P441" s="7">
        <f>IF($AD441="","",IF(AND(ISNUMBER(Q441),Q441&gt;0,AB441&gt;Q441),O441*Q441/100+(AB441-Q441),O441*AB441/100))</f>
        <v/>
      </c>
      <c r="Q441">
        <f>IF($AD441="","",INDEX('Per Line'!$AG$2:$AG$3001,$AD441))</f>
        <v/>
      </c>
      <c r="R441">
        <f>IF($AD441="","",IF(AND(ISNUMBER(Q441),Q441&gt;0),AB441&gt;Q441,FALSE))</f>
        <v/>
      </c>
      <c r="S441" s="7">
        <f>IF($AD441="","",SUMIFS('Per Line'!$AB$2:$AB$3001,'Per Line'!$E$2:$E$3001,$B441,'Per Line'!$AQ$2:$AQ$3001,1))</f>
        <v/>
      </c>
      <c r="T441">
        <f>IF($AD441="","",Settings!$C$7)</f>
        <v/>
      </c>
      <c r="U441" s="7">
        <f>IF($AD441="","",SUMIFS('Per Line'!$AB$2:$AB$3001,'Per Line'!$E$2:$E$3001,$B441,'Per Line'!$AP$2:$AP$3001,0,'Per Line'!$AQ$2:$AQ$3001,0))</f>
        <v/>
      </c>
      <c r="V441" s="7">
        <f>IF($AD441="","",U441*T441)</f>
        <v/>
      </c>
      <c r="W441">
        <f>IF($AD441="","",Settings!$C$6)</f>
        <v/>
      </c>
      <c r="X441" s="7">
        <f>IF($AD441="","",SUMIFS('Per Line'!$AB$2:$AB$3001,'Per Line'!$E$2:$E$3001,$B441,'Per Line'!$AP$2:$AP$3001,1,'Per Line'!$AQ$2:$AQ$3001,0))</f>
        <v/>
      </c>
      <c r="Y441" s="7">
        <f>IF($AD441="","",X441*W441)</f>
        <v/>
      </c>
      <c r="Z441" s="7">
        <f>IF($AD441="","",Y441+V441)</f>
        <v/>
      </c>
      <c r="AA441" s="7">
        <f>IF($AD441="","",AB441-Z441)</f>
        <v/>
      </c>
      <c r="AB441" s="7">
        <f>IF($AD441="","",U441+X441+S441)</f>
        <v/>
      </c>
      <c r="AC441" s="7">
        <f>IF($AD441="","",AB441-Z441-P441)</f>
        <v/>
      </c>
      <c r="AD441" s="13">
        <f>IF(ROWS($AD$2:$AD441)&lt;=MAX('Per Line'!$AO$2:$AO$3001),MATCH(ROWS($AD$2:$AD441),'Per Line'!$AO$2:$AO$3001,0),"")</f>
        <v/>
      </c>
      <c r="AE441" s="14">
        <f>IF($AD441="","",P441-O441*AB441/100)</f>
        <v/>
      </c>
    </row>
    <row r="442">
      <c r="A442" s="12" t="n"/>
      <c r="B442">
        <f>IF($AD442="","",INDEX('Per Line'!$E$2:$E$3001,$AD442)&amp;"")</f>
        <v/>
      </c>
      <c r="C442">
        <f>IF($AD442="","",INDEX('Per Line'!$A$2:$A$3001,$AD442)&amp;"")</f>
        <v/>
      </c>
      <c r="D442">
        <f>IF($AD442="","",INDEX('Per Line'!$C$2:$C$3001,$AD442)&amp;"")</f>
        <v/>
      </c>
      <c r="E442">
        <f>IF($AD442="","",INDEX('Per Line'!$B$2:$B$3001,$AD442))</f>
        <v/>
      </c>
      <c r="F442">
        <f>IF($AD442="","",INDEX('Per Line'!$D$2:$D$3001,$AD442)&amp;"")</f>
        <v/>
      </c>
      <c r="G442" s="11">
        <f>IF($AD442="","",INDEX('Per Line'!$G$2:$G$3001,$AD442))</f>
        <v/>
      </c>
      <c r="H442">
        <f>IF($AD442="","",INDEX('Per Line'!$J$2:$J$3001,$AD442)&amp;"")</f>
        <v/>
      </c>
      <c r="I442">
        <f>IF($AD442="","",INDEX('Per Line'!$H$2:$H$3001,$AD442)&amp;"")</f>
        <v/>
      </c>
      <c r="J442">
        <f>IF($AD442="","",INDEX('Per Line'!$F$2:$F$3001,$AD442)&amp;"")</f>
        <v/>
      </c>
      <c r="K442">
        <f>IF($AD442="","",INDEX('Per Line'!$K$2:$K$3001,$AD442)&amp;"")</f>
        <v/>
      </c>
      <c r="L442">
        <f>IF($AD442="","",INDEX('Per Line'!$L$2:$L$3001,$AD442)&amp;"")</f>
        <v/>
      </c>
      <c r="M442">
        <f>IF($AD442="","",INDEX('Per Line'!$M$2:$M$3001,$AD442)&amp;"")</f>
        <v/>
      </c>
      <c r="N442">
        <f>IF($AD442="","",INDEX('Per Line'!$AC$2:$AC$3001,$AD442)&amp;"")</f>
        <v/>
      </c>
      <c r="O442">
        <f>IF($AD442="","",INDEX('Per Line'!$P$2:$P$3001,$AD442))</f>
        <v/>
      </c>
      <c r="P442" s="7">
        <f>IF($AD442="","",IF(AND(ISNUMBER(Q442),Q442&gt;0,AB442&gt;Q442),O442*Q442/100+(AB442-Q442),O442*AB442/100))</f>
        <v/>
      </c>
      <c r="Q442">
        <f>IF($AD442="","",INDEX('Per Line'!$AG$2:$AG$3001,$AD442))</f>
        <v/>
      </c>
      <c r="R442">
        <f>IF($AD442="","",IF(AND(ISNUMBER(Q442),Q442&gt;0),AB442&gt;Q442,FALSE))</f>
        <v/>
      </c>
      <c r="S442" s="7">
        <f>IF($AD442="","",SUMIFS('Per Line'!$AB$2:$AB$3001,'Per Line'!$E$2:$E$3001,$B442,'Per Line'!$AQ$2:$AQ$3001,1))</f>
        <v/>
      </c>
      <c r="T442">
        <f>IF($AD442="","",Settings!$C$7)</f>
        <v/>
      </c>
      <c r="U442" s="7">
        <f>IF($AD442="","",SUMIFS('Per Line'!$AB$2:$AB$3001,'Per Line'!$E$2:$E$3001,$B442,'Per Line'!$AP$2:$AP$3001,0,'Per Line'!$AQ$2:$AQ$3001,0))</f>
        <v/>
      </c>
      <c r="V442" s="7">
        <f>IF($AD442="","",U442*T442)</f>
        <v/>
      </c>
      <c r="W442">
        <f>IF($AD442="","",Settings!$C$6)</f>
        <v/>
      </c>
      <c r="X442" s="7">
        <f>IF($AD442="","",SUMIFS('Per Line'!$AB$2:$AB$3001,'Per Line'!$E$2:$E$3001,$B442,'Per Line'!$AP$2:$AP$3001,1,'Per Line'!$AQ$2:$AQ$3001,0))</f>
        <v/>
      </c>
      <c r="Y442" s="7">
        <f>IF($AD442="","",X442*W442)</f>
        <v/>
      </c>
      <c r="Z442" s="7">
        <f>IF($AD442="","",Y442+V442)</f>
        <v/>
      </c>
      <c r="AA442" s="7">
        <f>IF($AD442="","",AB442-Z442)</f>
        <v/>
      </c>
      <c r="AB442" s="7">
        <f>IF($AD442="","",U442+X442+S442)</f>
        <v/>
      </c>
      <c r="AC442" s="7">
        <f>IF($AD442="","",AB442-Z442-P442)</f>
        <v/>
      </c>
      <c r="AD442" s="13">
        <f>IF(ROWS($AD$2:$AD442)&lt;=MAX('Per Line'!$AO$2:$AO$3001),MATCH(ROWS($AD$2:$AD442),'Per Line'!$AO$2:$AO$3001,0),"")</f>
        <v/>
      </c>
      <c r="AE442" s="14">
        <f>IF($AD442="","",P442-O442*AB442/100)</f>
        <v/>
      </c>
    </row>
    <row r="443">
      <c r="A443" s="12" t="n"/>
      <c r="B443">
        <f>IF($AD443="","",INDEX('Per Line'!$E$2:$E$3001,$AD443)&amp;"")</f>
        <v/>
      </c>
      <c r="C443">
        <f>IF($AD443="","",INDEX('Per Line'!$A$2:$A$3001,$AD443)&amp;"")</f>
        <v/>
      </c>
      <c r="D443">
        <f>IF($AD443="","",INDEX('Per Line'!$C$2:$C$3001,$AD443)&amp;"")</f>
        <v/>
      </c>
      <c r="E443">
        <f>IF($AD443="","",INDEX('Per Line'!$B$2:$B$3001,$AD443))</f>
        <v/>
      </c>
      <c r="F443">
        <f>IF($AD443="","",INDEX('Per Line'!$D$2:$D$3001,$AD443)&amp;"")</f>
        <v/>
      </c>
      <c r="G443" s="11">
        <f>IF($AD443="","",INDEX('Per Line'!$G$2:$G$3001,$AD443))</f>
        <v/>
      </c>
      <c r="H443">
        <f>IF($AD443="","",INDEX('Per Line'!$J$2:$J$3001,$AD443)&amp;"")</f>
        <v/>
      </c>
      <c r="I443">
        <f>IF($AD443="","",INDEX('Per Line'!$H$2:$H$3001,$AD443)&amp;"")</f>
        <v/>
      </c>
      <c r="J443">
        <f>IF($AD443="","",INDEX('Per Line'!$F$2:$F$3001,$AD443)&amp;"")</f>
        <v/>
      </c>
      <c r="K443">
        <f>IF($AD443="","",INDEX('Per Line'!$K$2:$K$3001,$AD443)&amp;"")</f>
        <v/>
      </c>
      <c r="L443">
        <f>IF($AD443="","",INDEX('Per Line'!$L$2:$L$3001,$AD443)&amp;"")</f>
        <v/>
      </c>
      <c r="M443">
        <f>IF($AD443="","",INDEX('Per Line'!$M$2:$M$3001,$AD443)&amp;"")</f>
        <v/>
      </c>
      <c r="N443">
        <f>IF($AD443="","",INDEX('Per Line'!$AC$2:$AC$3001,$AD443)&amp;"")</f>
        <v/>
      </c>
      <c r="O443">
        <f>IF($AD443="","",INDEX('Per Line'!$P$2:$P$3001,$AD443))</f>
        <v/>
      </c>
      <c r="P443" s="7">
        <f>IF($AD443="","",IF(AND(ISNUMBER(Q443),Q443&gt;0,AB443&gt;Q443),O443*Q443/100+(AB443-Q443),O443*AB443/100))</f>
        <v/>
      </c>
      <c r="Q443">
        <f>IF($AD443="","",INDEX('Per Line'!$AG$2:$AG$3001,$AD443))</f>
        <v/>
      </c>
      <c r="R443">
        <f>IF($AD443="","",IF(AND(ISNUMBER(Q443),Q443&gt;0),AB443&gt;Q443,FALSE))</f>
        <v/>
      </c>
      <c r="S443" s="7">
        <f>IF($AD443="","",SUMIFS('Per Line'!$AB$2:$AB$3001,'Per Line'!$E$2:$E$3001,$B443,'Per Line'!$AQ$2:$AQ$3001,1))</f>
        <v/>
      </c>
      <c r="T443">
        <f>IF($AD443="","",Settings!$C$7)</f>
        <v/>
      </c>
      <c r="U443" s="7">
        <f>IF($AD443="","",SUMIFS('Per Line'!$AB$2:$AB$3001,'Per Line'!$E$2:$E$3001,$B443,'Per Line'!$AP$2:$AP$3001,0,'Per Line'!$AQ$2:$AQ$3001,0))</f>
        <v/>
      </c>
      <c r="V443" s="7">
        <f>IF($AD443="","",U443*T443)</f>
        <v/>
      </c>
      <c r="W443">
        <f>IF($AD443="","",Settings!$C$6)</f>
        <v/>
      </c>
      <c r="X443" s="7">
        <f>IF($AD443="","",SUMIFS('Per Line'!$AB$2:$AB$3001,'Per Line'!$E$2:$E$3001,$B443,'Per Line'!$AP$2:$AP$3001,1,'Per Line'!$AQ$2:$AQ$3001,0))</f>
        <v/>
      </c>
      <c r="Y443" s="7">
        <f>IF($AD443="","",X443*W443)</f>
        <v/>
      </c>
      <c r="Z443" s="7">
        <f>IF($AD443="","",Y443+V443)</f>
        <v/>
      </c>
      <c r="AA443" s="7">
        <f>IF($AD443="","",AB443-Z443)</f>
        <v/>
      </c>
      <c r="AB443" s="7">
        <f>IF($AD443="","",U443+X443+S443)</f>
        <v/>
      </c>
      <c r="AC443" s="7">
        <f>IF($AD443="","",AB443-Z443-P443)</f>
        <v/>
      </c>
      <c r="AD443" s="13">
        <f>IF(ROWS($AD$2:$AD443)&lt;=MAX('Per Line'!$AO$2:$AO$3001),MATCH(ROWS($AD$2:$AD443),'Per Line'!$AO$2:$AO$3001,0),"")</f>
        <v/>
      </c>
      <c r="AE443" s="14">
        <f>IF($AD443="","",P443-O443*AB443/100)</f>
        <v/>
      </c>
    </row>
    <row r="444">
      <c r="A444" s="12" t="n"/>
      <c r="B444">
        <f>IF($AD444="","",INDEX('Per Line'!$E$2:$E$3001,$AD444)&amp;"")</f>
        <v/>
      </c>
      <c r="C444">
        <f>IF($AD444="","",INDEX('Per Line'!$A$2:$A$3001,$AD444)&amp;"")</f>
        <v/>
      </c>
      <c r="D444">
        <f>IF($AD444="","",INDEX('Per Line'!$C$2:$C$3001,$AD444)&amp;"")</f>
        <v/>
      </c>
      <c r="E444">
        <f>IF($AD444="","",INDEX('Per Line'!$B$2:$B$3001,$AD444))</f>
        <v/>
      </c>
      <c r="F444">
        <f>IF($AD444="","",INDEX('Per Line'!$D$2:$D$3001,$AD444)&amp;"")</f>
        <v/>
      </c>
      <c r="G444" s="11">
        <f>IF($AD444="","",INDEX('Per Line'!$G$2:$G$3001,$AD444))</f>
        <v/>
      </c>
      <c r="H444">
        <f>IF($AD444="","",INDEX('Per Line'!$J$2:$J$3001,$AD444)&amp;"")</f>
        <v/>
      </c>
      <c r="I444">
        <f>IF($AD444="","",INDEX('Per Line'!$H$2:$H$3001,$AD444)&amp;"")</f>
        <v/>
      </c>
      <c r="J444">
        <f>IF($AD444="","",INDEX('Per Line'!$F$2:$F$3001,$AD444)&amp;"")</f>
        <v/>
      </c>
      <c r="K444">
        <f>IF($AD444="","",INDEX('Per Line'!$K$2:$K$3001,$AD444)&amp;"")</f>
        <v/>
      </c>
      <c r="L444">
        <f>IF($AD444="","",INDEX('Per Line'!$L$2:$L$3001,$AD444)&amp;"")</f>
        <v/>
      </c>
      <c r="M444">
        <f>IF($AD444="","",INDEX('Per Line'!$M$2:$M$3001,$AD444)&amp;"")</f>
        <v/>
      </c>
      <c r="N444">
        <f>IF($AD444="","",INDEX('Per Line'!$AC$2:$AC$3001,$AD444)&amp;"")</f>
        <v/>
      </c>
      <c r="O444">
        <f>IF($AD444="","",INDEX('Per Line'!$P$2:$P$3001,$AD444))</f>
        <v/>
      </c>
      <c r="P444" s="7">
        <f>IF($AD444="","",IF(AND(ISNUMBER(Q444),Q444&gt;0,AB444&gt;Q444),O444*Q444/100+(AB444-Q444),O444*AB444/100))</f>
        <v/>
      </c>
      <c r="Q444">
        <f>IF($AD444="","",INDEX('Per Line'!$AG$2:$AG$3001,$AD444))</f>
        <v/>
      </c>
      <c r="R444">
        <f>IF($AD444="","",IF(AND(ISNUMBER(Q444),Q444&gt;0),AB444&gt;Q444,FALSE))</f>
        <v/>
      </c>
      <c r="S444" s="7">
        <f>IF($AD444="","",SUMIFS('Per Line'!$AB$2:$AB$3001,'Per Line'!$E$2:$E$3001,$B444,'Per Line'!$AQ$2:$AQ$3001,1))</f>
        <v/>
      </c>
      <c r="T444">
        <f>IF($AD444="","",Settings!$C$7)</f>
        <v/>
      </c>
      <c r="U444" s="7">
        <f>IF($AD444="","",SUMIFS('Per Line'!$AB$2:$AB$3001,'Per Line'!$E$2:$E$3001,$B444,'Per Line'!$AP$2:$AP$3001,0,'Per Line'!$AQ$2:$AQ$3001,0))</f>
        <v/>
      </c>
      <c r="V444" s="7">
        <f>IF($AD444="","",U444*T444)</f>
        <v/>
      </c>
      <c r="W444">
        <f>IF($AD444="","",Settings!$C$6)</f>
        <v/>
      </c>
      <c r="X444" s="7">
        <f>IF($AD444="","",SUMIFS('Per Line'!$AB$2:$AB$3001,'Per Line'!$E$2:$E$3001,$B444,'Per Line'!$AP$2:$AP$3001,1,'Per Line'!$AQ$2:$AQ$3001,0))</f>
        <v/>
      </c>
      <c r="Y444" s="7">
        <f>IF($AD444="","",X444*W444)</f>
        <v/>
      </c>
      <c r="Z444" s="7">
        <f>IF($AD444="","",Y444+V444)</f>
        <v/>
      </c>
      <c r="AA444" s="7">
        <f>IF($AD444="","",AB444-Z444)</f>
        <v/>
      </c>
      <c r="AB444" s="7">
        <f>IF($AD444="","",U444+X444+S444)</f>
        <v/>
      </c>
      <c r="AC444" s="7">
        <f>IF($AD444="","",AB444-Z444-P444)</f>
        <v/>
      </c>
      <c r="AD444" s="13">
        <f>IF(ROWS($AD$2:$AD444)&lt;=MAX('Per Line'!$AO$2:$AO$3001),MATCH(ROWS($AD$2:$AD444),'Per Line'!$AO$2:$AO$3001,0),"")</f>
        <v/>
      </c>
      <c r="AE444" s="14">
        <f>IF($AD444="","",P444-O444*AB444/100)</f>
        <v/>
      </c>
    </row>
    <row r="445">
      <c r="A445" s="12" t="n"/>
      <c r="B445">
        <f>IF($AD445="","",INDEX('Per Line'!$E$2:$E$3001,$AD445)&amp;"")</f>
        <v/>
      </c>
      <c r="C445">
        <f>IF($AD445="","",INDEX('Per Line'!$A$2:$A$3001,$AD445)&amp;"")</f>
        <v/>
      </c>
      <c r="D445">
        <f>IF($AD445="","",INDEX('Per Line'!$C$2:$C$3001,$AD445)&amp;"")</f>
        <v/>
      </c>
      <c r="E445">
        <f>IF($AD445="","",INDEX('Per Line'!$B$2:$B$3001,$AD445))</f>
        <v/>
      </c>
      <c r="F445">
        <f>IF($AD445="","",INDEX('Per Line'!$D$2:$D$3001,$AD445)&amp;"")</f>
        <v/>
      </c>
      <c r="G445" s="11">
        <f>IF($AD445="","",INDEX('Per Line'!$G$2:$G$3001,$AD445))</f>
        <v/>
      </c>
      <c r="H445">
        <f>IF($AD445="","",INDEX('Per Line'!$J$2:$J$3001,$AD445)&amp;"")</f>
        <v/>
      </c>
      <c r="I445">
        <f>IF($AD445="","",INDEX('Per Line'!$H$2:$H$3001,$AD445)&amp;"")</f>
        <v/>
      </c>
      <c r="J445">
        <f>IF($AD445="","",INDEX('Per Line'!$F$2:$F$3001,$AD445)&amp;"")</f>
        <v/>
      </c>
      <c r="K445">
        <f>IF($AD445="","",INDEX('Per Line'!$K$2:$K$3001,$AD445)&amp;"")</f>
        <v/>
      </c>
      <c r="L445">
        <f>IF($AD445="","",INDEX('Per Line'!$L$2:$L$3001,$AD445)&amp;"")</f>
        <v/>
      </c>
      <c r="M445">
        <f>IF($AD445="","",INDEX('Per Line'!$M$2:$M$3001,$AD445)&amp;"")</f>
        <v/>
      </c>
      <c r="N445">
        <f>IF($AD445="","",INDEX('Per Line'!$AC$2:$AC$3001,$AD445)&amp;"")</f>
        <v/>
      </c>
      <c r="O445">
        <f>IF($AD445="","",INDEX('Per Line'!$P$2:$P$3001,$AD445))</f>
        <v/>
      </c>
      <c r="P445" s="7">
        <f>IF($AD445="","",IF(AND(ISNUMBER(Q445),Q445&gt;0,AB445&gt;Q445),O445*Q445/100+(AB445-Q445),O445*AB445/100))</f>
        <v/>
      </c>
      <c r="Q445">
        <f>IF($AD445="","",INDEX('Per Line'!$AG$2:$AG$3001,$AD445))</f>
        <v/>
      </c>
      <c r="R445">
        <f>IF($AD445="","",IF(AND(ISNUMBER(Q445),Q445&gt;0),AB445&gt;Q445,FALSE))</f>
        <v/>
      </c>
      <c r="S445" s="7">
        <f>IF($AD445="","",SUMIFS('Per Line'!$AB$2:$AB$3001,'Per Line'!$E$2:$E$3001,$B445,'Per Line'!$AQ$2:$AQ$3001,1))</f>
        <v/>
      </c>
      <c r="T445">
        <f>IF($AD445="","",Settings!$C$7)</f>
        <v/>
      </c>
      <c r="U445" s="7">
        <f>IF($AD445="","",SUMIFS('Per Line'!$AB$2:$AB$3001,'Per Line'!$E$2:$E$3001,$B445,'Per Line'!$AP$2:$AP$3001,0,'Per Line'!$AQ$2:$AQ$3001,0))</f>
        <v/>
      </c>
      <c r="V445" s="7">
        <f>IF($AD445="","",U445*T445)</f>
        <v/>
      </c>
      <c r="W445">
        <f>IF($AD445="","",Settings!$C$6)</f>
        <v/>
      </c>
      <c r="X445" s="7">
        <f>IF($AD445="","",SUMIFS('Per Line'!$AB$2:$AB$3001,'Per Line'!$E$2:$E$3001,$B445,'Per Line'!$AP$2:$AP$3001,1,'Per Line'!$AQ$2:$AQ$3001,0))</f>
        <v/>
      </c>
      <c r="Y445" s="7">
        <f>IF($AD445="","",X445*W445)</f>
        <v/>
      </c>
      <c r="Z445" s="7">
        <f>IF($AD445="","",Y445+V445)</f>
        <v/>
      </c>
      <c r="AA445" s="7">
        <f>IF($AD445="","",AB445-Z445)</f>
        <v/>
      </c>
      <c r="AB445" s="7">
        <f>IF($AD445="","",U445+X445+S445)</f>
        <v/>
      </c>
      <c r="AC445" s="7">
        <f>IF($AD445="","",AB445-Z445-P445)</f>
        <v/>
      </c>
      <c r="AD445" s="13">
        <f>IF(ROWS($AD$2:$AD445)&lt;=MAX('Per Line'!$AO$2:$AO$3001),MATCH(ROWS($AD$2:$AD445),'Per Line'!$AO$2:$AO$3001,0),"")</f>
        <v/>
      </c>
      <c r="AE445" s="14">
        <f>IF($AD445="","",P445-O445*AB445/100)</f>
        <v/>
      </c>
    </row>
    <row r="446">
      <c r="A446" s="12" t="n"/>
      <c r="B446">
        <f>IF($AD446="","",INDEX('Per Line'!$E$2:$E$3001,$AD446)&amp;"")</f>
        <v/>
      </c>
      <c r="C446">
        <f>IF($AD446="","",INDEX('Per Line'!$A$2:$A$3001,$AD446)&amp;"")</f>
        <v/>
      </c>
      <c r="D446">
        <f>IF($AD446="","",INDEX('Per Line'!$C$2:$C$3001,$AD446)&amp;"")</f>
        <v/>
      </c>
      <c r="E446">
        <f>IF($AD446="","",INDEX('Per Line'!$B$2:$B$3001,$AD446))</f>
        <v/>
      </c>
      <c r="F446">
        <f>IF($AD446="","",INDEX('Per Line'!$D$2:$D$3001,$AD446)&amp;"")</f>
        <v/>
      </c>
      <c r="G446" s="11">
        <f>IF($AD446="","",INDEX('Per Line'!$G$2:$G$3001,$AD446))</f>
        <v/>
      </c>
      <c r="H446">
        <f>IF($AD446="","",INDEX('Per Line'!$J$2:$J$3001,$AD446)&amp;"")</f>
        <v/>
      </c>
      <c r="I446">
        <f>IF($AD446="","",INDEX('Per Line'!$H$2:$H$3001,$AD446)&amp;"")</f>
        <v/>
      </c>
      <c r="J446">
        <f>IF($AD446="","",INDEX('Per Line'!$F$2:$F$3001,$AD446)&amp;"")</f>
        <v/>
      </c>
      <c r="K446">
        <f>IF($AD446="","",INDEX('Per Line'!$K$2:$K$3001,$AD446)&amp;"")</f>
        <v/>
      </c>
      <c r="L446">
        <f>IF($AD446="","",INDEX('Per Line'!$L$2:$L$3001,$AD446)&amp;"")</f>
        <v/>
      </c>
      <c r="M446">
        <f>IF($AD446="","",INDEX('Per Line'!$M$2:$M$3001,$AD446)&amp;"")</f>
        <v/>
      </c>
      <c r="N446">
        <f>IF($AD446="","",INDEX('Per Line'!$AC$2:$AC$3001,$AD446)&amp;"")</f>
        <v/>
      </c>
      <c r="O446">
        <f>IF($AD446="","",INDEX('Per Line'!$P$2:$P$3001,$AD446))</f>
        <v/>
      </c>
      <c r="P446" s="7">
        <f>IF($AD446="","",IF(AND(ISNUMBER(Q446),Q446&gt;0,AB446&gt;Q446),O446*Q446/100+(AB446-Q446),O446*AB446/100))</f>
        <v/>
      </c>
      <c r="Q446">
        <f>IF($AD446="","",INDEX('Per Line'!$AG$2:$AG$3001,$AD446))</f>
        <v/>
      </c>
      <c r="R446">
        <f>IF($AD446="","",IF(AND(ISNUMBER(Q446),Q446&gt;0),AB446&gt;Q446,FALSE))</f>
        <v/>
      </c>
      <c r="S446" s="7">
        <f>IF($AD446="","",SUMIFS('Per Line'!$AB$2:$AB$3001,'Per Line'!$E$2:$E$3001,$B446,'Per Line'!$AQ$2:$AQ$3001,1))</f>
        <v/>
      </c>
      <c r="T446">
        <f>IF($AD446="","",Settings!$C$7)</f>
        <v/>
      </c>
      <c r="U446" s="7">
        <f>IF($AD446="","",SUMIFS('Per Line'!$AB$2:$AB$3001,'Per Line'!$E$2:$E$3001,$B446,'Per Line'!$AP$2:$AP$3001,0,'Per Line'!$AQ$2:$AQ$3001,0))</f>
        <v/>
      </c>
      <c r="V446" s="7">
        <f>IF($AD446="","",U446*T446)</f>
        <v/>
      </c>
      <c r="W446">
        <f>IF($AD446="","",Settings!$C$6)</f>
        <v/>
      </c>
      <c r="X446" s="7">
        <f>IF($AD446="","",SUMIFS('Per Line'!$AB$2:$AB$3001,'Per Line'!$E$2:$E$3001,$B446,'Per Line'!$AP$2:$AP$3001,1,'Per Line'!$AQ$2:$AQ$3001,0))</f>
        <v/>
      </c>
      <c r="Y446" s="7">
        <f>IF($AD446="","",X446*W446)</f>
        <v/>
      </c>
      <c r="Z446" s="7">
        <f>IF($AD446="","",Y446+V446)</f>
        <v/>
      </c>
      <c r="AA446" s="7">
        <f>IF($AD446="","",AB446-Z446)</f>
        <v/>
      </c>
      <c r="AB446" s="7">
        <f>IF($AD446="","",U446+X446+S446)</f>
        <v/>
      </c>
      <c r="AC446" s="7">
        <f>IF($AD446="","",AB446-Z446-P446)</f>
        <v/>
      </c>
      <c r="AD446" s="13">
        <f>IF(ROWS($AD$2:$AD446)&lt;=MAX('Per Line'!$AO$2:$AO$3001),MATCH(ROWS($AD$2:$AD446),'Per Line'!$AO$2:$AO$3001,0),"")</f>
        <v/>
      </c>
      <c r="AE446" s="14">
        <f>IF($AD446="","",P446-O446*AB446/100)</f>
        <v/>
      </c>
    </row>
    <row r="447">
      <c r="A447" s="12" t="n"/>
      <c r="B447">
        <f>IF($AD447="","",INDEX('Per Line'!$E$2:$E$3001,$AD447)&amp;"")</f>
        <v/>
      </c>
      <c r="C447">
        <f>IF($AD447="","",INDEX('Per Line'!$A$2:$A$3001,$AD447)&amp;"")</f>
        <v/>
      </c>
      <c r="D447">
        <f>IF($AD447="","",INDEX('Per Line'!$C$2:$C$3001,$AD447)&amp;"")</f>
        <v/>
      </c>
      <c r="E447">
        <f>IF($AD447="","",INDEX('Per Line'!$B$2:$B$3001,$AD447))</f>
        <v/>
      </c>
      <c r="F447">
        <f>IF($AD447="","",INDEX('Per Line'!$D$2:$D$3001,$AD447)&amp;"")</f>
        <v/>
      </c>
      <c r="G447" s="11">
        <f>IF($AD447="","",INDEX('Per Line'!$G$2:$G$3001,$AD447))</f>
        <v/>
      </c>
      <c r="H447">
        <f>IF($AD447="","",INDEX('Per Line'!$J$2:$J$3001,$AD447)&amp;"")</f>
        <v/>
      </c>
      <c r="I447">
        <f>IF($AD447="","",INDEX('Per Line'!$H$2:$H$3001,$AD447)&amp;"")</f>
        <v/>
      </c>
      <c r="J447">
        <f>IF($AD447="","",INDEX('Per Line'!$F$2:$F$3001,$AD447)&amp;"")</f>
        <v/>
      </c>
      <c r="K447">
        <f>IF($AD447="","",INDEX('Per Line'!$K$2:$K$3001,$AD447)&amp;"")</f>
        <v/>
      </c>
      <c r="L447">
        <f>IF($AD447="","",INDEX('Per Line'!$L$2:$L$3001,$AD447)&amp;"")</f>
        <v/>
      </c>
      <c r="M447">
        <f>IF($AD447="","",INDEX('Per Line'!$M$2:$M$3001,$AD447)&amp;"")</f>
        <v/>
      </c>
      <c r="N447">
        <f>IF($AD447="","",INDEX('Per Line'!$AC$2:$AC$3001,$AD447)&amp;"")</f>
        <v/>
      </c>
      <c r="O447">
        <f>IF($AD447="","",INDEX('Per Line'!$P$2:$P$3001,$AD447))</f>
        <v/>
      </c>
      <c r="P447" s="7">
        <f>IF($AD447="","",IF(AND(ISNUMBER(Q447),Q447&gt;0,AB447&gt;Q447),O447*Q447/100+(AB447-Q447),O447*AB447/100))</f>
        <v/>
      </c>
      <c r="Q447">
        <f>IF($AD447="","",INDEX('Per Line'!$AG$2:$AG$3001,$AD447))</f>
        <v/>
      </c>
      <c r="R447">
        <f>IF($AD447="","",IF(AND(ISNUMBER(Q447),Q447&gt;0),AB447&gt;Q447,FALSE))</f>
        <v/>
      </c>
      <c r="S447" s="7">
        <f>IF($AD447="","",SUMIFS('Per Line'!$AB$2:$AB$3001,'Per Line'!$E$2:$E$3001,$B447,'Per Line'!$AQ$2:$AQ$3001,1))</f>
        <v/>
      </c>
      <c r="T447">
        <f>IF($AD447="","",Settings!$C$7)</f>
        <v/>
      </c>
      <c r="U447" s="7">
        <f>IF($AD447="","",SUMIFS('Per Line'!$AB$2:$AB$3001,'Per Line'!$E$2:$E$3001,$B447,'Per Line'!$AP$2:$AP$3001,0,'Per Line'!$AQ$2:$AQ$3001,0))</f>
        <v/>
      </c>
      <c r="V447" s="7">
        <f>IF($AD447="","",U447*T447)</f>
        <v/>
      </c>
      <c r="W447">
        <f>IF($AD447="","",Settings!$C$6)</f>
        <v/>
      </c>
      <c r="X447" s="7">
        <f>IF($AD447="","",SUMIFS('Per Line'!$AB$2:$AB$3001,'Per Line'!$E$2:$E$3001,$B447,'Per Line'!$AP$2:$AP$3001,1,'Per Line'!$AQ$2:$AQ$3001,0))</f>
        <v/>
      </c>
      <c r="Y447" s="7">
        <f>IF($AD447="","",X447*W447)</f>
        <v/>
      </c>
      <c r="Z447" s="7">
        <f>IF($AD447="","",Y447+V447)</f>
        <v/>
      </c>
      <c r="AA447" s="7">
        <f>IF($AD447="","",AB447-Z447)</f>
        <v/>
      </c>
      <c r="AB447" s="7">
        <f>IF($AD447="","",U447+X447+S447)</f>
        <v/>
      </c>
      <c r="AC447" s="7">
        <f>IF($AD447="","",AB447-Z447-P447)</f>
        <v/>
      </c>
      <c r="AD447" s="13">
        <f>IF(ROWS($AD$2:$AD447)&lt;=MAX('Per Line'!$AO$2:$AO$3001),MATCH(ROWS($AD$2:$AD447),'Per Line'!$AO$2:$AO$3001,0),"")</f>
        <v/>
      </c>
      <c r="AE447" s="14">
        <f>IF($AD447="","",P447-O447*AB447/100)</f>
        <v/>
      </c>
    </row>
    <row r="448">
      <c r="A448" s="12" t="n"/>
      <c r="B448">
        <f>IF($AD448="","",INDEX('Per Line'!$E$2:$E$3001,$AD448)&amp;"")</f>
        <v/>
      </c>
      <c r="C448">
        <f>IF($AD448="","",INDEX('Per Line'!$A$2:$A$3001,$AD448)&amp;"")</f>
        <v/>
      </c>
      <c r="D448">
        <f>IF($AD448="","",INDEX('Per Line'!$C$2:$C$3001,$AD448)&amp;"")</f>
        <v/>
      </c>
      <c r="E448">
        <f>IF($AD448="","",INDEX('Per Line'!$B$2:$B$3001,$AD448))</f>
        <v/>
      </c>
      <c r="F448">
        <f>IF($AD448="","",INDEX('Per Line'!$D$2:$D$3001,$AD448)&amp;"")</f>
        <v/>
      </c>
      <c r="G448" s="11">
        <f>IF($AD448="","",INDEX('Per Line'!$G$2:$G$3001,$AD448))</f>
        <v/>
      </c>
      <c r="H448">
        <f>IF($AD448="","",INDEX('Per Line'!$J$2:$J$3001,$AD448)&amp;"")</f>
        <v/>
      </c>
      <c r="I448">
        <f>IF($AD448="","",INDEX('Per Line'!$H$2:$H$3001,$AD448)&amp;"")</f>
        <v/>
      </c>
      <c r="J448">
        <f>IF($AD448="","",INDEX('Per Line'!$F$2:$F$3001,$AD448)&amp;"")</f>
        <v/>
      </c>
      <c r="K448">
        <f>IF($AD448="","",INDEX('Per Line'!$K$2:$K$3001,$AD448)&amp;"")</f>
        <v/>
      </c>
      <c r="L448">
        <f>IF($AD448="","",INDEX('Per Line'!$L$2:$L$3001,$AD448)&amp;"")</f>
        <v/>
      </c>
      <c r="M448">
        <f>IF($AD448="","",INDEX('Per Line'!$M$2:$M$3001,$AD448)&amp;"")</f>
        <v/>
      </c>
      <c r="N448">
        <f>IF($AD448="","",INDEX('Per Line'!$AC$2:$AC$3001,$AD448)&amp;"")</f>
        <v/>
      </c>
      <c r="O448">
        <f>IF($AD448="","",INDEX('Per Line'!$P$2:$P$3001,$AD448))</f>
        <v/>
      </c>
      <c r="P448" s="7">
        <f>IF($AD448="","",IF(AND(ISNUMBER(Q448),Q448&gt;0,AB448&gt;Q448),O448*Q448/100+(AB448-Q448),O448*AB448/100))</f>
        <v/>
      </c>
      <c r="Q448">
        <f>IF($AD448="","",INDEX('Per Line'!$AG$2:$AG$3001,$AD448))</f>
        <v/>
      </c>
      <c r="R448">
        <f>IF($AD448="","",IF(AND(ISNUMBER(Q448),Q448&gt;0),AB448&gt;Q448,FALSE))</f>
        <v/>
      </c>
      <c r="S448" s="7">
        <f>IF($AD448="","",SUMIFS('Per Line'!$AB$2:$AB$3001,'Per Line'!$E$2:$E$3001,$B448,'Per Line'!$AQ$2:$AQ$3001,1))</f>
        <v/>
      </c>
      <c r="T448">
        <f>IF($AD448="","",Settings!$C$7)</f>
        <v/>
      </c>
      <c r="U448" s="7">
        <f>IF($AD448="","",SUMIFS('Per Line'!$AB$2:$AB$3001,'Per Line'!$E$2:$E$3001,$B448,'Per Line'!$AP$2:$AP$3001,0,'Per Line'!$AQ$2:$AQ$3001,0))</f>
        <v/>
      </c>
      <c r="V448" s="7">
        <f>IF($AD448="","",U448*T448)</f>
        <v/>
      </c>
      <c r="W448">
        <f>IF($AD448="","",Settings!$C$6)</f>
        <v/>
      </c>
      <c r="X448" s="7">
        <f>IF($AD448="","",SUMIFS('Per Line'!$AB$2:$AB$3001,'Per Line'!$E$2:$E$3001,$B448,'Per Line'!$AP$2:$AP$3001,1,'Per Line'!$AQ$2:$AQ$3001,0))</f>
        <v/>
      </c>
      <c r="Y448" s="7">
        <f>IF($AD448="","",X448*W448)</f>
        <v/>
      </c>
      <c r="Z448" s="7">
        <f>IF($AD448="","",Y448+V448)</f>
        <v/>
      </c>
      <c r="AA448" s="7">
        <f>IF($AD448="","",AB448-Z448)</f>
        <v/>
      </c>
      <c r="AB448" s="7">
        <f>IF($AD448="","",U448+X448+S448)</f>
        <v/>
      </c>
      <c r="AC448" s="7">
        <f>IF($AD448="","",AB448-Z448-P448)</f>
        <v/>
      </c>
      <c r="AD448" s="13">
        <f>IF(ROWS($AD$2:$AD448)&lt;=MAX('Per Line'!$AO$2:$AO$3001),MATCH(ROWS($AD$2:$AD448),'Per Line'!$AO$2:$AO$3001,0),"")</f>
        <v/>
      </c>
      <c r="AE448" s="14">
        <f>IF($AD448="","",P448-O448*AB448/100)</f>
        <v/>
      </c>
    </row>
    <row r="449">
      <c r="A449" s="12" t="n"/>
      <c r="B449">
        <f>IF($AD449="","",INDEX('Per Line'!$E$2:$E$3001,$AD449)&amp;"")</f>
        <v/>
      </c>
      <c r="C449">
        <f>IF($AD449="","",INDEX('Per Line'!$A$2:$A$3001,$AD449)&amp;"")</f>
        <v/>
      </c>
      <c r="D449">
        <f>IF($AD449="","",INDEX('Per Line'!$C$2:$C$3001,$AD449)&amp;"")</f>
        <v/>
      </c>
      <c r="E449">
        <f>IF($AD449="","",INDEX('Per Line'!$B$2:$B$3001,$AD449))</f>
        <v/>
      </c>
      <c r="F449">
        <f>IF($AD449="","",INDEX('Per Line'!$D$2:$D$3001,$AD449)&amp;"")</f>
        <v/>
      </c>
      <c r="G449" s="11">
        <f>IF($AD449="","",INDEX('Per Line'!$G$2:$G$3001,$AD449))</f>
        <v/>
      </c>
      <c r="H449">
        <f>IF($AD449="","",INDEX('Per Line'!$J$2:$J$3001,$AD449)&amp;"")</f>
        <v/>
      </c>
      <c r="I449">
        <f>IF($AD449="","",INDEX('Per Line'!$H$2:$H$3001,$AD449)&amp;"")</f>
        <v/>
      </c>
      <c r="J449">
        <f>IF($AD449="","",INDEX('Per Line'!$F$2:$F$3001,$AD449)&amp;"")</f>
        <v/>
      </c>
      <c r="K449">
        <f>IF($AD449="","",INDEX('Per Line'!$K$2:$K$3001,$AD449)&amp;"")</f>
        <v/>
      </c>
      <c r="L449">
        <f>IF($AD449="","",INDEX('Per Line'!$L$2:$L$3001,$AD449)&amp;"")</f>
        <v/>
      </c>
      <c r="M449">
        <f>IF($AD449="","",INDEX('Per Line'!$M$2:$M$3001,$AD449)&amp;"")</f>
        <v/>
      </c>
      <c r="N449">
        <f>IF($AD449="","",INDEX('Per Line'!$AC$2:$AC$3001,$AD449)&amp;"")</f>
        <v/>
      </c>
      <c r="O449">
        <f>IF($AD449="","",INDEX('Per Line'!$P$2:$P$3001,$AD449))</f>
        <v/>
      </c>
      <c r="P449" s="7">
        <f>IF($AD449="","",IF(AND(ISNUMBER(Q449),Q449&gt;0,AB449&gt;Q449),O449*Q449/100+(AB449-Q449),O449*AB449/100))</f>
        <v/>
      </c>
      <c r="Q449">
        <f>IF($AD449="","",INDEX('Per Line'!$AG$2:$AG$3001,$AD449))</f>
        <v/>
      </c>
      <c r="R449">
        <f>IF($AD449="","",IF(AND(ISNUMBER(Q449),Q449&gt;0),AB449&gt;Q449,FALSE))</f>
        <v/>
      </c>
      <c r="S449" s="7">
        <f>IF($AD449="","",SUMIFS('Per Line'!$AB$2:$AB$3001,'Per Line'!$E$2:$E$3001,$B449,'Per Line'!$AQ$2:$AQ$3001,1))</f>
        <v/>
      </c>
      <c r="T449">
        <f>IF($AD449="","",Settings!$C$7)</f>
        <v/>
      </c>
      <c r="U449" s="7">
        <f>IF($AD449="","",SUMIFS('Per Line'!$AB$2:$AB$3001,'Per Line'!$E$2:$E$3001,$B449,'Per Line'!$AP$2:$AP$3001,0,'Per Line'!$AQ$2:$AQ$3001,0))</f>
        <v/>
      </c>
      <c r="V449" s="7">
        <f>IF($AD449="","",U449*T449)</f>
        <v/>
      </c>
      <c r="W449">
        <f>IF($AD449="","",Settings!$C$6)</f>
        <v/>
      </c>
      <c r="X449" s="7">
        <f>IF($AD449="","",SUMIFS('Per Line'!$AB$2:$AB$3001,'Per Line'!$E$2:$E$3001,$B449,'Per Line'!$AP$2:$AP$3001,1,'Per Line'!$AQ$2:$AQ$3001,0))</f>
        <v/>
      </c>
      <c r="Y449" s="7">
        <f>IF($AD449="","",X449*W449)</f>
        <v/>
      </c>
      <c r="Z449" s="7">
        <f>IF($AD449="","",Y449+V449)</f>
        <v/>
      </c>
      <c r="AA449" s="7">
        <f>IF($AD449="","",AB449-Z449)</f>
        <v/>
      </c>
      <c r="AB449" s="7">
        <f>IF($AD449="","",U449+X449+S449)</f>
        <v/>
      </c>
      <c r="AC449" s="7">
        <f>IF($AD449="","",AB449-Z449-P449)</f>
        <v/>
      </c>
      <c r="AD449" s="13">
        <f>IF(ROWS($AD$2:$AD449)&lt;=MAX('Per Line'!$AO$2:$AO$3001),MATCH(ROWS($AD$2:$AD449),'Per Line'!$AO$2:$AO$3001,0),"")</f>
        <v/>
      </c>
      <c r="AE449" s="14">
        <f>IF($AD449="","",P449-O449*AB449/100)</f>
        <v/>
      </c>
    </row>
    <row r="450">
      <c r="A450" s="12" t="n"/>
      <c r="B450">
        <f>IF($AD450="","",INDEX('Per Line'!$E$2:$E$3001,$AD450)&amp;"")</f>
        <v/>
      </c>
      <c r="C450">
        <f>IF($AD450="","",INDEX('Per Line'!$A$2:$A$3001,$AD450)&amp;"")</f>
        <v/>
      </c>
      <c r="D450">
        <f>IF($AD450="","",INDEX('Per Line'!$C$2:$C$3001,$AD450)&amp;"")</f>
        <v/>
      </c>
      <c r="E450">
        <f>IF($AD450="","",INDEX('Per Line'!$B$2:$B$3001,$AD450))</f>
        <v/>
      </c>
      <c r="F450">
        <f>IF($AD450="","",INDEX('Per Line'!$D$2:$D$3001,$AD450)&amp;"")</f>
        <v/>
      </c>
      <c r="G450" s="11">
        <f>IF($AD450="","",INDEX('Per Line'!$G$2:$G$3001,$AD450))</f>
        <v/>
      </c>
      <c r="H450">
        <f>IF($AD450="","",INDEX('Per Line'!$J$2:$J$3001,$AD450)&amp;"")</f>
        <v/>
      </c>
      <c r="I450">
        <f>IF($AD450="","",INDEX('Per Line'!$H$2:$H$3001,$AD450)&amp;"")</f>
        <v/>
      </c>
      <c r="J450">
        <f>IF($AD450="","",INDEX('Per Line'!$F$2:$F$3001,$AD450)&amp;"")</f>
        <v/>
      </c>
      <c r="K450">
        <f>IF($AD450="","",INDEX('Per Line'!$K$2:$K$3001,$AD450)&amp;"")</f>
        <v/>
      </c>
      <c r="L450">
        <f>IF($AD450="","",INDEX('Per Line'!$L$2:$L$3001,$AD450)&amp;"")</f>
        <v/>
      </c>
      <c r="M450">
        <f>IF($AD450="","",INDEX('Per Line'!$M$2:$M$3001,$AD450)&amp;"")</f>
        <v/>
      </c>
      <c r="N450">
        <f>IF($AD450="","",INDEX('Per Line'!$AC$2:$AC$3001,$AD450)&amp;"")</f>
        <v/>
      </c>
      <c r="O450">
        <f>IF($AD450="","",INDEX('Per Line'!$P$2:$P$3001,$AD450))</f>
        <v/>
      </c>
      <c r="P450" s="7">
        <f>IF($AD450="","",IF(AND(ISNUMBER(Q450),Q450&gt;0,AB450&gt;Q450),O450*Q450/100+(AB450-Q450),O450*AB450/100))</f>
        <v/>
      </c>
      <c r="Q450">
        <f>IF($AD450="","",INDEX('Per Line'!$AG$2:$AG$3001,$AD450))</f>
        <v/>
      </c>
      <c r="R450">
        <f>IF($AD450="","",IF(AND(ISNUMBER(Q450),Q450&gt;0),AB450&gt;Q450,FALSE))</f>
        <v/>
      </c>
      <c r="S450" s="7">
        <f>IF($AD450="","",SUMIFS('Per Line'!$AB$2:$AB$3001,'Per Line'!$E$2:$E$3001,$B450,'Per Line'!$AQ$2:$AQ$3001,1))</f>
        <v/>
      </c>
      <c r="T450">
        <f>IF($AD450="","",Settings!$C$7)</f>
        <v/>
      </c>
      <c r="U450" s="7">
        <f>IF($AD450="","",SUMIFS('Per Line'!$AB$2:$AB$3001,'Per Line'!$E$2:$E$3001,$B450,'Per Line'!$AP$2:$AP$3001,0,'Per Line'!$AQ$2:$AQ$3001,0))</f>
        <v/>
      </c>
      <c r="V450" s="7">
        <f>IF($AD450="","",U450*T450)</f>
        <v/>
      </c>
      <c r="W450">
        <f>IF($AD450="","",Settings!$C$6)</f>
        <v/>
      </c>
      <c r="X450" s="7">
        <f>IF($AD450="","",SUMIFS('Per Line'!$AB$2:$AB$3001,'Per Line'!$E$2:$E$3001,$B450,'Per Line'!$AP$2:$AP$3001,1,'Per Line'!$AQ$2:$AQ$3001,0))</f>
        <v/>
      </c>
      <c r="Y450" s="7">
        <f>IF($AD450="","",X450*W450)</f>
        <v/>
      </c>
      <c r="Z450" s="7">
        <f>IF($AD450="","",Y450+V450)</f>
        <v/>
      </c>
      <c r="AA450" s="7">
        <f>IF($AD450="","",AB450-Z450)</f>
        <v/>
      </c>
      <c r="AB450" s="7">
        <f>IF($AD450="","",U450+X450+S450)</f>
        <v/>
      </c>
      <c r="AC450" s="7">
        <f>IF($AD450="","",AB450-Z450-P450)</f>
        <v/>
      </c>
      <c r="AD450" s="13">
        <f>IF(ROWS($AD$2:$AD450)&lt;=MAX('Per Line'!$AO$2:$AO$3001),MATCH(ROWS($AD$2:$AD450),'Per Line'!$AO$2:$AO$3001,0),"")</f>
        <v/>
      </c>
      <c r="AE450" s="14">
        <f>IF($AD450="","",P450-O450*AB450/100)</f>
        <v/>
      </c>
    </row>
    <row r="451">
      <c r="A451" s="12" t="n"/>
      <c r="B451">
        <f>IF($AD451="","",INDEX('Per Line'!$E$2:$E$3001,$AD451)&amp;"")</f>
        <v/>
      </c>
      <c r="C451">
        <f>IF($AD451="","",INDEX('Per Line'!$A$2:$A$3001,$AD451)&amp;"")</f>
        <v/>
      </c>
      <c r="D451">
        <f>IF($AD451="","",INDEX('Per Line'!$C$2:$C$3001,$AD451)&amp;"")</f>
        <v/>
      </c>
      <c r="E451">
        <f>IF($AD451="","",INDEX('Per Line'!$B$2:$B$3001,$AD451))</f>
        <v/>
      </c>
      <c r="F451">
        <f>IF($AD451="","",INDEX('Per Line'!$D$2:$D$3001,$AD451)&amp;"")</f>
        <v/>
      </c>
      <c r="G451" s="11">
        <f>IF($AD451="","",INDEX('Per Line'!$G$2:$G$3001,$AD451))</f>
        <v/>
      </c>
      <c r="H451">
        <f>IF($AD451="","",INDEX('Per Line'!$J$2:$J$3001,$AD451)&amp;"")</f>
        <v/>
      </c>
      <c r="I451">
        <f>IF($AD451="","",INDEX('Per Line'!$H$2:$H$3001,$AD451)&amp;"")</f>
        <v/>
      </c>
      <c r="J451">
        <f>IF($AD451="","",INDEX('Per Line'!$F$2:$F$3001,$AD451)&amp;"")</f>
        <v/>
      </c>
      <c r="K451">
        <f>IF($AD451="","",INDEX('Per Line'!$K$2:$K$3001,$AD451)&amp;"")</f>
        <v/>
      </c>
      <c r="L451">
        <f>IF($AD451="","",INDEX('Per Line'!$L$2:$L$3001,$AD451)&amp;"")</f>
        <v/>
      </c>
      <c r="M451">
        <f>IF($AD451="","",INDEX('Per Line'!$M$2:$M$3001,$AD451)&amp;"")</f>
        <v/>
      </c>
      <c r="N451">
        <f>IF($AD451="","",INDEX('Per Line'!$AC$2:$AC$3001,$AD451)&amp;"")</f>
        <v/>
      </c>
      <c r="O451">
        <f>IF($AD451="","",INDEX('Per Line'!$P$2:$P$3001,$AD451))</f>
        <v/>
      </c>
      <c r="P451" s="7">
        <f>IF($AD451="","",IF(AND(ISNUMBER(Q451),Q451&gt;0,AB451&gt;Q451),O451*Q451/100+(AB451-Q451),O451*AB451/100))</f>
        <v/>
      </c>
      <c r="Q451">
        <f>IF($AD451="","",INDEX('Per Line'!$AG$2:$AG$3001,$AD451))</f>
        <v/>
      </c>
      <c r="R451">
        <f>IF($AD451="","",IF(AND(ISNUMBER(Q451),Q451&gt;0),AB451&gt;Q451,FALSE))</f>
        <v/>
      </c>
      <c r="S451" s="7">
        <f>IF($AD451="","",SUMIFS('Per Line'!$AB$2:$AB$3001,'Per Line'!$E$2:$E$3001,$B451,'Per Line'!$AQ$2:$AQ$3001,1))</f>
        <v/>
      </c>
      <c r="T451">
        <f>IF($AD451="","",Settings!$C$7)</f>
        <v/>
      </c>
      <c r="U451" s="7">
        <f>IF($AD451="","",SUMIFS('Per Line'!$AB$2:$AB$3001,'Per Line'!$E$2:$E$3001,$B451,'Per Line'!$AP$2:$AP$3001,0,'Per Line'!$AQ$2:$AQ$3001,0))</f>
        <v/>
      </c>
      <c r="V451" s="7">
        <f>IF($AD451="","",U451*T451)</f>
        <v/>
      </c>
      <c r="W451">
        <f>IF($AD451="","",Settings!$C$6)</f>
        <v/>
      </c>
      <c r="X451" s="7">
        <f>IF($AD451="","",SUMIFS('Per Line'!$AB$2:$AB$3001,'Per Line'!$E$2:$E$3001,$B451,'Per Line'!$AP$2:$AP$3001,1,'Per Line'!$AQ$2:$AQ$3001,0))</f>
        <v/>
      </c>
      <c r="Y451" s="7">
        <f>IF($AD451="","",X451*W451)</f>
        <v/>
      </c>
      <c r="Z451" s="7">
        <f>IF($AD451="","",Y451+V451)</f>
        <v/>
      </c>
      <c r="AA451" s="7">
        <f>IF($AD451="","",AB451-Z451)</f>
        <v/>
      </c>
      <c r="AB451" s="7">
        <f>IF($AD451="","",U451+X451+S451)</f>
        <v/>
      </c>
      <c r="AC451" s="7">
        <f>IF($AD451="","",AB451-Z451-P451)</f>
        <v/>
      </c>
      <c r="AD451" s="13">
        <f>IF(ROWS($AD$2:$AD451)&lt;=MAX('Per Line'!$AO$2:$AO$3001),MATCH(ROWS($AD$2:$AD451),'Per Line'!$AO$2:$AO$3001,0),"")</f>
        <v/>
      </c>
      <c r="AE451" s="14">
        <f>IF($AD451="","",P451-O451*AB451/100)</f>
        <v/>
      </c>
    </row>
    <row r="452">
      <c r="A452" s="12" t="n"/>
      <c r="B452">
        <f>IF($AD452="","",INDEX('Per Line'!$E$2:$E$3001,$AD452)&amp;"")</f>
        <v/>
      </c>
      <c r="C452">
        <f>IF($AD452="","",INDEX('Per Line'!$A$2:$A$3001,$AD452)&amp;"")</f>
        <v/>
      </c>
      <c r="D452">
        <f>IF($AD452="","",INDEX('Per Line'!$C$2:$C$3001,$AD452)&amp;"")</f>
        <v/>
      </c>
      <c r="E452">
        <f>IF($AD452="","",INDEX('Per Line'!$B$2:$B$3001,$AD452))</f>
        <v/>
      </c>
      <c r="F452">
        <f>IF($AD452="","",INDEX('Per Line'!$D$2:$D$3001,$AD452)&amp;"")</f>
        <v/>
      </c>
      <c r="G452" s="11">
        <f>IF($AD452="","",INDEX('Per Line'!$G$2:$G$3001,$AD452))</f>
        <v/>
      </c>
      <c r="H452">
        <f>IF($AD452="","",INDEX('Per Line'!$J$2:$J$3001,$AD452)&amp;"")</f>
        <v/>
      </c>
      <c r="I452">
        <f>IF($AD452="","",INDEX('Per Line'!$H$2:$H$3001,$AD452)&amp;"")</f>
        <v/>
      </c>
      <c r="J452">
        <f>IF($AD452="","",INDEX('Per Line'!$F$2:$F$3001,$AD452)&amp;"")</f>
        <v/>
      </c>
      <c r="K452">
        <f>IF($AD452="","",INDEX('Per Line'!$K$2:$K$3001,$AD452)&amp;"")</f>
        <v/>
      </c>
      <c r="L452">
        <f>IF($AD452="","",INDEX('Per Line'!$L$2:$L$3001,$AD452)&amp;"")</f>
        <v/>
      </c>
      <c r="M452">
        <f>IF($AD452="","",INDEX('Per Line'!$M$2:$M$3001,$AD452)&amp;"")</f>
        <v/>
      </c>
      <c r="N452">
        <f>IF($AD452="","",INDEX('Per Line'!$AC$2:$AC$3001,$AD452)&amp;"")</f>
        <v/>
      </c>
      <c r="O452">
        <f>IF($AD452="","",INDEX('Per Line'!$P$2:$P$3001,$AD452))</f>
        <v/>
      </c>
      <c r="P452" s="7">
        <f>IF($AD452="","",IF(AND(ISNUMBER(Q452),Q452&gt;0,AB452&gt;Q452),O452*Q452/100+(AB452-Q452),O452*AB452/100))</f>
        <v/>
      </c>
      <c r="Q452">
        <f>IF($AD452="","",INDEX('Per Line'!$AG$2:$AG$3001,$AD452))</f>
        <v/>
      </c>
      <c r="R452">
        <f>IF($AD452="","",IF(AND(ISNUMBER(Q452),Q452&gt;0),AB452&gt;Q452,FALSE))</f>
        <v/>
      </c>
      <c r="S452" s="7">
        <f>IF($AD452="","",SUMIFS('Per Line'!$AB$2:$AB$3001,'Per Line'!$E$2:$E$3001,$B452,'Per Line'!$AQ$2:$AQ$3001,1))</f>
        <v/>
      </c>
      <c r="T452">
        <f>IF($AD452="","",Settings!$C$7)</f>
        <v/>
      </c>
      <c r="U452" s="7">
        <f>IF($AD452="","",SUMIFS('Per Line'!$AB$2:$AB$3001,'Per Line'!$E$2:$E$3001,$B452,'Per Line'!$AP$2:$AP$3001,0,'Per Line'!$AQ$2:$AQ$3001,0))</f>
        <v/>
      </c>
      <c r="V452" s="7">
        <f>IF($AD452="","",U452*T452)</f>
        <v/>
      </c>
      <c r="W452">
        <f>IF($AD452="","",Settings!$C$6)</f>
        <v/>
      </c>
      <c r="X452" s="7">
        <f>IF($AD452="","",SUMIFS('Per Line'!$AB$2:$AB$3001,'Per Line'!$E$2:$E$3001,$B452,'Per Line'!$AP$2:$AP$3001,1,'Per Line'!$AQ$2:$AQ$3001,0))</f>
        <v/>
      </c>
      <c r="Y452" s="7">
        <f>IF($AD452="","",X452*W452)</f>
        <v/>
      </c>
      <c r="Z452" s="7">
        <f>IF($AD452="","",Y452+V452)</f>
        <v/>
      </c>
      <c r="AA452" s="7">
        <f>IF($AD452="","",AB452-Z452)</f>
        <v/>
      </c>
      <c r="AB452" s="7">
        <f>IF($AD452="","",U452+X452+S452)</f>
        <v/>
      </c>
      <c r="AC452" s="7">
        <f>IF($AD452="","",AB452-Z452-P452)</f>
        <v/>
      </c>
      <c r="AD452" s="13">
        <f>IF(ROWS($AD$2:$AD452)&lt;=MAX('Per Line'!$AO$2:$AO$3001),MATCH(ROWS($AD$2:$AD452),'Per Line'!$AO$2:$AO$3001,0),"")</f>
        <v/>
      </c>
      <c r="AE452" s="14">
        <f>IF($AD452="","",P452-O452*AB452/100)</f>
        <v/>
      </c>
    </row>
    <row r="453">
      <c r="A453" s="12" t="n"/>
      <c r="B453">
        <f>IF($AD453="","",INDEX('Per Line'!$E$2:$E$3001,$AD453)&amp;"")</f>
        <v/>
      </c>
      <c r="C453">
        <f>IF($AD453="","",INDEX('Per Line'!$A$2:$A$3001,$AD453)&amp;"")</f>
        <v/>
      </c>
      <c r="D453">
        <f>IF($AD453="","",INDEX('Per Line'!$C$2:$C$3001,$AD453)&amp;"")</f>
        <v/>
      </c>
      <c r="E453">
        <f>IF($AD453="","",INDEX('Per Line'!$B$2:$B$3001,$AD453))</f>
        <v/>
      </c>
      <c r="F453">
        <f>IF($AD453="","",INDEX('Per Line'!$D$2:$D$3001,$AD453)&amp;"")</f>
        <v/>
      </c>
      <c r="G453" s="11">
        <f>IF($AD453="","",INDEX('Per Line'!$G$2:$G$3001,$AD453))</f>
        <v/>
      </c>
      <c r="H453">
        <f>IF($AD453="","",INDEX('Per Line'!$J$2:$J$3001,$AD453)&amp;"")</f>
        <v/>
      </c>
      <c r="I453">
        <f>IF($AD453="","",INDEX('Per Line'!$H$2:$H$3001,$AD453)&amp;"")</f>
        <v/>
      </c>
      <c r="J453">
        <f>IF($AD453="","",INDEX('Per Line'!$F$2:$F$3001,$AD453)&amp;"")</f>
        <v/>
      </c>
      <c r="K453">
        <f>IF($AD453="","",INDEX('Per Line'!$K$2:$K$3001,$AD453)&amp;"")</f>
        <v/>
      </c>
      <c r="L453">
        <f>IF($AD453="","",INDEX('Per Line'!$L$2:$L$3001,$AD453)&amp;"")</f>
        <v/>
      </c>
      <c r="M453">
        <f>IF($AD453="","",INDEX('Per Line'!$M$2:$M$3001,$AD453)&amp;"")</f>
        <v/>
      </c>
      <c r="N453">
        <f>IF($AD453="","",INDEX('Per Line'!$AC$2:$AC$3001,$AD453)&amp;"")</f>
        <v/>
      </c>
      <c r="O453">
        <f>IF($AD453="","",INDEX('Per Line'!$P$2:$P$3001,$AD453))</f>
        <v/>
      </c>
      <c r="P453" s="7">
        <f>IF($AD453="","",IF(AND(ISNUMBER(Q453),Q453&gt;0,AB453&gt;Q453),O453*Q453/100+(AB453-Q453),O453*AB453/100))</f>
        <v/>
      </c>
      <c r="Q453">
        <f>IF($AD453="","",INDEX('Per Line'!$AG$2:$AG$3001,$AD453))</f>
        <v/>
      </c>
      <c r="R453">
        <f>IF($AD453="","",IF(AND(ISNUMBER(Q453),Q453&gt;0),AB453&gt;Q453,FALSE))</f>
        <v/>
      </c>
      <c r="S453" s="7">
        <f>IF($AD453="","",SUMIFS('Per Line'!$AB$2:$AB$3001,'Per Line'!$E$2:$E$3001,$B453,'Per Line'!$AQ$2:$AQ$3001,1))</f>
        <v/>
      </c>
      <c r="T453">
        <f>IF($AD453="","",Settings!$C$7)</f>
        <v/>
      </c>
      <c r="U453" s="7">
        <f>IF($AD453="","",SUMIFS('Per Line'!$AB$2:$AB$3001,'Per Line'!$E$2:$E$3001,$B453,'Per Line'!$AP$2:$AP$3001,0,'Per Line'!$AQ$2:$AQ$3001,0))</f>
        <v/>
      </c>
      <c r="V453" s="7">
        <f>IF($AD453="","",U453*T453)</f>
        <v/>
      </c>
      <c r="W453">
        <f>IF($AD453="","",Settings!$C$6)</f>
        <v/>
      </c>
      <c r="X453" s="7">
        <f>IF($AD453="","",SUMIFS('Per Line'!$AB$2:$AB$3001,'Per Line'!$E$2:$E$3001,$B453,'Per Line'!$AP$2:$AP$3001,1,'Per Line'!$AQ$2:$AQ$3001,0))</f>
        <v/>
      </c>
      <c r="Y453" s="7">
        <f>IF($AD453="","",X453*W453)</f>
        <v/>
      </c>
      <c r="Z453" s="7">
        <f>IF($AD453="","",Y453+V453)</f>
        <v/>
      </c>
      <c r="AA453" s="7">
        <f>IF($AD453="","",AB453-Z453)</f>
        <v/>
      </c>
      <c r="AB453" s="7">
        <f>IF($AD453="","",U453+X453+S453)</f>
        <v/>
      </c>
      <c r="AC453" s="7">
        <f>IF($AD453="","",AB453-Z453-P453)</f>
        <v/>
      </c>
      <c r="AD453" s="13">
        <f>IF(ROWS($AD$2:$AD453)&lt;=MAX('Per Line'!$AO$2:$AO$3001),MATCH(ROWS($AD$2:$AD453),'Per Line'!$AO$2:$AO$3001,0),"")</f>
        <v/>
      </c>
      <c r="AE453" s="14">
        <f>IF($AD453="","",P453-O453*AB453/100)</f>
        <v/>
      </c>
    </row>
    <row r="454">
      <c r="A454" s="12" t="n"/>
      <c r="B454">
        <f>IF($AD454="","",INDEX('Per Line'!$E$2:$E$3001,$AD454)&amp;"")</f>
        <v/>
      </c>
      <c r="C454">
        <f>IF($AD454="","",INDEX('Per Line'!$A$2:$A$3001,$AD454)&amp;"")</f>
        <v/>
      </c>
      <c r="D454">
        <f>IF($AD454="","",INDEX('Per Line'!$C$2:$C$3001,$AD454)&amp;"")</f>
        <v/>
      </c>
      <c r="E454">
        <f>IF($AD454="","",INDEX('Per Line'!$B$2:$B$3001,$AD454))</f>
        <v/>
      </c>
      <c r="F454">
        <f>IF($AD454="","",INDEX('Per Line'!$D$2:$D$3001,$AD454)&amp;"")</f>
        <v/>
      </c>
      <c r="G454" s="11">
        <f>IF($AD454="","",INDEX('Per Line'!$G$2:$G$3001,$AD454))</f>
        <v/>
      </c>
      <c r="H454">
        <f>IF($AD454="","",INDEX('Per Line'!$J$2:$J$3001,$AD454)&amp;"")</f>
        <v/>
      </c>
      <c r="I454">
        <f>IF($AD454="","",INDEX('Per Line'!$H$2:$H$3001,$AD454)&amp;"")</f>
        <v/>
      </c>
      <c r="J454">
        <f>IF($AD454="","",INDEX('Per Line'!$F$2:$F$3001,$AD454)&amp;"")</f>
        <v/>
      </c>
      <c r="K454">
        <f>IF($AD454="","",INDEX('Per Line'!$K$2:$K$3001,$AD454)&amp;"")</f>
        <v/>
      </c>
      <c r="L454">
        <f>IF($AD454="","",INDEX('Per Line'!$L$2:$L$3001,$AD454)&amp;"")</f>
        <v/>
      </c>
      <c r="M454">
        <f>IF($AD454="","",INDEX('Per Line'!$M$2:$M$3001,$AD454)&amp;"")</f>
        <v/>
      </c>
      <c r="N454">
        <f>IF($AD454="","",INDEX('Per Line'!$AC$2:$AC$3001,$AD454)&amp;"")</f>
        <v/>
      </c>
      <c r="O454">
        <f>IF($AD454="","",INDEX('Per Line'!$P$2:$P$3001,$AD454))</f>
        <v/>
      </c>
      <c r="P454" s="7">
        <f>IF($AD454="","",IF(AND(ISNUMBER(Q454),Q454&gt;0,AB454&gt;Q454),O454*Q454/100+(AB454-Q454),O454*AB454/100))</f>
        <v/>
      </c>
      <c r="Q454">
        <f>IF($AD454="","",INDEX('Per Line'!$AG$2:$AG$3001,$AD454))</f>
        <v/>
      </c>
      <c r="R454">
        <f>IF($AD454="","",IF(AND(ISNUMBER(Q454),Q454&gt;0),AB454&gt;Q454,FALSE))</f>
        <v/>
      </c>
      <c r="S454" s="7">
        <f>IF($AD454="","",SUMIFS('Per Line'!$AB$2:$AB$3001,'Per Line'!$E$2:$E$3001,$B454,'Per Line'!$AQ$2:$AQ$3001,1))</f>
        <v/>
      </c>
      <c r="T454">
        <f>IF($AD454="","",Settings!$C$7)</f>
        <v/>
      </c>
      <c r="U454" s="7">
        <f>IF($AD454="","",SUMIFS('Per Line'!$AB$2:$AB$3001,'Per Line'!$E$2:$E$3001,$B454,'Per Line'!$AP$2:$AP$3001,0,'Per Line'!$AQ$2:$AQ$3001,0))</f>
        <v/>
      </c>
      <c r="V454" s="7">
        <f>IF($AD454="","",U454*T454)</f>
        <v/>
      </c>
      <c r="W454">
        <f>IF($AD454="","",Settings!$C$6)</f>
        <v/>
      </c>
      <c r="X454" s="7">
        <f>IF($AD454="","",SUMIFS('Per Line'!$AB$2:$AB$3001,'Per Line'!$E$2:$E$3001,$B454,'Per Line'!$AP$2:$AP$3001,1,'Per Line'!$AQ$2:$AQ$3001,0))</f>
        <v/>
      </c>
      <c r="Y454" s="7">
        <f>IF($AD454="","",X454*W454)</f>
        <v/>
      </c>
      <c r="Z454" s="7">
        <f>IF($AD454="","",Y454+V454)</f>
        <v/>
      </c>
      <c r="AA454" s="7">
        <f>IF($AD454="","",AB454-Z454)</f>
        <v/>
      </c>
      <c r="AB454" s="7">
        <f>IF($AD454="","",U454+X454+S454)</f>
        <v/>
      </c>
      <c r="AC454" s="7">
        <f>IF($AD454="","",AB454-Z454-P454)</f>
        <v/>
      </c>
      <c r="AD454" s="13">
        <f>IF(ROWS($AD$2:$AD454)&lt;=MAX('Per Line'!$AO$2:$AO$3001),MATCH(ROWS($AD$2:$AD454),'Per Line'!$AO$2:$AO$3001,0),"")</f>
        <v/>
      </c>
      <c r="AE454" s="14">
        <f>IF($AD454="","",P454-O454*AB454/100)</f>
        <v/>
      </c>
    </row>
    <row r="455">
      <c r="A455" s="12" t="n"/>
      <c r="B455">
        <f>IF($AD455="","",INDEX('Per Line'!$E$2:$E$3001,$AD455)&amp;"")</f>
        <v/>
      </c>
      <c r="C455">
        <f>IF($AD455="","",INDEX('Per Line'!$A$2:$A$3001,$AD455)&amp;"")</f>
        <v/>
      </c>
      <c r="D455">
        <f>IF($AD455="","",INDEX('Per Line'!$C$2:$C$3001,$AD455)&amp;"")</f>
        <v/>
      </c>
      <c r="E455">
        <f>IF($AD455="","",INDEX('Per Line'!$B$2:$B$3001,$AD455))</f>
        <v/>
      </c>
      <c r="F455">
        <f>IF($AD455="","",INDEX('Per Line'!$D$2:$D$3001,$AD455)&amp;"")</f>
        <v/>
      </c>
      <c r="G455" s="11">
        <f>IF($AD455="","",INDEX('Per Line'!$G$2:$G$3001,$AD455))</f>
        <v/>
      </c>
      <c r="H455">
        <f>IF($AD455="","",INDEX('Per Line'!$J$2:$J$3001,$AD455)&amp;"")</f>
        <v/>
      </c>
      <c r="I455">
        <f>IF($AD455="","",INDEX('Per Line'!$H$2:$H$3001,$AD455)&amp;"")</f>
        <v/>
      </c>
      <c r="J455">
        <f>IF($AD455="","",INDEX('Per Line'!$F$2:$F$3001,$AD455)&amp;"")</f>
        <v/>
      </c>
      <c r="K455">
        <f>IF($AD455="","",INDEX('Per Line'!$K$2:$K$3001,$AD455)&amp;"")</f>
        <v/>
      </c>
      <c r="L455">
        <f>IF($AD455="","",INDEX('Per Line'!$L$2:$L$3001,$AD455)&amp;"")</f>
        <v/>
      </c>
      <c r="M455">
        <f>IF($AD455="","",INDEX('Per Line'!$M$2:$M$3001,$AD455)&amp;"")</f>
        <v/>
      </c>
      <c r="N455">
        <f>IF($AD455="","",INDEX('Per Line'!$AC$2:$AC$3001,$AD455)&amp;"")</f>
        <v/>
      </c>
      <c r="O455">
        <f>IF($AD455="","",INDEX('Per Line'!$P$2:$P$3001,$AD455))</f>
        <v/>
      </c>
      <c r="P455" s="7">
        <f>IF($AD455="","",IF(AND(ISNUMBER(Q455),Q455&gt;0,AB455&gt;Q455),O455*Q455/100+(AB455-Q455),O455*AB455/100))</f>
        <v/>
      </c>
      <c r="Q455">
        <f>IF($AD455="","",INDEX('Per Line'!$AG$2:$AG$3001,$AD455))</f>
        <v/>
      </c>
      <c r="R455">
        <f>IF($AD455="","",IF(AND(ISNUMBER(Q455),Q455&gt;0),AB455&gt;Q455,FALSE))</f>
        <v/>
      </c>
      <c r="S455" s="7">
        <f>IF($AD455="","",SUMIFS('Per Line'!$AB$2:$AB$3001,'Per Line'!$E$2:$E$3001,$B455,'Per Line'!$AQ$2:$AQ$3001,1))</f>
        <v/>
      </c>
      <c r="T455">
        <f>IF($AD455="","",Settings!$C$7)</f>
        <v/>
      </c>
      <c r="U455" s="7">
        <f>IF($AD455="","",SUMIFS('Per Line'!$AB$2:$AB$3001,'Per Line'!$E$2:$E$3001,$B455,'Per Line'!$AP$2:$AP$3001,0,'Per Line'!$AQ$2:$AQ$3001,0))</f>
        <v/>
      </c>
      <c r="V455" s="7">
        <f>IF($AD455="","",U455*T455)</f>
        <v/>
      </c>
      <c r="W455">
        <f>IF($AD455="","",Settings!$C$6)</f>
        <v/>
      </c>
      <c r="X455" s="7">
        <f>IF($AD455="","",SUMIFS('Per Line'!$AB$2:$AB$3001,'Per Line'!$E$2:$E$3001,$B455,'Per Line'!$AP$2:$AP$3001,1,'Per Line'!$AQ$2:$AQ$3001,0))</f>
        <v/>
      </c>
      <c r="Y455" s="7">
        <f>IF($AD455="","",X455*W455)</f>
        <v/>
      </c>
      <c r="Z455" s="7">
        <f>IF($AD455="","",Y455+V455)</f>
        <v/>
      </c>
      <c r="AA455" s="7">
        <f>IF($AD455="","",AB455-Z455)</f>
        <v/>
      </c>
      <c r="AB455" s="7">
        <f>IF($AD455="","",U455+X455+S455)</f>
        <v/>
      </c>
      <c r="AC455" s="7">
        <f>IF($AD455="","",AB455-Z455-P455)</f>
        <v/>
      </c>
      <c r="AD455" s="13">
        <f>IF(ROWS($AD$2:$AD455)&lt;=MAX('Per Line'!$AO$2:$AO$3001),MATCH(ROWS($AD$2:$AD455),'Per Line'!$AO$2:$AO$3001,0),"")</f>
        <v/>
      </c>
      <c r="AE455" s="14">
        <f>IF($AD455="","",P455-O455*AB455/100)</f>
        <v/>
      </c>
    </row>
    <row r="456">
      <c r="A456" s="12" t="n"/>
      <c r="B456">
        <f>IF($AD456="","",INDEX('Per Line'!$E$2:$E$3001,$AD456)&amp;"")</f>
        <v/>
      </c>
      <c r="C456">
        <f>IF($AD456="","",INDEX('Per Line'!$A$2:$A$3001,$AD456)&amp;"")</f>
        <v/>
      </c>
      <c r="D456">
        <f>IF($AD456="","",INDEX('Per Line'!$C$2:$C$3001,$AD456)&amp;"")</f>
        <v/>
      </c>
      <c r="E456">
        <f>IF($AD456="","",INDEX('Per Line'!$B$2:$B$3001,$AD456))</f>
        <v/>
      </c>
      <c r="F456">
        <f>IF($AD456="","",INDEX('Per Line'!$D$2:$D$3001,$AD456)&amp;"")</f>
        <v/>
      </c>
      <c r="G456" s="11">
        <f>IF($AD456="","",INDEX('Per Line'!$G$2:$G$3001,$AD456))</f>
        <v/>
      </c>
      <c r="H456">
        <f>IF($AD456="","",INDEX('Per Line'!$J$2:$J$3001,$AD456)&amp;"")</f>
        <v/>
      </c>
      <c r="I456">
        <f>IF($AD456="","",INDEX('Per Line'!$H$2:$H$3001,$AD456)&amp;"")</f>
        <v/>
      </c>
      <c r="J456">
        <f>IF($AD456="","",INDEX('Per Line'!$F$2:$F$3001,$AD456)&amp;"")</f>
        <v/>
      </c>
      <c r="K456">
        <f>IF($AD456="","",INDEX('Per Line'!$K$2:$K$3001,$AD456)&amp;"")</f>
        <v/>
      </c>
      <c r="L456">
        <f>IF($AD456="","",INDEX('Per Line'!$L$2:$L$3001,$AD456)&amp;"")</f>
        <v/>
      </c>
      <c r="M456">
        <f>IF($AD456="","",INDEX('Per Line'!$M$2:$M$3001,$AD456)&amp;"")</f>
        <v/>
      </c>
      <c r="N456">
        <f>IF($AD456="","",INDEX('Per Line'!$AC$2:$AC$3001,$AD456)&amp;"")</f>
        <v/>
      </c>
      <c r="O456">
        <f>IF($AD456="","",INDEX('Per Line'!$P$2:$P$3001,$AD456))</f>
        <v/>
      </c>
      <c r="P456" s="7">
        <f>IF($AD456="","",IF(AND(ISNUMBER(Q456),Q456&gt;0,AB456&gt;Q456),O456*Q456/100+(AB456-Q456),O456*AB456/100))</f>
        <v/>
      </c>
      <c r="Q456">
        <f>IF($AD456="","",INDEX('Per Line'!$AG$2:$AG$3001,$AD456))</f>
        <v/>
      </c>
      <c r="R456">
        <f>IF($AD456="","",IF(AND(ISNUMBER(Q456),Q456&gt;0),AB456&gt;Q456,FALSE))</f>
        <v/>
      </c>
      <c r="S456" s="7">
        <f>IF($AD456="","",SUMIFS('Per Line'!$AB$2:$AB$3001,'Per Line'!$E$2:$E$3001,$B456,'Per Line'!$AQ$2:$AQ$3001,1))</f>
        <v/>
      </c>
      <c r="T456">
        <f>IF($AD456="","",Settings!$C$7)</f>
        <v/>
      </c>
      <c r="U456" s="7">
        <f>IF($AD456="","",SUMIFS('Per Line'!$AB$2:$AB$3001,'Per Line'!$E$2:$E$3001,$B456,'Per Line'!$AP$2:$AP$3001,0,'Per Line'!$AQ$2:$AQ$3001,0))</f>
        <v/>
      </c>
      <c r="V456" s="7">
        <f>IF($AD456="","",U456*T456)</f>
        <v/>
      </c>
      <c r="W456">
        <f>IF($AD456="","",Settings!$C$6)</f>
        <v/>
      </c>
      <c r="X456" s="7">
        <f>IF($AD456="","",SUMIFS('Per Line'!$AB$2:$AB$3001,'Per Line'!$E$2:$E$3001,$B456,'Per Line'!$AP$2:$AP$3001,1,'Per Line'!$AQ$2:$AQ$3001,0))</f>
        <v/>
      </c>
      <c r="Y456" s="7">
        <f>IF($AD456="","",X456*W456)</f>
        <v/>
      </c>
      <c r="Z456" s="7">
        <f>IF($AD456="","",Y456+V456)</f>
        <v/>
      </c>
      <c r="AA456" s="7">
        <f>IF($AD456="","",AB456-Z456)</f>
        <v/>
      </c>
      <c r="AB456" s="7">
        <f>IF($AD456="","",U456+X456+S456)</f>
        <v/>
      </c>
      <c r="AC456" s="7">
        <f>IF($AD456="","",AB456-Z456-P456)</f>
        <v/>
      </c>
      <c r="AD456" s="13">
        <f>IF(ROWS($AD$2:$AD456)&lt;=MAX('Per Line'!$AO$2:$AO$3001),MATCH(ROWS($AD$2:$AD456),'Per Line'!$AO$2:$AO$3001,0),"")</f>
        <v/>
      </c>
      <c r="AE456" s="14">
        <f>IF($AD456="","",P456-O456*AB456/100)</f>
        <v/>
      </c>
    </row>
    <row r="457">
      <c r="A457" s="12" t="n"/>
      <c r="B457">
        <f>IF($AD457="","",INDEX('Per Line'!$E$2:$E$3001,$AD457)&amp;"")</f>
        <v/>
      </c>
      <c r="C457">
        <f>IF($AD457="","",INDEX('Per Line'!$A$2:$A$3001,$AD457)&amp;"")</f>
        <v/>
      </c>
      <c r="D457">
        <f>IF($AD457="","",INDEX('Per Line'!$C$2:$C$3001,$AD457)&amp;"")</f>
        <v/>
      </c>
      <c r="E457">
        <f>IF($AD457="","",INDEX('Per Line'!$B$2:$B$3001,$AD457))</f>
        <v/>
      </c>
      <c r="F457">
        <f>IF($AD457="","",INDEX('Per Line'!$D$2:$D$3001,$AD457)&amp;"")</f>
        <v/>
      </c>
      <c r="G457" s="11">
        <f>IF($AD457="","",INDEX('Per Line'!$G$2:$G$3001,$AD457))</f>
        <v/>
      </c>
      <c r="H457">
        <f>IF($AD457="","",INDEX('Per Line'!$J$2:$J$3001,$AD457)&amp;"")</f>
        <v/>
      </c>
      <c r="I457">
        <f>IF($AD457="","",INDEX('Per Line'!$H$2:$H$3001,$AD457)&amp;"")</f>
        <v/>
      </c>
      <c r="J457">
        <f>IF($AD457="","",INDEX('Per Line'!$F$2:$F$3001,$AD457)&amp;"")</f>
        <v/>
      </c>
      <c r="K457">
        <f>IF($AD457="","",INDEX('Per Line'!$K$2:$K$3001,$AD457)&amp;"")</f>
        <v/>
      </c>
      <c r="L457">
        <f>IF($AD457="","",INDEX('Per Line'!$L$2:$L$3001,$AD457)&amp;"")</f>
        <v/>
      </c>
      <c r="M457">
        <f>IF($AD457="","",INDEX('Per Line'!$M$2:$M$3001,$AD457)&amp;"")</f>
        <v/>
      </c>
      <c r="N457">
        <f>IF($AD457="","",INDEX('Per Line'!$AC$2:$AC$3001,$AD457)&amp;"")</f>
        <v/>
      </c>
      <c r="O457">
        <f>IF($AD457="","",INDEX('Per Line'!$P$2:$P$3001,$AD457))</f>
        <v/>
      </c>
      <c r="P457" s="7">
        <f>IF($AD457="","",IF(AND(ISNUMBER(Q457),Q457&gt;0,AB457&gt;Q457),O457*Q457/100+(AB457-Q457),O457*AB457/100))</f>
        <v/>
      </c>
      <c r="Q457">
        <f>IF($AD457="","",INDEX('Per Line'!$AG$2:$AG$3001,$AD457))</f>
        <v/>
      </c>
      <c r="R457">
        <f>IF($AD457="","",IF(AND(ISNUMBER(Q457),Q457&gt;0),AB457&gt;Q457,FALSE))</f>
        <v/>
      </c>
      <c r="S457" s="7">
        <f>IF($AD457="","",SUMIFS('Per Line'!$AB$2:$AB$3001,'Per Line'!$E$2:$E$3001,$B457,'Per Line'!$AQ$2:$AQ$3001,1))</f>
        <v/>
      </c>
      <c r="T457">
        <f>IF($AD457="","",Settings!$C$7)</f>
        <v/>
      </c>
      <c r="U457" s="7">
        <f>IF($AD457="","",SUMIFS('Per Line'!$AB$2:$AB$3001,'Per Line'!$E$2:$E$3001,$B457,'Per Line'!$AP$2:$AP$3001,0,'Per Line'!$AQ$2:$AQ$3001,0))</f>
        <v/>
      </c>
      <c r="V457" s="7">
        <f>IF($AD457="","",U457*T457)</f>
        <v/>
      </c>
      <c r="W457">
        <f>IF($AD457="","",Settings!$C$6)</f>
        <v/>
      </c>
      <c r="X457" s="7">
        <f>IF($AD457="","",SUMIFS('Per Line'!$AB$2:$AB$3001,'Per Line'!$E$2:$E$3001,$B457,'Per Line'!$AP$2:$AP$3001,1,'Per Line'!$AQ$2:$AQ$3001,0))</f>
        <v/>
      </c>
      <c r="Y457" s="7">
        <f>IF($AD457="","",X457*W457)</f>
        <v/>
      </c>
      <c r="Z457" s="7">
        <f>IF($AD457="","",Y457+V457)</f>
        <v/>
      </c>
      <c r="AA457" s="7">
        <f>IF($AD457="","",AB457-Z457)</f>
        <v/>
      </c>
      <c r="AB457" s="7">
        <f>IF($AD457="","",U457+X457+S457)</f>
        <v/>
      </c>
      <c r="AC457" s="7">
        <f>IF($AD457="","",AB457-Z457-P457)</f>
        <v/>
      </c>
      <c r="AD457" s="13">
        <f>IF(ROWS($AD$2:$AD457)&lt;=MAX('Per Line'!$AO$2:$AO$3001),MATCH(ROWS($AD$2:$AD457),'Per Line'!$AO$2:$AO$3001,0),"")</f>
        <v/>
      </c>
      <c r="AE457" s="14">
        <f>IF($AD457="","",P457-O457*AB457/100)</f>
        <v/>
      </c>
    </row>
    <row r="458">
      <c r="A458" s="12" t="n"/>
      <c r="B458">
        <f>IF($AD458="","",INDEX('Per Line'!$E$2:$E$3001,$AD458)&amp;"")</f>
        <v/>
      </c>
      <c r="C458">
        <f>IF($AD458="","",INDEX('Per Line'!$A$2:$A$3001,$AD458)&amp;"")</f>
        <v/>
      </c>
      <c r="D458">
        <f>IF($AD458="","",INDEX('Per Line'!$C$2:$C$3001,$AD458)&amp;"")</f>
        <v/>
      </c>
      <c r="E458">
        <f>IF($AD458="","",INDEX('Per Line'!$B$2:$B$3001,$AD458))</f>
        <v/>
      </c>
      <c r="F458">
        <f>IF($AD458="","",INDEX('Per Line'!$D$2:$D$3001,$AD458)&amp;"")</f>
        <v/>
      </c>
      <c r="G458" s="11">
        <f>IF($AD458="","",INDEX('Per Line'!$G$2:$G$3001,$AD458))</f>
        <v/>
      </c>
      <c r="H458">
        <f>IF($AD458="","",INDEX('Per Line'!$J$2:$J$3001,$AD458)&amp;"")</f>
        <v/>
      </c>
      <c r="I458">
        <f>IF($AD458="","",INDEX('Per Line'!$H$2:$H$3001,$AD458)&amp;"")</f>
        <v/>
      </c>
      <c r="J458">
        <f>IF($AD458="","",INDEX('Per Line'!$F$2:$F$3001,$AD458)&amp;"")</f>
        <v/>
      </c>
      <c r="K458">
        <f>IF($AD458="","",INDEX('Per Line'!$K$2:$K$3001,$AD458)&amp;"")</f>
        <v/>
      </c>
      <c r="L458">
        <f>IF($AD458="","",INDEX('Per Line'!$L$2:$L$3001,$AD458)&amp;"")</f>
        <v/>
      </c>
      <c r="M458">
        <f>IF($AD458="","",INDEX('Per Line'!$M$2:$M$3001,$AD458)&amp;"")</f>
        <v/>
      </c>
      <c r="N458">
        <f>IF($AD458="","",INDEX('Per Line'!$AC$2:$AC$3001,$AD458)&amp;"")</f>
        <v/>
      </c>
      <c r="O458">
        <f>IF($AD458="","",INDEX('Per Line'!$P$2:$P$3001,$AD458))</f>
        <v/>
      </c>
      <c r="P458" s="7">
        <f>IF($AD458="","",IF(AND(ISNUMBER(Q458),Q458&gt;0,AB458&gt;Q458),O458*Q458/100+(AB458-Q458),O458*AB458/100))</f>
        <v/>
      </c>
      <c r="Q458">
        <f>IF($AD458="","",INDEX('Per Line'!$AG$2:$AG$3001,$AD458))</f>
        <v/>
      </c>
      <c r="R458">
        <f>IF($AD458="","",IF(AND(ISNUMBER(Q458),Q458&gt;0),AB458&gt;Q458,FALSE))</f>
        <v/>
      </c>
      <c r="S458" s="7">
        <f>IF($AD458="","",SUMIFS('Per Line'!$AB$2:$AB$3001,'Per Line'!$E$2:$E$3001,$B458,'Per Line'!$AQ$2:$AQ$3001,1))</f>
        <v/>
      </c>
      <c r="T458">
        <f>IF($AD458="","",Settings!$C$7)</f>
        <v/>
      </c>
      <c r="U458" s="7">
        <f>IF($AD458="","",SUMIFS('Per Line'!$AB$2:$AB$3001,'Per Line'!$E$2:$E$3001,$B458,'Per Line'!$AP$2:$AP$3001,0,'Per Line'!$AQ$2:$AQ$3001,0))</f>
        <v/>
      </c>
      <c r="V458" s="7">
        <f>IF($AD458="","",U458*T458)</f>
        <v/>
      </c>
      <c r="W458">
        <f>IF($AD458="","",Settings!$C$6)</f>
        <v/>
      </c>
      <c r="X458" s="7">
        <f>IF($AD458="","",SUMIFS('Per Line'!$AB$2:$AB$3001,'Per Line'!$E$2:$E$3001,$B458,'Per Line'!$AP$2:$AP$3001,1,'Per Line'!$AQ$2:$AQ$3001,0))</f>
        <v/>
      </c>
      <c r="Y458" s="7">
        <f>IF($AD458="","",X458*W458)</f>
        <v/>
      </c>
      <c r="Z458" s="7">
        <f>IF($AD458="","",Y458+V458)</f>
        <v/>
      </c>
      <c r="AA458" s="7">
        <f>IF($AD458="","",AB458-Z458)</f>
        <v/>
      </c>
      <c r="AB458" s="7">
        <f>IF($AD458="","",U458+X458+S458)</f>
        <v/>
      </c>
      <c r="AC458" s="7">
        <f>IF($AD458="","",AB458-Z458-P458)</f>
        <v/>
      </c>
      <c r="AD458" s="13">
        <f>IF(ROWS($AD$2:$AD458)&lt;=MAX('Per Line'!$AO$2:$AO$3001),MATCH(ROWS($AD$2:$AD458),'Per Line'!$AO$2:$AO$3001,0),"")</f>
        <v/>
      </c>
      <c r="AE458" s="14">
        <f>IF($AD458="","",P458-O458*AB458/100)</f>
        <v/>
      </c>
    </row>
    <row r="459">
      <c r="A459" s="12" t="n"/>
      <c r="B459">
        <f>IF($AD459="","",INDEX('Per Line'!$E$2:$E$3001,$AD459)&amp;"")</f>
        <v/>
      </c>
      <c r="C459">
        <f>IF($AD459="","",INDEX('Per Line'!$A$2:$A$3001,$AD459)&amp;"")</f>
        <v/>
      </c>
      <c r="D459">
        <f>IF($AD459="","",INDEX('Per Line'!$C$2:$C$3001,$AD459)&amp;"")</f>
        <v/>
      </c>
      <c r="E459">
        <f>IF($AD459="","",INDEX('Per Line'!$B$2:$B$3001,$AD459))</f>
        <v/>
      </c>
      <c r="F459">
        <f>IF($AD459="","",INDEX('Per Line'!$D$2:$D$3001,$AD459)&amp;"")</f>
        <v/>
      </c>
      <c r="G459" s="11">
        <f>IF($AD459="","",INDEX('Per Line'!$G$2:$G$3001,$AD459))</f>
        <v/>
      </c>
      <c r="H459">
        <f>IF($AD459="","",INDEX('Per Line'!$J$2:$J$3001,$AD459)&amp;"")</f>
        <v/>
      </c>
      <c r="I459">
        <f>IF($AD459="","",INDEX('Per Line'!$H$2:$H$3001,$AD459)&amp;"")</f>
        <v/>
      </c>
      <c r="J459">
        <f>IF($AD459="","",INDEX('Per Line'!$F$2:$F$3001,$AD459)&amp;"")</f>
        <v/>
      </c>
      <c r="K459">
        <f>IF($AD459="","",INDEX('Per Line'!$K$2:$K$3001,$AD459)&amp;"")</f>
        <v/>
      </c>
      <c r="L459">
        <f>IF($AD459="","",INDEX('Per Line'!$L$2:$L$3001,$AD459)&amp;"")</f>
        <v/>
      </c>
      <c r="M459">
        <f>IF($AD459="","",INDEX('Per Line'!$M$2:$M$3001,$AD459)&amp;"")</f>
        <v/>
      </c>
      <c r="N459">
        <f>IF($AD459="","",INDEX('Per Line'!$AC$2:$AC$3001,$AD459)&amp;"")</f>
        <v/>
      </c>
      <c r="O459">
        <f>IF($AD459="","",INDEX('Per Line'!$P$2:$P$3001,$AD459))</f>
        <v/>
      </c>
      <c r="P459" s="7">
        <f>IF($AD459="","",IF(AND(ISNUMBER(Q459),Q459&gt;0,AB459&gt;Q459),O459*Q459/100+(AB459-Q459),O459*AB459/100))</f>
        <v/>
      </c>
      <c r="Q459">
        <f>IF($AD459="","",INDEX('Per Line'!$AG$2:$AG$3001,$AD459))</f>
        <v/>
      </c>
      <c r="R459">
        <f>IF($AD459="","",IF(AND(ISNUMBER(Q459),Q459&gt;0),AB459&gt;Q459,FALSE))</f>
        <v/>
      </c>
      <c r="S459" s="7">
        <f>IF($AD459="","",SUMIFS('Per Line'!$AB$2:$AB$3001,'Per Line'!$E$2:$E$3001,$B459,'Per Line'!$AQ$2:$AQ$3001,1))</f>
        <v/>
      </c>
      <c r="T459">
        <f>IF($AD459="","",Settings!$C$7)</f>
        <v/>
      </c>
      <c r="U459" s="7">
        <f>IF($AD459="","",SUMIFS('Per Line'!$AB$2:$AB$3001,'Per Line'!$E$2:$E$3001,$B459,'Per Line'!$AP$2:$AP$3001,0,'Per Line'!$AQ$2:$AQ$3001,0))</f>
        <v/>
      </c>
      <c r="V459" s="7">
        <f>IF($AD459="","",U459*T459)</f>
        <v/>
      </c>
      <c r="W459">
        <f>IF($AD459="","",Settings!$C$6)</f>
        <v/>
      </c>
      <c r="X459" s="7">
        <f>IF($AD459="","",SUMIFS('Per Line'!$AB$2:$AB$3001,'Per Line'!$E$2:$E$3001,$B459,'Per Line'!$AP$2:$AP$3001,1,'Per Line'!$AQ$2:$AQ$3001,0))</f>
        <v/>
      </c>
      <c r="Y459" s="7">
        <f>IF($AD459="","",X459*W459)</f>
        <v/>
      </c>
      <c r="Z459" s="7">
        <f>IF($AD459="","",Y459+V459)</f>
        <v/>
      </c>
      <c r="AA459" s="7">
        <f>IF($AD459="","",AB459-Z459)</f>
        <v/>
      </c>
      <c r="AB459" s="7">
        <f>IF($AD459="","",U459+X459+S459)</f>
        <v/>
      </c>
      <c r="AC459" s="7">
        <f>IF($AD459="","",AB459-Z459-P459)</f>
        <v/>
      </c>
      <c r="AD459" s="13">
        <f>IF(ROWS($AD$2:$AD459)&lt;=MAX('Per Line'!$AO$2:$AO$3001),MATCH(ROWS($AD$2:$AD459),'Per Line'!$AO$2:$AO$3001,0),"")</f>
        <v/>
      </c>
      <c r="AE459" s="14">
        <f>IF($AD459="","",P459-O459*AB459/100)</f>
        <v/>
      </c>
    </row>
    <row r="460">
      <c r="A460" s="12" t="n"/>
      <c r="B460">
        <f>IF($AD460="","",INDEX('Per Line'!$E$2:$E$3001,$AD460)&amp;"")</f>
        <v/>
      </c>
      <c r="C460">
        <f>IF($AD460="","",INDEX('Per Line'!$A$2:$A$3001,$AD460)&amp;"")</f>
        <v/>
      </c>
      <c r="D460">
        <f>IF($AD460="","",INDEX('Per Line'!$C$2:$C$3001,$AD460)&amp;"")</f>
        <v/>
      </c>
      <c r="E460">
        <f>IF($AD460="","",INDEX('Per Line'!$B$2:$B$3001,$AD460))</f>
        <v/>
      </c>
      <c r="F460">
        <f>IF($AD460="","",INDEX('Per Line'!$D$2:$D$3001,$AD460)&amp;"")</f>
        <v/>
      </c>
      <c r="G460" s="11">
        <f>IF($AD460="","",INDEX('Per Line'!$G$2:$G$3001,$AD460))</f>
        <v/>
      </c>
      <c r="H460">
        <f>IF($AD460="","",INDEX('Per Line'!$J$2:$J$3001,$AD460)&amp;"")</f>
        <v/>
      </c>
      <c r="I460">
        <f>IF($AD460="","",INDEX('Per Line'!$H$2:$H$3001,$AD460)&amp;"")</f>
        <v/>
      </c>
      <c r="J460">
        <f>IF($AD460="","",INDEX('Per Line'!$F$2:$F$3001,$AD460)&amp;"")</f>
        <v/>
      </c>
      <c r="K460">
        <f>IF($AD460="","",INDEX('Per Line'!$K$2:$K$3001,$AD460)&amp;"")</f>
        <v/>
      </c>
      <c r="L460">
        <f>IF($AD460="","",INDEX('Per Line'!$L$2:$L$3001,$AD460)&amp;"")</f>
        <v/>
      </c>
      <c r="M460">
        <f>IF($AD460="","",INDEX('Per Line'!$M$2:$M$3001,$AD460)&amp;"")</f>
        <v/>
      </c>
      <c r="N460">
        <f>IF($AD460="","",INDEX('Per Line'!$AC$2:$AC$3001,$AD460)&amp;"")</f>
        <v/>
      </c>
      <c r="O460">
        <f>IF($AD460="","",INDEX('Per Line'!$P$2:$P$3001,$AD460))</f>
        <v/>
      </c>
      <c r="P460" s="7">
        <f>IF($AD460="","",IF(AND(ISNUMBER(Q460),Q460&gt;0,AB460&gt;Q460),O460*Q460/100+(AB460-Q460),O460*AB460/100))</f>
        <v/>
      </c>
      <c r="Q460">
        <f>IF($AD460="","",INDEX('Per Line'!$AG$2:$AG$3001,$AD460))</f>
        <v/>
      </c>
      <c r="R460">
        <f>IF($AD460="","",IF(AND(ISNUMBER(Q460),Q460&gt;0),AB460&gt;Q460,FALSE))</f>
        <v/>
      </c>
      <c r="S460" s="7">
        <f>IF($AD460="","",SUMIFS('Per Line'!$AB$2:$AB$3001,'Per Line'!$E$2:$E$3001,$B460,'Per Line'!$AQ$2:$AQ$3001,1))</f>
        <v/>
      </c>
      <c r="T460">
        <f>IF($AD460="","",Settings!$C$7)</f>
        <v/>
      </c>
      <c r="U460" s="7">
        <f>IF($AD460="","",SUMIFS('Per Line'!$AB$2:$AB$3001,'Per Line'!$E$2:$E$3001,$B460,'Per Line'!$AP$2:$AP$3001,0,'Per Line'!$AQ$2:$AQ$3001,0))</f>
        <v/>
      </c>
      <c r="V460" s="7">
        <f>IF($AD460="","",U460*T460)</f>
        <v/>
      </c>
      <c r="W460">
        <f>IF($AD460="","",Settings!$C$6)</f>
        <v/>
      </c>
      <c r="X460" s="7">
        <f>IF($AD460="","",SUMIFS('Per Line'!$AB$2:$AB$3001,'Per Line'!$E$2:$E$3001,$B460,'Per Line'!$AP$2:$AP$3001,1,'Per Line'!$AQ$2:$AQ$3001,0))</f>
        <v/>
      </c>
      <c r="Y460" s="7">
        <f>IF($AD460="","",X460*W460)</f>
        <v/>
      </c>
      <c r="Z460" s="7">
        <f>IF($AD460="","",Y460+V460)</f>
        <v/>
      </c>
      <c r="AA460" s="7">
        <f>IF($AD460="","",AB460-Z460)</f>
        <v/>
      </c>
      <c r="AB460" s="7">
        <f>IF($AD460="","",U460+X460+S460)</f>
        <v/>
      </c>
      <c r="AC460" s="7">
        <f>IF($AD460="","",AB460-Z460-P460)</f>
        <v/>
      </c>
      <c r="AD460" s="13">
        <f>IF(ROWS($AD$2:$AD460)&lt;=MAX('Per Line'!$AO$2:$AO$3001),MATCH(ROWS($AD$2:$AD460),'Per Line'!$AO$2:$AO$3001,0),"")</f>
        <v/>
      </c>
      <c r="AE460" s="14">
        <f>IF($AD460="","",P460-O460*AB460/100)</f>
        <v/>
      </c>
    </row>
    <row r="461">
      <c r="A461" s="12" t="n"/>
      <c r="B461">
        <f>IF($AD461="","",INDEX('Per Line'!$E$2:$E$3001,$AD461)&amp;"")</f>
        <v/>
      </c>
      <c r="C461">
        <f>IF($AD461="","",INDEX('Per Line'!$A$2:$A$3001,$AD461)&amp;"")</f>
        <v/>
      </c>
      <c r="D461">
        <f>IF($AD461="","",INDEX('Per Line'!$C$2:$C$3001,$AD461)&amp;"")</f>
        <v/>
      </c>
      <c r="E461">
        <f>IF($AD461="","",INDEX('Per Line'!$B$2:$B$3001,$AD461))</f>
        <v/>
      </c>
      <c r="F461">
        <f>IF($AD461="","",INDEX('Per Line'!$D$2:$D$3001,$AD461)&amp;"")</f>
        <v/>
      </c>
      <c r="G461" s="11">
        <f>IF($AD461="","",INDEX('Per Line'!$G$2:$G$3001,$AD461))</f>
        <v/>
      </c>
      <c r="H461">
        <f>IF($AD461="","",INDEX('Per Line'!$J$2:$J$3001,$AD461)&amp;"")</f>
        <v/>
      </c>
      <c r="I461">
        <f>IF($AD461="","",INDEX('Per Line'!$H$2:$H$3001,$AD461)&amp;"")</f>
        <v/>
      </c>
      <c r="J461">
        <f>IF($AD461="","",INDEX('Per Line'!$F$2:$F$3001,$AD461)&amp;"")</f>
        <v/>
      </c>
      <c r="K461">
        <f>IF($AD461="","",INDEX('Per Line'!$K$2:$K$3001,$AD461)&amp;"")</f>
        <v/>
      </c>
      <c r="L461">
        <f>IF($AD461="","",INDEX('Per Line'!$L$2:$L$3001,$AD461)&amp;"")</f>
        <v/>
      </c>
      <c r="M461">
        <f>IF($AD461="","",INDEX('Per Line'!$M$2:$M$3001,$AD461)&amp;"")</f>
        <v/>
      </c>
      <c r="N461">
        <f>IF($AD461="","",INDEX('Per Line'!$AC$2:$AC$3001,$AD461)&amp;"")</f>
        <v/>
      </c>
      <c r="O461">
        <f>IF($AD461="","",INDEX('Per Line'!$P$2:$P$3001,$AD461))</f>
        <v/>
      </c>
      <c r="P461" s="7">
        <f>IF($AD461="","",IF(AND(ISNUMBER(Q461),Q461&gt;0,AB461&gt;Q461),O461*Q461/100+(AB461-Q461),O461*AB461/100))</f>
        <v/>
      </c>
      <c r="Q461">
        <f>IF($AD461="","",INDEX('Per Line'!$AG$2:$AG$3001,$AD461))</f>
        <v/>
      </c>
      <c r="R461">
        <f>IF($AD461="","",IF(AND(ISNUMBER(Q461),Q461&gt;0),AB461&gt;Q461,FALSE))</f>
        <v/>
      </c>
      <c r="S461" s="7">
        <f>IF($AD461="","",SUMIFS('Per Line'!$AB$2:$AB$3001,'Per Line'!$E$2:$E$3001,$B461,'Per Line'!$AQ$2:$AQ$3001,1))</f>
        <v/>
      </c>
      <c r="T461">
        <f>IF($AD461="","",Settings!$C$7)</f>
        <v/>
      </c>
      <c r="U461" s="7">
        <f>IF($AD461="","",SUMIFS('Per Line'!$AB$2:$AB$3001,'Per Line'!$E$2:$E$3001,$B461,'Per Line'!$AP$2:$AP$3001,0,'Per Line'!$AQ$2:$AQ$3001,0))</f>
        <v/>
      </c>
      <c r="V461" s="7">
        <f>IF($AD461="","",U461*T461)</f>
        <v/>
      </c>
      <c r="W461">
        <f>IF($AD461="","",Settings!$C$6)</f>
        <v/>
      </c>
      <c r="X461" s="7">
        <f>IF($AD461="","",SUMIFS('Per Line'!$AB$2:$AB$3001,'Per Line'!$E$2:$E$3001,$B461,'Per Line'!$AP$2:$AP$3001,1,'Per Line'!$AQ$2:$AQ$3001,0))</f>
        <v/>
      </c>
      <c r="Y461" s="7">
        <f>IF($AD461="","",X461*W461)</f>
        <v/>
      </c>
      <c r="Z461" s="7">
        <f>IF($AD461="","",Y461+V461)</f>
        <v/>
      </c>
      <c r="AA461" s="7">
        <f>IF($AD461="","",AB461-Z461)</f>
        <v/>
      </c>
      <c r="AB461" s="7">
        <f>IF($AD461="","",U461+X461+S461)</f>
        <v/>
      </c>
      <c r="AC461" s="7">
        <f>IF($AD461="","",AB461-Z461-P461)</f>
        <v/>
      </c>
      <c r="AD461" s="13">
        <f>IF(ROWS($AD$2:$AD461)&lt;=MAX('Per Line'!$AO$2:$AO$3001),MATCH(ROWS($AD$2:$AD461),'Per Line'!$AO$2:$AO$3001,0),"")</f>
        <v/>
      </c>
      <c r="AE461" s="14">
        <f>IF($AD461="","",P461-O461*AB461/100)</f>
        <v/>
      </c>
    </row>
    <row r="462">
      <c r="A462" s="12" t="n"/>
      <c r="B462">
        <f>IF($AD462="","",INDEX('Per Line'!$E$2:$E$3001,$AD462)&amp;"")</f>
        <v/>
      </c>
      <c r="C462">
        <f>IF($AD462="","",INDEX('Per Line'!$A$2:$A$3001,$AD462)&amp;"")</f>
        <v/>
      </c>
      <c r="D462">
        <f>IF($AD462="","",INDEX('Per Line'!$C$2:$C$3001,$AD462)&amp;"")</f>
        <v/>
      </c>
      <c r="E462">
        <f>IF($AD462="","",INDEX('Per Line'!$B$2:$B$3001,$AD462))</f>
        <v/>
      </c>
      <c r="F462">
        <f>IF($AD462="","",INDEX('Per Line'!$D$2:$D$3001,$AD462)&amp;"")</f>
        <v/>
      </c>
      <c r="G462" s="11">
        <f>IF($AD462="","",INDEX('Per Line'!$G$2:$G$3001,$AD462))</f>
        <v/>
      </c>
      <c r="H462">
        <f>IF($AD462="","",INDEX('Per Line'!$J$2:$J$3001,$AD462)&amp;"")</f>
        <v/>
      </c>
      <c r="I462">
        <f>IF($AD462="","",INDEX('Per Line'!$H$2:$H$3001,$AD462)&amp;"")</f>
        <v/>
      </c>
      <c r="J462">
        <f>IF($AD462="","",INDEX('Per Line'!$F$2:$F$3001,$AD462)&amp;"")</f>
        <v/>
      </c>
      <c r="K462">
        <f>IF($AD462="","",INDEX('Per Line'!$K$2:$K$3001,$AD462)&amp;"")</f>
        <v/>
      </c>
      <c r="L462">
        <f>IF($AD462="","",INDEX('Per Line'!$L$2:$L$3001,$AD462)&amp;"")</f>
        <v/>
      </c>
      <c r="M462">
        <f>IF($AD462="","",INDEX('Per Line'!$M$2:$M$3001,$AD462)&amp;"")</f>
        <v/>
      </c>
      <c r="N462">
        <f>IF($AD462="","",INDEX('Per Line'!$AC$2:$AC$3001,$AD462)&amp;"")</f>
        <v/>
      </c>
      <c r="O462">
        <f>IF($AD462="","",INDEX('Per Line'!$P$2:$P$3001,$AD462))</f>
        <v/>
      </c>
      <c r="P462" s="7">
        <f>IF($AD462="","",IF(AND(ISNUMBER(Q462),Q462&gt;0,AB462&gt;Q462),O462*Q462/100+(AB462-Q462),O462*AB462/100))</f>
        <v/>
      </c>
      <c r="Q462">
        <f>IF($AD462="","",INDEX('Per Line'!$AG$2:$AG$3001,$AD462))</f>
        <v/>
      </c>
      <c r="R462">
        <f>IF($AD462="","",IF(AND(ISNUMBER(Q462),Q462&gt;0),AB462&gt;Q462,FALSE))</f>
        <v/>
      </c>
      <c r="S462" s="7">
        <f>IF($AD462="","",SUMIFS('Per Line'!$AB$2:$AB$3001,'Per Line'!$E$2:$E$3001,$B462,'Per Line'!$AQ$2:$AQ$3001,1))</f>
        <v/>
      </c>
      <c r="T462">
        <f>IF($AD462="","",Settings!$C$7)</f>
        <v/>
      </c>
      <c r="U462" s="7">
        <f>IF($AD462="","",SUMIFS('Per Line'!$AB$2:$AB$3001,'Per Line'!$E$2:$E$3001,$B462,'Per Line'!$AP$2:$AP$3001,0,'Per Line'!$AQ$2:$AQ$3001,0))</f>
        <v/>
      </c>
      <c r="V462" s="7">
        <f>IF($AD462="","",U462*T462)</f>
        <v/>
      </c>
      <c r="W462">
        <f>IF($AD462="","",Settings!$C$6)</f>
        <v/>
      </c>
      <c r="X462" s="7">
        <f>IF($AD462="","",SUMIFS('Per Line'!$AB$2:$AB$3001,'Per Line'!$E$2:$E$3001,$B462,'Per Line'!$AP$2:$AP$3001,1,'Per Line'!$AQ$2:$AQ$3001,0))</f>
        <v/>
      </c>
      <c r="Y462" s="7">
        <f>IF($AD462="","",X462*W462)</f>
        <v/>
      </c>
      <c r="Z462" s="7">
        <f>IF($AD462="","",Y462+V462)</f>
        <v/>
      </c>
      <c r="AA462" s="7">
        <f>IF($AD462="","",AB462-Z462)</f>
        <v/>
      </c>
      <c r="AB462" s="7">
        <f>IF($AD462="","",U462+X462+S462)</f>
        <v/>
      </c>
      <c r="AC462" s="7">
        <f>IF($AD462="","",AB462-Z462-P462)</f>
        <v/>
      </c>
      <c r="AD462" s="13">
        <f>IF(ROWS($AD$2:$AD462)&lt;=MAX('Per Line'!$AO$2:$AO$3001),MATCH(ROWS($AD$2:$AD462),'Per Line'!$AO$2:$AO$3001,0),"")</f>
        <v/>
      </c>
      <c r="AE462" s="14">
        <f>IF($AD462="","",P462-O462*AB462/100)</f>
        <v/>
      </c>
    </row>
    <row r="463">
      <c r="A463" s="12" t="n"/>
      <c r="B463">
        <f>IF($AD463="","",INDEX('Per Line'!$E$2:$E$3001,$AD463)&amp;"")</f>
        <v/>
      </c>
      <c r="C463">
        <f>IF($AD463="","",INDEX('Per Line'!$A$2:$A$3001,$AD463)&amp;"")</f>
        <v/>
      </c>
      <c r="D463">
        <f>IF($AD463="","",INDEX('Per Line'!$C$2:$C$3001,$AD463)&amp;"")</f>
        <v/>
      </c>
      <c r="E463">
        <f>IF($AD463="","",INDEX('Per Line'!$B$2:$B$3001,$AD463))</f>
        <v/>
      </c>
      <c r="F463">
        <f>IF($AD463="","",INDEX('Per Line'!$D$2:$D$3001,$AD463)&amp;"")</f>
        <v/>
      </c>
      <c r="G463" s="11">
        <f>IF($AD463="","",INDEX('Per Line'!$G$2:$G$3001,$AD463))</f>
        <v/>
      </c>
      <c r="H463">
        <f>IF($AD463="","",INDEX('Per Line'!$J$2:$J$3001,$AD463)&amp;"")</f>
        <v/>
      </c>
      <c r="I463">
        <f>IF($AD463="","",INDEX('Per Line'!$H$2:$H$3001,$AD463)&amp;"")</f>
        <v/>
      </c>
      <c r="J463">
        <f>IF($AD463="","",INDEX('Per Line'!$F$2:$F$3001,$AD463)&amp;"")</f>
        <v/>
      </c>
      <c r="K463">
        <f>IF($AD463="","",INDEX('Per Line'!$K$2:$K$3001,$AD463)&amp;"")</f>
        <v/>
      </c>
      <c r="L463">
        <f>IF($AD463="","",INDEX('Per Line'!$L$2:$L$3001,$AD463)&amp;"")</f>
        <v/>
      </c>
      <c r="M463">
        <f>IF($AD463="","",INDEX('Per Line'!$M$2:$M$3001,$AD463)&amp;"")</f>
        <v/>
      </c>
      <c r="N463">
        <f>IF($AD463="","",INDEX('Per Line'!$AC$2:$AC$3001,$AD463)&amp;"")</f>
        <v/>
      </c>
      <c r="O463">
        <f>IF($AD463="","",INDEX('Per Line'!$P$2:$P$3001,$AD463))</f>
        <v/>
      </c>
      <c r="P463" s="7">
        <f>IF($AD463="","",IF(AND(ISNUMBER(Q463),Q463&gt;0,AB463&gt;Q463),O463*Q463/100+(AB463-Q463),O463*AB463/100))</f>
        <v/>
      </c>
      <c r="Q463">
        <f>IF($AD463="","",INDEX('Per Line'!$AG$2:$AG$3001,$AD463))</f>
        <v/>
      </c>
      <c r="R463">
        <f>IF($AD463="","",IF(AND(ISNUMBER(Q463),Q463&gt;0),AB463&gt;Q463,FALSE))</f>
        <v/>
      </c>
      <c r="S463" s="7">
        <f>IF($AD463="","",SUMIFS('Per Line'!$AB$2:$AB$3001,'Per Line'!$E$2:$E$3001,$B463,'Per Line'!$AQ$2:$AQ$3001,1))</f>
        <v/>
      </c>
      <c r="T463">
        <f>IF($AD463="","",Settings!$C$7)</f>
        <v/>
      </c>
      <c r="U463" s="7">
        <f>IF($AD463="","",SUMIFS('Per Line'!$AB$2:$AB$3001,'Per Line'!$E$2:$E$3001,$B463,'Per Line'!$AP$2:$AP$3001,0,'Per Line'!$AQ$2:$AQ$3001,0))</f>
        <v/>
      </c>
      <c r="V463" s="7">
        <f>IF($AD463="","",U463*T463)</f>
        <v/>
      </c>
      <c r="W463">
        <f>IF($AD463="","",Settings!$C$6)</f>
        <v/>
      </c>
      <c r="X463" s="7">
        <f>IF($AD463="","",SUMIFS('Per Line'!$AB$2:$AB$3001,'Per Line'!$E$2:$E$3001,$B463,'Per Line'!$AP$2:$AP$3001,1,'Per Line'!$AQ$2:$AQ$3001,0))</f>
        <v/>
      </c>
      <c r="Y463" s="7">
        <f>IF($AD463="","",X463*W463)</f>
        <v/>
      </c>
      <c r="Z463" s="7">
        <f>IF($AD463="","",Y463+V463)</f>
        <v/>
      </c>
      <c r="AA463" s="7">
        <f>IF($AD463="","",AB463-Z463)</f>
        <v/>
      </c>
      <c r="AB463" s="7">
        <f>IF($AD463="","",U463+X463+S463)</f>
        <v/>
      </c>
      <c r="AC463" s="7">
        <f>IF($AD463="","",AB463-Z463-P463)</f>
        <v/>
      </c>
      <c r="AD463" s="13">
        <f>IF(ROWS($AD$2:$AD463)&lt;=MAX('Per Line'!$AO$2:$AO$3001),MATCH(ROWS($AD$2:$AD463),'Per Line'!$AO$2:$AO$3001,0),"")</f>
        <v/>
      </c>
      <c r="AE463" s="14">
        <f>IF($AD463="","",P463-O463*AB463/100)</f>
        <v/>
      </c>
    </row>
    <row r="464">
      <c r="A464" s="12" t="n"/>
      <c r="B464">
        <f>IF($AD464="","",INDEX('Per Line'!$E$2:$E$3001,$AD464)&amp;"")</f>
        <v/>
      </c>
      <c r="C464">
        <f>IF($AD464="","",INDEX('Per Line'!$A$2:$A$3001,$AD464)&amp;"")</f>
        <v/>
      </c>
      <c r="D464">
        <f>IF($AD464="","",INDEX('Per Line'!$C$2:$C$3001,$AD464)&amp;"")</f>
        <v/>
      </c>
      <c r="E464">
        <f>IF($AD464="","",INDEX('Per Line'!$B$2:$B$3001,$AD464))</f>
        <v/>
      </c>
      <c r="F464">
        <f>IF($AD464="","",INDEX('Per Line'!$D$2:$D$3001,$AD464)&amp;"")</f>
        <v/>
      </c>
      <c r="G464" s="11">
        <f>IF($AD464="","",INDEX('Per Line'!$G$2:$G$3001,$AD464))</f>
        <v/>
      </c>
      <c r="H464">
        <f>IF($AD464="","",INDEX('Per Line'!$J$2:$J$3001,$AD464)&amp;"")</f>
        <v/>
      </c>
      <c r="I464">
        <f>IF($AD464="","",INDEX('Per Line'!$H$2:$H$3001,$AD464)&amp;"")</f>
        <v/>
      </c>
      <c r="J464">
        <f>IF($AD464="","",INDEX('Per Line'!$F$2:$F$3001,$AD464)&amp;"")</f>
        <v/>
      </c>
      <c r="K464">
        <f>IF($AD464="","",INDEX('Per Line'!$K$2:$K$3001,$AD464)&amp;"")</f>
        <v/>
      </c>
      <c r="L464">
        <f>IF($AD464="","",INDEX('Per Line'!$L$2:$L$3001,$AD464)&amp;"")</f>
        <v/>
      </c>
      <c r="M464">
        <f>IF($AD464="","",INDEX('Per Line'!$M$2:$M$3001,$AD464)&amp;"")</f>
        <v/>
      </c>
      <c r="N464">
        <f>IF($AD464="","",INDEX('Per Line'!$AC$2:$AC$3001,$AD464)&amp;"")</f>
        <v/>
      </c>
      <c r="O464">
        <f>IF($AD464="","",INDEX('Per Line'!$P$2:$P$3001,$AD464))</f>
        <v/>
      </c>
      <c r="P464" s="7">
        <f>IF($AD464="","",IF(AND(ISNUMBER(Q464),Q464&gt;0,AB464&gt;Q464),O464*Q464/100+(AB464-Q464),O464*AB464/100))</f>
        <v/>
      </c>
      <c r="Q464">
        <f>IF($AD464="","",INDEX('Per Line'!$AG$2:$AG$3001,$AD464))</f>
        <v/>
      </c>
      <c r="R464">
        <f>IF($AD464="","",IF(AND(ISNUMBER(Q464),Q464&gt;0),AB464&gt;Q464,FALSE))</f>
        <v/>
      </c>
      <c r="S464" s="7">
        <f>IF($AD464="","",SUMIFS('Per Line'!$AB$2:$AB$3001,'Per Line'!$E$2:$E$3001,$B464,'Per Line'!$AQ$2:$AQ$3001,1))</f>
        <v/>
      </c>
      <c r="T464">
        <f>IF($AD464="","",Settings!$C$7)</f>
        <v/>
      </c>
      <c r="U464" s="7">
        <f>IF($AD464="","",SUMIFS('Per Line'!$AB$2:$AB$3001,'Per Line'!$E$2:$E$3001,$B464,'Per Line'!$AP$2:$AP$3001,0,'Per Line'!$AQ$2:$AQ$3001,0))</f>
        <v/>
      </c>
      <c r="V464" s="7">
        <f>IF($AD464="","",U464*T464)</f>
        <v/>
      </c>
      <c r="W464">
        <f>IF($AD464="","",Settings!$C$6)</f>
        <v/>
      </c>
      <c r="X464" s="7">
        <f>IF($AD464="","",SUMIFS('Per Line'!$AB$2:$AB$3001,'Per Line'!$E$2:$E$3001,$B464,'Per Line'!$AP$2:$AP$3001,1,'Per Line'!$AQ$2:$AQ$3001,0))</f>
        <v/>
      </c>
      <c r="Y464" s="7">
        <f>IF($AD464="","",X464*W464)</f>
        <v/>
      </c>
      <c r="Z464" s="7">
        <f>IF($AD464="","",Y464+V464)</f>
        <v/>
      </c>
      <c r="AA464" s="7">
        <f>IF($AD464="","",AB464-Z464)</f>
        <v/>
      </c>
      <c r="AB464" s="7">
        <f>IF($AD464="","",U464+X464+S464)</f>
        <v/>
      </c>
      <c r="AC464" s="7">
        <f>IF($AD464="","",AB464-Z464-P464)</f>
        <v/>
      </c>
      <c r="AD464" s="13">
        <f>IF(ROWS($AD$2:$AD464)&lt;=MAX('Per Line'!$AO$2:$AO$3001),MATCH(ROWS($AD$2:$AD464),'Per Line'!$AO$2:$AO$3001,0),"")</f>
        <v/>
      </c>
      <c r="AE464" s="14">
        <f>IF($AD464="","",P464-O464*AB464/100)</f>
        <v/>
      </c>
    </row>
    <row r="465">
      <c r="A465" s="12" t="n"/>
      <c r="B465">
        <f>IF($AD465="","",INDEX('Per Line'!$E$2:$E$3001,$AD465)&amp;"")</f>
        <v/>
      </c>
      <c r="C465">
        <f>IF($AD465="","",INDEX('Per Line'!$A$2:$A$3001,$AD465)&amp;"")</f>
        <v/>
      </c>
      <c r="D465">
        <f>IF($AD465="","",INDEX('Per Line'!$C$2:$C$3001,$AD465)&amp;"")</f>
        <v/>
      </c>
      <c r="E465">
        <f>IF($AD465="","",INDEX('Per Line'!$B$2:$B$3001,$AD465))</f>
        <v/>
      </c>
      <c r="F465">
        <f>IF($AD465="","",INDEX('Per Line'!$D$2:$D$3001,$AD465)&amp;"")</f>
        <v/>
      </c>
      <c r="G465" s="11">
        <f>IF($AD465="","",INDEX('Per Line'!$G$2:$G$3001,$AD465))</f>
        <v/>
      </c>
      <c r="H465">
        <f>IF($AD465="","",INDEX('Per Line'!$J$2:$J$3001,$AD465)&amp;"")</f>
        <v/>
      </c>
      <c r="I465">
        <f>IF($AD465="","",INDEX('Per Line'!$H$2:$H$3001,$AD465)&amp;"")</f>
        <v/>
      </c>
      <c r="J465">
        <f>IF($AD465="","",INDEX('Per Line'!$F$2:$F$3001,$AD465)&amp;"")</f>
        <v/>
      </c>
      <c r="K465">
        <f>IF($AD465="","",INDEX('Per Line'!$K$2:$K$3001,$AD465)&amp;"")</f>
        <v/>
      </c>
      <c r="L465">
        <f>IF($AD465="","",INDEX('Per Line'!$L$2:$L$3001,$AD465)&amp;"")</f>
        <v/>
      </c>
      <c r="M465">
        <f>IF($AD465="","",INDEX('Per Line'!$M$2:$M$3001,$AD465)&amp;"")</f>
        <v/>
      </c>
      <c r="N465">
        <f>IF($AD465="","",INDEX('Per Line'!$AC$2:$AC$3001,$AD465)&amp;"")</f>
        <v/>
      </c>
      <c r="O465">
        <f>IF($AD465="","",INDEX('Per Line'!$P$2:$P$3001,$AD465))</f>
        <v/>
      </c>
      <c r="P465" s="7">
        <f>IF($AD465="","",IF(AND(ISNUMBER(Q465),Q465&gt;0,AB465&gt;Q465),O465*Q465/100+(AB465-Q465),O465*AB465/100))</f>
        <v/>
      </c>
      <c r="Q465">
        <f>IF($AD465="","",INDEX('Per Line'!$AG$2:$AG$3001,$AD465))</f>
        <v/>
      </c>
      <c r="R465">
        <f>IF($AD465="","",IF(AND(ISNUMBER(Q465),Q465&gt;0),AB465&gt;Q465,FALSE))</f>
        <v/>
      </c>
      <c r="S465" s="7">
        <f>IF($AD465="","",SUMIFS('Per Line'!$AB$2:$AB$3001,'Per Line'!$E$2:$E$3001,$B465,'Per Line'!$AQ$2:$AQ$3001,1))</f>
        <v/>
      </c>
      <c r="T465">
        <f>IF($AD465="","",Settings!$C$7)</f>
        <v/>
      </c>
      <c r="U465" s="7">
        <f>IF($AD465="","",SUMIFS('Per Line'!$AB$2:$AB$3001,'Per Line'!$E$2:$E$3001,$B465,'Per Line'!$AP$2:$AP$3001,0,'Per Line'!$AQ$2:$AQ$3001,0))</f>
        <v/>
      </c>
      <c r="V465" s="7">
        <f>IF($AD465="","",U465*T465)</f>
        <v/>
      </c>
      <c r="W465">
        <f>IF($AD465="","",Settings!$C$6)</f>
        <v/>
      </c>
      <c r="X465" s="7">
        <f>IF($AD465="","",SUMIFS('Per Line'!$AB$2:$AB$3001,'Per Line'!$E$2:$E$3001,$B465,'Per Line'!$AP$2:$AP$3001,1,'Per Line'!$AQ$2:$AQ$3001,0))</f>
        <v/>
      </c>
      <c r="Y465" s="7">
        <f>IF($AD465="","",X465*W465)</f>
        <v/>
      </c>
      <c r="Z465" s="7">
        <f>IF($AD465="","",Y465+V465)</f>
        <v/>
      </c>
      <c r="AA465" s="7">
        <f>IF($AD465="","",AB465-Z465)</f>
        <v/>
      </c>
      <c r="AB465" s="7">
        <f>IF($AD465="","",U465+X465+S465)</f>
        <v/>
      </c>
      <c r="AC465" s="7">
        <f>IF($AD465="","",AB465-Z465-P465)</f>
        <v/>
      </c>
      <c r="AD465" s="13">
        <f>IF(ROWS($AD$2:$AD465)&lt;=MAX('Per Line'!$AO$2:$AO$3001),MATCH(ROWS($AD$2:$AD465),'Per Line'!$AO$2:$AO$3001,0),"")</f>
        <v/>
      </c>
      <c r="AE465" s="14">
        <f>IF($AD465="","",P465-O465*AB465/100)</f>
        <v/>
      </c>
    </row>
    <row r="466">
      <c r="A466" s="12" t="n"/>
      <c r="B466">
        <f>IF($AD466="","",INDEX('Per Line'!$E$2:$E$3001,$AD466)&amp;"")</f>
        <v/>
      </c>
      <c r="C466">
        <f>IF($AD466="","",INDEX('Per Line'!$A$2:$A$3001,$AD466)&amp;"")</f>
        <v/>
      </c>
      <c r="D466">
        <f>IF($AD466="","",INDEX('Per Line'!$C$2:$C$3001,$AD466)&amp;"")</f>
        <v/>
      </c>
      <c r="E466">
        <f>IF($AD466="","",INDEX('Per Line'!$B$2:$B$3001,$AD466))</f>
        <v/>
      </c>
      <c r="F466">
        <f>IF($AD466="","",INDEX('Per Line'!$D$2:$D$3001,$AD466)&amp;"")</f>
        <v/>
      </c>
      <c r="G466" s="11">
        <f>IF($AD466="","",INDEX('Per Line'!$G$2:$G$3001,$AD466))</f>
        <v/>
      </c>
      <c r="H466">
        <f>IF($AD466="","",INDEX('Per Line'!$J$2:$J$3001,$AD466)&amp;"")</f>
        <v/>
      </c>
      <c r="I466">
        <f>IF($AD466="","",INDEX('Per Line'!$H$2:$H$3001,$AD466)&amp;"")</f>
        <v/>
      </c>
      <c r="J466">
        <f>IF($AD466="","",INDEX('Per Line'!$F$2:$F$3001,$AD466)&amp;"")</f>
        <v/>
      </c>
      <c r="K466">
        <f>IF($AD466="","",INDEX('Per Line'!$K$2:$K$3001,$AD466)&amp;"")</f>
        <v/>
      </c>
      <c r="L466">
        <f>IF($AD466="","",INDEX('Per Line'!$L$2:$L$3001,$AD466)&amp;"")</f>
        <v/>
      </c>
      <c r="M466">
        <f>IF($AD466="","",INDEX('Per Line'!$M$2:$M$3001,$AD466)&amp;"")</f>
        <v/>
      </c>
      <c r="N466">
        <f>IF($AD466="","",INDEX('Per Line'!$AC$2:$AC$3001,$AD466)&amp;"")</f>
        <v/>
      </c>
      <c r="O466">
        <f>IF($AD466="","",INDEX('Per Line'!$P$2:$P$3001,$AD466))</f>
        <v/>
      </c>
      <c r="P466" s="7">
        <f>IF($AD466="","",IF(AND(ISNUMBER(Q466),Q466&gt;0,AB466&gt;Q466),O466*Q466/100+(AB466-Q466),O466*AB466/100))</f>
        <v/>
      </c>
      <c r="Q466">
        <f>IF($AD466="","",INDEX('Per Line'!$AG$2:$AG$3001,$AD466))</f>
        <v/>
      </c>
      <c r="R466">
        <f>IF($AD466="","",IF(AND(ISNUMBER(Q466),Q466&gt;0),AB466&gt;Q466,FALSE))</f>
        <v/>
      </c>
      <c r="S466" s="7">
        <f>IF($AD466="","",SUMIFS('Per Line'!$AB$2:$AB$3001,'Per Line'!$E$2:$E$3001,$B466,'Per Line'!$AQ$2:$AQ$3001,1))</f>
        <v/>
      </c>
      <c r="T466">
        <f>IF($AD466="","",Settings!$C$7)</f>
        <v/>
      </c>
      <c r="U466" s="7">
        <f>IF($AD466="","",SUMIFS('Per Line'!$AB$2:$AB$3001,'Per Line'!$E$2:$E$3001,$B466,'Per Line'!$AP$2:$AP$3001,0,'Per Line'!$AQ$2:$AQ$3001,0))</f>
        <v/>
      </c>
      <c r="V466" s="7">
        <f>IF($AD466="","",U466*T466)</f>
        <v/>
      </c>
      <c r="W466">
        <f>IF($AD466="","",Settings!$C$6)</f>
        <v/>
      </c>
      <c r="X466" s="7">
        <f>IF($AD466="","",SUMIFS('Per Line'!$AB$2:$AB$3001,'Per Line'!$E$2:$E$3001,$B466,'Per Line'!$AP$2:$AP$3001,1,'Per Line'!$AQ$2:$AQ$3001,0))</f>
        <v/>
      </c>
      <c r="Y466" s="7">
        <f>IF($AD466="","",X466*W466)</f>
        <v/>
      </c>
      <c r="Z466" s="7">
        <f>IF($AD466="","",Y466+V466)</f>
        <v/>
      </c>
      <c r="AA466" s="7">
        <f>IF($AD466="","",AB466-Z466)</f>
        <v/>
      </c>
      <c r="AB466" s="7">
        <f>IF($AD466="","",U466+X466+S466)</f>
        <v/>
      </c>
      <c r="AC466" s="7">
        <f>IF($AD466="","",AB466-Z466-P466)</f>
        <v/>
      </c>
      <c r="AD466" s="13">
        <f>IF(ROWS($AD$2:$AD466)&lt;=MAX('Per Line'!$AO$2:$AO$3001),MATCH(ROWS($AD$2:$AD466),'Per Line'!$AO$2:$AO$3001,0),"")</f>
        <v/>
      </c>
      <c r="AE466" s="14">
        <f>IF($AD466="","",P466-O466*AB466/100)</f>
        <v/>
      </c>
    </row>
    <row r="467">
      <c r="A467" s="12" t="n"/>
      <c r="B467">
        <f>IF($AD467="","",INDEX('Per Line'!$E$2:$E$3001,$AD467)&amp;"")</f>
        <v/>
      </c>
      <c r="C467">
        <f>IF($AD467="","",INDEX('Per Line'!$A$2:$A$3001,$AD467)&amp;"")</f>
        <v/>
      </c>
      <c r="D467">
        <f>IF($AD467="","",INDEX('Per Line'!$C$2:$C$3001,$AD467)&amp;"")</f>
        <v/>
      </c>
      <c r="E467">
        <f>IF($AD467="","",INDEX('Per Line'!$B$2:$B$3001,$AD467))</f>
        <v/>
      </c>
      <c r="F467">
        <f>IF($AD467="","",INDEX('Per Line'!$D$2:$D$3001,$AD467)&amp;"")</f>
        <v/>
      </c>
      <c r="G467" s="11">
        <f>IF($AD467="","",INDEX('Per Line'!$G$2:$G$3001,$AD467))</f>
        <v/>
      </c>
      <c r="H467">
        <f>IF($AD467="","",INDEX('Per Line'!$J$2:$J$3001,$AD467)&amp;"")</f>
        <v/>
      </c>
      <c r="I467">
        <f>IF($AD467="","",INDEX('Per Line'!$H$2:$H$3001,$AD467)&amp;"")</f>
        <v/>
      </c>
      <c r="J467">
        <f>IF($AD467="","",INDEX('Per Line'!$F$2:$F$3001,$AD467)&amp;"")</f>
        <v/>
      </c>
      <c r="K467">
        <f>IF($AD467="","",INDEX('Per Line'!$K$2:$K$3001,$AD467)&amp;"")</f>
        <v/>
      </c>
      <c r="L467">
        <f>IF($AD467="","",INDEX('Per Line'!$L$2:$L$3001,$AD467)&amp;"")</f>
        <v/>
      </c>
      <c r="M467">
        <f>IF($AD467="","",INDEX('Per Line'!$M$2:$M$3001,$AD467)&amp;"")</f>
        <v/>
      </c>
      <c r="N467">
        <f>IF($AD467="","",INDEX('Per Line'!$AC$2:$AC$3001,$AD467)&amp;"")</f>
        <v/>
      </c>
      <c r="O467">
        <f>IF($AD467="","",INDEX('Per Line'!$P$2:$P$3001,$AD467))</f>
        <v/>
      </c>
      <c r="P467" s="7">
        <f>IF($AD467="","",IF(AND(ISNUMBER(Q467),Q467&gt;0,AB467&gt;Q467),O467*Q467/100+(AB467-Q467),O467*AB467/100))</f>
        <v/>
      </c>
      <c r="Q467">
        <f>IF($AD467="","",INDEX('Per Line'!$AG$2:$AG$3001,$AD467))</f>
        <v/>
      </c>
      <c r="R467">
        <f>IF($AD467="","",IF(AND(ISNUMBER(Q467),Q467&gt;0),AB467&gt;Q467,FALSE))</f>
        <v/>
      </c>
      <c r="S467" s="7">
        <f>IF($AD467="","",SUMIFS('Per Line'!$AB$2:$AB$3001,'Per Line'!$E$2:$E$3001,$B467,'Per Line'!$AQ$2:$AQ$3001,1))</f>
        <v/>
      </c>
      <c r="T467">
        <f>IF($AD467="","",Settings!$C$7)</f>
        <v/>
      </c>
      <c r="U467" s="7">
        <f>IF($AD467="","",SUMIFS('Per Line'!$AB$2:$AB$3001,'Per Line'!$E$2:$E$3001,$B467,'Per Line'!$AP$2:$AP$3001,0,'Per Line'!$AQ$2:$AQ$3001,0))</f>
        <v/>
      </c>
      <c r="V467" s="7">
        <f>IF($AD467="","",U467*T467)</f>
        <v/>
      </c>
      <c r="W467">
        <f>IF($AD467="","",Settings!$C$6)</f>
        <v/>
      </c>
      <c r="X467" s="7">
        <f>IF($AD467="","",SUMIFS('Per Line'!$AB$2:$AB$3001,'Per Line'!$E$2:$E$3001,$B467,'Per Line'!$AP$2:$AP$3001,1,'Per Line'!$AQ$2:$AQ$3001,0))</f>
        <v/>
      </c>
      <c r="Y467" s="7">
        <f>IF($AD467="","",X467*W467)</f>
        <v/>
      </c>
      <c r="Z467" s="7">
        <f>IF($AD467="","",Y467+V467)</f>
        <v/>
      </c>
      <c r="AA467" s="7">
        <f>IF($AD467="","",AB467-Z467)</f>
        <v/>
      </c>
      <c r="AB467" s="7">
        <f>IF($AD467="","",U467+X467+S467)</f>
        <v/>
      </c>
      <c r="AC467" s="7">
        <f>IF($AD467="","",AB467-Z467-P467)</f>
        <v/>
      </c>
      <c r="AD467" s="13">
        <f>IF(ROWS($AD$2:$AD467)&lt;=MAX('Per Line'!$AO$2:$AO$3001),MATCH(ROWS($AD$2:$AD467),'Per Line'!$AO$2:$AO$3001,0),"")</f>
        <v/>
      </c>
      <c r="AE467" s="14">
        <f>IF($AD467="","",P467-O467*AB467/100)</f>
        <v/>
      </c>
    </row>
    <row r="468">
      <c r="A468" s="12" t="n"/>
      <c r="B468">
        <f>IF($AD468="","",INDEX('Per Line'!$E$2:$E$3001,$AD468)&amp;"")</f>
        <v/>
      </c>
      <c r="C468">
        <f>IF($AD468="","",INDEX('Per Line'!$A$2:$A$3001,$AD468)&amp;"")</f>
        <v/>
      </c>
      <c r="D468">
        <f>IF($AD468="","",INDEX('Per Line'!$C$2:$C$3001,$AD468)&amp;"")</f>
        <v/>
      </c>
      <c r="E468">
        <f>IF($AD468="","",INDEX('Per Line'!$B$2:$B$3001,$AD468))</f>
        <v/>
      </c>
      <c r="F468">
        <f>IF($AD468="","",INDEX('Per Line'!$D$2:$D$3001,$AD468)&amp;"")</f>
        <v/>
      </c>
      <c r="G468" s="11">
        <f>IF($AD468="","",INDEX('Per Line'!$G$2:$G$3001,$AD468))</f>
        <v/>
      </c>
      <c r="H468">
        <f>IF($AD468="","",INDEX('Per Line'!$J$2:$J$3001,$AD468)&amp;"")</f>
        <v/>
      </c>
      <c r="I468">
        <f>IF($AD468="","",INDEX('Per Line'!$H$2:$H$3001,$AD468)&amp;"")</f>
        <v/>
      </c>
      <c r="J468">
        <f>IF($AD468="","",INDEX('Per Line'!$F$2:$F$3001,$AD468)&amp;"")</f>
        <v/>
      </c>
      <c r="K468">
        <f>IF($AD468="","",INDEX('Per Line'!$K$2:$K$3001,$AD468)&amp;"")</f>
        <v/>
      </c>
      <c r="L468">
        <f>IF($AD468="","",INDEX('Per Line'!$L$2:$L$3001,$AD468)&amp;"")</f>
        <v/>
      </c>
      <c r="M468">
        <f>IF($AD468="","",INDEX('Per Line'!$M$2:$M$3001,$AD468)&amp;"")</f>
        <v/>
      </c>
      <c r="N468">
        <f>IF($AD468="","",INDEX('Per Line'!$AC$2:$AC$3001,$AD468)&amp;"")</f>
        <v/>
      </c>
      <c r="O468">
        <f>IF($AD468="","",INDEX('Per Line'!$P$2:$P$3001,$AD468))</f>
        <v/>
      </c>
      <c r="P468" s="7">
        <f>IF($AD468="","",IF(AND(ISNUMBER(Q468),Q468&gt;0,AB468&gt;Q468),O468*Q468/100+(AB468-Q468),O468*AB468/100))</f>
        <v/>
      </c>
      <c r="Q468">
        <f>IF($AD468="","",INDEX('Per Line'!$AG$2:$AG$3001,$AD468))</f>
        <v/>
      </c>
      <c r="R468">
        <f>IF($AD468="","",IF(AND(ISNUMBER(Q468),Q468&gt;0),AB468&gt;Q468,FALSE))</f>
        <v/>
      </c>
      <c r="S468" s="7">
        <f>IF($AD468="","",SUMIFS('Per Line'!$AB$2:$AB$3001,'Per Line'!$E$2:$E$3001,$B468,'Per Line'!$AQ$2:$AQ$3001,1))</f>
        <v/>
      </c>
      <c r="T468">
        <f>IF($AD468="","",Settings!$C$7)</f>
        <v/>
      </c>
      <c r="U468" s="7">
        <f>IF($AD468="","",SUMIFS('Per Line'!$AB$2:$AB$3001,'Per Line'!$E$2:$E$3001,$B468,'Per Line'!$AP$2:$AP$3001,0,'Per Line'!$AQ$2:$AQ$3001,0))</f>
        <v/>
      </c>
      <c r="V468" s="7">
        <f>IF($AD468="","",U468*T468)</f>
        <v/>
      </c>
      <c r="W468">
        <f>IF($AD468="","",Settings!$C$6)</f>
        <v/>
      </c>
      <c r="X468" s="7">
        <f>IF($AD468="","",SUMIFS('Per Line'!$AB$2:$AB$3001,'Per Line'!$E$2:$E$3001,$B468,'Per Line'!$AP$2:$AP$3001,1,'Per Line'!$AQ$2:$AQ$3001,0))</f>
        <v/>
      </c>
      <c r="Y468" s="7">
        <f>IF($AD468="","",X468*W468)</f>
        <v/>
      </c>
      <c r="Z468" s="7">
        <f>IF($AD468="","",Y468+V468)</f>
        <v/>
      </c>
      <c r="AA468" s="7">
        <f>IF($AD468="","",AB468-Z468)</f>
        <v/>
      </c>
      <c r="AB468" s="7">
        <f>IF($AD468="","",U468+X468+S468)</f>
        <v/>
      </c>
      <c r="AC468" s="7">
        <f>IF($AD468="","",AB468-Z468-P468)</f>
        <v/>
      </c>
      <c r="AD468" s="13">
        <f>IF(ROWS($AD$2:$AD468)&lt;=MAX('Per Line'!$AO$2:$AO$3001),MATCH(ROWS($AD$2:$AD468),'Per Line'!$AO$2:$AO$3001,0),"")</f>
        <v/>
      </c>
      <c r="AE468" s="14">
        <f>IF($AD468="","",P468-O468*AB468/100)</f>
        <v/>
      </c>
    </row>
    <row r="469">
      <c r="A469" s="12" t="n"/>
      <c r="B469">
        <f>IF($AD469="","",INDEX('Per Line'!$E$2:$E$3001,$AD469)&amp;"")</f>
        <v/>
      </c>
      <c r="C469">
        <f>IF($AD469="","",INDEX('Per Line'!$A$2:$A$3001,$AD469)&amp;"")</f>
        <v/>
      </c>
      <c r="D469">
        <f>IF($AD469="","",INDEX('Per Line'!$C$2:$C$3001,$AD469)&amp;"")</f>
        <v/>
      </c>
      <c r="E469">
        <f>IF($AD469="","",INDEX('Per Line'!$B$2:$B$3001,$AD469))</f>
        <v/>
      </c>
      <c r="F469">
        <f>IF($AD469="","",INDEX('Per Line'!$D$2:$D$3001,$AD469)&amp;"")</f>
        <v/>
      </c>
      <c r="G469" s="11">
        <f>IF($AD469="","",INDEX('Per Line'!$G$2:$G$3001,$AD469))</f>
        <v/>
      </c>
      <c r="H469">
        <f>IF($AD469="","",INDEX('Per Line'!$J$2:$J$3001,$AD469)&amp;"")</f>
        <v/>
      </c>
      <c r="I469">
        <f>IF($AD469="","",INDEX('Per Line'!$H$2:$H$3001,$AD469)&amp;"")</f>
        <v/>
      </c>
      <c r="J469">
        <f>IF($AD469="","",INDEX('Per Line'!$F$2:$F$3001,$AD469)&amp;"")</f>
        <v/>
      </c>
      <c r="K469">
        <f>IF($AD469="","",INDEX('Per Line'!$K$2:$K$3001,$AD469)&amp;"")</f>
        <v/>
      </c>
      <c r="L469">
        <f>IF($AD469="","",INDEX('Per Line'!$L$2:$L$3001,$AD469)&amp;"")</f>
        <v/>
      </c>
      <c r="M469">
        <f>IF($AD469="","",INDEX('Per Line'!$M$2:$M$3001,$AD469)&amp;"")</f>
        <v/>
      </c>
      <c r="N469">
        <f>IF($AD469="","",INDEX('Per Line'!$AC$2:$AC$3001,$AD469)&amp;"")</f>
        <v/>
      </c>
      <c r="O469">
        <f>IF($AD469="","",INDEX('Per Line'!$P$2:$P$3001,$AD469))</f>
        <v/>
      </c>
      <c r="P469" s="7">
        <f>IF($AD469="","",IF(AND(ISNUMBER(Q469),Q469&gt;0,AB469&gt;Q469),O469*Q469/100+(AB469-Q469),O469*AB469/100))</f>
        <v/>
      </c>
      <c r="Q469">
        <f>IF($AD469="","",INDEX('Per Line'!$AG$2:$AG$3001,$AD469))</f>
        <v/>
      </c>
      <c r="R469">
        <f>IF($AD469="","",IF(AND(ISNUMBER(Q469),Q469&gt;0),AB469&gt;Q469,FALSE))</f>
        <v/>
      </c>
      <c r="S469" s="7">
        <f>IF($AD469="","",SUMIFS('Per Line'!$AB$2:$AB$3001,'Per Line'!$E$2:$E$3001,$B469,'Per Line'!$AQ$2:$AQ$3001,1))</f>
        <v/>
      </c>
      <c r="T469">
        <f>IF($AD469="","",Settings!$C$7)</f>
        <v/>
      </c>
      <c r="U469" s="7">
        <f>IF($AD469="","",SUMIFS('Per Line'!$AB$2:$AB$3001,'Per Line'!$E$2:$E$3001,$B469,'Per Line'!$AP$2:$AP$3001,0,'Per Line'!$AQ$2:$AQ$3001,0))</f>
        <v/>
      </c>
      <c r="V469" s="7">
        <f>IF($AD469="","",U469*T469)</f>
        <v/>
      </c>
      <c r="W469">
        <f>IF($AD469="","",Settings!$C$6)</f>
        <v/>
      </c>
      <c r="X469" s="7">
        <f>IF($AD469="","",SUMIFS('Per Line'!$AB$2:$AB$3001,'Per Line'!$E$2:$E$3001,$B469,'Per Line'!$AP$2:$AP$3001,1,'Per Line'!$AQ$2:$AQ$3001,0))</f>
        <v/>
      </c>
      <c r="Y469" s="7">
        <f>IF($AD469="","",X469*W469)</f>
        <v/>
      </c>
      <c r="Z469" s="7">
        <f>IF($AD469="","",Y469+V469)</f>
        <v/>
      </c>
      <c r="AA469" s="7">
        <f>IF($AD469="","",AB469-Z469)</f>
        <v/>
      </c>
      <c r="AB469" s="7">
        <f>IF($AD469="","",U469+X469+S469)</f>
        <v/>
      </c>
      <c r="AC469" s="7">
        <f>IF($AD469="","",AB469-Z469-P469)</f>
        <v/>
      </c>
      <c r="AD469" s="13">
        <f>IF(ROWS($AD$2:$AD469)&lt;=MAX('Per Line'!$AO$2:$AO$3001),MATCH(ROWS($AD$2:$AD469),'Per Line'!$AO$2:$AO$3001,0),"")</f>
        <v/>
      </c>
      <c r="AE469" s="14">
        <f>IF($AD469="","",P469-O469*AB469/100)</f>
        <v/>
      </c>
    </row>
    <row r="470">
      <c r="A470" s="12" t="n"/>
      <c r="B470">
        <f>IF($AD470="","",INDEX('Per Line'!$E$2:$E$3001,$AD470)&amp;"")</f>
        <v/>
      </c>
      <c r="C470">
        <f>IF($AD470="","",INDEX('Per Line'!$A$2:$A$3001,$AD470)&amp;"")</f>
        <v/>
      </c>
      <c r="D470">
        <f>IF($AD470="","",INDEX('Per Line'!$C$2:$C$3001,$AD470)&amp;"")</f>
        <v/>
      </c>
      <c r="E470">
        <f>IF($AD470="","",INDEX('Per Line'!$B$2:$B$3001,$AD470))</f>
        <v/>
      </c>
      <c r="F470">
        <f>IF($AD470="","",INDEX('Per Line'!$D$2:$D$3001,$AD470)&amp;"")</f>
        <v/>
      </c>
      <c r="G470" s="11">
        <f>IF($AD470="","",INDEX('Per Line'!$G$2:$G$3001,$AD470))</f>
        <v/>
      </c>
      <c r="H470">
        <f>IF($AD470="","",INDEX('Per Line'!$J$2:$J$3001,$AD470)&amp;"")</f>
        <v/>
      </c>
      <c r="I470">
        <f>IF($AD470="","",INDEX('Per Line'!$H$2:$H$3001,$AD470)&amp;"")</f>
        <v/>
      </c>
      <c r="J470">
        <f>IF($AD470="","",INDEX('Per Line'!$F$2:$F$3001,$AD470)&amp;"")</f>
        <v/>
      </c>
      <c r="K470">
        <f>IF($AD470="","",INDEX('Per Line'!$K$2:$K$3001,$AD470)&amp;"")</f>
        <v/>
      </c>
      <c r="L470">
        <f>IF($AD470="","",INDEX('Per Line'!$L$2:$L$3001,$AD470)&amp;"")</f>
        <v/>
      </c>
      <c r="M470">
        <f>IF($AD470="","",INDEX('Per Line'!$M$2:$M$3001,$AD470)&amp;"")</f>
        <v/>
      </c>
      <c r="N470">
        <f>IF($AD470="","",INDEX('Per Line'!$AC$2:$AC$3001,$AD470)&amp;"")</f>
        <v/>
      </c>
      <c r="O470">
        <f>IF($AD470="","",INDEX('Per Line'!$P$2:$P$3001,$AD470))</f>
        <v/>
      </c>
      <c r="P470" s="7">
        <f>IF($AD470="","",IF(AND(ISNUMBER(Q470),Q470&gt;0,AB470&gt;Q470),O470*Q470/100+(AB470-Q470),O470*AB470/100))</f>
        <v/>
      </c>
      <c r="Q470">
        <f>IF($AD470="","",INDEX('Per Line'!$AG$2:$AG$3001,$AD470))</f>
        <v/>
      </c>
      <c r="R470">
        <f>IF($AD470="","",IF(AND(ISNUMBER(Q470),Q470&gt;0),AB470&gt;Q470,FALSE))</f>
        <v/>
      </c>
      <c r="S470" s="7">
        <f>IF($AD470="","",SUMIFS('Per Line'!$AB$2:$AB$3001,'Per Line'!$E$2:$E$3001,$B470,'Per Line'!$AQ$2:$AQ$3001,1))</f>
        <v/>
      </c>
      <c r="T470">
        <f>IF($AD470="","",Settings!$C$7)</f>
        <v/>
      </c>
      <c r="U470" s="7">
        <f>IF($AD470="","",SUMIFS('Per Line'!$AB$2:$AB$3001,'Per Line'!$E$2:$E$3001,$B470,'Per Line'!$AP$2:$AP$3001,0,'Per Line'!$AQ$2:$AQ$3001,0))</f>
        <v/>
      </c>
      <c r="V470" s="7">
        <f>IF($AD470="","",U470*T470)</f>
        <v/>
      </c>
      <c r="W470">
        <f>IF($AD470="","",Settings!$C$6)</f>
        <v/>
      </c>
      <c r="X470" s="7">
        <f>IF($AD470="","",SUMIFS('Per Line'!$AB$2:$AB$3001,'Per Line'!$E$2:$E$3001,$B470,'Per Line'!$AP$2:$AP$3001,1,'Per Line'!$AQ$2:$AQ$3001,0))</f>
        <v/>
      </c>
      <c r="Y470" s="7">
        <f>IF($AD470="","",X470*W470)</f>
        <v/>
      </c>
      <c r="Z470" s="7">
        <f>IF($AD470="","",Y470+V470)</f>
        <v/>
      </c>
      <c r="AA470" s="7">
        <f>IF($AD470="","",AB470-Z470)</f>
        <v/>
      </c>
      <c r="AB470" s="7">
        <f>IF($AD470="","",U470+X470+S470)</f>
        <v/>
      </c>
      <c r="AC470" s="7">
        <f>IF($AD470="","",AB470-Z470-P470)</f>
        <v/>
      </c>
      <c r="AD470" s="13">
        <f>IF(ROWS($AD$2:$AD470)&lt;=MAX('Per Line'!$AO$2:$AO$3001),MATCH(ROWS($AD$2:$AD470),'Per Line'!$AO$2:$AO$3001,0),"")</f>
        <v/>
      </c>
      <c r="AE470" s="14">
        <f>IF($AD470="","",P470-O470*AB470/100)</f>
        <v/>
      </c>
    </row>
    <row r="471">
      <c r="A471" s="12" t="n"/>
      <c r="B471">
        <f>IF($AD471="","",INDEX('Per Line'!$E$2:$E$3001,$AD471)&amp;"")</f>
        <v/>
      </c>
      <c r="C471">
        <f>IF($AD471="","",INDEX('Per Line'!$A$2:$A$3001,$AD471)&amp;"")</f>
        <v/>
      </c>
      <c r="D471">
        <f>IF($AD471="","",INDEX('Per Line'!$C$2:$C$3001,$AD471)&amp;"")</f>
        <v/>
      </c>
      <c r="E471">
        <f>IF($AD471="","",INDEX('Per Line'!$B$2:$B$3001,$AD471))</f>
        <v/>
      </c>
      <c r="F471">
        <f>IF($AD471="","",INDEX('Per Line'!$D$2:$D$3001,$AD471)&amp;"")</f>
        <v/>
      </c>
      <c r="G471" s="11">
        <f>IF($AD471="","",INDEX('Per Line'!$G$2:$G$3001,$AD471))</f>
        <v/>
      </c>
      <c r="H471">
        <f>IF($AD471="","",INDEX('Per Line'!$J$2:$J$3001,$AD471)&amp;"")</f>
        <v/>
      </c>
      <c r="I471">
        <f>IF($AD471="","",INDEX('Per Line'!$H$2:$H$3001,$AD471)&amp;"")</f>
        <v/>
      </c>
      <c r="J471">
        <f>IF($AD471="","",INDEX('Per Line'!$F$2:$F$3001,$AD471)&amp;"")</f>
        <v/>
      </c>
      <c r="K471">
        <f>IF($AD471="","",INDEX('Per Line'!$K$2:$K$3001,$AD471)&amp;"")</f>
        <v/>
      </c>
      <c r="L471">
        <f>IF($AD471="","",INDEX('Per Line'!$L$2:$L$3001,$AD471)&amp;"")</f>
        <v/>
      </c>
      <c r="M471">
        <f>IF($AD471="","",INDEX('Per Line'!$M$2:$M$3001,$AD471)&amp;"")</f>
        <v/>
      </c>
      <c r="N471">
        <f>IF($AD471="","",INDEX('Per Line'!$AC$2:$AC$3001,$AD471)&amp;"")</f>
        <v/>
      </c>
      <c r="O471">
        <f>IF($AD471="","",INDEX('Per Line'!$P$2:$P$3001,$AD471))</f>
        <v/>
      </c>
      <c r="P471" s="7">
        <f>IF($AD471="","",IF(AND(ISNUMBER(Q471),Q471&gt;0,AB471&gt;Q471),O471*Q471/100+(AB471-Q471),O471*AB471/100))</f>
        <v/>
      </c>
      <c r="Q471">
        <f>IF($AD471="","",INDEX('Per Line'!$AG$2:$AG$3001,$AD471))</f>
        <v/>
      </c>
      <c r="R471">
        <f>IF($AD471="","",IF(AND(ISNUMBER(Q471),Q471&gt;0),AB471&gt;Q471,FALSE))</f>
        <v/>
      </c>
      <c r="S471" s="7">
        <f>IF($AD471="","",SUMIFS('Per Line'!$AB$2:$AB$3001,'Per Line'!$E$2:$E$3001,$B471,'Per Line'!$AQ$2:$AQ$3001,1))</f>
        <v/>
      </c>
      <c r="T471">
        <f>IF($AD471="","",Settings!$C$7)</f>
        <v/>
      </c>
      <c r="U471" s="7">
        <f>IF($AD471="","",SUMIFS('Per Line'!$AB$2:$AB$3001,'Per Line'!$E$2:$E$3001,$B471,'Per Line'!$AP$2:$AP$3001,0,'Per Line'!$AQ$2:$AQ$3001,0))</f>
        <v/>
      </c>
      <c r="V471" s="7">
        <f>IF($AD471="","",U471*T471)</f>
        <v/>
      </c>
      <c r="W471">
        <f>IF($AD471="","",Settings!$C$6)</f>
        <v/>
      </c>
      <c r="X471" s="7">
        <f>IF($AD471="","",SUMIFS('Per Line'!$AB$2:$AB$3001,'Per Line'!$E$2:$E$3001,$B471,'Per Line'!$AP$2:$AP$3001,1,'Per Line'!$AQ$2:$AQ$3001,0))</f>
        <v/>
      </c>
      <c r="Y471" s="7">
        <f>IF($AD471="","",X471*W471)</f>
        <v/>
      </c>
      <c r="Z471" s="7">
        <f>IF($AD471="","",Y471+V471)</f>
        <v/>
      </c>
      <c r="AA471" s="7">
        <f>IF($AD471="","",AB471-Z471)</f>
        <v/>
      </c>
      <c r="AB471" s="7">
        <f>IF($AD471="","",U471+X471+S471)</f>
        <v/>
      </c>
      <c r="AC471" s="7">
        <f>IF($AD471="","",AB471-Z471-P471)</f>
        <v/>
      </c>
      <c r="AD471" s="13">
        <f>IF(ROWS($AD$2:$AD471)&lt;=MAX('Per Line'!$AO$2:$AO$3001),MATCH(ROWS($AD$2:$AD471),'Per Line'!$AO$2:$AO$3001,0),"")</f>
        <v/>
      </c>
      <c r="AE471" s="14">
        <f>IF($AD471="","",P471-O471*AB471/100)</f>
        <v/>
      </c>
    </row>
    <row r="472">
      <c r="A472" s="12" t="n"/>
      <c r="B472">
        <f>IF($AD472="","",INDEX('Per Line'!$E$2:$E$3001,$AD472)&amp;"")</f>
        <v/>
      </c>
      <c r="C472">
        <f>IF($AD472="","",INDEX('Per Line'!$A$2:$A$3001,$AD472)&amp;"")</f>
        <v/>
      </c>
      <c r="D472">
        <f>IF($AD472="","",INDEX('Per Line'!$C$2:$C$3001,$AD472)&amp;"")</f>
        <v/>
      </c>
      <c r="E472">
        <f>IF($AD472="","",INDEX('Per Line'!$B$2:$B$3001,$AD472))</f>
        <v/>
      </c>
      <c r="F472">
        <f>IF($AD472="","",INDEX('Per Line'!$D$2:$D$3001,$AD472)&amp;"")</f>
        <v/>
      </c>
      <c r="G472" s="11">
        <f>IF($AD472="","",INDEX('Per Line'!$G$2:$G$3001,$AD472))</f>
        <v/>
      </c>
      <c r="H472">
        <f>IF($AD472="","",INDEX('Per Line'!$J$2:$J$3001,$AD472)&amp;"")</f>
        <v/>
      </c>
      <c r="I472">
        <f>IF($AD472="","",INDEX('Per Line'!$H$2:$H$3001,$AD472)&amp;"")</f>
        <v/>
      </c>
      <c r="J472">
        <f>IF($AD472="","",INDEX('Per Line'!$F$2:$F$3001,$AD472)&amp;"")</f>
        <v/>
      </c>
      <c r="K472">
        <f>IF($AD472="","",INDEX('Per Line'!$K$2:$K$3001,$AD472)&amp;"")</f>
        <v/>
      </c>
      <c r="L472">
        <f>IF($AD472="","",INDEX('Per Line'!$L$2:$L$3001,$AD472)&amp;"")</f>
        <v/>
      </c>
      <c r="M472">
        <f>IF($AD472="","",INDEX('Per Line'!$M$2:$M$3001,$AD472)&amp;"")</f>
        <v/>
      </c>
      <c r="N472">
        <f>IF($AD472="","",INDEX('Per Line'!$AC$2:$AC$3001,$AD472)&amp;"")</f>
        <v/>
      </c>
      <c r="O472">
        <f>IF($AD472="","",INDEX('Per Line'!$P$2:$P$3001,$AD472))</f>
        <v/>
      </c>
      <c r="P472" s="7">
        <f>IF($AD472="","",IF(AND(ISNUMBER(Q472),Q472&gt;0,AB472&gt;Q472),O472*Q472/100+(AB472-Q472),O472*AB472/100))</f>
        <v/>
      </c>
      <c r="Q472">
        <f>IF($AD472="","",INDEX('Per Line'!$AG$2:$AG$3001,$AD472))</f>
        <v/>
      </c>
      <c r="R472">
        <f>IF($AD472="","",IF(AND(ISNUMBER(Q472),Q472&gt;0),AB472&gt;Q472,FALSE))</f>
        <v/>
      </c>
      <c r="S472" s="7">
        <f>IF($AD472="","",SUMIFS('Per Line'!$AB$2:$AB$3001,'Per Line'!$E$2:$E$3001,$B472,'Per Line'!$AQ$2:$AQ$3001,1))</f>
        <v/>
      </c>
      <c r="T472">
        <f>IF($AD472="","",Settings!$C$7)</f>
        <v/>
      </c>
      <c r="U472" s="7">
        <f>IF($AD472="","",SUMIFS('Per Line'!$AB$2:$AB$3001,'Per Line'!$E$2:$E$3001,$B472,'Per Line'!$AP$2:$AP$3001,0,'Per Line'!$AQ$2:$AQ$3001,0))</f>
        <v/>
      </c>
      <c r="V472" s="7">
        <f>IF($AD472="","",U472*T472)</f>
        <v/>
      </c>
      <c r="W472">
        <f>IF($AD472="","",Settings!$C$6)</f>
        <v/>
      </c>
      <c r="X472" s="7">
        <f>IF($AD472="","",SUMIFS('Per Line'!$AB$2:$AB$3001,'Per Line'!$E$2:$E$3001,$B472,'Per Line'!$AP$2:$AP$3001,1,'Per Line'!$AQ$2:$AQ$3001,0))</f>
        <v/>
      </c>
      <c r="Y472" s="7">
        <f>IF($AD472="","",X472*W472)</f>
        <v/>
      </c>
      <c r="Z472" s="7">
        <f>IF($AD472="","",Y472+V472)</f>
        <v/>
      </c>
      <c r="AA472" s="7">
        <f>IF($AD472="","",AB472-Z472)</f>
        <v/>
      </c>
      <c r="AB472" s="7">
        <f>IF($AD472="","",U472+X472+S472)</f>
        <v/>
      </c>
      <c r="AC472" s="7">
        <f>IF($AD472="","",AB472-Z472-P472)</f>
        <v/>
      </c>
      <c r="AD472" s="13">
        <f>IF(ROWS($AD$2:$AD472)&lt;=MAX('Per Line'!$AO$2:$AO$3001),MATCH(ROWS($AD$2:$AD472),'Per Line'!$AO$2:$AO$3001,0),"")</f>
        <v/>
      </c>
      <c r="AE472" s="14">
        <f>IF($AD472="","",P472-O472*AB472/100)</f>
        <v/>
      </c>
    </row>
    <row r="473">
      <c r="A473" s="12" t="n"/>
      <c r="B473">
        <f>IF($AD473="","",INDEX('Per Line'!$E$2:$E$3001,$AD473)&amp;"")</f>
        <v/>
      </c>
      <c r="C473">
        <f>IF($AD473="","",INDEX('Per Line'!$A$2:$A$3001,$AD473)&amp;"")</f>
        <v/>
      </c>
      <c r="D473">
        <f>IF($AD473="","",INDEX('Per Line'!$C$2:$C$3001,$AD473)&amp;"")</f>
        <v/>
      </c>
      <c r="E473">
        <f>IF($AD473="","",INDEX('Per Line'!$B$2:$B$3001,$AD473))</f>
        <v/>
      </c>
      <c r="F473">
        <f>IF($AD473="","",INDEX('Per Line'!$D$2:$D$3001,$AD473)&amp;"")</f>
        <v/>
      </c>
      <c r="G473" s="11">
        <f>IF($AD473="","",INDEX('Per Line'!$G$2:$G$3001,$AD473))</f>
        <v/>
      </c>
      <c r="H473">
        <f>IF($AD473="","",INDEX('Per Line'!$J$2:$J$3001,$AD473)&amp;"")</f>
        <v/>
      </c>
      <c r="I473">
        <f>IF($AD473="","",INDEX('Per Line'!$H$2:$H$3001,$AD473)&amp;"")</f>
        <v/>
      </c>
      <c r="J473">
        <f>IF($AD473="","",INDEX('Per Line'!$F$2:$F$3001,$AD473)&amp;"")</f>
        <v/>
      </c>
      <c r="K473">
        <f>IF($AD473="","",INDEX('Per Line'!$K$2:$K$3001,$AD473)&amp;"")</f>
        <v/>
      </c>
      <c r="L473">
        <f>IF($AD473="","",INDEX('Per Line'!$L$2:$L$3001,$AD473)&amp;"")</f>
        <v/>
      </c>
      <c r="M473">
        <f>IF($AD473="","",INDEX('Per Line'!$M$2:$M$3001,$AD473)&amp;"")</f>
        <v/>
      </c>
      <c r="N473">
        <f>IF($AD473="","",INDEX('Per Line'!$AC$2:$AC$3001,$AD473)&amp;"")</f>
        <v/>
      </c>
      <c r="O473">
        <f>IF($AD473="","",INDEX('Per Line'!$P$2:$P$3001,$AD473))</f>
        <v/>
      </c>
      <c r="P473" s="7">
        <f>IF($AD473="","",IF(AND(ISNUMBER(Q473),Q473&gt;0,AB473&gt;Q473),O473*Q473/100+(AB473-Q473),O473*AB473/100))</f>
        <v/>
      </c>
      <c r="Q473">
        <f>IF($AD473="","",INDEX('Per Line'!$AG$2:$AG$3001,$AD473))</f>
        <v/>
      </c>
      <c r="R473">
        <f>IF($AD473="","",IF(AND(ISNUMBER(Q473),Q473&gt;0),AB473&gt;Q473,FALSE))</f>
        <v/>
      </c>
      <c r="S473" s="7">
        <f>IF($AD473="","",SUMIFS('Per Line'!$AB$2:$AB$3001,'Per Line'!$E$2:$E$3001,$B473,'Per Line'!$AQ$2:$AQ$3001,1))</f>
        <v/>
      </c>
      <c r="T473">
        <f>IF($AD473="","",Settings!$C$7)</f>
        <v/>
      </c>
      <c r="U473" s="7">
        <f>IF($AD473="","",SUMIFS('Per Line'!$AB$2:$AB$3001,'Per Line'!$E$2:$E$3001,$B473,'Per Line'!$AP$2:$AP$3001,0,'Per Line'!$AQ$2:$AQ$3001,0))</f>
        <v/>
      </c>
      <c r="V473" s="7">
        <f>IF($AD473="","",U473*T473)</f>
        <v/>
      </c>
      <c r="W473">
        <f>IF($AD473="","",Settings!$C$6)</f>
        <v/>
      </c>
      <c r="X473" s="7">
        <f>IF($AD473="","",SUMIFS('Per Line'!$AB$2:$AB$3001,'Per Line'!$E$2:$E$3001,$B473,'Per Line'!$AP$2:$AP$3001,1,'Per Line'!$AQ$2:$AQ$3001,0))</f>
        <v/>
      </c>
      <c r="Y473" s="7">
        <f>IF($AD473="","",X473*W473)</f>
        <v/>
      </c>
      <c r="Z473" s="7">
        <f>IF($AD473="","",Y473+V473)</f>
        <v/>
      </c>
      <c r="AA473" s="7">
        <f>IF($AD473="","",AB473-Z473)</f>
        <v/>
      </c>
      <c r="AB473" s="7">
        <f>IF($AD473="","",U473+X473+S473)</f>
        <v/>
      </c>
      <c r="AC473" s="7">
        <f>IF($AD473="","",AB473-Z473-P473)</f>
        <v/>
      </c>
      <c r="AD473" s="13">
        <f>IF(ROWS($AD$2:$AD473)&lt;=MAX('Per Line'!$AO$2:$AO$3001),MATCH(ROWS($AD$2:$AD473),'Per Line'!$AO$2:$AO$3001,0),"")</f>
        <v/>
      </c>
      <c r="AE473" s="14">
        <f>IF($AD473="","",P473-O473*AB473/100)</f>
        <v/>
      </c>
    </row>
    <row r="474">
      <c r="A474" s="12" t="n"/>
      <c r="B474">
        <f>IF($AD474="","",INDEX('Per Line'!$E$2:$E$3001,$AD474)&amp;"")</f>
        <v/>
      </c>
      <c r="C474">
        <f>IF($AD474="","",INDEX('Per Line'!$A$2:$A$3001,$AD474)&amp;"")</f>
        <v/>
      </c>
      <c r="D474">
        <f>IF($AD474="","",INDEX('Per Line'!$C$2:$C$3001,$AD474)&amp;"")</f>
        <v/>
      </c>
      <c r="E474">
        <f>IF($AD474="","",INDEX('Per Line'!$B$2:$B$3001,$AD474))</f>
        <v/>
      </c>
      <c r="F474">
        <f>IF($AD474="","",INDEX('Per Line'!$D$2:$D$3001,$AD474)&amp;"")</f>
        <v/>
      </c>
      <c r="G474" s="11">
        <f>IF($AD474="","",INDEX('Per Line'!$G$2:$G$3001,$AD474))</f>
        <v/>
      </c>
      <c r="H474">
        <f>IF($AD474="","",INDEX('Per Line'!$J$2:$J$3001,$AD474)&amp;"")</f>
        <v/>
      </c>
      <c r="I474">
        <f>IF($AD474="","",INDEX('Per Line'!$H$2:$H$3001,$AD474)&amp;"")</f>
        <v/>
      </c>
      <c r="J474">
        <f>IF($AD474="","",INDEX('Per Line'!$F$2:$F$3001,$AD474)&amp;"")</f>
        <v/>
      </c>
      <c r="K474">
        <f>IF($AD474="","",INDEX('Per Line'!$K$2:$K$3001,$AD474)&amp;"")</f>
        <v/>
      </c>
      <c r="L474">
        <f>IF($AD474="","",INDEX('Per Line'!$L$2:$L$3001,$AD474)&amp;"")</f>
        <v/>
      </c>
      <c r="M474">
        <f>IF($AD474="","",INDEX('Per Line'!$M$2:$M$3001,$AD474)&amp;"")</f>
        <v/>
      </c>
      <c r="N474">
        <f>IF($AD474="","",INDEX('Per Line'!$AC$2:$AC$3001,$AD474)&amp;"")</f>
        <v/>
      </c>
      <c r="O474">
        <f>IF($AD474="","",INDEX('Per Line'!$P$2:$P$3001,$AD474))</f>
        <v/>
      </c>
      <c r="P474" s="7">
        <f>IF($AD474="","",IF(AND(ISNUMBER(Q474),Q474&gt;0,AB474&gt;Q474),O474*Q474/100+(AB474-Q474),O474*AB474/100))</f>
        <v/>
      </c>
      <c r="Q474">
        <f>IF($AD474="","",INDEX('Per Line'!$AG$2:$AG$3001,$AD474))</f>
        <v/>
      </c>
      <c r="R474">
        <f>IF($AD474="","",IF(AND(ISNUMBER(Q474),Q474&gt;0),AB474&gt;Q474,FALSE))</f>
        <v/>
      </c>
      <c r="S474" s="7">
        <f>IF($AD474="","",SUMIFS('Per Line'!$AB$2:$AB$3001,'Per Line'!$E$2:$E$3001,$B474,'Per Line'!$AQ$2:$AQ$3001,1))</f>
        <v/>
      </c>
      <c r="T474">
        <f>IF($AD474="","",Settings!$C$7)</f>
        <v/>
      </c>
      <c r="U474" s="7">
        <f>IF($AD474="","",SUMIFS('Per Line'!$AB$2:$AB$3001,'Per Line'!$E$2:$E$3001,$B474,'Per Line'!$AP$2:$AP$3001,0,'Per Line'!$AQ$2:$AQ$3001,0))</f>
        <v/>
      </c>
      <c r="V474" s="7">
        <f>IF($AD474="","",U474*T474)</f>
        <v/>
      </c>
      <c r="W474">
        <f>IF($AD474="","",Settings!$C$6)</f>
        <v/>
      </c>
      <c r="X474" s="7">
        <f>IF($AD474="","",SUMIFS('Per Line'!$AB$2:$AB$3001,'Per Line'!$E$2:$E$3001,$B474,'Per Line'!$AP$2:$AP$3001,1,'Per Line'!$AQ$2:$AQ$3001,0))</f>
        <v/>
      </c>
      <c r="Y474" s="7">
        <f>IF($AD474="","",X474*W474)</f>
        <v/>
      </c>
      <c r="Z474" s="7">
        <f>IF($AD474="","",Y474+V474)</f>
        <v/>
      </c>
      <c r="AA474" s="7">
        <f>IF($AD474="","",AB474-Z474)</f>
        <v/>
      </c>
      <c r="AB474" s="7">
        <f>IF($AD474="","",U474+X474+S474)</f>
        <v/>
      </c>
      <c r="AC474" s="7">
        <f>IF($AD474="","",AB474-Z474-P474)</f>
        <v/>
      </c>
      <c r="AD474" s="13">
        <f>IF(ROWS($AD$2:$AD474)&lt;=MAX('Per Line'!$AO$2:$AO$3001),MATCH(ROWS($AD$2:$AD474),'Per Line'!$AO$2:$AO$3001,0),"")</f>
        <v/>
      </c>
      <c r="AE474" s="14">
        <f>IF($AD474="","",P474-O474*AB474/100)</f>
        <v/>
      </c>
    </row>
    <row r="475">
      <c r="A475" s="12" t="n"/>
      <c r="B475">
        <f>IF($AD475="","",INDEX('Per Line'!$E$2:$E$3001,$AD475)&amp;"")</f>
        <v/>
      </c>
      <c r="C475">
        <f>IF($AD475="","",INDEX('Per Line'!$A$2:$A$3001,$AD475)&amp;"")</f>
        <v/>
      </c>
      <c r="D475">
        <f>IF($AD475="","",INDEX('Per Line'!$C$2:$C$3001,$AD475)&amp;"")</f>
        <v/>
      </c>
      <c r="E475">
        <f>IF($AD475="","",INDEX('Per Line'!$B$2:$B$3001,$AD475))</f>
        <v/>
      </c>
      <c r="F475">
        <f>IF($AD475="","",INDEX('Per Line'!$D$2:$D$3001,$AD475)&amp;"")</f>
        <v/>
      </c>
      <c r="G475" s="11">
        <f>IF($AD475="","",INDEX('Per Line'!$G$2:$G$3001,$AD475))</f>
        <v/>
      </c>
      <c r="H475">
        <f>IF($AD475="","",INDEX('Per Line'!$J$2:$J$3001,$AD475)&amp;"")</f>
        <v/>
      </c>
      <c r="I475">
        <f>IF($AD475="","",INDEX('Per Line'!$H$2:$H$3001,$AD475)&amp;"")</f>
        <v/>
      </c>
      <c r="J475">
        <f>IF($AD475="","",INDEX('Per Line'!$F$2:$F$3001,$AD475)&amp;"")</f>
        <v/>
      </c>
      <c r="K475">
        <f>IF($AD475="","",INDEX('Per Line'!$K$2:$K$3001,$AD475)&amp;"")</f>
        <v/>
      </c>
      <c r="L475">
        <f>IF($AD475="","",INDEX('Per Line'!$L$2:$L$3001,$AD475)&amp;"")</f>
        <v/>
      </c>
      <c r="M475">
        <f>IF($AD475="","",INDEX('Per Line'!$M$2:$M$3001,$AD475)&amp;"")</f>
        <v/>
      </c>
      <c r="N475">
        <f>IF($AD475="","",INDEX('Per Line'!$AC$2:$AC$3001,$AD475)&amp;"")</f>
        <v/>
      </c>
      <c r="O475">
        <f>IF($AD475="","",INDEX('Per Line'!$P$2:$P$3001,$AD475))</f>
        <v/>
      </c>
      <c r="P475" s="7">
        <f>IF($AD475="","",IF(AND(ISNUMBER(Q475),Q475&gt;0,AB475&gt;Q475),O475*Q475/100+(AB475-Q475),O475*AB475/100))</f>
        <v/>
      </c>
      <c r="Q475">
        <f>IF($AD475="","",INDEX('Per Line'!$AG$2:$AG$3001,$AD475))</f>
        <v/>
      </c>
      <c r="R475">
        <f>IF($AD475="","",IF(AND(ISNUMBER(Q475),Q475&gt;0),AB475&gt;Q475,FALSE))</f>
        <v/>
      </c>
      <c r="S475" s="7">
        <f>IF($AD475="","",SUMIFS('Per Line'!$AB$2:$AB$3001,'Per Line'!$E$2:$E$3001,$B475,'Per Line'!$AQ$2:$AQ$3001,1))</f>
        <v/>
      </c>
      <c r="T475">
        <f>IF($AD475="","",Settings!$C$7)</f>
        <v/>
      </c>
      <c r="U475" s="7">
        <f>IF($AD475="","",SUMIFS('Per Line'!$AB$2:$AB$3001,'Per Line'!$E$2:$E$3001,$B475,'Per Line'!$AP$2:$AP$3001,0,'Per Line'!$AQ$2:$AQ$3001,0))</f>
        <v/>
      </c>
      <c r="V475" s="7">
        <f>IF($AD475="","",U475*T475)</f>
        <v/>
      </c>
      <c r="W475">
        <f>IF($AD475="","",Settings!$C$6)</f>
        <v/>
      </c>
      <c r="X475" s="7">
        <f>IF($AD475="","",SUMIFS('Per Line'!$AB$2:$AB$3001,'Per Line'!$E$2:$E$3001,$B475,'Per Line'!$AP$2:$AP$3001,1,'Per Line'!$AQ$2:$AQ$3001,0))</f>
        <v/>
      </c>
      <c r="Y475" s="7">
        <f>IF($AD475="","",X475*W475)</f>
        <v/>
      </c>
      <c r="Z475" s="7">
        <f>IF($AD475="","",Y475+V475)</f>
        <v/>
      </c>
      <c r="AA475" s="7">
        <f>IF($AD475="","",AB475-Z475)</f>
        <v/>
      </c>
      <c r="AB475" s="7">
        <f>IF($AD475="","",U475+X475+S475)</f>
        <v/>
      </c>
      <c r="AC475" s="7">
        <f>IF($AD475="","",AB475-Z475-P475)</f>
        <v/>
      </c>
      <c r="AD475" s="13">
        <f>IF(ROWS($AD$2:$AD475)&lt;=MAX('Per Line'!$AO$2:$AO$3001),MATCH(ROWS($AD$2:$AD475),'Per Line'!$AO$2:$AO$3001,0),"")</f>
        <v/>
      </c>
      <c r="AE475" s="14">
        <f>IF($AD475="","",P475-O475*AB475/100)</f>
        <v/>
      </c>
    </row>
    <row r="476">
      <c r="A476" s="12" t="n"/>
      <c r="B476">
        <f>IF($AD476="","",INDEX('Per Line'!$E$2:$E$3001,$AD476)&amp;"")</f>
        <v/>
      </c>
      <c r="C476">
        <f>IF($AD476="","",INDEX('Per Line'!$A$2:$A$3001,$AD476)&amp;"")</f>
        <v/>
      </c>
      <c r="D476">
        <f>IF($AD476="","",INDEX('Per Line'!$C$2:$C$3001,$AD476)&amp;"")</f>
        <v/>
      </c>
      <c r="E476">
        <f>IF($AD476="","",INDEX('Per Line'!$B$2:$B$3001,$AD476))</f>
        <v/>
      </c>
      <c r="F476">
        <f>IF($AD476="","",INDEX('Per Line'!$D$2:$D$3001,$AD476)&amp;"")</f>
        <v/>
      </c>
      <c r="G476" s="11">
        <f>IF($AD476="","",INDEX('Per Line'!$G$2:$G$3001,$AD476))</f>
        <v/>
      </c>
      <c r="H476">
        <f>IF($AD476="","",INDEX('Per Line'!$J$2:$J$3001,$AD476)&amp;"")</f>
        <v/>
      </c>
      <c r="I476">
        <f>IF($AD476="","",INDEX('Per Line'!$H$2:$H$3001,$AD476)&amp;"")</f>
        <v/>
      </c>
      <c r="J476">
        <f>IF($AD476="","",INDEX('Per Line'!$F$2:$F$3001,$AD476)&amp;"")</f>
        <v/>
      </c>
      <c r="K476">
        <f>IF($AD476="","",INDEX('Per Line'!$K$2:$K$3001,$AD476)&amp;"")</f>
        <v/>
      </c>
      <c r="L476">
        <f>IF($AD476="","",INDEX('Per Line'!$L$2:$L$3001,$AD476)&amp;"")</f>
        <v/>
      </c>
      <c r="M476">
        <f>IF($AD476="","",INDEX('Per Line'!$M$2:$M$3001,$AD476)&amp;"")</f>
        <v/>
      </c>
      <c r="N476">
        <f>IF($AD476="","",INDEX('Per Line'!$AC$2:$AC$3001,$AD476)&amp;"")</f>
        <v/>
      </c>
      <c r="O476">
        <f>IF($AD476="","",INDEX('Per Line'!$P$2:$P$3001,$AD476))</f>
        <v/>
      </c>
      <c r="P476" s="7">
        <f>IF($AD476="","",IF(AND(ISNUMBER(Q476),Q476&gt;0,AB476&gt;Q476),O476*Q476/100+(AB476-Q476),O476*AB476/100))</f>
        <v/>
      </c>
      <c r="Q476">
        <f>IF($AD476="","",INDEX('Per Line'!$AG$2:$AG$3001,$AD476))</f>
        <v/>
      </c>
      <c r="R476">
        <f>IF($AD476="","",IF(AND(ISNUMBER(Q476),Q476&gt;0),AB476&gt;Q476,FALSE))</f>
        <v/>
      </c>
      <c r="S476" s="7">
        <f>IF($AD476="","",SUMIFS('Per Line'!$AB$2:$AB$3001,'Per Line'!$E$2:$E$3001,$B476,'Per Line'!$AQ$2:$AQ$3001,1))</f>
        <v/>
      </c>
      <c r="T476">
        <f>IF($AD476="","",Settings!$C$7)</f>
        <v/>
      </c>
      <c r="U476" s="7">
        <f>IF($AD476="","",SUMIFS('Per Line'!$AB$2:$AB$3001,'Per Line'!$E$2:$E$3001,$B476,'Per Line'!$AP$2:$AP$3001,0,'Per Line'!$AQ$2:$AQ$3001,0))</f>
        <v/>
      </c>
      <c r="V476" s="7">
        <f>IF($AD476="","",U476*T476)</f>
        <v/>
      </c>
      <c r="W476">
        <f>IF($AD476="","",Settings!$C$6)</f>
        <v/>
      </c>
      <c r="X476" s="7">
        <f>IF($AD476="","",SUMIFS('Per Line'!$AB$2:$AB$3001,'Per Line'!$E$2:$E$3001,$B476,'Per Line'!$AP$2:$AP$3001,1,'Per Line'!$AQ$2:$AQ$3001,0))</f>
        <v/>
      </c>
      <c r="Y476" s="7">
        <f>IF($AD476="","",X476*W476)</f>
        <v/>
      </c>
      <c r="Z476" s="7">
        <f>IF($AD476="","",Y476+V476)</f>
        <v/>
      </c>
      <c r="AA476" s="7">
        <f>IF($AD476="","",AB476-Z476)</f>
        <v/>
      </c>
      <c r="AB476" s="7">
        <f>IF($AD476="","",U476+X476+S476)</f>
        <v/>
      </c>
      <c r="AC476" s="7">
        <f>IF($AD476="","",AB476-Z476-P476)</f>
        <v/>
      </c>
      <c r="AD476" s="13">
        <f>IF(ROWS($AD$2:$AD476)&lt;=MAX('Per Line'!$AO$2:$AO$3001),MATCH(ROWS($AD$2:$AD476),'Per Line'!$AO$2:$AO$3001,0),"")</f>
        <v/>
      </c>
      <c r="AE476" s="14">
        <f>IF($AD476="","",P476-O476*AB476/100)</f>
        <v/>
      </c>
    </row>
    <row r="477">
      <c r="A477" s="12" t="n"/>
      <c r="B477">
        <f>IF($AD477="","",INDEX('Per Line'!$E$2:$E$3001,$AD477)&amp;"")</f>
        <v/>
      </c>
      <c r="C477">
        <f>IF($AD477="","",INDEX('Per Line'!$A$2:$A$3001,$AD477)&amp;"")</f>
        <v/>
      </c>
      <c r="D477">
        <f>IF($AD477="","",INDEX('Per Line'!$C$2:$C$3001,$AD477)&amp;"")</f>
        <v/>
      </c>
      <c r="E477">
        <f>IF($AD477="","",INDEX('Per Line'!$B$2:$B$3001,$AD477))</f>
        <v/>
      </c>
      <c r="F477">
        <f>IF($AD477="","",INDEX('Per Line'!$D$2:$D$3001,$AD477)&amp;"")</f>
        <v/>
      </c>
      <c r="G477" s="11">
        <f>IF($AD477="","",INDEX('Per Line'!$G$2:$G$3001,$AD477))</f>
        <v/>
      </c>
      <c r="H477">
        <f>IF($AD477="","",INDEX('Per Line'!$J$2:$J$3001,$AD477)&amp;"")</f>
        <v/>
      </c>
      <c r="I477">
        <f>IF($AD477="","",INDEX('Per Line'!$H$2:$H$3001,$AD477)&amp;"")</f>
        <v/>
      </c>
      <c r="J477">
        <f>IF($AD477="","",INDEX('Per Line'!$F$2:$F$3001,$AD477)&amp;"")</f>
        <v/>
      </c>
      <c r="K477">
        <f>IF($AD477="","",INDEX('Per Line'!$K$2:$K$3001,$AD477)&amp;"")</f>
        <v/>
      </c>
      <c r="L477">
        <f>IF($AD477="","",INDEX('Per Line'!$L$2:$L$3001,$AD477)&amp;"")</f>
        <v/>
      </c>
      <c r="M477">
        <f>IF($AD477="","",INDEX('Per Line'!$M$2:$M$3001,$AD477)&amp;"")</f>
        <v/>
      </c>
      <c r="N477">
        <f>IF($AD477="","",INDEX('Per Line'!$AC$2:$AC$3001,$AD477)&amp;"")</f>
        <v/>
      </c>
      <c r="O477">
        <f>IF($AD477="","",INDEX('Per Line'!$P$2:$P$3001,$AD477))</f>
        <v/>
      </c>
      <c r="P477" s="7">
        <f>IF($AD477="","",IF(AND(ISNUMBER(Q477),Q477&gt;0,AB477&gt;Q477),O477*Q477/100+(AB477-Q477),O477*AB477/100))</f>
        <v/>
      </c>
      <c r="Q477">
        <f>IF($AD477="","",INDEX('Per Line'!$AG$2:$AG$3001,$AD477))</f>
        <v/>
      </c>
      <c r="R477">
        <f>IF($AD477="","",IF(AND(ISNUMBER(Q477),Q477&gt;0),AB477&gt;Q477,FALSE))</f>
        <v/>
      </c>
      <c r="S477" s="7">
        <f>IF($AD477="","",SUMIFS('Per Line'!$AB$2:$AB$3001,'Per Line'!$E$2:$E$3001,$B477,'Per Line'!$AQ$2:$AQ$3001,1))</f>
        <v/>
      </c>
      <c r="T477">
        <f>IF($AD477="","",Settings!$C$7)</f>
        <v/>
      </c>
      <c r="U477" s="7">
        <f>IF($AD477="","",SUMIFS('Per Line'!$AB$2:$AB$3001,'Per Line'!$E$2:$E$3001,$B477,'Per Line'!$AP$2:$AP$3001,0,'Per Line'!$AQ$2:$AQ$3001,0))</f>
        <v/>
      </c>
      <c r="V477" s="7">
        <f>IF($AD477="","",U477*T477)</f>
        <v/>
      </c>
      <c r="W477">
        <f>IF($AD477="","",Settings!$C$6)</f>
        <v/>
      </c>
      <c r="X477" s="7">
        <f>IF($AD477="","",SUMIFS('Per Line'!$AB$2:$AB$3001,'Per Line'!$E$2:$E$3001,$B477,'Per Line'!$AP$2:$AP$3001,1,'Per Line'!$AQ$2:$AQ$3001,0))</f>
        <v/>
      </c>
      <c r="Y477" s="7">
        <f>IF($AD477="","",X477*W477)</f>
        <v/>
      </c>
      <c r="Z477" s="7">
        <f>IF($AD477="","",Y477+V477)</f>
        <v/>
      </c>
      <c r="AA477" s="7">
        <f>IF($AD477="","",AB477-Z477)</f>
        <v/>
      </c>
      <c r="AB477" s="7">
        <f>IF($AD477="","",U477+X477+S477)</f>
        <v/>
      </c>
      <c r="AC477" s="7">
        <f>IF($AD477="","",AB477-Z477-P477)</f>
        <v/>
      </c>
      <c r="AD477" s="13">
        <f>IF(ROWS($AD$2:$AD477)&lt;=MAX('Per Line'!$AO$2:$AO$3001),MATCH(ROWS($AD$2:$AD477),'Per Line'!$AO$2:$AO$3001,0),"")</f>
        <v/>
      </c>
      <c r="AE477" s="14">
        <f>IF($AD477="","",P477-O477*AB477/100)</f>
        <v/>
      </c>
    </row>
    <row r="478">
      <c r="A478" s="12" t="n"/>
      <c r="B478">
        <f>IF($AD478="","",INDEX('Per Line'!$E$2:$E$3001,$AD478)&amp;"")</f>
        <v/>
      </c>
      <c r="C478">
        <f>IF($AD478="","",INDEX('Per Line'!$A$2:$A$3001,$AD478)&amp;"")</f>
        <v/>
      </c>
      <c r="D478">
        <f>IF($AD478="","",INDEX('Per Line'!$C$2:$C$3001,$AD478)&amp;"")</f>
        <v/>
      </c>
      <c r="E478">
        <f>IF($AD478="","",INDEX('Per Line'!$B$2:$B$3001,$AD478))</f>
        <v/>
      </c>
      <c r="F478">
        <f>IF($AD478="","",INDEX('Per Line'!$D$2:$D$3001,$AD478)&amp;"")</f>
        <v/>
      </c>
      <c r="G478" s="11">
        <f>IF($AD478="","",INDEX('Per Line'!$G$2:$G$3001,$AD478))</f>
        <v/>
      </c>
      <c r="H478">
        <f>IF($AD478="","",INDEX('Per Line'!$J$2:$J$3001,$AD478)&amp;"")</f>
        <v/>
      </c>
      <c r="I478">
        <f>IF($AD478="","",INDEX('Per Line'!$H$2:$H$3001,$AD478)&amp;"")</f>
        <v/>
      </c>
      <c r="J478">
        <f>IF($AD478="","",INDEX('Per Line'!$F$2:$F$3001,$AD478)&amp;"")</f>
        <v/>
      </c>
      <c r="K478">
        <f>IF($AD478="","",INDEX('Per Line'!$K$2:$K$3001,$AD478)&amp;"")</f>
        <v/>
      </c>
      <c r="L478">
        <f>IF($AD478="","",INDEX('Per Line'!$L$2:$L$3001,$AD478)&amp;"")</f>
        <v/>
      </c>
      <c r="M478">
        <f>IF($AD478="","",INDEX('Per Line'!$M$2:$M$3001,$AD478)&amp;"")</f>
        <v/>
      </c>
      <c r="N478">
        <f>IF($AD478="","",INDEX('Per Line'!$AC$2:$AC$3001,$AD478)&amp;"")</f>
        <v/>
      </c>
      <c r="O478">
        <f>IF($AD478="","",INDEX('Per Line'!$P$2:$P$3001,$AD478))</f>
        <v/>
      </c>
      <c r="P478" s="7">
        <f>IF($AD478="","",IF(AND(ISNUMBER(Q478),Q478&gt;0,AB478&gt;Q478),O478*Q478/100+(AB478-Q478),O478*AB478/100))</f>
        <v/>
      </c>
      <c r="Q478">
        <f>IF($AD478="","",INDEX('Per Line'!$AG$2:$AG$3001,$AD478))</f>
        <v/>
      </c>
      <c r="R478">
        <f>IF($AD478="","",IF(AND(ISNUMBER(Q478),Q478&gt;0),AB478&gt;Q478,FALSE))</f>
        <v/>
      </c>
      <c r="S478" s="7">
        <f>IF($AD478="","",SUMIFS('Per Line'!$AB$2:$AB$3001,'Per Line'!$E$2:$E$3001,$B478,'Per Line'!$AQ$2:$AQ$3001,1))</f>
        <v/>
      </c>
      <c r="T478">
        <f>IF($AD478="","",Settings!$C$7)</f>
        <v/>
      </c>
      <c r="U478" s="7">
        <f>IF($AD478="","",SUMIFS('Per Line'!$AB$2:$AB$3001,'Per Line'!$E$2:$E$3001,$B478,'Per Line'!$AP$2:$AP$3001,0,'Per Line'!$AQ$2:$AQ$3001,0))</f>
        <v/>
      </c>
      <c r="V478" s="7">
        <f>IF($AD478="","",U478*T478)</f>
        <v/>
      </c>
      <c r="W478">
        <f>IF($AD478="","",Settings!$C$6)</f>
        <v/>
      </c>
      <c r="X478" s="7">
        <f>IF($AD478="","",SUMIFS('Per Line'!$AB$2:$AB$3001,'Per Line'!$E$2:$E$3001,$B478,'Per Line'!$AP$2:$AP$3001,1,'Per Line'!$AQ$2:$AQ$3001,0))</f>
        <v/>
      </c>
      <c r="Y478" s="7">
        <f>IF($AD478="","",X478*W478)</f>
        <v/>
      </c>
      <c r="Z478" s="7">
        <f>IF($AD478="","",Y478+V478)</f>
        <v/>
      </c>
      <c r="AA478" s="7">
        <f>IF($AD478="","",AB478-Z478)</f>
        <v/>
      </c>
      <c r="AB478" s="7">
        <f>IF($AD478="","",U478+X478+S478)</f>
        <v/>
      </c>
      <c r="AC478" s="7">
        <f>IF($AD478="","",AB478-Z478-P478)</f>
        <v/>
      </c>
      <c r="AD478" s="13">
        <f>IF(ROWS($AD$2:$AD478)&lt;=MAX('Per Line'!$AO$2:$AO$3001),MATCH(ROWS($AD$2:$AD478),'Per Line'!$AO$2:$AO$3001,0),"")</f>
        <v/>
      </c>
      <c r="AE478" s="14">
        <f>IF($AD478="","",P478-O478*AB478/100)</f>
        <v/>
      </c>
    </row>
    <row r="479">
      <c r="A479" s="12" t="n"/>
      <c r="B479">
        <f>IF($AD479="","",INDEX('Per Line'!$E$2:$E$3001,$AD479)&amp;"")</f>
        <v/>
      </c>
      <c r="C479">
        <f>IF($AD479="","",INDEX('Per Line'!$A$2:$A$3001,$AD479)&amp;"")</f>
        <v/>
      </c>
      <c r="D479">
        <f>IF($AD479="","",INDEX('Per Line'!$C$2:$C$3001,$AD479)&amp;"")</f>
        <v/>
      </c>
      <c r="E479">
        <f>IF($AD479="","",INDEX('Per Line'!$B$2:$B$3001,$AD479))</f>
        <v/>
      </c>
      <c r="F479">
        <f>IF($AD479="","",INDEX('Per Line'!$D$2:$D$3001,$AD479)&amp;"")</f>
        <v/>
      </c>
      <c r="G479" s="11">
        <f>IF($AD479="","",INDEX('Per Line'!$G$2:$G$3001,$AD479))</f>
        <v/>
      </c>
      <c r="H479">
        <f>IF($AD479="","",INDEX('Per Line'!$J$2:$J$3001,$AD479)&amp;"")</f>
        <v/>
      </c>
      <c r="I479">
        <f>IF($AD479="","",INDEX('Per Line'!$H$2:$H$3001,$AD479)&amp;"")</f>
        <v/>
      </c>
      <c r="J479">
        <f>IF($AD479="","",INDEX('Per Line'!$F$2:$F$3001,$AD479)&amp;"")</f>
        <v/>
      </c>
      <c r="K479">
        <f>IF($AD479="","",INDEX('Per Line'!$K$2:$K$3001,$AD479)&amp;"")</f>
        <v/>
      </c>
      <c r="L479">
        <f>IF($AD479="","",INDEX('Per Line'!$L$2:$L$3001,$AD479)&amp;"")</f>
        <v/>
      </c>
      <c r="M479">
        <f>IF($AD479="","",INDEX('Per Line'!$M$2:$M$3001,$AD479)&amp;"")</f>
        <v/>
      </c>
      <c r="N479">
        <f>IF($AD479="","",INDEX('Per Line'!$AC$2:$AC$3001,$AD479)&amp;"")</f>
        <v/>
      </c>
      <c r="O479">
        <f>IF($AD479="","",INDEX('Per Line'!$P$2:$P$3001,$AD479))</f>
        <v/>
      </c>
      <c r="P479" s="7">
        <f>IF($AD479="","",IF(AND(ISNUMBER(Q479),Q479&gt;0,AB479&gt;Q479),O479*Q479/100+(AB479-Q479),O479*AB479/100))</f>
        <v/>
      </c>
      <c r="Q479">
        <f>IF($AD479="","",INDEX('Per Line'!$AG$2:$AG$3001,$AD479))</f>
        <v/>
      </c>
      <c r="R479">
        <f>IF($AD479="","",IF(AND(ISNUMBER(Q479),Q479&gt;0),AB479&gt;Q479,FALSE))</f>
        <v/>
      </c>
      <c r="S479" s="7">
        <f>IF($AD479="","",SUMIFS('Per Line'!$AB$2:$AB$3001,'Per Line'!$E$2:$E$3001,$B479,'Per Line'!$AQ$2:$AQ$3001,1))</f>
        <v/>
      </c>
      <c r="T479">
        <f>IF($AD479="","",Settings!$C$7)</f>
        <v/>
      </c>
      <c r="U479" s="7">
        <f>IF($AD479="","",SUMIFS('Per Line'!$AB$2:$AB$3001,'Per Line'!$E$2:$E$3001,$B479,'Per Line'!$AP$2:$AP$3001,0,'Per Line'!$AQ$2:$AQ$3001,0))</f>
        <v/>
      </c>
      <c r="V479" s="7">
        <f>IF($AD479="","",U479*T479)</f>
        <v/>
      </c>
      <c r="W479">
        <f>IF($AD479="","",Settings!$C$6)</f>
        <v/>
      </c>
      <c r="X479" s="7">
        <f>IF($AD479="","",SUMIFS('Per Line'!$AB$2:$AB$3001,'Per Line'!$E$2:$E$3001,$B479,'Per Line'!$AP$2:$AP$3001,1,'Per Line'!$AQ$2:$AQ$3001,0))</f>
        <v/>
      </c>
      <c r="Y479" s="7">
        <f>IF($AD479="","",X479*W479)</f>
        <v/>
      </c>
      <c r="Z479" s="7">
        <f>IF($AD479="","",Y479+V479)</f>
        <v/>
      </c>
      <c r="AA479" s="7">
        <f>IF($AD479="","",AB479-Z479)</f>
        <v/>
      </c>
      <c r="AB479" s="7">
        <f>IF($AD479="","",U479+X479+S479)</f>
        <v/>
      </c>
      <c r="AC479" s="7">
        <f>IF($AD479="","",AB479-Z479-P479)</f>
        <v/>
      </c>
      <c r="AD479" s="13">
        <f>IF(ROWS($AD$2:$AD479)&lt;=MAX('Per Line'!$AO$2:$AO$3001),MATCH(ROWS($AD$2:$AD479),'Per Line'!$AO$2:$AO$3001,0),"")</f>
        <v/>
      </c>
      <c r="AE479" s="14">
        <f>IF($AD479="","",P479-O479*AB479/100)</f>
        <v/>
      </c>
    </row>
    <row r="480">
      <c r="A480" s="12" t="n"/>
      <c r="B480">
        <f>IF($AD480="","",INDEX('Per Line'!$E$2:$E$3001,$AD480)&amp;"")</f>
        <v/>
      </c>
      <c r="C480">
        <f>IF($AD480="","",INDEX('Per Line'!$A$2:$A$3001,$AD480)&amp;"")</f>
        <v/>
      </c>
      <c r="D480">
        <f>IF($AD480="","",INDEX('Per Line'!$C$2:$C$3001,$AD480)&amp;"")</f>
        <v/>
      </c>
      <c r="E480">
        <f>IF($AD480="","",INDEX('Per Line'!$B$2:$B$3001,$AD480))</f>
        <v/>
      </c>
      <c r="F480">
        <f>IF($AD480="","",INDEX('Per Line'!$D$2:$D$3001,$AD480)&amp;"")</f>
        <v/>
      </c>
      <c r="G480" s="11">
        <f>IF($AD480="","",INDEX('Per Line'!$G$2:$G$3001,$AD480))</f>
        <v/>
      </c>
      <c r="H480">
        <f>IF($AD480="","",INDEX('Per Line'!$J$2:$J$3001,$AD480)&amp;"")</f>
        <v/>
      </c>
      <c r="I480">
        <f>IF($AD480="","",INDEX('Per Line'!$H$2:$H$3001,$AD480)&amp;"")</f>
        <v/>
      </c>
      <c r="J480">
        <f>IF($AD480="","",INDEX('Per Line'!$F$2:$F$3001,$AD480)&amp;"")</f>
        <v/>
      </c>
      <c r="K480">
        <f>IF($AD480="","",INDEX('Per Line'!$K$2:$K$3001,$AD480)&amp;"")</f>
        <v/>
      </c>
      <c r="L480">
        <f>IF($AD480="","",INDEX('Per Line'!$L$2:$L$3001,$AD480)&amp;"")</f>
        <v/>
      </c>
      <c r="M480">
        <f>IF($AD480="","",INDEX('Per Line'!$M$2:$M$3001,$AD480)&amp;"")</f>
        <v/>
      </c>
      <c r="N480">
        <f>IF($AD480="","",INDEX('Per Line'!$AC$2:$AC$3001,$AD480)&amp;"")</f>
        <v/>
      </c>
      <c r="O480">
        <f>IF($AD480="","",INDEX('Per Line'!$P$2:$P$3001,$AD480))</f>
        <v/>
      </c>
      <c r="P480" s="7">
        <f>IF($AD480="","",IF(AND(ISNUMBER(Q480),Q480&gt;0,AB480&gt;Q480),O480*Q480/100+(AB480-Q480),O480*AB480/100))</f>
        <v/>
      </c>
      <c r="Q480">
        <f>IF($AD480="","",INDEX('Per Line'!$AG$2:$AG$3001,$AD480))</f>
        <v/>
      </c>
      <c r="R480">
        <f>IF($AD480="","",IF(AND(ISNUMBER(Q480),Q480&gt;0),AB480&gt;Q480,FALSE))</f>
        <v/>
      </c>
      <c r="S480" s="7">
        <f>IF($AD480="","",SUMIFS('Per Line'!$AB$2:$AB$3001,'Per Line'!$E$2:$E$3001,$B480,'Per Line'!$AQ$2:$AQ$3001,1))</f>
        <v/>
      </c>
      <c r="T480">
        <f>IF($AD480="","",Settings!$C$7)</f>
        <v/>
      </c>
      <c r="U480" s="7">
        <f>IF($AD480="","",SUMIFS('Per Line'!$AB$2:$AB$3001,'Per Line'!$E$2:$E$3001,$B480,'Per Line'!$AP$2:$AP$3001,0,'Per Line'!$AQ$2:$AQ$3001,0))</f>
        <v/>
      </c>
      <c r="V480" s="7">
        <f>IF($AD480="","",U480*T480)</f>
        <v/>
      </c>
      <c r="W480">
        <f>IF($AD480="","",Settings!$C$6)</f>
        <v/>
      </c>
      <c r="X480" s="7">
        <f>IF($AD480="","",SUMIFS('Per Line'!$AB$2:$AB$3001,'Per Line'!$E$2:$E$3001,$B480,'Per Line'!$AP$2:$AP$3001,1,'Per Line'!$AQ$2:$AQ$3001,0))</f>
        <v/>
      </c>
      <c r="Y480" s="7">
        <f>IF($AD480="","",X480*W480)</f>
        <v/>
      </c>
      <c r="Z480" s="7">
        <f>IF($AD480="","",Y480+V480)</f>
        <v/>
      </c>
      <c r="AA480" s="7">
        <f>IF($AD480="","",AB480-Z480)</f>
        <v/>
      </c>
      <c r="AB480" s="7">
        <f>IF($AD480="","",U480+X480+S480)</f>
        <v/>
      </c>
      <c r="AC480" s="7">
        <f>IF($AD480="","",AB480-Z480-P480)</f>
        <v/>
      </c>
      <c r="AD480" s="13">
        <f>IF(ROWS($AD$2:$AD480)&lt;=MAX('Per Line'!$AO$2:$AO$3001),MATCH(ROWS($AD$2:$AD480),'Per Line'!$AO$2:$AO$3001,0),"")</f>
        <v/>
      </c>
      <c r="AE480" s="14">
        <f>IF($AD480="","",P480-O480*AB480/100)</f>
        <v/>
      </c>
    </row>
    <row r="481">
      <c r="A481" s="12" t="n"/>
      <c r="B481">
        <f>IF($AD481="","",INDEX('Per Line'!$E$2:$E$3001,$AD481)&amp;"")</f>
        <v/>
      </c>
      <c r="C481">
        <f>IF($AD481="","",INDEX('Per Line'!$A$2:$A$3001,$AD481)&amp;"")</f>
        <v/>
      </c>
      <c r="D481">
        <f>IF($AD481="","",INDEX('Per Line'!$C$2:$C$3001,$AD481)&amp;"")</f>
        <v/>
      </c>
      <c r="E481">
        <f>IF($AD481="","",INDEX('Per Line'!$B$2:$B$3001,$AD481))</f>
        <v/>
      </c>
      <c r="F481">
        <f>IF($AD481="","",INDEX('Per Line'!$D$2:$D$3001,$AD481)&amp;"")</f>
        <v/>
      </c>
      <c r="G481" s="11">
        <f>IF($AD481="","",INDEX('Per Line'!$G$2:$G$3001,$AD481))</f>
        <v/>
      </c>
      <c r="H481">
        <f>IF($AD481="","",INDEX('Per Line'!$J$2:$J$3001,$AD481)&amp;"")</f>
        <v/>
      </c>
      <c r="I481">
        <f>IF($AD481="","",INDEX('Per Line'!$H$2:$H$3001,$AD481)&amp;"")</f>
        <v/>
      </c>
      <c r="J481">
        <f>IF($AD481="","",INDEX('Per Line'!$F$2:$F$3001,$AD481)&amp;"")</f>
        <v/>
      </c>
      <c r="K481">
        <f>IF($AD481="","",INDEX('Per Line'!$K$2:$K$3001,$AD481)&amp;"")</f>
        <v/>
      </c>
      <c r="L481">
        <f>IF($AD481="","",INDEX('Per Line'!$L$2:$L$3001,$AD481)&amp;"")</f>
        <v/>
      </c>
      <c r="M481">
        <f>IF($AD481="","",INDEX('Per Line'!$M$2:$M$3001,$AD481)&amp;"")</f>
        <v/>
      </c>
      <c r="N481">
        <f>IF($AD481="","",INDEX('Per Line'!$AC$2:$AC$3001,$AD481)&amp;"")</f>
        <v/>
      </c>
      <c r="O481">
        <f>IF($AD481="","",INDEX('Per Line'!$P$2:$P$3001,$AD481))</f>
        <v/>
      </c>
      <c r="P481" s="7">
        <f>IF($AD481="","",IF(AND(ISNUMBER(Q481),Q481&gt;0,AB481&gt;Q481),O481*Q481/100+(AB481-Q481),O481*AB481/100))</f>
        <v/>
      </c>
      <c r="Q481">
        <f>IF($AD481="","",INDEX('Per Line'!$AG$2:$AG$3001,$AD481))</f>
        <v/>
      </c>
      <c r="R481">
        <f>IF($AD481="","",IF(AND(ISNUMBER(Q481),Q481&gt;0),AB481&gt;Q481,FALSE))</f>
        <v/>
      </c>
      <c r="S481" s="7">
        <f>IF($AD481="","",SUMIFS('Per Line'!$AB$2:$AB$3001,'Per Line'!$E$2:$E$3001,$B481,'Per Line'!$AQ$2:$AQ$3001,1))</f>
        <v/>
      </c>
      <c r="T481">
        <f>IF($AD481="","",Settings!$C$7)</f>
        <v/>
      </c>
      <c r="U481" s="7">
        <f>IF($AD481="","",SUMIFS('Per Line'!$AB$2:$AB$3001,'Per Line'!$E$2:$E$3001,$B481,'Per Line'!$AP$2:$AP$3001,0,'Per Line'!$AQ$2:$AQ$3001,0))</f>
        <v/>
      </c>
      <c r="V481" s="7">
        <f>IF($AD481="","",U481*T481)</f>
        <v/>
      </c>
      <c r="W481">
        <f>IF($AD481="","",Settings!$C$6)</f>
        <v/>
      </c>
      <c r="X481" s="7">
        <f>IF($AD481="","",SUMIFS('Per Line'!$AB$2:$AB$3001,'Per Line'!$E$2:$E$3001,$B481,'Per Line'!$AP$2:$AP$3001,1,'Per Line'!$AQ$2:$AQ$3001,0))</f>
        <v/>
      </c>
      <c r="Y481" s="7">
        <f>IF($AD481="","",X481*W481)</f>
        <v/>
      </c>
      <c r="Z481" s="7">
        <f>IF($AD481="","",Y481+V481)</f>
        <v/>
      </c>
      <c r="AA481" s="7">
        <f>IF($AD481="","",AB481-Z481)</f>
        <v/>
      </c>
      <c r="AB481" s="7">
        <f>IF($AD481="","",U481+X481+S481)</f>
        <v/>
      </c>
      <c r="AC481" s="7">
        <f>IF($AD481="","",AB481-Z481-P481)</f>
        <v/>
      </c>
      <c r="AD481" s="13">
        <f>IF(ROWS($AD$2:$AD481)&lt;=MAX('Per Line'!$AO$2:$AO$3001),MATCH(ROWS($AD$2:$AD481),'Per Line'!$AO$2:$AO$3001,0),"")</f>
        <v/>
      </c>
      <c r="AE481" s="14">
        <f>IF($AD481="","",P481-O481*AB481/100)</f>
        <v/>
      </c>
    </row>
    <row r="482">
      <c r="A482" s="12" t="n"/>
      <c r="B482">
        <f>IF($AD482="","",INDEX('Per Line'!$E$2:$E$3001,$AD482)&amp;"")</f>
        <v/>
      </c>
      <c r="C482">
        <f>IF($AD482="","",INDEX('Per Line'!$A$2:$A$3001,$AD482)&amp;"")</f>
        <v/>
      </c>
      <c r="D482">
        <f>IF($AD482="","",INDEX('Per Line'!$C$2:$C$3001,$AD482)&amp;"")</f>
        <v/>
      </c>
      <c r="E482">
        <f>IF($AD482="","",INDEX('Per Line'!$B$2:$B$3001,$AD482))</f>
        <v/>
      </c>
      <c r="F482">
        <f>IF($AD482="","",INDEX('Per Line'!$D$2:$D$3001,$AD482)&amp;"")</f>
        <v/>
      </c>
      <c r="G482" s="11">
        <f>IF($AD482="","",INDEX('Per Line'!$G$2:$G$3001,$AD482))</f>
        <v/>
      </c>
      <c r="H482">
        <f>IF($AD482="","",INDEX('Per Line'!$J$2:$J$3001,$AD482)&amp;"")</f>
        <v/>
      </c>
      <c r="I482">
        <f>IF($AD482="","",INDEX('Per Line'!$H$2:$H$3001,$AD482)&amp;"")</f>
        <v/>
      </c>
      <c r="J482">
        <f>IF($AD482="","",INDEX('Per Line'!$F$2:$F$3001,$AD482)&amp;"")</f>
        <v/>
      </c>
      <c r="K482">
        <f>IF($AD482="","",INDEX('Per Line'!$K$2:$K$3001,$AD482)&amp;"")</f>
        <v/>
      </c>
      <c r="L482">
        <f>IF($AD482="","",INDEX('Per Line'!$L$2:$L$3001,$AD482)&amp;"")</f>
        <v/>
      </c>
      <c r="M482">
        <f>IF($AD482="","",INDEX('Per Line'!$M$2:$M$3001,$AD482)&amp;"")</f>
        <v/>
      </c>
      <c r="N482">
        <f>IF($AD482="","",INDEX('Per Line'!$AC$2:$AC$3001,$AD482)&amp;"")</f>
        <v/>
      </c>
      <c r="O482">
        <f>IF($AD482="","",INDEX('Per Line'!$P$2:$P$3001,$AD482))</f>
        <v/>
      </c>
      <c r="P482" s="7">
        <f>IF($AD482="","",IF(AND(ISNUMBER(Q482),Q482&gt;0,AB482&gt;Q482),O482*Q482/100+(AB482-Q482),O482*AB482/100))</f>
        <v/>
      </c>
      <c r="Q482">
        <f>IF($AD482="","",INDEX('Per Line'!$AG$2:$AG$3001,$AD482))</f>
        <v/>
      </c>
      <c r="R482">
        <f>IF($AD482="","",IF(AND(ISNUMBER(Q482),Q482&gt;0),AB482&gt;Q482,FALSE))</f>
        <v/>
      </c>
      <c r="S482" s="7">
        <f>IF($AD482="","",SUMIFS('Per Line'!$AB$2:$AB$3001,'Per Line'!$E$2:$E$3001,$B482,'Per Line'!$AQ$2:$AQ$3001,1))</f>
        <v/>
      </c>
      <c r="T482">
        <f>IF($AD482="","",Settings!$C$7)</f>
        <v/>
      </c>
      <c r="U482" s="7">
        <f>IF($AD482="","",SUMIFS('Per Line'!$AB$2:$AB$3001,'Per Line'!$E$2:$E$3001,$B482,'Per Line'!$AP$2:$AP$3001,0,'Per Line'!$AQ$2:$AQ$3001,0))</f>
        <v/>
      </c>
      <c r="V482" s="7">
        <f>IF($AD482="","",U482*T482)</f>
        <v/>
      </c>
      <c r="W482">
        <f>IF($AD482="","",Settings!$C$6)</f>
        <v/>
      </c>
      <c r="X482" s="7">
        <f>IF($AD482="","",SUMIFS('Per Line'!$AB$2:$AB$3001,'Per Line'!$E$2:$E$3001,$B482,'Per Line'!$AP$2:$AP$3001,1,'Per Line'!$AQ$2:$AQ$3001,0))</f>
        <v/>
      </c>
      <c r="Y482" s="7">
        <f>IF($AD482="","",X482*W482)</f>
        <v/>
      </c>
      <c r="Z482" s="7">
        <f>IF($AD482="","",Y482+V482)</f>
        <v/>
      </c>
      <c r="AA482" s="7">
        <f>IF($AD482="","",AB482-Z482)</f>
        <v/>
      </c>
      <c r="AB482" s="7">
        <f>IF($AD482="","",U482+X482+S482)</f>
        <v/>
      </c>
      <c r="AC482" s="7">
        <f>IF($AD482="","",AB482-Z482-P482)</f>
        <v/>
      </c>
      <c r="AD482" s="13">
        <f>IF(ROWS($AD$2:$AD482)&lt;=MAX('Per Line'!$AO$2:$AO$3001),MATCH(ROWS($AD$2:$AD482),'Per Line'!$AO$2:$AO$3001,0),"")</f>
        <v/>
      </c>
      <c r="AE482" s="14">
        <f>IF($AD482="","",P482-O482*AB482/100)</f>
        <v/>
      </c>
    </row>
    <row r="483">
      <c r="A483" s="12" t="n"/>
      <c r="B483">
        <f>IF($AD483="","",INDEX('Per Line'!$E$2:$E$3001,$AD483)&amp;"")</f>
        <v/>
      </c>
      <c r="C483">
        <f>IF($AD483="","",INDEX('Per Line'!$A$2:$A$3001,$AD483)&amp;"")</f>
        <v/>
      </c>
      <c r="D483">
        <f>IF($AD483="","",INDEX('Per Line'!$C$2:$C$3001,$AD483)&amp;"")</f>
        <v/>
      </c>
      <c r="E483">
        <f>IF($AD483="","",INDEX('Per Line'!$B$2:$B$3001,$AD483))</f>
        <v/>
      </c>
      <c r="F483">
        <f>IF($AD483="","",INDEX('Per Line'!$D$2:$D$3001,$AD483)&amp;"")</f>
        <v/>
      </c>
      <c r="G483" s="11">
        <f>IF($AD483="","",INDEX('Per Line'!$G$2:$G$3001,$AD483))</f>
        <v/>
      </c>
      <c r="H483">
        <f>IF($AD483="","",INDEX('Per Line'!$J$2:$J$3001,$AD483)&amp;"")</f>
        <v/>
      </c>
      <c r="I483">
        <f>IF($AD483="","",INDEX('Per Line'!$H$2:$H$3001,$AD483)&amp;"")</f>
        <v/>
      </c>
      <c r="J483">
        <f>IF($AD483="","",INDEX('Per Line'!$F$2:$F$3001,$AD483)&amp;"")</f>
        <v/>
      </c>
      <c r="K483">
        <f>IF($AD483="","",INDEX('Per Line'!$K$2:$K$3001,$AD483)&amp;"")</f>
        <v/>
      </c>
      <c r="L483">
        <f>IF($AD483="","",INDEX('Per Line'!$L$2:$L$3001,$AD483)&amp;"")</f>
        <v/>
      </c>
      <c r="M483">
        <f>IF($AD483="","",INDEX('Per Line'!$M$2:$M$3001,$AD483)&amp;"")</f>
        <v/>
      </c>
      <c r="N483">
        <f>IF($AD483="","",INDEX('Per Line'!$AC$2:$AC$3001,$AD483)&amp;"")</f>
        <v/>
      </c>
      <c r="O483">
        <f>IF($AD483="","",INDEX('Per Line'!$P$2:$P$3001,$AD483))</f>
        <v/>
      </c>
      <c r="P483" s="7">
        <f>IF($AD483="","",IF(AND(ISNUMBER(Q483),Q483&gt;0,AB483&gt;Q483),O483*Q483/100+(AB483-Q483),O483*AB483/100))</f>
        <v/>
      </c>
      <c r="Q483">
        <f>IF($AD483="","",INDEX('Per Line'!$AG$2:$AG$3001,$AD483))</f>
        <v/>
      </c>
      <c r="R483">
        <f>IF($AD483="","",IF(AND(ISNUMBER(Q483),Q483&gt;0),AB483&gt;Q483,FALSE))</f>
        <v/>
      </c>
      <c r="S483" s="7">
        <f>IF($AD483="","",SUMIFS('Per Line'!$AB$2:$AB$3001,'Per Line'!$E$2:$E$3001,$B483,'Per Line'!$AQ$2:$AQ$3001,1))</f>
        <v/>
      </c>
      <c r="T483">
        <f>IF($AD483="","",Settings!$C$7)</f>
        <v/>
      </c>
      <c r="U483" s="7">
        <f>IF($AD483="","",SUMIFS('Per Line'!$AB$2:$AB$3001,'Per Line'!$E$2:$E$3001,$B483,'Per Line'!$AP$2:$AP$3001,0,'Per Line'!$AQ$2:$AQ$3001,0))</f>
        <v/>
      </c>
      <c r="V483" s="7">
        <f>IF($AD483="","",U483*T483)</f>
        <v/>
      </c>
      <c r="W483">
        <f>IF($AD483="","",Settings!$C$6)</f>
        <v/>
      </c>
      <c r="X483" s="7">
        <f>IF($AD483="","",SUMIFS('Per Line'!$AB$2:$AB$3001,'Per Line'!$E$2:$E$3001,$B483,'Per Line'!$AP$2:$AP$3001,1,'Per Line'!$AQ$2:$AQ$3001,0))</f>
        <v/>
      </c>
      <c r="Y483" s="7">
        <f>IF($AD483="","",X483*W483)</f>
        <v/>
      </c>
      <c r="Z483" s="7">
        <f>IF($AD483="","",Y483+V483)</f>
        <v/>
      </c>
      <c r="AA483" s="7">
        <f>IF($AD483="","",AB483-Z483)</f>
        <v/>
      </c>
      <c r="AB483" s="7">
        <f>IF($AD483="","",U483+X483+S483)</f>
        <v/>
      </c>
      <c r="AC483" s="7">
        <f>IF($AD483="","",AB483-Z483-P483)</f>
        <v/>
      </c>
      <c r="AD483" s="13">
        <f>IF(ROWS($AD$2:$AD483)&lt;=MAX('Per Line'!$AO$2:$AO$3001),MATCH(ROWS($AD$2:$AD483),'Per Line'!$AO$2:$AO$3001,0),"")</f>
        <v/>
      </c>
      <c r="AE483" s="14">
        <f>IF($AD483="","",P483-O483*AB483/100)</f>
        <v/>
      </c>
    </row>
    <row r="484">
      <c r="A484" s="12" t="n"/>
      <c r="B484">
        <f>IF($AD484="","",INDEX('Per Line'!$E$2:$E$3001,$AD484)&amp;"")</f>
        <v/>
      </c>
      <c r="C484">
        <f>IF($AD484="","",INDEX('Per Line'!$A$2:$A$3001,$AD484)&amp;"")</f>
        <v/>
      </c>
      <c r="D484">
        <f>IF($AD484="","",INDEX('Per Line'!$C$2:$C$3001,$AD484)&amp;"")</f>
        <v/>
      </c>
      <c r="E484">
        <f>IF($AD484="","",INDEX('Per Line'!$B$2:$B$3001,$AD484))</f>
        <v/>
      </c>
      <c r="F484">
        <f>IF($AD484="","",INDEX('Per Line'!$D$2:$D$3001,$AD484)&amp;"")</f>
        <v/>
      </c>
      <c r="G484" s="11">
        <f>IF($AD484="","",INDEX('Per Line'!$G$2:$G$3001,$AD484))</f>
        <v/>
      </c>
      <c r="H484">
        <f>IF($AD484="","",INDEX('Per Line'!$J$2:$J$3001,$AD484)&amp;"")</f>
        <v/>
      </c>
      <c r="I484">
        <f>IF($AD484="","",INDEX('Per Line'!$H$2:$H$3001,$AD484)&amp;"")</f>
        <v/>
      </c>
      <c r="J484">
        <f>IF($AD484="","",INDEX('Per Line'!$F$2:$F$3001,$AD484)&amp;"")</f>
        <v/>
      </c>
      <c r="K484">
        <f>IF($AD484="","",INDEX('Per Line'!$K$2:$K$3001,$AD484)&amp;"")</f>
        <v/>
      </c>
      <c r="L484">
        <f>IF($AD484="","",INDEX('Per Line'!$L$2:$L$3001,$AD484)&amp;"")</f>
        <v/>
      </c>
      <c r="M484">
        <f>IF($AD484="","",INDEX('Per Line'!$M$2:$M$3001,$AD484)&amp;"")</f>
        <v/>
      </c>
      <c r="N484">
        <f>IF($AD484="","",INDEX('Per Line'!$AC$2:$AC$3001,$AD484)&amp;"")</f>
        <v/>
      </c>
      <c r="O484">
        <f>IF($AD484="","",INDEX('Per Line'!$P$2:$P$3001,$AD484))</f>
        <v/>
      </c>
      <c r="P484" s="7">
        <f>IF($AD484="","",IF(AND(ISNUMBER(Q484),Q484&gt;0,AB484&gt;Q484),O484*Q484/100+(AB484-Q484),O484*AB484/100))</f>
        <v/>
      </c>
      <c r="Q484">
        <f>IF($AD484="","",INDEX('Per Line'!$AG$2:$AG$3001,$AD484))</f>
        <v/>
      </c>
      <c r="R484">
        <f>IF($AD484="","",IF(AND(ISNUMBER(Q484),Q484&gt;0),AB484&gt;Q484,FALSE))</f>
        <v/>
      </c>
      <c r="S484" s="7">
        <f>IF($AD484="","",SUMIFS('Per Line'!$AB$2:$AB$3001,'Per Line'!$E$2:$E$3001,$B484,'Per Line'!$AQ$2:$AQ$3001,1))</f>
        <v/>
      </c>
      <c r="T484">
        <f>IF($AD484="","",Settings!$C$7)</f>
        <v/>
      </c>
      <c r="U484" s="7">
        <f>IF($AD484="","",SUMIFS('Per Line'!$AB$2:$AB$3001,'Per Line'!$E$2:$E$3001,$B484,'Per Line'!$AP$2:$AP$3001,0,'Per Line'!$AQ$2:$AQ$3001,0))</f>
        <v/>
      </c>
      <c r="V484" s="7">
        <f>IF($AD484="","",U484*T484)</f>
        <v/>
      </c>
      <c r="W484">
        <f>IF($AD484="","",Settings!$C$6)</f>
        <v/>
      </c>
      <c r="X484" s="7">
        <f>IF($AD484="","",SUMIFS('Per Line'!$AB$2:$AB$3001,'Per Line'!$E$2:$E$3001,$B484,'Per Line'!$AP$2:$AP$3001,1,'Per Line'!$AQ$2:$AQ$3001,0))</f>
        <v/>
      </c>
      <c r="Y484" s="7">
        <f>IF($AD484="","",X484*W484)</f>
        <v/>
      </c>
      <c r="Z484" s="7">
        <f>IF($AD484="","",Y484+V484)</f>
        <v/>
      </c>
      <c r="AA484" s="7">
        <f>IF($AD484="","",AB484-Z484)</f>
        <v/>
      </c>
      <c r="AB484" s="7">
        <f>IF($AD484="","",U484+X484+S484)</f>
        <v/>
      </c>
      <c r="AC484" s="7">
        <f>IF($AD484="","",AB484-Z484-P484)</f>
        <v/>
      </c>
      <c r="AD484" s="13">
        <f>IF(ROWS($AD$2:$AD484)&lt;=MAX('Per Line'!$AO$2:$AO$3001),MATCH(ROWS($AD$2:$AD484),'Per Line'!$AO$2:$AO$3001,0),"")</f>
        <v/>
      </c>
      <c r="AE484" s="14">
        <f>IF($AD484="","",P484-O484*AB484/100)</f>
        <v/>
      </c>
    </row>
    <row r="485">
      <c r="A485" s="12" t="n"/>
      <c r="B485">
        <f>IF($AD485="","",INDEX('Per Line'!$E$2:$E$3001,$AD485)&amp;"")</f>
        <v/>
      </c>
      <c r="C485">
        <f>IF($AD485="","",INDEX('Per Line'!$A$2:$A$3001,$AD485)&amp;"")</f>
        <v/>
      </c>
      <c r="D485">
        <f>IF($AD485="","",INDEX('Per Line'!$C$2:$C$3001,$AD485)&amp;"")</f>
        <v/>
      </c>
      <c r="E485">
        <f>IF($AD485="","",INDEX('Per Line'!$B$2:$B$3001,$AD485))</f>
        <v/>
      </c>
      <c r="F485">
        <f>IF($AD485="","",INDEX('Per Line'!$D$2:$D$3001,$AD485)&amp;"")</f>
        <v/>
      </c>
      <c r="G485" s="11">
        <f>IF($AD485="","",INDEX('Per Line'!$G$2:$G$3001,$AD485))</f>
        <v/>
      </c>
      <c r="H485">
        <f>IF($AD485="","",INDEX('Per Line'!$J$2:$J$3001,$AD485)&amp;"")</f>
        <v/>
      </c>
      <c r="I485">
        <f>IF($AD485="","",INDEX('Per Line'!$H$2:$H$3001,$AD485)&amp;"")</f>
        <v/>
      </c>
      <c r="J485">
        <f>IF($AD485="","",INDEX('Per Line'!$F$2:$F$3001,$AD485)&amp;"")</f>
        <v/>
      </c>
      <c r="K485">
        <f>IF($AD485="","",INDEX('Per Line'!$K$2:$K$3001,$AD485)&amp;"")</f>
        <v/>
      </c>
      <c r="L485">
        <f>IF($AD485="","",INDEX('Per Line'!$L$2:$L$3001,$AD485)&amp;"")</f>
        <v/>
      </c>
      <c r="M485">
        <f>IF($AD485="","",INDEX('Per Line'!$M$2:$M$3001,$AD485)&amp;"")</f>
        <v/>
      </c>
      <c r="N485">
        <f>IF($AD485="","",INDEX('Per Line'!$AC$2:$AC$3001,$AD485)&amp;"")</f>
        <v/>
      </c>
      <c r="O485">
        <f>IF($AD485="","",INDEX('Per Line'!$P$2:$P$3001,$AD485))</f>
        <v/>
      </c>
      <c r="P485" s="7">
        <f>IF($AD485="","",IF(AND(ISNUMBER(Q485),Q485&gt;0,AB485&gt;Q485),O485*Q485/100+(AB485-Q485),O485*AB485/100))</f>
        <v/>
      </c>
      <c r="Q485">
        <f>IF($AD485="","",INDEX('Per Line'!$AG$2:$AG$3001,$AD485))</f>
        <v/>
      </c>
      <c r="R485">
        <f>IF($AD485="","",IF(AND(ISNUMBER(Q485),Q485&gt;0),AB485&gt;Q485,FALSE))</f>
        <v/>
      </c>
      <c r="S485" s="7">
        <f>IF($AD485="","",SUMIFS('Per Line'!$AB$2:$AB$3001,'Per Line'!$E$2:$E$3001,$B485,'Per Line'!$AQ$2:$AQ$3001,1))</f>
        <v/>
      </c>
      <c r="T485">
        <f>IF($AD485="","",Settings!$C$7)</f>
        <v/>
      </c>
      <c r="U485" s="7">
        <f>IF($AD485="","",SUMIFS('Per Line'!$AB$2:$AB$3001,'Per Line'!$E$2:$E$3001,$B485,'Per Line'!$AP$2:$AP$3001,0,'Per Line'!$AQ$2:$AQ$3001,0))</f>
        <v/>
      </c>
      <c r="V485" s="7">
        <f>IF($AD485="","",U485*T485)</f>
        <v/>
      </c>
      <c r="W485">
        <f>IF($AD485="","",Settings!$C$6)</f>
        <v/>
      </c>
      <c r="X485" s="7">
        <f>IF($AD485="","",SUMIFS('Per Line'!$AB$2:$AB$3001,'Per Line'!$E$2:$E$3001,$B485,'Per Line'!$AP$2:$AP$3001,1,'Per Line'!$AQ$2:$AQ$3001,0))</f>
        <v/>
      </c>
      <c r="Y485" s="7">
        <f>IF($AD485="","",X485*W485)</f>
        <v/>
      </c>
      <c r="Z485" s="7">
        <f>IF($AD485="","",Y485+V485)</f>
        <v/>
      </c>
      <c r="AA485" s="7">
        <f>IF($AD485="","",AB485-Z485)</f>
        <v/>
      </c>
      <c r="AB485" s="7">
        <f>IF($AD485="","",U485+X485+S485)</f>
        <v/>
      </c>
      <c r="AC485" s="7">
        <f>IF($AD485="","",AB485-Z485-P485)</f>
        <v/>
      </c>
      <c r="AD485" s="13">
        <f>IF(ROWS($AD$2:$AD485)&lt;=MAX('Per Line'!$AO$2:$AO$3001),MATCH(ROWS($AD$2:$AD485),'Per Line'!$AO$2:$AO$3001,0),"")</f>
        <v/>
      </c>
      <c r="AE485" s="14">
        <f>IF($AD485="","",P485-O485*AB485/100)</f>
        <v/>
      </c>
    </row>
    <row r="486">
      <c r="A486" s="12" t="n"/>
      <c r="B486">
        <f>IF($AD486="","",INDEX('Per Line'!$E$2:$E$3001,$AD486)&amp;"")</f>
        <v/>
      </c>
      <c r="C486">
        <f>IF($AD486="","",INDEX('Per Line'!$A$2:$A$3001,$AD486)&amp;"")</f>
        <v/>
      </c>
      <c r="D486">
        <f>IF($AD486="","",INDEX('Per Line'!$C$2:$C$3001,$AD486)&amp;"")</f>
        <v/>
      </c>
      <c r="E486">
        <f>IF($AD486="","",INDEX('Per Line'!$B$2:$B$3001,$AD486))</f>
        <v/>
      </c>
      <c r="F486">
        <f>IF($AD486="","",INDEX('Per Line'!$D$2:$D$3001,$AD486)&amp;"")</f>
        <v/>
      </c>
      <c r="G486" s="11">
        <f>IF($AD486="","",INDEX('Per Line'!$G$2:$G$3001,$AD486))</f>
        <v/>
      </c>
      <c r="H486">
        <f>IF($AD486="","",INDEX('Per Line'!$J$2:$J$3001,$AD486)&amp;"")</f>
        <v/>
      </c>
      <c r="I486">
        <f>IF($AD486="","",INDEX('Per Line'!$H$2:$H$3001,$AD486)&amp;"")</f>
        <v/>
      </c>
      <c r="J486">
        <f>IF($AD486="","",INDEX('Per Line'!$F$2:$F$3001,$AD486)&amp;"")</f>
        <v/>
      </c>
      <c r="K486">
        <f>IF($AD486="","",INDEX('Per Line'!$K$2:$K$3001,$AD486)&amp;"")</f>
        <v/>
      </c>
      <c r="L486">
        <f>IF($AD486="","",INDEX('Per Line'!$L$2:$L$3001,$AD486)&amp;"")</f>
        <v/>
      </c>
      <c r="M486">
        <f>IF($AD486="","",INDEX('Per Line'!$M$2:$M$3001,$AD486)&amp;"")</f>
        <v/>
      </c>
      <c r="N486">
        <f>IF($AD486="","",INDEX('Per Line'!$AC$2:$AC$3001,$AD486)&amp;"")</f>
        <v/>
      </c>
      <c r="O486">
        <f>IF($AD486="","",INDEX('Per Line'!$P$2:$P$3001,$AD486))</f>
        <v/>
      </c>
      <c r="P486" s="7">
        <f>IF($AD486="","",IF(AND(ISNUMBER(Q486),Q486&gt;0,AB486&gt;Q486),O486*Q486/100+(AB486-Q486),O486*AB486/100))</f>
        <v/>
      </c>
      <c r="Q486">
        <f>IF($AD486="","",INDEX('Per Line'!$AG$2:$AG$3001,$AD486))</f>
        <v/>
      </c>
      <c r="R486">
        <f>IF($AD486="","",IF(AND(ISNUMBER(Q486),Q486&gt;0),AB486&gt;Q486,FALSE))</f>
        <v/>
      </c>
      <c r="S486" s="7">
        <f>IF($AD486="","",SUMIFS('Per Line'!$AB$2:$AB$3001,'Per Line'!$E$2:$E$3001,$B486,'Per Line'!$AQ$2:$AQ$3001,1))</f>
        <v/>
      </c>
      <c r="T486">
        <f>IF($AD486="","",Settings!$C$7)</f>
        <v/>
      </c>
      <c r="U486" s="7">
        <f>IF($AD486="","",SUMIFS('Per Line'!$AB$2:$AB$3001,'Per Line'!$E$2:$E$3001,$B486,'Per Line'!$AP$2:$AP$3001,0,'Per Line'!$AQ$2:$AQ$3001,0))</f>
        <v/>
      </c>
      <c r="V486" s="7">
        <f>IF($AD486="","",U486*T486)</f>
        <v/>
      </c>
      <c r="W486">
        <f>IF($AD486="","",Settings!$C$6)</f>
        <v/>
      </c>
      <c r="X486" s="7">
        <f>IF($AD486="","",SUMIFS('Per Line'!$AB$2:$AB$3001,'Per Line'!$E$2:$E$3001,$B486,'Per Line'!$AP$2:$AP$3001,1,'Per Line'!$AQ$2:$AQ$3001,0))</f>
        <v/>
      </c>
      <c r="Y486" s="7">
        <f>IF($AD486="","",X486*W486)</f>
        <v/>
      </c>
      <c r="Z486" s="7">
        <f>IF($AD486="","",Y486+V486)</f>
        <v/>
      </c>
      <c r="AA486" s="7">
        <f>IF($AD486="","",AB486-Z486)</f>
        <v/>
      </c>
      <c r="AB486" s="7">
        <f>IF($AD486="","",U486+X486+S486)</f>
        <v/>
      </c>
      <c r="AC486" s="7">
        <f>IF($AD486="","",AB486-Z486-P486)</f>
        <v/>
      </c>
      <c r="AD486" s="13">
        <f>IF(ROWS($AD$2:$AD486)&lt;=MAX('Per Line'!$AO$2:$AO$3001),MATCH(ROWS($AD$2:$AD486),'Per Line'!$AO$2:$AO$3001,0),"")</f>
        <v/>
      </c>
      <c r="AE486" s="14">
        <f>IF($AD486="","",P486-O486*AB486/100)</f>
        <v/>
      </c>
    </row>
    <row r="487">
      <c r="A487" s="12" t="n"/>
      <c r="B487">
        <f>IF($AD487="","",INDEX('Per Line'!$E$2:$E$3001,$AD487)&amp;"")</f>
        <v/>
      </c>
      <c r="C487">
        <f>IF($AD487="","",INDEX('Per Line'!$A$2:$A$3001,$AD487)&amp;"")</f>
        <v/>
      </c>
      <c r="D487">
        <f>IF($AD487="","",INDEX('Per Line'!$C$2:$C$3001,$AD487)&amp;"")</f>
        <v/>
      </c>
      <c r="E487">
        <f>IF($AD487="","",INDEX('Per Line'!$B$2:$B$3001,$AD487))</f>
        <v/>
      </c>
      <c r="F487">
        <f>IF($AD487="","",INDEX('Per Line'!$D$2:$D$3001,$AD487)&amp;"")</f>
        <v/>
      </c>
      <c r="G487" s="11">
        <f>IF($AD487="","",INDEX('Per Line'!$G$2:$G$3001,$AD487))</f>
        <v/>
      </c>
      <c r="H487">
        <f>IF($AD487="","",INDEX('Per Line'!$J$2:$J$3001,$AD487)&amp;"")</f>
        <v/>
      </c>
      <c r="I487">
        <f>IF($AD487="","",INDEX('Per Line'!$H$2:$H$3001,$AD487)&amp;"")</f>
        <v/>
      </c>
      <c r="J487">
        <f>IF($AD487="","",INDEX('Per Line'!$F$2:$F$3001,$AD487)&amp;"")</f>
        <v/>
      </c>
      <c r="K487">
        <f>IF($AD487="","",INDEX('Per Line'!$K$2:$K$3001,$AD487)&amp;"")</f>
        <v/>
      </c>
      <c r="L487">
        <f>IF($AD487="","",INDEX('Per Line'!$L$2:$L$3001,$AD487)&amp;"")</f>
        <v/>
      </c>
      <c r="M487">
        <f>IF($AD487="","",INDEX('Per Line'!$M$2:$M$3001,$AD487)&amp;"")</f>
        <v/>
      </c>
      <c r="N487">
        <f>IF($AD487="","",INDEX('Per Line'!$AC$2:$AC$3001,$AD487)&amp;"")</f>
        <v/>
      </c>
      <c r="O487">
        <f>IF($AD487="","",INDEX('Per Line'!$P$2:$P$3001,$AD487))</f>
        <v/>
      </c>
      <c r="P487" s="7">
        <f>IF($AD487="","",IF(AND(ISNUMBER(Q487),Q487&gt;0,AB487&gt;Q487),O487*Q487/100+(AB487-Q487),O487*AB487/100))</f>
        <v/>
      </c>
      <c r="Q487">
        <f>IF($AD487="","",INDEX('Per Line'!$AG$2:$AG$3001,$AD487))</f>
        <v/>
      </c>
      <c r="R487">
        <f>IF($AD487="","",IF(AND(ISNUMBER(Q487),Q487&gt;0),AB487&gt;Q487,FALSE))</f>
        <v/>
      </c>
      <c r="S487" s="7">
        <f>IF($AD487="","",SUMIFS('Per Line'!$AB$2:$AB$3001,'Per Line'!$E$2:$E$3001,$B487,'Per Line'!$AQ$2:$AQ$3001,1))</f>
        <v/>
      </c>
      <c r="T487">
        <f>IF($AD487="","",Settings!$C$7)</f>
        <v/>
      </c>
      <c r="U487" s="7">
        <f>IF($AD487="","",SUMIFS('Per Line'!$AB$2:$AB$3001,'Per Line'!$E$2:$E$3001,$B487,'Per Line'!$AP$2:$AP$3001,0,'Per Line'!$AQ$2:$AQ$3001,0))</f>
        <v/>
      </c>
      <c r="V487" s="7">
        <f>IF($AD487="","",U487*T487)</f>
        <v/>
      </c>
      <c r="W487">
        <f>IF($AD487="","",Settings!$C$6)</f>
        <v/>
      </c>
      <c r="X487" s="7">
        <f>IF($AD487="","",SUMIFS('Per Line'!$AB$2:$AB$3001,'Per Line'!$E$2:$E$3001,$B487,'Per Line'!$AP$2:$AP$3001,1,'Per Line'!$AQ$2:$AQ$3001,0))</f>
        <v/>
      </c>
      <c r="Y487" s="7">
        <f>IF($AD487="","",X487*W487)</f>
        <v/>
      </c>
      <c r="Z487" s="7">
        <f>IF($AD487="","",Y487+V487)</f>
        <v/>
      </c>
      <c r="AA487" s="7">
        <f>IF($AD487="","",AB487-Z487)</f>
        <v/>
      </c>
      <c r="AB487" s="7">
        <f>IF($AD487="","",U487+X487+S487)</f>
        <v/>
      </c>
      <c r="AC487" s="7">
        <f>IF($AD487="","",AB487-Z487-P487)</f>
        <v/>
      </c>
      <c r="AD487" s="13">
        <f>IF(ROWS($AD$2:$AD487)&lt;=MAX('Per Line'!$AO$2:$AO$3001),MATCH(ROWS($AD$2:$AD487),'Per Line'!$AO$2:$AO$3001,0),"")</f>
        <v/>
      </c>
      <c r="AE487" s="14">
        <f>IF($AD487="","",P487-O487*AB487/100)</f>
        <v/>
      </c>
    </row>
    <row r="488">
      <c r="A488" s="12" t="n"/>
      <c r="B488">
        <f>IF($AD488="","",INDEX('Per Line'!$E$2:$E$3001,$AD488)&amp;"")</f>
        <v/>
      </c>
      <c r="C488">
        <f>IF($AD488="","",INDEX('Per Line'!$A$2:$A$3001,$AD488)&amp;"")</f>
        <v/>
      </c>
      <c r="D488">
        <f>IF($AD488="","",INDEX('Per Line'!$C$2:$C$3001,$AD488)&amp;"")</f>
        <v/>
      </c>
      <c r="E488">
        <f>IF($AD488="","",INDEX('Per Line'!$B$2:$B$3001,$AD488))</f>
        <v/>
      </c>
      <c r="F488">
        <f>IF($AD488="","",INDEX('Per Line'!$D$2:$D$3001,$AD488)&amp;"")</f>
        <v/>
      </c>
      <c r="G488" s="11">
        <f>IF($AD488="","",INDEX('Per Line'!$G$2:$G$3001,$AD488))</f>
        <v/>
      </c>
      <c r="H488">
        <f>IF($AD488="","",INDEX('Per Line'!$J$2:$J$3001,$AD488)&amp;"")</f>
        <v/>
      </c>
      <c r="I488">
        <f>IF($AD488="","",INDEX('Per Line'!$H$2:$H$3001,$AD488)&amp;"")</f>
        <v/>
      </c>
      <c r="J488">
        <f>IF($AD488="","",INDEX('Per Line'!$F$2:$F$3001,$AD488)&amp;"")</f>
        <v/>
      </c>
      <c r="K488">
        <f>IF($AD488="","",INDEX('Per Line'!$K$2:$K$3001,$AD488)&amp;"")</f>
        <v/>
      </c>
      <c r="L488">
        <f>IF($AD488="","",INDEX('Per Line'!$L$2:$L$3001,$AD488)&amp;"")</f>
        <v/>
      </c>
      <c r="M488">
        <f>IF($AD488="","",INDEX('Per Line'!$M$2:$M$3001,$AD488)&amp;"")</f>
        <v/>
      </c>
      <c r="N488">
        <f>IF($AD488="","",INDEX('Per Line'!$AC$2:$AC$3001,$AD488)&amp;"")</f>
        <v/>
      </c>
      <c r="O488">
        <f>IF($AD488="","",INDEX('Per Line'!$P$2:$P$3001,$AD488))</f>
        <v/>
      </c>
      <c r="P488" s="7">
        <f>IF($AD488="","",IF(AND(ISNUMBER(Q488),Q488&gt;0,AB488&gt;Q488),O488*Q488/100+(AB488-Q488),O488*AB488/100))</f>
        <v/>
      </c>
      <c r="Q488">
        <f>IF($AD488="","",INDEX('Per Line'!$AG$2:$AG$3001,$AD488))</f>
        <v/>
      </c>
      <c r="R488">
        <f>IF($AD488="","",IF(AND(ISNUMBER(Q488),Q488&gt;0),AB488&gt;Q488,FALSE))</f>
        <v/>
      </c>
      <c r="S488" s="7">
        <f>IF($AD488="","",SUMIFS('Per Line'!$AB$2:$AB$3001,'Per Line'!$E$2:$E$3001,$B488,'Per Line'!$AQ$2:$AQ$3001,1))</f>
        <v/>
      </c>
      <c r="T488">
        <f>IF($AD488="","",Settings!$C$7)</f>
        <v/>
      </c>
      <c r="U488" s="7">
        <f>IF($AD488="","",SUMIFS('Per Line'!$AB$2:$AB$3001,'Per Line'!$E$2:$E$3001,$B488,'Per Line'!$AP$2:$AP$3001,0,'Per Line'!$AQ$2:$AQ$3001,0))</f>
        <v/>
      </c>
      <c r="V488" s="7">
        <f>IF($AD488="","",U488*T488)</f>
        <v/>
      </c>
      <c r="W488">
        <f>IF($AD488="","",Settings!$C$6)</f>
        <v/>
      </c>
      <c r="X488" s="7">
        <f>IF($AD488="","",SUMIFS('Per Line'!$AB$2:$AB$3001,'Per Line'!$E$2:$E$3001,$B488,'Per Line'!$AP$2:$AP$3001,1,'Per Line'!$AQ$2:$AQ$3001,0))</f>
        <v/>
      </c>
      <c r="Y488" s="7">
        <f>IF($AD488="","",X488*W488)</f>
        <v/>
      </c>
      <c r="Z488" s="7">
        <f>IF($AD488="","",Y488+V488)</f>
        <v/>
      </c>
      <c r="AA488" s="7">
        <f>IF($AD488="","",AB488-Z488)</f>
        <v/>
      </c>
      <c r="AB488" s="7">
        <f>IF($AD488="","",U488+X488+S488)</f>
        <v/>
      </c>
      <c r="AC488" s="7">
        <f>IF($AD488="","",AB488-Z488-P488)</f>
        <v/>
      </c>
      <c r="AD488" s="13">
        <f>IF(ROWS($AD$2:$AD488)&lt;=MAX('Per Line'!$AO$2:$AO$3001),MATCH(ROWS($AD$2:$AD488),'Per Line'!$AO$2:$AO$3001,0),"")</f>
        <v/>
      </c>
      <c r="AE488" s="14">
        <f>IF($AD488="","",P488-O488*AB488/100)</f>
        <v/>
      </c>
    </row>
    <row r="489">
      <c r="A489" s="12" t="n"/>
      <c r="B489">
        <f>IF($AD489="","",INDEX('Per Line'!$E$2:$E$3001,$AD489)&amp;"")</f>
        <v/>
      </c>
      <c r="C489">
        <f>IF($AD489="","",INDEX('Per Line'!$A$2:$A$3001,$AD489)&amp;"")</f>
        <v/>
      </c>
      <c r="D489">
        <f>IF($AD489="","",INDEX('Per Line'!$C$2:$C$3001,$AD489)&amp;"")</f>
        <v/>
      </c>
      <c r="E489">
        <f>IF($AD489="","",INDEX('Per Line'!$B$2:$B$3001,$AD489))</f>
        <v/>
      </c>
      <c r="F489">
        <f>IF($AD489="","",INDEX('Per Line'!$D$2:$D$3001,$AD489)&amp;"")</f>
        <v/>
      </c>
      <c r="G489" s="11">
        <f>IF($AD489="","",INDEX('Per Line'!$G$2:$G$3001,$AD489))</f>
        <v/>
      </c>
      <c r="H489">
        <f>IF($AD489="","",INDEX('Per Line'!$J$2:$J$3001,$AD489)&amp;"")</f>
        <v/>
      </c>
      <c r="I489">
        <f>IF($AD489="","",INDEX('Per Line'!$H$2:$H$3001,$AD489)&amp;"")</f>
        <v/>
      </c>
      <c r="J489">
        <f>IF($AD489="","",INDEX('Per Line'!$F$2:$F$3001,$AD489)&amp;"")</f>
        <v/>
      </c>
      <c r="K489">
        <f>IF($AD489="","",INDEX('Per Line'!$K$2:$K$3001,$AD489)&amp;"")</f>
        <v/>
      </c>
      <c r="L489">
        <f>IF($AD489="","",INDEX('Per Line'!$L$2:$L$3001,$AD489)&amp;"")</f>
        <v/>
      </c>
      <c r="M489">
        <f>IF($AD489="","",INDEX('Per Line'!$M$2:$M$3001,$AD489)&amp;"")</f>
        <v/>
      </c>
      <c r="N489">
        <f>IF($AD489="","",INDEX('Per Line'!$AC$2:$AC$3001,$AD489)&amp;"")</f>
        <v/>
      </c>
      <c r="O489">
        <f>IF($AD489="","",INDEX('Per Line'!$P$2:$P$3001,$AD489))</f>
        <v/>
      </c>
      <c r="P489" s="7">
        <f>IF($AD489="","",IF(AND(ISNUMBER(Q489),Q489&gt;0,AB489&gt;Q489),O489*Q489/100+(AB489-Q489),O489*AB489/100))</f>
        <v/>
      </c>
      <c r="Q489">
        <f>IF($AD489="","",INDEX('Per Line'!$AG$2:$AG$3001,$AD489))</f>
        <v/>
      </c>
      <c r="R489">
        <f>IF($AD489="","",IF(AND(ISNUMBER(Q489),Q489&gt;0),AB489&gt;Q489,FALSE))</f>
        <v/>
      </c>
      <c r="S489" s="7">
        <f>IF($AD489="","",SUMIFS('Per Line'!$AB$2:$AB$3001,'Per Line'!$E$2:$E$3001,$B489,'Per Line'!$AQ$2:$AQ$3001,1))</f>
        <v/>
      </c>
      <c r="T489">
        <f>IF($AD489="","",Settings!$C$7)</f>
        <v/>
      </c>
      <c r="U489" s="7">
        <f>IF($AD489="","",SUMIFS('Per Line'!$AB$2:$AB$3001,'Per Line'!$E$2:$E$3001,$B489,'Per Line'!$AP$2:$AP$3001,0,'Per Line'!$AQ$2:$AQ$3001,0))</f>
        <v/>
      </c>
      <c r="V489" s="7">
        <f>IF($AD489="","",U489*T489)</f>
        <v/>
      </c>
      <c r="W489">
        <f>IF($AD489="","",Settings!$C$6)</f>
        <v/>
      </c>
      <c r="X489" s="7">
        <f>IF($AD489="","",SUMIFS('Per Line'!$AB$2:$AB$3001,'Per Line'!$E$2:$E$3001,$B489,'Per Line'!$AP$2:$AP$3001,1,'Per Line'!$AQ$2:$AQ$3001,0))</f>
        <v/>
      </c>
      <c r="Y489" s="7">
        <f>IF($AD489="","",X489*W489)</f>
        <v/>
      </c>
      <c r="Z489" s="7">
        <f>IF($AD489="","",Y489+V489)</f>
        <v/>
      </c>
      <c r="AA489" s="7">
        <f>IF($AD489="","",AB489-Z489)</f>
        <v/>
      </c>
      <c r="AB489" s="7">
        <f>IF($AD489="","",U489+X489+S489)</f>
        <v/>
      </c>
      <c r="AC489" s="7">
        <f>IF($AD489="","",AB489-Z489-P489)</f>
        <v/>
      </c>
      <c r="AD489" s="13">
        <f>IF(ROWS($AD$2:$AD489)&lt;=MAX('Per Line'!$AO$2:$AO$3001),MATCH(ROWS($AD$2:$AD489),'Per Line'!$AO$2:$AO$3001,0),"")</f>
        <v/>
      </c>
      <c r="AE489" s="14">
        <f>IF($AD489="","",P489-O489*AB489/100)</f>
        <v/>
      </c>
    </row>
    <row r="490">
      <c r="A490" s="12" t="n"/>
      <c r="B490">
        <f>IF($AD490="","",INDEX('Per Line'!$E$2:$E$3001,$AD490)&amp;"")</f>
        <v/>
      </c>
      <c r="C490">
        <f>IF($AD490="","",INDEX('Per Line'!$A$2:$A$3001,$AD490)&amp;"")</f>
        <v/>
      </c>
      <c r="D490">
        <f>IF($AD490="","",INDEX('Per Line'!$C$2:$C$3001,$AD490)&amp;"")</f>
        <v/>
      </c>
      <c r="E490">
        <f>IF($AD490="","",INDEX('Per Line'!$B$2:$B$3001,$AD490))</f>
        <v/>
      </c>
      <c r="F490">
        <f>IF($AD490="","",INDEX('Per Line'!$D$2:$D$3001,$AD490)&amp;"")</f>
        <v/>
      </c>
      <c r="G490" s="11">
        <f>IF($AD490="","",INDEX('Per Line'!$G$2:$G$3001,$AD490))</f>
        <v/>
      </c>
      <c r="H490">
        <f>IF($AD490="","",INDEX('Per Line'!$J$2:$J$3001,$AD490)&amp;"")</f>
        <v/>
      </c>
      <c r="I490">
        <f>IF($AD490="","",INDEX('Per Line'!$H$2:$H$3001,$AD490)&amp;"")</f>
        <v/>
      </c>
      <c r="J490">
        <f>IF($AD490="","",INDEX('Per Line'!$F$2:$F$3001,$AD490)&amp;"")</f>
        <v/>
      </c>
      <c r="K490">
        <f>IF($AD490="","",INDEX('Per Line'!$K$2:$K$3001,$AD490)&amp;"")</f>
        <v/>
      </c>
      <c r="L490">
        <f>IF($AD490="","",INDEX('Per Line'!$L$2:$L$3001,$AD490)&amp;"")</f>
        <v/>
      </c>
      <c r="M490">
        <f>IF($AD490="","",INDEX('Per Line'!$M$2:$M$3001,$AD490)&amp;"")</f>
        <v/>
      </c>
      <c r="N490">
        <f>IF($AD490="","",INDEX('Per Line'!$AC$2:$AC$3001,$AD490)&amp;"")</f>
        <v/>
      </c>
      <c r="O490">
        <f>IF($AD490="","",INDEX('Per Line'!$P$2:$P$3001,$AD490))</f>
        <v/>
      </c>
      <c r="P490" s="7">
        <f>IF($AD490="","",IF(AND(ISNUMBER(Q490),Q490&gt;0,AB490&gt;Q490),O490*Q490/100+(AB490-Q490),O490*AB490/100))</f>
        <v/>
      </c>
      <c r="Q490">
        <f>IF($AD490="","",INDEX('Per Line'!$AG$2:$AG$3001,$AD490))</f>
        <v/>
      </c>
      <c r="R490">
        <f>IF($AD490="","",IF(AND(ISNUMBER(Q490),Q490&gt;0),AB490&gt;Q490,FALSE))</f>
        <v/>
      </c>
      <c r="S490" s="7">
        <f>IF($AD490="","",SUMIFS('Per Line'!$AB$2:$AB$3001,'Per Line'!$E$2:$E$3001,$B490,'Per Line'!$AQ$2:$AQ$3001,1))</f>
        <v/>
      </c>
      <c r="T490">
        <f>IF($AD490="","",Settings!$C$7)</f>
        <v/>
      </c>
      <c r="U490" s="7">
        <f>IF($AD490="","",SUMIFS('Per Line'!$AB$2:$AB$3001,'Per Line'!$E$2:$E$3001,$B490,'Per Line'!$AP$2:$AP$3001,0,'Per Line'!$AQ$2:$AQ$3001,0))</f>
        <v/>
      </c>
      <c r="V490" s="7">
        <f>IF($AD490="","",U490*T490)</f>
        <v/>
      </c>
      <c r="W490">
        <f>IF($AD490="","",Settings!$C$6)</f>
        <v/>
      </c>
      <c r="X490" s="7">
        <f>IF($AD490="","",SUMIFS('Per Line'!$AB$2:$AB$3001,'Per Line'!$E$2:$E$3001,$B490,'Per Line'!$AP$2:$AP$3001,1,'Per Line'!$AQ$2:$AQ$3001,0))</f>
        <v/>
      </c>
      <c r="Y490" s="7">
        <f>IF($AD490="","",X490*W490)</f>
        <v/>
      </c>
      <c r="Z490" s="7">
        <f>IF($AD490="","",Y490+V490)</f>
        <v/>
      </c>
      <c r="AA490" s="7">
        <f>IF($AD490="","",AB490-Z490)</f>
        <v/>
      </c>
      <c r="AB490" s="7">
        <f>IF($AD490="","",U490+X490+S490)</f>
        <v/>
      </c>
      <c r="AC490" s="7">
        <f>IF($AD490="","",AB490-Z490-P490)</f>
        <v/>
      </c>
      <c r="AD490" s="13">
        <f>IF(ROWS($AD$2:$AD490)&lt;=MAX('Per Line'!$AO$2:$AO$3001),MATCH(ROWS($AD$2:$AD490),'Per Line'!$AO$2:$AO$3001,0),"")</f>
        <v/>
      </c>
      <c r="AE490" s="14">
        <f>IF($AD490="","",P490-O490*AB490/100)</f>
        <v/>
      </c>
    </row>
    <row r="491">
      <c r="A491" s="12" t="n"/>
      <c r="B491">
        <f>IF($AD491="","",INDEX('Per Line'!$E$2:$E$3001,$AD491)&amp;"")</f>
        <v/>
      </c>
      <c r="C491">
        <f>IF($AD491="","",INDEX('Per Line'!$A$2:$A$3001,$AD491)&amp;"")</f>
        <v/>
      </c>
      <c r="D491">
        <f>IF($AD491="","",INDEX('Per Line'!$C$2:$C$3001,$AD491)&amp;"")</f>
        <v/>
      </c>
      <c r="E491">
        <f>IF($AD491="","",INDEX('Per Line'!$B$2:$B$3001,$AD491))</f>
        <v/>
      </c>
      <c r="F491">
        <f>IF($AD491="","",INDEX('Per Line'!$D$2:$D$3001,$AD491)&amp;"")</f>
        <v/>
      </c>
      <c r="G491" s="11">
        <f>IF($AD491="","",INDEX('Per Line'!$G$2:$G$3001,$AD491))</f>
        <v/>
      </c>
      <c r="H491">
        <f>IF($AD491="","",INDEX('Per Line'!$J$2:$J$3001,$AD491)&amp;"")</f>
        <v/>
      </c>
      <c r="I491">
        <f>IF($AD491="","",INDEX('Per Line'!$H$2:$H$3001,$AD491)&amp;"")</f>
        <v/>
      </c>
      <c r="J491">
        <f>IF($AD491="","",INDEX('Per Line'!$F$2:$F$3001,$AD491)&amp;"")</f>
        <v/>
      </c>
      <c r="K491">
        <f>IF($AD491="","",INDEX('Per Line'!$K$2:$K$3001,$AD491)&amp;"")</f>
        <v/>
      </c>
      <c r="L491">
        <f>IF($AD491="","",INDEX('Per Line'!$L$2:$L$3001,$AD491)&amp;"")</f>
        <v/>
      </c>
      <c r="M491">
        <f>IF($AD491="","",INDEX('Per Line'!$M$2:$M$3001,$AD491)&amp;"")</f>
        <v/>
      </c>
      <c r="N491">
        <f>IF($AD491="","",INDEX('Per Line'!$AC$2:$AC$3001,$AD491)&amp;"")</f>
        <v/>
      </c>
      <c r="O491">
        <f>IF($AD491="","",INDEX('Per Line'!$P$2:$P$3001,$AD491))</f>
        <v/>
      </c>
      <c r="P491" s="7">
        <f>IF($AD491="","",IF(AND(ISNUMBER(Q491),Q491&gt;0,AB491&gt;Q491),O491*Q491/100+(AB491-Q491),O491*AB491/100))</f>
        <v/>
      </c>
      <c r="Q491">
        <f>IF($AD491="","",INDEX('Per Line'!$AG$2:$AG$3001,$AD491))</f>
        <v/>
      </c>
      <c r="R491">
        <f>IF($AD491="","",IF(AND(ISNUMBER(Q491),Q491&gt;0),AB491&gt;Q491,FALSE))</f>
        <v/>
      </c>
      <c r="S491" s="7">
        <f>IF($AD491="","",SUMIFS('Per Line'!$AB$2:$AB$3001,'Per Line'!$E$2:$E$3001,$B491,'Per Line'!$AQ$2:$AQ$3001,1))</f>
        <v/>
      </c>
      <c r="T491">
        <f>IF($AD491="","",Settings!$C$7)</f>
        <v/>
      </c>
      <c r="U491" s="7">
        <f>IF($AD491="","",SUMIFS('Per Line'!$AB$2:$AB$3001,'Per Line'!$E$2:$E$3001,$B491,'Per Line'!$AP$2:$AP$3001,0,'Per Line'!$AQ$2:$AQ$3001,0))</f>
        <v/>
      </c>
      <c r="V491" s="7">
        <f>IF($AD491="","",U491*T491)</f>
        <v/>
      </c>
      <c r="W491">
        <f>IF($AD491="","",Settings!$C$6)</f>
        <v/>
      </c>
      <c r="X491" s="7">
        <f>IF($AD491="","",SUMIFS('Per Line'!$AB$2:$AB$3001,'Per Line'!$E$2:$E$3001,$B491,'Per Line'!$AP$2:$AP$3001,1,'Per Line'!$AQ$2:$AQ$3001,0))</f>
        <v/>
      </c>
      <c r="Y491" s="7">
        <f>IF($AD491="","",X491*W491)</f>
        <v/>
      </c>
      <c r="Z491" s="7">
        <f>IF($AD491="","",Y491+V491)</f>
        <v/>
      </c>
      <c r="AA491" s="7">
        <f>IF($AD491="","",AB491-Z491)</f>
        <v/>
      </c>
      <c r="AB491" s="7">
        <f>IF($AD491="","",U491+X491+S491)</f>
        <v/>
      </c>
      <c r="AC491" s="7">
        <f>IF($AD491="","",AB491-Z491-P491)</f>
        <v/>
      </c>
      <c r="AD491" s="13">
        <f>IF(ROWS($AD$2:$AD491)&lt;=MAX('Per Line'!$AO$2:$AO$3001),MATCH(ROWS($AD$2:$AD491),'Per Line'!$AO$2:$AO$3001,0),"")</f>
        <v/>
      </c>
      <c r="AE491" s="14">
        <f>IF($AD491="","",P491-O491*AB491/100)</f>
        <v/>
      </c>
    </row>
    <row r="492">
      <c r="A492" s="12" t="n"/>
      <c r="B492">
        <f>IF($AD492="","",INDEX('Per Line'!$E$2:$E$3001,$AD492)&amp;"")</f>
        <v/>
      </c>
      <c r="C492">
        <f>IF($AD492="","",INDEX('Per Line'!$A$2:$A$3001,$AD492)&amp;"")</f>
        <v/>
      </c>
      <c r="D492">
        <f>IF($AD492="","",INDEX('Per Line'!$C$2:$C$3001,$AD492)&amp;"")</f>
        <v/>
      </c>
      <c r="E492">
        <f>IF($AD492="","",INDEX('Per Line'!$B$2:$B$3001,$AD492))</f>
        <v/>
      </c>
      <c r="F492">
        <f>IF($AD492="","",INDEX('Per Line'!$D$2:$D$3001,$AD492)&amp;"")</f>
        <v/>
      </c>
      <c r="G492" s="11">
        <f>IF($AD492="","",INDEX('Per Line'!$G$2:$G$3001,$AD492))</f>
        <v/>
      </c>
      <c r="H492">
        <f>IF($AD492="","",INDEX('Per Line'!$J$2:$J$3001,$AD492)&amp;"")</f>
        <v/>
      </c>
      <c r="I492">
        <f>IF($AD492="","",INDEX('Per Line'!$H$2:$H$3001,$AD492)&amp;"")</f>
        <v/>
      </c>
      <c r="J492">
        <f>IF($AD492="","",INDEX('Per Line'!$F$2:$F$3001,$AD492)&amp;"")</f>
        <v/>
      </c>
      <c r="K492">
        <f>IF($AD492="","",INDEX('Per Line'!$K$2:$K$3001,$AD492)&amp;"")</f>
        <v/>
      </c>
      <c r="L492">
        <f>IF($AD492="","",INDEX('Per Line'!$L$2:$L$3001,$AD492)&amp;"")</f>
        <v/>
      </c>
      <c r="M492">
        <f>IF($AD492="","",INDEX('Per Line'!$M$2:$M$3001,$AD492)&amp;"")</f>
        <v/>
      </c>
      <c r="N492">
        <f>IF($AD492="","",INDEX('Per Line'!$AC$2:$AC$3001,$AD492)&amp;"")</f>
        <v/>
      </c>
      <c r="O492">
        <f>IF($AD492="","",INDEX('Per Line'!$P$2:$P$3001,$AD492))</f>
        <v/>
      </c>
      <c r="P492" s="7">
        <f>IF($AD492="","",IF(AND(ISNUMBER(Q492),Q492&gt;0,AB492&gt;Q492),O492*Q492/100+(AB492-Q492),O492*AB492/100))</f>
        <v/>
      </c>
      <c r="Q492">
        <f>IF($AD492="","",INDEX('Per Line'!$AG$2:$AG$3001,$AD492))</f>
        <v/>
      </c>
      <c r="R492">
        <f>IF($AD492="","",IF(AND(ISNUMBER(Q492),Q492&gt;0),AB492&gt;Q492,FALSE))</f>
        <v/>
      </c>
      <c r="S492" s="7">
        <f>IF($AD492="","",SUMIFS('Per Line'!$AB$2:$AB$3001,'Per Line'!$E$2:$E$3001,$B492,'Per Line'!$AQ$2:$AQ$3001,1))</f>
        <v/>
      </c>
      <c r="T492">
        <f>IF($AD492="","",Settings!$C$7)</f>
        <v/>
      </c>
      <c r="U492" s="7">
        <f>IF($AD492="","",SUMIFS('Per Line'!$AB$2:$AB$3001,'Per Line'!$E$2:$E$3001,$B492,'Per Line'!$AP$2:$AP$3001,0,'Per Line'!$AQ$2:$AQ$3001,0))</f>
        <v/>
      </c>
      <c r="V492" s="7">
        <f>IF($AD492="","",U492*T492)</f>
        <v/>
      </c>
      <c r="W492">
        <f>IF($AD492="","",Settings!$C$6)</f>
        <v/>
      </c>
      <c r="X492" s="7">
        <f>IF($AD492="","",SUMIFS('Per Line'!$AB$2:$AB$3001,'Per Line'!$E$2:$E$3001,$B492,'Per Line'!$AP$2:$AP$3001,1,'Per Line'!$AQ$2:$AQ$3001,0))</f>
        <v/>
      </c>
      <c r="Y492" s="7">
        <f>IF($AD492="","",X492*W492)</f>
        <v/>
      </c>
      <c r="Z492" s="7">
        <f>IF($AD492="","",Y492+V492)</f>
        <v/>
      </c>
      <c r="AA492" s="7">
        <f>IF($AD492="","",AB492-Z492)</f>
        <v/>
      </c>
      <c r="AB492" s="7">
        <f>IF($AD492="","",U492+X492+S492)</f>
        <v/>
      </c>
      <c r="AC492" s="7">
        <f>IF($AD492="","",AB492-Z492-P492)</f>
        <v/>
      </c>
      <c r="AD492" s="13">
        <f>IF(ROWS($AD$2:$AD492)&lt;=MAX('Per Line'!$AO$2:$AO$3001),MATCH(ROWS($AD$2:$AD492),'Per Line'!$AO$2:$AO$3001,0),"")</f>
        <v/>
      </c>
      <c r="AE492" s="14">
        <f>IF($AD492="","",P492-O492*AB492/100)</f>
        <v/>
      </c>
    </row>
    <row r="493">
      <c r="A493" s="12" t="n"/>
      <c r="B493">
        <f>IF($AD493="","",INDEX('Per Line'!$E$2:$E$3001,$AD493)&amp;"")</f>
        <v/>
      </c>
      <c r="C493">
        <f>IF($AD493="","",INDEX('Per Line'!$A$2:$A$3001,$AD493)&amp;"")</f>
        <v/>
      </c>
      <c r="D493">
        <f>IF($AD493="","",INDEX('Per Line'!$C$2:$C$3001,$AD493)&amp;"")</f>
        <v/>
      </c>
      <c r="E493">
        <f>IF($AD493="","",INDEX('Per Line'!$B$2:$B$3001,$AD493))</f>
        <v/>
      </c>
      <c r="F493">
        <f>IF($AD493="","",INDEX('Per Line'!$D$2:$D$3001,$AD493)&amp;"")</f>
        <v/>
      </c>
      <c r="G493" s="11">
        <f>IF($AD493="","",INDEX('Per Line'!$G$2:$G$3001,$AD493))</f>
        <v/>
      </c>
      <c r="H493">
        <f>IF($AD493="","",INDEX('Per Line'!$J$2:$J$3001,$AD493)&amp;"")</f>
        <v/>
      </c>
      <c r="I493">
        <f>IF($AD493="","",INDEX('Per Line'!$H$2:$H$3001,$AD493)&amp;"")</f>
        <v/>
      </c>
      <c r="J493">
        <f>IF($AD493="","",INDEX('Per Line'!$F$2:$F$3001,$AD493)&amp;"")</f>
        <v/>
      </c>
      <c r="K493">
        <f>IF($AD493="","",INDEX('Per Line'!$K$2:$K$3001,$AD493)&amp;"")</f>
        <v/>
      </c>
      <c r="L493">
        <f>IF($AD493="","",INDEX('Per Line'!$L$2:$L$3001,$AD493)&amp;"")</f>
        <v/>
      </c>
      <c r="M493">
        <f>IF($AD493="","",INDEX('Per Line'!$M$2:$M$3001,$AD493)&amp;"")</f>
        <v/>
      </c>
      <c r="N493">
        <f>IF($AD493="","",INDEX('Per Line'!$AC$2:$AC$3001,$AD493)&amp;"")</f>
        <v/>
      </c>
      <c r="O493">
        <f>IF($AD493="","",INDEX('Per Line'!$P$2:$P$3001,$AD493))</f>
        <v/>
      </c>
      <c r="P493" s="7">
        <f>IF($AD493="","",IF(AND(ISNUMBER(Q493),Q493&gt;0,AB493&gt;Q493),O493*Q493/100+(AB493-Q493),O493*AB493/100))</f>
        <v/>
      </c>
      <c r="Q493">
        <f>IF($AD493="","",INDEX('Per Line'!$AG$2:$AG$3001,$AD493))</f>
        <v/>
      </c>
      <c r="R493">
        <f>IF($AD493="","",IF(AND(ISNUMBER(Q493),Q493&gt;0),AB493&gt;Q493,FALSE))</f>
        <v/>
      </c>
      <c r="S493" s="7">
        <f>IF($AD493="","",SUMIFS('Per Line'!$AB$2:$AB$3001,'Per Line'!$E$2:$E$3001,$B493,'Per Line'!$AQ$2:$AQ$3001,1))</f>
        <v/>
      </c>
      <c r="T493">
        <f>IF($AD493="","",Settings!$C$7)</f>
        <v/>
      </c>
      <c r="U493" s="7">
        <f>IF($AD493="","",SUMIFS('Per Line'!$AB$2:$AB$3001,'Per Line'!$E$2:$E$3001,$B493,'Per Line'!$AP$2:$AP$3001,0,'Per Line'!$AQ$2:$AQ$3001,0))</f>
        <v/>
      </c>
      <c r="V493" s="7">
        <f>IF($AD493="","",U493*T493)</f>
        <v/>
      </c>
      <c r="W493">
        <f>IF($AD493="","",Settings!$C$6)</f>
        <v/>
      </c>
      <c r="X493" s="7">
        <f>IF($AD493="","",SUMIFS('Per Line'!$AB$2:$AB$3001,'Per Line'!$E$2:$E$3001,$B493,'Per Line'!$AP$2:$AP$3001,1,'Per Line'!$AQ$2:$AQ$3001,0))</f>
        <v/>
      </c>
      <c r="Y493" s="7">
        <f>IF($AD493="","",X493*W493)</f>
        <v/>
      </c>
      <c r="Z493" s="7">
        <f>IF($AD493="","",Y493+V493)</f>
        <v/>
      </c>
      <c r="AA493" s="7">
        <f>IF($AD493="","",AB493-Z493)</f>
        <v/>
      </c>
      <c r="AB493" s="7">
        <f>IF($AD493="","",U493+X493+S493)</f>
        <v/>
      </c>
      <c r="AC493" s="7">
        <f>IF($AD493="","",AB493-Z493-P493)</f>
        <v/>
      </c>
      <c r="AD493" s="13">
        <f>IF(ROWS($AD$2:$AD493)&lt;=MAX('Per Line'!$AO$2:$AO$3001),MATCH(ROWS($AD$2:$AD493),'Per Line'!$AO$2:$AO$3001,0),"")</f>
        <v/>
      </c>
      <c r="AE493" s="14">
        <f>IF($AD493="","",P493-O493*AB493/100)</f>
        <v/>
      </c>
    </row>
    <row r="494">
      <c r="A494" s="12" t="n"/>
      <c r="B494">
        <f>IF($AD494="","",INDEX('Per Line'!$E$2:$E$3001,$AD494)&amp;"")</f>
        <v/>
      </c>
      <c r="C494">
        <f>IF($AD494="","",INDEX('Per Line'!$A$2:$A$3001,$AD494)&amp;"")</f>
        <v/>
      </c>
      <c r="D494">
        <f>IF($AD494="","",INDEX('Per Line'!$C$2:$C$3001,$AD494)&amp;"")</f>
        <v/>
      </c>
      <c r="E494">
        <f>IF($AD494="","",INDEX('Per Line'!$B$2:$B$3001,$AD494))</f>
        <v/>
      </c>
      <c r="F494">
        <f>IF($AD494="","",INDEX('Per Line'!$D$2:$D$3001,$AD494)&amp;"")</f>
        <v/>
      </c>
      <c r="G494" s="11">
        <f>IF($AD494="","",INDEX('Per Line'!$G$2:$G$3001,$AD494))</f>
        <v/>
      </c>
      <c r="H494">
        <f>IF($AD494="","",INDEX('Per Line'!$J$2:$J$3001,$AD494)&amp;"")</f>
        <v/>
      </c>
      <c r="I494">
        <f>IF($AD494="","",INDEX('Per Line'!$H$2:$H$3001,$AD494)&amp;"")</f>
        <v/>
      </c>
      <c r="J494">
        <f>IF($AD494="","",INDEX('Per Line'!$F$2:$F$3001,$AD494)&amp;"")</f>
        <v/>
      </c>
      <c r="K494">
        <f>IF($AD494="","",INDEX('Per Line'!$K$2:$K$3001,$AD494)&amp;"")</f>
        <v/>
      </c>
      <c r="L494">
        <f>IF($AD494="","",INDEX('Per Line'!$L$2:$L$3001,$AD494)&amp;"")</f>
        <v/>
      </c>
      <c r="M494">
        <f>IF($AD494="","",INDEX('Per Line'!$M$2:$M$3001,$AD494)&amp;"")</f>
        <v/>
      </c>
      <c r="N494">
        <f>IF($AD494="","",INDEX('Per Line'!$AC$2:$AC$3001,$AD494)&amp;"")</f>
        <v/>
      </c>
      <c r="O494">
        <f>IF($AD494="","",INDEX('Per Line'!$P$2:$P$3001,$AD494))</f>
        <v/>
      </c>
      <c r="P494" s="7">
        <f>IF($AD494="","",IF(AND(ISNUMBER(Q494),Q494&gt;0,AB494&gt;Q494),O494*Q494/100+(AB494-Q494),O494*AB494/100))</f>
        <v/>
      </c>
      <c r="Q494">
        <f>IF($AD494="","",INDEX('Per Line'!$AG$2:$AG$3001,$AD494))</f>
        <v/>
      </c>
      <c r="R494">
        <f>IF($AD494="","",IF(AND(ISNUMBER(Q494),Q494&gt;0),AB494&gt;Q494,FALSE))</f>
        <v/>
      </c>
      <c r="S494" s="7">
        <f>IF($AD494="","",SUMIFS('Per Line'!$AB$2:$AB$3001,'Per Line'!$E$2:$E$3001,$B494,'Per Line'!$AQ$2:$AQ$3001,1))</f>
        <v/>
      </c>
      <c r="T494">
        <f>IF($AD494="","",Settings!$C$7)</f>
        <v/>
      </c>
      <c r="U494" s="7">
        <f>IF($AD494="","",SUMIFS('Per Line'!$AB$2:$AB$3001,'Per Line'!$E$2:$E$3001,$B494,'Per Line'!$AP$2:$AP$3001,0,'Per Line'!$AQ$2:$AQ$3001,0))</f>
        <v/>
      </c>
      <c r="V494" s="7">
        <f>IF($AD494="","",U494*T494)</f>
        <v/>
      </c>
      <c r="W494">
        <f>IF($AD494="","",Settings!$C$6)</f>
        <v/>
      </c>
      <c r="X494" s="7">
        <f>IF($AD494="","",SUMIFS('Per Line'!$AB$2:$AB$3001,'Per Line'!$E$2:$E$3001,$B494,'Per Line'!$AP$2:$AP$3001,1,'Per Line'!$AQ$2:$AQ$3001,0))</f>
        <v/>
      </c>
      <c r="Y494" s="7">
        <f>IF($AD494="","",X494*W494)</f>
        <v/>
      </c>
      <c r="Z494" s="7">
        <f>IF($AD494="","",Y494+V494)</f>
        <v/>
      </c>
      <c r="AA494" s="7">
        <f>IF($AD494="","",AB494-Z494)</f>
        <v/>
      </c>
      <c r="AB494" s="7">
        <f>IF($AD494="","",U494+X494+S494)</f>
        <v/>
      </c>
      <c r="AC494" s="7">
        <f>IF($AD494="","",AB494-Z494-P494)</f>
        <v/>
      </c>
      <c r="AD494" s="13">
        <f>IF(ROWS($AD$2:$AD494)&lt;=MAX('Per Line'!$AO$2:$AO$3001),MATCH(ROWS($AD$2:$AD494),'Per Line'!$AO$2:$AO$3001,0),"")</f>
        <v/>
      </c>
      <c r="AE494" s="14">
        <f>IF($AD494="","",P494-O494*AB494/100)</f>
        <v/>
      </c>
    </row>
    <row r="495">
      <c r="A495" s="12" t="n"/>
      <c r="B495">
        <f>IF($AD495="","",INDEX('Per Line'!$E$2:$E$3001,$AD495)&amp;"")</f>
        <v/>
      </c>
      <c r="C495">
        <f>IF($AD495="","",INDEX('Per Line'!$A$2:$A$3001,$AD495)&amp;"")</f>
        <v/>
      </c>
      <c r="D495">
        <f>IF($AD495="","",INDEX('Per Line'!$C$2:$C$3001,$AD495)&amp;"")</f>
        <v/>
      </c>
      <c r="E495">
        <f>IF($AD495="","",INDEX('Per Line'!$B$2:$B$3001,$AD495))</f>
        <v/>
      </c>
      <c r="F495">
        <f>IF($AD495="","",INDEX('Per Line'!$D$2:$D$3001,$AD495)&amp;"")</f>
        <v/>
      </c>
      <c r="G495" s="11">
        <f>IF($AD495="","",INDEX('Per Line'!$G$2:$G$3001,$AD495))</f>
        <v/>
      </c>
      <c r="H495">
        <f>IF($AD495="","",INDEX('Per Line'!$J$2:$J$3001,$AD495)&amp;"")</f>
        <v/>
      </c>
      <c r="I495">
        <f>IF($AD495="","",INDEX('Per Line'!$H$2:$H$3001,$AD495)&amp;"")</f>
        <v/>
      </c>
      <c r="J495">
        <f>IF($AD495="","",INDEX('Per Line'!$F$2:$F$3001,$AD495)&amp;"")</f>
        <v/>
      </c>
      <c r="K495">
        <f>IF($AD495="","",INDEX('Per Line'!$K$2:$K$3001,$AD495)&amp;"")</f>
        <v/>
      </c>
      <c r="L495">
        <f>IF($AD495="","",INDEX('Per Line'!$L$2:$L$3001,$AD495)&amp;"")</f>
        <v/>
      </c>
      <c r="M495">
        <f>IF($AD495="","",INDEX('Per Line'!$M$2:$M$3001,$AD495)&amp;"")</f>
        <v/>
      </c>
      <c r="N495">
        <f>IF($AD495="","",INDEX('Per Line'!$AC$2:$AC$3001,$AD495)&amp;"")</f>
        <v/>
      </c>
      <c r="O495">
        <f>IF($AD495="","",INDEX('Per Line'!$P$2:$P$3001,$AD495))</f>
        <v/>
      </c>
      <c r="P495" s="7">
        <f>IF($AD495="","",IF(AND(ISNUMBER(Q495),Q495&gt;0,AB495&gt;Q495),O495*Q495/100+(AB495-Q495),O495*AB495/100))</f>
        <v/>
      </c>
      <c r="Q495">
        <f>IF($AD495="","",INDEX('Per Line'!$AG$2:$AG$3001,$AD495))</f>
        <v/>
      </c>
      <c r="R495">
        <f>IF($AD495="","",IF(AND(ISNUMBER(Q495),Q495&gt;0),AB495&gt;Q495,FALSE))</f>
        <v/>
      </c>
      <c r="S495" s="7">
        <f>IF($AD495="","",SUMIFS('Per Line'!$AB$2:$AB$3001,'Per Line'!$E$2:$E$3001,$B495,'Per Line'!$AQ$2:$AQ$3001,1))</f>
        <v/>
      </c>
      <c r="T495">
        <f>IF($AD495="","",Settings!$C$7)</f>
        <v/>
      </c>
      <c r="U495" s="7">
        <f>IF($AD495="","",SUMIFS('Per Line'!$AB$2:$AB$3001,'Per Line'!$E$2:$E$3001,$B495,'Per Line'!$AP$2:$AP$3001,0,'Per Line'!$AQ$2:$AQ$3001,0))</f>
        <v/>
      </c>
      <c r="V495" s="7">
        <f>IF($AD495="","",U495*T495)</f>
        <v/>
      </c>
      <c r="W495">
        <f>IF($AD495="","",Settings!$C$6)</f>
        <v/>
      </c>
      <c r="X495" s="7">
        <f>IF($AD495="","",SUMIFS('Per Line'!$AB$2:$AB$3001,'Per Line'!$E$2:$E$3001,$B495,'Per Line'!$AP$2:$AP$3001,1,'Per Line'!$AQ$2:$AQ$3001,0))</f>
        <v/>
      </c>
      <c r="Y495" s="7">
        <f>IF($AD495="","",X495*W495)</f>
        <v/>
      </c>
      <c r="Z495" s="7">
        <f>IF($AD495="","",Y495+V495)</f>
        <v/>
      </c>
      <c r="AA495" s="7">
        <f>IF($AD495="","",AB495-Z495)</f>
        <v/>
      </c>
      <c r="AB495" s="7">
        <f>IF($AD495="","",U495+X495+S495)</f>
        <v/>
      </c>
      <c r="AC495" s="7">
        <f>IF($AD495="","",AB495-Z495-P495)</f>
        <v/>
      </c>
      <c r="AD495" s="13">
        <f>IF(ROWS($AD$2:$AD495)&lt;=MAX('Per Line'!$AO$2:$AO$3001),MATCH(ROWS($AD$2:$AD495),'Per Line'!$AO$2:$AO$3001,0),"")</f>
        <v/>
      </c>
      <c r="AE495" s="14">
        <f>IF($AD495="","",P495-O495*AB495/100)</f>
        <v/>
      </c>
    </row>
    <row r="496">
      <c r="A496" s="12" t="n"/>
      <c r="B496">
        <f>IF($AD496="","",INDEX('Per Line'!$E$2:$E$3001,$AD496)&amp;"")</f>
        <v/>
      </c>
      <c r="C496">
        <f>IF($AD496="","",INDEX('Per Line'!$A$2:$A$3001,$AD496)&amp;"")</f>
        <v/>
      </c>
      <c r="D496">
        <f>IF($AD496="","",INDEX('Per Line'!$C$2:$C$3001,$AD496)&amp;"")</f>
        <v/>
      </c>
      <c r="E496">
        <f>IF($AD496="","",INDEX('Per Line'!$B$2:$B$3001,$AD496))</f>
        <v/>
      </c>
      <c r="F496">
        <f>IF($AD496="","",INDEX('Per Line'!$D$2:$D$3001,$AD496)&amp;"")</f>
        <v/>
      </c>
      <c r="G496" s="11">
        <f>IF($AD496="","",INDEX('Per Line'!$G$2:$G$3001,$AD496))</f>
        <v/>
      </c>
      <c r="H496">
        <f>IF($AD496="","",INDEX('Per Line'!$J$2:$J$3001,$AD496)&amp;"")</f>
        <v/>
      </c>
      <c r="I496">
        <f>IF($AD496="","",INDEX('Per Line'!$H$2:$H$3001,$AD496)&amp;"")</f>
        <v/>
      </c>
      <c r="J496">
        <f>IF($AD496="","",INDEX('Per Line'!$F$2:$F$3001,$AD496)&amp;"")</f>
        <v/>
      </c>
      <c r="K496">
        <f>IF($AD496="","",INDEX('Per Line'!$K$2:$K$3001,$AD496)&amp;"")</f>
        <v/>
      </c>
      <c r="L496">
        <f>IF($AD496="","",INDEX('Per Line'!$L$2:$L$3001,$AD496)&amp;"")</f>
        <v/>
      </c>
      <c r="M496">
        <f>IF($AD496="","",INDEX('Per Line'!$M$2:$M$3001,$AD496)&amp;"")</f>
        <v/>
      </c>
      <c r="N496">
        <f>IF($AD496="","",INDEX('Per Line'!$AC$2:$AC$3001,$AD496)&amp;"")</f>
        <v/>
      </c>
      <c r="O496">
        <f>IF($AD496="","",INDEX('Per Line'!$P$2:$P$3001,$AD496))</f>
        <v/>
      </c>
      <c r="P496" s="7">
        <f>IF($AD496="","",IF(AND(ISNUMBER(Q496),Q496&gt;0,AB496&gt;Q496),O496*Q496/100+(AB496-Q496),O496*AB496/100))</f>
        <v/>
      </c>
      <c r="Q496">
        <f>IF($AD496="","",INDEX('Per Line'!$AG$2:$AG$3001,$AD496))</f>
        <v/>
      </c>
      <c r="R496">
        <f>IF($AD496="","",IF(AND(ISNUMBER(Q496),Q496&gt;0),AB496&gt;Q496,FALSE))</f>
        <v/>
      </c>
      <c r="S496" s="7">
        <f>IF($AD496="","",SUMIFS('Per Line'!$AB$2:$AB$3001,'Per Line'!$E$2:$E$3001,$B496,'Per Line'!$AQ$2:$AQ$3001,1))</f>
        <v/>
      </c>
      <c r="T496">
        <f>IF($AD496="","",Settings!$C$7)</f>
        <v/>
      </c>
      <c r="U496" s="7">
        <f>IF($AD496="","",SUMIFS('Per Line'!$AB$2:$AB$3001,'Per Line'!$E$2:$E$3001,$B496,'Per Line'!$AP$2:$AP$3001,0,'Per Line'!$AQ$2:$AQ$3001,0))</f>
        <v/>
      </c>
      <c r="V496" s="7">
        <f>IF($AD496="","",U496*T496)</f>
        <v/>
      </c>
      <c r="W496">
        <f>IF($AD496="","",Settings!$C$6)</f>
        <v/>
      </c>
      <c r="X496" s="7">
        <f>IF($AD496="","",SUMIFS('Per Line'!$AB$2:$AB$3001,'Per Line'!$E$2:$E$3001,$B496,'Per Line'!$AP$2:$AP$3001,1,'Per Line'!$AQ$2:$AQ$3001,0))</f>
        <v/>
      </c>
      <c r="Y496" s="7">
        <f>IF($AD496="","",X496*W496)</f>
        <v/>
      </c>
      <c r="Z496" s="7">
        <f>IF($AD496="","",Y496+V496)</f>
        <v/>
      </c>
      <c r="AA496" s="7">
        <f>IF($AD496="","",AB496-Z496)</f>
        <v/>
      </c>
      <c r="AB496" s="7">
        <f>IF($AD496="","",U496+X496+S496)</f>
        <v/>
      </c>
      <c r="AC496" s="7">
        <f>IF($AD496="","",AB496-Z496-P496)</f>
        <v/>
      </c>
      <c r="AD496" s="13">
        <f>IF(ROWS($AD$2:$AD496)&lt;=MAX('Per Line'!$AO$2:$AO$3001),MATCH(ROWS($AD$2:$AD496),'Per Line'!$AO$2:$AO$3001,0),"")</f>
        <v/>
      </c>
      <c r="AE496" s="14">
        <f>IF($AD496="","",P496-O496*AB496/100)</f>
        <v/>
      </c>
    </row>
    <row r="497">
      <c r="A497" s="12" t="n"/>
      <c r="B497">
        <f>IF($AD497="","",INDEX('Per Line'!$E$2:$E$3001,$AD497)&amp;"")</f>
        <v/>
      </c>
      <c r="C497">
        <f>IF($AD497="","",INDEX('Per Line'!$A$2:$A$3001,$AD497)&amp;"")</f>
        <v/>
      </c>
      <c r="D497">
        <f>IF($AD497="","",INDEX('Per Line'!$C$2:$C$3001,$AD497)&amp;"")</f>
        <v/>
      </c>
      <c r="E497">
        <f>IF($AD497="","",INDEX('Per Line'!$B$2:$B$3001,$AD497))</f>
        <v/>
      </c>
      <c r="F497">
        <f>IF($AD497="","",INDEX('Per Line'!$D$2:$D$3001,$AD497)&amp;"")</f>
        <v/>
      </c>
      <c r="G497" s="11">
        <f>IF($AD497="","",INDEX('Per Line'!$G$2:$G$3001,$AD497))</f>
        <v/>
      </c>
      <c r="H497">
        <f>IF($AD497="","",INDEX('Per Line'!$J$2:$J$3001,$AD497)&amp;"")</f>
        <v/>
      </c>
      <c r="I497">
        <f>IF($AD497="","",INDEX('Per Line'!$H$2:$H$3001,$AD497)&amp;"")</f>
        <v/>
      </c>
      <c r="J497">
        <f>IF($AD497="","",INDEX('Per Line'!$F$2:$F$3001,$AD497)&amp;"")</f>
        <v/>
      </c>
      <c r="K497">
        <f>IF($AD497="","",INDEX('Per Line'!$K$2:$K$3001,$AD497)&amp;"")</f>
        <v/>
      </c>
      <c r="L497">
        <f>IF($AD497="","",INDEX('Per Line'!$L$2:$L$3001,$AD497)&amp;"")</f>
        <v/>
      </c>
      <c r="M497">
        <f>IF($AD497="","",INDEX('Per Line'!$M$2:$M$3001,$AD497)&amp;"")</f>
        <v/>
      </c>
      <c r="N497">
        <f>IF($AD497="","",INDEX('Per Line'!$AC$2:$AC$3001,$AD497)&amp;"")</f>
        <v/>
      </c>
      <c r="O497">
        <f>IF($AD497="","",INDEX('Per Line'!$P$2:$P$3001,$AD497))</f>
        <v/>
      </c>
      <c r="P497" s="7">
        <f>IF($AD497="","",IF(AND(ISNUMBER(Q497),Q497&gt;0,AB497&gt;Q497),O497*Q497/100+(AB497-Q497),O497*AB497/100))</f>
        <v/>
      </c>
      <c r="Q497">
        <f>IF($AD497="","",INDEX('Per Line'!$AG$2:$AG$3001,$AD497))</f>
        <v/>
      </c>
      <c r="R497">
        <f>IF($AD497="","",IF(AND(ISNUMBER(Q497),Q497&gt;0),AB497&gt;Q497,FALSE))</f>
        <v/>
      </c>
      <c r="S497" s="7">
        <f>IF($AD497="","",SUMIFS('Per Line'!$AB$2:$AB$3001,'Per Line'!$E$2:$E$3001,$B497,'Per Line'!$AQ$2:$AQ$3001,1))</f>
        <v/>
      </c>
      <c r="T497">
        <f>IF($AD497="","",Settings!$C$7)</f>
        <v/>
      </c>
      <c r="U497" s="7">
        <f>IF($AD497="","",SUMIFS('Per Line'!$AB$2:$AB$3001,'Per Line'!$E$2:$E$3001,$B497,'Per Line'!$AP$2:$AP$3001,0,'Per Line'!$AQ$2:$AQ$3001,0))</f>
        <v/>
      </c>
      <c r="V497" s="7">
        <f>IF($AD497="","",U497*T497)</f>
        <v/>
      </c>
      <c r="W497">
        <f>IF($AD497="","",Settings!$C$6)</f>
        <v/>
      </c>
      <c r="X497" s="7">
        <f>IF($AD497="","",SUMIFS('Per Line'!$AB$2:$AB$3001,'Per Line'!$E$2:$E$3001,$B497,'Per Line'!$AP$2:$AP$3001,1,'Per Line'!$AQ$2:$AQ$3001,0))</f>
        <v/>
      </c>
      <c r="Y497" s="7">
        <f>IF($AD497="","",X497*W497)</f>
        <v/>
      </c>
      <c r="Z497" s="7">
        <f>IF($AD497="","",Y497+V497)</f>
        <v/>
      </c>
      <c r="AA497" s="7">
        <f>IF($AD497="","",AB497-Z497)</f>
        <v/>
      </c>
      <c r="AB497" s="7">
        <f>IF($AD497="","",U497+X497+S497)</f>
        <v/>
      </c>
      <c r="AC497" s="7">
        <f>IF($AD497="","",AB497-Z497-P497)</f>
        <v/>
      </c>
      <c r="AD497" s="13">
        <f>IF(ROWS($AD$2:$AD497)&lt;=MAX('Per Line'!$AO$2:$AO$3001),MATCH(ROWS($AD$2:$AD497),'Per Line'!$AO$2:$AO$3001,0),"")</f>
        <v/>
      </c>
      <c r="AE497" s="14">
        <f>IF($AD497="","",P497-O497*AB497/100)</f>
        <v/>
      </c>
    </row>
    <row r="498">
      <c r="A498" s="12" t="n"/>
      <c r="B498">
        <f>IF($AD498="","",INDEX('Per Line'!$E$2:$E$3001,$AD498)&amp;"")</f>
        <v/>
      </c>
      <c r="C498">
        <f>IF($AD498="","",INDEX('Per Line'!$A$2:$A$3001,$AD498)&amp;"")</f>
        <v/>
      </c>
      <c r="D498">
        <f>IF($AD498="","",INDEX('Per Line'!$C$2:$C$3001,$AD498)&amp;"")</f>
        <v/>
      </c>
      <c r="E498">
        <f>IF($AD498="","",INDEX('Per Line'!$B$2:$B$3001,$AD498))</f>
        <v/>
      </c>
      <c r="F498">
        <f>IF($AD498="","",INDEX('Per Line'!$D$2:$D$3001,$AD498)&amp;"")</f>
        <v/>
      </c>
      <c r="G498" s="11">
        <f>IF($AD498="","",INDEX('Per Line'!$G$2:$G$3001,$AD498))</f>
        <v/>
      </c>
      <c r="H498">
        <f>IF($AD498="","",INDEX('Per Line'!$J$2:$J$3001,$AD498)&amp;"")</f>
        <v/>
      </c>
      <c r="I498">
        <f>IF($AD498="","",INDEX('Per Line'!$H$2:$H$3001,$AD498)&amp;"")</f>
        <v/>
      </c>
      <c r="J498">
        <f>IF($AD498="","",INDEX('Per Line'!$F$2:$F$3001,$AD498)&amp;"")</f>
        <v/>
      </c>
      <c r="K498">
        <f>IF($AD498="","",INDEX('Per Line'!$K$2:$K$3001,$AD498)&amp;"")</f>
        <v/>
      </c>
      <c r="L498">
        <f>IF($AD498="","",INDEX('Per Line'!$L$2:$L$3001,$AD498)&amp;"")</f>
        <v/>
      </c>
      <c r="M498">
        <f>IF($AD498="","",INDEX('Per Line'!$M$2:$M$3001,$AD498)&amp;"")</f>
        <v/>
      </c>
      <c r="N498">
        <f>IF($AD498="","",INDEX('Per Line'!$AC$2:$AC$3001,$AD498)&amp;"")</f>
        <v/>
      </c>
      <c r="O498">
        <f>IF($AD498="","",INDEX('Per Line'!$P$2:$P$3001,$AD498))</f>
        <v/>
      </c>
      <c r="P498" s="7">
        <f>IF($AD498="","",IF(AND(ISNUMBER(Q498),Q498&gt;0,AB498&gt;Q498),O498*Q498/100+(AB498-Q498),O498*AB498/100))</f>
        <v/>
      </c>
      <c r="Q498">
        <f>IF($AD498="","",INDEX('Per Line'!$AG$2:$AG$3001,$AD498))</f>
        <v/>
      </c>
      <c r="R498">
        <f>IF($AD498="","",IF(AND(ISNUMBER(Q498),Q498&gt;0),AB498&gt;Q498,FALSE))</f>
        <v/>
      </c>
      <c r="S498" s="7">
        <f>IF($AD498="","",SUMIFS('Per Line'!$AB$2:$AB$3001,'Per Line'!$E$2:$E$3001,$B498,'Per Line'!$AQ$2:$AQ$3001,1))</f>
        <v/>
      </c>
      <c r="T498">
        <f>IF($AD498="","",Settings!$C$7)</f>
        <v/>
      </c>
      <c r="U498" s="7">
        <f>IF($AD498="","",SUMIFS('Per Line'!$AB$2:$AB$3001,'Per Line'!$E$2:$E$3001,$B498,'Per Line'!$AP$2:$AP$3001,0,'Per Line'!$AQ$2:$AQ$3001,0))</f>
        <v/>
      </c>
      <c r="V498" s="7">
        <f>IF($AD498="","",U498*T498)</f>
        <v/>
      </c>
      <c r="W498">
        <f>IF($AD498="","",Settings!$C$6)</f>
        <v/>
      </c>
      <c r="X498" s="7">
        <f>IF($AD498="","",SUMIFS('Per Line'!$AB$2:$AB$3001,'Per Line'!$E$2:$E$3001,$B498,'Per Line'!$AP$2:$AP$3001,1,'Per Line'!$AQ$2:$AQ$3001,0))</f>
        <v/>
      </c>
      <c r="Y498" s="7">
        <f>IF($AD498="","",X498*W498)</f>
        <v/>
      </c>
      <c r="Z498" s="7">
        <f>IF($AD498="","",Y498+V498)</f>
        <v/>
      </c>
      <c r="AA498" s="7">
        <f>IF($AD498="","",AB498-Z498)</f>
        <v/>
      </c>
      <c r="AB498" s="7">
        <f>IF($AD498="","",U498+X498+S498)</f>
        <v/>
      </c>
      <c r="AC498" s="7">
        <f>IF($AD498="","",AB498-Z498-P498)</f>
        <v/>
      </c>
      <c r="AD498" s="13">
        <f>IF(ROWS($AD$2:$AD498)&lt;=MAX('Per Line'!$AO$2:$AO$3001),MATCH(ROWS($AD$2:$AD498),'Per Line'!$AO$2:$AO$3001,0),"")</f>
        <v/>
      </c>
      <c r="AE498" s="14">
        <f>IF($AD498="","",P498-O498*AB498/100)</f>
        <v/>
      </c>
    </row>
    <row r="499">
      <c r="A499" s="12" t="n"/>
      <c r="B499">
        <f>IF($AD499="","",INDEX('Per Line'!$E$2:$E$3001,$AD499)&amp;"")</f>
        <v/>
      </c>
      <c r="C499">
        <f>IF($AD499="","",INDEX('Per Line'!$A$2:$A$3001,$AD499)&amp;"")</f>
        <v/>
      </c>
      <c r="D499">
        <f>IF($AD499="","",INDEX('Per Line'!$C$2:$C$3001,$AD499)&amp;"")</f>
        <v/>
      </c>
      <c r="E499">
        <f>IF($AD499="","",INDEX('Per Line'!$B$2:$B$3001,$AD499))</f>
        <v/>
      </c>
      <c r="F499">
        <f>IF($AD499="","",INDEX('Per Line'!$D$2:$D$3001,$AD499)&amp;"")</f>
        <v/>
      </c>
      <c r="G499" s="11">
        <f>IF($AD499="","",INDEX('Per Line'!$G$2:$G$3001,$AD499))</f>
        <v/>
      </c>
      <c r="H499">
        <f>IF($AD499="","",INDEX('Per Line'!$J$2:$J$3001,$AD499)&amp;"")</f>
        <v/>
      </c>
      <c r="I499">
        <f>IF($AD499="","",INDEX('Per Line'!$H$2:$H$3001,$AD499)&amp;"")</f>
        <v/>
      </c>
      <c r="J499">
        <f>IF($AD499="","",INDEX('Per Line'!$F$2:$F$3001,$AD499)&amp;"")</f>
        <v/>
      </c>
      <c r="K499">
        <f>IF($AD499="","",INDEX('Per Line'!$K$2:$K$3001,$AD499)&amp;"")</f>
        <v/>
      </c>
      <c r="L499">
        <f>IF($AD499="","",INDEX('Per Line'!$L$2:$L$3001,$AD499)&amp;"")</f>
        <v/>
      </c>
      <c r="M499">
        <f>IF($AD499="","",INDEX('Per Line'!$M$2:$M$3001,$AD499)&amp;"")</f>
        <v/>
      </c>
      <c r="N499">
        <f>IF($AD499="","",INDEX('Per Line'!$AC$2:$AC$3001,$AD499)&amp;"")</f>
        <v/>
      </c>
      <c r="O499">
        <f>IF($AD499="","",INDEX('Per Line'!$P$2:$P$3001,$AD499))</f>
        <v/>
      </c>
      <c r="P499" s="7">
        <f>IF($AD499="","",IF(AND(ISNUMBER(Q499),Q499&gt;0,AB499&gt;Q499),O499*Q499/100+(AB499-Q499),O499*AB499/100))</f>
        <v/>
      </c>
      <c r="Q499">
        <f>IF($AD499="","",INDEX('Per Line'!$AG$2:$AG$3001,$AD499))</f>
        <v/>
      </c>
      <c r="R499">
        <f>IF($AD499="","",IF(AND(ISNUMBER(Q499),Q499&gt;0),AB499&gt;Q499,FALSE))</f>
        <v/>
      </c>
      <c r="S499" s="7">
        <f>IF($AD499="","",SUMIFS('Per Line'!$AB$2:$AB$3001,'Per Line'!$E$2:$E$3001,$B499,'Per Line'!$AQ$2:$AQ$3001,1))</f>
        <v/>
      </c>
      <c r="T499">
        <f>IF($AD499="","",Settings!$C$7)</f>
        <v/>
      </c>
      <c r="U499" s="7">
        <f>IF($AD499="","",SUMIFS('Per Line'!$AB$2:$AB$3001,'Per Line'!$E$2:$E$3001,$B499,'Per Line'!$AP$2:$AP$3001,0,'Per Line'!$AQ$2:$AQ$3001,0))</f>
        <v/>
      </c>
      <c r="V499" s="7">
        <f>IF($AD499="","",U499*T499)</f>
        <v/>
      </c>
      <c r="W499">
        <f>IF($AD499="","",Settings!$C$6)</f>
        <v/>
      </c>
      <c r="X499" s="7">
        <f>IF($AD499="","",SUMIFS('Per Line'!$AB$2:$AB$3001,'Per Line'!$E$2:$E$3001,$B499,'Per Line'!$AP$2:$AP$3001,1,'Per Line'!$AQ$2:$AQ$3001,0))</f>
        <v/>
      </c>
      <c r="Y499" s="7">
        <f>IF($AD499="","",X499*W499)</f>
        <v/>
      </c>
      <c r="Z499" s="7">
        <f>IF($AD499="","",Y499+V499)</f>
        <v/>
      </c>
      <c r="AA499" s="7">
        <f>IF($AD499="","",AB499-Z499)</f>
        <v/>
      </c>
      <c r="AB499" s="7">
        <f>IF($AD499="","",U499+X499+S499)</f>
        <v/>
      </c>
      <c r="AC499" s="7">
        <f>IF($AD499="","",AB499-Z499-P499)</f>
        <v/>
      </c>
      <c r="AD499" s="13">
        <f>IF(ROWS($AD$2:$AD499)&lt;=MAX('Per Line'!$AO$2:$AO$3001),MATCH(ROWS($AD$2:$AD499),'Per Line'!$AO$2:$AO$3001,0),"")</f>
        <v/>
      </c>
      <c r="AE499" s="14">
        <f>IF($AD499="","",P499-O499*AB499/100)</f>
        <v/>
      </c>
    </row>
    <row r="500">
      <c r="A500" s="12" t="n"/>
      <c r="B500">
        <f>IF($AD500="","",INDEX('Per Line'!$E$2:$E$3001,$AD500)&amp;"")</f>
        <v/>
      </c>
      <c r="C500">
        <f>IF($AD500="","",INDEX('Per Line'!$A$2:$A$3001,$AD500)&amp;"")</f>
        <v/>
      </c>
      <c r="D500">
        <f>IF($AD500="","",INDEX('Per Line'!$C$2:$C$3001,$AD500)&amp;"")</f>
        <v/>
      </c>
      <c r="E500">
        <f>IF($AD500="","",INDEX('Per Line'!$B$2:$B$3001,$AD500))</f>
        <v/>
      </c>
      <c r="F500">
        <f>IF($AD500="","",INDEX('Per Line'!$D$2:$D$3001,$AD500)&amp;"")</f>
        <v/>
      </c>
      <c r="G500" s="11">
        <f>IF($AD500="","",INDEX('Per Line'!$G$2:$G$3001,$AD500))</f>
        <v/>
      </c>
      <c r="H500">
        <f>IF($AD500="","",INDEX('Per Line'!$J$2:$J$3001,$AD500)&amp;"")</f>
        <v/>
      </c>
      <c r="I500">
        <f>IF($AD500="","",INDEX('Per Line'!$H$2:$H$3001,$AD500)&amp;"")</f>
        <v/>
      </c>
      <c r="J500">
        <f>IF($AD500="","",INDEX('Per Line'!$F$2:$F$3001,$AD500)&amp;"")</f>
        <v/>
      </c>
      <c r="K500">
        <f>IF($AD500="","",INDEX('Per Line'!$K$2:$K$3001,$AD500)&amp;"")</f>
        <v/>
      </c>
      <c r="L500">
        <f>IF($AD500="","",INDEX('Per Line'!$L$2:$L$3001,$AD500)&amp;"")</f>
        <v/>
      </c>
      <c r="M500">
        <f>IF($AD500="","",INDEX('Per Line'!$M$2:$M$3001,$AD500)&amp;"")</f>
        <v/>
      </c>
      <c r="N500">
        <f>IF($AD500="","",INDEX('Per Line'!$AC$2:$AC$3001,$AD500)&amp;"")</f>
        <v/>
      </c>
      <c r="O500">
        <f>IF($AD500="","",INDEX('Per Line'!$P$2:$P$3001,$AD500))</f>
        <v/>
      </c>
      <c r="P500" s="7">
        <f>IF($AD500="","",IF(AND(ISNUMBER(Q500),Q500&gt;0,AB500&gt;Q500),O500*Q500/100+(AB500-Q500),O500*AB500/100))</f>
        <v/>
      </c>
      <c r="Q500">
        <f>IF($AD500="","",INDEX('Per Line'!$AG$2:$AG$3001,$AD500))</f>
        <v/>
      </c>
      <c r="R500">
        <f>IF($AD500="","",IF(AND(ISNUMBER(Q500),Q500&gt;0),AB500&gt;Q500,FALSE))</f>
        <v/>
      </c>
      <c r="S500" s="7">
        <f>IF($AD500="","",SUMIFS('Per Line'!$AB$2:$AB$3001,'Per Line'!$E$2:$E$3001,$B500,'Per Line'!$AQ$2:$AQ$3001,1))</f>
        <v/>
      </c>
      <c r="T500">
        <f>IF($AD500="","",Settings!$C$7)</f>
        <v/>
      </c>
      <c r="U500" s="7">
        <f>IF($AD500="","",SUMIFS('Per Line'!$AB$2:$AB$3001,'Per Line'!$E$2:$E$3001,$B500,'Per Line'!$AP$2:$AP$3001,0,'Per Line'!$AQ$2:$AQ$3001,0))</f>
        <v/>
      </c>
      <c r="V500" s="7">
        <f>IF($AD500="","",U500*T500)</f>
        <v/>
      </c>
      <c r="W500">
        <f>IF($AD500="","",Settings!$C$6)</f>
        <v/>
      </c>
      <c r="X500" s="7">
        <f>IF($AD500="","",SUMIFS('Per Line'!$AB$2:$AB$3001,'Per Line'!$E$2:$E$3001,$B500,'Per Line'!$AP$2:$AP$3001,1,'Per Line'!$AQ$2:$AQ$3001,0))</f>
        <v/>
      </c>
      <c r="Y500" s="7">
        <f>IF($AD500="","",X500*W500)</f>
        <v/>
      </c>
      <c r="Z500" s="7">
        <f>IF($AD500="","",Y500+V500)</f>
        <v/>
      </c>
      <c r="AA500" s="7">
        <f>IF($AD500="","",AB500-Z500)</f>
        <v/>
      </c>
      <c r="AB500" s="7">
        <f>IF($AD500="","",U500+X500+S500)</f>
        <v/>
      </c>
      <c r="AC500" s="7">
        <f>IF($AD500="","",AB500-Z500-P500)</f>
        <v/>
      </c>
      <c r="AD500" s="13">
        <f>IF(ROWS($AD$2:$AD500)&lt;=MAX('Per Line'!$AO$2:$AO$3001),MATCH(ROWS($AD$2:$AD500),'Per Line'!$AO$2:$AO$3001,0),"")</f>
        <v/>
      </c>
      <c r="AE500" s="14">
        <f>IF($AD500="","",P500-O500*AB500/100)</f>
        <v/>
      </c>
    </row>
    <row r="501">
      <c r="A501" s="12" t="n"/>
      <c r="B501">
        <f>IF($AD501="","",INDEX('Per Line'!$E$2:$E$3001,$AD501)&amp;"")</f>
        <v/>
      </c>
      <c r="C501">
        <f>IF($AD501="","",INDEX('Per Line'!$A$2:$A$3001,$AD501)&amp;"")</f>
        <v/>
      </c>
      <c r="D501">
        <f>IF($AD501="","",INDEX('Per Line'!$C$2:$C$3001,$AD501)&amp;"")</f>
        <v/>
      </c>
      <c r="E501">
        <f>IF($AD501="","",INDEX('Per Line'!$B$2:$B$3001,$AD501))</f>
        <v/>
      </c>
      <c r="F501">
        <f>IF($AD501="","",INDEX('Per Line'!$D$2:$D$3001,$AD501)&amp;"")</f>
        <v/>
      </c>
      <c r="G501" s="11">
        <f>IF($AD501="","",INDEX('Per Line'!$G$2:$G$3001,$AD501))</f>
        <v/>
      </c>
      <c r="H501">
        <f>IF($AD501="","",INDEX('Per Line'!$J$2:$J$3001,$AD501)&amp;"")</f>
        <v/>
      </c>
      <c r="I501">
        <f>IF($AD501="","",INDEX('Per Line'!$H$2:$H$3001,$AD501)&amp;"")</f>
        <v/>
      </c>
      <c r="J501">
        <f>IF($AD501="","",INDEX('Per Line'!$F$2:$F$3001,$AD501)&amp;"")</f>
        <v/>
      </c>
      <c r="K501">
        <f>IF($AD501="","",INDEX('Per Line'!$K$2:$K$3001,$AD501)&amp;"")</f>
        <v/>
      </c>
      <c r="L501">
        <f>IF($AD501="","",INDEX('Per Line'!$L$2:$L$3001,$AD501)&amp;"")</f>
        <v/>
      </c>
      <c r="M501">
        <f>IF($AD501="","",INDEX('Per Line'!$M$2:$M$3001,$AD501)&amp;"")</f>
        <v/>
      </c>
      <c r="N501">
        <f>IF($AD501="","",INDEX('Per Line'!$AC$2:$AC$3001,$AD501)&amp;"")</f>
        <v/>
      </c>
      <c r="O501">
        <f>IF($AD501="","",INDEX('Per Line'!$P$2:$P$3001,$AD501))</f>
        <v/>
      </c>
      <c r="P501" s="7">
        <f>IF($AD501="","",IF(AND(ISNUMBER(Q501),Q501&gt;0,AB501&gt;Q501),O501*Q501/100+(AB501-Q501),O501*AB501/100))</f>
        <v/>
      </c>
      <c r="Q501">
        <f>IF($AD501="","",INDEX('Per Line'!$AG$2:$AG$3001,$AD501))</f>
        <v/>
      </c>
      <c r="R501">
        <f>IF($AD501="","",IF(AND(ISNUMBER(Q501),Q501&gt;0),AB501&gt;Q501,FALSE))</f>
        <v/>
      </c>
      <c r="S501" s="7">
        <f>IF($AD501="","",SUMIFS('Per Line'!$AB$2:$AB$3001,'Per Line'!$E$2:$E$3001,$B501,'Per Line'!$AQ$2:$AQ$3001,1))</f>
        <v/>
      </c>
      <c r="T501">
        <f>IF($AD501="","",Settings!$C$7)</f>
        <v/>
      </c>
      <c r="U501" s="7">
        <f>IF($AD501="","",SUMIFS('Per Line'!$AB$2:$AB$3001,'Per Line'!$E$2:$E$3001,$B501,'Per Line'!$AP$2:$AP$3001,0,'Per Line'!$AQ$2:$AQ$3001,0))</f>
        <v/>
      </c>
      <c r="V501" s="7">
        <f>IF($AD501="","",U501*T501)</f>
        <v/>
      </c>
      <c r="W501">
        <f>IF($AD501="","",Settings!$C$6)</f>
        <v/>
      </c>
      <c r="X501" s="7">
        <f>IF($AD501="","",SUMIFS('Per Line'!$AB$2:$AB$3001,'Per Line'!$E$2:$E$3001,$B501,'Per Line'!$AP$2:$AP$3001,1,'Per Line'!$AQ$2:$AQ$3001,0))</f>
        <v/>
      </c>
      <c r="Y501" s="7">
        <f>IF($AD501="","",X501*W501)</f>
        <v/>
      </c>
      <c r="Z501" s="7">
        <f>IF($AD501="","",Y501+V501)</f>
        <v/>
      </c>
      <c r="AA501" s="7">
        <f>IF($AD501="","",AB501-Z501)</f>
        <v/>
      </c>
      <c r="AB501" s="7">
        <f>IF($AD501="","",U501+X501+S501)</f>
        <v/>
      </c>
      <c r="AC501" s="7">
        <f>IF($AD501="","",AB501-Z501-P501)</f>
        <v/>
      </c>
      <c r="AD501" s="13">
        <f>IF(ROWS($AD$2:$AD501)&lt;=MAX('Per Line'!$AO$2:$AO$3001),MATCH(ROWS($AD$2:$AD501),'Per Line'!$AO$2:$AO$3001,0),"")</f>
        <v/>
      </c>
      <c r="AE501" s="14">
        <f>IF($AD501="","",P501-O501*AB501/100)</f>
        <v/>
      </c>
    </row>
    <row r="502">
      <c r="A502" s="12" t="n"/>
      <c r="B502">
        <f>IF($AD502="","",INDEX('Per Line'!$E$2:$E$3001,$AD502)&amp;"")</f>
        <v/>
      </c>
      <c r="C502">
        <f>IF($AD502="","",INDEX('Per Line'!$A$2:$A$3001,$AD502)&amp;"")</f>
        <v/>
      </c>
      <c r="D502">
        <f>IF($AD502="","",INDEX('Per Line'!$C$2:$C$3001,$AD502)&amp;"")</f>
        <v/>
      </c>
      <c r="E502">
        <f>IF($AD502="","",INDEX('Per Line'!$B$2:$B$3001,$AD502))</f>
        <v/>
      </c>
      <c r="F502">
        <f>IF($AD502="","",INDEX('Per Line'!$D$2:$D$3001,$AD502)&amp;"")</f>
        <v/>
      </c>
      <c r="G502" s="11">
        <f>IF($AD502="","",INDEX('Per Line'!$G$2:$G$3001,$AD502))</f>
        <v/>
      </c>
      <c r="H502">
        <f>IF($AD502="","",INDEX('Per Line'!$J$2:$J$3001,$AD502)&amp;"")</f>
        <v/>
      </c>
      <c r="I502">
        <f>IF($AD502="","",INDEX('Per Line'!$H$2:$H$3001,$AD502)&amp;"")</f>
        <v/>
      </c>
      <c r="J502">
        <f>IF($AD502="","",INDEX('Per Line'!$F$2:$F$3001,$AD502)&amp;"")</f>
        <v/>
      </c>
      <c r="K502">
        <f>IF($AD502="","",INDEX('Per Line'!$K$2:$K$3001,$AD502)&amp;"")</f>
        <v/>
      </c>
      <c r="L502">
        <f>IF($AD502="","",INDEX('Per Line'!$L$2:$L$3001,$AD502)&amp;"")</f>
        <v/>
      </c>
      <c r="M502">
        <f>IF($AD502="","",INDEX('Per Line'!$M$2:$M$3001,$AD502)&amp;"")</f>
        <v/>
      </c>
      <c r="N502">
        <f>IF($AD502="","",INDEX('Per Line'!$AC$2:$AC$3001,$AD502)&amp;"")</f>
        <v/>
      </c>
      <c r="O502">
        <f>IF($AD502="","",INDEX('Per Line'!$P$2:$P$3001,$AD502))</f>
        <v/>
      </c>
      <c r="P502" s="7">
        <f>IF($AD502="","",IF(AND(ISNUMBER(Q502),Q502&gt;0,AB502&gt;Q502),O502*Q502/100+(AB502-Q502),O502*AB502/100))</f>
        <v/>
      </c>
      <c r="Q502">
        <f>IF($AD502="","",INDEX('Per Line'!$AG$2:$AG$3001,$AD502))</f>
        <v/>
      </c>
      <c r="R502">
        <f>IF($AD502="","",IF(AND(ISNUMBER(Q502),Q502&gt;0),AB502&gt;Q502,FALSE))</f>
        <v/>
      </c>
      <c r="S502" s="7">
        <f>IF($AD502="","",SUMIFS('Per Line'!$AB$2:$AB$3001,'Per Line'!$E$2:$E$3001,$B502,'Per Line'!$AQ$2:$AQ$3001,1))</f>
        <v/>
      </c>
      <c r="T502">
        <f>IF($AD502="","",Settings!$C$7)</f>
        <v/>
      </c>
      <c r="U502" s="7">
        <f>IF($AD502="","",SUMIFS('Per Line'!$AB$2:$AB$3001,'Per Line'!$E$2:$E$3001,$B502,'Per Line'!$AP$2:$AP$3001,0,'Per Line'!$AQ$2:$AQ$3001,0))</f>
        <v/>
      </c>
      <c r="V502" s="7">
        <f>IF($AD502="","",U502*T502)</f>
        <v/>
      </c>
      <c r="W502">
        <f>IF($AD502="","",Settings!$C$6)</f>
        <v/>
      </c>
      <c r="X502" s="7">
        <f>IF($AD502="","",SUMIFS('Per Line'!$AB$2:$AB$3001,'Per Line'!$E$2:$E$3001,$B502,'Per Line'!$AP$2:$AP$3001,1,'Per Line'!$AQ$2:$AQ$3001,0))</f>
        <v/>
      </c>
      <c r="Y502" s="7">
        <f>IF($AD502="","",X502*W502)</f>
        <v/>
      </c>
      <c r="Z502" s="7">
        <f>IF($AD502="","",Y502+V502)</f>
        <v/>
      </c>
      <c r="AA502" s="7">
        <f>IF($AD502="","",AB502-Z502)</f>
        <v/>
      </c>
      <c r="AB502" s="7">
        <f>IF($AD502="","",U502+X502+S502)</f>
        <v/>
      </c>
      <c r="AC502" s="7">
        <f>IF($AD502="","",AB502-Z502-P502)</f>
        <v/>
      </c>
      <c r="AD502" s="13">
        <f>IF(ROWS($AD$2:$AD502)&lt;=MAX('Per Line'!$AO$2:$AO$3001),MATCH(ROWS($AD$2:$AD502),'Per Line'!$AO$2:$AO$3001,0),"")</f>
        <v/>
      </c>
      <c r="AE502" s="14">
        <f>IF($AD502="","",P502-O502*AB502/100)</f>
        <v/>
      </c>
    </row>
    <row r="503">
      <c r="A503" s="12" t="n"/>
      <c r="B503">
        <f>IF($AD503="","",INDEX('Per Line'!$E$2:$E$3001,$AD503)&amp;"")</f>
        <v/>
      </c>
      <c r="C503">
        <f>IF($AD503="","",INDEX('Per Line'!$A$2:$A$3001,$AD503)&amp;"")</f>
        <v/>
      </c>
      <c r="D503">
        <f>IF($AD503="","",INDEX('Per Line'!$C$2:$C$3001,$AD503)&amp;"")</f>
        <v/>
      </c>
      <c r="E503">
        <f>IF($AD503="","",INDEX('Per Line'!$B$2:$B$3001,$AD503))</f>
        <v/>
      </c>
      <c r="F503">
        <f>IF($AD503="","",INDEX('Per Line'!$D$2:$D$3001,$AD503)&amp;"")</f>
        <v/>
      </c>
      <c r="G503" s="11">
        <f>IF($AD503="","",INDEX('Per Line'!$G$2:$G$3001,$AD503))</f>
        <v/>
      </c>
      <c r="H503">
        <f>IF($AD503="","",INDEX('Per Line'!$J$2:$J$3001,$AD503)&amp;"")</f>
        <v/>
      </c>
      <c r="I503">
        <f>IF($AD503="","",INDEX('Per Line'!$H$2:$H$3001,$AD503)&amp;"")</f>
        <v/>
      </c>
      <c r="J503">
        <f>IF($AD503="","",INDEX('Per Line'!$F$2:$F$3001,$AD503)&amp;"")</f>
        <v/>
      </c>
      <c r="K503">
        <f>IF($AD503="","",INDEX('Per Line'!$K$2:$K$3001,$AD503)&amp;"")</f>
        <v/>
      </c>
      <c r="L503">
        <f>IF($AD503="","",INDEX('Per Line'!$L$2:$L$3001,$AD503)&amp;"")</f>
        <v/>
      </c>
      <c r="M503">
        <f>IF($AD503="","",INDEX('Per Line'!$M$2:$M$3001,$AD503)&amp;"")</f>
        <v/>
      </c>
      <c r="N503">
        <f>IF($AD503="","",INDEX('Per Line'!$AC$2:$AC$3001,$AD503)&amp;"")</f>
        <v/>
      </c>
      <c r="O503">
        <f>IF($AD503="","",INDEX('Per Line'!$P$2:$P$3001,$AD503))</f>
        <v/>
      </c>
      <c r="P503" s="7">
        <f>IF($AD503="","",IF(AND(ISNUMBER(Q503),Q503&gt;0,AB503&gt;Q503),O503*Q503/100+(AB503-Q503),O503*AB503/100))</f>
        <v/>
      </c>
      <c r="Q503">
        <f>IF($AD503="","",INDEX('Per Line'!$AG$2:$AG$3001,$AD503))</f>
        <v/>
      </c>
      <c r="R503">
        <f>IF($AD503="","",IF(AND(ISNUMBER(Q503),Q503&gt;0),AB503&gt;Q503,FALSE))</f>
        <v/>
      </c>
      <c r="S503" s="7">
        <f>IF($AD503="","",SUMIFS('Per Line'!$AB$2:$AB$3001,'Per Line'!$E$2:$E$3001,$B503,'Per Line'!$AQ$2:$AQ$3001,1))</f>
        <v/>
      </c>
      <c r="T503">
        <f>IF($AD503="","",Settings!$C$7)</f>
        <v/>
      </c>
      <c r="U503" s="7">
        <f>IF($AD503="","",SUMIFS('Per Line'!$AB$2:$AB$3001,'Per Line'!$E$2:$E$3001,$B503,'Per Line'!$AP$2:$AP$3001,0,'Per Line'!$AQ$2:$AQ$3001,0))</f>
        <v/>
      </c>
      <c r="V503" s="7">
        <f>IF($AD503="","",U503*T503)</f>
        <v/>
      </c>
      <c r="W503">
        <f>IF($AD503="","",Settings!$C$6)</f>
        <v/>
      </c>
      <c r="X503" s="7">
        <f>IF($AD503="","",SUMIFS('Per Line'!$AB$2:$AB$3001,'Per Line'!$E$2:$E$3001,$B503,'Per Line'!$AP$2:$AP$3001,1,'Per Line'!$AQ$2:$AQ$3001,0))</f>
        <v/>
      </c>
      <c r="Y503" s="7">
        <f>IF($AD503="","",X503*W503)</f>
        <v/>
      </c>
      <c r="Z503" s="7">
        <f>IF($AD503="","",Y503+V503)</f>
        <v/>
      </c>
      <c r="AA503" s="7">
        <f>IF($AD503="","",AB503-Z503)</f>
        <v/>
      </c>
      <c r="AB503" s="7">
        <f>IF($AD503="","",U503+X503+S503)</f>
        <v/>
      </c>
      <c r="AC503" s="7">
        <f>IF($AD503="","",AB503-Z503-P503)</f>
        <v/>
      </c>
      <c r="AD503" s="13">
        <f>IF(ROWS($AD$2:$AD503)&lt;=MAX('Per Line'!$AO$2:$AO$3001),MATCH(ROWS($AD$2:$AD503),'Per Line'!$AO$2:$AO$3001,0),"")</f>
        <v/>
      </c>
      <c r="AE503" s="14">
        <f>IF($AD503="","",P503-O503*AB503/100)</f>
        <v/>
      </c>
    </row>
    <row r="504">
      <c r="A504" s="12" t="n"/>
      <c r="B504">
        <f>IF($AD504="","",INDEX('Per Line'!$E$2:$E$3001,$AD504)&amp;"")</f>
        <v/>
      </c>
      <c r="C504">
        <f>IF($AD504="","",INDEX('Per Line'!$A$2:$A$3001,$AD504)&amp;"")</f>
        <v/>
      </c>
      <c r="D504">
        <f>IF($AD504="","",INDEX('Per Line'!$C$2:$C$3001,$AD504)&amp;"")</f>
        <v/>
      </c>
      <c r="E504">
        <f>IF($AD504="","",INDEX('Per Line'!$B$2:$B$3001,$AD504))</f>
        <v/>
      </c>
      <c r="F504">
        <f>IF($AD504="","",INDEX('Per Line'!$D$2:$D$3001,$AD504)&amp;"")</f>
        <v/>
      </c>
      <c r="G504" s="11">
        <f>IF($AD504="","",INDEX('Per Line'!$G$2:$G$3001,$AD504))</f>
        <v/>
      </c>
      <c r="H504">
        <f>IF($AD504="","",INDEX('Per Line'!$J$2:$J$3001,$AD504)&amp;"")</f>
        <v/>
      </c>
      <c r="I504">
        <f>IF($AD504="","",INDEX('Per Line'!$H$2:$H$3001,$AD504)&amp;"")</f>
        <v/>
      </c>
      <c r="J504">
        <f>IF($AD504="","",INDEX('Per Line'!$F$2:$F$3001,$AD504)&amp;"")</f>
        <v/>
      </c>
      <c r="K504">
        <f>IF($AD504="","",INDEX('Per Line'!$K$2:$K$3001,$AD504)&amp;"")</f>
        <v/>
      </c>
      <c r="L504">
        <f>IF($AD504="","",INDEX('Per Line'!$L$2:$L$3001,$AD504)&amp;"")</f>
        <v/>
      </c>
      <c r="M504">
        <f>IF($AD504="","",INDEX('Per Line'!$M$2:$M$3001,$AD504)&amp;"")</f>
        <v/>
      </c>
      <c r="N504">
        <f>IF($AD504="","",INDEX('Per Line'!$AC$2:$AC$3001,$AD504)&amp;"")</f>
        <v/>
      </c>
      <c r="O504">
        <f>IF($AD504="","",INDEX('Per Line'!$P$2:$P$3001,$AD504))</f>
        <v/>
      </c>
      <c r="P504" s="7">
        <f>IF($AD504="","",IF(AND(ISNUMBER(Q504),Q504&gt;0,AB504&gt;Q504),O504*Q504/100+(AB504-Q504),O504*AB504/100))</f>
        <v/>
      </c>
      <c r="Q504">
        <f>IF($AD504="","",INDEX('Per Line'!$AG$2:$AG$3001,$AD504))</f>
        <v/>
      </c>
      <c r="R504">
        <f>IF($AD504="","",IF(AND(ISNUMBER(Q504),Q504&gt;0),AB504&gt;Q504,FALSE))</f>
        <v/>
      </c>
      <c r="S504" s="7">
        <f>IF($AD504="","",SUMIFS('Per Line'!$AB$2:$AB$3001,'Per Line'!$E$2:$E$3001,$B504,'Per Line'!$AQ$2:$AQ$3001,1))</f>
        <v/>
      </c>
      <c r="T504">
        <f>IF($AD504="","",Settings!$C$7)</f>
        <v/>
      </c>
      <c r="U504" s="7">
        <f>IF($AD504="","",SUMIFS('Per Line'!$AB$2:$AB$3001,'Per Line'!$E$2:$E$3001,$B504,'Per Line'!$AP$2:$AP$3001,0,'Per Line'!$AQ$2:$AQ$3001,0))</f>
        <v/>
      </c>
      <c r="V504" s="7">
        <f>IF($AD504="","",U504*T504)</f>
        <v/>
      </c>
      <c r="W504">
        <f>IF($AD504="","",Settings!$C$6)</f>
        <v/>
      </c>
      <c r="X504" s="7">
        <f>IF($AD504="","",SUMIFS('Per Line'!$AB$2:$AB$3001,'Per Line'!$E$2:$E$3001,$B504,'Per Line'!$AP$2:$AP$3001,1,'Per Line'!$AQ$2:$AQ$3001,0))</f>
        <v/>
      </c>
      <c r="Y504" s="7">
        <f>IF($AD504="","",X504*W504)</f>
        <v/>
      </c>
      <c r="Z504" s="7">
        <f>IF($AD504="","",Y504+V504)</f>
        <v/>
      </c>
      <c r="AA504" s="7">
        <f>IF($AD504="","",AB504-Z504)</f>
        <v/>
      </c>
      <c r="AB504" s="7">
        <f>IF($AD504="","",U504+X504+S504)</f>
        <v/>
      </c>
      <c r="AC504" s="7">
        <f>IF($AD504="","",AB504-Z504-P504)</f>
        <v/>
      </c>
      <c r="AD504" s="13">
        <f>IF(ROWS($AD$2:$AD504)&lt;=MAX('Per Line'!$AO$2:$AO$3001),MATCH(ROWS($AD$2:$AD504),'Per Line'!$AO$2:$AO$3001,0),"")</f>
        <v/>
      </c>
      <c r="AE504" s="14">
        <f>IF($AD504="","",P504-O504*AB504/100)</f>
        <v/>
      </c>
    </row>
    <row r="505">
      <c r="A505" s="12" t="n"/>
      <c r="B505">
        <f>IF($AD505="","",INDEX('Per Line'!$E$2:$E$3001,$AD505)&amp;"")</f>
        <v/>
      </c>
      <c r="C505">
        <f>IF($AD505="","",INDEX('Per Line'!$A$2:$A$3001,$AD505)&amp;"")</f>
        <v/>
      </c>
      <c r="D505">
        <f>IF($AD505="","",INDEX('Per Line'!$C$2:$C$3001,$AD505)&amp;"")</f>
        <v/>
      </c>
      <c r="E505">
        <f>IF($AD505="","",INDEX('Per Line'!$B$2:$B$3001,$AD505))</f>
        <v/>
      </c>
      <c r="F505">
        <f>IF($AD505="","",INDEX('Per Line'!$D$2:$D$3001,$AD505)&amp;"")</f>
        <v/>
      </c>
      <c r="G505" s="11">
        <f>IF($AD505="","",INDEX('Per Line'!$G$2:$G$3001,$AD505))</f>
        <v/>
      </c>
      <c r="H505">
        <f>IF($AD505="","",INDEX('Per Line'!$J$2:$J$3001,$AD505)&amp;"")</f>
        <v/>
      </c>
      <c r="I505">
        <f>IF($AD505="","",INDEX('Per Line'!$H$2:$H$3001,$AD505)&amp;"")</f>
        <v/>
      </c>
      <c r="J505">
        <f>IF($AD505="","",INDEX('Per Line'!$F$2:$F$3001,$AD505)&amp;"")</f>
        <v/>
      </c>
      <c r="K505">
        <f>IF($AD505="","",INDEX('Per Line'!$K$2:$K$3001,$AD505)&amp;"")</f>
        <v/>
      </c>
      <c r="L505">
        <f>IF($AD505="","",INDEX('Per Line'!$L$2:$L$3001,$AD505)&amp;"")</f>
        <v/>
      </c>
      <c r="M505">
        <f>IF($AD505="","",INDEX('Per Line'!$M$2:$M$3001,$AD505)&amp;"")</f>
        <v/>
      </c>
      <c r="N505">
        <f>IF($AD505="","",INDEX('Per Line'!$AC$2:$AC$3001,$AD505)&amp;"")</f>
        <v/>
      </c>
      <c r="O505">
        <f>IF($AD505="","",INDEX('Per Line'!$P$2:$P$3001,$AD505))</f>
        <v/>
      </c>
      <c r="P505" s="7">
        <f>IF($AD505="","",IF(AND(ISNUMBER(Q505),Q505&gt;0,AB505&gt;Q505),O505*Q505/100+(AB505-Q505),O505*AB505/100))</f>
        <v/>
      </c>
      <c r="Q505">
        <f>IF($AD505="","",INDEX('Per Line'!$AG$2:$AG$3001,$AD505))</f>
        <v/>
      </c>
      <c r="R505">
        <f>IF($AD505="","",IF(AND(ISNUMBER(Q505),Q505&gt;0),AB505&gt;Q505,FALSE))</f>
        <v/>
      </c>
      <c r="S505" s="7">
        <f>IF($AD505="","",SUMIFS('Per Line'!$AB$2:$AB$3001,'Per Line'!$E$2:$E$3001,$B505,'Per Line'!$AQ$2:$AQ$3001,1))</f>
        <v/>
      </c>
      <c r="T505">
        <f>IF($AD505="","",Settings!$C$7)</f>
        <v/>
      </c>
      <c r="U505" s="7">
        <f>IF($AD505="","",SUMIFS('Per Line'!$AB$2:$AB$3001,'Per Line'!$E$2:$E$3001,$B505,'Per Line'!$AP$2:$AP$3001,0,'Per Line'!$AQ$2:$AQ$3001,0))</f>
        <v/>
      </c>
      <c r="V505" s="7">
        <f>IF($AD505="","",U505*T505)</f>
        <v/>
      </c>
      <c r="W505">
        <f>IF($AD505="","",Settings!$C$6)</f>
        <v/>
      </c>
      <c r="X505" s="7">
        <f>IF($AD505="","",SUMIFS('Per Line'!$AB$2:$AB$3001,'Per Line'!$E$2:$E$3001,$B505,'Per Line'!$AP$2:$AP$3001,1,'Per Line'!$AQ$2:$AQ$3001,0))</f>
        <v/>
      </c>
      <c r="Y505" s="7">
        <f>IF($AD505="","",X505*W505)</f>
        <v/>
      </c>
      <c r="Z505" s="7">
        <f>IF($AD505="","",Y505+V505)</f>
        <v/>
      </c>
      <c r="AA505" s="7">
        <f>IF($AD505="","",AB505-Z505)</f>
        <v/>
      </c>
      <c r="AB505" s="7">
        <f>IF($AD505="","",U505+X505+S505)</f>
        <v/>
      </c>
      <c r="AC505" s="7">
        <f>IF($AD505="","",AB505-Z505-P505)</f>
        <v/>
      </c>
      <c r="AD505" s="13">
        <f>IF(ROWS($AD$2:$AD505)&lt;=MAX('Per Line'!$AO$2:$AO$3001),MATCH(ROWS($AD$2:$AD505),'Per Line'!$AO$2:$AO$3001,0),"")</f>
        <v/>
      </c>
      <c r="AE505" s="14">
        <f>IF($AD505="","",P505-O505*AB505/100)</f>
        <v/>
      </c>
    </row>
    <row r="506">
      <c r="A506" s="12" t="n"/>
      <c r="B506">
        <f>IF($AD506="","",INDEX('Per Line'!$E$2:$E$3001,$AD506)&amp;"")</f>
        <v/>
      </c>
      <c r="C506">
        <f>IF($AD506="","",INDEX('Per Line'!$A$2:$A$3001,$AD506)&amp;"")</f>
        <v/>
      </c>
      <c r="D506">
        <f>IF($AD506="","",INDEX('Per Line'!$C$2:$C$3001,$AD506)&amp;"")</f>
        <v/>
      </c>
      <c r="E506">
        <f>IF($AD506="","",INDEX('Per Line'!$B$2:$B$3001,$AD506))</f>
        <v/>
      </c>
      <c r="F506">
        <f>IF($AD506="","",INDEX('Per Line'!$D$2:$D$3001,$AD506)&amp;"")</f>
        <v/>
      </c>
      <c r="G506" s="11">
        <f>IF($AD506="","",INDEX('Per Line'!$G$2:$G$3001,$AD506))</f>
        <v/>
      </c>
      <c r="H506">
        <f>IF($AD506="","",INDEX('Per Line'!$J$2:$J$3001,$AD506)&amp;"")</f>
        <v/>
      </c>
      <c r="I506">
        <f>IF($AD506="","",INDEX('Per Line'!$H$2:$H$3001,$AD506)&amp;"")</f>
        <v/>
      </c>
      <c r="J506">
        <f>IF($AD506="","",INDEX('Per Line'!$F$2:$F$3001,$AD506)&amp;"")</f>
        <v/>
      </c>
      <c r="K506">
        <f>IF($AD506="","",INDEX('Per Line'!$K$2:$K$3001,$AD506)&amp;"")</f>
        <v/>
      </c>
      <c r="L506">
        <f>IF($AD506="","",INDEX('Per Line'!$L$2:$L$3001,$AD506)&amp;"")</f>
        <v/>
      </c>
      <c r="M506">
        <f>IF($AD506="","",INDEX('Per Line'!$M$2:$M$3001,$AD506)&amp;"")</f>
        <v/>
      </c>
      <c r="N506">
        <f>IF($AD506="","",INDEX('Per Line'!$AC$2:$AC$3001,$AD506)&amp;"")</f>
        <v/>
      </c>
      <c r="O506">
        <f>IF($AD506="","",INDEX('Per Line'!$P$2:$P$3001,$AD506))</f>
        <v/>
      </c>
      <c r="P506" s="7">
        <f>IF($AD506="","",IF(AND(ISNUMBER(Q506),Q506&gt;0,AB506&gt;Q506),O506*Q506/100+(AB506-Q506),O506*AB506/100))</f>
        <v/>
      </c>
      <c r="Q506">
        <f>IF($AD506="","",INDEX('Per Line'!$AG$2:$AG$3001,$AD506))</f>
        <v/>
      </c>
      <c r="R506">
        <f>IF($AD506="","",IF(AND(ISNUMBER(Q506),Q506&gt;0),AB506&gt;Q506,FALSE))</f>
        <v/>
      </c>
      <c r="S506" s="7">
        <f>IF($AD506="","",SUMIFS('Per Line'!$AB$2:$AB$3001,'Per Line'!$E$2:$E$3001,$B506,'Per Line'!$AQ$2:$AQ$3001,1))</f>
        <v/>
      </c>
      <c r="T506">
        <f>IF($AD506="","",Settings!$C$7)</f>
        <v/>
      </c>
      <c r="U506" s="7">
        <f>IF($AD506="","",SUMIFS('Per Line'!$AB$2:$AB$3001,'Per Line'!$E$2:$E$3001,$B506,'Per Line'!$AP$2:$AP$3001,0,'Per Line'!$AQ$2:$AQ$3001,0))</f>
        <v/>
      </c>
      <c r="V506" s="7">
        <f>IF($AD506="","",U506*T506)</f>
        <v/>
      </c>
      <c r="W506">
        <f>IF($AD506="","",Settings!$C$6)</f>
        <v/>
      </c>
      <c r="X506" s="7">
        <f>IF($AD506="","",SUMIFS('Per Line'!$AB$2:$AB$3001,'Per Line'!$E$2:$E$3001,$B506,'Per Line'!$AP$2:$AP$3001,1,'Per Line'!$AQ$2:$AQ$3001,0))</f>
        <v/>
      </c>
      <c r="Y506" s="7">
        <f>IF($AD506="","",X506*W506)</f>
        <v/>
      </c>
      <c r="Z506" s="7">
        <f>IF($AD506="","",Y506+V506)</f>
        <v/>
      </c>
      <c r="AA506" s="7">
        <f>IF($AD506="","",AB506-Z506)</f>
        <v/>
      </c>
      <c r="AB506" s="7">
        <f>IF($AD506="","",U506+X506+S506)</f>
        <v/>
      </c>
      <c r="AC506" s="7">
        <f>IF($AD506="","",AB506-Z506-P506)</f>
        <v/>
      </c>
      <c r="AD506" s="13">
        <f>IF(ROWS($AD$2:$AD506)&lt;=MAX('Per Line'!$AO$2:$AO$3001),MATCH(ROWS($AD$2:$AD506),'Per Line'!$AO$2:$AO$3001,0),"")</f>
        <v/>
      </c>
      <c r="AE506" s="14">
        <f>IF($AD506="","",P506-O506*AB506/100)</f>
        <v/>
      </c>
    </row>
    <row r="507">
      <c r="A507" s="12" t="n"/>
      <c r="B507">
        <f>IF($AD507="","",INDEX('Per Line'!$E$2:$E$3001,$AD507)&amp;"")</f>
        <v/>
      </c>
      <c r="C507">
        <f>IF($AD507="","",INDEX('Per Line'!$A$2:$A$3001,$AD507)&amp;"")</f>
        <v/>
      </c>
      <c r="D507">
        <f>IF($AD507="","",INDEX('Per Line'!$C$2:$C$3001,$AD507)&amp;"")</f>
        <v/>
      </c>
      <c r="E507">
        <f>IF($AD507="","",INDEX('Per Line'!$B$2:$B$3001,$AD507))</f>
        <v/>
      </c>
      <c r="F507">
        <f>IF($AD507="","",INDEX('Per Line'!$D$2:$D$3001,$AD507)&amp;"")</f>
        <v/>
      </c>
      <c r="G507" s="11">
        <f>IF($AD507="","",INDEX('Per Line'!$G$2:$G$3001,$AD507))</f>
        <v/>
      </c>
      <c r="H507">
        <f>IF($AD507="","",INDEX('Per Line'!$J$2:$J$3001,$AD507)&amp;"")</f>
        <v/>
      </c>
      <c r="I507">
        <f>IF($AD507="","",INDEX('Per Line'!$H$2:$H$3001,$AD507)&amp;"")</f>
        <v/>
      </c>
      <c r="J507">
        <f>IF($AD507="","",INDEX('Per Line'!$F$2:$F$3001,$AD507)&amp;"")</f>
        <v/>
      </c>
      <c r="K507">
        <f>IF($AD507="","",INDEX('Per Line'!$K$2:$K$3001,$AD507)&amp;"")</f>
        <v/>
      </c>
      <c r="L507">
        <f>IF($AD507="","",INDEX('Per Line'!$L$2:$L$3001,$AD507)&amp;"")</f>
        <v/>
      </c>
      <c r="M507">
        <f>IF($AD507="","",INDEX('Per Line'!$M$2:$M$3001,$AD507)&amp;"")</f>
        <v/>
      </c>
      <c r="N507">
        <f>IF($AD507="","",INDEX('Per Line'!$AC$2:$AC$3001,$AD507)&amp;"")</f>
        <v/>
      </c>
      <c r="O507">
        <f>IF($AD507="","",INDEX('Per Line'!$P$2:$P$3001,$AD507))</f>
        <v/>
      </c>
      <c r="P507" s="7">
        <f>IF($AD507="","",IF(AND(ISNUMBER(Q507),Q507&gt;0,AB507&gt;Q507),O507*Q507/100+(AB507-Q507),O507*AB507/100))</f>
        <v/>
      </c>
      <c r="Q507">
        <f>IF($AD507="","",INDEX('Per Line'!$AG$2:$AG$3001,$AD507))</f>
        <v/>
      </c>
      <c r="R507">
        <f>IF($AD507="","",IF(AND(ISNUMBER(Q507),Q507&gt;0),AB507&gt;Q507,FALSE))</f>
        <v/>
      </c>
      <c r="S507" s="7">
        <f>IF($AD507="","",SUMIFS('Per Line'!$AB$2:$AB$3001,'Per Line'!$E$2:$E$3001,$B507,'Per Line'!$AQ$2:$AQ$3001,1))</f>
        <v/>
      </c>
      <c r="T507">
        <f>IF($AD507="","",Settings!$C$7)</f>
        <v/>
      </c>
      <c r="U507" s="7">
        <f>IF($AD507="","",SUMIFS('Per Line'!$AB$2:$AB$3001,'Per Line'!$E$2:$E$3001,$B507,'Per Line'!$AP$2:$AP$3001,0,'Per Line'!$AQ$2:$AQ$3001,0))</f>
        <v/>
      </c>
      <c r="V507" s="7">
        <f>IF($AD507="","",U507*T507)</f>
        <v/>
      </c>
      <c r="W507">
        <f>IF($AD507="","",Settings!$C$6)</f>
        <v/>
      </c>
      <c r="X507" s="7">
        <f>IF($AD507="","",SUMIFS('Per Line'!$AB$2:$AB$3001,'Per Line'!$E$2:$E$3001,$B507,'Per Line'!$AP$2:$AP$3001,1,'Per Line'!$AQ$2:$AQ$3001,0))</f>
        <v/>
      </c>
      <c r="Y507" s="7">
        <f>IF($AD507="","",X507*W507)</f>
        <v/>
      </c>
      <c r="Z507" s="7">
        <f>IF($AD507="","",Y507+V507)</f>
        <v/>
      </c>
      <c r="AA507" s="7">
        <f>IF($AD507="","",AB507-Z507)</f>
        <v/>
      </c>
      <c r="AB507" s="7">
        <f>IF($AD507="","",U507+X507+S507)</f>
        <v/>
      </c>
      <c r="AC507" s="7">
        <f>IF($AD507="","",AB507-Z507-P507)</f>
        <v/>
      </c>
      <c r="AD507" s="13">
        <f>IF(ROWS($AD$2:$AD507)&lt;=MAX('Per Line'!$AO$2:$AO$3001),MATCH(ROWS($AD$2:$AD507),'Per Line'!$AO$2:$AO$3001,0),"")</f>
        <v/>
      </c>
      <c r="AE507" s="14">
        <f>IF($AD507="","",P507-O507*AB507/100)</f>
        <v/>
      </c>
    </row>
    <row r="508">
      <c r="A508" s="12" t="n"/>
      <c r="B508">
        <f>IF($AD508="","",INDEX('Per Line'!$E$2:$E$3001,$AD508)&amp;"")</f>
        <v/>
      </c>
      <c r="C508">
        <f>IF($AD508="","",INDEX('Per Line'!$A$2:$A$3001,$AD508)&amp;"")</f>
        <v/>
      </c>
      <c r="D508">
        <f>IF($AD508="","",INDEX('Per Line'!$C$2:$C$3001,$AD508)&amp;"")</f>
        <v/>
      </c>
      <c r="E508">
        <f>IF($AD508="","",INDEX('Per Line'!$B$2:$B$3001,$AD508))</f>
        <v/>
      </c>
      <c r="F508">
        <f>IF($AD508="","",INDEX('Per Line'!$D$2:$D$3001,$AD508)&amp;"")</f>
        <v/>
      </c>
      <c r="G508" s="11">
        <f>IF($AD508="","",INDEX('Per Line'!$G$2:$G$3001,$AD508))</f>
        <v/>
      </c>
      <c r="H508">
        <f>IF($AD508="","",INDEX('Per Line'!$J$2:$J$3001,$AD508)&amp;"")</f>
        <v/>
      </c>
      <c r="I508">
        <f>IF($AD508="","",INDEX('Per Line'!$H$2:$H$3001,$AD508)&amp;"")</f>
        <v/>
      </c>
      <c r="J508">
        <f>IF($AD508="","",INDEX('Per Line'!$F$2:$F$3001,$AD508)&amp;"")</f>
        <v/>
      </c>
      <c r="K508">
        <f>IF($AD508="","",INDEX('Per Line'!$K$2:$K$3001,$AD508)&amp;"")</f>
        <v/>
      </c>
      <c r="L508">
        <f>IF($AD508="","",INDEX('Per Line'!$L$2:$L$3001,$AD508)&amp;"")</f>
        <v/>
      </c>
      <c r="M508">
        <f>IF($AD508="","",INDEX('Per Line'!$M$2:$M$3001,$AD508)&amp;"")</f>
        <v/>
      </c>
      <c r="N508">
        <f>IF($AD508="","",INDEX('Per Line'!$AC$2:$AC$3001,$AD508)&amp;"")</f>
        <v/>
      </c>
      <c r="O508">
        <f>IF($AD508="","",INDEX('Per Line'!$P$2:$P$3001,$AD508))</f>
        <v/>
      </c>
      <c r="P508" s="7">
        <f>IF($AD508="","",IF(AND(ISNUMBER(Q508),Q508&gt;0,AB508&gt;Q508),O508*Q508/100+(AB508-Q508),O508*AB508/100))</f>
        <v/>
      </c>
      <c r="Q508">
        <f>IF($AD508="","",INDEX('Per Line'!$AG$2:$AG$3001,$AD508))</f>
        <v/>
      </c>
      <c r="R508">
        <f>IF($AD508="","",IF(AND(ISNUMBER(Q508),Q508&gt;0),AB508&gt;Q508,FALSE))</f>
        <v/>
      </c>
      <c r="S508" s="7">
        <f>IF($AD508="","",SUMIFS('Per Line'!$AB$2:$AB$3001,'Per Line'!$E$2:$E$3001,$B508,'Per Line'!$AQ$2:$AQ$3001,1))</f>
        <v/>
      </c>
      <c r="T508">
        <f>IF($AD508="","",Settings!$C$7)</f>
        <v/>
      </c>
      <c r="U508" s="7">
        <f>IF($AD508="","",SUMIFS('Per Line'!$AB$2:$AB$3001,'Per Line'!$E$2:$E$3001,$B508,'Per Line'!$AP$2:$AP$3001,0,'Per Line'!$AQ$2:$AQ$3001,0))</f>
        <v/>
      </c>
      <c r="V508" s="7">
        <f>IF($AD508="","",U508*T508)</f>
        <v/>
      </c>
      <c r="W508">
        <f>IF($AD508="","",Settings!$C$6)</f>
        <v/>
      </c>
      <c r="X508" s="7">
        <f>IF($AD508="","",SUMIFS('Per Line'!$AB$2:$AB$3001,'Per Line'!$E$2:$E$3001,$B508,'Per Line'!$AP$2:$AP$3001,1,'Per Line'!$AQ$2:$AQ$3001,0))</f>
        <v/>
      </c>
      <c r="Y508" s="7">
        <f>IF($AD508="","",X508*W508)</f>
        <v/>
      </c>
      <c r="Z508" s="7">
        <f>IF($AD508="","",Y508+V508)</f>
        <v/>
      </c>
      <c r="AA508" s="7">
        <f>IF($AD508="","",AB508-Z508)</f>
        <v/>
      </c>
      <c r="AB508" s="7">
        <f>IF($AD508="","",U508+X508+S508)</f>
        <v/>
      </c>
      <c r="AC508" s="7">
        <f>IF($AD508="","",AB508-Z508-P508)</f>
        <v/>
      </c>
      <c r="AD508" s="13">
        <f>IF(ROWS($AD$2:$AD508)&lt;=MAX('Per Line'!$AO$2:$AO$3001),MATCH(ROWS($AD$2:$AD508),'Per Line'!$AO$2:$AO$3001,0),"")</f>
        <v/>
      </c>
      <c r="AE508" s="14">
        <f>IF($AD508="","",P508-O508*AB508/100)</f>
        <v/>
      </c>
    </row>
    <row r="509">
      <c r="A509" s="12" t="n"/>
      <c r="B509">
        <f>IF($AD509="","",INDEX('Per Line'!$E$2:$E$3001,$AD509)&amp;"")</f>
        <v/>
      </c>
      <c r="C509">
        <f>IF($AD509="","",INDEX('Per Line'!$A$2:$A$3001,$AD509)&amp;"")</f>
        <v/>
      </c>
      <c r="D509">
        <f>IF($AD509="","",INDEX('Per Line'!$C$2:$C$3001,$AD509)&amp;"")</f>
        <v/>
      </c>
      <c r="E509">
        <f>IF($AD509="","",INDEX('Per Line'!$B$2:$B$3001,$AD509))</f>
        <v/>
      </c>
      <c r="F509">
        <f>IF($AD509="","",INDEX('Per Line'!$D$2:$D$3001,$AD509)&amp;"")</f>
        <v/>
      </c>
      <c r="G509" s="11">
        <f>IF($AD509="","",INDEX('Per Line'!$G$2:$G$3001,$AD509))</f>
        <v/>
      </c>
      <c r="H509">
        <f>IF($AD509="","",INDEX('Per Line'!$J$2:$J$3001,$AD509)&amp;"")</f>
        <v/>
      </c>
      <c r="I509">
        <f>IF($AD509="","",INDEX('Per Line'!$H$2:$H$3001,$AD509)&amp;"")</f>
        <v/>
      </c>
      <c r="J509">
        <f>IF($AD509="","",INDEX('Per Line'!$F$2:$F$3001,$AD509)&amp;"")</f>
        <v/>
      </c>
      <c r="K509">
        <f>IF($AD509="","",INDEX('Per Line'!$K$2:$K$3001,$AD509)&amp;"")</f>
        <v/>
      </c>
      <c r="L509">
        <f>IF($AD509="","",INDEX('Per Line'!$L$2:$L$3001,$AD509)&amp;"")</f>
        <v/>
      </c>
      <c r="M509">
        <f>IF($AD509="","",INDEX('Per Line'!$M$2:$M$3001,$AD509)&amp;"")</f>
        <v/>
      </c>
      <c r="N509">
        <f>IF($AD509="","",INDEX('Per Line'!$AC$2:$AC$3001,$AD509)&amp;"")</f>
        <v/>
      </c>
      <c r="O509">
        <f>IF($AD509="","",INDEX('Per Line'!$P$2:$P$3001,$AD509))</f>
        <v/>
      </c>
      <c r="P509" s="7">
        <f>IF($AD509="","",IF(AND(ISNUMBER(Q509),Q509&gt;0,AB509&gt;Q509),O509*Q509/100+(AB509-Q509),O509*AB509/100))</f>
        <v/>
      </c>
      <c r="Q509">
        <f>IF($AD509="","",INDEX('Per Line'!$AG$2:$AG$3001,$AD509))</f>
        <v/>
      </c>
      <c r="R509">
        <f>IF($AD509="","",IF(AND(ISNUMBER(Q509),Q509&gt;0),AB509&gt;Q509,FALSE))</f>
        <v/>
      </c>
      <c r="S509" s="7">
        <f>IF($AD509="","",SUMIFS('Per Line'!$AB$2:$AB$3001,'Per Line'!$E$2:$E$3001,$B509,'Per Line'!$AQ$2:$AQ$3001,1))</f>
        <v/>
      </c>
      <c r="T509">
        <f>IF($AD509="","",Settings!$C$7)</f>
        <v/>
      </c>
      <c r="U509" s="7">
        <f>IF($AD509="","",SUMIFS('Per Line'!$AB$2:$AB$3001,'Per Line'!$E$2:$E$3001,$B509,'Per Line'!$AP$2:$AP$3001,0,'Per Line'!$AQ$2:$AQ$3001,0))</f>
        <v/>
      </c>
      <c r="V509" s="7">
        <f>IF($AD509="","",U509*T509)</f>
        <v/>
      </c>
      <c r="W509">
        <f>IF($AD509="","",Settings!$C$6)</f>
        <v/>
      </c>
      <c r="X509" s="7">
        <f>IF($AD509="","",SUMIFS('Per Line'!$AB$2:$AB$3001,'Per Line'!$E$2:$E$3001,$B509,'Per Line'!$AP$2:$AP$3001,1,'Per Line'!$AQ$2:$AQ$3001,0))</f>
        <v/>
      </c>
      <c r="Y509" s="7">
        <f>IF($AD509="","",X509*W509)</f>
        <v/>
      </c>
      <c r="Z509" s="7">
        <f>IF($AD509="","",Y509+V509)</f>
        <v/>
      </c>
      <c r="AA509" s="7">
        <f>IF($AD509="","",AB509-Z509)</f>
        <v/>
      </c>
      <c r="AB509" s="7">
        <f>IF($AD509="","",U509+X509+S509)</f>
        <v/>
      </c>
      <c r="AC509" s="7">
        <f>IF($AD509="","",AB509-Z509-P509)</f>
        <v/>
      </c>
      <c r="AD509" s="13">
        <f>IF(ROWS($AD$2:$AD509)&lt;=MAX('Per Line'!$AO$2:$AO$3001),MATCH(ROWS($AD$2:$AD509),'Per Line'!$AO$2:$AO$3001,0),"")</f>
        <v/>
      </c>
      <c r="AE509" s="14">
        <f>IF($AD509="","",P509-O509*AB509/100)</f>
        <v/>
      </c>
    </row>
    <row r="510">
      <c r="A510" s="12" t="n"/>
      <c r="B510">
        <f>IF($AD510="","",INDEX('Per Line'!$E$2:$E$3001,$AD510)&amp;"")</f>
        <v/>
      </c>
      <c r="C510">
        <f>IF($AD510="","",INDEX('Per Line'!$A$2:$A$3001,$AD510)&amp;"")</f>
        <v/>
      </c>
      <c r="D510">
        <f>IF($AD510="","",INDEX('Per Line'!$C$2:$C$3001,$AD510)&amp;"")</f>
        <v/>
      </c>
      <c r="E510">
        <f>IF($AD510="","",INDEX('Per Line'!$B$2:$B$3001,$AD510))</f>
        <v/>
      </c>
      <c r="F510">
        <f>IF($AD510="","",INDEX('Per Line'!$D$2:$D$3001,$AD510)&amp;"")</f>
        <v/>
      </c>
      <c r="G510" s="11">
        <f>IF($AD510="","",INDEX('Per Line'!$G$2:$G$3001,$AD510))</f>
        <v/>
      </c>
      <c r="H510">
        <f>IF($AD510="","",INDEX('Per Line'!$J$2:$J$3001,$AD510)&amp;"")</f>
        <v/>
      </c>
      <c r="I510">
        <f>IF($AD510="","",INDEX('Per Line'!$H$2:$H$3001,$AD510)&amp;"")</f>
        <v/>
      </c>
      <c r="J510">
        <f>IF($AD510="","",INDEX('Per Line'!$F$2:$F$3001,$AD510)&amp;"")</f>
        <v/>
      </c>
      <c r="K510">
        <f>IF($AD510="","",INDEX('Per Line'!$K$2:$K$3001,$AD510)&amp;"")</f>
        <v/>
      </c>
      <c r="L510">
        <f>IF($AD510="","",INDEX('Per Line'!$L$2:$L$3001,$AD510)&amp;"")</f>
        <v/>
      </c>
      <c r="M510">
        <f>IF($AD510="","",INDEX('Per Line'!$M$2:$M$3001,$AD510)&amp;"")</f>
        <v/>
      </c>
      <c r="N510">
        <f>IF($AD510="","",INDEX('Per Line'!$AC$2:$AC$3001,$AD510)&amp;"")</f>
        <v/>
      </c>
      <c r="O510">
        <f>IF($AD510="","",INDEX('Per Line'!$P$2:$P$3001,$AD510))</f>
        <v/>
      </c>
      <c r="P510" s="7">
        <f>IF($AD510="","",IF(AND(ISNUMBER(Q510),Q510&gt;0,AB510&gt;Q510),O510*Q510/100+(AB510-Q510),O510*AB510/100))</f>
        <v/>
      </c>
      <c r="Q510">
        <f>IF($AD510="","",INDEX('Per Line'!$AG$2:$AG$3001,$AD510))</f>
        <v/>
      </c>
      <c r="R510">
        <f>IF($AD510="","",IF(AND(ISNUMBER(Q510),Q510&gt;0),AB510&gt;Q510,FALSE))</f>
        <v/>
      </c>
      <c r="S510" s="7">
        <f>IF($AD510="","",SUMIFS('Per Line'!$AB$2:$AB$3001,'Per Line'!$E$2:$E$3001,$B510,'Per Line'!$AQ$2:$AQ$3001,1))</f>
        <v/>
      </c>
      <c r="T510">
        <f>IF($AD510="","",Settings!$C$7)</f>
        <v/>
      </c>
      <c r="U510" s="7">
        <f>IF($AD510="","",SUMIFS('Per Line'!$AB$2:$AB$3001,'Per Line'!$E$2:$E$3001,$B510,'Per Line'!$AP$2:$AP$3001,0,'Per Line'!$AQ$2:$AQ$3001,0))</f>
        <v/>
      </c>
      <c r="V510" s="7">
        <f>IF($AD510="","",U510*T510)</f>
        <v/>
      </c>
      <c r="W510">
        <f>IF($AD510="","",Settings!$C$6)</f>
        <v/>
      </c>
      <c r="X510" s="7">
        <f>IF($AD510="","",SUMIFS('Per Line'!$AB$2:$AB$3001,'Per Line'!$E$2:$E$3001,$B510,'Per Line'!$AP$2:$AP$3001,1,'Per Line'!$AQ$2:$AQ$3001,0))</f>
        <v/>
      </c>
      <c r="Y510" s="7">
        <f>IF($AD510="","",X510*W510)</f>
        <v/>
      </c>
      <c r="Z510" s="7">
        <f>IF($AD510="","",Y510+V510)</f>
        <v/>
      </c>
      <c r="AA510" s="7">
        <f>IF($AD510="","",AB510-Z510)</f>
        <v/>
      </c>
      <c r="AB510" s="7">
        <f>IF($AD510="","",U510+X510+S510)</f>
        <v/>
      </c>
      <c r="AC510" s="7">
        <f>IF($AD510="","",AB510-Z510-P510)</f>
        <v/>
      </c>
      <c r="AD510" s="13">
        <f>IF(ROWS($AD$2:$AD510)&lt;=MAX('Per Line'!$AO$2:$AO$3001),MATCH(ROWS($AD$2:$AD510),'Per Line'!$AO$2:$AO$3001,0),"")</f>
        <v/>
      </c>
      <c r="AE510" s="14">
        <f>IF($AD510="","",P510-O510*AB510/100)</f>
        <v/>
      </c>
    </row>
    <row r="511">
      <c r="A511" s="12" t="n"/>
      <c r="B511">
        <f>IF($AD511="","",INDEX('Per Line'!$E$2:$E$3001,$AD511)&amp;"")</f>
        <v/>
      </c>
      <c r="C511">
        <f>IF($AD511="","",INDEX('Per Line'!$A$2:$A$3001,$AD511)&amp;"")</f>
        <v/>
      </c>
      <c r="D511">
        <f>IF($AD511="","",INDEX('Per Line'!$C$2:$C$3001,$AD511)&amp;"")</f>
        <v/>
      </c>
      <c r="E511">
        <f>IF($AD511="","",INDEX('Per Line'!$B$2:$B$3001,$AD511))</f>
        <v/>
      </c>
      <c r="F511">
        <f>IF($AD511="","",INDEX('Per Line'!$D$2:$D$3001,$AD511)&amp;"")</f>
        <v/>
      </c>
      <c r="G511" s="11">
        <f>IF($AD511="","",INDEX('Per Line'!$G$2:$G$3001,$AD511))</f>
        <v/>
      </c>
      <c r="H511">
        <f>IF($AD511="","",INDEX('Per Line'!$J$2:$J$3001,$AD511)&amp;"")</f>
        <v/>
      </c>
      <c r="I511">
        <f>IF($AD511="","",INDEX('Per Line'!$H$2:$H$3001,$AD511)&amp;"")</f>
        <v/>
      </c>
      <c r="J511">
        <f>IF($AD511="","",INDEX('Per Line'!$F$2:$F$3001,$AD511)&amp;"")</f>
        <v/>
      </c>
      <c r="K511">
        <f>IF($AD511="","",INDEX('Per Line'!$K$2:$K$3001,$AD511)&amp;"")</f>
        <v/>
      </c>
      <c r="L511">
        <f>IF($AD511="","",INDEX('Per Line'!$L$2:$L$3001,$AD511)&amp;"")</f>
        <v/>
      </c>
      <c r="M511">
        <f>IF($AD511="","",INDEX('Per Line'!$M$2:$M$3001,$AD511)&amp;"")</f>
        <v/>
      </c>
      <c r="N511">
        <f>IF($AD511="","",INDEX('Per Line'!$AC$2:$AC$3001,$AD511)&amp;"")</f>
        <v/>
      </c>
      <c r="O511">
        <f>IF($AD511="","",INDEX('Per Line'!$P$2:$P$3001,$AD511))</f>
        <v/>
      </c>
      <c r="P511" s="7">
        <f>IF($AD511="","",IF(AND(ISNUMBER(Q511),Q511&gt;0,AB511&gt;Q511),O511*Q511/100+(AB511-Q511),O511*AB511/100))</f>
        <v/>
      </c>
      <c r="Q511">
        <f>IF($AD511="","",INDEX('Per Line'!$AG$2:$AG$3001,$AD511))</f>
        <v/>
      </c>
      <c r="R511">
        <f>IF($AD511="","",IF(AND(ISNUMBER(Q511),Q511&gt;0),AB511&gt;Q511,FALSE))</f>
        <v/>
      </c>
      <c r="S511" s="7">
        <f>IF($AD511="","",SUMIFS('Per Line'!$AB$2:$AB$3001,'Per Line'!$E$2:$E$3001,$B511,'Per Line'!$AQ$2:$AQ$3001,1))</f>
        <v/>
      </c>
      <c r="T511">
        <f>IF($AD511="","",Settings!$C$7)</f>
        <v/>
      </c>
      <c r="U511" s="7">
        <f>IF($AD511="","",SUMIFS('Per Line'!$AB$2:$AB$3001,'Per Line'!$E$2:$E$3001,$B511,'Per Line'!$AP$2:$AP$3001,0,'Per Line'!$AQ$2:$AQ$3001,0))</f>
        <v/>
      </c>
      <c r="V511" s="7">
        <f>IF($AD511="","",U511*T511)</f>
        <v/>
      </c>
      <c r="W511">
        <f>IF($AD511="","",Settings!$C$6)</f>
        <v/>
      </c>
      <c r="X511" s="7">
        <f>IF($AD511="","",SUMIFS('Per Line'!$AB$2:$AB$3001,'Per Line'!$E$2:$E$3001,$B511,'Per Line'!$AP$2:$AP$3001,1,'Per Line'!$AQ$2:$AQ$3001,0))</f>
        <v/>
      </c>
      <c r="Y511" s="7">
        <f>IF($AD511="","",X511*W511)</f>
        <v/>
      </c>
      <c r="Z511" s="7">
        <f>IF($AD511="","",Y511+V511)</f>
        <v/>
      </c>
      <c r="AA511" s="7">
        <f>IF($AD511="","",AB511-Z511)</f>
        <v/>
      </c>
      <c r="AB511" s="7">
        <f>IF($AD511="","",U511+X511+S511)</f>
        <v/>
      </c>
      <c r="AC511" s="7">
        <f>IF($AD511="","",AB511-Z511-P511)</f>
        <v/>
      </c>
      <c r="AD511" s="13">
        <f>IF(ROWS($AD$2:$AD511)&lt;=MAX('Per Line'!$AO$2:$AO$3001),MATCH(ROWS($AD$2:$AD511),'Per Line'!$AO$2:$AO$3001,0),"")</f>
        <v/>
      </c>
      <c r="AE511" s="14">
        <f>IF($AD511="","",P511-O511*AB511/100)</f>
        <v/>
      </c>
    </row>
    <row r="512">
      <c r="A512" s="12" t="n"/>
      <c r="B512">
        <f>IF($AD512="","",INDEX('Per Line'!$E$2:$E$3001,$AD512)&amp;"")</f>
        <v/>
      </c>
      <c r="C512">
        <f>IF($AD512="","",INDEX('Per Line'!$A$2:$A$3001,$AD512)&amp;"")</f>
        <v/>
      </c>
      <c r="D512">
        <f>IF($AD512="","",INDEX('Per Line'!$C$2:$C$3001,$AD512)&amp;"")</f>
        <v/>
      </c>
      <c r="E512">
        <f>IF($AD512="","",INDEX('Per Line'!$B$2:$B$3001,$AD512))</f>
        <v/>
      </c>
      <c r="F512">
        <f>IF($AD512="","",INDEX('Per Line'!$D$2:$D$3001,$AD512)&amp;"")</f>
        <v/>
      </c>
      <c r="G512" s="11">
        <f>IF($AD512="","",INDEX('Per Line'!$G$2:$G$3001,$AD512))</f>
        <v/>
      </c>
      <c r="H512">
        <f>IF($AD512="","",INDEX('Per Line'!$J$2:$J$3001,$AD512)&amp;"")</f>
        <v/>
      </c>
      <c r="I512">
        <f>IF($AD512="","",INDEX('Per Line'!$H$2:$H$3001,$AD512)&amp;"")</f>
        <v/>
      </c>
      <c r="J512">
        <f>IF($AD512="","",INDEX('Per Line'!$F$2:$F$3001,$AD512)&amp;"")</f>
        <v/>
      </c>
      <c r="K512">
        <f>IF($AD512="","",INDEX('Per Line'!$K$2:$K$3001,$AD512)&amp;"")</f>
        <v/>
      </c>
      <c r="L512">
        <f>IF($AD512="","",INDEX('Per Line'!$L$2:$L$3001,$AD512)&amp;"")</f>
        <v/>
      </c>
      <c r="M512">
        <f>IF($AD512="","",INDEX('Per Line'!$M$2:$M$3001,$AD512)&amp;"")</f>
        <v/>
      </c>
      <c r="N512">
        <f>IF($AD512="","",INDEX('Per Line'!$AC$2:$AC$3001,$AD512)&amp;"")</f>
        <v/>
      </c>
      <c r="O512">
        <f>IF($AD512="","",INDEX('Per Line'!$P$2:$P$3001,$AD512))</f>
        <v/>
      </c>
      <c r="P512" s="7">
        <f>IF($AD512="","",IF(AND(ISNUMBER(Q512),Q512&gt;0,AB512&gt;Q512),O512*Q512/100+(AB512-Q512),O512*AB512/100))</f>
        <v/>
      </c>
      <c r="Q512">
        <f>IF($AD512="","",INDEX('Per Line'!$AG$2:$AG$3001,$AD512))</f>
        <v/>
      </c>
      <c r="R512">
        <f>IF($AD512="","",IF(AND(ISNUMBER(Q512),Q512&gt;0),AB512&gt;Q512,FALSE))</f>
        <v/>
      </c>
      <c r="S512" s="7">
        <f>IF($AD512="","",SUMIFS('Per Line'!$AB$2:$AB$3001,'Per Line'!$E$2:$E$3001,$B512,'Per Line'!$AQ$2:$AQ$3001,1))</f>
        <v/>
      </c>
      <c r="T512">
        <f>IF($AD512="","",Settings!$C$7)</f>
        <v/>
      </c>
      <c r="U512" s="7">
        <f>IF($AD512="","",SUMIFS('Per Line'!$AB$2:$AB$3001,'Per Line'!$E$2:$E$3001,$B512,'Per Line'!$AP$2:$AP$3001,0,'Per Line'!$AQ$2:$AQ$3001,0))</f>
        <v/>
      </c>
      <c r="V512" s="7">
        <f>IF($AD512="","",U512*T512)</f>
        <v/>
      </c>
      <c r="W512">
        <f>IF($AD512="","",Settings!$C$6)</f>
        <v/>
      </c>
      <c r="X512" s="7">
        <f>IF($AD512="","",SUMIFS('Per Line'!$AB$2:$AB$3001,'Per Line'!$E$2:$E$3001,$B512,'Per Line'!$AP$2:$AP$3001,1,'Per Line'!$AQ$2:$AQ$3001,0))</f>
        <v/>
      </c>
      <c r="Y512" s="7">
        <f>IF($AD512="","",X512*W512)</f>
        <v/>
      </c>
      <c r="Z512" s="7">
        <f>IF($AD512="","",Y512+V512)</f>
        <v/>
      </c>
      <c r="AA512" s="7">
        <f>IF($AD512="","",AB512-Z512)</f>
        <v/>
      </c>
      <c r="AB512" s="7">
        <f>IF($AD512="","",U512+X512+S512)</f>
        <v/>
      </c>
      <c r="AC512" s="7">
        <f>IF($AD512="","",AB512-Z512-P512)</f>
        <v/>
      </c>
      <c r="AD512" s="13">
        <f>IF(ROWS($AD$2:$AD512)&lt;=MAX('Per Line'!$AO$2:$AO$3001),MATCH(ROWS($AD$2:$AD512),'Per Line'!$AO$2:$AO$3001,0),"")</f>
        <v/>
      </c>
      <c r="AE512" s="14">
        <f>IF($AD512="","",P512-O512*AB512/100)</f>
        <v/>
      </c>
    </row>
    <row r="513">
      <c r="A513" s="12" t="n"/>
      <c r="B513">
        <f>IF($AD513="","",INDEX('Per Line'!$E$2:$E$3001,$AD513)&amp;"")</f>
        <v/>
      </c>
      <c r="C513">
        <f>IF($AD513="","",INDEX('Per Line'!$A$2:$A$3001,$AD513)&amp;"")</f>
        <v/>
      </c>
      <c r="D513">
        <f>IF($AD513="","",INDEX('Per Line'!$C$2:$C$3001,$AD513)&amp;"")</f>
        <v/>
      </c>
      <c r="E513">
        <f>IF($AD513="","",INDEX('Per Line'!$B$2:$B$3001,$AD513))</f>
        <v/>
      </c>
      <c r="F513">
        <f>IF($AD513="","",INDEX('Per Line'!$D$2:$D$3001,$AD513)&amp;"")</f>
        <v/>
      </c>
      <c r="G513" s="11">
        <f>IF($AD513="","",INDEX('Per Line'!$G$2:$G$3001,$AD513))</f>
        <v/>
      </c>
      <c r="H513">
        <f>IF($AD513="","",INDEX('Per Line'!$J$2:$J$3001,$AD513)&amp;"")</f>
        <v/>
      </c>
      <c r="I513">
        <f>IF($AD513="","",INDEX('Per Line'!$H$2:$H$3001,$AD513)&amp;"")</f>
        <v/>
      </c>
      <c r="J513">
        <f>IF($AD513="","",INDEX('Per Line'!$F$2:$F$3001,$AD513)&amp;"")</f>
        <v/>
      </c>
      <c r="K513">
        <f>IF($AD513="","",INDEX('Per Line'!$K$2:$K$3001,$AD513)&amp;"")</f>
        <v/>
      </c>
      <c r="L513">
        <f>IF($AD513="","",INDEX('Per Line'!$L$2:$L$3001,$AD513)&amp;"")</f>
        <v/>
      </c>
      <c r="M513">
        <f>IF($AD513="","",INDEX('Per Line'!$M$2:$M$3001,$AD513)&amp;"")</f>
        <v/>
      </c>
      <c r="N513">
        <f>IF($AD513="","",INDEX('Per Line'!$AC$2:$AC$3001,$AD513)&amp;"")</f>
        <v/>
      </c>
      <c r="O513">
        <f>IF($AD513="","",INDEX('Per Line'!$P$2:$P$3001,$AD513))</f>
        <v/>
      </c>
      <c r="P513" s="7">
        <f>IF($AD513="","",IF(AND(ISNUMBER(Q513),Q513&gt;0,AB513&gt;Q513),O513*Q513/100+(AB513-Q513),O513*AB513/100))</f>
        <v/>
      </c>
      <c r="Q513">
        <f>IF($AD513="","",INDEX('Per Line'!$AG$2:$AG$3001,$AD513))</f>
        <v/>
      </c>
      <c r="R513">
        <f>IF($AD513="","",IF(AND(ISNUMBER(Q513),Q513&gt;0),AB513&gt;Q513,FALSE))</f>
        <v/>
      </c>
      <c r="S513" s="7">
        <f>IF($AD513="","",SUMIFS('Per Line'!$AB$2:$AB$3001,'Per Line'!$E$2:$E$3001,$B513,'Per Line'!$AQ$2:$AQ$3001,1))</f>
        <v/>
      </c>
      <c r="T513">
        <f>IF($AD513="","",Settings!$C$7)</f>
        <v/>
      </c>
      <c r="U513" s="7">
        <f>IF($AD513="","",SUMIFS('Per Line'!$AB$2:$AB$3001,'Per Line'!$E$2:$E$3001,$B513,'Per Line'!$AP$2:$AP$3001,0,'Per Line'!$AQ$2:$AQ$3001,0))</f>
        <v/>
      </c>
      <c r="V513" s="7">
        <f>IF($AD513="","",U513*T513)</f>
        <v/>
      </c>
      <c r="W513">
        <f>IF($AD513="","",Settings!$C$6)</f>
        <v/>
      </c>
      <c r="X513" s="7">
        <f>IF($AD513="","",SUMIFS('Per Line'!$AB$2:$AB$3001,'Per Line'!$E$2:$E$3001,$B513,'Per Line'!$AP$2:$AP$3001,1,'Per Line'!$AQ$2:$AQ$3001,0))</f>
        <v/>
      </c>
      <c r="Y513" s="7">
        <f>IF($AD513="","",X513*W513)</f>
        <v/>
      </c>
      <c r="Z513" s="7">
        <f>IF($AD513="","",Y513+V513)</f>
        <v/>
      </c>
      <c r="AA513" s="7">
        <f>IF($AD513="","",AB513-Z513)</f>
        <v/>
      </c>
      <c r="AB513" s="7">
        <f>IF($AD513="","",U513+X513+S513)</f>
        <v/>
      </c>
      <c r="AC513" s="7">
        <f>IF($AD513="","",AB513-Z513-P513)</f>
        <v/>
      </c>
      <c r="AD513" s="13">
        <f>IF(ROWS($AD$2:$AD513)&lt;=MAX('Per Line'!$AO$2:$AO$3001),MATCH(ROWS($AD$2:$AD513),'Per Line'!$AO$2:$AO$3001,0),"")</f>
        <v/>
      </c>
      <c r="AE513" s="14">
        <f>IF($AD513="","",P513-O513*AB513/100)</f>
        <v/>
      </c>
    </row>
    <row r="514">
      <c r="A514" s="12" t="n"/>
      <c r="B514">
        <f>IF($AD514="","",INDEX('Per Line'!$E$2:$E$3001,$AD514)&amp;"")</f>
        <v/>
      </c>
      <c r="C514">
        <f>IF($AD514="","",INDEX('Per Line'!$A$2:$A$3001,$AD514)&amp;"")</f>
        <v/>
      </c>
      <c r="D514">
        <f>IF($AD514="","",INDEX('Per Line'!$C$2:$C$3001,$AD514)&amp;"")</f>
        <v/>
      </c>
      <c r="E514">
        <f>IF($AD514="","",INDEX('Per Line'!$B$2:$B$3001,$AD514))</f>
        <v/>
      </c>
      <c r="F514">
        <f>IF($AD514="","",INDEX('Per Line'!$D$2:$D$3001,$AD514)&amp;"")</f>
        <v/>
      </c>
      <c r="G514" s="11">
        <f>IF($AD514="","",INDEX('Per Line'!$G$2:$G$3001,$AD514))</f>
        <v/>
      </c>
      <c r="H514">
        <f>IF($AD514="","",INDEX('Per Line'!$J$2:$J$3001,$AD514)&amp;"")</f>
        <v/>
      </c>
      <c r="I514">
        <f>IF($AD514="","",INDEX('Per Line'!$H$2:$H$3001,$AD514)&amp;"")</f>
        <v/>
      </c>
      <c r="J514">
        <f>IF($AD514="","",INDEX('Per Line'!$F$2:$F$3001,$AD514)&amp;"")</f>
        <v/>
      </c>
      <c r="K514">
        <f>IF($AD514="","",INDEX('Per Line'!$K$2:$K$3001,$AD514)&amp;"")</f>
        <v/>
      </c>
      <c r="L514">
        <f>IF($AD514="","",INDEX('Per Line'!$L$2:$L$3001,$AD514)&amp;"")</f>
        <v/>
      </c>
      <c r="M514">
        <f>IF($AD514="","",INDEX('Per Line'!$M$2:$M$3001,$AD514)&amp;"")</f>
        <v/>
      </c>
      <c r="N514">
        <f>IF($AD514="","",INDEX('Per Line'!$AC$2:$AC$3001,$AD514)&amp;"")</f>
        <v/>
      </c>
      <c r="O514">
        <f>IF($AD514="","",INDEX('Per Line'!$P$2:$P$3001,$AD514))</f>
        <v/>
      </c>
      <c r="P514" s="7">
        <f>IF($AD514="","",IF(AND(ISNUMBER(Q514),Q514&gt;0,AB514&gt;Q514),O514*Q514/100+(AB514-Q514),O514*AB514/100))</f>
        <v/>
      </c>
      <c r="Q514">
        <f>IF($AD514="","",INDEX('Per Line'!$AG$2:$AG$3001,$AD514))</f>
        <v/>
      </c>
      <c r="R514">
        <f>IF($AD514="","",IF(AND(ISNUMBER(Q514),Q514&gt;0),AB514&gt;Q514,FALSE))</f>
        <v/>
      </c>
      <c r="S514" s="7">
        <f>IF($AD514="","",SUMIFS('Per Line'!$AB$2:$AB$3001,'Per Line'!$E$2:$E$3001,$B514,'Per Line'!$AQ$2:$AQ$3001,1))</f>
        <v/>
      </c>
      <c r="T514">
        <f>IF($AD514="","",Settings!$C$7)</f>
        <v/>
      </c>
      <c r="U514" s="7">
        <f>IF($AD514="","",SUMIFS('Per Line'!$AB$2:$AB$3001,'Per Line'!$E$2:$E$3001,$B514,'Per Line'!$AP$2:$AP$3001,0,'Per Line'!$AQ$2:$AQ$3001,0))</f>
        <v/>
      </c>
      <c r="V514" s="7">
        <f>IF($AD514="","",U514*T514)</f>
        <v/>
      </c>
      <c r="W514">
        <f>IF($AD514="","",Settings!$C$6)</f>
        <v/>
      </c>
      <c r="X514" s="7">
        <f>IF($AD514="","",SUMIFS('Per Line'!$AB$2:$AB$3001,'Per Line'!$E$2:$E$3001,$B514,'Per Line'!$AP$2:$AP$3001,1,'Per Line'!$AQ$2:$AQ$3001,0))</f>
        <v/>
      </c>
      <c r="Y514" s="7">
        <f>IF($AD514="","",X514*W514)</f>
        <v/>
      </c>
      <c r="Z514" s="7">
        <f>IF($AD514="","",Y514+V514)</f>
        <v/>
      </c>
      <c r="AA514" s="7">
        <f>IF($AD514="","",AB514-Z514)</f>
        <v/>
      </c>
      <c r="AB514" s="7">
        <f>IF($AD514="","",U514+X514+S514)</f>
        <v/>
      </c>
      <c r="AC514" s="7">
        <f>IF($AD514="","",AB514-Z514-P514)</f>
        <v/>
      </c>
      <c r="AD514" s="13">
        <f>IF(ROWS($AD$2:$AD514)&lt;=MAX('Per Line'!$AO$2:$AO$3001),MATCH(ROWS($AD$2:$AD514),'Per Line'!$AO$2:$AO$3001,0),"")</f>
        <v/>
      </c>
      <c r="AE514" s="14">
        <f>IF($AD514="","",P514-O514*AB514/100)</f>
        <v/>
      </c>
    </row>
    <row r="515">
      <c r="A515" s="12" t="n"/>
      <c r="B515">
        <f>IF($AD515="","",INDEX('Per Line'!$E$2:$E$3001,$AD515)&amp;"")</f>
        <v/>
      </c>
      <c r="C515">
        <f>IF($AD515="","",INDEX('Per Line'!$A$2:$A$3001,$AD515)&amp;"")</f>
        <v/>
      </c>
      <c r="D515">
        <f>IF($AD515="","",INDEX('Per Line'!$C$2:$C$3001,$AD515)&amp;"")</f>
        <v/>
      </c>
      <c r="E515">
        <f>IF($AD515="","",INDEX('Per Line'!$B$2:$B$3001,$AD515))</f>
        <v/>
      </c>
      <c r="F515">
        <f>IF($AD515="","",INDEX('Per Line'!$D$2:$D$3001,$AD515)&amp;"")</f>
        <v/>
      </c>
      <c r="G515" s="11">
        <f>IF($AD515="","",INDEX('Per Line'!$G$2:$G$3001,$AD515))</f>
        <v/>
      </c>
      <c r="H515">
        <f>IF($AD515="","",INDEX('Per Line'!$J$2:$J$3001,$AD515)&amp;"")</f>
        <v/>
      </c>
      <c r="I515">
        <f>IF($AD515="","",INDEX('Per Line'!$H$2:$H$3001,$AD515)&amp;"")</f>
        <v/>
      </c>
      <c r="J515">
        <f>IF($AD515="","",INDEX('Per Line'!$F$2:$F$3001,$AD515)&amp;"")</f>
        <v/>
      </c>
      <c r="K515">
        <f>IF($AD515="","",INDEX('Per Line'!$K$2:$K$3001,$AD515)&amp;"")</f>
        <v/>
      </c>
      <c r="L515">
        <f>IF($AD515="","",INDEX('Per Line'!$L$2:$L$3001,$AD515)&amp;"")</f>
        <v/>
      </c>
      <c r="M515">
        <f>IF($AD515="","",INDEX('Per Line'!$M$2:$M$3001,$AD515)&amp;"")</f>
        <v/>
      </c>
      <c r="N515">
        <f>IF($AD515="","",INDEX('Per Line'!$AC$2:$AC$3001,$AD515)&amp;"")</f>
        <v/>
      </c>
      <c r="O515">
        <f>IF($AD515="","",INDEX('Per Line'!$P$2:$P$3001,$AD515))</f>
        <v/>
      </c>
      <c r="P515" s="7">
        <f>IF($AD515="","",IF(AND(ISNUMBER(Q515),Q515&gt;0,AB515&gt;Q515),O515*Q515/100+(AB515-Q515),O515*AB515/100))</f>
        <v/>
      </c>
      <c r="Q515">
        <f>IF($AD515="","",INDEX('Per Line'!$AG$2:$AG$3001,$AD515))</f>
        <v/>
      </c>
      <c r="R515">
        <f>IF($AD515="","",IF(AND(ISNUMBER(Q515),Q515&gt;0),AB515&gt;Q515,FALSE))</f>
        <v/>
      </c>
      <c r="S515" s="7">
        <f>IF($AD515="","",SUMIFS('Per Line'!$AB$2:$AB$3001,'Per Line'!$E$2:$E$3001,$B515,'Per Line'!$AQ$2:$AQ$3001,1))</f>
        <v/>
      </c>
      <c r="T515">
        <f>IF($AD515="","",Settings!$C$7)</f>
        <v/>
      </c>
      <c r="U515" s="7">
        <f>IF($AD515="","",SUMIFS('Per Line'!$AB$2:$AB$3001,'Per Line'!$E$2:$E$3001,$B515,'Per Line'!$AP$2:$AP$3001,0,'Per Line'!$AQ$2:$AQ$3001,0))</f>
        <v/>
      </c>
      <c r="V515" s="7">
        <f>IF($AD515="","",U515*T515)</f>
        <v/>
      </c>
      <c r="W515">
        <f>IF($AD515="","",Settings!$C$6)</f>
        <v/>
      </c>
      <c r="X515" s="7">
        <f>IF($AD515="","",SUMIFS('Per Line'!$AB$2:$AB$3001,'Per Line'!$E$2:$E$3001,$B515,'Per Line'!$AP$2:$AP$3001,1,'Per Line'!$AQ$2:$AQ$3001,0))</f>
        <v/>
      </c>
      <c r="Y515" s="7">
        <f>IF($AD515="","",X515*W515)</f>
        <v/>
      </c>
      <c r="Z515" s="7">
        <f>IF($AD515="","",Y515+V515)</f>
        <v/>
      </c>
      <c r="AA515" s="7">
        <f>IF($AD515="","",AB515-Z515)</f>
        <v/>
      </c>
      <c r="AB515" s="7">
        <f>IF($AD515="","",U515+X515+S515)</f>
        <v/>
      </c>
      <c r="AC515" s="7">
        <f>IF($AD515="","",AB515-Z515-P515)</f>
        <v/>
      </c>
      <c r="AD515" s="13">
        <f>IF(ROWS($AD$2:$AD515)&lt;=MAX('Per Line'!$AO$2:$AO$3001),MATCH(ROWS($AD$2:$AD515),'Per Line'!$AO$2:$AO$3001,0),"")</f>
        <v/>
      </c>
      <c r="AE515" s="14">
        <f>IF($AD515="","",P515-O515*AB515/100)</f>
        <v/>
      </c>
    </row>
    <row r="516">
      <c r="A516" s="12" t="n"/>
      <c r="B516">
        <f>IF($AD516="","",INDEX('Per Line'!$E$2:$E$3001,$AD516)&amp;"")</f>
        <v/>
      </c>
      <c r="C516">
        <f>IF($AD516="","",INDEX('Per Line'!$A$2:$A$3001,$AD516)&amp;"")</f>
        <v/>
      </c>
      <c r="D516">
        <f>IF($AD516="","",INDEX('Per Line'!$C$2:$C$3001,$AD516)&amp;"")</f>
        <v/>
      </c>
      <c r="E516">
        <f>IF($AD516="","",INDEX('Per Line'!$B$2:$B$3001,$AD516))</f>
        <v/>
      </c>
      <c r="F516">
        <f>IF($AD516="","",INDEX('Per Line'!$D$2:$D$3001,$AD516)&amp;"")</f>
        <v/>
      </c>
      <c r="G516" s="11">
        <f>IF($AD516="","",INDEX('Per Line'!$G$2:$G$3001,$AD516))</f>
        <v/>
      </c>
      <c r="H516">
        <f>IF($AD516="","",INDEX('Per Line'!$J$2:$J$3001,$AD516)&amp;"")</f>
        <v/>
      </c>
      <c r="I516">
        <f>IF($AD516="","",INDEX('Per Line'!$H$2:$H$3001,$AD516)&amp;"")</f>
        <v/>
      </c>
      <c r="J516">
        <f>IF($AD516="","",INDEX('Per Line'!$F$2:$F$3001,$AD516)&amp;"")</f>
        <v/>
      </c>
      <c r="K516">
        <f>IF($AD516="","",INDEX('Per Line'!$K$2:$K$3001,$AD516)&amp;"")</f>
        <v/>
      </c>
      <c r="L516">
        <f>IF($AD516="","",INDEX('Per Line'!$L$2:$L$3001,$AD516)&amp;"")</f>
        <v/>
      </c>
      <c r="M516">
        <f>IF($AD516="","",INDEX('Per Line'!$M$2:$M$3001,$AD516)&amp;"")</f>
        <v/>
      </c>
      <c r="N516">
        <f>IF($AD516="","",INDEX('Per Line'!$AC$2:$AC$3001,$AD516)&amp;"")</f>
        <v/>
      </c>
      <c r="O516">
        <f>IF($AD516="","",INDEX('Per Line'!$P$2:$P$3001,$AD516))</f>
        <v/>
      </c>
      <c r="P516" s="7">
        <f>IF($AD516="","",IF(AND(ISNUMBER(Q516),Q516&gt;0,AB516&gt;Q516),O516*Q516/100+(AB516-Q516),O516*AB516/100))</f>
        <v/>
      </c>
      <c r="Q516">
        <f>IF($AD516="","",INDEX('Per Line'!$AG$2:$AG$3001,$AD516))</f>
        <v/>
      </c>
      <c r="R516">
        <f>IF($AD516="","",IF(AND(ISNUMBER(Q516),Q516&gt;0),AB516&gt;Q516,FALSE))</f>
        <v/>
      </c>
      <c r="S516" s="7">
        <f>IF($AD516="","",SUMIFS('Per Line'!$AB$2:$AB$3001,'Per Line'!$E$2:$E$3001,$B516,'Per Line'!$AQ$2:$AQ$3001,1))</f>
        <v/>
      </c>
      <c r="T516">
        <f>IF($AD516="","",Settings!$C$7)</f>
        <v/>
      </c>
      <c r="U516" s="7">
        <f>IF($AD516="","",SUMIFS('Per Line'!$AB$2:$AB$3001,'Per Line'!$E$2:$E$3001,$B516,'Per Line'!$AP$2:$AP$3001,0,'Per Line'!$AQ$2:$AQ$3001,0))</f>
        <v/>
      </c>
      <c r="V516" s="7">
        <f>IF($AD516="","",U516*T516)</f>
        <v/>
      </c>
      <c r="W516">
        <f>IF($AD516="","",Settings!$C$6)</f>
        <v/>
      </c>
      <c r="X516" s="7">
        <f>IF($AD516="","",SUMIFS('Per Line'!$AB$2:$AB$3001,'Per Line'!$E$2:$E$3001,$B516,'Per Line'!$AP$2:$AP$3001,1,'Per Line'!$AQ$2:$AQ$3001,0))</f>
        <v/>
      </c>
      <c r="Y516" s="7">
        <f>IF($AD516="","",X516*W516)</f>
        <v/>
      </c>
      <c r="Z516" s="7">
        <f>IF($AD516="","",Y516+V516)</f>
        <v/>
      </c>
      <c r="AA516" s="7">
        <f>IF($AD516="","",AB516-Z516)</f>
        <v/>
      </c>
      <c r="AB516" s="7">
        <f>IF($AD516="","",U516+X516+S516)</f>
        <v/>
      </c>
      <c r="AC516" s="7">
        <f>IF($AD516="","",AB516-Z516-P516)</f>
        <v/>
      </c>
      <c r="AD516" s="13">
        <f>IF(ROWS($AD$2:$AD516)&lt;=MAX('Per Line'!$AO$2:$AO$3001),MATCH(ROWS($AD$2:$AD516),'Per Line'!$AO$2:$AO$3001,0),"")</f>
        <v/>
      </c>
      <c r="AE516" s="14">
        <f>IF($AD516="","",P516-O516*AB516/100)</f>
        <v/>
      </c>
    </row>
    <row r="517">
      <c r="A517" s="12" t="n"/>
      <c r="B517">
        <f>IF($AD517="","",INDEX('Per Line'!$E$2:$E$3001,$AD517)&amp;"")</f>
        <v/>
      </c>
      <c r="C517">
        <f>IF($AD517="","",INDEX('Per Line'!$A$2:$A$3001,$AD517)&amp;"")</f>
        <v/>
      </c>
      <c r="D517">
        <f>IF($AD517="","",INDEX('Per Line'!$C$2:$C$3001,$AD517)&amp;"")</f>
        <v/>
      </c>
      <c r="E517">
        <f>IF($AD517="","",INDEX('Per Line'!$B$2:$B$3001,$AD517))</f>
        <v/>
      </c>
      <c r="F517">
        <f>IF($AD517="","",INDEX('Per Line'!$D$2:$D$3001,$AD517)&amp;"")</f>
        <v/>
      </c>
      <c r="G517" s="11">
        <f>IF($AD517="","",INDEX('Per Line'!$G$2:$G$3001,$AD517))</f>
        <v/>
      </c>
      <c r="H517">
        <f>IF($AD517="","",INDEX('Per Line'!$J$2:$J$3001,$AD517)&amp;"")</f>
        <v/>
      </c>
      <c r="I517">
        <f>IF($AD517="","",INDEX('Per Line'!$H$2:$H$3001,$AD517)&amp;"")</f>
        <v/>
      </c>
      <c r="J517">
        <f>IF($AD517="","",INDEX('Per Line'!$F$2:$F$3001,$AD517)&amp;"")</f>
        <v/>
      </c>
      <c r="K517">
        <f>IF($AD517="","",INDEX('Per Line'!$K$2:$K$3001,$AD517)&amp;"")</f>
        <v/>
      </c>
      <c r="L517">
        <f>IF($AD517="","",INDEX('Per Line'!$L$2:$L$3001,$AD517)&amp;"")</f>
        <v/>
      </c>
      <c r="M517">
        <f>IF($AD517="","",INDEX('Per Line'!$M$2:$M$3001,$AD517)&amp;"")</f>
        <v/>
      </c>
      <c r="N517">
        <f>IF($AD517="","",INDEX('Per Line'!$AC$2:$AC$3001,$AD517)&amp;"")</f>
        <v/>
      </c>
      <c r="O517">
        <f>IF($AD517="","",INDEX('Per Line'!$P$2:$P$3001,$AD517))</f>
        <v/>
      </c>
      <c r="P517" s="7">
        <f>IF($AD517="","",IF(AND(ISNUMBER(Q517),Q517&gt;0,AB517&gt;Q517),O517*Q517/100+(AB517-Q517),O517*AB517/100))</f>
        <v/>
      </c>
      <c r="Q517">
        <f>IF($AD517="","",INDEX('Per Line'!$AG$2:$AG$3001,$AD517))</f>
        <v/>
      </c>
      <c r="R517">
        <f>IF($AD517="","",IF(AND(ISNUMBER(Q517),Q517&gt;0),AB517&gt;Q517,FALSE))</f>
        <v/>
      </c>
      <c r="S517" s="7">
        <f>IF($AD517="","",SUMIFS('Per Line'!$AB$2:$AB$3001,'Per Line'!$E$2:$E$3001,$B517,'Per Line'!$AQ$2:$AQ$3001,1))</f>
        <v/>
      </c>
      <c r="T517">
        <f>IF($AD517="","",Settings!$C$7)</f>
        <v/>
      </c>
      <c r="U517" s="7">
        <f>IF($AD517="","",SUMIFS('Per Line'!$AB$2:$AB$3001,'Per Line'!$E$2:$E$3001,$B517,'Per Line'!$AP$2:$AP$3001,0,'Per Line'!$AQ$2:$AQ$3001,0))</f>
        <v/>
      </c>
      <c r="V517" s="7">
        <f>IF($AD517="","",U517*T517)</f>
        <v/>
      </c>
      <c r="W517">
        <f>IF($AD517="","",Settings!$C$6)</f>
        <v/>
      </c>
      <c r="X517" s="7">
        <f>IF($AD517="","",SUMIFS('Per Line'!$AB$2:$AB$3001,'Per Line'!$E$2:$E$3001,$B517,'Per Line'!$AP$2:$AP$3001,1,'Per Line'!$AQ$2:$AQ$3001,0))</f>
        <v/>
      </c>
      <c r="Y517" s="7">
        <f>IF($AD517="","",X517*W517)</f>
        <v/>
      </c>
      <c r="Z517" s="7">
        <f>IF($AD517="","",Y517+V517)</f>
        <v/>
      </c>
      <c r="AA517" s="7">
        <f>IF($AD517="","",AB517-Z517)</f>
        <v/>
      </c>
      <c r="AB517" s="7">
        <f>IF($AD517="","",U517+X517+S517)</f>
        <v/>
      </c>
      <c r="AC517" s="7">
        <f>IF($AD517="","",AB517-Z517-P517)</f>
        <v/>
      </c>
      <c r="AD517" s="13">
        <f>IF(ROWS($AD$2:$AD517)&lt;=MAX('Per Line'!$AO$2:$AO$3001),MATCH(ROWS($AD$2:$AD517),'Per Line'!$AO$2:$AO$3001,0),"")</f>
        <v/>
      </c>
      <c r="AE517" s="14">
        <f>IF($AD517="","",P517-O517*AB517/100)</f>
        <v/>
      </c>
    </row>
    <row r="518">
      <c r="A518" s="12" t="n"/>
      <c r="B518">
        <f>IF($AD518="","",INDEX('Per Line'!$E$2:$E$3001,$AD518)&amp;"")</f>
        <v/>
      </c>
      <c r="C518">
        <f>IF($AD518="","",INDEX('Per Line'!$A$2:$A$3001,$AD518)&amp;"")</f>
        <v/>
      </c>
      <c r="D518">
        <f>IF($AD518="","",INDEX('Per Line'!$C$2:$C$3001,$AD518)&amp;"")</f>
        <v/>
      </c>
      <c r="E518">
        <f>IF($AD518="","",INDEX('Per Line'!$B$2:$B$3001,$AD518))</f>
        <v/>
      </c>
      <c r="F518">
        <f>IF($AD518="","",INDEX('Per Line'!$D$2:$D$3001,$AD518)&amp;"")</f>
        <v/>
      </c>
      <c r="G518" s="11">
        <f>IF($AD518="","",INDEX('Per Line'!$G$2:$G$3001,$AD518))</f>
        <v/>
      </c>
      <c r="H518">
        <f>IF($AD518="","",INDEX('Per Line'!$J$2:$J$3001,$AD518)&amp;"")</f>
        <v/>
      </c>
      <c r="I518">
        <f>IF($AD518="","",INDEX('Per Line'!$H$2:$H$3001,$AD518)&amp;"")</f>
        <v/>
      </c>
      <c r="J518">
        <f>IF($AD518="","",INDEX('Per Line'!$F$2:$F$3001,$AD518)&amp;"")</f>
        <v/>
      </c>
      <c r="K518">
        <f>IF($AD518="","",INDEX('Per Line'!$K$2:$K$3001,$AD518)&amp;"")</f>
        <v/>
      </c>
      <c r="L518">
        <f>IF($AD518="","",INDEX('Per Line'!$L$2:$L$3001,$AD518)&amp;"")</f>
        <v/>
      </c>
      <c r="M518">
        <f>IF($AD518="","",INDEX('Per Line'!$M$2:$M$3001,$AD518)&amp;"")</f>
        <v/>
      </c>
      <c r="N518">
        <f>IF($AD518="","",INDEX('Per Line'!$AC$2:$AC$3001,$AD518)&amp;"")</f>
        <v/>
      </c>
      <c r="O518">
        <f>IF($AD518="","",INDEX('Per Line'!$P$2:$P$3001,$AD518))</f>
        <v/>
      </c>
      <c r="P518" s="7">
        <f>IF($AD518="","",IF(AND(ISNUMBER(Q518),Q518&gt;0,AB518&gt;Q518),O518*Q518/100+(AB518-Q518),O518*AB518/100))</f>
        <v/>
      </c>
      <c r="Q518">
        <f>IF($AD518="","",INDEX('Per Line'!$AG$2:$AG$3001,$AD518))</f>
        <v/>
      </c>
      <c r="R518">
        <f>IF($AD518="","",IF(AND(ISNUMBER(Q518),Q518&gt;0),AB518&gt;Q518,FALSE))</f>
        <v/>
      </c>
      <c r="S518" s="7">
        <f>IF($AD518="","",SUMIFS('Per Line'!$AB$2:$AB$3001,'Per Line'!$E$2:$E$3001,$B518,'Per Line'!$AQ$2:$AQ$3001,1))</f>
        <v/>
      </c>
      <c r="T518">
        <f>IF($AD518="","",Settings!$C$7)</f>
        <v/>
      </c>
      <c r="U518" s="7">
        <f>IF($AD518="","",SUMIFS('Per Line'!$AB$2:$AB$3001,'Per Line'!$E$2:$E$3001,$B518,'Per Line'!$AP$2:$AP$3001,0,'Per Line'!$AQ$2:$AQ$3001,0))</f>
        <v/>
      </c>
      <c r="V518" s="7">
        <f>IF($AD518="","",U518*T518)</f>
        <v/>
      </c>
      <c r="W518">
        <f>IF($AD518="","",Settings!$C$6)</f>
        <v/>
      </c>
      <c r="X518" s="7">
        <f>IF($AD518="","",SUMIFS('Per Line'!$AB$2:$AB$3001,'Per Line'!$E$2:$E$3001,$B518,'Per Line'!$AP$2:$AP$3001,1,'Per Line'!$AQ$2:$AQ$3001,0))</f>
        <v/>
      </c>
      <c r="Y518" s="7">
        <f>IF($AD518="","",X518*W518)</f>
        <v/>
      </c>
      <c r="Z518" s="7">
        <f>IF($AD518="","",Y518+V518)</f>
        <v/>
      </c>
      <c r="AA518" s="7">
        <f>IF($AD518="","",AB518-Z518)</f>
        <v/>
      </c>
      <c r="AB518" s="7">
        <f>IF($AD518="","",U518+X518+S518)</f>
        <v/>
      </c>
      <c r="AC518" s="7">
        <f>IF($AD518="","",AB518-Z518-P518)</f>
        <v/>
      </c>
      <c r="AD518" s="13">
        <f>IF(ROWS($AD$2:$AD518)&lt;=MAX('Per Line'!$AO$2:$AO$3001),MATCH(ROWS($AD$2:$AD518),'Per Line'!$AO$2:$AO$3001,0),"")</f>
        <v/>
      </c>
      <c r="AE518" s="14">
        <f>IF($AD518="","",P518-O518*AB518/100)</f>
        <v/>
      </c>
    </row>
    <row r="519">
      <c r="A519" s="12" t="n"/>
      <c r="B519">
        <f>IF($AD519="","",INDEX('Per Line'!$E$2:$E$3001,$AD519)&amp;"")</f>
        <v/>
      </c>
      <c r="C519">
        <f>IF($AD519="","",INDEX('Per Line'!$A$2:$A$3001,$AD519)&amp;"")</f>
        <v/>
      </c>
      <c r="D519">
        <f>IF($AD519="","",INDEX('Per Line'!$C$2:$C$3001,$AD519)&amp;"")</f>
        <v/>
      </c>
      <c r="E519">
        <f>IF($AD519="","",INDEX('Per Line'!$B$2:$B$3001,$AD519))</f>
        <v/>
      </c>
      <c r="F519">
        <f>IF($AD519="","",INDEX('Per Line'!$D$2:$D$3001,$AD519)&amp;"")</f>
        <v/>
      </c>
      <c r="G519" s="11">
        <f>IF($AD519="","",INDEX('Per Line'!$G$2:$G$3001,$AD519))</f>
        <v/>
      </c>
      <c r="H519">
        <f>IF($AD519="","",INDEX('Per Line'!$J$2:$J$3001,$AD519)&amp;"")</f>
        <v/>
      </c>
      <c r="I519">
        <f>IF($AD519="","",INDEX('Per Line'!$H$2:$H$3001,$AD519)&amp;"")</f>
        <v/>
      </c>
      <c r="J519">
        <f>IF($AD519="","",INDEX('Per Line'!$F$2:$F$3001,$AD519)&amp;"")</f>
        <v/>
      </c>
      <c r="K519">
        <f>IF($AD519="","",INDEX('Per Line'!$K$2:$K$3001,$AD519)&amp;"")</f>
        <v/>
      </c>
      <c r="L519">
        <f>IF($AD519="","",INDEX('Per Line'!$L$2:$L$3001,$AD519)&amp;"")</f>
        <v/>
      </c>
      <c r="M519">
        <f>IF($AD519="","",INDEX('Per Line'!$M$2:$M$3001,$AD519)&amp;"")</f>
        <v/>
      </c>
      <c r="N519">
        <f>IF($AD519="","",INDEX('Per Line'!$AC$2:$AC$3001,$AD519)&amp;"")</f>
        <v/>
      </c>
      <c r="O519">
        <f>IF($AD519="","",INDEX('Per Line'!$P$2:$P$3001,$AD519))</f>
        <v/>
      </c>
      <c r="P519" s="7">
        <f>IF($AD519="","",IF(AND(ISNUMBER(Q519),Q519&gt;0,AB519&gt;Q519),O519*Q519/100+(AB519-Q519),O519*AB519/100))</f>
        <v/>
      </c>
      <c r="Q519">
        <f>IF($AD519="","",INDEX('Per Line'!$AG$2:$AG$3001,$AD519))</f>
        <v/>
      </c>
      <c r="R519">
        <f>IF($AD519="","",IF(AND(ISNUMBER(Q519),Q519&gt;0),AB519&gt;Q519,FALSE))</f>
        <v/>
      </c>
      <c r="S519" s="7">
        <f>IF($AD519="","",SUMIFS('Per Line'!$AB$2:$AB$3001,'Per Line'!$E$2:$E$3001,$B519,'Per Line'!$AQ$2:$AQ$3001,1))</f>
        <v/>
      </c>
      <c r="T519">
        <f>IF($AD519="","",Settings!$C$7)</f>
        <v/>
      </c>
      <c r="U519" s="7">
        <f>IF($AD519="","",SUMIFS('Per Line'!$AB$2:$AB$3001,'Per Line'!$E$2:$E$3001,$B519,'Per Line'!$AP$2:$AP$3001,0,'Per Line'!$AQ$2:$AQ$3001,0))</f>
        <v/>
      </c>
      <c r="V519" s="7">
        <f>IF($AD519="","",U519*T519)</f>
        <v/>
      </c>
      <c r="W519">
        <f>IF($AD519="","",Settings!$C$6)</f>
        <v/>
      </c>
      <c r="X519" s="7">
        <f>IF($AD519="","",SUMIFS('Per Line'!$AB$2:$AB$3001,'Per Line'!$E$2:$E$3001,$B519,'Per Line'!$AP$2:$AP$3001,1,'Per Line'!$AQ$2:$AQ$3001,0))</f>
        <v/>
      </c>
      <c r="Y519" s="7">
        <f>IF($AD519="","",X519*W519)</f>
        <v/>
      </c>
      <c r="Z519" s="7">
        <f>IF($AD519="","",Y519+V519)</f>
        <v/>
      </c>
      <c r="AA519" s="7">
        <f>IF($AD519="","",AB519-Z519)</f>
        <v/>
      </c>
      <c r="AB519" s="7">
        <f>IF($AD519="","",U519+X519+S519)</f>
        <v/>
      </c>
      <c r="AC519" s="7">
        <f>IF($AD519="","",AB519-Z519-P519)</f>
        <v/>
      </c>
      <c r="AD519" s="13">
        <f>IF(ROWS($AD$2:$AD519)&lt;=MAX('Per Line'!$AO$2:$AO$3001),MATCH(ROWS($AD$2:$AD519),'Per Line'!$AO$2:$AO$3001,0),"")</f>
        <v/>
      </c>
      <c r="AE519" s="14">
        <f>IF($AD519="","",P519-O519*AB519/100)</f>
        <v/>
      </c>
    </row>
    <row r="520">
      <c r="A520" s="12" t="n"/>
      <c r="B520">
        <f>IF($AD520="","",INDEX('Per Line'!$E$2:$E$3001,$AD520)&amp;"")</f>
        <v/>
      </c>
      <c r="C520">
        <f>IF($AD520="","",INDEX('Per Line'!$A$2:$A$3001,$AD520)&amp;"")</f>
        <v/>
      </c>
      <c r="D520">
        <f>IF($AD520="","",INDEX('Per Line'!$C$2:$C$3001,$AD520)&amp;"")</f>
        <v/>
      </c>
      <c r="E520">
        <f>IF($AD520="","",INDEX('Per Line'!$B$2:$B$3001,$AD520))</f>
        <v/>
      </c>
      <c r="F520">
        <f>IF($AD520="","",INDEX('Per Line'!$D$2:$D$3001,$AD520)&amp;"")</f>
        <v/>
      </c>
      <c r="G520" s="11">
        <f>IF($AD520="","",INDEX('Per Line'!$G$2:$G$3001,$AD520))</f>
        <v/>
      </c>
      <c r="H520">
        <f>IF($AD520="","",INDEX('Per Line'!$J$2:$J$3001,$AD520)&amp;"")</f>
        <v/>
      </c>
      <c r="I520">
        <f>IF($AD520="","",INDEX('Per Line'!$H$2:$H$3001,$AD520)&amp;"")</f>
        <v/>
      </c>
      <c r="J520">
        <f>IF($AD520="","",INDEX('Per Line'!$F$2:$F$3001,$AD520)&amp;"")</f>
        <v/>
      </c>
      <c r="K520">
        <f>IF($AD520="","",INDEX('Per Line'!$K$2:$K$3001,$AD520)&amp;"")</f>
        <v/>
      </c>
      <c r="L520">
        <f>IF($AD520="","",INDEX('Per Line'!$L$2:$L$3001,$AD520)&amp;"")</f>
        <v/>
      </c>
      <c r="M520">
        <f>IF($AD520="","",INDEX('Per Line'!$M$2:$M$3001,$AD520)&amp;"")</f>
        <v/>
      </c>
      <c r="N520">
        <f>IF($AD520="","",INDEX('Per Line'!$AC$2:$AC$3001,$AD520)&amp;"")</f>
        <v/>
      </c>
      <c r="O520">
        <f>IF($AD520="","",INDEX('Per Line'!$P$2:$P$3001,$AD520))</f>
        <v/>
      </c>
      <c r="P520" s="7">
        <f>IF($AD520="","",IF(AND(ISNUMBER(Q520),Q520&gt;0,AB520&gt;Q520),O520*Q520/100+(AB520-Q520),O520*AB520/100))</f>
        <v/>
      </c>
      <c r="Q520">
        <f>IF($AD520="","",INDEX('Per Line'!$AG$2:$AG$3001,$AD520))</f>
        <v/>
      </c>
      <c r="R520">
        <f>IF($AD520="","",IF(AND(ISNUMBER(Q520),Q520&gt;0),AB520&gt;Q520,FALSE))</f>
        <v/>
      </c>
      <c r="S520" s="7">
        <f>IF($AD520="","",SUMIFS('Per Line'!$AB$2:$AB$3001,'Per Line'!$E$2:$E$3001,$B520,'Per Line'!$AQ$2:$AQ$3001,1))</f>
        <v/>
      </c>
      <c r="T520">
        <f>IF($AD520="","",Settings!$C$7)</f>
        <v/>
      </c>
      <c r="U520" s="7">
        <f>IF($AD520="","",SUMIFS('Per Line'!$AB$2:$AB$3001,'Per Line'!$E$2:$E$3001,$B520,'Per Line'!$AP$2:$AP$3001,0,'Per Line'!$AQ$2:$AQ$3001,0))</f>
        <v/>
      </c>
      <c r="V520" s="7">
        <f>IF($AD520="","",U520*T520)</f>
        <v/>
      </c>
      <c r="W520">
        <f>IF($AD520="","",Settings!$C$6)</f>
        <v/>
      </c>
      <c r="X520" s="7">
        <f>IF($AD520="","",SUMIFS('Per Line'!$AB$2:$AB$3001,'Per Line'!$E$2:$E$3001,$B520,'Per Line'!$AP$2:$AP$3001,1,'Per Line'!$AQ$2:$AQ$3001,0))</f>
        <v/>
      </c>
      <c r="Y520" s="7">
        <f>IF($AD520="","",X520*W520)</f>
        <v/>
      </c>
      <c r="Z520" s="7">
        <f>IF($AD520="","",Y520+V520)</f>
        <v/>
      </c>
      <c r="AA520" s="7">
        <f>IF($AD520="","",AB520-Z520)</f>
        <v/>
      </c>
      <c r="AB520" s="7">
        <f>IF($AD520="","",U520+X520+S520)</f>
        <v/>
      </c>
      <c r="AC520" s="7">
        <f>IF($AD520="","",AB520-Z520-P520)</f>
        <v/>
      </c>
      <c r="AD520" s="13">
        <f>IF(ROWS($AD$2:$AD520)&lt;=MAX('Per Line'!$AO$2:$AO$3001),MATCH(ROWS($AD$2:$AD520),'Per Line'!$AO$2:$AO$3001,0),"")</f>
        <v/>
      </c>
      <c r="AE520" s="14">
        <f>IF($AD520="","",P520-O520*AB520/100)</f>
        <v/>
      </c>
    </row>
    <row r="521">
      <c r="A521" s="12" t="n"/>
      <c r="B521">
        <f>IF($AD521="","",INDEX('Per Line'!$E$2:$E$3001,$AD521)&amp;"")</f>
        <v/>
      </c>
      <c r="C521">
        <f>IF($AD521="","",INDEX('Per Line'!$A$2:$A$3001,$AD521)&amp;"")</f>
        <v/>
      </c>
      <c r="D521">
        <f>IF($AD521="","",INDEX('Per Line'!$C$2:$C$3001,$AD521)&amp;"")</f>
        <v/>
      </c>
      <c r="E521">
        <f>IF($AD521="","",INDEX('Per Line'!$B$2:$B$3001,$AD521))</f>
        <v/>
      </c>
      <c r="F521">
        <f>IF($AD521="","",INDEX('Per Line'!$D$2:$D$3001,$AD521)&amp;"")</f>
        <v/>
      </c>
      <c r="G521" s="11">
        <f>IF($AD521="","",INDEX('Per Line'!$G$2:$G$3001,$AD521))</f>
        <v/>
      </c>
      <c r="H521">
        <f>IF($AD521="","",INDEX('Per Line'!$J$2:$J$3001,$AD521)&amp;"")</f>
        <v/>
      </c>
      <c r="I521">
        <f>IF($AD521="","",INDEX('Per Line'!$H$2:$H$3001,$AD521)&amp;"")</f>
        <v/>
      </c>
      <c r="J521">
        <f>IF($AD521="","",INDEX('Per Line'!$F$2:$F$3001,$AD521)&amp;"")</f>
        <v/>
      </c>
      <c r="K521">
        <f>IF($AD521="","",INDEX('Per Line'!$K$2:$K$3001,$AD521)&amp;"")</f>
        <v/>
      </c>
      <c r="L521">
        <f>IF($AD521="","",INDEX('Per Line'!$L$2:$L$3001,$AD521)&amp;"")</f>
        <v/>
      </c>
      <c r="M521">
        <f>IF($AD521="","",INDEX('Per Line'!$M$2:$M$3001,$AD521)&amp;"")</f>
        <v/>
      </c>
      <c r="N521">
        <f>IF($AD521="","",INDEX('Per Line'!$AC$2:$AC$3001,$AD521)&amp;"")</f>
        <v/>
      </c>
      <c r="O521">
        <f>IF($AD521="","",INDEX('Per Line'!$P$2:$P$3001,$AD521))</f>
        <v/>
      </c>
      <c r="P521" s="7">
        <f>IF($AD521="","",IF(AND(ISNUMBER(Q521),Q521&gt;0,AB521&gt;Q521),O521*Q521/100+(AB521-Q521),O521*AB521/100))</f>
        <v/>
      </c>
      <c r="Q521">
        <f>IF($AD521="","",INDEX('Per Line'!$AG$2:$AG$3001,$AD521))</f>
        <v/>
      </c>
      <c r="R521">
        <f>IF($AD521="","",IF(AND(ISNUMBER(Q521),Q521&gt;0),AB521&gt;Q521,FALSE))</f>
        <v/>
      </c>
      <c r="S521" s="7">
        <f>IF($AD521="","",SUMIFS('Per Line'!$AB$2:$AB$3001,'Per Line'!$E$2:$E$3001,$B521,'Per Line'!$AQ$2:$AQ$3001,1))</f>
        <v/>
      </c>
      <c r="T521">
        <f>IF($AD521="","",Settings!$C$7)</f>
        <v/>
      </c>
      <c r="U521" s="7">
        <f>IF($AD521="","",SUMIFS('Per Line'!$AB$2:$AB$3001,'Per Line'!$E$2:$E$3001,$B521,'Per Line'!$AP$2:$AP$3001,0,'Per Line'!$AQ$2:$AQ$3001,0))</f>
        <v/>
      </c>
      <c r="V521" s="7">
        <f>IF($AD521="","",U521*T521)</f>
        <v/>
      </c>
      <c r="W521">
        <f>IF($AD521="","",Settings!$C$6)</f>
        <v/>
      </c>
      <c r="X521" s="7">
        <f>IF($AD521="","",SUMIFS('Per Line'!$AB$2:$AB$3001,'Per Line'!$E$2:$E$3001,$B521,'Per Line'!$AP$2:$AP$3001,1,'Per Line'!$AQ$2:$AQ$3001,0))</f>
        <v/>
      </c>
      <c r="Y521" s="7">
        <f>IF($AD521="","",X521*W521)</f>
        <v/>
      </c>
      <c r="Z521" s="7">
        <f>IF($AD521="","",Y521+V521)</f>
        <v/>
      </c>
      <c r="AA521" s="7">
        <f>IF($AD521="","",AB521-Z521)</f>
        <v/>
      </c>
      <c r="AB521" s="7">
        <f>IF($AD521="","",U521+X521+S521)</f>
        <v/>
      </c>
      <c r="AC521" s="7">
        <f>IF($AD521="","",AB521-Z521-P521)</f>
        <v/>
      </c>
      <c r="AD521" s="13">
        <f>IF(ROWS($AD$2:$AD521)&lt;=MAX('Per Line'!$AO$2:$AO$3001),MATCH(ROWS($AD$2:$AD521),'Per Line'!$AO$2:$AO$3001,0),"")</f>
        <v/>
      </c>
      <c r="AE521" s="14">
        <f>IF($AD521="","",P521-O521*AB521/100)</f>
        <v/>
      </c>
    </row>
    <row r="522">
      <c r="A522" s="12" t="n"/>
      <c r="B522">
        <f>IF($AD522="","",INDEX('Per Line'!$E$2:$E$3001,$AD522)&amp;"")</f>
        <v/>
      </c>
      <c r="C522">
        <f>IF($AD522="","",INDEX('Per Line'!$A$2:$A$3001,$AD522)&amp;"")</f>
        <v/>
      </c>
      <c r="D522">
        <f>IF($AD522="","",INDEX('Per Line'!$C$2:$C$3001,$AD522)&amp;"")</f>
        <v/>
      </c>
      <c r="E522">
        <f>IF($AD522="","",INDEX('Per Line'!$B$2:$B$3001,$AD522))</f>
        <v/>
      </c>
      <c r="F522">
        <f>IF($AD522="","",INDEX('Per Line'!$D$2:$D$3001,$AD522)&amp;"")</f>
        <v/>
      </c>
      <c r="G522" s="11">
        <f>IF($AD522="","",INDEX('Per Line'!$G$2:$G$3001,$AD522))</f>
        <v/>
      </c>
      <c r="H522">
        <f>IF($AD522="","",INDEX('Per Line'!$J$2:$J$3001,$AD522)&amp;"")</f>
        <v/>
      </c>
      <c r="I522">
        <f>IF($AD522="","",INDEX('Per Line'!$H$2:$H$3001,$AD522)&amp;"")</f>
        <v/>
      </c>
      <c r="J522">
        <f>IF($AD522="","",INDEX('Per Line'!$F$2:$F$3001,$AD522)&amp;"")</f>
        <v/>
      </c>
      <c r="K522">
        <f>IF($AD522="","",INDEX('Per Line'!$K$2:$K$3001,$AD522)&amp;"")</f>
        <v/>
      </c>
      <c r="L522">
        <f>IF($AD522="","",INDEX('Per Line'!$L$2:$L$3001,$AD522)&amp;"")</f>
        <v/>
      </c>
      <c r="M522">
        <f>IF($AD522="","",INDEX('Per Line'!$M$2:$M$3001,$AD522)&amp;"")</f>
        <v/>
      </c>
      <c r="N522">
        <f>IF($AD522="","",INDEX('Per Line'!$AC$2:$AC$3001,$AD522)&amp;"")</f>
        <v/>
      </c>
      <c r="O522">
        <f>IF($AD522="","",INDEX('Per Line'!$P$2:$P$3001,$AD522))</f>
        <v/>
      </c>
      <c r="P522" s="7">
        <f>IF($AD522="","",IF(AND(ISNUMBER(Q522),Q522&gt;0,AB522&gt;Q522),O522*Q522/100+(AB522-Q522),O522*AB522/100))</f>
        <v/>
      </c>
      <c r="Q522">
        <f>IF($AD522="","",INDEX('Per Line'!$AG$2:$AG$3001,$AD522))</f>
        <v/>
      </c>
      <c r="R522">
        <f>IF($AD522="","",IF(AND(ISNUMBER(Q522),Q522&gt;0),AB522&gt;Q522,FALSE))</f>
        <v/>
      </c>
      <c r="S522" s="7">
        <f>IF($AD522="","",SUMIFS('Per Line'!$AB$2:$AB$3001,'Per Line'!$E$2:$E$3001,$B522,'Per Line'!$AQ$2:$AQ$3001,1))</f>
        <v/>
      </c>
      <c r="T522">
        <f>IF($AD522="","",Settings!$C$7)</f>
        <v/>
      </c>
      <c r="U522" s="7">
        <f>IF($AD522="","",SUMIFS('Per Line'!$AB$2:$AB$3001,'Per Line'!$E$2:$E$3001,$B522,'Per Line'!$AP$2:$AP$3001,0,'Per Line'!$AQ$2:$AQ$3001,0))</f>
        <v/>
      </c>
      <c r="V522" s="7">
        <f>IF($AD522="","",U522*T522)</f>
        <v/>
      </c>
      <c r="W522">
        <f>IF($AD522="","",Settings!$C$6)</f>
        <v/>
      </c>
      <c r="X522" s="7">
        <f>IF($AD522="","",SUMIFS('Per Line'!$AB$2:$AB$3001,'Per Line'!$E$2:$E$3001,$B522,'Per Line'!$AP$2:$AP$3001,1,'Per Line'!$AQ$2:$AQ$3001,0))</f>
        <v/>
      </c>
      <c r="Y522" s="7">
        <f>IF($AD522="","",X522*W522)</f>
        <v/>
      </c>
      <c r="Z522" s="7">
        <f>IF($AD522="","",Y522+V522)</f>
        <v/>
      </c>
      <c r="AA522" s="7">
        <f>IF($AD522="","",AB522-Z522)</f>
        <v/>
      </c>
      <c r="AB522" s="7">
        <f>IF($AD522="","",U522+X522+S522)</f>
        <v/>
      </c>
      <c r="AC522" s="7">
        <f>IF($AD522="","",AB522-Z522-P522)</f>
        <v/>
      </c>
      <c r="AD522" s="13">
        <f>IF(ROWS($AD$2:$AD522)&lt;=MAX('Per Line'!$AO$2:$AO$3001),MATCH(ROWS($AD$2:$AD522),'Per Line'!$AO$2:$AO$3001,0),"")</f>
        <v/>
      </c>
      <c r="AE522" s="14">
        <f>IF($AD522="","",P522-O522*AB522/100)</f>
        <v/>
      </c>
    </row>
    <row r="523">
      <c r="A523" s="12" t="n"/>
      <c r="B523">
        <f>IF($AD523="","",INDEX('Per Line'!$E$2:$E$3001,$AD523)&amp;"")</f>
        <v/>
      </c>
      <c r="C523">
        <f>IF($AD523="","",INDEX('Per Line'!$A$2:$A$3001,$AD523)&amp;"")</f>
        <v/>
      </c>
      <c r="D523">
        <f>IF($AD523="","",INDEX('Per Line'!$C$2:$C$3001,$AD523)&amp;"")</f>
        <v/>
      </c>
      <c r="E523">
        <f>IF($AD523="","",INDEX('Per Line'!$B$2:$B$3001,$AD523))</f>
        <v/>
      </c>
      <c r="F523">
        <f>IF($AD523="","",INDEX('Per Line'!$D$2:$D$3001,$AD523)&amp;"")</f>
        <v/>
      </c>
      <c r="G523" s="11">
        <f>IF($AD523="","",INDEX('Per Line'!$G$2:$G$3001,$AD523))</f>
        <v/>
      </c>
      <c r="H523">
        <f>IF($AD523="","",INDEX('Per Line'!$J$2:$J$3001,$AD523)&amp;"")</f>
        <v/>
      </c>
      <c r="I523">
        <f>IF($AD523="","",INDEX('Per Line'!$H$2:$H$3001,$AD523)&amp;"")</f>
        <v/>
      </c>
      <c r="J523">
        <f>IF($AD523="","",INDEX('Per Line'!$F$2:$F$3001,$AD523)&amp;"")</f>
        <v/>
      </c>
      <c r="K523">
        <f>IF($AD523="","",INDEX('Per Line'!$K$2:$K$3001,$AD523)&amp;"")</f>
        <v/>
      </c>
      <c r="L523">
        <f>IF($AD523="","",INDEX('Per Line'!$L$2:$L$3001,$AD523)&amp;"")</f>
        <v/>
      </c>
      <c r="M523">
        <f>IF($AD523="","",INDEX('Per Line'!$M$2:$M$3001,$AD523)&amp;"")</f>
        <v/>
      </c>
      <c r="N523">
        <f>IF($AD523="","",INDEX('Per Line'!$AC$2:$AC$3001,$AD523)&amp;"")</f>
        <v/>
      </c>
      <c r="O523">
        <f>IF($AD523="","",INDEX('Per Line'!$P$2:$P$3001,$AD523))</f>
        <v/>
      </c>
      <c r="P523" s="7">
        <f>IF($AD523="","",IF(AND(ISNUMBER(Q523),Q523&gt;0,AB523&gt;Q523),O523*Q523/100+(AB523-Q523),O523*AB523/100))</f>
        <v/>
      </c>
      <c r="Q523">
        <f>IF($AD523="","",INDEX('Per Line'!$AG$2:$AG$3001,$AD523))</f>
        <v/>
      </c>
      <c r="R523">
        <f>IF($AD523="","",IF(AND(ISNUMBER(Q523),Q523&gt;0),AB523&gt;Q523,FALSE))</f>
        <v/>
      </c>
      <c r="S523" s="7">
        <f>IF($AD523="","",SUMIFS('Per Line'!$AB$2:$AB$3001,'Per Line'!$E$2:$E$3001,$B523,'Per Line'!$AQ$2:$AQ$3001,1))</f>
        <v/>
      </c>
      <c r="T523">
        <f>IF($AD523="","",Settings!$C$7)</f>
        <v/>
      </c>
      <c r="U523" s="7">
        <f>IF($AD523="","",SUMIFS('Per Line'!$AB$2:$AB$3001,'Per Line'!$E$2:$E$3001,$B523,'Per Line'!$AP$2:$AP$3001,0,'Per Line'!$AQ$2:$AQ$3001,0))</f>
        <v/>
      </c>
      <c r="V523" s="7">
        <f>IF($AD523="","",U523*T523)</f>
        <v/>
      </c>
      <c r="W523">
        <f>IF($AD523="","",Settings!$C$6)</f>
        <v/>
      </c>
      <c r="X523" s="7">
        <f>IF($AD523="","",SUMIFS('Per Line'!$AB$2:$AB$3001,'Per Line'!$E$2:$E$3001,$B523,'Per Line'!$AP$2:$AP$3001,1,'Per Line'!$AQ$2:$AQ$3001,0))</f>
        <v/>
      </c>
      <c r="Y523" s="7">
        <f>IF($AD523="","",X523*W523)</f>
        <v/>
      </c>
      <c r="Z523" s="7">
        <f>IF($AD523="","",Y523+V523)</f>
        <v/>
      </c>
      <c r="AA523" s="7">
        <f>IF($AD523="","",AB523-Z523)</f>
        <v/>
      </c>
      <c r="AB523" s="7">
        <f>IF($AD523="","",U523+X523+S523)</f>
        <v/>
      </c>
      <c r="AC523" s="7">
        <f>IF($AD523="","",AB523-Z523-P523)</f>
        <v/>
      </c>
      <c r="AD523" s="13">
        <f>IF(ROWS($AD$2:$AD523)&lt;=MAX('Per Line'!$AO$2:$AO$3001),MATCH(ROWS($AD$2:$AD523),'Per Line'!$AO$2:$AO$3001,0),"")</f>
        <v/>
      </c>
      <c r="AE523" s="14">
        <f>IF($AD523="","",P523-O523*AB523/100)</f>
        <v/>
      </c>
    </row>
    <row r="524">
      <c r="A524" s="12" t="n"/>
      <c r="B524">
        <f>IF($AD524="","",INDEX('Per Line'!$E$2:$E$3001,$AD524)&amp;"")</f>
        <v/>
      </c>
      <c r="C524">
        <f>IF($AD524="","",INDEX('Per Line'!$A$2:$A$3001,$AD524)&amp;"")</f>
        <v/>
      </c>
      <c r="D524">
        <f>IF($AD524="","",INDEX('Per Line'!$C$2:$C$3001,$AD524)&amp;"")</f>
        <v/>
      </c>
      <c r="E524">
        <f>IF($AD524="","",INDEX('Per Line'!$B$2:$B$3001,$AD524))</f>
        <v/>
      </c>
      <c r="F524">
        <f>IF($AD524="","",INDEX('Per Line'!$D$2:$D$3001,$AD524)&amp;"")</f>
        <v/>
      </c>
      <c r="G524" s="11">
        <f>IF($AD524="","",INDEX('Per Line'!$G$2:$G$3001,$AD524))</f>
        <v/>
      </c>
      <c r="H524">
        <f>IF($AD524="","",INDEX('Per Line'!$J$2:$J$3001,$AD524)&amp;"")</f>
        <v/>
      </c>
      <c r="I524">
        <f>IF($AD524="","",INDEX('Per Line'!$H$2:$H$3001,$AD524)&amp;"")</f>
        <v/>
      </c>
      <c r="J524">
        <f>IF($AD524="","",INDEX('Per Line'!$F$2:$F$3001,$AD524)&amp;"")</f>
        <v/>
      </c>
      <c r="K524">
        <f>IF($AD524="","",INDEX('Per Line'!$K$2:$K$3001,$AD524)&amp;"")</f>
        <v/>
      </c>
      <c r="L524">
        <f>IF($AD524="","",INDEX('Per Line'!$L$2:$L$3001,$AD524)&amp;"")</f>
        <v/>
      </c>
      <c r="M524">
        <f>IF($AD524="","",INDEX('Per Line'!$M$2:$M$3001,$AD524)&amp;"")</f>
        <v/>
      </c>
      <c r="N524">
        <f>IF($AD524="","",INDEX('Per Line'!$AC$2:$AC$3001,$AD524)&amp;"")</f>
        <v/>
      </c>
      <c r="O524">
        <f>IF($AD524="","",INDEX('Per Line'!$P$2:$P$3001,$AD524))</f>
        <v/>
      </c>
      <c r="P524" s="7">
        <f>IF($AD524="","",IF(AND(ISNUMBER(Q524),Q524&gt;0,AB524&gt;Q524),O524*Q524/100+(AB524-Q524),O524*AB524/100))</f>
        <v/>
      </c>
      <c r="Q524">
        <f>IF($AD524="","",INDEX('Per Line'!$AG$2:$AG$3001,$AD524))</f>
        <v/>
      </c>
      <c r="R524">
        <f>IF($AD524="","",IF(AND(ISNUMBER(Q524),Q524&gt;0),AB524&gt;Q524,FALSE))</f>
        <v/>
      </c>
      <c r="S524" s="7">
        <f>IF($AD524="","",SUMIFS('Per Line'!$AB$2:$AB$3001,'Per Line'!$E$2:$E$3001,$B524,'Per Line'!$AQ$2:$AQ$3001,1))</f>
        <v/>
      </c>
      <c r="T524">
        <f>IF($AD524="","",Settings!$C$7)</f>
        <v/>
      </c>
      <c r="U524" s="7">
        <f>IF($AD524="","",SUMIFS('Per Line'!$AB$2:$AB$3001,'Per Line'!$E$2:$E$3001,$B524,'Per Line'!$AP$2:$AP$3001,0,'Per Line'!$AQ$2:$AQ$3001,0))</f>
        <v/>
      </c>
      <c r="V524" s="7">
        <f>IF($AD524="","",U524*T524)</f>
        <v/>
      </c>
      <c r="W524">
        <f>IF($AD524="","",Settings!$C$6)</f>
        <v/>
      </c>
      <c r="X524" s="7">
        <f>IF($AD524="","",SUMIFS('Per Line'!$AB$2:$AB$3001,'Per Line'!$E$2:$E$3001,$B524,'Per Line'!$AP$2:$AP$3001,1,'Per Line'!$AQ$2:$AQ$3001,0))</f>
        <v/>
      </c>
      <c r="Y524" s="7">
        <f>IF($AD524="","",X524*W524)</f>
        <v/>
      </c>
      <c r="Z524" s="7">
        <f>IF($AD524="","",Y524+V524)</f>
        <v/>
      </c>
      <c r="AA524" s="7">
        <f>IF($AD524="","",AB524-Z524)</f>
        <v/>
      </c>
      <c r="AB524" s="7">
        <f>IF($AD524="","",U524+X524+S524)</f>
        <v/>
      </c>
      <c r="AC524" s="7">
        <f>IF($AD524="","",AB524-Z524-P524)</f>
        <v/>
      </c>
      <c r="AD524" s="13">
        <f>IF(ROWS($AD$2:$AD524)&lt;=MAX('Per Line'!$AO$2:$AO$3001),MATCH(ROWS($AD$2:$AD524),'Per Line'!$AO$2:$AO$3001,0),"")</f>
        <v/>
      </c>
      <c r="AE524" s="14">
        <f>IF($AD524="","",P524-O524*AB524/100)</f>
        <v/>
      </c>
    </row>
    <row r="525">
      <c r="A525" s="12" t="n"/>
      <c r="B525">
        <f>IF($AD525="","",INDEX('Per Line'!$E$2:$E$3001,$AD525)&amp;"")</f>
        <v/>
      </c>
      <c r="C525">
        <f>IF($AD525="","",INDEX('Per Line'!$A$2:$A$3001,$AD525)&amp;"")</f>
        <v/>
      </c>
      <c r="D525">
        <f>IF($AD525="","",INDEX('Per Line'!$C$2:$C$3001,$AD525)&amp;"")</f>
        <v/>
      </c>
      <c r="E525">
        <f>IF($AD525="","",INDEX('Per Line'!$B$2:$B$3001,$AD525))</f>
        <v/>
      </c>
      <c r="F525">
        <f>IF($AD525="","",INDEX('Per Line'!$D$2:$D$3001,$AD525)&amp;"")</f>
        <v/>
      </c>
      <c r="G525" s="11">
        <f>IF($AD525="","",INDEX('Per Line'!$G$2:$G$3001,$AD525))</f>
        <v/>
      </c>
      <c r="H525">
        <f>IF($AD525="","",INDEX('Per Line'!$J$2:$J$3001,$AD525)&amp;"")</f>
        <v/>
      </c>
      <c r="I525">
        <f>IF($AD525="","",INDEX('Per Line'!$H$2:$H$3001,$AD525)&amp;"")</f>
        <v/>
      </c>
      <c r="J525">
        <f>IF($AD525="","",INDEX('Per Line'!$F$2:$F$3001,$AD525)&amp;"")</f>
        <v/>
      </c>
      <c r="K525">
        <f>IF($AD525="","",INDEX('Per Line'!$K$2:$K$3001,$AD525)&amp;"")</f>
        <v/>
      </c>
      <c r="L525">
        <f>IF($AD525="","",INDEX('Per Line'!$L$2:$L$3001,$AD525)&amp;"")</f>
        <v/>
      </c>
      <c r="M525">
        <f>IF($AD525="","",INDEX('Per Line'!$M$2:$M$3001,$AD525)&amp;"")</f>
        <v/>
      </c>
      <c r="N525">
        <f>IF($AD525="","",INDEX('Per Line'!$AC$2:$AC$3001,$AD525)&amp;"")</f>
        <v/>
      </c>
      <c r="O525">
        <f>IF($AD525="","",INDEX('Per Line'!$P$2:$P$3001,$AD525))</f>
        <v/>
      </c>
      <c r="P525" s="7">
        <f>IF($AD525="","",IF(AND(ISNUMBER(Q525),Q525&gt;0,AB525&gt;Q525),O525*Q525/100+(AB525-Q525),O525*AB525/100))</f>
        <v/>
      </c>
      <c r="Q525">
        <f>IF($AD525="","",INDEX('Per Line'!$AG$2:$AG$3001,$AD525))</f>
        <v/>
      </c>
      <c r="R525">
        <f>IF($AD525="","",IF(AND(ISNUMBER(Q525),Q525&gt;0),AB525&gt;Q525,FALSE))</f>
        <v/>
      </c>
      <c r="S525" s="7">
        <f>IF($AD525="","",SUMIFS('Per Line'!$AB$2:$AB$3001,'Per Line'!$E$2:$E$3001,$B525,'Per Line'!$AQ$2:$AQ$3001,1))</f>
        <v/>
      </c>
      <c r="T525">
        <f>IF($AD525="","",Settings!$C$7)</f>
        <v/>
      </c>
      <c r="U525" s="7">
        <f>IF($AD525="","",SUMIFS('Per Line'!$AB$2:$AB$3001,'Per Line'!$E$2:$E$3001,$B525,'Per Line'!$AP$2:$AP$3001,0,'Per Line'!$AQ$2:$AQ$3001,0))</f>
        <v/>
      </c>
      <c r="V525" s="7">
        <f>IF($AD525="","",U525*T525)</f>
        <v/>
      </c>
      <c r="W525">
        <f>IF($AD525="","",Settings!$C$6)</f>
        <v/>
      </c>
      <c r="X525" s="7">
        <f>IF($AD525="","",SUMIFS('Per Line'!$AB$2:$AB$3001,'Per Line'!$E$2:$E$3001,$B525,'Per Line'!$AP$2:$AP$3001,1,'Per Line'!$AQ$2:$AQ$3001,0))</f>
        <v/>
      </c>
      <c r="Y525" s="7">
        <f>IF($AD525="","",X525*W525)</f>
        <v/>
      </c>
      <c r="Z525" s="7">
        <f>IF($AD525="","",Y525+V525)</f>
        <v/>
      </c>
      <c r="AA525" s="7">
        <f>IF($AD525="","",AB525-Z525)</f>
        <v/>
      </c>
      <c r="AB525" s="7">
        <f>IF($AD525="","",U525+X525+S525)</f>
        <v/>
      </c>
      <c r="AC525" s="7">
        <f>IF($AD525="","",AB525-Z525-P525)</f>
        <v/>
      </c>
      <c r="AD525" s="13">
        <f>IF(ROWS($AD$2:$AD525)&lt;=MAX('Per Line'!$AO$2:$AO$3001),MATCH(ROWS($AD$2:$AD525),'Per Line'!$AO$2:$AO$3001,0),"")</f>
        <v/>
      </c>
      <c r="AE525" s="14">
        <f>IF($AD525="","",P525-O525*AB525/100)</f>
        <v/>
      </c>
    </row>
    <row r="526">
      <c r="A526" s="12" t="n"/>
      <c r="B526">
        <f>IF($AD526="","",INDEX('Per Line'!$E$2:$E$3001,$AD526)&amp;"")</f>
        <v/>
      </c>
      <c r="C526">
        <f>IF($AD526="","",INDEX('Per Line'!$A$2:$A$3001,$AD526)&amp;"")</f>
        <v/>
      </c>
      <c r="D526">
        <f>IF($AD526="","",INDEX('Per Line'!$C$2:$C$3001,$AD526)&amp;"")</f>
        <v/>
      </c>
      <c r="E526">
        <f>IF($AD526="","",INDEX('Per Line'!$B$2:$B$3001,$AD526))</f>
        <v/>
      </c>
      <c r="F526">
        <f>IF($AD526="","",INDEX('Per Line'!$D$2:$D$3001,$AD526)&amp;"")</f>
        <v/>
      </c>
      <c r="G526" s="11">
        <f>IF($AD526="","",INDEX('Per Line'!$G$2:$G$3001,$AD526))</f>
        <v/>
      </c>
      <c r="H526">
        <f>IF($AD526="","",INDEX('Per Line'!$J$2:$J$3001,$AD526)&amp;"")</f>
        <v/>
      </c>
      <c r="I526">
        <f>IF($AD526="","",INDEX('Per Line'!$H$2:$H$3001,$AD526)&amp;"")</f>
        <v/>
      </c>
      <c r="J526">
        <f>IF($AD526="","",INDEX('Per Line'!$F$2:$F$3001,$AD526)&amp;"")</f>
        <v/>
      </c>
      <c r="K526">
        <f>IF($AD526="","",INDEX('Per Line'!$K$2:$K$3001,$AD526)&amp;"")</f>
        <v/>
      </c>
      <c r="L526">
        <f>IF($AD526="","",INDEX('Per Line'!$L$2:$L$3001,$AD526)&amp;"")</f>
        <v/>
      </c>
      <c r="M526">
        <f>IF($AD526="","",INDEX('Per Line'!$M$2:$M$3001,$AD526)&amp;"")</f>
        <v/>
      </c>
      <c r="N526">
        <f>IF($AD526="","",INDEX('Per Line'!$AC$2:$AC$3001,$AD526)&amp;"")</f>
        <v/>
      </c>
      <c r="O526">
        <f>IF($AD526="","",INDEX('Per Line'!$P$2:$P$3001,$AD526))</f>
        <v/>
      </c>
      <c r="P526" s="7">
        <f>IF($AD526="","",IF(AND(ISNUMBER(Q526),Q526&gt;0,AB526&gt;Q526),O526*Q526/100+(AB526-Q526),O526*AB526/100))</f>
        <v/>
      </c>
      <c r="Q526">
        <f>IF($AD526="","",INDEX('Per Line'!$AG$2:$AG$3001,$AD526))</f>
        <v/>
      </c>
      <c r="R526">
        <f>IF($AD526="","",IF(AND(ISNUMBER(Q526),Q526&gt;0),AB526&gt;Q526,FALSE))</f>
        <v/>
      </c>
      <c r="S526" s="7">
        <f>IF($AD526="","",SUMIFS('Per Line'!$AB$2:$AB$3001,'Per Line'!$E$2:$E$3001,$B526,'Per Line'!$AQ$2:$AQ$3001,1))</f>
        <v/>
      </c>
      <c r="T526">
        <f>IF($AD526="","",Settings!$C$7)</f>
        <v/>
      </c>
      <c r="U526" s="7">
        <f>IF($AD526="","",SUMIFS('Per Line'!$AB$2:$AB$3001,'Per Line'!$E$2:$E$3001,$B526,'Per Line'!$AP$2:$AP$3001,0,'Per Line'!$AQ$2:$AQ$3001,0))</f>
        <v/>
      </c>
      <c r="V526" s="7">
        <f>IF($AD526="","",U526*T526)</f>
        <v/>
      </c>
      <c r="W526">
        <f>IF($AD526="","",Settings!$C$6)</f>
        <v/>
      </c>
      <c r="X526" s="7">
        <f>IF($AD526="","",SUMIFS('Per Line'!$AB$2:$AB$3001,'Per Line'!$E$2:$E$3001,$B526,'Per Line'!$AP$2:$AP$3001,1,'Per Line'!$AQ$2:$AQ$3001,0))</f>
        <v/>
      </c>
      <c r="Y526" s="7">
        <f>IF($AD526="","",X526*W526)</f>
        <v/>
      </c>
      <c r="Z526" s="7">
        <f>IF($AD526="","",Y526+V526)</f>
        <v/>
      </c>
      <c r="AA526" s="7">
        <f>IF($AD526="","",AB526-Z526)</f>
        <v/>
      </c>
      <c r="AB526" s="7">
        <f>IF($AD526="","",U526+X526+S526)</f>
        <v/>
      </c>
      <c r="AC526" s="7">
        <f>IF($AD526="","",AB526-Z526-P526)</f>
        <v/>
      </c>
      <c r="AD526" s="13">
        <f>IF(ROWS($AD$2:$AD526)&lt;=MAX('Per Line'!$AO$2:$AO$3001),MATCH(ROWS($AD$2:$AD526),'Per Line'!$AO$2:$AO$3001,0),"")</f>
        <v/>
      </c>
      <c r="AE526" s="14">
        <f>IF($AD526="","",P526-O526*AB526/100)</f>
        <v/>
      </c>
    </row>
    <row r="527">
      <c r="A527" s="12" t="n"/>
      <c r="B527">
        <f>IF($AD527="","",INDEX('Per Line'!$E$2:$E$3001,$AD527)&amp;"")</f>
        <v/>
      </c>
      <c r="C527">
        <f>IF($AD527="","",INDEX('Per Line'!$A$2:$A$3001,$AD527)&amp;"")</f>
        <v/>
      </c>
      <c r="D527">
        <f>IF($AD527="","",INDEX('Per Line'!$C$2:$C$3001,$AD527)&amp;"")</f>
        <v/>
      </c>
      <c r="E527">
        <f>IF($AD527="","",INDEX('Per Line'!$B$2:$B$3001,$AD527))</f>
        <v/>
      </c>
      <c r="F527">
        <f>IF($AD527="","",INDEX('Per Line'!$D$2:$D$3001,$AD527)&amp;"")</f>
        <v/>
      </c>
      <c r="G527" s="11">
        <f>IF($AD527="","",INDEX('Per Line'!$G$2:$G$3001,$AD527))</f>
        <v/>
      </c>
      <c r="H527">
        <f>IF($AD527="","",INDEX('Per Line'!$J$2:$J$3001,$AD527)&amp;"")</f>
        <v/>
      </c>
      <c r="I527">
        <f>IF($AD527="","",INDEX('Per Line'!$H$2:$H$3001,$AD527)&amp;"")</f>
        <v/>
      </c>
      <c r="J527">
        <f>IF($AD527="","",INDEX('Per Line'!$F$2:$F$3001,$AD527)&amp;"")</f>
        <v/>
      </c>
      <c r="K527">
        <f>IF($AD527="","",INDEX('Per Line'!$K$2:$K$3001,$AD527)&amp;"")</f>
        <v/>
      </c>
      <c r="L527">
        <f>IF($AD527="","",INDEX('Per Line'!$L$2:$L$3001,$AD527)&amp;"")</f>
        <v/>
      </c>
      <c r="M527">
        <f>IF($AD527="","",INDEX('Per Line'!$M$2:$M$3001,$AD527)&amp;"")</f>
        <v/>
      </c>
      <c r="N527">
        <f>IF($AD527="","",INDEX('Per Line'!$AC$2:$AC$3001,$AD527)&amp;"")</f>
        <v/>
      </c>
      <c r="O527">
        <f>IF($AD527="","",INDEX('Per Line'!$P$2:$P$3001,$AD527))</f>
        <v/>
      </c>
      <c r="P527" s="7">
        <f>IF($AD527="","",IF(AND(ISNUMBER(Q527),Q527&gt;0,AB527&gt;Q527),O527*Q527/100+(AB527-Q527),O527*AB527/100))</f>
        <v/>
      </c>
      <c r="Q527">
        <f>IF($AD527="","",INDEX('Per Line'!$AG$2:$AG$3001,$AD527))</f>
        <v/>
      </c>
      <c r="R527">
        <f>IF($AD527="","",IF(AND(ISNUMBER(Q527),Q527&gt;0),AB527&gt;Q527,FALSE))</f>
        <v/>
      </c>
      <c r="S527" s="7">
        <f>IF($AD527="","",SUMIFS('Per Line'!$AB$2:$AB$3001,'Per Line'!$E$2:$E$3001,$B527,'Per Line'!$AQ$2:$AQ$3001,1))</f>
        <v/>
      </c>
      <c r="T527">
        <f>IF($AD527="","",Settings!$C$7)</f>
        <v/>
      </c>
      <c r="U527" s="7">
        <f>IF($AD527="","",SUMIFS('Per Line'!$AB$2:$AB$3001,'Per Line'!$E$2:$E$3001,$B527,'Per Line'!$AP$2:$AP$3001,0,'Per Line'!$AQ$2:$AQ$3001,0))</f>
        <v/>
      </c>
      <c r="V527" s="7">
        <f>IF($AD527="","",U527*T527)</f>
        <v/>
      </c>
      <c r="W527">
        <f>IF($AD527="","",Settings!$C$6)</f>
        <v/>
      </c>
      <c r="X527" s="7">
        <f>IF($AD527="","",SUMIFS('Per Line'!$AB$2:$AB$3001,'Per Line'!$E$2:$E$3001,$B527,'Per Line'!$AP$2:$AP$3001,1,'Per Line'!$AQ$2:$AQ$3001,0))</f>
        <v/>
      </c>
      <c r="Y527" s="7">
        <f>IF($AD527="","",X527*W527)</f>
        <v/>
      </c>
      <c r="Z527" s="7">
        <f>IF($AD527="","",Y527+V527)</f>
        <v/>
      </c>
      <c r="AA527" s="7">
        <f>IF($AD527="","",AB527-Z527)</f>
        <v/>
      </c>
      <c r="AB527" s="7">
        <f>IF($AD527="","",U527+X527+S527)</f>
        <v/>
      </c>
      <c r="AC527" s="7">
        <f>IF($AD527="","",AB527-Z527-P527)</f>
        <v/>
      </c>
      <c r="AD527" s="13">
        <f>IF(ROWS($AD$2:$AD527)&lt;=MAX('Per Line'!$AO$2:$AO$3001),MATCH(ROWS($AD$2:$AD527),'Per Line'!$AO$2:$AO$3001,0),"")</f>
        <v/>
      </c>
      <c r="AE527" s="14">
        <f>IF($AD527="","",P527-O527*AB527/100)</f>
        <v/>
      </c>
    </row>
    <row r="528">
      <c r="A528" s="12" t="n"/>
      <c r="B528">
        <f>IF($AD528="","",INDEX('Per Line'!$E$2:$E$3001,$AD528)&amp;"")</f>
        <v/>
      </c>
      <c r="C528">
        <f>IF($AD528="","",INDEX('Per Line'!$A$2:$A$3001,$AD528)&amp;"")</f>
        <v/>
      </c>
      <c r="D528">
        <f>IF($AD528="","",INDEX('Per Line'!$C$2:$C$3001,$AD528)&amp;"")</f>
        <v/>
      </c>
      <c r="E528">
        <f>IF($AD528="","",INDEX('Per Line'!$B$2:$B$3001,$AD528))</f>
        <v/>
      </c>
      <c r="F528">
        <f>IF($AD528="","",INDEX('Per Line'!$D$2:$D$3001,$AD528)&amp;"")</f>
        <v/>
      </c>
      <c r="G528" s="11">
        <f>IF($AD528="","",INDEX('Per Line'!$G$2:$G$3001,$AD528))</f>
        <v/>
      </c>
      <c r="H528">
        <f>IF($AD528="","",INDEX('Per Line'!$J$2:$J$3001,$AD528)&amp;"")</f>
        <v/>
      </c>
      <c r="I528">
        <f>IF($AD528="","",INDEX('Per Line'!$H$2:$H$3001,$AD528)&amp;"")</f>
        <v/>
      </c>
      <c r="J528">
        <f>IF($AD528="","",INDEX('Per Line'!$F$2:$F$3001,$AD528)&amp;"")</f>
        <v/>
      </c>
      <c r="K528">
        <f>IF($AD528="","",INDEX('Per Line'!$K$2:$K$3001,$AD528)&amp;"")</f>
        <v/>
      </c>
      <c r="L528">
        <f>IF($AD528="","",INDEX('Per Line'!$L$2:$L$3001,$AD528)&amp;"")</f>
        <v/>
      </c>
      <c r="M528">
        <f>IF($AD528="","",INDEX('Per Line'!$M$2:$M$3001,$AD528)&amp;"")</f>
        <v/>
      </c>
      <c r="N528">
        <f>IF($AD528="","",INDEX('Per Line'!$AC$2:$AC$3001,$AD528)&amp;"")</f>
        <v/>
      </c>
      <c r="O528">
        <f>IF($AD528="","",INDEX('Per Line'!$P$2:$P$3001,$AD528))</f>
        <v/>
      </c>
      <c r="P528" s="7">
        <f>IF($AD528="","",IF(AND(ISNUMBER(Q528),Q528&gt;0,AB528&gt;Q528),O528*Q528/100+(AB528-Q528),O528*AB528/100))</f>
        <v/>
      </c>
      <c r="Q528">
        <f>IF($AD528="","",INDEX('Per Line'!$AG$2:$AG$3001,$AD528))</f>
        <v/>
      </c>
      <c r="R528">
        <f>IF($AD528="","",IF(AND(ISNUMBER(Q528),Q528&gt;0),AB528&gt;Q528,FALSE))</f>
        <v/>
      </c>
      <c r="S528" s="7">
        <f>IF($AD528="","",SUMIFS('Per Line'!$AB$2:$AB$3001,'Per Line'!$E$2:$E$3001,$B528,'Per Line'!$AQ$2:$AQ$3001,1))</f>
        <v/>
      </c>
      <c r="T528">
        <f>IF($AD528="","",Settings!$C$7)</f>
        <v/>
      </c>
      <c r="U528" s="7">
        <f>IF($AD528="","",SUMIFS('Per Line'!$AB$2:$AB$3001,'Per Line'!$E$2:$E$3001,$B528,'Per Line'!$AP$2:$AP$3001,0,'Per Line'!$AQ$2:$AQ$3001,0))</f>
        <v/>
      </c>
      <c r="V528" s="7">
        <f>IF($AD528="","",U528*T528)</f>
        <v/>
      </c>
      <c r="W528">
        <f>IF($AD528="","",Settings!$C$6)</f>
        <v/>
      </c>
      <c r="X528" s="7">
        <f>IF($AD528="","",SUMIFS('Per Line'!$AB$2:$AB$3001,'Per Line'!$E$2:$E$3001,$B528,'Per Line'!$AP$2:$AP$3001,1,'Per Line'!$AQ$2:$AQ$3001,0))</f>
        <v/>
      </c>
      <c r="Y528" s="7">
        <f>IF($AD528="","",X528*W528)</f>
        <v/>
      </c>
      <c r="Z528" s="7">
        <f>IF($AD528="","",Y528+V528)</f>
        <v/>
      </c>
      <c r="AA528" s="7">
        <f>IF($AD528="","",AB528-Z528)</f>
        <v/>
      </c>
      <c r="AB528" s="7">
        <f>IF($AD528="","",U528+X528+S528)</f>
        <v/>
      </c>
      <c r="AC528" s="7">
        <f>IF($AD528="","",AB528-Z528-P528)</f>
        <v/>
      </c>
      <c r="AD528" s="13">
        <f>IF(ROWS($AD$2:$AD528)&lt;=MAX('Per Line'!$AO$2:$AO$3001),MATCH(ROWS($AD$2:$AD528),'Per Line'!$AO$2:$AO$3001,0),"")</f>
        <v/>
      </c>
      <c r="AE528" s="14">
        <f>IF($AD528="","",P528-O528*AB528/100)</f>
        <v/>
      </c>
    </row>
    <row r="529">
      <c r="A529" s="12" t="n"/>
      <c r="B529">
        <f>IF($AD529="","",INDEX('Per Line'!$E$2:$E$3001,$AD529)&amp;"")</f>
        <v/>
      </c>
      <c r="C529">
        <f>IF($AD529="","",INDEX('Per Line'!$A$2:$A$3001,$AD529)&amp;"")</f>
        <v/>
      </c>
      <c r="D529">
        <f>IF($AD529="","",INDEX('Per Line'!$C$2:$C$3001,$AD529)&amp;"")</f>
        <v/>
      </c>
      <c r="E529">
        <f>IF($AD529="","",INDEX('Per Line'!$B$2:$B$3001,$AD529))</f>
        <v/>
      </c>
      <c r="F529">
        <f>IF($AD529="","",INDEX('Per Line'!$D$2:$D$3001,$AD529)&amp;"")</f>
        <v/>
      </c>
      <c r="G529" s="11">
        <f>IF($AD529="","",INDEX('Per Line'!$G$2:$G$3001,$AD529))</f>
        <v/>
      </c>
      <c r="H529">
        <f>IF($AD529="","",INDEX('Per Line'!$J$2:$J$3001,$AD529)&amp;"")</f>
        <v/>
      </c>
      <c r="I529">
        <f>IF($AD529="","",INDEX('Per Line'!$H$2:$H$3001,$AD529)&amp;"")</f>
        <v/>
      </c>
      <c r="J529">
        <f>IF($AD529="","",INDEX('Per Line'!$F$2:$F$3001,$AD529)&amp;"")</f>
        <v/>
      </c>
      <c r="K529">
        <f>IF($AD529="","",INDEX('Per Line'!$K$2:$K$3001,$AD529)&amp;"")</f>
        <v/>
      </c>
      <c r="L529">
        <f>IF($AD529="","",INDEX('Per Line'!$L$2:$L$3001,$AD529)&amp;"")</f>
        <v/>
      </c>
      <c r="M529">
        <f>IF($AD529="","",INDEX('Per Line'!$M$2:$M$3001,$AD529)&amp;"")</f>
        <v/>
      </c>
      <c r="N529">
        <f>IF($AD529="","",INDEX('Per Line'!$AC$2:$AC$3001,$AD529)&amp;"")</f>
        <v/>
      </c>
      <c r="O529">
        <f>IF($AD529="","",INDEX('Per Line'!$P$2:$P$3001,$AD529))</f>
        <v/>
      </c>
      <c r="P529" s="7">
        <f>IF($AD529="","",IF(AND(ISNUMBER(Q529),Q529&gt;0,AB529&gt;Q529),O529*Q529/100+(AB529-Q529),O529*AB529/100))</f>
        <v/>
      </c>
      <c r="Q529">
        <f>IF($AD529="","",INDEX('Per Line'!$AG$2:$AG$3001,$AD529))</f>
        <v/>
      </c>
      <c r="R529">
        <f>IF($AD529="","",IF(AND(ISNUMBER(Q529),Q529&gt;0),AB529&gt;Q529,FALSE))</f>
        <v/>
      </c>
      <c r="S529" s="7">
        <f>IF($AD529="","",SUMIFS('Per Line'!$AB$2:$AB$3001,'Per Line'!$E$2:$E$3001,$B529,'Per Line'!$AQ$2:$AQ$3001,1))</f>
        <v/>
      </c>
      <c r="T529">
        <f>IF($AD529="","",Settings!$C$7)</f>
        <v/>
      </c>
      <c r="U529" s="7">
        <f>IF($AD529="","",SUMIFS('Per Line'!$AB$2:$AB$3001,'Per Line'!$E$2:$E$3001,$B529,'Per Line'!$AP$2:$AP$3001,0,'Per Line'!$AQ$2:$AQ$3001,0))</f>
        <v/>
      </c>
      <c r="V529" s="7">
        <f>IF($AD529="","",U529*T529)</f>
        <v/>
      </c>
      <c r="W529">
        <f>IF($AD529="","",Settings!$C$6)</f>
        <v/>
      </c>
      <c r="X529" s="7">
        <f>IF($AD529="","",SUMIFS('Per Line'!$AB$2:$AB$3001,'Per Line'!$E$2:$E$3001,$B529,'Per Line'!$AP$2:$AP$3001,1,'Per Line'!$AQ$2:$AQ$3001,0))</f>
        <v/>
      </c>
      <c r="Y529" s="7">
        <f>IF($AD529="","",X529*W529)</f>
        <v/>
      </c>
      <c r="Z529" s="7">
        <f>IF($AD529="","",Y529+V529)</f>
        <v/>
      </c>
      <c r="AA529" s="7">
        <f>IF($AD529="","",AB529-Z529)</f>
        <v/>
      </c>
      <c r="AB529" s="7">
        <f>IF($AD529="","",U529+X529+S529)</f>
        <v/>
      </c>
      <c r="AC529" s="7">
        <f>IF($AD529="","",AB529-Z529-P529)</f>
        <v/>
      </c>
      <c r="AD529" s="13">
        <f>IF(ROWS($AD$2:$AD529)&lt;=MAX('Per Line'!$AO$2:$AO$3001),MATCH(ROWS($AD$2:$AD529),'Per Line'!$AO$2:$AO$3001,0),"")</f>
        <v/>
      </c>
      <c r="AE529" s="14">
        <f>IF($AD529="","",P529-O529*AB529/100)</f>
        <v/>
      </c>
    </row>
    <row r="530">
      <c r="A530" s="12" t="n"/>
      <c r="B530">
        <f>IF($AD530="","",INDEX('Per Line'!$E$2:$E$3001,$AD530)&amp;"")</f>
        <v/>
      </c>
      <c r="C530">
        <f>IF($AD530="","",INDEX('Per Line'!$A$2:$A$3001,$AD530)&amp;"")</f>
        <v/>
      </c>
      <c r="D530">
        <f>IF($AD530="","",INDEX('Per Line'!$C$2:$C$3001,$AD530)&amp;"")</f>
        <v/>
      </c>
      <c r="E530">
        <f>IF($AD530="","",INDEX('Per Line'!$B$2:$B$3001,$AD530))</f>
        <v/>
      </c>
      <c r="F530">
        <f>IF($AD530="","",INDEX('Per Line'!$D$2:$D$3001,$AD530)&amp;"")</f>
        <v/>
      </c>
      <c r="G530" s="11">
        <f>IF($AD530="","",INDEX('Per Line'!$G$2:$G$3001,$AD530))</f>
        <v/>
      </c>
      <c r="H530">
        <f>IF($AD530="","",INDEX('Per Line'!$J$2:$J$3001,$AD530)&amp;"")</f>
        <v/>
      </c>
      <c r="I530">
        <f>IF($AD530="","",INDEX('Per Line'!$H$2:$H$3001,$AD530)&amp;"")</f>
        <v/>
      </c>
      <c r="J530">
        <f>IF($AD530="","",INDEX('Per Line'!$F$2:$F$3001,$AD530)&amp;"")</f>
        <v/>
      </c>
      <c r="K530">
        <f>IF($AD530="","",INDEX('Per Line'!$K$2:$K$3001,$AD530)&amp;"")</f>
        <v/>
      </c>
      <c r="L530">
        <f>IF($AD530="","",INDEX('Per Line'!$L$2:$L$3001,$AD530)&amp;"")</f>
        <v/>
      </c>
      <c r="M530">
        <f>IF($AD530="","",INDEX('Per Line'!$M$2:$M$3001,$AD530)&amp;"")</f>
        <v/>
      </c>
      <c r="N530">
        <f>IF($AD530="","",INDEX('Per Line'!$AC$2:$AC$3001,$AD530)&amp;"")</f>
        <v/>
      </c>
      <c r="O530">
        <f>IF($AD530="","",INDEX('Per Line'!$P$2:$P$3001,$AD530))</f>
        <v/>
      </c>
      <c r="P530" s="7">
        <f>IF($AD530="","",IF(AND(ISNUMBER(Q530),Q530&gt;0,AB530&gt;Q530),O530*Q530/100+(AB530-Q530),O530*AB530/100))</f>
        <v/>
      </c>
      <c r="Q530">
        <f>IF($AD530="","",INDEX('Per Line'!$AG$2:$AG$3001,$AD530))</f>
        <v/>
      </c>
      <c r="R530">
        <f>IF($AD530="","",IF(AND(ISNUMBER(Q530),Q530&gt;0),AB530&gt;Q530,FALSE))</f>
        <v/>
      </c>
      <c r="S530" s="7">
        <f>IF($AD530="","",SUMIFS('Per Line'!$AB$2:$AB$3001,'Per Line'!$E$2:$E$3001,$B530,'Per Line'!$AQ$2:$AQ$3001,1))</f>
        <v/>
      </c>
      <c r="T530">
        <f>IF($AD530="","",Settings!$C$7)</f>
        <v/>
      </c>
      <c r="U530" s="7">
        <f>IF($AD530="","",SUMIFS('Per Line'!$AB$2:$AB$3001,'Per Line'!$E$2:$E$3001,$B530,'Per Line'!$AP$2:$AP$3001,0,'Per Line'!$AQ$2:$AQ$3001,0))</f>
        <v/>
      </c>
      <c r="V530" s="7">
        <f>IF($AD530="","",U530*T530)</f>
        <v/>
      </c>
      <c r="W530">
        <f>IF($AD530="","",Settings!$C$6)</f>
        <v/>
      </c>
      <c r="X530" s="7">
        <f>IF($AD530="","",SUMIFS('Per Line'!$AB$2:$AB$3001,'Per Line'!$E$2:$E$3001,$B530,'Per Line'!$AP$2:$AP$3001,1,'Per Line'!$AQ$2:$AQ$3001,0))</f>
        <v/>
      </c>
      <c r="Y530" s="7">
        <f>IF($AD530="","",X530*W530)</f>
        <v/>
      </c>
      <c r="Z530" s="7">
        <f>IF($AD530="","",Y530+V530)</f>
        <v/>
      </c>
      <c r="AA530" s="7">
        <f>IF($AD530="","",AB530-Z530)</f>
        <v/>
      </c>
      <c r="AB530" s="7">
        <f>IF($AD530="","",U530+X530+S530)</f>
        <v/>
      </c>
      <c r="AC530" s="7">
        <f>IF($AD530="","",AB530-Z530-P530)</f>
        <v/>
      </c>
      <c r="AD530" s="13">
        <f>IF(ROWS($AD$2:$AD530)&lt;=MAX('Per Line'!$AO$2:$AO$3001),MATCH(ROWS($AD$2:$AD530),'Per Line'!$AO$2:$AO$3001,0),"")</f>
        <v/>
      </c>
      <c r="AE530" s="14">
        <f>IF($AD530="","",P530-O530*AB530/100)</f>
        <v/>
      </c>
    </row>
    <row r="531">
      <c r="A531" s="12" t="n"/>
      <c r="B531">
        <f>IF($AD531="","",INDEX('Per Line'!$E$2:$E$3001,$AD531)&amp;"")</f>
        <v/>
      </c>
      <c r="C531">
        <f>IF($AD531="","",INDEX('Per Line'!$A$2:$A$3001,$AD531)&amp;"")</f>
        <v/>
      </c>
      <c r="D531">
        <f>IF($AD531="","",INDEX('Per Line'!$C$2:$C$3001,$AD531)&amp;"")</f>
        <v/>
      </c>
      <c r="E531">
        <f>IF($AD531="","",INDEX('Per Line'!$B$2:$B$3001,$AD531))</f>
        <v/>
      </c>
      <c r="F531">
        <f>IF($AD531="","",INDEX('Per Line'!$D$2:$D$3001,$AD531)&amp;"")</f>
        <v/>
      </c>
      <c r="G531" s="11">
        <f>IF($AD531="","",INDEX('Per Line'!$G$2:$G$3001,$AD531))</f>
        <v/>
      </c>
      <c r="H531">
        <f>IF($AD531="","",INDEX('Per Line'!$J$2:$J$3001,$AD531)&amp;"")</f>
        <v/>
      </c>
      <c r="I531">
        <f>IF($AD531="","",INDEX('Per Line'!$H$2:$H$3001,$AD531)&amp;"")</f>
        <v/>
      </c>
      <c r="J531">
        <f>IF($AD531="","",INDEX('Per Line'!$F$2:$F$3001,$AD531)&amp;"")</f>
        <v/>
      </c>
      <c r="K531">
        <f>IF($AD531="","",INDEX('Per Line'!$K$2:$K$3001,$AD531)&amp;"")</f>
        <v/>
      </c>
      <c r="L531">
        <f>IF($AD531="","",INDEX('Per Line'!$L$2:$L$3001,$AD531)&amp;"")</f>
        <v/>
      </c>
      <c r="M531">
        <f>IF($AD531="","",INDEX('Per Line'!$M$2:$M$3001,$AD531)&amp;"")</f>
        <v/>
      </c>
      <c r="N531">
        <f>IF($AD531="","",INDEX('Per Line'!$AC$2:$AC$3001,$AD531)&amp;"")</f>
        <v/>
      </c>
      <c r="O531">
        <f>IF($AD531="","",INDEX('Per Line'!$P$2:$P$3001,$AD531))</f>
        <v/>
      </c>
      <c r="P531" s="7">
        <f>IF($AD531="","",IF(AND(ISNUMBER(Q531),Q531&gt;0,AB531&gt;Q531),O531*Q531/100+(AB531-Q531),O531*AB531/100))</f>
        <v/>
      </c>
      <c r="Q531">
        <f>IF($AD531="","",INDEX('Per Line'!$AG$2:$AG$3001,$AD531))</f>
        <v/>
      </c>
      <c r="R531">
        <f>IF($AD531="","",IF(AND(ISNUMBER(Q531),Q531&gt;0),AB531&gt;Q531,FALSE))</f>
        <v/>
      </c>
      <c r="S531" s="7">
        <f>IF($AD531="","",SUMIFS('Per Line'!$AB$2:$AB$3001,'Per Line'!$E$2:$E$3001,$B531,'Per Line'!$AQ$2:$AQ$3001,1))</f>
        <v/>
      </c>
      <c r="T531">
        <f>IF($AD531="","",Settings!$C$7)</f>
        <v/>
      </c>
      <c r="U531" s="7">
        <f>IF($AD531="","",SUMIFS('Per Line'!$AB$2:$AB$3001,'Per Line'!$E$2:$E$3001,$B531,'Per Line'!$AP$2:$AP$3001,0,'Per Line'!$AQ$2:$AQ$3001,0))</f>
        <v/>
      </c>
      <c r="V531" s="7">
        <f>IF($AD531="","",U531*T531)</f>
        <v/>
      </c>
      <c r="W531">
        <f>IF($AD531="","",Settings!$C$6)</f>
        <v/>
      </c>
      <c r="X531" s="7">
        <f>IF($AD531="","",SUMIFS('Per Line'!$AB$2:$AB$3001,'Per Line'!$E$2:$E$3001,$B531,'Per Line'!$AP$2:$AP$3001,1,'Per Line'!$AQ$2:$AQ$3001,0))</f>
        <v/>
      </c>
      <c r="Y531" s="7">
        <f>IF($AD531="","",X531*W531)</f>
        <v/>
      </c>
      <c r="Z531" s="7">
        <f>IF($AD531="","",Y531+V531)</f>
        <v/>
      </c>
      <c r="AA531" s="7">
        <f>IF($AD531="","",AB531-Z531)</f>
        <v/>
      </c>
      <c r="AB531" s="7">
        <f>IF($AD531="","",U531+X531+S531)</f>
        <v/>
      </c>
      <c r="AC531" s="7">
        <f>IF($AD531="","",AB531-Z531-P531)</f>
        <v/>
      </c>
      <c r="AD531" s="13">
        <f>IF(ROWS($AD$2:$AD531)&lt;=MAX('Per Line'!$AO$2:$AO$3001),MATCH(ROWS($AD$2:$AD531),'Per Line'!$AO$2:$AO$3001,0),"")</f>
        <v/>
      </c>
      <c r="AE531" s="14">
        <f>IF($AD531="","",P531-O531*AB531/100)</f>
        <v/>
      </c>
    </row>
    <row r="532">
      <c r="A532" s="12" t="n"/>
      <c r="B532">
        <f>IF($AD532="","",INDEX('Per Line'!$E$2:$E$3001,$AD532)&amp;"")</f>
        <v/>
      </c>
      <c r="C532">
        <f>IF($AD532="","",INDEX('Per Line'!$A$2:$A$3001,$AD532)&amp;"")</f>
        <v/>
      </c>
      <c r="D532">
        <f>IF($AD532="","",INDEX('Per Line'!$C$2:$C$3001,$AD532)&amp;"")</f>
        <v/>
      </c>
      <c r="E532">
        <f>IF($AD532="","",INDEX('Per Line'!$B$2:$B$3001,$AD532))</f>
        <v/>
      </c>
      <c r="F532">
        <f>IF($AD532="","",INDEX('Per Line'!$D$2:$D$3001,$AD532)&amp;"")</f>
        <v/>
      </c>
      <c r="G532" s="11">
        <f>IF($AD532="","",INDEX('Per Line'!$G$2:$G$3001,$AD532))</f>
        <v/>
      </c>
      <c r="H532">
        <f>IF($AD532="","",INDEX('Per Line'!$J$2:$J$3001,$AD532)&amp;"")</f>
        <v/>
      </c>
      <c r="I532">
        <f>IF($AD532="","",INDEX('Per Line'!$H$2:$H$3001,$AD532)&amp;"")</f>
        <v/>
      </c>
      <c r="J532">
        <f>IF($AD532="","",INDEX('Per Line'!$F$2:$F$3001,$AD532)&amp;"")</f>
        <v/>
      </c>
      <c r="K532">
        <f>IF($AD532="","",INDEX('Per Line'!$K$2:$K$3001,$AD532)&amp;"")</f>
        <v/>
      </c>
      <c r="L532">
        <f>IF($AD532="","",INDEX('Per Line'!$L$2:$L$3001,$AD532)&amp;"")</f>
        <v/>
      </c>
      <c r="M532">
        <f>IF($AD532="","",INDEX('Per Line'!$M$2:$M$3001,$AD532)&amp;"")</f>
        <v/>
      </c>
      <c r="N532">
        <f>IF($AD532="","",INDEX('Per Line'!$AC$2:$AC$3001,$AD532)&amp;"")</f>
        <v/>
      </c>
      <c r="O532">
        <f>IF($AD532="","",INDEX('Per Line'!$P$2:$P$3001,$AD532))</f>
        <v/>
      </c>
      <c r="P532" s="7">
        <f>IF($AD532="","",IF(AND(ISNUMBER(Q532),Q532&gt;0,AB532&gt;Q532),O532*Q532/100+(AB532-Q532),O532*AB532/100))</f>
        <v/>
      </c>
      <c r="Q532">
        <f>IF($AD532="","",INDEX('Per Line'!$AG$2:$AG$3001,$AD532))</f>
        <v/>
      </c>
      <c r="R532">
        <f>IF($AD532="","",IF(AND(ISNUMBER(Q532),Q532&gt;0),AB532&gt;Q532,FALSE))</f>
        <v/>
      </c>
      <c r="S532" s="7">
        <f>IF($AD532="","",SUMIFS('Per Line'!$AB$2:$AB$3001,'Per Line'!$E$2:$E$3001,$B532,'Per Line'!$AQ$2:$AQ$3001,1))</f>
        <v/>
      </c>
      <c r="T532">
        <f>IF($AD532="","",Settings!$C$7)</f>
        <v/>
      </c>
      <c r="U532" s="7">
        <f>IF($AD532="","",SUMIFS('Per Line'!$AB$2:$AB$3001,'Per Line'!$E$2:$E$3001,$B532,'Per Line'!$AP$2:$AP$3001,0,'Per Line'!$AQ$2:$AQ$3001,0))</f>
        <v/>
      </c>
      <c r="V532" s="7">
        <f>IF($AD532="","",U532*T532)</f>
        <v/>
      </c>
      <c r="W532">
        <f>IF($AD532="","",Settings!$C$6)</f>
        <v/>
      </c>
      <c r="X532" s="7">
        <f>IF($AD532="","",SUMIFS('Per Line'!$AB$2:$AB$3001,'Per Line'!$E$2:$E$3001,$B532,'Per Line'!$AP$2:$AP$3001,1,'Per Line'!$AQ$2:$AQ$3001,0))</f>
        <v/>
      </c>
      <c r="Y532" s="7">
        <f>IF($AD532="","",X532*W532)</f>
        <v/>
      </c>
      <c r="Z532" s="7">
        <f>IF($AD532="","",Y532+V532)</f>
        <v/>
      </c>
      <c r="AA532" s="7">
        <f>IF($AD532="","",AB532-Z532)</f>
        <v/>
      </c>
      <c r="AB532" s="7">
        <f>IF($AD532="","",U532+X532+S532)</f>
        <v/>
      </c>
      <c r="AC532" s="7">
        <f>IF($AD532="","",AB532-Z532-P532)</f>
        <v/>
      </c>
      <c r="AD532" s="13">
        <f>IF(ROWS($AD$2:$AD532)&lt;=MAX('Per Line'!$AO$2:$AO$3001),MATCH(ROWS($AD$2:$AD532),'Per Line'!$AO$2:$AO$3001,0),"")</f>
        <v/>
      </c>
      <c r="AE532" s="14">
        <f>IF($AD532="","",P532-O532*AB532/100)</f>
        <v/>
      </c>
    </row>
    <row r="533">
      <c r="A533" s="12" t="n"/>
      <c r="B533">
        <f>IF($AD533="","",INDEX('Per Line'!$E$2:$E$3001,$AD533)&amp;"")</f>
        <v/>
      </c>
      <c r="C533">
        <f>IF($AD533="","",INDEX('Per Line'!$A$2:$A$3001,$AD533)&amp;"")</f>
        <v/>
      </c>
      <c r="D533">
        <f>IF($AD533="","",INDEX('Per Line'!$C$2:$C$3001,$AD533)&amp;"")</f>
        <v/>
      </c>
      <c r="E533">
        <f>IF($AD533="","",INDEX('Per Line'!$B$2:$B$3001,$AD533))</f>
        <v/>
      </c>
      <c r="F533">
        <f>IF($AD533="","",INDEX('Per Line'!$D$2:$D$3001,$AD533)&amp;"")</f>
        <v/>
      </c>
      <c r="G533" s="11">
        <f>IF($AD533="","",INDEX('Per Line'!$G$2:$G$3001,$AD533))</f>
        <v/>
      </c>
      <c r="H533">
        <f>IF($AD533="","",INDEX('Per Line'!$J$2:$J$3001,$AD533)&amp;"")</f>
        <v/>
      </c>
      <c r="I533">
        <f>IF($AD533="","",INDEX('Per Line'!$H$2:$H$3001,$AD533)&amp;"")</f>
        <v/>
      </c>
      <c r="J533">
        <f>IF($AD533="","",INDEX('Per Line'!$F$2:$F$3001,$AD533)&amp;"")</f>
        <v/>
      </c>
      <c r="K533">
        <f>IF($AD533="","",INDEX('Per Line'!$K$2:$K$3001,$AD533)&amp;"")</f>
        <v/>
      </c>
      <c r="L533">
        <f>IF($AD533="","",INDEX('Per Line'!$L$2:$L$3001,$AD533)&amp;"")</f>
        <v/>
      </c>
      <c r="M533">
        <f>IF($AD533="","",INDEX('Per Line'!$M$2:$M$3001,$AD533)&amp;"")</f>
        <v/>
      </c>
      <c r="N533">
        <f>IF($AD533="","",INDEX('Per Line'!$AC$2:$AC$3001,$AD533)&amp;"")</f>
        <v/>
      </c>
      <c r="O533">
        <f>IF($AD533="","",INDEX('Per Line'!$P$2:$P$3001,$AD533))</f>
        <v/>
      </c>
      <c r="P533" s="7">
        <f>IF($AD533="","",IF(AND(ISNUMBER(Q533),Q533&gt;0,AB533&gt;Q533),O533*Q533/100+(AB533-Q533),O533*AB533/100))</f>
        <v/>
      </c>
      <c r="Q533">
        <f>IF($AD533="","",INDEX('Per Line'!$AG$2:$AG$3001,$AD533))</f>
        <v/>
      </c>
      <c r="R533">
        <f>IF($AD533="","",IF(AND(ISNUMBER(Q533),Q533&gt;0),AB533&gt;Q533,FALSE))</f>
        <v/>
      </c>
      <c r="S533" s="7">
        <f>IF($AD533="","",SUMIFS('Per Line'!$AB$2:$AB$3001,'Per Line'!$E$2:$E$3001,$B533,'Per Line'!$AQ$2:$AQ$3001,1))</f>
        <v/>
      </c>
      <c r="T533">
        <f>IF($AD533="","",Settings!$C$7)</f>
        <v/>
      </c>
      <c r="U533" s="7">
        <f>IF($AD533="","",SUMIFS('Per Line'!$AB$2:$AB$3001,'Per Line'!$E$2:$E$3001,$B533,'Per Line'!$AP$2:$AP$3001,0,'Per Line'!$AQ$2:$AQ$3001,0))</f>
        <v/>
      </c>
      <c r="V533" s="7">
        <f>IF($AD533="","",U533*T533)</f>
        <v/>
      </c>
      <c r="W533">
        <f>IF($AD533="","",Settings!$C$6)</f>
        <v/>
      </c>
      <c r="X533" s="7">
        <f>IF($AD533="","",SUMIFS('Per Line'!$AB$2:$AB$3001,'Per Line'!$E$2:$E$3001,$B533,'Per Line'!$AP$2:$AP$3001,1,'Per Line'!$AQ$2:$AQ$3001,0))</f>
        <v/>
      </c>
      <c r="Y533" s="7">
        <f>IF($AD533="","",X533*W533)</f>
        <v/>
      </c>
      <c r="Z533" s="7">
        <f>IF($AD533="","",Y533+V533)</f>
        <v/>
      </c>
      <c r="AA533" s="7">
        <f>IF($AD533="","",AB533-Z533)</f>
        <v/>
      </c>
      <c r="AB533" s="7">
        <f>IF($AD533="","",U533+X533+S533)</f>
        <v/>
      </c>
      <c r="AC533" s="7">
        <f>IF($AD533="","",AB533-Z533-P533)</f>
        <v/>
      </c>
      <c r="AD533" s="13">
        <f>IF(ROWS($AD$2:$AD533)&lt;=MAX('Per Line'!$AO$2:$AO$3001),MATCH(ROWS($AD$2:$AD533),'Per Line'!$AO$2:$AO$3001,0),"")</f>
        <v/>
      </c>
      <c r="AE533" s="14">
        <f>IF($AD533="","",P533-O533*AB533/100)</f>
        <v/>
      </c>
    </row>
    <row r="534">
      <c r="A534" s="12" t="n"/>
      <c r="B534">
        <f>IF($AD534="","",INDEX('Per Line'!$E$2:$E$3001,$AD534)&amp;"")</f>
        <v/>
      </c>
      <c r="C534">
        <f>IF($AD534="","",INDEX('Per Line'!$A$2:$A$3001,$AD534)&amp;"")</f>
        <v/>
      </c>
      <c r="D534">
        <f>IF($AD534="","",INDEX('Per Line'!$C$2:$C$3001,$AD534)&amp;"")</f>
        <v/>
      </c>
      <c r="E534">
        <f>IF($AD534="","",INDEX('Per Line'!$B$2:$B$3001,$AD534))</f>
        <v/>
      </c>
      <c r="F534">
        <f>IF($AD534="","",INDEX('Per Line'!$D$2:$D$3001,$AD534)&amp;"")</f>
        <v/>
      </c>
      <c r="G534" s="11">
        <f>IF($AD534="","",INDEX('Per Line'!$G$2:$G$3001,$AD534))</f>
        <v/>
      </c>
      <c r="H534">
        <f>IF($AD534="","",INDEX('Per Line'!$J$2:$J$3001,$AD534)&amp;"")</f>
        <v/>
      </c>
      <c r="I534">
        <f>IF($AD534="","",INDEX('Per Line'!$H$2:$H$3001,$AD534)&amp;"")</f>
        <v/>
      </c>
      <c r="J534">
        <f>IF($AD534="","",INDEX('Per Line'!$F$2:$F$3001,$AD534)&amp;"")</f>
        <v/>
      </c>
      <c r="K534">
        <f>IF($AD534="","",INDEX('Per Line'!$K$2:$K$3001,$AD534)&amp;"")</f>
        <v/>
      </c>
      <c r="L534">
        <f>IF($AD534="","",INDEX('Per Line'!$L$2:$L$3001,$AD534)&amp;"")</f>
        <v/>
      </c>
      <c r="M534">
        <f>IF($AD534="","",INDEX('Per Line'!$M$2:$M$3001,$AD534)&amp;"")</f>
        <v/>
      </c>
      <c r="N534">
        <f>IF($AD534="","",INDEX('Per Line'!$AC$2:$AC$3001,$AD534)&amp;"")</f>
        <v/>
      </c>
      <c r="O534">
        <f>IF($AD534="","",INDEX('Per Line'!$P$2:$P$3001,$AD534))</f>
        <v/>
      </c>
      <c r="P534" s="7">
        <f>IF($AD534="","",IF(AND(ISNUMBER(Q534),Q534&gt;0,AB534&gt;Q534),O534*Q534/100+(AB534-Q534),O534*AB534/100))</f>
        <v/>
      </c>
      <c r="Q534">
        <f>IF($AD534="","",INDEX('Per Line'!$AG$2:$AG$3001,$AD534))</f>
        <v/>
      </c>
      <c r="R534">
        <f>IF($AD534="","",IF(AND(ISNUMBER(Q534),Q534&gt;0),AB534&gt;Q534,FALSE))</f>
        <v/>
      </c>
      <c r="S534" s="7">
        <f>IF($AD534="","",SUMIFS('Per Line'!$AB$2:$AB$3001,'Per Line'!$E$2:$E$3001,$B534,'Per Line'!$AQ$2:$AQ$3001,1))</f>
        <v/>
      </c>
      <c r="T534">
        <f>IF($AD534="","",Settings!$C$7)</f>
        <v/>
      </c>
      <c r="U534" s="7">
        <f>IF($AD534="","",SUMIFS('Per Line'!$AB$2:$AB$3001,'Per Line'!$E$2:$E$3001,$B534,'Per Line'!$AP$2:$AP$3001,0,'Per Line'!$AQ$2:$AQ$3001,0))</f>
        <v/>
      </c>
      <c r="V534" s="7">
        <f>IF($AD534="","",U534*T534)</f>
        <v/>
      </c>
      <c r="W534">
        <f>IF($AD534="","",Settings!$C$6)</f>
        <v/>
      </c>
      <c r="X534" s="7">
        <f>IF($AD534="","",SUMIFS('Per Line'!$AB$2:$AB$3001,'Per Line'!$E$2:$E$3001,$B534,'Per Line'!$AP$2:$AP$3001,1,'Per Line'!$AQ$2:$AQ$3001,0))</f>
        <v/>
      </c>
      <c r="Y534" s="7">
        <f>IF($AD534="","",X534*W534)</f>
        <v/>
      </c>
      <c r="Z534" s="7">
        <f>IF($AD534="","",Y534+V534)</f>
        <v/>
      </c>
      <c r="AA534" s="7">
        <f>IF($AD534="","",AB534-Z534)</f>
        <v/>
      </c>
      <c r="AB534" s="7">
        <f>IF($AD534="","",U534+X534+S534)</f>
        <v/>
      </c>
      <c r="AC534" s="7">
        <f>IF($AD534="","",AB534-Z534-P534)</f>
        <v/>
      </c>
      <c r="AD534" s="13">
        <f>IF(ROWS($AD$2:$AD534)&lt;=MAX('Per Line'!$AO$2:$AO$3001),MATCH(ROWS($AD$2:$AD534),'Per Line'!$AO$2:$AO$3001,0),"")</f>
        <v/>
      </c>
      <c r="AE534" s="14">
        <f>IF($AD534="","",P534-O534*AB534/100)</f>
        <v/>
      </c>
    </row>
    <row r="535">
      <c r="A535" s="12" t="n"/>
      <c r="B535">
        <f>IF($AD535="","",INDEX('Per Line'!$E$2:$E$3001,$AD535)&amp;"")</f>
        <v/>
      </c>
      <c r="C535">
        <f>IF($AD535="","",INDEX('Per Line'!$A$2:$A$3001,$AD535)&amp;"")</f>
        <v/>
      </c>
      <c r="D535">
        <f>IF($AD535="","",INDEX('Per Line'!$C$2:$C$3001,$AD535)&amp;"")</f>
        <v/>
      </c>
      <c r="E535">
        <f>IF($AD535="","",INDEX('Per Line'!$B$2:$B$3001,$AD535))</f>
        <v/>
      </c>
      <c r="F535">
        <f>IF($AD535="","",INDEX('Per Line'!$D$2:$D$3001,$AD535)&amp;"")</f>
        <v/>
      </c>
      <c r="G535" s="11">
        <f>IF($AD535="","",INDEX('Per Line'!$G$2:$G$3001,$AD535))</f>
        <v/>
      </c>
      <c r="H535">
        <f>IF($AD535="","",INDEX('Per Line'!$J$2:$J$3001,$AD535)&amp;"")</f>
        <v/>
      </c>
      <c r="I535">
        <f>IF($AD535="","",INDEX('Per Line'!$H$2:$H$3001,$AD535)&amp;"")</f>
        <v/>
      </c>
      <c r="J535">
        <f>IF($AD535="","",INDEX('Per Line'!$F$2:$F$3001,$AD535)&amp;"")</f>
        <v/>
      </c>
      <c r="K535">
        <f>IF($AD535="","",INDEX('Per Line'!$K$2:$K$3001,$AD535)&amp;"")</f>
        <v/>
      </c>
      <c r="L535">
        <f>IF($AD535="","",INDEX('Per Line'!$L$2:$L$3001,$AD535)&amp;"")</f>
        <v/>
      </c>
      <c r="M535">
        <f>IF($AD535="","",INDEX('Per Line'!$M$2:$M$3001,$AD535)&amp;"")</f>
        <v/>
      </c>
      <c r="N535">
        <f>IF($AD535="","",INDEX('Per Line'!$AC$2:$AC$3001,$AD535)&amp;"")</f>
        <v/>
      </c>
      <c r="O535">
        <f>IF($AD535="","",INDEX('Per Line'!$P$2:$P$3001,$AD535))</f>
        <v/>
      </c>
      <c r="P535" s="7">
        <f>IF($AD535="","",IF(AND(ISNUMBER(Q535),Q535&gt;0,AB535&gt;Q535),O535*Q535/100+(AB535-Q535),O535*AB535/100))</f>
        <v/>
      </c>
      <c r="Q535">
        <f>IF($AD535="","",INDEX('Per Line'!$AG$2:$AG$3001,$AD535))</f>
        <v/>
      </c>
      <c r="R535">
        <f>IF($AD535="","",IF(AND(ISNUMBER(Q535),Q535&gt;0),AB535&gt;Q535,FALSE))</f>
        <v/>
      </c>
      <c r="S535" s="7">
        <f>IF($AD535="","",SUMIFS('Per Line'!$AB$2:$AB$3001,'Per Line'!$E$2:$E$3001,$B535,'Per Line'!$AQ$2:$AQ$3001,1))</f>
        <v/>
      </c>
      <c r="T535">
        <f>IF($AD535="","",Settings!$C$7)</f>
        <v/>
      </c>
      <c r="U535" s="7">
        <f>IF($AD535="","",SUMIFS('Per Line'!$AB$2:$AB$3001,'Per Line'!$E$2:$E$3001,$B535,'Per Line'!$AP$2:$AP$3001,0,'Per Line'!$AQ$2:$AQ$3001,0))</f>
        <v/>
      </c>
      <c r="V535" s="7">
        <f>IF($AD535="","",U535*T535)</f>
        <v/>
      </c>
      <c r="W535">
        <f>IF($AD535="","",Settings!$C$6)</f>
        <v/>
      </c>
      <c r="X535" s="7">
        <f>IF($AD535="","",SUMIFS('Per Line'!$AB$2:$AB$3001,'Per Line'!$E$2:$E$3001,$B535,'Per Line'!$AP$2:$AP$3001,1,'Per Line'!$AQ$2:$AQ$3001,0))</f>
        <v/>
      </c>
      <c r="Y535" s="7">
        <f>IF($AD535="","",X535*W535)</f>
        <v/>
      </c>
      <c r="Z535" s="7">
        <f>IF($AD535="","",Y535+V535)</f>
        <v/>
      </c>
      <c r="AA535" s="7">
        <f>IF($AD535="","",AB535-Z535)</f>
        <v/>
      </c>
      <c r="AB535" s="7">
        <f>IF($AD535="","",U535+X535+S535)</f>
        <v/>
      </c>
      <c r="AC535" s="7">
        <f>IF($AD535="","",AB535-Z535-P535)</f>
        <v/>
      </c>
      <c r="AD535" s="13">
        <f>IF(ROWS($AD$2:$AD535)&lt;=MAX('Per Line'!$AO$2:$AO$3001),MATCH(ROWS($AD$2:$AD535),'Per Line'!$AO$2:$AO$3001,0),"")</f>
        <v/>
      </c>
      <c r="AE535" s="14">
        <f>IF($AD535="","",P535-O535*AB535/100)</f>
        <v/>
      </c>
    </row>
    <row r="536">
      <c r="A536" s="12" t="n"/>
      <c r="B536">
        <f>IF($AD536="","",INDEX('Per Line'!$E$2:$E$3001,$AD536)&amp;"")</f>
        <v/>
      </c>
      <c r="C536">
        <f>IF($AD536="","",INDEX('Per Line'!$A$2:$A$3001,$AD536)&amp;"")</f>
        <v/>
      </c>
      <c r="D536">
        <f>IF($AD536="","",INDEX('Per Line'!$C$2:$C$3001,$AD536)&amp;"")</f>
        <v/>
      </c>
      <c r="E536">
        <f>IF($AD536="","",INDEX('Per Line'!$B$2:$B$3001,$AD536))</f>
        <v/>
      </c>
      <c r="F536">
        <f>IF($AD536="","",INDEX('Per Line'!$D$2:$D$3001,$AD536)&amp;"")</f>
        <v/>
      </c>
      <c r="G536" s="11">
        <f>IF($AD536="","",INDEX('Per Line'!$G$2:$G$3001,$AD536))</f>
        <v/>
      </c>
      <c r="H536">
        <f>IF($AD536="","",INDEX('Per Line'!$J$2:$J$3001,$AD536)&amp;"")</f>
        <v/>
      </c>
      <c r="I536">
        <f>IF($AD536="","",INDEX('Per Line'!$H$2:$H$3001,$AD536)&amp;"")</f>
        <v/>
      </c>
      <c r="J536">
        <f>IF($AD536="","",INDEX('Per Line'!$F$2:$F$3001,$AD536)&amp;"")</f>
        <v/>
      </c>
      <c r="K536">
        <f>IF($AD536="","",INDEX('Per Line'!$K$2:$K$3001,$AD536)&amp;"")</f>
        <v/>
      </c>
      <c r="L536">
        <f>IF($AD536="","",INDEX('Per Line'!$L$2:$L$3001,$AD536)&amp;"")</f>
        <v/>
      </c>
      <c r="M536">
        <f>IF($AD536="","",INDEX('Per Line'!$M$2:$M$3001,$AD536)&amp;"")</f>
        <v/>
      </c>
      <c r="N536">
        <f>IF($AD536="","",INDEX('Per Line'!$AC$2:$AC$3001,$AD536)&amp;"")</f>
        <v/>
      </c>
      <c r="O536">
        <f>IF($AD536="","",INDEX('Per Line'!$P$2:$P$3001,$AD536))</f>
        <v/>
      </c>
      <c r="P536" s="7">
        <f>IF($AD536="","",IF(AND(ISNUMBER(Q536),Q536&gt;0,AB536&gt;Q536),O536*Q536/100+(AB536-Q536),O536*AB536/100))</f>
        <v/>
      </c>
      <c r="Q536">
        <f>IF($AD536="","",INDEX('Per Line'!$AG$2:$AG$3001,$AD536))</f>
        <v/>
      </c>
      <c r="R536">
        <f>IF($AD536="","",IF(AND(ISNUMBER(Q536),Q536&gt;0),AB536&gt;Q536,FALSE))</f>
        <v/>
      </c>
      <c r="S536" s="7">
        <f>IF($AD536="","",SUMIFS('Per Line'!$AB$2:$AB$3001,'Per Line'!$E$2:$E$3001,$B536,'Per Line'!$AQ$2:$AQ$3001,1))</f>
        <v/>
      </c>
      <c r="T536">
        <f>IF($AD536="","",Settings!$C$7)</f>
        <v/>
      </c>
      <c r="U536" s="7">
        <f>IF($AD536="","",SUMIFS('Per Line'!$AB$2:$AB$3001,'Per Line'!$E$2:$E$3001,$B536,'Per Line'!$AP$2:$AP$3001,0,'Per Line'!$AQ$2:$AQ$3001,0))</f>
        <v/>
      </c>
      <c r="V536" s="7">
        <f>IF($AD536="","",U536*T536)</f>
        <v/>
      </c>
      <c r="W536">
        <f>IF($AD536="","",Settings!$C$6)</f>
        <v/>
      </c>
      <c r="X536" s="7">
        <f>IF($AD536="","",SUMIFS('Per Line'!$AB$2:$AB$3001,'Per Line'!$E$2:$E$3001,$B536,'Per Line'!$AP$2:$AP$3001,1,'Per Line'!$AQ$2:$AQ$3001,0))</f>
        <v/>
      </c>
      <c r="Y536" s="7">
        <f>IF($AD536="","",X536*W536)</f>
        <v/>
      </c>
      <c r="Z536" s="7">
        <f>IF($AD536="","",Y536+V536)</f>
        <v/>
      </c>
      <c r="AA536" s="7">
        <f>IF($AD536="","",AB536-Z536)</f>
        <v/>
      </c>
      <c r="AB536" s="7">
        <f>IF($AD536="","",U536+X536+S536)</f>
        <v/>
      </c>
      <c r="AC536" s="7">
        <f>IF($AD536="","",AB536-Z536-P536)</f>
        <v/>
      </c>
      <c r="AD536" s="13">
        <f>IF(ROWS($AD$2:$AD536)&lt;=MAX('Per Line'!$AO$2:$AO$3001),MATCH(ROWS($AD$2:$AD536),'Per Line'!$AO$2:$AO$3001,0),"")</f>
        <v/>
      </c>
      <c r="AE536" s="14">
        <f>IF($AD536="","",P536-O536*AB536/100)</f>
        <v/>
      </c>
    </row>
    <row r="537">
      <c r="A537" s="12" t="n"/>
      <c r="B537">
        <f>IF($AD537="","",INDEX('Per Line'!$E$2:$E$3001,$AD537)&amp;"")</f>
        <v/>
      </c>
      <c r="C537">
        <f>IF($AD537="","",INDEX('Per Line'!$A$2:$A$3001,$AD537)&amp;"")</f>
        <v/>
      </c>
      <c r="D537">
        <f>IF($AD537="","",INDEX('Per Line'!$C$2:$C$3001,$AD537)&amp;"")</f>
        <v/>
      </c>
      <c r="E537">
        <f>IF($AD537="","",INDEX('Per Line'!$B$2:$B$3001,$AD537))</f>
        <v/>
      </c>
      <c r="F537">
        <f>IF($AD537="","",INDEX('Per Line'!$D$2:$D$3001,$AD537)&amp;"")</f>
        <v/>
      </c>
      <c r="G537" s="11">
        <f>IF($AD537="","",INDEX('Per Line'!$G$2:$G$3001,$AD537))</f>
        <v/>
      </c>
      <c r="H537">
        <f>IF($AD537="","",INDEX('Per Line'!$J$2:$J$3001,$AD537)&amp;"")</f>
        <v/>
      </c>
      <c r="I537">
        <f>IF($AD537="","",INDEX('Per Line'!$H$2:$H$3001,$AD537)&amp;"")</f>
        <v/>
      </c>
      <c r="J537">
        <f>IF($AD537="","",INDEX('Per Line'!$F$2:$F$3001,$AD537)&amp;"")</f>
        <v/>
      </c>
      <c r="K537">
        <f>IF($AD537="","",INDEX('Per Line'!$K$2:$K$3001,$AD537)&amp;"")</f>
        <v/>
      </c>
      <c r="L537">
        <f>IF($AD537="","",INDEX('Per Line'!$L$2:$L$3001,$AD537)&amp;"")</f>
        <v/>
      </c>
      <c r="M537">
        <f>IF($AD537="","",INDEX('Per Line'!$M$2:$M$3001,$AD537)&amp;"")</f>
        <v/>
      </c>
      <c r="N537">
        <f>IF($AD537="","",INDEX('Per Line'!$AC$2:$AC$3001,$AD537)&amp;"")</f>
        <v/>
      </c>
      <c r="O537">
        <f>IF($AD537="","",INDEX('Per Line'!$P$2:$P$3001,$AD537))</f>
        <v/>
      </c>
      <c r="P537" s="7">
        <f>IF($AD537="","",IF(AND(ISNUMBER(Q537),Q537&gt;0,AB537&gt;Q537),O537*Q537/100+(AB537-Q537),O537*AB537/100))</f>
        <v/>
      </c>
      <c r="Q537">
        <f>IF($AD537="","",INDEX('Per Line'!$AG$2:$AG$3001,$AD537))</f>
        <v/>
      </c>
      <c r="R537">
        <f>IF($AD537="","",IF(AND(ISNUMBER(Q537),Q537&gt;0),AB537&gt;Q537,FALSE))</f>
        <v/>
      </c>
      <c r="S537" s="7">
        <f>IF($AD537="","",SUMIFS('Per Line'!$AB$2:$AB$3001,'Per Line'!$E$2:$E$3001,$B537,'Per Line'!$AQ$2:$AQ$3001,1))</f>
        <v/>
      </c>
      <c r="T537">
        <f>IF($AD537="","",Settings!$C$7)</f>
        <v/>
      </c>
      <c r="U537" s="7">
        <f>IF($AD537="","",SUMIFS('Per Line'!$AB$2:$AB$3001,'Per Line'!$E$2:$E$3001,$B537,'Per Line'!$AP$2:$AP$3001,0,'Per Line'!$AQ$2:$AQ$3001,0))</f>
        <v/>
      </c>
      <c r="V537" s="7">
        <f>IF($AD537="","",U537*T537)</f>
        <v/>
      </c>
      <c r="W537">
        <f>IF($AD537="","",Settings!$C$6)</f>
        <v/>
      </c>
      <c r="X537" s="7">
        <f>IF($AD537="","",SUMIFS('Per Line'!$AB$2:$AB$3001,'Per Line'!$E$2:$E$3001,$B537,'Per Line'!$AP$2:$AP$3001,1,'Per Line'!$AQ$2:$AQ$3001,0))</f>
        <v/>
      </c>
      <c r="Y537" s="7">
        <f>IF($AD537="","",X537*W537)</f>
        <v/>
      </c>
      <c r="Z537" s="7">
        <f>IF($AD537="","",Y537+V537)</f>
        <v/>
      </c>
      <c r="AA537" s="7">
        <f>IF($AD537="","",AB537-Z537)</f>
        <v/>
      </c>
      <c r="AB537" s="7">
        <f>IF($AD537="","",U537+X537+S537)</f>
        <v/>
      </c>
      <c r="AC537" s="7">
        <f>IF($AD537="","",AB537-Z537-P537)</f>
        <v/>
      </c>
      <c r="AD537" s="13">
        <f>IF(ROWS($AD$2:$AD537)&lt;=MAX('Per Line'!$AO$2:$AO$3001),MATCH(ROWS($AD$2:$AD537),'Per Line'!$AO$2:$AO$3001,0),"")</f>
        <v/>
      </c>
      <c r="AE537" s="14">
        <f>IF($AD537="","",P537-O537*AB537/100)</f>
        <v/>
      </c>
    </row>
    <row r="538">
      <c r="A538" s="12" t="n"/>
      <c r="B538">
        <f>IF($AD538="","",INDEX('Per Line'!$E$2:$E$3001,$AD538)&amp;"")</f>
        <v/>
      </c>
      <c r="C538">
        <f>IF($AD538="","",INDEX('Per Line'!$A$2:$A$3001,$AD538)&amp;"")</f>
        <v/>
      </c>
      <c r="D538">
        <f>IF($AD538="","",INDEX('Per Line'!$C$2:$C$3001,$AD538)&amp;"")</f>
        <v/>
      </c>
      <c r="E538">
        <f>IF($AD538="","",INDEX('Per Line'!$B$2:$B$3001,$AD538))</f>
        <v/>
      </c>
      <c r="F538">
        <f>IF($AD538="","",INDEX('Per Line'!$D$2:$D$3001,$AD538)&amp;"")</f>
        <v/>
      </c>
      <c r="G538" s="11">
        <f>IF($AD538="","",INDEX('Per Line'!$G$2:$G$3001,$AD538))</f>
        <v/>
      </c>
      <c r="H538">
        <f>IF($AD538="","",INDEX('Per Line'!$J$2:$J$3001,$AD538)&amp;"")</f>
        <v/>
      </c>
      <c r="I538">
        <f>IF($AD538="","",INDEX('Per Line'!$H$2:$H$3001,$AD538)&amp;"")</f>
        <v/>
      </c>
      <c r="J538">
        <f>IF($AD538="","",INDEX('Per Line'!$F$2:$F$3001,$AD538)&amp;"")</f>
        <v/>
      </c>
      <c r="K538">
        <f>IF($AD538="","",INDEX('Per Line'!$K$2:$K$3001,$AD538)&amp;"")</f>
        <v/>
      </c>
      <c r="L538">
        <f>IF($AD538="","",INDEX('Per Line'!$L$2:$L$3001,$AD538)&amp;"")</f>
        <v/>
      </c>
      <c r="M538">
        <f>IF($AD538="","",INDEX('Per Line'!$M$2:$M$3001,$AD538)&amp;"")</f>
        <v/>
      </c>
      <c r="N538">
        <f>IF($AD538="","",INDEX('Per Line'!$AC$2:$AC$3001,$AD538)&amp;"")</f>
        <v/>
      </c>
      <c r="O538">
        <f>IF($AD538="","",INDEX('Per Line'!$P$2:$P$3001,$AD538))</f>
        <v/>
      </c>
      <c r="P538" s="7">
        <f>IF($AD538="","",IF(AND(ISNUMBER(Q538),Q538&gt;0,AB538&gt;Q538),O538*Q538/100+(AB538-Q538),O538*AB538/100))</f>
        <v/>
      </c>
      <c r="Q538">
        <f>IF($AD538="","",INDEX('Per Line'!$AG$2:$AG$3001,$AD538))</f>
        <v/>
      </c>
      <c r="R538">
        <f>IF($AD538="","",IF(AND(ISNUMBER(Q538),Q538&gt;0),AB538&gt;Q538,FALSE))</f>
        <v/>
      </c>
      <c r="S538" s="7">
        <f>IF($AD538="","",SUMIFS('Per Line'!$AB$2:$AB$3001,'Per Line'!$E$2:$E$3001,$B538,'Per Line'!$AQ$2:$AQ$3001,1))</f>
        <v/>
      </c>
      <c r="T538">
        <f>IF($AD538="","",Settings!$C$7)</f>
        <v/>
      </c>
      <c r="U538" s="7">
        <f>IF($AD538="","",SUMIFS('Per Line'!$AB$2:$AB$3001,'Per Line'!$E$2:$E$3001,$B538,'Per Line'!$AP$2:$AP$3001,0,'Per Line'!$AQ$2:$AQ$3001,0))</f>
        <v/>
      </c>
      <c r="V538" s="7">
        <f>IF($AD538="","",U538*T538)</f>
        <v/>
      </c>
      <c r="W538">
        <f>IF($AD538="","",Settings!$C$6)</f>
        <v/>
      </c>
      <c r="X538" s="7">
        <f>IF($AD538="","",SUMIFS('Per Line'!$AB$2:$AB$3001,'Per Line'!$E$2:$E$3001,$B538,'Per Line'!$AP$2:$AP$3001,1,'Per Line'!$AQ$2:$AQ$3001,0))</f>
        <v/>
      </c>
      <c r="Y538" s="7">
        <f>IF($AD538="","",X538*W538)</f>
        <v/>
      </c>
      <c r="Z538" s="7">
        <f>IF($AD538="","",Y538+V538)</f>
        <v/>
      </c>
      <c r="AA538" s="7">
        <f>IF($AD538="","",AB538-Z538)</f>
        <v/>
      </c>
      <c r="AB538" s="7">
        <f>IF($AD538="","",U538+X538+S538)</f>
        <v/>
      </c>
      <c r="AC538" s="7">
        <f>IF($AD538="","",AB538-Z538-P538)</f>
        <v/>
      </c>
      <c r="AD538" s="13">
        <f>IF(ROWS($AD$2:$AD538)&lt;=MAX('Per Line'!$AO$2:$AO$3001),MATCH(ROWS($AD$2:$AD538),'Per Line'!$AO$2:$AO$3001,0),"")</f>
        <v/>
      </c>
      <c r="AE538" s="14">
        <f>IF($AD538="","",P538-O538*AB538/100)</f>
        <v/>
      </c>
    </row>
    <row r="539">
      <c r="A539" s="12" t="n"/>
      <c r="B539">
        <f>IF($AD539="","",INDEX('Per Line'!$E$2:$E$3001,$AD539)&amp;"")</f>
        <v/>
      </c>
      <c r="C539">
        <f>IF($AD539="","",INDEX('Per Line'!$A$2:$A$3001,$AD539)&amp;"")</f>
        <v/>
      </c>
      <c r="D539">
        <f>IF($AD539="","",INDEX('Per Line'!$C$2:$C$3001,$AD539)&amp;"")</f>
        <v/>
      </c>
      <c r="E539">
        <f>IF($AD539="","",INDEX('Per Line'!$B$2:$B$3001,$AD539))</f>
        <v/>
      </c>
      <c r="F539">
        <f>IF($AD539="","",INDEX('Per Line'!$D$2:$D$3001,$AD539)&amp;"")</f>
        <v/>
      </c>
      <c r="G539" s="11">
        <f>IF($AD539="","",INDEX('Per Line'!$G$2:$G$3001,$AD539))</f>
        <v/>
      </c>
      <c r="H539">
        <f>IF($AD539="","",INDEX('Per Line'!$J$2:$J$3001,$AD539)&amp;"")</f>
        <v/>
      </c>
      <c r="I539">
        <f>IF($AD539="","",INDEX('Per Line'!$H$2:$H$3001,$AD539)&amp;"")</f>
        <v/>
      </c>
      <c r="J539">
        <f>IF($AD539="","",INDEX('Per Line'!$F$2:$F$3001,$AD539)&amp;"")</f>
        <v/>
      </c>
      <c r="K539">
        <f>IF($AD539="","",INDEX('Per Line'!$K$2:$K$3001,$AD539)&amp;"")</f>
        <v/>
      </c>
      <c r="L539">
        <f>IF($AD539="","",INDEX('Per Line'!$L$2:$L$3001,$AD539)&amp;"")</f>
        <v/>
      </c>
      <c r="M539">
        <f>IF($AD539="","",INDEX('Per Line'!$M$2:$M$3001,$AD539)&amp;"")</f>
        <v/>
      </c>
      <c r="N539">
        <f>IF($AD539="","",INDEX('Per Line'!$AC$2:$AC$3001,$AD539)&amp;"")</f>
        <v/>
      </c>
      <c r="O539">
        <f>IF($AD539="","",INDEX('Per Line'!$P$2:$P$3001,$AD539))</f>
        <v/>
      </c>
      <c r="P539" s="7">
        <f>IF($AD539="","",IF(AND(ISNUMBER(Q539),Q539&gt;0,AB539&gt;Q539),O539*Q539/100+(AB539-Q539),O539*AB539/100))</f>
        <v/>
      </c>
      <c r="Q539">
        <f>IF($AD539="","",INDEX('Per Line'!$AG$2:$AG$3001,$AD539))</f>
        <v/>
      </c>
      <c r="R539">
        <f>IF($AD539="","",IF(AND(ISNUMBER(Q539),Q539&gt;0),AB539&gt;Q539,FALSE))</f>
        <v/>
      </c>
      <c r="S539" s="7">
        <f>IF($AD539="","",SUMIFS('Per Line'!$AB$2:$AB$3001,'Per Line'!$E$2:$E$3001,$B539,'Per Line'!$AQ$2:$AQ$3001,1))</f>
        <v/>
      </c>
      <c r="T539">
        <f>IF($AD539="","",Settings!$C$7)</f>
        <v/>
      </c>
      <c r="U539" s="7">
        <f>IF($AD539="","",SUMIFS('Per Line'!$AB$2:$AB$3001,'Per Line'!$E$2:$E$3001,$B539,'Per Line'!$AP$2:$AP$3001,0,'Per Line'!$AQ$2:$AQ$3001,0))</f>
        <v/>
      </c>
      <c r="V539" s="7">
        <f>IF($AD539="","",U539*T539)</f>
        <v/>
      </c>
      <c r="W539">
        <f>IF($AD539="","",Settings!$C$6)</f>
        <v/>
      </c>
      <c r="X539" s="7">
        <f>IF($AD539="","",SUMIFS('Per Line'!$AB$2:$AB$3001,'Per Line'!$E$2:$E$3001,$B539,'Per Line'!$AP$2:$AP$3001,1,'Per Line'!$AQ$2:$AQ$3001,0))</f>
        <v/>
      </c>
      <c r="Y539" s="7">
        <f>IF($AD539="","",X539*W539)</f>
        <v/>
      </c>
      <c r="Z539" s="7">
        <f>IF($AD539="","",Y539+V539)</f>
        <v/>
      </c>
      <c r="AA539" s="7">
        <f>IF($AD539="","",AB539-Z539)</f>
        <v/>
      </c>
      <c r="AB539" s="7">
        <f>IF($AD539="","",U539+X539+S539)</f>
        <v/>
      </c>
      <c r="AC539" s="7">
        <f>IF($AD539="","",AB539-Z539-P539)</f>
        <v/>
      </c>
      <c r="AD539" s="13">
        <f>IF(ROWS($AD$2:$AD539)&lt;=MAX('Per Line'!$AO$2:$AO$3001),MATCH(ROWS($AD$2:$AD539),'Per Line'!$AO$2:$AO$3001,0),"")</f>
        <v/>
      </c>
      <c r="AE539" s="14">
        <f>IF($AD539="","",P539-O539*AB539/100)</f>
        <v/>
      </c>
    </row>
    <row r="540">
      <c r="A540" s="12" t="n"/>
      <c r="B540">
        <f>IF($AD540="","",INDEX('Per Line'!$E$2:$E$3001,$AD540)&amp;"")</f>
        <v/>
      </c>
      <c r="C540">
        <f>IF($AD540="","",INDEX('Per Line'!$A$2:$A$3001,$AD540)&amp;"")</f>
        <v/>
      </c>
      <c r="D540">
        <f>IF($AD540="","",INDEX('Per Line'!$C$2:$C$3001,$AD540)&amp;"")</f>
        <v/>
      </c>
      <c r="E540">
        <f>IF($AD540="","",INDEX('Per Line'!$B$2:$B$3001,$AD540))</f>
        <v/>
      </c>
      <c r="F540">
        <f>IF($AD540="","",INDEX('Per Line'!$D$2:$D$3001,$AD540)&amp;"")</f>
        <v/>
      </c>
      <c r="G540" s="11">
        <f>IF($AD540="","",INDEX('Per Line'!$G$2:$G$3001,$AD540))</f>
        <v/>
      </c>
      <c r="H540">
        <f>IF($AD540="","",INDEX('Per Line'!$J$2:$J$3001,$AD540)&amp;"")</f>
        <v/>
      </c>
      <c r="I540">
        <f>IF($AD540="","",INDEX('Per Line'!$H$2:$H$3001,$AD540)&amp;"")</f>
        <v/>
      </c>
      <c r="J540">
        <f>IF($AD540="","",INDEX('Per Line'!$F$2:$F$3001,$AD540)&amp;"")</f>
        <v/>
      </c>
      <c r="K540">
        <f>IF($AD540="","",INDEX('Per Line'!$K$2:$K$3001,$AD540)&amp;"")</f>
        <v/>
      </c>
      <c r="L540">
        <f>IF($AD540="","",INDEX('Per Line'!$L$2:$L$3001,$AD540)&amp;"")</f>
        <v/>
      </c>
      <c r="M540">
        <f>IF($AD540="","",INDEX('Per Line'!$M$2:$M$3001,$AD540)&amp;"")</f>
        <v/>
      </c>
      <c r="N540">
        <f>IF($AD540="","",INDEX('Per Line'!$AC$2:$AC$3001,$AD540)&amp;"")</f>
        <v/>
      </c>
      <c r="O540">
        <f>IF($AD540="","",INDEX('Per Line'!$P$2:$P$3001,$AD540))</f>
        <v/>
      </c>
      <c r="P540" s="7">
        <f>IF($AD540="","",IF(AND(ISNUMBER(Q540),Q540&gt;0,AB540&gt;Q540),O540*Q540/100+(AB540-Q540),O540*AB540/100))</f>
        <v/>
      </c>
      <c r="Q540">
        <f>IF($AD540="","",INDEX('Per Line'!$AG$2:$AG$3001,$AD540))</f>
        <v/>
      </c>
      <c r="R540">
        <f>IF($AD540="","",IF(AND(ISNUMBER(Q540),Q540&gt;0),AB540&gt;Q540,FALSE))</f>
        <v/>
      </c>
      <c r="S540" s="7">
        <f>IF($AD540="","",SUMIFS('Per Line'!$AB$2:$AB$3001,'Per Line'!$E$2:$E$3001,$B540,'Per Line'!$AQ$2:$AQ$3001,1))</f>
        <v/>
      </c>
      <c r="T540">
        <f>IF($AD540="","",Settings!$C$7)</f>
        <v/>
      </c>
      <c r="U540" s="7">
        <f>IF($AD540="","",SUMIFS('Per Line'!$AB$2:$AB$3001,'Per Line'!$E$2:$E$3001,$B540,'Per Line'!$AP$2:$AP$3001,0,'Per Line'!$AQ$2:$AQ$3001,0))</f>
        <v/>
      </c>
      <c r="V540" s="7">
        <f>IF($AD540="","",U540*T540)</f>
        <v/>
      </c>
      <c r="W540">
        <f>IF($AD540="","",Settings!$C$6)</f>
        <v/>
      </c>
      <c r="X540" s="7">
        <f>IF($AD540="","",SUMIFS('Per Line'!$AB$2:$AB$3001,'Per Line'!$E$2:$E$3001,$B540,'Per Line'!$AP$2:$AP$3001,1,'Per Line'!$AQ$2:$AQ$3001,0))</f>
        <v/>
      </c>
      <c r="Y540" s="7">
        <f>IF($AD540="","",X540*W540)</f>
        <v/>
      </c>
      <c r="Z540" s="7">
        <f>IF($AD540="","",Y540+V540)</f>
        <v/>
      </c>
      <c r="AA540" s="7">
        <f>IF($AD540="","",AB540-Z540)</f>
        <v/>
      </c>
      <c r="AB540" s="7">
        <f>IF($AD540="","",U540+X540+S540)</f>
        <v/>
      </c>
      <c r="AC540" s="7">
        <f>IF($AD540="","",AB540-Z540-P540)</f>
        <v/>
      </c>
      <c r="AD540" s="13">
        <f>IF(ROWS($AD$2:$AD540)&lt;=MAX('Per Line'!$AO$2:$AO$3001),MATCH(ROWS($AD$2:$AD540),'Per Line'!$AO$2:$AO$3001,0),"")</f>
        <v/>
      </c>
      <c r="AE540" s="14">
        <f>IF($AD540="","",P540-O540*AB540/100)</f>
        <v/>
      </c>
    </row>
    <row r="541">
      <c r="A541" s="12" t="n"/>
      <c r="B541">
        <f>IF($AD541="","",INDEX('Per Line'!$E$2:$E$3001,$AD541)&amp;"")</f>
        <v/>
      </c>
      <c r="C541">
        <f>IF($AD541="","",INDEX('Per Line'!$A$2:$A$3001,$AD541)&amp;"")</f>
        <v/>
      </c>
      <c r="D541">
        <f>IF($AD541="","",INDEX('Per Line'!$C$2:$C$3001,$AD541)&amp;"")</f>
        <v/>
      </c>
      <c r="E541">
        <f>IF($AD541="","",INDEX('Per Line'!$B$2:$B$3001,$AD541))</f>
        <v/>
      </c>
      <c r="F541">
        <f>IF($AD541="","",INDEX('Per Line'!$D$2:$D$3001,$AD541)&amp;"")</f>
        <v/>
      </c>
      <c r="G541" s="11">
        <f>IF($AD541="","",INDEX('Per Line'!$G$2:$G$3001,$AD541))</f>
        <v/>
      </c>
      <c r="H541">
        <f>IF($AD541="","",INDEX('Per Line'!$J$2:$J$3001,$AD541)&amp;"")</f>
        <v/>
      </c>
      <c r="I541">
        <f>IF($AD541="","",INDEX('Per Line'!$H$2:$H$3001,$AD541)&amp;"")</f>
        <v/>
      </c>
      <c r="J541">
        <f>IF($AD541="","",INDEX('Per Line'!$F$2:$F$3001,$AD541)&amp;"")</f>
        <v/>
      </c>
      <c r="K541">
        <f>IF($AD541="","",INDEX('Per Line'!$K$2:$K$3001,$AD541)&amp;"")</f>
        <v/>
      </c>
      <c r="L541">
        <f>IF($AD541="","",INDEX('Per Line'!$L$2:$L$3001,$AD541)&amp;"")</f>
        <v/>
      </c>
      <c r="M541">
        <f>IF($AD541="","",INDEX('Per Line'!$M$2:$M$3001,$AD541)&amp;"")</f>
        <v/>
      </c>
      <c r="N541">
        <f>IF($AD541="","",INDEX('Per Line'!$AC$2:$AC$3001,$AD541)&amp;"")</f>
        <v/>
      </c>
      <c r="O541">
        <f>IF($AD541="","",INDEX('Per Line'!$P$2:$P$3001,$AD541))</f>
        <v/>
      </c>
      <c r="P541" s="7">
        <f>IF($AD541="","",IF(AND(ISNUMBER(Q541),Q541&gt;0,AB541&gt;Q541),O541*Q541/100+(AB541-Q541),O541*AB541/100))</f>
        <v/>
      </c>
      <c r="Q541">
        <f>IF($AD541="","",INDEX('Per Line'!$AG$2:$AG$3001,$AD541))</f>
        <v/>
      </c>
      <c r="R541">
        <f>IF($AD541="","",IF(AND(ISNUMBER(Q541),Q541&gt;0),AB541&gt;Q541,FALSE))</f>
        <v/>
      </c>
      <c r="S541" s="7">
        <f>IF($AD541="","",SUMIFS('Per Line'!$AB$2:$AB$3001,'Per Line'!$E$2:$E$3001,$B541,'Per Line'!$AQ$2:$AQ$3001,1))</f>
        <v/>
      </c>
      <c r="T541">
        <f>IF($AD541="","",Settings!$C$7)</f>
        <v/>
      </c>
      <c r="U541" s="7">
        <f>IF($AD541="","",SUMIFS('Per Line'!$AB$2:$AB$3001,'Per Line'!$E$2:$E$3001,$B541,'Per Line'!$AP$2:$AP$3001,0,'Per Line'!$AQ$2:$AQ$3001,0))</f>
        <v/>
      </c>
      <c r="V541" s="7">
        <f>IF($AD541="","",U541*T541)</f>
        <v/>
      </c>
      <c r="W541">
        <f>IF($AD541="","",Settings!$C$6)</f>
        <v/>
      </c>
      <c r="X541" s="7">
        <f>IF($AD541="","",SUMIFS('Per Line'!$AB$2:$AB$3001,'Per Line'!$E$2:$E$3001,$B541,'Per Line'!$AP$2:$AP$3001,1,'Per Line'!$AQ$2:$AQ$3001,0))</f>
        <v/>
      </c>
      <c r="Y541" s="7">
        <f>IF($AD541="","",X541*W541)</f>
        <v/>
      </c>
      <c r="Z541" s="7">
        <f>IF($AD541="","",Y541+V541)</f>
        <v/>
      </c>
      <c r="AA541" s="7">
        <f>IF($AD541="","",AB541-Z541)</f>
        <v/>
      </c>
      <c r="AB541" s="7">
        <f>IF($AD541="","",U541+X541+S541)</f>
        <v/>
      </c>
      <c r="AC541" s="7">
        <f>IF($AD541="","",AB541-Z541-P541)</f>
        <v/>
      </c>
      <c r="AD541" s="13">
        <f>IF(ROWS($AD$2:$AD541)&lt;=MAX('Per Line'!$AO$2:$AO$3001),MATCH(ROWS($AD$2:$AD541),'Per Line'!$AO$2:$AO$3001,0),"")</f>
        <v/>
      </c>
      <c r="AE541" s="14">
        <f>IF($AD541="","",P541-O541*AB541/100)</f>
        <v/>
      </c>
    </row>
    <row r="542">
      <c r="A542" s="12" t="n"/>
      <c r="B542">
        <f>IF($AD542="","",INDEX('Per Line'!$E$2:$E$3001,$AD542)&amp;"")</f>
        <v/>
      </c>
      <c r="C542">
        <f>IF($AD542="","",INDEX('Per Line'!$A$2:$A$3001,$AD542)&amp;"")</f>
        <v/>
      </c>
      <c r="D542">
        <f>IF($AD542="","",INDEX('Per Line'!$C$2:$C$3001,$AD542)&amp;"")</f>
        <v/>
      </c>
      <c r="E542">
        <f>IF($AD542="","",INDEX('Per Line'!$B$2:$B$3001,$AD542))</f>
        <v/>
      </c>
      <c r="F542">
        <f>IF($AD542="","",INDEX('Per Line'!$D$2:$D$3001,$AD542)&amp;"")</f>
        <v/>
      </c>
      <c r="G542" s="11">
        <f>IF($AD542="","",INDEX('Per Line'!$G$2:$G$3001,$AD542))</f>
        <v/>
      </c>
      <c r="H542">
        <f>IF($AD542="","",INDEX('Per Line'!$J$2:$J$3001,$AD542)&amp;"")</f>
        <v/>
      </c>
      <c r="I542">
        <f>IF($AD542="","",INDEX('Per Line'!$H$2:$H$3001,$AD542)&amp;"")</f>
        <v/>
      </c>
      <c r="J542">
        <f>IF($AD542="","",INDEX('Per Line'!$F$2:$F$3001,$AD542)&amp;"")</f>
        <v/>
      </c>
      <c r="K542">
        <f>IF($AD542="","",INDEX('Per Line'!$K$2:$K$3001,$AD542)&amp;"")</f>
        <v/>
      </c>
      <c r="L542">
        <f>IF($AD542="","",INDEX('Per Line'!$L$2:$L$3001,$AD542)&amp;"")</f>
        <v/>
      </c>
      <c r="M542">
        <f>IF($AD542="","",INDEX('Per Line'!$M$2:$M$3001,$AD542)&amp;"")</f>
        <v/>
      </c>
      <c r="N542">
        <f>IF($AD542="","",INDEX('Per Line'!$AC$2:$AC$3001,$AD542)&amp;"")</f>
        <v/>
      </c>
      <c r="O542">
        <f>IF($AD542="","",INDEX('Per Line'!$P$2:$P$3001,$AD542))</f>
        <v/>
      </c>
      <c r="P542" s="7">
        <f>IF($AD542="","",IF(AND(ISNUMBER(Q542),Q542&gt;0,AB542&gt;Q542),O542*Q542/100+(AB542-Q542),O542*AB542/100))</f>
        <v/>
      </c>
      <c r="Q542">
        <f>IF($AD542="","",INDEX('Per Line'!$AG$2:$AG$3001,$AD542))</f>
        <v/>
      </c>
      <c r="R542">
        <f>IF($AD542="","",IF(AND(ISNUMBER(Q542),Q542&gt;0),AB542&gt;Q542,FALSE))</f>
        <v/>
      </c>
      <c r="S542" s="7">
        <f>IF($AD542="","",SUMIFS('Per Line'!$AB$2:$AB$3001,'Per Line'!$E$2:$E$3001,$B542,'Per Line'!$AQ$2:$AQ$3001,1))</f>
        <v/>
      </c>
      <c r="T542">
        <f>IF($AD542="","",Settings!$C$7)</f>
        <v/>
      </c>
      <c r="U542" s="7">
        <f>IF($AD542="","",SUMIFS('Per Line'!$AB$2:$AB$3001,'Per Line'!$E$2:$E$3001,$B542,'Per Line'!$AP$2:$AP$3001,0,'Per Line'!$AQ$2:$AQ$3001,0))</f>
        <v/>
      </c>
      <c r="V542" s="7">
        <f>IF($AD542="","",U542*T542)</f>
        <v/>
      </c>
      <c r="W542">
        <f>IF($AD542="","",Settings!$C$6)</f>
        <v/>
      </c>
      <c r="X542" s="7">
        <f>IF($AD542="","",SUMIFS('Per Line'!$AB$2:$AB$3001,'Per Line'!$E$2:$E$3001,$B542,'Per Line'!$AP$2:$AP$3001,1,'Per Line'!$AQ$2:$AQ$3001,0))</f>
        <v/>
      </c>
      <c r="Y542" s="7">
        <f>IF($AD542="","",X542*W542)</f>
        <v/>
      </c>
      <c r="Z542" s="7">
        <f>IF($AD542="","",Y542+V542)</f>
        <v/>
      </c>
      <c r="AA542" s="7">
        <f>IF($AD542="","",AB542-Z542)</f>
        <v/>
      </c>
      <c r="AB542" s="7">
        <f>IF($AD542="","",U542+X542+S542)</f>
        <v/>
      </c>
      <c r="AC542" s="7">
        <f>IF($AD542="","",AB542-Z542-P542)</f>
        <v/>
      </c>
      <c r="AD542" s="13">
        <f>IF(ROWS($AD$2:$AD542)&lt;=MAX('Per Line'!$AO$2:$AO$3001),MATCH(ROWS($AD$2:$AD542),'Per Line'!$AO$2:$AO$3001,0),"")</f>
        <v/>
      </c>
      <c r="AE542" s="14">
        <f>IF($AD542="","",P542-O542*AB542/100)</f>
        <v/>
      </c>
    </row>
    <row r="543">
      <c r="A543" s="12" t="n"/>
      <c r="B543">
        <f>IF($AD543="","",INDEX('Per Line'!$E$2:$E$3001,$AD543)&amp;"")</f>
        <v/>
      </c>
      <c r="C543">
        <f>IF($AD543="","",INDEX('Per Line'!$A$2:$A$3001,$AD543)&amp;"")</f>
        <v/>
      </c>
      <c r="D543">
        <f>IF($AD543="","",INDEX('Per Line'!$C$2:$C$3001,$AD543)&amp;"")</f>
        <v/>
      </c>
      <c r="E543">
        <f>IF($AD543="","",INDEX('Per Line'!$B$2:$B$3001,$AD543))</f>
        <v/>
      </c>
      <c r="F543">
        <f>IF($AD543="","",INDEX('Per Line'!$D$2:$D$3001,$AD543)&amp;"")</f>
        <v/>
      </c>
      <c r="G543" s="11">
        <f>IF($AD543="","",INDEX('Per Line'!$G$2:$G$3001,$AD543))</f>
        <v/>
      </c>
      <c r="H543">
        <f>IF($AD543="","",INDEX('Per Line'!$J$2:$J$3001,$AD543)&amp;"")</f>
        <v/>
      </c>
      <c r="I543">
        <f>IF($AD543="","",INDEX('Per Line'!$H$2:$H$3001,$AD543)&amp;"")</f>
        <v/>
      </c>
      <c r="J543">
        <f>IF($AD543="","",INDEX('Per Line'!$F$2:$F$3001,$AD543)&amp;"")</f>
        <v/>
      </c>
      <c r="K543">
        <f>IF($AD543="","",INDEX('Per Line'!$K$2:$K$3001,$AD543)&amp;"")</f>
        <v/>
      </c>
      <c r="L543">
        <f>IF($AD543="","",INDEX('Per Line'!$L$2:$L$3001,$AD543)&amp;"")</f>
        <v/>
      </c>
      <c r="M543">
        <f>IF($AD543="","",INDEX('Per Line'!$M$2:$M$3001,$AD543)&amp;"")</f>
        <v/>
      </c>
      <c r="N543">
        <f>IF($AD543="","",INDEX('Per Line'!$AC$2:$AC$3001,$AD543)&amp;"")</f>
        <v/>
      </c>
      <c r="O543">
        <f>IF($AD543="","",INDEX('Per Line'!$P$2:$P$3001,$AD543))</f>
        <v/>
      </c>
      <c r="P543" s="7">
        <f>IF($AD543="","",IF(AND(ISNUMBER(Q543),Q543&gt;0,AB543&gt;Q543),O543*Q543/100+(AB543-Q543),O543*AB543/100))</f>
        <v/>
      </c>
      <c r="Q543">
        <f>IF($AD543="","",INDEX('Per Line'!$AG$2:$AG$3001,$AD543))</f>
        <v/>
      </c>
      <c r="R543">
        <f>IF($AD543="","",IF(AND(ISNUMBER(Q543),Q543&gt;0),AB543&gt;Q543,FALSE))</f>
        <v/>
      </c>
      <c r="S543" s="7">
        <f>IF($AD543="","",SUMIFS('Per Line'!$AB$2:$AB$3001,'Per Line'!$E$2:$E$3001,$B543,'Per Line'!$AQ$2:$AQ$3001,1))</f>
        <v/>
      </c>
      <c r="T543">
        <f>IF($AD543="","",Settings!$C$7)</f>
        <v/>
      </c>
      <c r="U543" s="7">
        <f>IF($AD543="","",SUMIFS('Per Line'!$AB$2:$AB$3001,'Per Line'!$E$2:$E$3001,$B543,'Per Line'!$AP$2:$AP$3001,0,'Per Line'!$AQ$2:$AQ$3001,0))</f>
        <v/>
      </c>
      <c r="V543" s="7">
        <f>IF($AD543="","",U543*T543)</f>
        <v/>
      </c>
      <c r="W543">
        <f>IF($AD543="","",Settings!$C$6)</f>
        <v/>
      </c>
      <c r="X543" s="7">
        <f>IF($AD543="","",SUMIFS('Per Line'!$AB$2:$AB$3001,'Per Line'!$E$2:$E$3001,$B543,'Per Line'!$AP$2:$AP$3001,1,'Per Line'!$AQ$2:$AQ$3001,0))</f>
        <v/>
      </c>
      <c r="Y543" s="7">
        <f>IF($AD543="","",X543*W543)</f>
        <v/>
      </c>
      <c r="Z543" s="7">
        <f>IF($AD543="","",Y543+V543)</f>
        <v/>
      </c>
      <c r="AA543" s="7">
        <f>IF($AD543="","",AB543-Z543)</f>
        <v/>
      </c>
      <c r="AB543" s="7">
        <f>IF($AD543="","",U543+X543+S543)</f>
        <v/>
      </c>
      <c r="AC543" s="7">
        <f>IF($AD543="","",AB543-Z543-P543)</f>
        <v/>
      </c>
      <c r="AD543" s="13">
        <f>IF(ROWS($AD$2:$AD543)&lt;=MAX('Per Line'!$AO$2:$AO$3001),MATCH(ROWS($AD$2:$AD543),'Per Line'!$AO$2:$AO$3001,0),"")</f>
        <v/>
      </c>
      <c r="AE543" s="14">
        <f>IF($AD543="","",P543-O543*AB543/100)</f>
        <v/>
      </c>
    </row>
    <row r="544">
      <c r="A544" s="12" t="n"/>
      <c r="B544">
        <f>IF($AD544="","",INDEX('Per Line'!$E$2:$E$3001,$AD544)&amp;"")</f>
        <v/>
      </c>
      <c r="C544">
        <f>IF($AD544="","",INDEX('Per Line'!$A$2:$A$3001,$AD544)&amp;"")</f>
        <v/>
      </c>
      <c r="D544">
        <f>IF($AD544="","",INDEX('Per Line'!$C$2:$C$3001,$AD544)&amp;"")</f>
        <v/>
      </c>
      <c r="E544">
        <f>IF($AD544="","",INDEX('Per Line'!$B$2:$B$3001,$AD544))</f>
        <v/>
      </c>
      <c r="F544">
        <f>IF($AD544="","",INDEX('Per Line'!$D$2:$D$3001,$AD544)&amp;"")</f>
        <v/>
      </c>
      <c r="G544" s="11">
        <f>IF($AD544="","",INDEX('Per Line'!$G$2:$G$3001,$AD544))</f>
        <v/>
      </c>
      <c r="H544">
        <f>IF($AD544="","",INDEX('Per Line'!$J$2:$J$3001,$AD544)&amp;"")</f>
        <v/>
      </c>
      <c r="I544">
        <f>IF($AD544="","",INDEX('Per Line'!$H$2:$H$3001,$AD544)&amp;"")</f>
        <v/>
      </c>
      <c r="J544">
        <f>IF($AD544="","",INDEX('Per Line'!$F$2:$F$3001,$AD544)&amp;"")</f>
        <v/>
      </c>
      <c r="K544">
        <f>IF($AD544="","",INDEX('Per Line'!$K$2:$K$3001,$AD544)&amp;"")</f>
        <v/>
      </c>
      <c r="L544">
        <f>IF($AD544="","",INDEX('Per Line'!$L$2:$L$3001,$AD544)&amp;"")</f>
        <v/>
      </c>
      <c r="M544">
        <f>IF($AD544="","",INDEX('Per Line'!$M$2:$M$3001,$AD544)&amp;"")</f>
        <v/>
      </c>
      <c r="N544">
        <f>IF($AD544="","",INDEX('Per Line'!$AC$2:$AC$3001,$AD544)&amp;"")</f>
        <v/>
      </c>
      <c r="O544">
        <f>IF($AD544="","",INDEX('Per Line'!$P$2:$P$3001,$AD544))</f>
        <v/>
      </c>
      <c r="P544" s="7">
        <f>IF($AD544="","",IF(AND(ISNUMBER(Q544),Q544&gt;0,AB544&gt;Q544),O544*Q544/100+(AB544-Q544),O544*AB544/100))</f>
        <v/>
      </c>
      <c r="Q544">
        <f>IF($AD544="","",INDEX('Per Line'!$AG$2:$AG$3001,$AD544))</f>
        <v/>
      </c>
      <c r="R544">
        <f>IF($AD544="","",IF(AND(ISNUMBER(Q544),Q544&gt;0),AB544&gt;Q544,FALSE))</f>
        <v/>
      </c>
      <c r="S544" s="7">
        <f>IF($AD544="","",SUMIFS('Per Line'!$AB$2:$AB$3001,'Per Line'!$E$2:$E$3001,$B544,'Per Line'!$AQ$2:$AQ$3001,1))</f>
        <v/>
      </c>
      <c r="T544">
        <f>IF($AD544="","",Settings!$C$7)</f>
        <v/>
      </c>
      <c r="U544" s="7">
        <f>IF($AD544="","",SUMIFS('Per Line'!$AB$2:$AB$3001,'Per Line'!$E$2:$E$3001,$B544,'Per Line'!$AP$2:$AP$3001,0,'Per Line'!$AQ$2:$AQ$3001,0))</f>
        <v/>
      </c>
      <c r="V544" s="7">
        <f>IF($AD544="","",U544*T544)</f>
        <v/>
      </c>
      <c r="W544">
        <f>IF($AD544="","",Settings!$C$6)</f>
        <v/>
      </c>
      <c r="X544" s="7">
        <f>IF($AD544="","",SUMIFS('Per Line'!$AB$2:$AB$3001,'Per Line'!$E$2:$E$3001,$B544,'Per Line'!$AP$2:$AP$3001,1,'Per Line'!$AQ$2:$AQ$3001,0))</f>
        <v/>
      </c>
      <c r="Y544" s="7">
        <f>IF($AD544="","",X544*W544)</f>
        <v/>
      </c>
      <c r="Z544" s="7">
        <f>IF($AD544="","",Y544+V544)</f>
        <v/>
      </c>
      <c r="AA544" s="7">
        <f>IF($AD544="","",AB544-Z544)</f>
        <v/>
      </c>
      <c r="AB544" s="7">
        <f>IF($AD544="","",U544+X544+S544)</f>
        <v/>
      </c>
      <c r="AC544" s="7">
        <f>IF($AD544="","",AB544-Z544-P544)</f>
        <v/>
      </c>
      <c r="AD544" s="13">
        <f>IF(ROWS($AD$2:$AD544)&lt;=MAX('Per Line'!$AO$2:$AO$3001),MATCH(ROWS($AD$2:$AD544),'Per Line'!$AO$2:$AO$3001,0),"")</f>
        <v/>
      </c>
      <c r="AE544" s="14">
        <f>IF($AD544="","",P544-O544*AB544/100)</f>
        <v/>
      </c>
    </row>
    <row r="545">
      <c r="A545" s="12" t="n"/>
      <c r="B545">
        <f>IF($AD545="","",INDEX('Per Line'!$E$2:$E$3001,$AD545)&amp;"")</f>
        <v/>
      </c>
      <c r="C545">
        <f>IF($AD545="","",INDEX('Per Line'!$A$2:$A$3001,$AD545)&amp;"")</f>
        <v/>
      </c>
      <c r="D545">
        <f>IF($AD545="","",INDEX('Per Line'!$C$2:$C$3001,$AD545)&amp;"")</f>
        <v/>
      </c>
      <c r="E545">
        <f>IF($AD545="","",INDEX('Per Line'!$B$2:$B$3001,$AD545))</f>
        <v/>
      </c>
      <c r="F545">
        <f>IF($AD545="","",INDEX('Per Line'!$D$2:$D$3001,$AD545)&amp;"")</f>
        <v/>
      </c>
      <c r="G545" s="11">
        <f>IF($AD545="","",INDEX('Per Line'!$G$2:$G$3001,$AD545))</f>
        <v/>
      </c>
      <c r="H545">
        <f>IF($AD545="","",INDEX('Per Line'!$J$2:$J$3001,$AD545)&amp;"")</f>
        <v/>
      </c>
      <c r="I545">
        <f>IF($AD545="","",INDEX('Per Line'!$H$2:$H$3001,$AD545)&amp;"")</f>
        <v/>
      </c>
      <c r="J545">
        <f>IF($AD545="","",INDEX('Per Line'!$F$2:$F$3001,$AD545)&amp;"")</f>
        <v/>
      </c>
      <c r="K545">
        <f>IF($AD545="","",INDEX('Per Line'!$K$2:$K$3001,$AD545)&amp;"")</f>
        <v/>
      </c>
      <c r="L545">
        <f>IF($AD545="","",INDEX('Per Line'!$L$2:$L$3001,$AD545)&amp;"")</f>
        <v/>
      </c>
      <c r="M545">
        <f>IF($AD545="","",INDEX('Per Line'!$M$2:$M$3001,$AD545)&amp;"")</f>
        <v/>
      </c>
      <c r="N545">
        <f>IF($AD545="","",INDEX('Per Line'!$AC$2:$AC$3001,$AD545)&amp;"")</f>
        <v/>
      </c>
      <c r="O545">
        <f>IF($AD545="","",INDEX('Per Line'!$P$2:$P$3001,$AD545))</f>
        <v/>
      </c>
      <c r="P545" s="7">
        <f>IF($AD545="","",IF(AND(ISNUMBER(Q545),Q545&gt;0,AB545&gt;Q545),O545*Q545/100+(AB545-Q545),O545*AB545/100))</f>
        <v/>
      </c>
      <c r="Q545">
        <f>IF($AD545="","",INDEX('Per Line'!$AG$2:$AG$3001,$AD545))</f>
        <v/>
      </c>
      <c r="R545">
        <f>IF($AD545="","",IF(AND(ISNUMBER(Q545),Q545&gt;0),AB545&gt;Q545,FALSE))</f>
        <v/>
      </c>
      <c r="S545" s="7">
        <f>IF($AD545="","",SUMIFS('Per Line'!$AB$2:$AB$3001,'Per Line'!$E$2:$E$3001,$B545,'Per Line'!$AQ$2:$AQ$3001,1))</f>
        <v/>
      </c>
      <c r="T545">
        <f>IF($AD545="","",Settings!$C$7)</f>
        <v/>
      </c>
      <c r="U545" s="7">
        <f>IF($AD545="","",SUMIFS('Per Line'!$AB$2:$AB$3001,'Per Line'!$E$2:$E$3001,$B545,'Per Line'!$AP$2:$AP$3001,0,'Per Line'!$AQ$2:$AQ$3001,0))</f>
        <v/>
      </c>
      <c r="V545" s="7">
        <f>IF($AD545="","",U545*T545)</f>
        <v/>
      </c>
      <c r="W545">
        <f>IF($AD545="","",Settings!$C$6)</f>
        <v/>
      </c>
      <c r="X545" s="7">
        <f>IF($AD545="","",SUMIFS('Per Line'!$AB$2:$AB$3001,'Per Line'!$E$2:$E$3001,$B545,'Per Line'!$AP$2:$AP$3001,1,'Per Line'!$AQ$2:$AQ$3001,0))</f>
        <v/>
      </c>
      <c r="Y545" s="7">
        <f>IF($AD545="","",X545*W545)</f>
        <v/>
      </c>
      <c r="Z545" s="7">
        <f>IF($AD545="","",Y545+V545)</f>
        <v/>
      </c>
      <c r="AA545" s="7">
        <f>IF($AD545="","",AB545-Z545)</f>
        <v/>
      </c>
      <c r="AB545" s="7">
        <f>IF($AD545="","",U545+X545+S545)</f>
        <v/>
      </c>
      <c r="AC545" s="7">
        <f>IF($AD545="","",AB545-Z545-P545)</f>
        <v/>
      </c>
      <c r="AD545" s="13">
        <f>IF(ROWS($AD$2:$AD545)&lt;=MAX('Per Line'!$AO$2:$AO$3001),MATCH(ROWS($AD$2:$AD545),'Per Line'!$AO$2:$AO$3001,0),"")</f>
        <v/>
      </c>
      <c r="AE545" s="14">
        <f>IF($AD545="","",P545-O545*AB545/100)</f>
        <v/>
      </c>
    </row>
    <row r="546">
      <c r="A546" s="12" t="n"/>
      <c r="B546">
        <f>IF($AD546="","",INDEX('Per Line'!$E$2:$E$3001,$AD546)&amp;"")</f>
        <v/>
      </c>
      <c r="C546">
        <f>IF($AD546="","",INDEX('Per Line'!$A$2:$A$3001,$AD546)&amp;"")</f>
        <v/>
      </c>
      <c r="D546">
        <f>IF($AD546="","",INDEX('Per Line'!$C$2:$C$3001,$AD546)&amp;"")</f>
        <v/>
      </c>
      <c r="E546">
        <f>IF($AD546="","",INDEX('Per Line'!$B$2:$B$3001,$AD546))</f>
        <v/>
      </c>
      <c r="F546">
        <f>IF($AD546="","",INDEX('Per Line'!$D$2:$D$3001,$AD546)&amp;"")</f>
        <v/>
      </c>
      <c r="G546" s="11">
        <f>IF($AD546="","",INDEX('Per Line'!$G$2:$G$3001,$AD546))</f>
        <v/>
      </c>
      <c r="H546">
        <f>IF($AD546="","",INDEX('Per Line'!$J$2:$J$3001,$AD546)&amp;"")</f>
        <v/>
      </c>
      <c r="I546">
        <f>IF($AD546="","",INDEX('Per Line'!$H$2:$H$3001,$AD546)&amp;"")</f>
        <v/>
      </c>
      <c r="J546">
        <f>IF($AD546="","",INDEX('Per Line'!$F$2:$F$3001,$AD546)&amp;"")</f>
        <v/>
      </c>
      <c r="K546">
        <f>IF($AD546="","",INDEX('Per Line'!$K$2:$K$3001,$AD546)&amp;"")</f>
        <v/>
      </c>
      <c r="L546">
        <f>IF($AD546="","",INDEX('Per Line'!$L$2:$L$3001,$AD546)&amp;"")</f>
        <v/>
      </c>
      <c r="M546">
        <f>IF($AD546="","",INDEX('Per Line'!$M$2:$M$3001,$AD546)&amp;"")</f>
        <v/>
      </c>
      <c r="N546">
        <f>IF($AD546="","",INDEX('Per Line'!$AC$2:$AC$3001,$AD546)&amp;"")</f>
        <v/>
      </c>
      <c r="O546">
        <f>IF($AD546="","",INDEX('Per Line'!$P$2:$P$3001,$AD546))</f>
        <v/>
      </c>
      <c r="P546" s="7">
        <f>IF($AD546="","",IF(AND(ISNUMBER(Q546),Q546&gt;0,AB546&gt;Q546),O546*Q546/100+(AB546-Q546),O546*AB546/100))</f>
        <v/>
      </c>
      <c r="Q546">
        <f>IF($AD546="","",INDEX('Per Line'!$AG$2:$AG$3001,$AD546))</f>
        <v/>
      </c>
      <c r="R546">
        <f>IF($AD546="","",IF(AND(ISNUMBER(Q546),Q546&gt;0),AB546&gt;Q546,FALSE))</f>
        <v/>
      </c>
      <c r="S546" s="7">
        <f>IF($AD546="","",SUMIFS('Per Line'!$AB$2:$AB$3001,'Per Line'!$E$2:$E$3001,$B546,'Per Line'!$AQ$2:$AQ$3001,1))</f>
        <v/>
      </c>
      <c r="T546">
        <f>IF($AD546="","",Settings!$C$7)</f>
        <v/>
      </c>
      <c r="U546" s="7">
        <f>IF($AD546="","",SUMIFS('Per Line'!$AB$2:$AB$3001,'Per Line'!$E$2:$E$3001,$B546,'Per Line'!$AP$2:$AP$3001,0,'Per Line'!$AQ$2:$AQ$3001,0))</f>
        <v/>
      </c>
      <c r="V546" s="7">
        <f>IF($AD546="","",U546*T546)</f>
        <v/>
      </c>
      <c r="W546">
        <f>IF($AD546="","",Settings!$C$6)</f>
        <v/>
      </c>
      <c r="X546" s="7">
        <f>IF($AD546="","",SUMIFS('Per Line'!$AB$2:$AB$3001,'Per Line'!$E$2:$E$3001,$B546,'Per Line'!$AP$2:$AP$3001,1,'Per Line'!$AQ$2:$AQ$3001,0))</f>
        <v/>
      </c>
      <c r="Y546" s="7">
        <f>IF($AD546="","",X546*W546)</f>
        <v/>
      </c>
      <c r="Z546" s="7">
        <f>IF($AD546="","",Y546+V546)</f>
        <v/>
      </c>
      <c r="AA546" s="7">
        <f>IF($AD546="","",AB546-Z546)</f>
        <v/>
      </c>
      <c r="AB546" s="7">
        <f>IF($AD546="","",U546+X546+S546)</f>
        <v/>
      </c>
      <c r="AC546" s="7">
        <f>IF($AD546="","",AB546-Z546-P546)</f>
        <v/>
      </c>
      <c r="AD546" s="13">
        <f>IF(ROWS($AD$2:$AD546)&lt;=MAX('Per Line'!$AO$2:$AO$3001),MATCH(ROWS($AD$2:$AD546),'Per Line'!$AO$2:$AO$3001,0),"")</f>
        <v/>
      </c>
      <c r="AE546" s="14">
        <f>IF($AD546="","",P546-O546*AB546/100)</f>
        <v/>
      </c>
    </row>
    <row r="547">
      <c r="A547" s="12" t="n"/>
      <c r="B547">
        <f>IF($AD547="","",INDEX('Per Line'!$E$2:$E$3001,$AD547)&amp;"")</f>
        <v/>
      </c>
      <c r="C547">
        <f>IF($AD547="","",INDEX('Per Line'!$A$2:$A$3001,$AD547)&amp;"")</f>
        <v/>
      </c>
      <c r="D547">
        <f>IF($AD547="","",INDEX('Per Line'!$C$2:$C$3001,$AD547)&amp;"")</f>
        <v/>
      </c>
      <c r="E547">
        <f>IF($AD547="","",INDEX('Per Line'!$B$2:$B$3001,$AD547))</f>
        <v/>
      </c>
      <c r="F547">
        <f>IF($AD547="","",INDEX('Per Line'!$D$2:$D$3001,$AD547)&amp;"")</f>
        <v/>
      </c>
      <c r="G547" s="11">
        <f>IF($AD547="","",INDEX('Per Line'!$G$2:$G$3001,$AD547))</f>
        <v/>
      </c>
      <c r="H547">
        <f>IF($AD547="","",INDEX('Per Line'!$J$2:$J$3001,$AD547)&amp;"")</f>
        <v/>
      </c>
      <c r="I547">
        <f>IF($AD547="","",INDEX('Per Line'!$H$2:$H$3001,$AD547)&amp;"")</f>
        <v/>
      </c>
      <c r="J547">
        <f>IF($AD547="","",INDEX('Per Line'!$F$2:$F$3001,$AD547)&amp;"")</f>
        <v/>
      </c>
      <c r="K547">
        <f>IF($AD547="","",INDEX('Per Line'!$K$2:$K$3001,$AD547)&amp;"")</f>
        <v/>
      </c>
      <c r="L547">
        <f>IF($AD547="","",INDEX('Per Line'!$L$2:$L$3001,$AD547)&amp;"")</f>
        <v/>
      </c>
      <c r="M547">
        <f>IF($AD547="","",INDEX('Per Line'!$M$2:$M$3001,$AD547)&amp;"")</f>
        <v/>
      </c>
      <c r="N547">
        <f>IF($AD547="","",INDEX('Per Line'!$AC$2:$AC$3001,$AD547)&amp;"")</f>
        <v/>
      </c>
      <c r="O547">
        <f>IF($AD547="","",INDEX('Per Line'!$P$2:$P$3001,$AD547))</f>
        <v/>
      </c>
      <c r="P547" s="7">
        <f>IF($AD547="","",IF(AND(ISNUMBER(Q547),Q547&gt;0,AB547&gt;Q547),O547*Q547/100+(AB547-Q547),O547*AB547/100))</f>
        <v/>
      </c>
      <c r="Q547">
        <f>IF($AD547="","",INDEX('Per Line'!$AG$2:$AG$3001,$AD547))</f>
        <v/>
      </c>
      <c r="R547">
        <f>IF($AD547="","",IF(AND(ISNUMBER(Q547),Q547&gt;0),AB547&gt;Q547,FALSE))</f>
        <v/>
      </c>
      <c r="S547" s="7">
        <f>IF($AD547="","",SUMIFS('Per Line'!$AB$2:$AB$3001,'Per Line'!$E$2:$E$3001,$B547,'Per Line'!$AQ$2:$AQ$3001,1))</f>
        <v/>
      </c>
      <c r="T547">
        <f>IF($AD547="","",Settings!$C$7)</f>
        <v/>
      </c>
      <c r="U547" s="7">
        <f>IF($AD547="","",SUMIFS('Per Line'!$AB$2:$AB$3001,'Per Line'!$E$2:$E$3001,$B547,'Per Line'!$AP$2:$AP$3001,0,'Per Line'!$AQ$2:$AQ$3001,0))</f>
        <v/>
      </c>
      <c r="V547" s="7">
        <f>IF($AD547="","",U547*T547)</f>
        <v/>
      </c>
      <c r="W547">
        <f>IF($AD547="","",Settings!$C$6)</f>
        <v/>
      </c>
      <c r="X547" s="7">
        <f>IF($AD547="","",SUMIFS('Per Line'!$AB$2:$AB$3001,'Per Line'!$E$2:$E$3001,$B547,'Per Line'!$AP$2:$AP$3001,1,'Per Line'!$AQ$2:$AQ$3001,0))</f>
        <v/>
      </c>
      <c r="Y547" s="7">
        <f>IF($AD547="","",X547*W547)</f>
        <v/>
      </c>
      <c r="Z547" s="7">
        <f>IF($AD547="","",Y547+V547)</f>
        <v/>
      </c>
      <c r="AA547" s="7">
        <f>IF($AD547="","",AB547-Z547)</f>
        <v/>
      </c>
      <c r="AB547" s="7">
        <f>IF($AD547="","",U547+X547+S547)</f>
        <v/>
      </c>
      <c r="AC547" s="7">
        <f>IF($AD547="","",AB547-Z547-P547)</f>
        <v/>
      </c>
      <c r="AD547" s="13">
        <f>IF(ROWS($AD$2:$AD547)&lt;=MAX('Per Line'!$AO$2:$AO$3001),MATCH(ROWS($AD$2:$AD547),'Per Line'!$AO$2:$AO$3001,0),"")</f>
        <v/>
      </c>
      <c r="AE547" s="14">
        <f>IF($AD547="","",P547-O547*AB547/100)</f>
        <v/>
      </c>
    </row>
    <row r="548">
      <c r="A548" s="12" t="n"/>
      <c r="B548">
        <f>IF($AD548="","",INDEX('Per Line'!$E$2:$E$3001,$AD548)&amp;"")</f>
        <v/>
      </c>
      <c r="C548">
        <f>IF($AD548="","",INDEX('Per Line'!$A$2:$A$3001,$AD548)&amp;"")</f>
        <v/>
      </c>
      <c r="D548">
        <f>IF($AD548="","",INDEX('Per Line'!$C$2:$C$3001,$AD548)&amp;"")</f>
        <v/>
      </c>
      <c r="E548">
        <f>IF($AD548="","",INDEX('Per Line'!$B$2:$B$3001,$AD548))</f>
        <v/>
      </c>
      <c r="F548">
        <f>IF($AD548="","",INDEX('Per Line'!$D$2:$D$3001,$AD548)&amp;"")</f>
        <v/>
      </c>
      <c r="G548" s="11">
        <f>IF($AD548="","",INDEX('Per Line'!$G$2:$G$3001,$AD548))</f>
        <v/>
      </c>
      <c r="H548">
        <f>IF($AD548="","",INDEX('Per Line'!$J$2:$J$3001,$AD548)&amp;"")</f>
        <v/>
      </c>
      <c r="I548">
        <f>IF($AD548="","",INDEX('Per Line'!$H$2:$H$3001,$AD548)&amp;"")</f>
        <v/>
      </c>
      <c r="J548">
        <f>IF($AD548="","",INDEX('Per Line'!$F$2:$F$3001,$AD548)&amp;"")</f>
        <v/>
      </c>
      <c r="K548">
        <f>IF($AD548="","",INDEX('Per Line'!$K$2:$K$3001,$AD548)&amp;"")</f>
        <v/>
      </c>
      <c r="L548">
        <f>IF($AD548="","",INDEX('Per Line'!$L$2:$L$3001,$AD548)&amp;"")</f>
        <v/>
      </c>
      <c r="M548">
        <f>IF($AD548="","",INDEX('Per Line'!$M$2:$M$3001,$AD548)&amp;"")</f>
        <v/>
      </c>
      <c r="N548">
        <f>IF($AD548="","",INDEX('Per Line'!$AC$2:$AC$3001,$AD548)&amp;"")</f>
        <v/>
      </c>
      <c r="O548">
        <f>IF($AD548="","",INDEX('Per Line'!$P$2:$P$3001,$AD548))</f>
        <v/>
      </c>
      <c r="P548" s="7">
        <f>IF($AD548="","",IF(AND(ISNUMBER(Q548),Q548&gt;0,AB548&gt;Q548),O548*Q548/100+(AB548-Q548),O548*AB548/100))</f>
        <v/>
      </c>
      <c r="Q548">
        <f>IF($AD548="","",INDEX('Per Line'!$AG$2:$AG$3001,$AD548))</f>
        <v/>
      </c>
      <c r="R548">
        <f>IF($AD548="","",IF(AND(ISNUMBER(Q548),Q548&gt;0),AB548&gt;Q548,FALSE))</f>
        <v/>
      </c>
      <c r="S548" s="7">
        <f>IF($AD548="","",SUMIFS('Per Line'!$AB$2:$AB$3001,'Per Line'!$E$2:$E$3001,$B548,'Per Line'!$AQ$2:$AQ$3001,1))</f>
        <v/>
      </c>
      <c r="T548">
        <f>IF($AD548="","",Settings!$C$7)</f>
        <v/>
      </c>
      <c r="U548" s="7">
        <f>IF($AD548="","",SUMIFS('Per Line'!$AB$2:$AB$3001,'Per Line'!$E$2:$E$3001,$B548,'Per Line'!$AP$2:$AP$3001,0,'Per Line'!$AQ$2:$AQ$3001,0))</f>
        <v/>
      </c>
      <c r="V548" s="7">
        <f>IF($AD548="","",U548*T548)</f>
        <v/>
      </c>
      <c r="W548">
        <f>IF($AD548="","",Settings!$C$6)</f>
        <v/>
      </c>
      <c r="X548" s="7">
        <f>IF($AD548="","",SUMIFS('Per Line'!$AB$2:$AB$3001,'Per Line'!$E$2:$E$3001,$B548,'Per Line'!$AP$2:$AP$3001,1,'Per Line'!$AQ$2:$AQ$3001,0))</f>
        <v/>
      </c>
      <c r="Y548" s="7">
        <f>IF($AD548="","",X548*W548)</f>
        <v/>
      </c>
      <c r="Z548" s="7">
        <f>IF($AD548="","",Y548+V548)</f>
        <v/>
      </c>
      <c r="AA548" s="7">
        <f>IF($AD548="","",AB548-Z548)</f>
        <v/>
      </c>
      <c r="AB548" s="7">
        <f>IF($AD548="","",U548+X548+S548)</f>
        <v/>
      </c>
      <c r="AC548" s="7">
        <f>IF($AD548="","",AB548-Z548-P548)</f>
        <v/>
      </c>
      <c r="AD548" s="13">
        <f>IF(ROWS($AD$2:$AD548)&lt;=MAX('Per Line'!$AO$2:$AO$3001),MATCH(ROWS($AD$2:$AD548),'Per Line'!$AO$2:$AO$3001,0),"")</f>
        <v/>
      </c>
      <c r="AE548" s="14">
        <f>IF($AD548="","",P548-O548*AB548/100)</f>
        <v/>
      </c>
    </row>
    <row r="549">
      <c r="A549" s="12" t="n"/>
      <c r="B549">
        <f>IF($AD549="","",INDEX('Per Line'!$E$2:$E$3001,$AD549)&amp;"")</f>
        <v/>
      </c>
      <c r="C549">
        <f>IF($AD549="","",INDEX('Per Line'!$A$2:$A$3001,$AD549)&amp;"")</f>
        <v/>
      </c>
      <c r="D549">
        <f>IF($AD549="","",INDEX('Per Line'!$C$2:$C$3001,$AD549)&amp;"")</f>
        <v/>
      </c>
      <c r="E549">
        <f>IF($AD549="","",INDEX('Per Line'!$B$2:$B$3001,$AD549))</f>
        <v/>
      </c>
      <c r="F549">
        <f>IF($AD549="","",INDEX('Per Line'!$D$2:$D$3001,$AD549)&amp;"")</f>
        <v/>
      </c>
      <c r="G549" s="11">
        <f>IF($AD549="","",INDEX('Per Line'!$G$2:$G$3001,$AD549))</f>
        <v/>
      </c>
      <c r="H549">
        <f>IF($AD549="","",INDEX('Per Line'!$J$2:$J$3001,$AD549)&amp;"")</f>
        <v/>
      </c>
      <c r="I549">
        <f>IF($AD549="","",INDEX('Per Line'!$H$2:$H$3001,$AD549)&amp;"")</f>
        <v/>
      </c>
      <c r="J549">
        <f>IF($AD549="","",INDEX('Per Line'!$F$2:$F$3001,$AD549)&amp;"")</f>
        <v/>
      </c>
      <c r="K549">
        <f>IF($AD549="","",INDEX('Per Line'!$K$2:$K$3001,$AD549)&amp;"")</f>
        <v/>
      </c>
      <c r="L549">
        <f>IF($AD549="","",INDEX('Per Line'!$L$2:$L$3001,$AD549)&amp;"")</f>
        <v/>
      </c>
      <c r="M549">
        <f>IF($AD549="","",INDEX('Per Line'!$M$2:$M$3001,$AD549)&amp;"")</f>
        <v/>
      </c>
      <c r="N549">
        <f>IF($AD549="","",INDEX('Per Line'!$AC$2:$AC$3001,$AD549)&amp;"")</f>
        <v/>
      </c>
      <c r="O549">
        <f>IF($AD549="","",INDEX('Per Line'!$P$2:$P$3001,$AD549))</f>
        <v/>
      </c>
      <c r="P549" s="7">
        <f>IF($AD549="","",IF(AND(ISNUMBER(Q549),Q549&gt;0,AB549&gt;Q549),O549*Q549/100+(AB549-Q549),O549*AB549/100))</f>
        <v/>
      </c>
      <c r="Q549">
        <f>IF($AD549="","",INDEX('Per Line'!$AG$2:$AG$3001,$AD549))</f>
        <v/>
      </c>
      <c r="R549">
        <f>IF($AD549="","",IF(AND(ISNUMBER(Q549),Q549&gt;0),AB549&gt;Q549,FALSE))</f>
        <v/>
      </c>
      <c r="S549" s="7">
        <f>IF($AD549="","",SUMIFS('Per Line'!$AB$2:$AB$3001,'Per Line'!$E$2:$E$3001,$B549,'Per Line'!$AQ$2:$AQ$3001,1))</f>
        <v/>
      </c>
      <c r="T549">
        <f>IF($AD549="","",Settings!$C$7)</f>
        <v/>
      </c>
      <c r="U549" s="7">
        <f>IF($AD549="","",SUMIFS('Per Line'!$AB$2:$AB$3001,'Per Line'!$E$2:$E$3001,$B549,'Per Line'!$AP$2:$AP$3001,0,'Per Line'!$AQ$2:$AQ$3001,0))</f>
        <v/>
      </c>
      <c r="V549" s="7">
        <f>IF($AD549="","",U549*T549)</f>
        <v/>
      </c>
      <c r="W549">
        <f>IF($AD549="","",Settings!$C$6)</f>
        <v/>
      </c>
      <c r="X549" s="7">
        <f>IF($AD549="","",SUMIFS('Per Line'!$AB$2:$AB$3001,'Per Line'!$E$2:$E$3001,$B549,'Per Line'!$AP$2:$AP$3001,1,'Per Line'!$AQ$2:$AQ$3001,0))</f>
        <v/>
      </c>
      <c r="Y549" s="7">
        <f>IF($AD549="","",X549*W549)</f>
        <v/>
      </c>
      <c r="Z549" s="7">
        <f>IF($AD549="","",Y549+V549)</f>
        <v/>
      </c>
      <c r="AA549" s="7">
        <f>IF($AD549="","",AB549-Z549)</f>
        <v/>
      </c>
      <c r="AB549" s="7">
        <f>IF($AD549="","",U549+X549+S549)</f>
        <v/>
      </c>
      <c r="AC549" s="7">
        <f>IF($AD549="","",AB549-Z549-P549)</f>
        <v/>
      </c>
      <c r="AD549" s="13">
        <f>IF(ROWS($AD$2:$AD549)&lt;=MAX('Per Line'!$AO$2:$AO$3001),MATCH(ROWS($AD$2:$AD549),'Per Line'!$AO$2:$AO$3001,0),"")</f>
        <v/>
      </c>
      <c r="AE549" s="14">
        <f>IF($AD549="","",P549-O549*AB549/100)</f>
        <v/>
      </c>
    </row>
    <row r="550">
      <c r="A550" s="12" t="n"/>
      <c r="B550">
        <f>IF($AD550="","",INDEX('Per Line'!$E$2:$E$3001,$AD550)&amp;"")</f>
        <v/>
      </c>
      <c r="C550">
        <f>IF($AD550="","",INDEX('Per Line'!$A$2:$A$3001,$AD550)&amp;"")</f>
        <v/>
      </c>
      <c r="D550">
        <f>IF($AD550="","",INDEX('Per Line'!$C$2:$C$3001,$AD550)&amp;"")</f>
        <v/>
      </c>
      <c r="E550">
        <f>IF($AD550="","",INDEX('Per Line'!$B$2:$B$3001,$AD550))</f>
        <v/>
      </c>
      <c r="F550">
        <f>IF($AD550="","",INDEX('Per Line'!$D$2:$D$3001,$AD550)&amp;"")</f>
        <v/>
      </c>
      <c r="G550" s="11">
        <f>IF($AD550="","",INDEX('Per Line'!$G$2:$G$3001,$AD550))</f>
        <v/>
      </c>
      <c r="H550">
        <f>IF($AD550="","",INDEX('Per Line'!$J$2:$J$3001,$AD550)&amp;"")</f>
        <v/>
      </c>
      <c r="I550">
        <f>IF($AD550="","",INDEX('Per Line'!$H$2:$H$3001,$AD550)&amp;"")</f>
        <v/>
      </c>
      <c r="J550">
        <f>IF($AD550="","",INDEX('Per Line'!$F$2:$F$3001,$AD550)&amp;"")</f>
        <v/>
      </c>
      <c r="K550">
        <f>IF($AD550="","",INDEX('Per Line'!$K$2:$K$3001,$AD550)&amp;"")</f>
        <v/>
      </c>
      <c r="L550">
        <f>IF($AD550="","",INDEX('Per Line'!$L$2:$L$3001,$AD550)&amp;"")</f>
        <v/>
      </c>
      <c r="M550">
        <f>IF($AD550="","",INDEX('Per Line'!$M$2:$M$3001,$AD550)&amp;"")</f>
        <v/>
      </c>
      <c r="N550">
        <f>IF($AD550="","",INDEX('Per Line'!$AC$2:$AC$3001,$AD550)&amp;"")</f>
        <v/>
      </c>
      <c r="O550">
        <f>IF($AD550="","",INDEX('Per Line'!$P$2:$P$3001,$AD550))</f>
        <v/>
      </c>
      <c r="P550" s="7">
        <f>IF($AD550="","",IF(AND(ISNUMBER(Q550),Q550&gt;0,AB550&gt;Q550),O550*Q550/100+(AB550-Q550),O550*AB550/100))</f>
        <v/>
      </c>
      <c r="Q550">
        <f>IF($AD550="","",INDEX('Per Line'!$AG$2:$AG$3001,$AD550))</f>
        <v/>
      </c>
      <c r="R550">
        <f>IF($AD550="","",IF(AND(ISNUMBER(Q550),Q550&gt;0),AB550&gt;Q550,FALSE))</f>
        <v/>
      </c>
      <c r="S550" s="7">
        <f>IF($AD550="","",SUMIFS('Per Line'!$AB$2:$AB$3001,'Per Line'!$E$2:$E$3001,$B550,'Per Line'!$AQ$2:$AQ$3001,1))</f>
        <v/>
      </c>
      <c r="T550">
        <f>IF($AD550="","",Settings!$C$7)</f>
        <v/>
      </c>
      <c r="U550" s="7">
        <f>IF($AD550="","",SUMIFS('Per Line'!$AB$2:$AB$3001,'Per Line'!$E$2:$E$3001,$B550,'Per Line'!$AP$2:$AP$3001,0,'Per Line'!$AQ$2:$AQ$3001,0))</f>
        <v/>
      </c>
      <c r="V550" s="7">
        <f>IF($AD550="","",U550*T550)</f>
        <v/>
      </c>
      <c r="W550">
        <f>IF($AD550="","",Settings!$C$6)</f>
        <v/>
      </c>
      <c r="X550" s="7">
        <f>IF($AD550="","",SUMIFS('Per Line'!$AB$2:$AB$3001,'Per Line'!$E$2:$E$3001,$B550,'Per Line'!$AP$2:$AP$3001,1,'Per Line'!$AQ$2:$AQ$3001,0))</f>
        <v/>
      </c>
      <c r="Y550" s="7">
        <f>IF($AD550="","",X550*W550)</f>
        <v/>
      </c>
      <c r="Z550" s="7">
        <f>IF($AD550="","",Y550+V550)</f>
        <v/>
      </c>
      <c r="AA550" s="7">
        <f>IF($AD550="","",AB550-Z550)</f>
        <v/>
      </c>
      <c r="AB550" s="7">
        <f>IF($AD550="","",U550+X550+S550)</f>
        <v/>
      </c>
      <c r="AC550" s="7">
        <f>IF($AD550="","",AB550-Z550-P550)</f>
        <v/>
      </c>
      <c r="AD550" s="13">
        <f>IF(ROWS($AD$2:$AD550)&lt;=MAX('Per Line'!$AO$2:$AO$3001),MATCH(ROWS($AD$2:$AD550),'Per Line'!$AO$2:$AO$3001,0),"")</f>
        <v/>
      </c>
      <c r="AE550" s="14">
        <f>IF($AD550="","",P550-O550*AB550/100)</f>
        <v/>
      </c>
    </row>
    <row r="551">
      <c r="A551" s="12" t="n"/>
      <c r="B551">
        <f>IF($AD551="","",INDEX('Per Line'!$E$2:$E$3001,$AD551)&amp;"")</f>
        <v/>
      </c>
      <c r="C551">
        <f>IF($AD551="","",INDEX('Per Line'!$A$2:$A$3001,$AD551)&amp;"")</f>
        <v/>
      </c>
      <c r="D551">
        <f>IF($AD551="","",INDEX('Per Line'!$C$2:$C$3001,$AD551)&amp;"")</f>
        <v/>
      </c>
      <c r="E551">
        <f>IF($AD551="","",INDEX('Per Line'!$B$2:$B$3001,$AD551))</f>
        <v/>
      </c>
      <c r="F551">
        <f>IF($AD551="","",INDEX('Per Line'!$D$2:$D$3001,$AD551)&amp;"")</f>
        <v/>
      </c>
      <c r="G551" s="11">
        <f>IF($AD551="","",INDEX('Per Line'!$G$2:$G$3001,$AD551))</f>
        <v/>
      </c>
      <c r="H551">
        <f>IF($AD551="","",INDEX('Per Line'!$J$2:$J$3001,$AD551)&amp;"")</f>
        <v/>
      </c>
      <c r="I551">
        <f>IF($AD551="","",INDEX('Per Line'!$H$2:$H$3001,$AD551)&amp;"")</f>
        <v/>
      </c>
      <c r="J551">
        <f>IF($AD551="","",INDEX('Per Line'!$F$2:$F$3001,$AD551)&amp;"")</f>
        <v/>
      </c>
      <c r="K551">
        <f>IF($AD551="","",INDEX('Per Line'!$K$2:$K$3001,$AD551)&amp;"")</f>
        <v/>
      </c>
      <c r="L551">
        <f>IF($AD551="","",INDEX('Per Line'!$L$2:$L$3001,$AD551)&amp;"")</f>
        <v/>
      </c>
      <c r="M551">
        <f>IF($AD551="","",INDEX('Per Line'!$M$2:$M$3001,$AD551)&amp;"")</f>
        <v/>
      </c>
      <c r="N551">
        <f>IF($AD551="","",INDEX('Per Line'!$AC$2:$AC$3001,$AD551)&amp;"")</f>
        <v/>
      </c>
      <c r="O551">
        <f>IF($AD551="","",INDEX('Per Line'!$P$2:$P$3001,$AD551))</f>
        <v/>
      </c>
      <c r="P551" s="7">
        <f>IF($AD551="","",IF(AND(ISNUMBER(Q551),Q551&gt;0,AB551&gt;Q551),O551*Q551/100+(AB551-Q551),O551*AB551/100))</f>
        <v/>
      </c>
      <c r="Q551">
        <f>IF($AD551="","",INDEX('Per Line'!$AG$2:$AG$3001,$AD551))</f>
        <v/>
      </c>
      <c r="R551">
        <f>IF($AD551="","",IF(AND(ISNUMBER(Q551),Q551&gt;0),AB551&gt;Q551,FALSE))</f>
        <v/>
      </c>
      <c r="S551" s="7">
        <f>IF($AD551="","",SUMIFS('Per Line'!$AB$2:$AB$3001,'Per Line'!$E$2:$E$3001,$B551,'Per Line'!$AQ$2:$AQ$3001,1))</f>
        <v/>
      </c>
      <c r="T551">
        <f>IF($AD551="","",Settings!$C$7)</f>
        <v/>
      </c>
      <c r="U551" s="7">
        <f>IF($AD551="","",SUMIFS('Per Line'!$AB$2:$AB$3001,'Per Line'!$E$2:$E$3001,$B551,'Per Line'!$AP$2:$AP$3001,0,'Per Line'!$AQ$2:$AQ$3001,0))</f>
        <v/>
      </c>
      <c r="V551" s="7">
        <f>IF($AD551="","",U551*T551)</f>
        <v/>
      </c>
      <c r="W551">
        <f>IF($AD551="","",Settings!$C$6)</f>
        <v/>
      </c>
      <c r="X551" s="7">
        <f>IF($AD551="","",SUMIFS('Per Line'!$AB$2:$AB$3001,'Per Line'!$E$2:$E$3001,$B551,'Per Line'!$AP$2:$AP$3001,1,'Per Line'!$AQ$2:$AQ$3001,0))</f>
        <v/>
      </c>
      <c r="Y551" s="7">
        <f>IF($AD551="","",X551*W551)</f>
        <v/>
      </c>
      <c r="Z551" s="7">
        <f>IF($AD551="","",Y551+V551)</f>
        <v/>
      </c>
      <c r="AA551" s="7">
        <f>IF($AD551="","",AB551-Z551)</f>
        <v/>
      </c>
      <c r="AB551" s="7">
        <f>IF($AD551="","",U551+X551+S551)</f>
        <v/>
      </c>
      <c r="AC551" s="7">
        <f>IF($AD551="","",AB551-Z551-P551)</f>
        <v/>
      </c>
      <c r="AD551" s="13">
        <f>IF(ROWS($AD$2:$AD551)&lt;=MAX('Per Line'!$AO$2:$AO$3001),MATCH(ROWS($AD$2:$AD551),'Per Line'!$AO$2:$AO$3001,0),"")</f>
        <v/>
      </c>
      <c r="AE551" s="14">
        <f>IF($AD551="","",P551-O551*AB551/100)</f>
        <v/>
      </c>
    </row>
    <row r="552">
      <c r="A552" s="12" t="n"/>
      <c r="B552">
        <f>IF($AD552="","",INDEX('Per Line'!$E$2:$E$3001,$AD552)&amp;"")</f>
        <v/>
      </c>
      <c r="C552">
        <f>IF($AD552="","",INDEX('Per Line'!$A$2:$A$3001,$AD552)&amp;"")</f>
        <v/>
      </c>
      <c r="D552">
        <f>IF($AD552="","",INDEX('Per Line'!$C$2:$C$3001,$AD552)&amp;"")</f>
        <v/>
      </c>
      <c r="E552">
        <f>IF($AD552="","",INDEX('Per Line'!$B$2:$B$3001,$AD552))</f>
        <v/>
      </c>
      <c r="F552">
        <f>IF($AD552="","",INDEX('Per Line'!$D$2:$D$3001,$AD552)&amp;"")</f>
        <v/>
      </c>
      <c r="G552" s="11">
        <f>IF($AD552="","",INDEX('Per Line'!$G$2:$G$3001,$AD552))</f>
        <v/>
      </c>
      <c r="H552">
        <f>IF($AD552="","",INDEX('Per Line'!$J$2:$J$3001,$AD552)&amp;"")</f>
        <v/>
      </c>
      <c r="I552">
        <f>IF($AD552="","",INDEX('Per Line'!$H$2:$H$3001,$AD552)&amp;"")</f>
        <v/>
      </c>
      <c r="J552">
        <f>IF($AD552="","",INDEX('Per Line'!$F$2:$F$3001,$AD552)&amp;"")</f>
        <v/>
      </c>
      <c r="K552">
        <f>IF($AD552="","",INDEX('Per Line'!$K$2:$K$3001,$AD552)&amp;"")</f>
        <v/>
      </c>
      <c r="L552">
        <f>IF($AD552="","",INDEX('Per Line'!$L$2:$L$3001,$AD552)&amp;"")</f>
        <v/>
      </c>
      <c r="M552">
        <f>IF($AD552="","",INDEX('Per Line'!$M$2:$M$3001,$AD552)&amp;"")</f>
        <v/>
      </c>
      <c r="N552">
        <f>IF($AD552="","",INDEX('Per Line'!$AC$2:$AC$3001,$AD552)&amp;"")</f>
        <v/>
      </c>
      <c r="O552">
        <f>IF($AD552="","",INDEX('Per Line'!$P$2:$P$3001,$AD552))</f>
        <v/>
      </c>
      <c r="P552" s="7">
        <f>IF($AD552="","",IF(AND(ISNUMBER(Q552),Q552&gt;0,AB552&gt;Q552),O552*Q552/100+(AB552-Q552),O552*AB552/100))</f>
        <v/>
      </c>
      <c r="Q552">
        <f>IF($AD552="","",INDEX('Per Line'!$AG$2:$AG$3001,$AD552))</f>
        <v/>
      </c>
      <c r="R552">
        <f>IF($AD552="","",IF(AND(ISNUMBER(Q552),Q552&gt;0),AB552&gt;Q552,FALSE))</f>
        <v/>
      </c>
      <c r="S552" s="7">
        <f>IF($AD552="","",SUMIFS('Per Line'!$AB$2:$AB$3001,'Per Line'!$E$2:$E$3001,$B552,'Per Line'!$AQ$2:$AQ$3001,1))</f>
        <v/>
      </c>
      <c r="T552">
        <f>IF($AD552="","",Settings!$C$7)</f>
        <v/>
      </c>
      <c r="U552" s="7">
        <f>IF($AD552="","",SUMIFS('Per Line'!$AB$2:$AB$3001,'Per Line'!$E$2:$E$3001,$B552,'Per Line'!$AP$2:$AP$3001,0,'Per Line'!$AQ$2:$AQ$3001,0))</f>
        <v/>
      </c>
      <c r="V552" s="7">
        <f>IF($AD552="","",U552*T552)</f>
        <v/>
      </c>
      <c r="W552">
        <f>IF($AD552="","",Settings!$C$6)</f>
        <v/>
      </c>
      <c r="X552" s="7">
        <f>IF($AD552="","",SUMIFS('Per Line'!$AB$2:$AB$3001,'Per Line'!$E$2:$E$3001,$B552,'Per Line'!$AP$2:$AP$3001,1,'Per Line'!$AQ$2:$AQ$3001,0))</f>
        <v/>
      </c>
      <c r="Y552" s="7">
        <f>IF($AD552="","",X552*W552)</f>
        <v/>
      </c>
      <c r="Z552" s="7">
        <f>IF($AD552="","",Y552+V552)</f>
        <v/>
      </c>
      <c r="AA552" s="7">
        <f>IF($AD552="","",AB552-Z552)</f>
        <v/>
      </c>
      <c r="AB552" s="7">
        <f>IF($AD552="","",U552+X552+S552)</f>
        <v/>
      </c>
      <c r="AC552" s="7">
        <f>IF($AD552="","",AB552-Z552-P552)</f>
        <v/>
      </c>
      <c r="AD552" s="13">
        <f>IF(ROWS($AD$2:$AD552)&lt;=MAX('Per Line'!$AO$2:$AO$3001),MATCH(ROWS($AD$2:$AD552),'Per Line'!$AO$2:$AO$3001,0),"")</f>
        <v/>
      </c>
      <c r="AE552" s="14">
        <f>IF($AD552="","",P552-O552*AB552/100)</f>
        <v/>
      </c>
    </row>
    <row r="553">
      <c r="A553" s="12" t="n"/>
      <c r="B553">
        <f>IF($AD553="","",INDEX('Per Line'!$E$2:$E$3001,$AD553)&amp;"")</f>
        <v/>
      </c>
      <c r="C553">
        <f>IF($AD553="","",INDEX('Per Line'!$A$2:$A$3001,$AD553)&amp;"")</f>
        <v/>
      </c>
      <c r="D553">
        <f>IF($AD553="","",INDEX('Per Line'!$C$2:$C$3001,$AD553)&amp;"")</f>
        <v/>
      </c>
      <c r="E553">
        <f>IF($AD553="","",INDEX('Per Line'!$B$2:$B$3001,$AD553))</f>
        <v/>
      </c>
      <c r="F553">
        <f>IF($AD553="","",INDEX('Per Line'!$D$2:$D$3001,$AD553)&amp;"")</f>
        <v/>
      </c>
      <c r="G553" s="11">
        <f>IF($AD553="","",INDEX('Per Line'!$G$2:$G$3001,$AD553))</f>
        <v/>
      </c>
      <c r="H553">
        <f>IF($AD553="","",INDEX('Per Line'!$J$2:$J$3001,$AD553)&amp;"")</f>
        <v/>
      </c>
      <c r="I553">
        <f>IF($AD553="","",INDEX('Per Line'!$H$2:$H$3001,$AD553)&amp;"")</f>
        <v/>
      </c>
      <c r="J553">
        <f>IF($AD553="","",INDEX('Per Line'!$F$2:$F$3001,$AD553)&amp;"")</f>
        <v/>
      </c>
      <c r="K553">
        <f>IF($AD553="","",INDEX('Per Line'!$K$2:$K$3001,$AD553)&amp;"")</f>
        <v/>
      </c>
      <c r="L553">
        <f>IF($AD553="","",INDEX('Per Line'!$L$2:$L$3001,$AD553)&amp;"")</f>
        <v/>
      </c>
      <c r="M553">
        <f>IF($AD553="","",INDEX('Per Line'!$M$2:$M$3001,$AD553)&amp;"")</f>
        <v/>
      </c>
      <c r="N553">
        <f>IF($AD553="","",INDEX('Per Line'!$AC$2:$AC$3001,$AD553)&amp;"")</f>
        <v/>
      </c>
      <c r="O553">
        <f>IF($AD553="","",INDEX('Per Line'!$P$2:$P$3001,$AD553))</f>
        <v/>
      </c>
      <c r="P553" s="7">
        <f>IF($AD553="","",IF(AND(ISNUMBER(Q553),Q553&gt;0,AB553&gt;Q553),O553*Q553/100+(AB553-Q553),O553*AB553/100))</f>
        <v/>
      </c>
      <c r="Q553">
        <f>IF($AD553="","",INDEX('Per Line'!$AG$2:$AG$3001,$AD553))</f>
        <v/>
      </c>
      <c r="R553">
        <f>IF($AD553="","",IF(AND(ISNUMBER(Q553),Q553&gt;0),AB553&gt;Q553,FALSE))</f>
        <v/>
      </c>
      <c r="S553" s="7">
        <f>IF($AD553="","",SUMIFS('Per Line'!$AB$2:$AB$3001,'Per Line'!$E$2:$E$3001,$B553,'Per Line'!$AQ$2:$AQ$3001,1))</f>
        <v/>
      </c>
      <c r="T553">
        <f>IF($AD553="","",Settings!$C$7)</f>
        <v/>
      </c>
      <c r="U553" s="7">
        <f>IF($AD553="","",SUMIFS('Per Line'!$AB$2:$AB$3001,'Per Line'!$E$2:$E$3001,$B553,'Per Line'!$AP$2:$AP$3001,0,'Per Line'!$AQ$2:$AQ$3001,0))</f>
        <v/>
      </c>
      <c r="V553" s="7">
        <f>IF($AD553="","",U553*T553)</f>
        <v/>
      </c>
      <c r="W553">
        <f>IF($AD553="","",Settings!$C$6)</f>
        <v/>
      </c>
      <c r="X553" s="7">
        <f>IF($AD553="","",SUMIFS('Per Line'!$AB$2:$AB$3001,'Per Line'!$E$2:$E$3001,$B553,'Per Line'!$AP$2:$AP$3001,1,'Per Line'!$AQ$2:$AQ$3001,0))</f>
        <v/>
      </c>
      <c r="Y553" s="7">
        <f>IF($AD553="","",X553*W553)</f>
        <v/>
      </c>
      <c r="Z553" s="7">
        <f>IF($AD553="","",Y553+V553)</f>
        <v/>
      </c>
      <c r="AA553" s="7">
        <f>IF($AD553="","",AB553-Z553)</f>
        <v/>
      </c>
      <c r="AB553" s="7">
        <f>IF($AD553="","",U553+X553+S553)</f>
        <v/>
      </c>
      <c r="AC553" s="7">
        <f>IF($AD553="","",AB553-Z553-P553)</f>
        <v/>
      </c>
      <c r="AD553" s="13">
        <f>IF(ROWS($AD$2:$AD553)&lt;=MAX('Per Line'!$AO$2:$AO$3001),MATCH(ROWS($AD$2:$AD553),'Per Line'!$AO$2:$AO$3001,0),"")</f>
        <v/>
      </c>
      <c r="AE553" s="14">
        <f>IF($AD553="","",P553-O553*AB553/100)</f>
        <v/>
      </c>
    </row>
    <row r="554">
      <c r="A554" s="12" t="n"/>
      <c r="B554">
        <f>IF($AD554="","",INDEX('Per Line'!$E$2:$E$3001,$AD554)&amp;"")</f>
        <v/>
      </c>
      <c r="C554">
        <f>IF($AD554="","",INDEX('Per Line'!$A$2:$A$3001,$AD554)&amp;"")</f>
        <v/>
      </c>
      <c r="D554">
        <f>IF($AD554="","",INDEX('Per Line'!$C$2:$C$3001,$AD554)&amp;"")</f>
        <v/>
      </c>
      <c r="E554">
        <f>IF($AD554="","",INDEX('Per Line'!$B$2:$B$3001,$AD554))</f>
        <v/>
      </c>
      <c r="F554">
        <f>IF($AD554="","",INDEX('Per Line'!$D$2:$D$3001,$AD554)&amp;"")</f>
        <v/>
      </c>
      <c r="G554" s="11">
        <f>IF($AD554="","",INDEX('Per Line'!$G$2:$G$3001,$AD554))</f>
        <v/>
      </c>
      <c r="H554">
        <f>IF($AD554="","",INDEX('Per Line'!$J$2:$J$3001,$AD554)&amp;"")</f>
        <v/>
      </c>
      <c r="I554">
        <f>IF($AD554="","",INDEX('Per Line'!$H$2:$H$3001,$AD554)&amp;"")</f>
        <v/>
      </c>
      <c r="J554">
        <f>IF($AD554="","",INDEX('Per Line'!$F$2:$F$3001,$AD554)&amp;"")</f>
        <v/>
      </c>
      <c r="K554">
        <f>IF($AD554="","",INDEX('Per Line'!$K$2:$K$3001,$AD554)&amp;"")</f>
        <v/>
      </c>
      <c r="L554">
        <f>IF($AD554="","",INDEX('Per Line'!$L$2:$L$3001,$AD554)&amp;"")</f>
        <v/>
      </c>
      <c r="M554">
        <f>IF($AD554="","",INDEX('Per Line'!$M$2:$M$3001,$AD554)&amp;"")</f>
        <v/>
      </c>
      <c r="N554">
        <f>IF($AD554="","",INDEX('Per Line'!$AC$2:$AC$3001,$AD554)&amp;"")</f>
        <v/>
      </c>
      <c r="O554">
        <f>IF($AD554="","",INDEX('Per Line'!$P$2:$P$3001,$AD554))</f>
        <v/>
      </c>
      <c r="P554" s="7">
        <f>IF($AD554="","",IF(AND(ISNUMBER(Q554),Q554&gt;0,AB554&gt;Q554),O554*Q554/100+(AB554-Q554),O554*AB554/100))</f>
        <v/>
      </c>
      <c r="Q554">
        <f>IF($AD554="","",INDEX('Per Line'!$AG$2:$AG$3001,$AD554))</f>
        <v/>
      </c>
      <c r="R554">
        <f>IF($AD554="","",IF(AND(ISNUMBER(Q554),Q554&gt;0),AB554&gt;Q554,FALSE))</f>
        <v/>
      </c>
      <c r="S554" s="7">
        <f>IF($AD554="","",SUMIFS('Per Line'!$AB$2:$AB$3001,'Per Line'!$E$2:$E$3001,$B554,'Per Line'!$AQ$2:$AQ$3001,1))</f>
        <v/>
      </c>
      <c r="T554">
        <f>IF($AD554="","",Settings!$C$7)</f>
        <v/>
      </c>
      <c r="U554" s="7">
        <f>IF($AD554="","",SUMIFS('Per Line'!$AB$2:$AB$3001,'Per Line'!$E$2:$E$3001,$B554,'Per Line'!$AP$2:$AP$3001,0,'Per Line'!$AQ$2:$AQ$3001,0))</f>
        <v/>
      </c>
      <c r="V554" s="7">
        <f>IF($AD554="","",U554*T554)</f>
        <v/>
      </c>
      <c r="W554">
        <f>IF($AD554="","",Settings!$C$6)</f>
        <v/>
      </c>
      <c r="X554" s="7">
        <f>IF($AD554="","",SUMIFS('Per Line'!$AB$2:$AB$3001,'Per Line'!$E$2:$E$3001,$B554,'Per Line'!$AP$2:$AP$3001,1,'Per Line'!$AQ$2:$AQ$3001,0))</f>
        <v/>
      </c>
      <c r="Y554" s="7">
        <f>IF($AD554="","",X554*W554)</f>
        <v/>
      </c>
      <c r="Z554" s="7">
        <f>IF($AD554="","",Y554+V554)</f>
        <v/>
      </c>
      <c r="AA554" s="7">
        <f>IF($AD554="","",AB554-Z554)</f>
        <v/>
      </c>
      <c r="AB554" s="7">
        <f>IF($AD554="","",U554+X554+S554)</f>
        <v/>
      </c>
      <c r="AC554" s="7">
        <f>IF($AD554="","",AB554-Z554-P554)</f>
        <v/>
      </c>
      <c r="AD554" s="13">
        <f>IF(ROWS($AD$2:$AD554)&lt;=MAX('Per Line'!$AO$2:$AO$3001),MATCH(ROWS($AD$2:$AD554),'Per Line'!$AO$2:$AO$3001,0),"")</f>
        <v/>
      </c>
      <c r="AE554" s="14">
        <f>IF($AD554="","",P554-O554*AB554/100)</f>
        <v/>
      </c>
    </row>
    <row r="555">
      <c r="A555" s="12" t="n"/>
      <c r="B555">
        <f>IF($AD555="","",INDEX('Per Line'!$E$2:$E$3001,$AD555)&amp;"")</f>
        <v/>
      </c>
      <c r="C555">
        <f>IF($AD555="","",INDEX('Per Line'!$A$2:$A$3001,$AD555)&amp;"")</f>
        <v/>
      </c>
      <c r="D555">
        <f>IF($AD555="","",INDEX('Per Line'!$C$2:$C$3001,$AD555)&amp;"")</f>
        <v/>
      </c>
      <c r="E555">
        <f>IF($AD555="","",INDEX('Per Line'!$B$2:$B$3001,$AD555))</f>
        <v/>
      </c>
      <c r="F555">
        <f>IF($AD555="","",INDEX('Per Line'!$D$2:$D$3001,$AD555)&amp;"")</f>
        <v/>
      </c>
      <c r="G555" s="11">
        <f>IF($AD555="","",INDEX('Per Line'!$G$2:$G$3001,$AD555))</f>
        <v/>
      </c>
      <c r="H555">
        <f>IF($AD555="","",INDEX('Per Line'!$J$2:$J$3001,$AD555)&amp;"")</f>
        <v/>
      </c>
      <c r="I555">
        <f>IF($AD555="","",INDEX('Per Line'!$H$2:$H$3001,$AD555)&amp;"")</f>
        <v/>
      </c>
      <c r="J555">
        <f>IF($AD555="","",INDEX('Per Line'!$F$2:$F$3001,$AD555)&amp;"")</f>
        <v/>
      </c>
      <c r="K555">
        <f>IF($AD555="","",INDEX('Per Line'!$K$2:$K$3001,$AD555)&amp;"")</f>
        <v/>
      </c>
      <c r="L555">
        <f>IF($AD555="","",INDEX('Per Line'!$L$2:$L$3001,$AD555)&amp;"")</f>
        <v/>
      </c>
      <c r="M555">
        <f>IF($AD555="","",INDEX('Per Line'!$M$2:$M$3001,$AD555)&amp;"")</f>
        <v/>
      </c>
      <c r="N555">
        <f>IF($AD555="","",INDEX('Per Line'!$AC$2:$AC$3001,$AD555)&amp;"")</f>
        <v/>
      </c>
      <c r="O555">
        <f>IF($AD555="","",INDEX('Per Line'!$P$2:$P$3001,$AD555))</f>
        <v/>
      </c>
      <c r="P555" s="7">
        <f>IF($AD555="","",IF(AND(ISNUMBER(Q555),Q555&gt;0,AB555&gt;Q555),O555*Q555/100+(AB555-Q555),O555*AB555/100))</f>
        <v/>
      </c>
      <c r="Q555">
        <f>IF($AD555="","",INDEX('Per Line'!$AG$2:$AG$3001,$AD555))</f>
        <v/>
      </c>
      <c r="R555">
        <f>IF($AD555="","",IF(AND(ISNUMBER(Q555),Q555&gt;0),AB555&gt;Q555,FALSE))</f>
        <v/>
      </c>
      <c r="S555" s="7">
        <f>IF($AD555="","",SUMIFS('Per Line'!$AB$2:$AB$3001,'Per Line'!$E$2:$E$3001,$B555,'Per Line'!$AQ$2:$AQ$3001,1))</f>
        <v/>
      </c>
      <c r="T555">
        <f>IF($AD555="","",Settings!$C$7)</f>
        <v/>
      </c>
      <c r="U555" s="7">
        <f>IF($AD555="","",SUMIFS('Per Line'!$AB$2:$AB$3001,'Per Line'!$E$2:$E$3001,$B555,'Per Line'!$AP$2:$AP$3001,0,'Per Line'!$AQ$2:$AQ$3001,0))</f>
        <v/>
      </c>
      <c r="V555" s="7">
        <f>IF($AD555="","",U555*T555)</f>
        <v/>
      </c>
      <c r="W555">
        <f>IF($AD555="","",Settings!$C$6)</f>
        <v/>
      </c>
      <c r="X555" s="7">
        <f>IF($AD555="","",SUMIFS('Per Line'!$AB$2:$AB$3001,'Per Line'!$E$2:$E$3001,$B555,'Per Line'!$AP$2:$AP$3001,1,'Per Line'!$AQ$2:$AQ$3001,0))</f>
        <v/>
      </c>
      <c r="Y555" s="7">
        <f>IF($AD555="","",X555*W555)</f>
        <v/>
      </c>
      <c r="Z555" s="7">
        <f>IF($AD555="","",Y555+V555)</f>
        <v/>
      </c>
      <c r="AA555" s="7">
        <f>IF($AD555="","",AB555-Z555)</f>
        <v/>
      </c>
      <c r="AB555" s="7">
        <f>IF($AD555="","",U555+X555+S555)</f>
        <v/>
      </c>
      <c r="AC555" s="7">
        <f>IF($AD555="","",AB555-Z555-P555)</f>
        <v/>
      </c>
      <c r="AD555" s="13">
        <f>IF(ROWS($AD$2:$AD555)&lt;=MAX('Per Line'!$AO$2:$AO$3001),MATCH(ROWS($AD$2:$AD555),'Per Line'!$AO$2:$AO$3001,0),"")</f>
        <v/>
      </c>
      <c r="AE555" s="14">
        <f>IF($AD555="","",P555-O555*AB555/100)</f>
        <v/>
      </c>
    </row>
    <row r="556">
      <c r="A556" s="12" t="n"/>
      <c r="B556">
        <f>IF($AD556="","",INDEX('Per Line'!$E$2:$E$3001,$AD556)&amp;"")</f>
        <v/>
      </c>
      <c r="C556">
        <f>IF($AD556="","",INDEX('Per Line'!$A$2:$A$3001,$AD556)&amp;"")</f>
        <v/>
      </c>
      <c r="D556">
        <f>IF($AD556="","",INDEX('Per Line'!$C$2:$C$3001,$AD556)&amp;"")</f>
        <v/>
      </c>
      <c r="E556">
        <f>IF($AD556="","",INDEX('Per Line'!$B$2:$B$3001,$AD556))</f>
        <v/>
      </c>
      <c r="F556">
        <f>IF($AD556="","",INDEX('Per Line'!$D$2:$D$3001,$AD556)&amp;"")</f>
        <v/>
      </c>
      <c r="G556" s="11">
        <f>IF($AD556="","",INDEX('Per Line'!$G$2:$G$3001,$AD556))</f>
        <v/>
      </c>
      <c r="H556">
        <f>IF($AD556="","",INDEX('Per Line'!$J$2:$J$3001,$AD556)&amp;"")</f>
        <v/>
      </c>
      <c r="I556">
        <f>IF($AD556="","",INDEX('Per Line'!$H$2:$H$3001,$AD556)&amp;"")</f>
        <v/>
      </c>
      <c r="J556">
        <f>IF($AD556="","",INDEX('Per Line'!$F$2:$F$3001,$AD556)&amp;"")</f>
        <v/>
      </c>
      <c r="K556">
        <f>IF($AD556="","",INDEX('Per Line'!$K$2:$K$3001,$AD556)&amp;"")</f>
        <v/>
      </c>
      <c r="L556">
        <f>IF($AD556="","",INDEX('Per Line'!$L$2:$L$3001,$AD556)&amp;"")</f>
        <v/>
      </c>
      <c r="M556">
        <f>IF($AD556="","",INDEX('Per Line'!$M$2:$M$3001,$AD556)&amp;"")</f>
        <v/>
      </c>
      <c r="N556">
        <f>IF($AD556="","",INDEX('Per Line'!$AC$2:$AC$3001,$AD556)&amp;"")</f>
        <v/>
      </c>
      <c r="O556">
        <f>IF($AD556="","",INDEX('Per Line'!$P$2:$P$3001,$AD556))</f>
        <v/>
      </c>
      <c r="P556" s="7">
        <f>IF($AD556="","",IF(AND(ISNUMBER(Q556),Q556&gt;0,AB556&gt;Q556),O556*Q556/100+(AB556-Q556),O556*AB556/100))</f>
        <v/>
      </c>
      <c r="Q556">
        <f>IF($AD556="","",INDEX('Per Line'!$AG$2:$AG$3001,$AD556))</f>
        <v/>
      </c>
      <c r="R556">
        <f>IF($AD556="","",IF(AND(ISNUMBER(Q556),Q556&gt;0),AB556&gt;Q556,FALSE))</f>
        <v/>
      </c>
      <c r="S556" s="7">
        <f>IF($AD556="","",SUMIFS('Per Line'!$AB$2:$AB$3001,'Per Line'!$E$2:$E$3001,$B556,'Per Line'!$AQ$2:$AQ$3001,1))</f>
        <v/>
      </c>
      <c r="T556">
        <f>IF($AD556="","",Settings!$C$7)</f>
        <v/>
      </c>
      <c r="U556" s="7">
        <f>IF($AD556="","",SUMIFS('Per Line'!$AB$2:$AB$3001,'Per Line'!$E$2:$E$3001,$B556,'Per Line'!$AP$2:$AP$3001,0,'Per Line'!$AQ$2:$AQ$3001,0))</f>
        <v/>
      </c>
      <c r="V556" s="7">
        <f>IF($AD556="","",U556*T556)</f>
        <v/>
      </c>
      <c r="W556">
        <f>IF($AD556="","",Settings!$C$6)</f>
        <v/>
      </c>
      <c r="X556" s="7">
        <f>IF($AD556="","",SUMIFS('Per Line'!$AB$2:$AB$3001,'Per Line'!$E$2:$E$3001,$B556,'Per Line'!$AP$2:$AP$3001,1,'Per Line'!$AQ$2:$AQ$3001,0))</f>
        <v/>
      </c>
      <c r="Y556" s="7">
        <f>IF($AD556="","",X556*W556)</f>
        <v/>
      </c>
      <c r="Z556" s="7">
        <f>IF($AD556="","",Y556+V556)</f>
        <v/>
      </c>
      <c r="AA556" s="7">
        <f>IF($AD556="","",AB556-Z556)</f>
        <v/>
      </c>
      <c r="AB556" s="7">
        <f>IF($AD556="","",U556+X556+S556)</f>
        <v/>
      </c>
      <c r="AC556" s="7">
        <f>IF($AD556="","",AB556-Z556-P556)</f>
        <v/>
      </c>
      <c r="AD556" s="13">
        <f>IF(ROWS($AD$2:$AD556)&lt;=MAX('Per Line'!$AO$2:$AO$3001),MATCH(ROWS($AD$2:$AD556),'Per Line'!$AO$2:$AO$3001,0),"")</f>
        <v/>
      </c>
      <c r="AE556" s="14">
        <f>IF($AD556="","",P556-O556*AB556/100)</f>
        <v/>
      </c>
    </row>
    <row r="557">
      <c r="A557" s="12" t="n"/>
      <c r="B557">
        <f>IF($AD557="","",INDEX('Per Line'!$E$2:$E$3001,$AD557)&amp;"")</f>
        <v/>
      </c>
      <c r="C557">
        <f>IF($AD557="","",INDEX('Per Line'!$A$2:$A$3001,$AD557)&amp;"")</f>
        <v/>
      </c>
      <c r="D557">
        <f>IF($AD557="","",INDEX('Per Line'!$C$2:$C$3001,$AD557)&amp;"")</f>
        <v/>
      </c>
      <c r="E557">
        <f>IF($AD557="","",INDEX('Per Line'!$B$2:$B$3001,$AD557))</f>
        <v/>
      </c>
      <c r="F557">
        <f>IF($AD557="","",INDEX('Per Line'!$D$2:$D$3001,$AD557)&amp;"")</f>
        <v/>
      </c>
      <c r="G557" s="11">
        <f>IF($AD557="","",INDEX('Per Line'!$G$2:$G$3001,$AD557))</f>
        <v/>
      </c>
      <c r="H557">
        <f>IF($AD557="","",INDEX('Per Line'!$J$2:$J$3001,$AD557)&amp;"")</f>
        <v/>
      </c>
      <c r="I557">
        <f>IF($AD557="","",INDEX('Per Line'!$H$2:$H$3001,$AD557)&amp;"")</f>
        <v/>
      </c>
      <c r="J557">
        <f>IF($AD557="","",INDEX('Per Line'!$F$2:$F$3001,$AD557)&amp;"")</f>
        <v/>
      </c>
      <c r="K557">
        <f>IF($AD557="","",INDEX('Per Line'!$K$2:$K$3001,$AD557)&amp;"")</f>
        <v/>
      </c>
      <c r="L557">
        <f>IF($AD557="","",INDEX('Per Line'!$L$2:$L$3001,$AD557)&amp;"")</f>
        <v/>
      </c>
      <c r="M557">
        <f>IF($AD557="","",INDEX('Per Line'!$M$2:$M$3001,$AD557)&amp;"")</f>
        <v/>
      </c>
      <c r="N557">
        <f>IF($AD557="","",INDEX('Per Line'!$AC$2:$AC$3001,$AD557)&amp;"")</f>
        <v/>
      </c>
      <c r="O557">
        <f>IF($AD557="","",INDEX('Per Line'!$P$2:$P$3001,$AD557))</f>
        <v/>
      </c>
      <c r="P557" s="7">
        <f>IF($AD557="","",IF(AND(ISNUMBER(Q557),Q557&gt;0,AB557&gt;Q557),O557*Q557/100+(AB557-Q557),O557*AB557/100))</f>
        <v/>
      </c>
      <c r="Q557">
        <f>IF($AD557="","",INDEX('Per Line'!$AG$2:$AG$3001,$AD557))</f>
        <v/>
      </c>
      <c r="R557">
        <f>IF($AD557="","",IF(AND(ISNUMBER(Q557),Q557&gt;0),AB557&gt;Q557,FALSE))</f>
        <v/>
      </c>
      <c r="S557" s="7">
        <f>IF($AD557="","",SUMIFS('Per Line'!$AB$2:$AB$3001,'Per Line'!$E$2:$E$3001,$B557,'Per Line'!$AQ$2:$AQ$3001,1))</f>
        <v/>
      </c>
      <c r="T557">
        <f>IF($AD557="","",Settings!$C$7)</f>
        <v/>
      </c>
      <c r="U557" s="7">
        <f>IF($AD557="","",SUMIFS('Per Line'!$AB$2:$AB$3001,'Per Line'!$E$2:$E$3001,$B557,'Per Line'!$AP$2:$AP$3001,0,'Per Line'!$AQ$2:$AQ$3001,0))</f>
        <v/>
      </c>
      <c r="V557" s="7">
        <f>IF($AD557="","",U557*T557)</f>
        <v/>
      </c>
      <c r="W557">
        <f>IF($AD557="","",Settings!$C$6)</f>
        <v/>
      </c>
      <c r="X557" s="7">
        <f>IF($AD557="","",SUMIFS('Per Line'!$AB$2:$AB$3001,'Per Line'!$E$2:$E$3001,$B557,'Per Line'!$AP$2:$AP$3001,1,'Per Line'!$AQ$2:$AQ$3001,0))</f>
        <v/>
      </c>
      <c r="Y557" s="7">
        <f>IF($AD557="","",X557*W557)</f>
        <v/>
      </c>
      <c r="Z557" s="7">
        <f>IF($AD557="","",Y557+V557)</f>
        <v/>
      </c>
      <c r="AA557" s="7">
        <f>IF($AD557="","",AB557-Z557)</f>
        <v/>
      </c>
      <c r="AB557" s="7">
        <f>IF($AD557="","",U557+X557+S557)</f>
        <v/>
      </c>
      <c r="AC557" s="7">
        <f>IF($AD557="","",AB557-Z557-P557)</f>
        <v/>
      </c>
      <c r="AD557" s="13">
        <f>IF(ROWS($AD$2:$AD557)&lt;=MAX('Per Line'!$AO$2:$AO$3001),MATCH(ROWS($AD$2:$AD557),'Per Line'!$AO$2:$AO$3001,0),"")</f>
        <v/>
      </c>
      <c r="AE557" s="14">
        <f>IF($AD557="","",P557-O557*AB557/100)</f>
        <v/>
      </c>
    </row>
    <row r="558">
      <c r="A558" s="12" t="n"/>
      <c r="B558">
        <f>IF($AD558="","",INDEX('Per Line'!$E$2:$E$3001,$AD558)&amp;"")</f>
        <v/>
      </c>
      <c r="C558">
        <f>IF($AD558="","",INDEX('Per Line'!$A$2:$A$3001,$AD558)&amp;"")</f>
        <v/>
      </c>
      <c r="D558">
        <f>IF($AD558="","",INDEX('Per Line'!$C$2:$C$3001,$AD558)&amp;"")</f>
        <v/>
      </c>
      <c r="E558">
        <f>IF($AD558="","",INDEX('Per Line'!$B$2:$B$3001,$AD558))</f>
        <v/>
      </c>
      <c r="F558">
        <f>IF($AD558="","",INDEX('Per Line'!$D$2:$D$3001,$AD558)&amp;"")</f>
        <v/>
      </c>
      <c r="G558" s="11">
        <f>IF($AD558="","",INDEX('Per Line'!$G$2:$G$3001,$AD558))</f>
        <v/>
      </c>
      <c r="H558">
        <f>IF($AD558="","",INDEX('Per Line'!$J$2:$J$3001,$AD558)&amp;"")</f>
        <v/>
      </c>
      <c r="I558">
        <f>IF($AD558="","",INDEX('Per Line'!$H$2:$H$3001,$AD558)&amp;"")</f>
        <v/>
      </c>
      <c r="J558">
        <f>IF($AD558="","",INDEX('Per Line'!$F$2:$F$3001,$AD558)&amp;"")</f>
        <v/>
      </c>
      <c r="K558">
        <f>IF($AD558="","",INDEX('Per Line'!$K$2:$K$3001,$AD558)&amp;"")</f>
        <v/>
      </c>
      <c r="L558">
        <f>IF($AD558="","",INDEX('Per Line'!$L$2:$L$3001,$AD558)&amp;"")</f>
        <v/>
      </c>
      <c r="M558">
        <f>IF($AD558="","",INDEX('Per Line'!$M$2:$M$3001,$AD558)&amp;"")</f>
        <v/>
      </c>
      <c r="N558">
        <f>IF($AD558="","",INDEX('Per Line'!$AC$2:$AC$3001,$AD558)&amp;"")</f>
        <v/>
      </c>
      <c r="O558">
        <f>IF($AD558="","",INDEX('Per Line'!$P$2:$P$3001,$AD558))</f>
        <v/>
      </c>
      <c r="P558" s="7">
        <f>IF($AD558="","",IF(AND(ISNUMBER(Q558),Q558&gt;0,AB558&gt;Q558),O558*Q558/100+(AB558-Q558),O558*AB558/100))</f>
        <v/>
      </c>
      <c r="Q558">
        <f>IF($AD558="","",INDEX('Per Line'!$AG$2:$AG$3001,$AD558))</f>
        <v/>
      </c>
      <c r="R558">
        <f>IF($AD558="","",IF(AND(ISNUMBER(Q558),Q558&gt;0),AB558&gt;Q558,FALSE))</f>
        <v/>
      </c>
      <c r="S558" s="7">
        <f>IF($AD558="","",SUMIFS('Per Line'!$AB$2:$AB$3001,'Per Line'!$E$2:$E$3001,$B558,'Per Line'!$AQ$2:$AQ$3001,1))</f>
        <v/>
      </c>
      <c r="T558">
        <f>IF($AD558="","",Settings!$C$7)</f>
        <v/>
      </c>
      <c r="U558" s="7">
        <f>IF($AD558="","",SUMIFS('Per Line'!$AB$2:$AB$3001,'Per Line'!$E$2:$E$3001,$B558,'Per Line'!$AP$2:$AP$3001,0,'Per Line'!$AQ$2:$AQ$3001,0))</f>
        <v/>
      </c>
      <c r="V558" s="7">
        <f>IF($AD558="","",U558*T558)</f>
        <v/>
      </c>
      <c r="W558">
        <f>IF($AD558="","",Settings!$C$6)</f>
        <v/>
      </c>
      <c r="X558" s="7">
        <f>IF($AD558="","",SUMIFS('Per Line'!$AB$2:$AB$3001,'Per Line'!$E$2:$E$3001,$B558,'Per Line'!$AP$2:$AP$3001,1,'Per Line'!$AQ$2:$AQ$3001,0))</f>
        <v/>
      </c>
      <c r="Y558" s="7">
        <f>IF($AD558="","",X558*W558)</f>
        <v/>
      </c>
      <c r="Z558" s="7">
        <f>IF($AD558="","",Y558+V558)</f>
        <v/>
      </c>
      <c r="AA558" s="7">
        <f>IF($AD558="","",AB558-Z558)</f>
        <v/>
      </c>
      <c r="AB558" s="7">
        <f>IF($AD558="","",U558+X558+S558)</f>
        <v/>
      </c>
      <c r="AC558" s="7">
        <f>IF($AD558="","",AB558-Z558-P558)</f>
        <v/>
      </c>
      <c r="AD558" s="13">
        <f>IF(ROWS($AD$2:$AD558)&lt;=MAX('Per Line'!$AO$2:$AO$3001),MATCH(ROWS($AD$2:$AD558),'Per Line'!$AO$2:$AO$3001,0),"")</f>
        <v/>
      </c>
      <c r="AE558" s="14">
        <f>IF($AD558="","",P558-O558*AB558/100)</f>
        <v/>
      </c>
    </row>
    <row r="559">
      <c r="A559" s="12" t="n"/>
      <c r="B559">
        <f>IF($AD559="","",INDEX('Per Line'!$E$2:$E$3001,$AD559)&amp;"")</f>
        <v/>
      </c>
      <c r="C559">
        <f>IF($AD559="","",INDEX('Per Line'!$A$2:$A$3001,$AD559)&amp;"")</f>
        <v/>
      </c>
      <c r="D559">
        <f>IF($AD559="","",INDEX('Per Line'!$C$2:$C$3001,$AD559)&amp;"")</f>
        <v/>
      </c>
      <c r="E559">
        <f>IF($AD559="","",INDEX('Per Line'!$B$2:$B$3001,$AD559))</f>
        <v/>
      </c>
      <c r="F559">
        <f>IF($AD559="","",INDEX('Per Line'!$D$2:$D$3001,$AD559)&amp;"")</f>
        <v/>
      </c>
      <c r="G559" s="11">
        <f>IF($AD559="","",INDEX('Per Line'!$G$2:$G$3001,$AD559))</f>
        <v/>
      </c>
      <c r="H559">
        <f>IF($AD559="","",INDEX('Per Line'!$J$2:$J$3001,$AD559)&amp;"")</f>
        <v/>
      </c>
      <c r="I559">
        <f>IF($AD559="","",INDEX('Per Line'!$H$2:$H$3001,$AD559)&amp;"")</f>
        <v/>
      </c>
      <c r="J559">
        <f>IF($AD559="","",INDEX('Per Line'!$F$2:$F$3001,$AD559)&amp;"")</f>
        <v/>
      </c>
      <c r="K559">
        <f>IF($AD559="","",INDEX('Per Line'!$K$2:$K$3001,$AD559)&amp;"")</f>
        <v/>
      </c>
      <c r="L559">
        <f>IF($AD559="","",INDEX('Per Line'!$L$2:$L$3001,$AD559)&amp;"")</f>
        <v/>
      </c>
      <c r="M559">
        <f>IF($AD559="","",INDEX('Per Line'!$M$2:$M$3001,$AD559)&amp;"")</f>
        <v/>
      </c>
      <c r="N559">
        <f>IF($AD559="","",INDEX('Per Line'!$AC$2:$AC$3001,$AD559)&amp;"")</f>
        <v/>
      </c>
      <c r="O559">
        <f>IF($AD559="","",INDEX('Per Line'!$P$2:$P$3001,$AD559))</f>
        <v/>
      </c>
      <c r="P559" s="7">
        <f>IF($AD559="","",IF(AND(ISNUMBER(Q559),Q559&gt;0,AB559&gt;Q559),O559*Q559/100+(AB559-Q559),O559*AB559/100))</f>
        <v/>
      </c>
      <c r="Q559">
        <f>IF($AD559="","",INDEX('Per Line'!$AG$2:$AG$3001,$AD559))</f>
        <v/>
      </c>
      <c r="R559">
        <f>IF($AD559="","",IF(AND(ISNUMBER(Q559),Q559&gt;0),AB559&gt;Q559,FALSE))</f>
        <v/>
      </c>
      <c r="S559" s="7">
        <f>IF($AD559="","",SUMIFS('Per Line'!$AB$2:$AB$3001,'Per Line'!$E$2:$E$3001,$B559,'Per Line'!$AQ$2:$AQ$3001,1))</f>
        <v/>
      </c>
      <c r="T559">
        <f>IF($AD559="","",Settings!$C$7)</f>
        <v/>
      </c>
      <c r="U559" s="7">
        <f>IF($AD559="","",SUMIFS('Per Line'!$AB$2:$AB$3001,'Per Line'!$E$2:$E$3001,$B559,'Per Line'!$AP$2:$AP$3001,0,'Per Line'!$AQ$2:$AQ$3001,0))</f>
        <v/>
      </c>
      <c r="V559" s="7">
        <f>IF($AD559="","",U559*T559)</f>
        <v/>
      </c>
      <c r="W559">
        <f>IF($AD559="","",Settings!$C$6)</f>
        <v/>
      </c>
      <c r="X559" s="7">
        <f>IF($AD559="","",SUMIFS('Per Line'!$AB$2:$AB$3001,'Per Line'!$E$2:$E$3001,$B559,'Per Line'!$AP$2:$AP$3001,1,'Per Line'!$AQ$2:$AQ$3001,0))</f>
        <v/>
      </c>
      <c r="Y559" s="7">
        <f>IF($AD559="","",X559*W559)</f>
        <v/>
      </c>
      <c r="Z559" s="7">
        <f>IF($AD559="","",Y559+V559)</f>
        <v/>
      </c>
      <c r="AA559" s="7">
        <f>IF($AD559="","",AB559-Z559)</f>
        <v/>
      </c>
      <c r="AB559" s="7">
        <f>IF($AD559="","",U559+X559+S559)</f>
        <v/>
      </c>
      <c r="AC559" s="7">
        <f>IF($AD559="","",AB559-Z559-P559)</f>
        <v/>
      </c>
      <c r="AD559" s="13">
        <f>IF(ROWS($AD$2:$AD559)&lt;=MAX('Per Line'!$AO$2:$AO$3001),MATCH(ROWS($AD$2:$AD559),'Per Line'!$AO$2:$AO$3001,0),"")</f>
        <v/>
      </c>
      <c r="AE559" s="14">
        <f>IF($AD559="","",P559-O559*AB559/100)</f>
        <v/>
      </c>
    </row>
    <row r="560">
      <c r="A560" s="12" t="n"/>
      <c r="B560">
        <f>IF($AD560="","",INDEX('Per Line'!$E$2:$E$3001,$AD560)&amp;"")</f>
        <v/>
      </c>
      <c r="C560">
        <f>IF($AD560="","",INDEX('Per Line'!$A$2:$A$3001,$AD560)&amp;"")</f>
        <v/>
      </c>
      <c r="D560">
        <f>IF($AD560="","",INDEX('Per Line'!$C$2:$C$3001,$AD560)&amp;"")</f>
        <v/>
      </c>
      <c r="E560">
        <f>IF($AD560="","",INDEX('Per Line'!$B$2:$B$3001,$AD560))</f>
        <v/>
      </c>
      <c r="F560">
        <f>IF($AD560="","",INDEX('Per Line'!$D$2:$D$3001,$AD560)&amp;"")</f>
        <v/>
      </c>
      <c r="G560" s="11">
        <f>IF($AD560="","",INDEX('Per Line'!$G$2:$G$3001,$AD560))</f>
        <v/>
      </c>
      <c r="H560">
        <f>IF($AD560="","",INDEX('Per Line'!$J$2:$J$3001,$AD560)&amp;"")</f>
        <v/>
      </c>
      <c r="I560">
        <f>IF($AD560="","",INDEX('Per Line'!$H$2:$H$3001,$AD560)&amp;"")</f>
        <v/>
      </c>
      <c r="J560">
        <f>IF($AD560="","",INDEX('Per Line'!$F$2:$F$3001,$AD560)&amp;"")</f>
        <v/>
      </c>
      <c r="K560">
        <f>IF($AD560="","",INDEX('Per Line'!$K$2:$K$3001,$AD560)&amp;"")</f>
        <v/>
      </c>
      <c r="L560">
        <f>IF($AD560="","",INDEX('Per Line'!$L$2:$L$3001,$AD560)&amp;"")</f>
        <v/>
      </c>
      <c r="M560">
        <f>IF($AD560="","",INDEX('Per Line'!$M$2:$M$3001,$AD560)&amp;"")</f>
        <v/>
      </c>
      <c r="N560">
        <f>IF($AD560="","",INDEX('Per Line'!$AC$2:$AC$3001,$AD560)&amp;"")</f>
        <v/>
      </c>
      <c r="O560">
        <f>IF($AD560="","",INDEX('Per Line'!$P$2:$P$3001,$AD560))</f>
        <v/>
      </c>
      <c r="P560" s="7">
        <f>IF($AD560="","",IF(AND(ISNUMBER(Q560),Q560&gt;0,AB560&gt;Q560),O560*Q560/100+(AB560-Q560),O560*AB560/100))</f>
        <v/>
      </c>
      <c r="Q560">
        <f>IF($AD560="","",INDEX('Per Line'!$AG$2:$AG$3001,$AD560))</f>
        <v/>
      </c>
      <c r="R560">
        <f>IF($AD560="","",IF(AND(ISNUMBER(Q560),Q560&gt;0),AB560&gt;Q560,FALSE))</f>
        <v/>
      </c>
      <c r="S560" s="7">
        <f>IF($AD560="","",SUMIFS('Per Line'!$AB$2:$AB$3001,'Per Line'!$E$2:$E$3001,$B560,'Per Line'!$AQ$2:$AQ$3001,1))</f>
        <v/>
      </c>
      <c r="T560">
        <f>IF($AD560="","",Settings!$C$7)</f>
        <v/>
      </c>
      <c r="U560" s="7">
        <f>IF($AD560="","",SUMIFS('Per Line'!$AB$2:$AB$3001,'Per Line'!$E$2:$E$3001,$B560,'Per Line'!$AP$2:$AP$3001,0,'Per Line'!$AQ$2:$AQ$3001,0))</f>
        <v/>
      </c>
      <c r="V560" s="7">
        <f>IF($AD560="","",U560*T560)</f>
        <v/>
      </c>
      <c r="W560">
        <f>IF($AD560="","",Settings!$C$6)</f>
        <v/>
      </c>
      <c r="X560" s="7">
        <f>IF($AD560="","",SUMIFS('Per Line'!$AB$2:$AB$3001,'Per Line'!$E$2:$E$3001,$B560,'Per Line'!$AP$2:$AP$3001,1,'Per Line'!$AQ$2:$AQ$3001,0))</f>
        <v/>
      </c>
      <c r="Y560" s="7">
        <f>IF($AD560="","",X560*W560)</f>
        <v/>
      </c>
      <c r="Z560" s="7">
        <f>IF($AD560="","",Y560+V560)</f>
        <v/>
      </c>
      <c r="AA560" s="7">
        <f>IF($AD560="","",AB560-Z560)</f>
        <v/>
      </c>
      <c r="AB560" s="7">
        <f>IF($AD560="","",U560+X560+S560)</f>
        <v/>
      </c>
      <c r="AC560" s="7">
        <f>IF($AD560="","",AB560-Z560-P560)</f>
        <v/>
      </c>
      <c r="AD560" s="13">
        <f>IF(ROWS($AD$2:$AD560)&lt;=MAX('Per Line'!$AO$2:$AO$3001),MATCH(ROWS($AD$2:$AD560),'Per Line'!$AO$2:$AO$3001,0),"")</f>
        <v/>
      </c>
      <c r="AE560" s="14">
        <f>IF($AD560="","",P560-O560*AB560/100)</f>
        <v/>
      </c>
    </row>
    <row r="561">
      <c r="A561" s="12" t="n"/>
      <c r="B561">
        <f>IF($AD561="","",INDEX('Per Line'!$E$2:$E$3001,$AD561)&amp;"")</f>
        <v/>
      </c>
      <c r="C561">
        <f>IF($AD561="","",INDEX('Per Line'!$A$2:$A$3001,$AD561)&amp;"")</f>
        <v/>
      </c>
      <c r="D561">
        <f>IF($AD561="","",INDEX('Per Line'!$C$2:$C$3001,$AD561)&amp;"")</f>
        <v/>
      </c>
      <c r="E561">
        <f>IF($AD561="","",INDEX('Per Line'!$B$2:$B$3001,$AD561))</f>
        <v/>
      </c>
      <c r="F561">
        <f>IF($AD561="","",INDEX('Per Line'!$D$2:$D$3001,$AD561)&amp;"")</f>
        <v/>
      </c>
      <c r="G561" s="11">
        <f>IF($AD561="","",INDEX('Per Line'!$G$2:$G$3001,$AD561))</f>
        <v/>
      </c>
      <c r="H561">
        <f>IF($AD561="","",INDEX('Per Line'!$J$2:$J$3001,$AD561)&amp;"")</f>
        <v/>
      </c>
      <c r="I561">
        <f>IF($AD561="","",INDEX('Per Line'!$H$2:$H$3001,$AD561)&amp;"")</f>
        <v/>
      </c>
      <c r="J561">
        <f>IF($AD561="","",INDEX('Per Line'!$F$2:$F$3001,$AD561)&amp;"")</f>
        <v/>
      </c>
      <c r="K561">
        <f>IF($AD561="","",INDEX('Per Line'!$K$2:$K$3001,$AD561)&amp;"")</f>
        <v/>
      </c>
      <c r="L561">
        <f>IF($AD561="","",INDEX('Per Line'!$L$2:$L$3001,$AD561)&amp;"")</f>
        <v/>
      </c>
      <c r="M561">
        <f>IF($AD561="","",INDEX('Per Line'!$M$2:$M$3001,$AD561)&amp;"")</f>
        <v/>
      </c>
      <c r="N561">
        <f>IF($AD561="","",INDEX('Per Line'!$AC$2:$AC$3001,$AD561)&amp;"")</f>
        <v/>
      </c>
      <c r="O561">
        <f>IF($AD561="","",INDEX('Per Line'!$P$2:$P$3001,$AD561))</f>
        <v/>
      </c>
      <c r="P561" s="7">
        <f>IF($AD561="","",IF(AND(ISNUMBER(Q561),Q561&gt;0,AB561&gt;Q561),O561*Q561/100+(AB561-Q561),O561*AB561/100))</f>
        <v/>
      </c>
      <c r="Q561">
        <f>IF($AD561="","",INDEX('Per Line'!$AG$2:$AG$3001,$AD561))</f>
        <v/>
      </c>
      <c r="R561">
        <f>IF($AD561="","",IF(AND(ISNUMBER(Q561),Q561&gt;0),AB561&gt;Q561,FALSE))</f>
        <v/>
      </c>
      <c r="S561" s="7">
        <f>IF($AD561="","",SUMIFS('Per Line'!$AB$2:$AB$3001,'Per Line'!$E$2:$E$3001,$B561,'Per Line'!$AQ$2:$AQ$3001,1))</f>
        <v/>
      </c>
      <c r="T561">
        <f>IF($AD561="","",Settings!$C$7)</f>
        <v/>
      </c>
      <c r="U561" s="7">
        <f>IF($AD561="","",SUMIFS('Per Line'!$AB$2:$AB$3001,'Per Line'!$E$2:$E$3001,$B561,'Per Line'!$AP$2:$AP$3001,0,'Per Line'!$AQ$2:$AQ$3001,0))</f>
        <v/>
      </c>
      <c r="V561" s="7">
        <f>IF($AD561="","",U561*T561)</f>
        <v/>
      </c>
      <c r="W561">
        <f>IF($AD561="","",Settings!$C$6)</f>
        <v/>
      </c>
      <c r="X561" s="7">
        <f>IF($AD561="","",SUMIFS('Per Line'!$AB$2:$AB$3001,'Per Line'!$E$2:$E$3001,$B561,'Per Line'!$AP$2:$AP$3001,1,'Per Line'!$AQ$2:$AQ$3001,0))</f>
        <v/>
      </c>
      <c r="Y561" s="7">
        <f>IF($AD561="","",X561*W561)</f>
        <v/>
      </c>
      <c r="Z561" s="7">
        <f>IF($AD561="","",Y561+V561)</f>
        <v/>
      </c>
      <c r="AA561" s="7">
        <f>IF($AD561="","",AB561-Z561)</f>
        <v/>
      </c>
      <c r="AB561" s="7">
        <f>IF($AD561="","",U561+X561+S561)</f>
        <v/>
      </c>
      <c r="AC561" s="7">
        <f>IF($AD561="","",AB561-Z561-P561)</f>
        <v/>
      </c>
      <c r="AD561" s="13">
        <f>IF(ROWS($AD$2:$AD561)&lt;=MAX('Per Line'!$AO$2:$AO$3001),MATCH(ROWS($AD$2:$AD561),'Per Line'!$AO$2:$AO$3001,0),"")</f>
        <v/>
      </c>
      <c r="AE561" s="14">
        <f>IF($AD561="","",P561-O561*AB561/100)</f>
        <v/>
      </c>
    </row>
    <row r="562">
      <c r="A562" s="12" t="n"/>
      <c r="B562">
        <f>IF($AD562="","",INDEX('Per Line'!$E$2:$E$3001,$AD562)&amp;"")</f>
        <v/>
      </c>
      <c r="C562">
        <f>IF($AD562="","",INDEX('Per Line'!$A$2:$A$3001,$AD562)&amp;"")</f>
        <v/>
      </c>
      <c r="D562">
        <f>IF($AD562="","",INDEX('Per Line'!$C$2:$C$3001,$AD562)&amp;"")</f>
        <v/>
      </c>
      <c r="E562">
        <f>IF($AD562="","",INDEX('Per Line'!$B$2:$B$3001,$AD562))</f>
        <v/>
      </c>
      <c r="F562">
        <f>IF($AD562="","",INDEX('Per Line'!$D$2:$D$3001,$AD562)&amp;"")</f>
        <v/>
      </c>
      <c r="G562" s="11">
        <f>IF($AD562="","",INDEX('Per Line'!$G$2:$G$3001,$AD562))</f>
        <v/>
      </c>
      <c r="H562">
        <f>IF($AD562="","",INDEX('Per Line'!$J$2:$J$3001,$AD562)&amp;"")</f>
        <v/>
      </c>
      <c r="I562">
        <f>IF($AD562="","",INDEX('Per Line'!$H$2:$H$3001,$AD562)&amp;"")</f>
        <v/>
      </c>
      <c r="J562">
        <f>IF($AD562="","",INDEX('Per Line'!$F$2:$F$3001,$AD562)&amp;"")</f>
        <v/>
      </c>
      <c r="K562">
        <f>IF($AD562="","",INDEX('Per Line'!$K$2:$K$3001,$AD562)&amp;"")</f>
        <v/>
      </c>
      <c r="L562">
        <f>IF($AD562="","",INDEX('Per Line'!$L$2:$L$3001,$AD562)&amp;"")</f>
        <v/>
      </c>
      <c r="M562">
        <f>IF($AD562="","",INDEX('Per Line'!$M$2:$M$3001,$AD562)&amp;"")</f>
        <v/>
      </c>
      <c r="N562">
        <f>IF($AD562="","",INDEX('Per Line'!$AC$2:$AC$3001,$AD562)&amp;"")</f>
        <v/>
      </c>
      <c r="O562">
        <f>IF($AD562="","",INDEX('Per Line'!$P$2:$P$3001,$AD562))</f>
        <v/>
      </c>
      <c r="P562" s="7">
        <f>IF($AD562="","",IF(AND(ISNUMBER(Q562),Q562&gt;0,AB562&gt;Q562),O562*Q562/100+(AB562-Q562),O562*AB562/100))</f>
        <v/>
      </c>
      <c r="Q562">
        <f>IF($AD562="","",INDEX('Per Line'!$AG$2:$AG$3001,$AD562))</f>
        <v/>
      </c>
      <c r="R562">
        <f>IF($AD562="","",IF(AND(ISNUMBER(Q562),Q562&gt;0),AB562&gt;Q562,FALSE))</f>
        <v/>
      </c>
      <c r="S562" s="7">
        <f>IF($AD562="","",SUMIFS('Per Line'!$AB$2:$AB$3001,'Per Line'!$E$2:$E$3001,$B562,'Per Line'!$AQ$2:$AQ$3001,1))</f>
        <v/>
      </c>
      <c r="T562">
        <f>IF($AD562="","",Settings!$C$7)</f>
        <v/>
      </c>
      <c r="U562" s="7">
        <f>IF($AD562="","",SUMIFS('Per Line'!$AB$2:$AB$3001,'Per Line'!$E$2:$E$3001,$B562,'Per Line'!$AP$2:$AP$3001,0,'Per Line'!$AQ$2:$AQ$3001,0))</f>
        <v/>
      </c>
      <c r="V562" s="7">
        <f>IF($AD562="","",U562*T562)</f>
        <v/>
      </c>
      <c r="W562">
        <f>IF($AD562="","",Settings!$C$6)</f>
        <v/>
      </c>
      <c r="X562" s="7">
        <f>IF($AD562="","",SUMIFS('Per Line'!$AB$2:$AB$3001,'Per Line'!$E$2:$E$3001,$B562,'Per Line'!$AP$2:$AP$3001,1,'Per Line'!$AQ$2:$AQ$3001,0))</f>
        <v/>
      </c>
      <c r="Y562" s="7">
        <f>IF($AD562="","",X562*W562)</f>
        <v/>
      </c>
      <c r="Z562" s="7">
        <f>IF($AD562="","",Y562+V562)</f>
        <v/>
      </c>
      <c r="AA562" s="7">
        <f>IF($AD562="","",AB562-Z562)</f>
        <v/>
      </c>
      <c r="AB562" s="7">
        <f>IF($AD562="","",U562+X562+S562)</f>
        <v/>
      </c>
      <c r="AC562" s="7">
        <f>IF($AD562="","",AB562-Z562-P562)</f>
        <v/>
      </c>
      <c r="AD562" s="13">
        <f>IF(ROWS($AD$2:$AD562)&lt;=MAX('Per Line'!$AO$2:$AO$3001),MATCH(ROWS($AD$2:$AD562),'Per Line'!$AO$2:$AO$3001,0),"")</f>
        <v/>
      </c>
      <c r="AE562" s="14">
        <f>IF($AD562="","",P562-O562*AB562/100)</f>
        <v/>
      </c>
    </row>
    <row r="563">
      <c r="A563" s="12" t="n"/>
      <c r="B563">
        <f>IF($AD563="","",INDEX('Per Line'!$E$2:$E$3001,$AD563)&amp;"")</f>
        <v/>
      </c>
      <c r="C563">
        <f>IF($AD563="","",INDEX('Per Line'!$A$2:$A$3001,$AD563)&amp;"")</f>
        <v/>
      </c>
      <c r="D563">
        <f>IF($AD563="","",INDEX('Per Line'!$C$2:$C$3001,$AD563)&amp;"")</f>
        <v/>
      </c>
      <c r="E563">
        <f>IF($AD563="","",INDEX('Per Line'!$B$2:$B$3001,$AD563))</f>
        <v/>
      </c>
      <c r="F563">
        <f>IF($AD563="","",INDEX('Per Line'!$D$2:$D$3001,$AD563)&amp;"")</f>
        <v/>
      </c>
      <c r="G563" s="11">
        <f>IF($AD563="","",INDEX('Per Line'!$G$2:$G$3001,$AD563))</f>
        <v/>
      </c>
      <c r="H563">
        <f>IF($AD563="","",INDEX('Per Line'!$J$2:$J$3001,$AD563)&amp;"")</f>
        <v/>
      </c>
      <c r="I563">
        <f>IF($AD563="","",INDEX('Per Line'!$H$2:$H$3001,$AD563)&amp;"")</f>
        <v/>
      </c>
      <c r="J563">
        <f>IF($AD563="","",INDEX('Per Line'!$F$2:$F$3001,$AD563)&amp;"")</f>
        <v/>
      </c>
      <c r="K563">
        <f>IF($AD563="","",INDEX('Per Line'!$K$2:$K$3001,$AD563)&amp;"")</f>
        <v/>
      </c>
      <c r="L563">
        <f>IF($AD563="","",INDEX('Per Line'!$L$2:$L$3001,$AD563)&amp;"")</f>
        <v/>
      </c>
      <c r="M563">
        <f>IF($AD563="","",INDEX('Per Line'!$M$2:$M$3001,$AD563)&amp;"")</f>
        <v/>
      </c>
      <c r="N563">
        <f>IF($AD563="","",INDEX('Per Line'!$AC$2:$AC$3001,$AD563)&amp;"")</f>
        <v/>
      </c>
      <c r="O563">
        <f>IF($AD563="","",INDEX('Per Line'!$P$2:$P$3001,$AD563))</f>
        <v/>
      </c>
      <c r="P563" s="7">
        <f>IF($AD563="","",IF(AND(ISNUMBER(Q563),Q563&gt;0,AB563&gt;Q563),O563*Q563/100+(AB563-Q563),O563*AB563/100))</f>
        <v/>
      </c>
      <c r="Q563">
        <f>IF($AD563="","",INDEX('Per Line'!$AG$2:$AG$3001,$AD563))</f>
        <v/>
      </c>
      <c r="R563">
        <f>IF($AD563="","",IF(AND(ISNUMBER(Q563),Q563&gt;0),AB563&gt;Q563,FALSE))</f>
        <v/>
      </c>
      <c r="S563" s="7">
        <f>IF($AD563="","",SUMIFS('Per Line'!$AB$2:$AB$3001,'Per Line'!$E$2:$E$3001,$B563,'Per Line'!$AQ$2:$AQ$3001,1))</f>
        <v/>
      </c>
      <c r="T563">
        <f>IF($AD563="","",Settings!$C$7)</f>
        <v/>
      </c>
      <c r="U563" s="7">
        <f>IF($AD563="","",SUMIFS('Per Line'!$AB$2:$AB$3001,'Per Line'!$E$2:$E$3001,$B563,'Per Line'!$AP$2:$AP$3001,0,'Per Line'!$AQ$2:$AQ$3001,0))</f>
        <v/>
      </c>
      <c r="V563" s="7">
        <f>IF($AD563="","",U563*T563)</f>
        <v/>
      </c>
      <c r="W563">
        <f>IF($AD563="","",Settings!$C$6)</f>
        <v/>
      </c>
      <c r="X563" s="7">
        <f>IF($AD563="","",SUMIFS('Per Line'!$AB$2:$AB$3001,'Per Line'!$E$2:$E$3001,$B563,'Per Line'!$AP$2:$AP$3001,1,'Per Line'!$AQ$2:$AQ$3001,0))</f>
        <v/>
      </c>
      <c r="Y563" s="7">
        <f>IF($AD563="","",X563*W563)</f>
        <v/>
      </c>
      <c r="Z563" s="7">
        <f>IF($AD563="","",Y563+V563)</f>
        <v/>
      </c>
      <c r="AA563" s="7">
        <f>IF($AD563="","",AB563-Z563)</f>
        <v/>
      </c>
      <c r="AB563" s="7">
        <f>IF($AD563="","",U563+X563+S563)</f>
        <v/>
      </c>
      <c r="AC563" s="7">
        <f>IF($AD563="","",AB563-Z563-P563)</f>
        <v/>
      </c>
      <c r="AD563" s="13">
        <f>IF(ROWS($AD$2:$AD563)&lt;=MAX('Per Line'!$AO$2:$AO$3001),MATCH(ROWS($AD$2:$AD563),'Per Line'!$AO$2:$AO$3001,0),"")</f>
        <v/>
      </c>
      <c r="AE563" s="14">
        <f>IF($AD563="","",P563-O563*AB563/100)</f>
        <v/>
      </c>
    </row>
    <row r="564">
      <c r="A564" s="12" t="n"/>
      <c r="B564">
        <f>IF($AD564="","",INDEX('Per Line'!$E$2:$E$3001,$AD564)&amp;"")</f>
        <v/>
      </c>
      <c r="C564">
        <f>IF($AD564="","",INDEX('Per Line'!$A$2:$A$3001,$AD564)&amp;"")</f>
        <v/>
      </c>
      <c r="D564">
        <f>IF($AD564="","",INDEX('Per Line'!$C$2:$C$3001,$AD564)&amp;"")</f>
        <v/>
      </c>
      <c r="E564">
        <f>IF($AD564="","",INDEX('Per Line'!$B$2:$B$3001,$AD564))</f>
        <v/>
      </c>
      <c r="F564">
        <f>IF($AD564="","",INDEX('Per Line'!$D$2:$D$3001,$AD564)&amp;"")</f>
        <v/>
      </c>
      <c r="G564" s="11">
        <f>IF($AD564="","",INDEX('Per Line'!$G$2:$G$3001,$AD564))</f>
        <v/>
      </c>
      <c r="H564">
        <f>IF($AD564="","",INDEX('Per Line'!$J$2:$J$3001,$AD564)&amp;"")</f>
        <v/>
      </c>
      <c r="I564">
        <f>IF($AD564="","",INDEX('Per Line'!$H$2:$H$3001,$AD564)&amp;"")</f>
        <v/>
      </c>
      <c r="J564">
        <f>IF($AD564="","",INDEX('Per Line'!$F$2:$F$3001,$AD564)&amp;"")</f>
        <v/>
      </c>
      <c r="K564">
        <f>IF($AD564="","",INDEX('Per Line'!$K$2:$K$3001,$AD564)&amp;"")</f>
        <v/>
      </c>
      <c r="L564">
        <f>IF($AD564="","",INDEX('Per Line'!$L$2:$L$3001,$AD564)&amp;"")</f>
        <v/>
      </c>
      <c r="M564">
        <f>IF($AD564="","",INDEX('Per Line'!$M$2:$M$3001,$AD564)&amp;"")</f>
        <v/>
      </c>
      <c r="N564">
        <f>IF($AD564="","",INDEX('Per Line'!$AC$2:$AC$3001,$AD564)&amp;"")</f>
        <v/>
      </c>
      <c r="O564">
        <f>IF($AD564="","",INDEX('Per Line'!$P$2:$P$3001,$AD564))</f>
        <v/>
      </c>
      <c r="P564" s="7">
        <f>IF($AD564="","",IF(AND(ISNUMBER(Q564),Q564&gt;0,AB564&gt;Q564),O564*Q564/100+(AB564-Q564),O564*AB564/100))</f>
        <v/>
      </c>
      <c r="Q564">
        <f>IF($AD564="","",INDEX('Per Line'!$AG$2:$AG$3001,$AD564))</f>
        <v/>
      </c>
      <c r="R564">
        <f>IF($AD564="","",IF(AND(ISNUMBER(Q564),Q564&gt;0),AB564&gt;Q564,FALSE))</f>
        <v/>
      </c>
      <c r="S564" s="7">
        <f>IF($AD564="","",SUMIFS('Per Line'!$AB$2:$AB$3001,'Per Line'!$E$2:$E$3001,$B564,'Per Line'!$AQ$2:$AQ$3001,1))</f>
        <v/>
      </c>
      <c r="T564">
        <f>IF($AD564="","",Settings!$C$7)</f>
        <v/>
      </c>
      <c r="U564" s="7">
        <f>IF($AD564="","",SUMIFS('Per Line'!$AB$2:$AB$3001,'Per Line'!$E$2:$E$3001,$B564,'Per Line'!$AP$2:$AP$3001,0,'Per Line'!$AQ$2:$AQ$3001,0))</f>
        <v/>
      </c>
      <c r="V564" s="7">
        <f>IF($AD564="","",U564*T564)</f>
        <v/>
      </c>
      <c r="W564">
        <f>IF($AD564="","",Settings!$C$6)</f>
        <v/>
      </c>
      <c r="X564" s="7">
        <f>IF($AD564="","",SUMIFS('Per Line'!$AB$2:$AB$3001,'Per Line'!$E$2:$E$3001,$B564,'Per Line'!$AP$2:$AP$3001,1,'Per Line'!$AQ$2:$AQ$3001,0))</f>
        <v/>
      </c>
      <c r="Y564" s="7">
        <f>IF($AD564="","",X564*W564)</f>
        <v/>
      </c>
      <c r="Z564" s="7">
        <f>IF($AD564="","",Y564+V564)</f>
        <v/>
      </c>
      <c r="AA564" s="7">
        <f>IF($AD564="","",AB564-Z564)</f>
        <v/>
      </c>
      <c r="AB564" s="7">
        <f>IF($AD564="","",U564+X564+S564)</f>
        <v/>
      </c>
      <c r="AC564" s="7">
        <f>IF($AD564="","",AB564-Z564-P564)</f>
        <v/>
      </c>
      <c r="AD564" s="13">
        <f>IF(ROWS($AD$2:$AD564)&lt;=MAX('Per Line'!$AO$2:$AO$3001),MATCH(ROWS($AD$2:$AD564),'Per Line'!$AO$2:$AO$3001,0),"")</f>
        <v/>
      </c>
      <c r="AE564" s="14">
        <f>IF($AD564="","",P564-O564*AB564/100)</f>
        <v/>
      </c>
    </row>
    <row r="565">
      <c r="A565" s="12" t="n"/>
      <c r="B565">
        <f>IF($AD565="","",INDEX('Per Line'!$E$2:$E$3001,$AD565)&amp;"")</f>
        <v/>
      </c>
      <c r="C565">
        <f>IF($AD565="","",INDEX('Per Line'!$A$2:$A$3001,$AD565)&amp;"")</f>
        <v/>
      </c>
      <c r="D565">
        <f>IF($AD565="","",INDEX('Per Line'!$C$2:$C$3001,$AD565)&amp;"")</f>
        <v/>
      </c>
      <c r="E565">
        <f>IF($AD565="","",INDEX('Per Line'!$B$2:$B$3001,$AD565))</f>
        <v/>
      </c>
      <c r="F565">
        <f>IF($AD565="","",INDEX('Per Line'!$D$2:$D$3001,$AD565)&amp;"")</f>
        <v/>
      </c>
      <c r="G565" s="11">
        <f>IF($AD565="","",INDEX('Per Line'!$G$2:$G$3001,$AD565))</f>
        <v/>
      </c>
      <c r="H565">
        <f>IF($AD565="","",INDEX('Per Line'!$J$2:$J$3001,$AD565)&amp;"")</f>
        <v/>
      </c>
      <c r="I565">
        <f>IF($AD565="","",INDEX('Per Line'!$H$2:$H$3001,$AD565)&amp;"")</f>
        <v/>
      </c>
      <c r="J565">
        <f>IF($AD565="","",INDEX('Per Line'!$F$2:$F$3001,$AD565)&amp;"")</f>
        <v/>
      </c>
      <c r="K565">
        <f>IF($AD565="","",INDEX('Per Line'!$K$2:$K$3001,$AD565)&amp;"")</f>
        <v/>
      </c>
      <c r="L565">
        <f>IF($AD565="","",INDEX('Per Line'!$L$2:$L$3001,$AD565)&amp;"")</f>
        <v/>
      </c>
      <c r="M565">
        <f>IF($AD565="","",INDEX('Per Line'!$M$2:$M$3001,$AD565)&amp;"")</f>
        <v/>
      </c>
      <c r="N565">
        <f>IF($AD565="","",INDEX('Per Line'!$AC$2:$AC$3001,$AD565)&amp;"")</f>
        <v/>
      </c>
      <c r="O565">
        <f>IF($AD565="","",INDEX('Per Line'!$P$2:$P$3001,$AD565))</f>
        <v/>
      </c>
      <c r="P565" s="7">
        <f>IF($AD565="","",IF(AND(ISNUMBER(Q565),Q565&gt;0,AB565&gt;Q565),O565*Q565/100+(AB565-Q565),O565*AB565/100))</f>
        <v/>
      </c>
      <c r="Q565">
        <f>IF($AD565="","",INDEX('Per Line'!$AG$2:$AG$3001,$AD565))</f>
        <v/>
      </c>
      <c r="R565">
        <f>IF($AD565="","",IF(AND(ISNUMBER(Q565),Q565&gt;0),AB565&gt;Q565,FALSE))</f>
        <v/>
      </c>
      <c r="S565" s="7">
        <f>IF($AD565="","",SUMIFS('Per Line'!$AB$2:$AB$3001,'Per Line'!$E$2:$E$3001,$B565,'Per Line'!$AQ$2:$AQ$3001,1))</f>
        <v/>
      </c>
      <c r="T565">
        <f>IF($AD565="","",Settings!$C$7)</f>
        <v/>
      </c>
      <c r="U565" s="7">
        <f>IF($AD565="","",SUMIFS('Per Line'!$AB$2:$AB$3001,'Per Line'!$E$2:$E$3001,$B565,'Per Line'!$AP$2:$AP$3001,0,'Per Line'!$AQ$2:$AQ$3001,0))</f>
        <v/>
      </c>
      <c r="V565" s="7">
        <f>IF($AD565="","",U565*T565)</f>
        <v/>
      </c>
      <c r="W565">
        <f>IF($AD565="","",Settings!$C$6)</f>
        <v/>
      </c>
      <c r="X565" s="7">
        <f>IF($AD565="","",SUMIFS('Per Line'!$AB$2:$AB$3001,'Per Line'!$E$2:$E$3001,$B565,'Per Line'!$AP$2:$AP$3001,1,'Per Line'!$AQ$2:$AQ$3001,0))</f>
        <v/>
      </c>
      <c r="Y565" s="7">
        <f>IF($AD565="","",X565*W565)</f>
        <v/>
      </c>
      <c r="Z565" s="7">
        <f>IF($AD565="","",Y565+V565)</f>
        <v/>
      </c>
      <c r="AA565" s="7">
        <f>IF($AD565="","",AB565-Z565)</f>
        <v/>
      </c>
      <c r="AB565" s="7">
        <f>IF($AD565="","",U565+X565+S565)</f>
        <v/>
      </c>
      <c r="AC565" s="7">
        <f>IF($AD565="","",AB565-Z565-P565)</f>
        <v/>
      </c>
      <c r="AD565" s="13">
        <f>IF(ROWS($AD$2:$AD565)&lt;=MAX('Per Line'!$AO$2:$AO$3001),MATCH(ROWS($AD$2:$AD565),'Per Line'!$AO$2:$AO$3001,0),"")</f>
        <v/>
      </c>
      <c r="AE565" s="14">
        <f>IF($AD565="","",P565-O565*AB565/100)</f>
        <v/>
      </c>
    </row>
    <row r="566">
      <c r="A566" s="12" t="n"/>
      <c r="B566">
        <f>IF($AD566="","",INDEX('Per Line'!$E$2:$E$3001,$AD566)&amp;"")</f>
        <v/>
      </c>
      <c r="C566">
        <f>IF($AD566="","",INDEX('Per Line'!$A$2:$A$3001,$AD566)&amp;"")</f>
        <v/>
      </c>
      <c r="D566">
        <f>IF($AD566="","",INDEX('Per Line'!$C$2:$C$3001,$AD566)&amp;"")</f>
        <v/>
      </c>
      <c r="E566">
        <f>IF($AD566="","",INDEX('Per Line'!$B$2:$B$3001,$AD566))</f>
        <v/>
      </c>
      <c r="F566">
        <f>IF($AD566="","",INDEX('Per Line'!$D$2:$D$3001,$AD566)&amp;"")</f>
        <v/>
      </c>
      <c r="G566" s="11">
        <f>IF($AD566="","",INDEX('Per Line'!$G$2:$G$3001,$AD566))</f>
        <v/>
      </c>
      <c r="H566">
        <f>IF($AD566="","",INDEX('Per Line'!$J$2:$J$3001,$AD566)&amp;"")</f>
        <v/>
      </c>
      <c r="I566">
        <f>IF($AD566="","",INDEX('Per Line'!$H$2:$H$3001,$AD566)&amp;"")</f>
        <v/>
      </c>
      <c r="J566">
        <f>IF($AD566="","",INDEX('Per Line'!$F$2:$F$3001,$AD566)&amp;"")</f>
        <v/>
      </c>
      <c r="K566">
        <f>IF($AD566="","",INDEX('Per Line'!$K$2:$K$3001,$AD566)&amp;"")</f>
        <v/>
      </c>
      <c r="L566">
        <f>IF($AD566="","",INDEX('Per Line'!$L$2:$L$3001,$AD566)&amp;"")</f>
        <v/>
      </c>
      <c r="M566">
        <f>IF($AD566="","",INDEX('Per Line'!$M$2:$M$3001,$AD566)&amp;"")</f>
        <v/>
      </c>
      <c r="N566">
        <f>IF($AD566="","",INDEX('Per Line'!$AC$2:$AC$3001,$AD566)&amp;"")</f>
        <v/>
      </c>
      <c r="O566">
        <f>IF($AD566="","",INDEX('Per Line'!$P$2:$P$3001,$AD566))</f>
        <v/>
      </c>
      <c r="P566" s="7">
        <f>IF($AD566="","",IF(AND(ISNUMBER(Q566),Q566&gt;0,AB566&gt;Q566),O566*Q566/100+(AB566-Q566),O566*AB566/100))</f>
        <v/>
      </c>
      <c r="Q566">
        <f>IF($AD566="","",INDEX('Per Line'!$AG$2:$AG$3001,$AD566))</f>
        <v/>
      </c>
      <c r="R566">
        <f>IF($AD566="","",IF(AND(ISNUMBER(Q566),Q566&gt;0),AB566&gt;Q566,FALSE))</f>
        <v/>
      </c>
      <c r="S566" s="7">
        <f>IF($AD566="","",SUMIFS('Per Line'!$AB$2:$AB$3001,'Per Line'!$E$2:$E$3001,$B566,'Per Line'!$AQ$2:$AQ$3001,1))</f>
        <v/>
      </c>
      <c r="T566">
        <f>IF($AD566="","",Settings!$C$7)</f>
        <v/>
      </c>
      <c r="U566" s="7">
        <f>IF($AD566="","",SUMIFS('Per Line'!$AB$2:$AB$3001,'Per Line'!$E$2:$E$3001,$B566,'Per Line'!$AP$2:$AP$3001,0,'Per Line'!$AQ$2:$AQ$3001,0))</f>
        <v/>
      </c>
      <c r="V566" s="7">
        <f>IF($AD566="","",U566*T566)</f>
        <v/>
      </c>
      <c r="W566">
        <f>IF($AD566="","",Settings!$C$6)</f>
        <v/>
      </c>
      <c r="X566" s="7">
        <f>IF($AD566="","",SUMIFS('Per Line'!$AB$2:$AB$3001,'Per Line'!$E$2:$E$3001,$B566,'Per Line'!$AP$2:$AP$3001,1,'Per Line'!$AQ$2:$AQ$3001,0))</f>
        <v/>
      </c>
      <c r="Y566" s="7">
        <f>IF($AD566="","",X566*W566)</f>
        <v/>
      </c>
      <c r="Z566" s="7">
        <f>IF($AD566="","",Y566+V566)</f>
        <v/>
      </c>
      <c r="AA566" s="7">
        <f>IF($AD566="","",AB566-Z566)</f>
        <v/>
      </c>
      <c r="AB566" s="7">
        <f>IF($AD566="","",U566+X566+S566)</f>
        <v/>
      </c>
      <c r="AC566" s="7">
        <f>IF($AD566="","",AB566-Z566-P566)</f>
        <v/>
      </c>
      <c r="AD566" s="13">
        <f>IF(ROWS($AD$2:$AD566)&lt;=MAX('Per Line'!$AO$2:$AO$3001),MATCH(ROWS($AD$2:$AD566),'Per Line'!$AO$2:$AO$3001,0),"")</f>
        <v/>
      </c>
      <c r="AE566" s="14">
        <f>IF($AD566="","",P566-O566*AB566/100)</f>
        <v/>
      </c>
    </row>
    <row r="567">
      <c r="A567" s="12" t="n"/>
      <c r="B567">
        <f>IF($AD567="","",INDEX('Per Line'!$E$2:$E$3001,$AD567)&amp;"")</f>
        <v/>
      </c>
      <c r="C567">
        <f>IF($AD567="","",INDEX('Per Line'!$A$2:$A$3001,$AD567)&amp;"")</f>
        <v/>
      </c>
      <c r="D567">
        <f>IF($AD567="","",INDEX('Per Line'!$C$2:$C$3001,$AD567)&amp;"")</f>
        <v/>
      </c>
      <c r="E567">
        <f>IF($AD567="","",INDEX('Per Line'!$B$2:$B$3001,$AD567))</f>
        <v/>
      </c>
      <c r="F567">
        <f>IF($AD567="","",INDEX('Per Line'!$D$2:$D$3001,$AD567)&amp;"")</f>
        <v/>
      </c>
      <c r="G567" s="11">
        <f>IF($AD567="","",INDEX('Per Line'!$G$2:$G$3001,$AD567))</f>
        <v/>
      </c>
      <c r="H567">
        <f>IF($AD567="","",INDEX('Per Line'!$J$2:$J$3001,$AD567)&amp;"")</f>
        <v/>
      </c>
      <c r="I567">
        <f>IF($AD567="","",INDEX('Per Line'!$H$2:$H$3001,$AD567)&amp;"")</f>
        <v/>
      </c>
      <c r="J567">
        <f>IF($AD567="","",INDEX('Per Line'!$F$2:$F$3001,$AD567)&amp;"")</f>
        <v/>
      </c>
      <c r="K567">
        <f>IF($AD567="","",INDEX('Per Line'!$K$2:$K$3001,$AD567)&amp;"")</f>
        <v/>
      </c>
      <c r="L567">
        <f>IF($AD567="","",INDEX('Per Line'!$L$2:$L$3001,$AD567)&amp;"")</f>
        <v/>
      </c>
      <c r="M567">
        <f>IF($AD567="","",INDEX('Per Line'!$M$2:$M$3001,$AD567)&amp;"")</f>
        <v/>
      </c>
      <c r="N567">
        <f>IF($AD567="","",INDEX('Per Line'!$AC$2:$AC$3001,$AD567)&amp;"")</f>
        <v/>
      </c>
      <c r="O567">
        <f>IF($AD567="","",INDEX('Per Line'!$P$2:$P$3001,$AD567))</f>
        <v/>
      </c>
      <c r="P567" s="7">
        <f>IF($AD567="","",IF(AND(ISNUMBER(Q567),Q567&gt;0,AB567&gt;Q567),O567*Q567/100+(AB567-Q567),O567*AB567/100))</f>
        <v/>
      </c>
      <c r="Q567">
        <f>IF($AD567="","",INDEX('Per Line'!$AG$2:$AG$3001,$AD567))</f>
        <v/>
      </c>
      <c r="R567">
        <f>IF($AD567="","",IF(AND(ISNUMBER(Q567),Q567&gt;0),AB567&gt;Q567,FALSE))</f>
        <v/>
      </c>
      <c r="S567" s="7">
        <f>IF($AD567="","",SUMIFS('Per Line'!$AB$2:$AB$3001,'Per Line'!$E$2:$E$3001,$B567,'Per Line'!$AQ$2:$AQ$3001,1))</f>
        <v/>
      </c>
      <c r="T567">
        <f>IF($AD567="","",Settings!$C$7)</f>
        <v/>
      </c>
      <c r="U567" s="7">
        <f>IF($AD567="","",SUMIFS('Per Line'!$AB$2:$AB$3001,'Per Line'!$E$2:$E$3001,$B567,'Per Line'!$AP$2:$AP$3001,0,'Per Line'!$AQ$2:$AQ$3001,0))</f>
        <v/>
      </c>
      <c r="V567" s="7">
        <f>IF($AD567="","",U567*T567)</f>
        <v/>
      </c>
      <c r="W567">
        <f>IF($AD567="","",Settings!$C$6)</f>
        <v/>
      </c>
      <c r="X567" s="7">
        <f>IF($AD567="","",SUMIFS('Per Line'!$AB$2:$AB$3001,'Per Line'!$E$2:$E$3001,$B567,'Per Line'!$AP$2:$AP$3001,1,'Per Line'!$AQ$2:$AQ$3001,0))</f>
        <v/>
      </c>
      <c r="Y567" s="7">
        <f>IF($AD567="","",X567*W567)</f>
        <v/>
      </c>
      <c r="Z567" s="7">
        <f>IF($AD567="","",Y567+V567)</f>
        <v/>
      </c>
      <c r="AA567" s="7">
        <f>IF($AD567="","",AB567-Z567)</f>
        <v/>
      </c>
      <c r="AB567" s="7">
        <f>IF($AD567="","",U567+X567+S567)</f>
        <v/>
      </c>
      <c r="AC567" s="7">
        <f>IF($AD567="","",AB567-Z567-P567)</f>
        <v/>
      </c>
      <c r="AD567" s="13">
        <f>IF(ROWS($AD$2:$AD567)&lt;=MAX('Per Line'!$AO$2:$AO$3001),MATCH(ROWS($AD$2:$AD567),'Per Line'!$AO$2:$AO$3001,0),"")</f>
        <v/>
      </c>
      <c r="AE567" s="14">
        <f>IF($AD567="","",P567-O567*AB567/100)</f>
        <v/>
      </c>
    </row>
    <row r="568">
      <c r="A568" s="12" t="n"/>
      <c r="B568">
        <f>IF($AD568="","",INDEX('Per Line'!$E$2:$E$3001,$AD568)&amp;"")</f>
        <v/>
      </c>
      <c r="C568">
        <f>IF($AD568="","",INDEX('Per Line'!$A$2:$A$3001,$AD568)&amp;"")</f>
        <v/>
      </c>
      <c r="D568">
        <f>IF($AD568="","",INDEX('Per Line'!$C$2:$C$3001,$AD568)&amp;"")</f>
        <v/>
      </c>
      <c r="E568">
        <f>IF($AD568="","",INDEX('Per Line'!$B$2:$B$3001,$AD568))</f>
        <v/>
      </c>
      <c r="F568">
        <f>IF($AD568="","",INDEX('Per Line'!$D$2:$D$3001,$AD568)&amp;"")</f>
        <v/>
      </c>
      <c r="G568" s="11">
        <f>IF($AD568="","",INDEX('Per Line'!$G$2:$G$3001,$AD568))</f>
        <v/>
      </c>
      <c r="H568">
        <f>IF($AD568="","",INDEX('Per Line'!$J$2:$J$3001,$AD568)&amp;"")</f>
        <v/>
      </c>
      <c r="I568">
        <f>IF($AD568="","",INDEX('Per Line'!$H$2:$H$3001,$AD568)&amp;"")</f>
        <v/>
      </c>
      <c r="J568">
        <f>IF($AD568="","",INDEX('Per Line'!$F$2:$F$3001,$AD568)&amp;"")</f>
        <v/>
      </c>
      <c r="K568">
        <f>IF($AD568="","",INDEX('Per Line'!$K$2:$K$3001,$AD568)&amp;"")</f>
        <v/>
      </c>
      <c r="L568">
        <f>IF($AD568="","",INDEX('Per Line'!$L$2:$L$3001,$AD568)&amp;"")</f>
        <v/>
      </c>
      <c r="M568">
        <f>IF($AD568="","",INDEX('Per Line'!$M$2:$M$3001,$AD568)&amp;"")</f>
        <v/>
      </c>
      <c r="N568">
        <f>IF($AD568="","",INDEX('Per Line'!$AC$2:$AC$3001,$AD568)&amp;"")</f>
        <v/>
      </c>
      <c r="O568">
        <f>IF($AD568="","",INDEX('Per Line'!$P$2:$P$3001,$AD568))</f>
        <v/>
      </c>
      <c r="P568" s="7">
        <f>IF($AD568="","",IF(AND(ISNUMBER(Q568),Q568&gt;0,AB568&gt;Q568),O568*Q568/100+(AB568-Q568),O568*AB568/100))</f>
        <v/>
      </c>
      <c r="Q568">
        <f>IF($AD568="","",INDEX('Per Line'!$AG$2:$AG$3001,$AD568))</f>
        <v/>
      </c>
      <c r="R568">
        <f>IF($AD568="","",IF(AND(ISNUMBER(Q568),Q568&gt;0),AB568&gt;Q568,FALSE))</f>
        <v/>
      </c>
      <c r="S568" s="7">
        <f>IF($AD568="","",SUMIFS('Per Line'!$AB$2:$AB$3001,'Per Line'!$E$2:$E$3001,$B568,'Per Line'!$AQ$2:$AQ$3001,1))</f>
        <v/>
      </c>
      <c r="T568">
        <f>IF($AD568="","",Settings!$C$7)</f>
        <v/>
      </c>
      <c r="U568" s="7">
        <f>IF($AD568="","",SUMIFS('Per Line'!$AB$2:$AB$3001,'Per Line'!$E$2:$E$3001,$B568,'Per Line'!$AP$2:$AP$3001,0,'Per Line'!$AQ$2:$AQ$3001,0))</f>
        <v/>
      </c>
      <c r="V568" s="7">
        <f>IF($AD568="","",U568*T568)</f>
        <v/>
      </c>
      <c r="W568">
        <f>IF($AD568="","",Settings!$C$6)</f>
        <v/>
      </c>
      <c r="X568" s="7">
        <f>IF($AD568="","",SUMIFS('Per Line'!$AB$2:$AB$3001,'Per Line'!$E$2:$E$3001,$B568,'Per Line'!$AP$2:$AP$3001,1,'Per Line'!$AQ$2:$AQ$3001,0))</f>
        <v/>
      </c>
      <c r="Y568" s="7">
        <f>IF($AD568="","",X568*W568)</f>
        <v/>
      </c>
      <c r="Z568" s="7">
        <f>IF($AD568="","",Y568+V568)</f>
        <v/>
      </c>
      <c r="AA568" s="7">
        <f>IF($AD568="","",AB568-Z568)</f>
        <v/>
      </c>
      <c r="AB568" s="7">
        <f>IF($AD568="","",U568+X568+S568)</f>
        <v/>
      </c>
      <c r="AC568" s="7">
        <f>IF($AD568="","",AB568-Z568-P568)</f>
        <v/>
      </c>
      <c r="AD568" s="13">
        <f>IF(ROWS($AD$2:$AD568)&lt;=MAX('Per Line'!$AO$2:$AO$3001),MATCH(ROWS($AD$2:$AD568),'Per Line'!$AO$2:$AO$3001,0),"")</f>
        <v/>
      </c>
      <c r="AE568" s="14">
        <f>IF($AD568="","",P568-O568*AB568/100)</f>
        <v/>
      </c>
    </row>
    <row r="569">
      <c r="A569" s="12" t="n"/>
      <c r="B569">
        <f>IF($AD569="","",INDEX('Per Line'!$E$2:$E$3001,$AD569)&amp;"")</f>
        <v/>
      </c>
      <c r="C569">
        <f>IF($AD569="","",INDEX('Per Line'!$A$2:$A$3001,$AD569)&amp;"")</f>
        <v/>
      </c>
      <c r="D569">
        <f>IF($AD569="","",INDEX('Per Line'!$C$2:$C$3001,$AD569)&amp;"")</f>
        <v/>
      </c>
      <c r="E569">
        <f>IF($AD569="","",INDEX('Per Line'!$B$2:$B$3001,$AD569))</f>
        <v/>
      </c>
      <c r="F569">
        <f>IF($AD569="","",INDEX('Per Line'!$D$2:$D$3001,$AD569)&amp;"")</f>
        <v/>
      </c>
      <c r="G569" s="11">
        <f>IF($AD569="","",INDEX('Per Line'!$G$2:$G$3001,$AD569))</f>
        <v/>
      </c>
      <c r="H569">
        <f>IF($AD569="","",INDEX('Per Line'!$J$2:$J$3001,$AD569)&amp;"")</f>
        <v/>
      </c>
      <c r="I569">
        <f>IF($AD569="","",INDEX('Per Line'!$H$2:$H$3001,$AD569)&amp;"")</f>
        <v/>
      </c>
      <c r="J569">
        <f>IF($AD569="","",INDEX('Per Line'!$F$2:$F$3001,$AD569)&amp;"")</f>
        <v/>
      </c>
      <c r="K569">
        <f>IF($AD569="","",INDEX('Per Line'!$K$2:$K$3001,$AD569)&amp;"")</f>
        <v/>
      </c>
      <c r="L569">
        <f>IF($AD569="","",INDEX('Per Line'!$L$2:$L$3001,$AD569)&amp;"")</f>
        <v/>
      </c>
      <c r="M569">
        <f>IF($AD569="","",INDEX('Per Line'!$M$2:$M$3001,$AD569)&amp;"")</f>
        <v/>
      </c>
      <c r="N569">
        <f>IF($AD569="","",INDEX('Per Line'!$AC$2:$AC$3001,$AD569)&amp;"")</f>
        <v/>
      </c>
      <c r="O569">
        <f>IF($AD569="","",INDEX('Per Line'!$P$2:$P$3001,$AD569))</f>
        <v/>
      </c>
      <c r="P569" s="7">
        <f>IF($AD569="","",IF(AND(ISNUMBER(Q569),Q569&gt;0,AB569&gt;Q569),O569*Q569/100+(AB569-Q569),O569*AB569/100))</f>
        <v/>
      </c>
      <c r="Q569">
        <f>IF($AD569="","",INDEX('Per Line'!$AG$2:$AG$3001,$AD569))</f>
        <v/>
      </c>
      <c r="R569">
        <f>IF($AD569="","",IF(AND(ISNUMBER(Q569),Q569&gt;0),AB569&gt;Q569,FALSE))</f>
        <v/>
      </c>
      <c r="S569" s="7">
        <f>IF($AD569="","",SUMIFS('Per Line'!$AB$2:$AB$3001,'Per Line'!$E$2:$E$3001,$B569,'Per Line'!$AQ$2:$AQ$3001,1))</f>
        <v/>
      </c>
      <c r="T569">
        <f>IF($AD569="","",Settings!$C$7)</f>
        <v/>
      </c>
      <c r="U569" s="7">
        <f>IF($AD569="","",SUMIFS('Per Line'!$AB$2:$AB$3001,'Per Line'!$E$2:$E$3001,$B569,'Per Line'!$AP$2:$AP$3001,0,'Per Line'!$AQ$2:$AQ$3001,0))</f>
        <v/>
      </c>
      <c r="V569" s="7">
        <f>IF($AD569="","",U569*T569)</f>
        <v/>
      </c>
      <c r="W569">
        <f>IF($AD569="","",Settings!$C$6)</f>
        <v/>
      </c>
      <c r="X569" s="7">
        <f>IF($AD569="","",SUMIFS('Per Line'!$AB$2:$AB$3001,'Per Line'!$E$2:$E$3001,$B569,'Per Line'!$AP$2:$AP$3001,1,'Per Line'!$AQ$2:$AQ$3001,0))</f>
        <v/>
      </c>
      <c r="Y569" s="7">
        <f>IF($AD569="","",X569*W569)</f>
        <v/>
      </c>
      <c r="Z569" s="7">
        <f>IF($AD569="","",Y569+V569)</f>
        <v/>
      </c>
      <c r="AA569" s="7">
        <f>IF($AD569="","",AB569-Z569)</f>
        <v/>
      </c>
      <c r="AB569" s="7">
        <f>IF($AD569="","",U569+X569+S569)</f>
        <v/>
      </c>
      <c r="AC569" s="7">
        <f>IF($AD569="","",AB569-Z569-P569)</f>
        <v/>
      </c>
      <c r="AD569" s="13">
        <f>IF(ROWS($AD$2:$AD569)&lt;=MAX('Per Line'!$AO$2:$AO$3001),MATCH(ROWS($AD$2:$AD569),'Per Line'!$AO$2:$AO$3001,0),"")</f>
        <v/>
      </c>
      <c r="AE569" s="14">
        <f>IF($AD569="","",P569-O569*AB569/100)</f>
        <v/>
      </c>
    </row>
    <row r="570">
      <c r="A570" s="12" t="n"/>
      <c r="B570">
        <f>IF($AD570="","",INDEX('Per Line'!$E$2:$E$3001,$AD570)&amp;"")</f>
        <v/>
      </c>
      <c r="C570">
        <f>IF($AD570="","",INDEX('Per Line'!$A$2:$A$3001,$AD570)&amp;"")</f>
        <v/>
      </c>
      <c r="D570">
        <f>IF($AD570="","",INDEX('Per Line'!$C$2:$C$3001,$AD570)&amp;"")</f>
        <v/>
      </c>
      <c r="E570">
        <f>IF($AD570="","",INDEX('Per Line'!$B$2:$B$3001,$AD570))</f>
        <v/>
      </c>
      <c r="F570">
        <f>IF($AD570="","",INDEX('Per Line'!$D$2:$D$3001,$AD570)&amp;"")</f>
        <v/>
      </c>
      <c r="G570" s="11">
        <f>IF($AD570="","",INDEX('Per Line'!$G$2:$G$3001,$AD570))</f>
        <v/>
      </c>
      <c r="H570">
        <f>IF($AD570="","",INDEX('Per Line'!$J$2:$J$3001,$AD570)&amp;"")</f>
        <v/>
      </c>
      <c r="I570">
        <f>IF($AD570="","",INDEX('Per Line'!$H$2:$H$3001,$AD570)&amp;"")</f>
        <v/>
      </c>
      <c r="J570">
        <f>IF($AD570="","",INDEX('Per Line'!$F$2:$F$3001,$AD570)&amp;"")</f>
        <v/>
      </c>
      <c r="K570">
        <f>IF($AD570="","",INDEX('Per Line'!$K$2:$K$3001,$AD570)&amp;"")</f>
        <v/>
      </c>
      <c r="L570">
        <f>IF($AD570="","",INDEX('Per Line'!$L$2:$L$3001,$AD570)&amp;"")</f>
        <v/>
      </c>
      <c r="M570">
        <f>IF($AD570="","",INDEX('Per Line'!$M$2:$M$3001,$AD570)&amp;"")</f>
        <v/>
      </c>
      <c r="N570">
        <f>IF($AD570="","",INDEX('Per Line'!$AC$2:$AC$3001,$AD570)&amp;"")</f>
        <v/>
      </c>
      <c r="O570">
        <f>IF($AD570="","",INDEX('Per Line'!$P$2:$P$3001,$AD570))</f>
        <v/>
      </c>
      <c r="P570" s="7">
        <f>IF($AD570="","",IF(AND(ISNUMBER(Q570),Q570&gt;0,AB570&gt;Q570),O570*Q570/100+(AB570-Q570),O570*AB570/100))</f>
        <v/>
      </c>
      <c r="Q570">
        <f>IF($AD570="","",INDEX('Per Line'!$AG$2:$AG$3001,$AD570))</f>
        <v/>
      </c>
      <c r="R570">
        <f>IF($AD570="","",IF(AND(ISNUMBER(Q570),Q570&gt;0),AB570&gt;Q570,FALSE))</f>
        <v/>
      </c>
      <c r="S570" s="7">
        <f>IF($AD570="","",SUMIFS('Per Line'!$AB$2:$AB$3001,'Per Line'!$E$2:$E$3001,$B570,'Per Line'!$AQ$2:$AQ$3001,1))</f>
        <v/>
      </c>
      <c r="T570">
        <f>IF($AD570="","",Settings!$C$7)</f>
        <v/>
      </c>
      <c r="U570" s="7">
        <f>IF($AD570="","",SUMIFS('Per Line'!$AB$2:$AB$3001,'Per Line'!$E$2:$E$3001,$B570,'Per Line'!$AP$2:$AP$3001,0,'Per Line'!$AQ$2:$AQ$3001,0))</f>
        <v/>
      </c>
      <c r="V570" s="7">
        <f>IF($AD570="","",U570*T570)</f>
        <v/>
      </c>
      <c r="W570">
        <f>IF($AD570="","",Settings!$C$6)</f>
        <v/>
      </c>
      <c r="X570" s="7">
        <f>IF($AD570="","",SUMIFS('Per Line'!$AB$2:$AB$3001,'Per Line'!$E$2:$E$3001,$B570,'Per Line'!$AP$2:$AP$3001,1,'Per Line'!$AQ$2:$AQ$3001,0))</f>
        <v/>
      </c>
      <c r="Y570" s="7">
        <f>IF($AD570="","",X570*W570)</f>
        <v/>
      </c>
      <c r="Z570" s="7">
        <f>IF($AD570="","",Y570+V570)</f>
        <v/>
      </c>
      <c r="AA570" s="7">
        <f>IF($AD570="","",AB570-Z570)</f>
        <v/>
      </c>
      <c r="AB570" s="7">
        <f>IF($AD570="","",U570+X570+S570)</f>
        <v/>
      </c>
      <c r="AC570" s="7">
        <f>IF($AD570="","",AB570-Z570-P570)</f>
        <v/>
      </c>
      <c r="AD570" s="13">
        <f>IF(ROWS($AD$2:$AD570)&lt;=MAX('Per Line'!$AO$2:$AO$3001),MATCH(ROWS($AD$2:$AD570),'Per Line'!$AO$2:$AO$3001,0),"")</f>
        <v/>
      </c>
      <c r="AE570" s="14">
        <f>IF($AD570="","",P570-O570*AB570/100)</f>
        <v/>
      </c>
    </row>
    <row r="571">
      <c r="A571" s="12" t="n"/>
      <c r="B571">
        <f>IF($AD571="","",INDEX('Per Line'!$E$2:$E$3001,$AD571)&amp;"")</f>
        <v/>
      </c>
      <c r="C571">
        <f>IF($AD571="","",INDEX('Per Line'!$A$2:$A$3001,$AD571)&amp;"")</f>
        <v/>
      </c>
      <c r="D571">
        <f>IF($AD571="","",INDEX('Per Line'!$C$2:$C$3001,$AD571)&amp;"")</f>
        <v/>
      </c>
      <c r="E571">
        <f>IF($AD571="","",INDEX('Per Line'!$B$2:$B$3001,$AD571))</f>
        <v/>
      </c>
      <c r="F571">
        <f>IF($AD571="","",INDEX('Per Line'!$D$2:$D$3001,$AD571)&amp;"")</f>
        <v/>
      </c>
      <c r="G571" s="11">
        <f>IF($AD571="","",INDEX('Per Line'!$G$2:$G$3001,$AD571))</f>
        <v/>
      </c>
      <c r="H571">
        <f>IF($AD571="","",INDEX('Per Line'!$J$2:$J$3001,$AD571)&amp;"")</f>
        <v/>
      </c>
      <c r="I571">
        <f>IF($AD571="","",INDEX('Per Line'!$H$2:$H$3001,$AD571)&amp;"")</f>
        <v/>
      </c>
      <c r="J571">
        <f>IF($AD571="","",INDEX('Per Line'!$F$2:$F$3001,$AD571)&amp;"")</f>
        <v/>
      </c>
      <c r="K571">
        <f>IF($AD571="","",INDEX('Per Line'!$K$2:$K$3001,$AD571)&amp;"")</f>
        <v/>
      </c>
      <c r="L571">
        <f>IF($AD571="","",INDEX('Per Line'!$L$2:$L$3001,$AD571)&amp;"")</f>
        <v/>
      </c>
      <c r="M571">
        <f>IF($AD571="","",INDEX('Per Line'!$M$2:$M$3001,$AD571)&amp;"")</f>
        <v/>
      </c>
      <c r="N571">
        <f>IF($AD571="","",INDEX('Per Line'!$AC$2:$AC$3001,$AD571)&amp;"")</f>
        <v/>
      </c>
      <c r="O571">
        <f>IF($AD571="","",INDEX('Per Line'!$P$2:$P$3001,$AD571))</f>
        <v/>
      </c>
      <c r="P571" s="7">
        <f>IF($AD571="","",IF(AND(ISNUMBER(Q571),Q571&gt;0,AB571&gt;Q571),O571*Q571/100+(AB571-Q571),O571*AB571/100))</f>
        <v/>
      </c>
      <c r="Q571">
        <f>IF($AD571="","",INDEX('Per Line'!$AG$2:$AG$3001,$AD571))</f>
        <v/>
      </c>
      <c r="R571">
        <f>IF($AD571="","",IF(AND(ISNUMBER(Q571),Q571&gt;0),AB571&gt;Q571,FALSE))</f>
        <v/>
      </c>
      <c r="S571" s="7">
        <f>IF($AD571="","",SUMIFS('Per Line'!$AB$2:$AB$3001,'Per Line'!$E$2:$E$3001,$B571,'Per Line'!$AQ$2:$AQ$3001,1))</f>
        <v/>
      </c>
      <c r="T571">
        <f>IF($AD571="","",Settings!$C$7)</f>
        <v/>
      </c>
      <c r="U571" s="7">
        <f>IF($AD571="","",SUMIFS('Per Line'!$AB$2:$AB$3001,'Per Line'!$E$2:$E$3001,$B571,'Per Line'!$AP$2:$AP$3001,0,'Per Line'!$AQ$2:$AQ$3001,0))</f>
        <v/>
      </c>
      <c r="V571" s="7">
        <f>IF($AD571="","",U571*T571)</f>
        <v/>
      </c>
      <c r="W571">
        <f>IF($AD571="","",Settings!$C$6)</f>
        <v/>
      </c>
      <c r="X571" s="7">
        <f>IF($AD571="","",SUMIFS('Per Line'!$AB$2:$AB$3001,'Per Line'!$E$2:$E$3001,$B571,'Per Line'!$AP$2:$AP$3001,1,'Per Line'!$AQ$2:$AQ$3001,0))</f>
        <v/>
      </c>
      <c r="Y571" s="7">
        <f>IF($AD571="","",X571*W571)</f>
        <v/>
      </c>
      <c r="Z571" s="7">
        <f>IF($AD571="","",Y571+V571)</f>
        <v/>
      </c>
      <c r="AA571" s="7">
        <f>IF($AD571="","",AB571-Z571)</f>
        <v/>
      </c>
      <c r="AB571" s="7">
        <f>IF($AD571="","",U571+X571+S571)</f>
        <v/>
      </c>
      <c r="AC571" s="7">
        <f>IF($AD571="","",AB571-Z571-P571)</f>
        <v/>
      </c>
      <c r="AD571" s="13">
        <f>IF(ROWS($AD$2:$AD571)&lt;=MAX('Per Line'!$AO$2:$AO$3001),MATCH(ROWS($AD$2:$AD571),'Per Line'!$AO$2:$AO$3001,0),"")</f>
        <v/>
      </c>
      <c r="AE571" s="14">
        <f>IF($AD571="","",P571-O571*AB571/100)</f>
        <v/>
      </c>
    </row>
    <row r="572">
      <c r="A572" s="12" t="n"/>
      <c r="B572">
        <f>IF($AD572="","",INDEX('Per Line'!$E$2:$E$3001,$AD572)&amp;"")</f>
        <v/>
      </c>
      <c r="C572">
        <f>IF($AD572="","",INDEX('Per Line'!$A$2:$A$3001,$AD572)&amp;"")</f>
        <v/>
      </c>
      <c r="D572">
        <f>IF($AD572="","",INDEX('Per Line'!$C$2:$C$3001,$AD572)&amp;"")</f>
        <v/>
      </c>
      <c r="E572">
        <f>IF($AD572="","",INDEX('Per Line'!$B$2:$B$3001,$AD572))</f>
        <v/>
      </c>
      <c r="F572">
        <f>IF($AD572="","",INDEX('Per Line'!$D$2:$D$3001,$AD572)&amp;"")</f>
        <v/>
      </c>
      <c r="G572" s="11">
        <f>IF($AD572="","",INDEX('Per Line'!$G$2:$G$3001,$AD572))</f>
        <v/>
      </c>
      <c r="H572">
        <f>IF($AD572="","",INDEX('Per Line'!$J$2:$J$3001,$AD572)&amp;"")</f>
        <v/>
      </c>
      <c r="I572">
        <f>IF($AD572="","",INDEX('Per Line'!$H$2:$H$3001,$AD572)&amp;"")</f>
        <v/>
      </c>
      <c r="J572">
        <f>IF($AD572="","",INDEX('Per Line'!$F$2:$F$3001,$AD572)&amp;"")</f>
        <v/>
      </c>
      <c r="K572">
        <f>IF($AD572="","",INDEX('Per Line'!$K$2:$K$3001,$AD572)&amp;"")</f>
        <v/>
      </c>
      <c r="L572">
        <f>IF($AD572="","",INDEX('Per Line'!$L$2:$L$3001,$AD572)&amp;"")</f>
        <v/>
      </c>
      <c r="M572">
        <f>IF($AD572="","",INDEX('Per Line'!$M$2:$M$3001,$AD572)&amp;"")</f>
        <v/>
      </c>
      <c r="N572">
        <f>IF($AD572="","",INDEX('Per Line'!$AC$2:$AC$3001,$AD572)&amp;"")</f>
        <v/>
      </c>
      <c r="O572">
        <f>IF($AD572="","",INDEX('Per Line'!$P$2:$P$3001,$AD572))</f>
        <v/>
      </c>
      <c r="P572" s="7">
        <f>IF($AD572="","",IF(AND(ISNUMBER(Q572),Q572&gt;0,AB572&gt;Q572),O572*Q572/100+(AB572-Q572),O572*AB572/100))</f>
        <v/>
      </c>
      <c r="Q572">
        <f>IF($AD572="","",INDEX('Per Line'!$AG$2:$AG$3001,$AD572))</f>
        <v/>
      </c>
      <c r="R572">
        <f>IF($AD572="","",IF(AND(ISNUMBER(Q572),Q572&gt;0),AB572&gt;Q572,FALSE))</f>
        <v/>
      </c>
      <c r="S572" s="7">
        <f>IF($AD572="","",SUMIFS('Per Line'!$AB$2:$AB$3001,'Per Line'!$E$2:$E$3001,$B572,'Per Line'!$AQ$2:$AQ$3001,1))</f>
        <v/>
      </c>
      <c r="T572">
        <f>IF($AD572="","",Settings!$C$7)</f>
        <v/>
      </c>
      <c r="U572" s="7">
        <f>IF($AD572="","",SUMIFS('Per Line'!$AB$2:$AB$3001,'Per Line'!$E$2:$E$3001,$B572,'Per Line'!$AP$2:$AP$3001,0,'Per Line'!$AQ$2:$AQ$3001,0))</f>
        <v/>
      </c>
      <c r="V572" s="7">
        <f>IF($AD572="","",U572*T572)</f>
        <v/>
      </c>
      <c r="W572">
        <f>IF($AD572="","",Settings!$C$6)</f>
        <v/>
      </c>
      <c r="X572" s="7">
        <f>IF($AD572="","",SUMIFS('Per Line'!$AB$2:$AB$3001,'Per Line'!$E$2:$E$3001,$B572,'Per Line'!$AP$2:$AP$3001,1,'Per Line'!$AQ$2:$AQ$3001,0))</f>
        <v/>
      </c>
      <c r="Y572" s="7">
        <f>IF($AD572="","",X572*W572)</f>
        <v/>
      </c>
      <c r="Z572" s="7">
        <f>IF($AD572="","",Y572+V572)</f>
        <v/>
      </c>
      <c r="AA572" s="7">
        <f>IF($AD572="","",AB572-Z572)</f>
        <v/>
      </c>
      <c r="AB572" s="7">
        <f>IF($AD572="","",U572+X572+S572)</f>
        <v/>
      </c>
      <c r="AC572" s="7">
        <f>IF($AD572="","",AB572-Z572-P572)</f>
        <v/>
      </c>
      <c r="AD572" s="13">
        <f>IF(ROWS($AD$2:$AD572)&lt;=MAX('Per Line'!$AO$2:$AO$3001),MATCH(ROWS($AD$2:$AD572),'Per Line'!$AO$2:$AO$3001,0),"")</f>
        <v/>
      </c>
      <c r="AE572" s="14">
        <f>IF($AD572="","",P572-O572*AB572/100)</f>
        <v/>
      </c>
    </row>
    <row r="573">
      <c r="A573" s="12" t="n"/>
      <c r="B573">
        <f>IF($AD573="","",INDEX('Per Line'!$E$2:$E$3001,$AD573)&amp;"")</f>
        <v/>
      </c>
      <c r="C573">
        <f>IF($AD573="","",INDEX('Per Line'!$A$2:$A$3001,$AD573)&amp;"")</f>
        <v/>
      </c>
      <c r="D573">
        <f>IF($AD573="","",INDEX('Per Line'!$C$2:$C$3001,$AD573)&amp;"")</f>
        <v/>
      </c>
      <c r="E573">
        <f>IF($AD573="","",INDEX('Per Line'!$B$2:$B$3001,$AD573))</f>
        <v/>
      </c>
      <c r="F573">
        <f>IF($AD573="","",INDEX('Per Line'!$D$2:$D$3001,$AD573)&amp;"")</f>
        <v/>
      </c>
      <c r="G573" s="11">
        <f>IF($AD573="","",INDEX('Per Line'!$G$2:$G$3001,$AD573))</f>
        <v/>
      </c>
      <c r="H573">
        <f>IF($AD573="","",INDEX('Per Line'!$J$2:$J$3001,$AD573)&amp;"")</f>
        <v/>
      </c>
      <c r="I573">
        <f>IF($AD573="","",INDEX('Per Line'!$H$2:$H$3001,$AD573)&amp;"")</f>
        <v/>
      </c>
      <c r="J573">
        <f>IF($AD573="","",INDEX('Per Line'!$F$2:$F$3001,$AD573)&amp;"")</f>
        <v/>
      </c>
      <c r="K573">
        <f>IF($AD573="","",INDEX('Per Line'!$K$2:$K$3001,$AD573)&amp;"")</f>
        <v/>
      </c>
      <c r="L573">
        <f>IF($AD573="","",INDEX('Per Line'!$L$2:$L$3001,$AD573)&amp;"")</f>
        <v/>
      </c>
      <c r="M573">
        <f>IF($AD573="","",INDEX('Per Line'!$M$2:$M$3001,$AD573)&amp;"")</f>
        <v/>
      </c>
      <c r="N573">
        <f>IF($AD573="","",INDEX('Per Line'!$AC$2:$AC$3001,$AD573)&amp;"")</f>
        <v/>
      </c>
      <c r="O573">
        <f>IF($AD573="","",INDEX('Per Line'!$P$2:$P$3001,$AD573))</f>
        <v/>
      </c>
      <c r="P573" s="7">
        <f>IF($AD573="","",IF(AND(ISNUMBER(Q573),Q573&gt;0,AB573&gt;Q573),O573*Q573/100+(AB573-Q573),O573*AB573/100))</f>
        <v/>
      </c>
      <c r="Q573">
        <f>IF($AD573="","",INDEX('Per Line'!$AG$2:$AG$3001,$AD573))</f>
        <v/>
      </c>
      <c r="R573">
        <f>IF($AD573="","",IF(AND(ISNUMBER(Q573),Q573&gt;0),AB573&gt;Q573,FALSE))</f>
        <v/>
      </c>
      <c r="S573" s="7">
        <f>IF($AD573="","",SUMIFS('Per Line'!$AB$2:$AB$3001,'Per Line'!$E$2:$E$3001,$B573,'Per Line'!$AQ$2:$AQ$3001,1))</f>
        <v/>
      </c>
      <c r="T573">
        <f>IF($AD573="","",Settings!$C$7)</f>
        <v/>
      </c>
      <c r="U573" s="7">
        <f>IF($AD573="","",SUMIFS('Per Line'!$AB$2:$AB$3001,'Per Line'!$E$2:$E$3001,$B573,'Per Line'!$AP$2:$AP$3001,0,'Per Line'!$AQ$2:$AQ$3001,0))</f>
        <v/>
      </c>
      <c r="V573" s="7">
        <f>IF($AD573="","",U573*T573)</f>
        <v/>
      </c>
      <c r="W573">
        <f>IF($AD573="","",Settings!$C$6)</f>
        <v/>
      </c>
      <c r="X573" s="7">
        <f>IF($AD573="","",SUMIFS('Per Line'!$AB$2:$AB$3001,'Per Line'!$E$2:$E$3001,$B573,'Per Line'!$AP$2:$AP$3001,1,'Per Line'!$AQ$2:$AQ$3001,0))</f>
        <v/>
      </c>
      <c r="Y573" s="7">
        <f>IF($AD573="","",X573*W573)</f>
        <v/>
      </c>
      <c r="Z573" s="7">
        <f>IF($AD573="","",Y573+V573)</f>
        <v/>
      </c>
      <c r="AA573" s="7">
        <f>IF($AD573="","",AB573-Z573)</f>
        <v/>
      </c>
      <c r="AB573" s="7">
        <f>IF($AD573="","",U573+X573+S573)</f>
        <v/>
      </c>
      <c r="AC573" s="7">
        <f>IF($AD573="","",AB573-Z573-P573)</f>
        <v/>
      </c>
      <c r="AD573" s="13">
        <f>IF(ROWS($AD$2:$AD573)&lt;=MAX('Per Line'!$AO$2:$AO$3001),MATCH(ROWS($AD$2:$AD573),'Per Line'!$AO$2:$AO$3001,0),"")</f>
        <v/>
      </c>
      <c r="AE573" s="14">
        <f>IF($AD573="","",P573-O573*AB573/100)</f>
        <v/>
      </c>
    </row>
    <row r="574">
      <c r="A574" s="12" t="n"/>
      <c r="B574">
        <f>IF($AD574="","",INDEX('Per Line'!$E$2:$E$3001,$AD574)&amp;"")</f>
        <v/>
      </c>
      <c r="C574">
        <f>IF($AD574="","",INDEX('Per Line'!$A$2:$A$3001,$AD574)&amp;"")</f>
        <v/>
      </c>
      <c r="D574">
        <f>IF($AD574="","",INDEX('Per Line'!$C$2:$C$3001,$AD574)&amp;"")</f>
        <v/>
      </c>
      <c r="E574">
        <f>IF($AD574="","",INDEX('Per Line'!$B$2:$B$3001,$AD574))</f>
        <v/>
      </c>
      <c r="F574">
        <f>IF($AD574="","",INDEX('Per Line'!$D$2:$D$3001,$AD574)&amp;"")</f>
        <v/>
      </c>
      <c r="G574" s="11">
        <f>IF($AD574="","",INDEX('Per Line'!$G$2:$G$3001,$AD574))</f>
        <v/>
      </c>
      <c r="H574">
        <f>IF($AD574="","",INDEX('Per Line'!$J$2:$J$3001,$AD574)&amp;"")</f>
        <v/>
      </c>
      <c r="I574">
        <f>IF($AD574="","",INDEX('Per Line'!$H$2:$H$3001,$AD574)&amp;"")</f>
        <v/>
      </c>
      <c r="J574">
        <f>IF($AD574="","",INDEX('Per Line'!$F$2:$F$3001,$AD574)&amp;"")</f>
        <v/>
      </c>
      <c r="K574">
        <f>IF($AD574="","",INDEX('Per Line'!$K$2:$K$3001,$AD574)&amp;"")</f>
        <v/>
      </c>
      <c r="L574">
        <f>IF($AD574="","",INDEX('Per Line'!$L$2:$L$3001,$AD574)&amp;"")</f>
        <v/>
      </c>
      <c r="M574">
        <f>IF($AD574="","",INDEX('Per Line'!$M$2:$M$3001,$AD574)&amp;"")</f>
        <v/>
      </c>
      <c r="N574">
        <f>IF($AD574="","",INDEX('Per Line'!$AC$2:$AC$3001,$AD574)&amp;"")</f>
        <v/>
      </c>
      <c r="O574">
        <f>IF($AD574="","",INDEX('Per Line'!$P$2:$P$3001,$AD574))</f>
        <v/>
      </c>
      <c r="P574" s="7">
        <f>IF($AD574="","",IF(AND(ISNUMBER(Q574),Q574&gt;0,AB574&gt;Q574),O574*Q574/100+(AB574-Q574),O574*AB574/100))</f>
        <v/>
      </c>
      <c r="Q574">
        <f>IF($AD574="","",INDEX('Per Line'!$AG$2:$AG$3001,$AD574))</f>
        <v/>
      </c>
      <c r="R574">
        <f>IF($AD574="","",IF(AND(ISNUMBER(Q574),Q574&gt;0),AB574&gt;Q574,FALSE))</f>
        <v/>
      </c>
      <c r="S574" s="7">
        <f>IF($AD574="","",SUMIFS('Per Line'!$AB$2:$AB$3001,'Per Line'!$E$2:$E$3001,$B574,'Per Line'!$AQ$2:$AQ$3001,1))</f>
        <v/>
      </c>
      <c r="T574">
        <f>IF($AD574="","",Settings!$C$7)</f>
        <v/>
      </c>
      <c r="U574" s="7">
        <f>IF($AD574="","",SUMIFS('Per Line'!$AB$2:$AB$3001,'Per Line'!$E$2:$E$3001,$B574,'Per Line'!$AP$2:$AP$3001,0,'Per Line'!$AQ$2:$AQ$3001,0))</f>
        <v/>
      </c>
      <c r="V574" s="7">
        <f>IF($AD574="","",U574*T574)</f>
        <v/>
      </c>
      <c r="W574">
        <f>IF($AD574="","",Settings!$C$6)</f>
        <v/>
      </c>
      <c r="X574" s="7">
        <f>IF($AD574="","",SUMIFS('Per Line'!$AB$2:$AB$3001,'Per Line'!$E$2:$E$3001,$B574,'Per Line'!$AP$2:$AP$3001,1,'Per Line'!$AQ$2:$AQ$3001,0))</f>
        <v/>
      </c>
      <c r="Y574" s="7">
        <f>IF($AD574="","",X574*W574)</f>
        <v/>
      </c>
      <c r="Z574" s="7">
        <f>IF($AD574="","",Y574+V574)</f>
        <v/>
      </c>
      <c r="AA574" s="7">
        <f>IF($AD574="","",AB574-Z574)</f>
        <v/>
      </c>
      <c r="AB574" s="7">
        <f>IF($AD574="","",U574+X574+S574)</f>
        <v/>
      </c>
      <c r="AC574" s="7">
        <f>IF($AD574="","",AB574-Z574-P574)</f>
        <v/>
      </c>
      <c r="AD574" s="13">
        <f>IF(ROWS($AD$2:$AD574)&lt;=MAX('Per Line'!$AO$2:$AO$3001),MATCH(ROWS($AD$2:$AD574),'Per Line'!$AO$2:$AO$3001,0),"")</f>
        <v/>
      </c>
      <c r="AE574" s="14">
        <f>IF($AD574="","",P574-O574*AB574/100)</f>
        <v/>
      </c>
    </row>
    <row r="575">
      <c r="A575" s="12" t="n"/>
      <c r="B575">
        <f>IF($AD575="","",INDEX('Per Line'!$E$2:$E$3001,$AD575)&amp;"")</f>
        <v/>
      </c>
      <c r="C575">
        <f>IF($AD575="","",INDEX('Per Line'!$A$2:$A$3001,$AD575)&amp;"")</f>
        <v/>
      </c>
      <c r="D575">
        <f>IF($AD575="","",INDEX('Per Line'!$C$2:$C$3001,$AD575)&amp;"")</f>
        <v/>
      </c>
      <c r="E575">
        <f>IF($AD575="","",INDEX('Per Line'!$B$2:$B$3001,$AD575))</f>
        <v/>
      </c>
      <c r="F575">
        <f>IF($AD575="","",INDEX('Per Line'!$D$2:$D$3001,$AD575)&amp;"")</f>
        <v/>
      </c>
      <c r="G575" s="11">
        <f>IF($AD575="","",INDEX('Per Line'!$G$2:$G$3001,$AD575))</f>
        <v/>
      </c>
      <c r="H575">
        <f>IF($AD575="","",INDEX('Per Line'!$J$2:$J$3001,$AD575)&amp;"")</f>
        <v/>
      </c>
      <c r="I575">
        <f>IF($AD575="","",INDEX('Per Line'!$H$2:$H$3001,$AD575)&amp;"")</f>
        <v/>
      </c>
      <c r="J575">
        <f>IF($AD575="","",INDEX('Per Line'!$F$2:$F$3001,$AD575)&amp;"")</f>
        <v/>
      </c>
      <c r="K575">
        <f>IF($AD575="","",INDEX('Per Line'!$K$2:$K$3001,$AD575)&amp;"")</f>
        <v/>
      </c>
      <c r="L575">
        <f>IF($AD575="","",INDEX('Per Line'!$L$2:$L$3001,$AD575)&amp;"")</f>
        <v/>
      </c>
      <c r="M575">
        <f>IF($AD575="","",INDEX('Per Line'!$M$2:$M$3001,$AD575)&amp;"")</f>
        <v/>
      </c>
      <c r="N575">
        <f>IF($AD575="","",INDEX('Per Line'!$AC$2:$AC$3001,$AD575)&amp;"")</f>
        <v/>
      </c>
      <c r="O575">
        <f>IF($AD575="","",INDEX('Per Line'!$P$2:$P$3001,$AD575))</f>
        <v/>
      </c>
      <c r="P575" s="7">
        <f>IF($AD575="","",IF(AND(ISNUMBER(Q575),Q575&gt;0,AB575&gt;Q575),O575*Q575/100+(AB575-Q575),O575*AB575/100))</f>
        <v/>
      </c>
      <c r="Q575">
        <f>IF($AD575="","",INDEX('Per Line'!$AG$2:$AG$3001,$AD575))</f>
        <v/>
      </c>
      <c r="R575">
        <f>IF($AD575="","",IF(AND(ISNUMBER(Q575),Q575&gt;0),AB575&gt;Q575,FALSE))</f>
        <v/>
      </c>
      <c r="S575" s="7">
        <f>IF($AD575="","",SUMIFS('Per Line'!$AB$2:$AB$3001,'Per Line'!$E$2:$E$3001,$B575,'Per Line'!$AQ$2:$AQ$3001,1))</f>
        <v/>
      </c>
      <c r="T575">
        <f>IF($AD575="","",Settings!$C$7)</f>
        <v/>
      </c>
      <c r="U575" s="7">
        <f>IF($AD575="","",SUMIFS('Per Line'!$AB$2:$AB$3001,'Per Line'!$E$2:$E$3001,$B575,'Per Line'!$AP$2:$AP$3001,0,'Per Line'!$AQ$2:$AQ$3001,0))</f>
        <v/>
      </c>
      <c r="V575" s="7">
        <f>IF($AD575="","",U575*T575)</f>
        <v/>
      </c>
      <c r="W575">
        <f>IF($AD575="","",Settings!$C$6)</f>
        <v/>
      </c>
      <c r="X575" s="7">
        <f>IF($AD575="","",SUMIFS('Per Line'!$AB$2:$AB$3001,'Per Line'!$E$2:$E$3001,$B575,'Per Line'!$AP$2:$AP$3001,1,'Per Line'!$AQ$2:$AQ$3001,0))</f>
        <v/>
      </c>
      <c r="Y575" s="7">
        <f>IF($AD575="","",X575*W575)</f>
        <v/>
      </c>
      <c r="Z575" s="7">
        <f>IF($AD575="","",Y575+V575)</f>
        <v/>
      </c>
      <c r="AA575" s="7">
        <f>IF($AD575="","",AB575-Z575)</f>
        <v/>
      </c>
      <c r="AB575" s="7">
        <f>IF($AD575="","",U575+X575+S575)</f>
        <v/>
      </c>
      <c r="AC575" s="7">
        <f>IF($AD575="","",AB575-Z575-P575)</f>
        <v/>
      </c>
      <c r="AD575" s="13">
        <f>IF(ROWS($AD$2:$AD575)&lt;=MAX('Per Line'!$AO$2:$AO$3001),MATCH(ROWS($AD$2:$AD575),'Per Line'!$AO$2:$AO$3001,0),"")</f>
        <v/>
      </c>
      <c r="AE575" s="14">
        <f>IF($AD575="","",P575-O575*AB575/100)</f>
        <v/>
      </c>
    </row>
    <row r="576">
      <c r="A576" s="12" t="n"/>
      <c r="B576">
        <f>IF($AD576="","",INDEX('Per Line'!$E$2:$E$3001,$AD576)&amp;"")</f>
        <v/>
      </c>
      <c r="C576">
        <f>IF($AD576="","",INDEX('Per Line'!$A$2:$A$3001,$AD576)&amp;"")</f>
        <v/>
      </c>
      <c r="D576">
        <f>IF($AD576="","",INDEX('Per Line'!$C$2:$C$3001,$AD576)&amp;"")</f>
        <v/>
      </c>
      <c r="E576">
        <f>IF($AD576="","",INDEX('Per Line'!$B$2:$B$3001,$AD576))</f>
        <v/>
      </c>
      <c r="F576">
        <f>IF($AD576="","",INDEX('Per Line'!$D$2:$D$3001,$AD576)&amp;"")</f>
        <v/>
      </c>
      <c r="G576" s="11">
        <f>IF($AD576="","",INDEX('Per Line'!$G$2:$G$3001,$AD576))</f>
        <v/>
      </c>
      <c r="H576">
        <f>IF($AD576="","",INDEX('Per Line'!$J$2:$J$3001,$AD576)&amp;"")</f>
        <v/>
      </c>
      <c r="I576">
        <f>IF($AD576="","",INDEX('Per Line'!$H$2:$H$3001,$AD576)&amp;"")</f>
        <v/>
      </c>
      <c r="J576">
        <f>IF($AD576="","",INDEX('Per Line'!$F$2:$F$3001,$AD576)&amp;"")</f>
        <v/>
      </c>
      <c r="K576">
        <f>IF($AD576="","",INDEX('Per Line'!$K$2:$K$3001,$AD576)&amp;"")</f>
        <v/>
      </c>
      <c r="L576">
        <f>IF($AD576="","",INDEX('Per Line'!$L$2:$L$3001,$AD576)&amp;"")</f>
        <v/>
      </c>
      <c r="M576">
        <f>IF($AD576="","",INDEX('Per Line'!$M$2:$M$3001,$AD576)&amp;"")</f>
        <v/>
      </c>
      <c r="N576">
        <f>IF($AD576="","",INDEX('Per Line'!$AC$2:$AC$3001,$AD576)&amp;"")</f>
        <v/>
      </c>
      <c r="O576">
        <f>IF($AD576="","",INDEX('Per Line'!$P$2:$P$3001,$AD576))</f>
        <v/>
      </c>
      <c r="P576" s="7">
        <f>IF($AD576="","",IF(AND(ISNUMBER(Q576),Q576&gt;0,AB576&gt;Q576),O576*Q576/100+(AB576-Q576),O576*AB576/100))</f>
        <v/>
      </c>
      <c r="Q576">
        <f>IF($AD576="","",INDEX('Per Line'!$AG$2:$AG$3001,$AD576))</f>
        <v/>
      </c>
      <c r="R576">
        <f>IF($AD576="","",IF(AND(ISNUMBER(Q576),Q576&gt;0),AB576&gt;Q576,FALSE))</f>
        <v/>
      </c>
      <c r="S576" s="7">
        <f>IF($AD576="","",SUMIFS('Per Line'!$AB$2:$AB$3001,'Per Line'!$E$2:$E$3001,$B576,'Per Line'!$AQ$2:$AQ$3001,1))</f>
        <v/>
      </c>
      <c r="T576">
        <f>IF($AD576="","",Settings!$C$7)</f>
        <v/>
      </c>
      <c r="U576" s="7">
        <f>IF($AD576="","",SUMIFS('Per Line'!$AB$2:$AB$3001,'Per Line'!$E$2:$E$3001,$B576,'Per Line'!$AP$2:$AP$3001,0,'Per Line'!$AQ$2:$AQ$3001,0))</f>
        <v/>
      </c>
      <c r="V576" s="7">
        <f>IF($AD576="","",U576*T576)</f>
        <v/>
      </c>
      <c r="W576">
        <f>IF($AD576="","",Settings!$C$6)</f>
        <v/>
      </c>
      <c r="X576" s="7">
        <f>IF($AD576="","",SUMIFS('Per Line'!$AB$2:$AB$3001,'Per Line'!$E$2:$E$3001,$B576,'Per Line'!$AP$2:$AP$3001,1,'Per Line'!$AQ$2:$AQ$3001,0))</f>
        <v/>
      </c>
      <c r="Y576" s="7">
        <f>IF($AD576="","",X576*W576)</f>
        <v/>
      </c>
      <c r="Z576" s="7">
        <f>IF($AD576="","",Y576+V576)</f>
        <v/>
      </c>
      <c r="AA576" s="7">
        <f>IF($AD576="","",AB576-Z576)</f>
        <v/>
      </c>
      <c r="AB576" s="7">
        <f>IF($AD576="","",U576+X576+S576)</f>
        <v/>
      </c>
      <c r="AC576" s="7">
        <f>IF($AD576="","",AB576-Z576-P576)</f>
        <v/>
      </c>
      <c r="AD576" s="13">
        <f>IF(ROWS($AD$2:$AD576)&lt;=MAX('Per Line'!$AO$2:$AO$3001),MATCH(ROWS($AD$2:$AD576),'Per Line'!$AO$2:$AO$3001,0),"")</f>
        <v/>
      </c>
      <c r="AE576" s="14">
        <f>IF($AD576="","",P576-O576*AB576/100)</f>
        <v/>
      </c>
    </row>
    <row r="577">
      <c r="A577" s="12" t="n"/>
      <c r="B577">
        <f>IF($AD577="","",INDEX('Per Line'!$E$2:$E$3001,$AD577)&amp;"")</f>
        <v/>
      </c>
      <c r="C577">
        <f>IF($AD577="","",INDEX('Per Line'!$A$2:$A$3001,$AD577)&amp;"")</f>
        <v/>
      </c>
      <c r="D577">
        <f>IF($AD577="","",INDEX('Per Line'!$C$2:$C$3001,$AD577)&amp;"")</f>
        <v/>
      </c>
      <c r="E577">
        <f>IF($AD577="","",INDEX('Per Line'!$B$2:$B$3001,$AD577))</f>
        <v/>
      </c>
      <c r="F577">
        <f>IF($AD577="","",INDEX('Per Line'!$D$2:$D$3001,$AD577)&amp;"")</f>
        <v/>
      </c>
      <c r="G577" s="11">
        <f>IF($AD577="","",INDEX('Per Line'!$G$2:$G$3001,$AD577))</f>
        <v/>
      </c>
      <c r="H577">
        <f>IF($AD577="","",INDEX('Per Line'!$J$2:$J$3001,$AD577)&amp;"")</f>
        <v/>
      </c>
      <c r="I577">
        <f>IF($AD577="","",INDEX('Per Line'!$H$2:$H$3001,$AD577)&amp;"")</f>
        <v/>
      </c>
      <c r="J577">
        <f>IF($AD577="","",INDEX('Per Line'!$F$2:$F$3001,$AD577)&amp;"")</f>
        <v/>
      </c>
      <c r="K577">
        <f>IF($AD577="","",INDEX('Per Line'!$K$2:$K$3001,$AD577)&amp;"")</f>
        <v/>
      </c>
      <c r="L577">
        <f>IF($AD577="","",INDEX('Per Line'!$L$2:$L$3001,$AD577)&amp;"")</f>
        <v/>
      </c>
      <c r="M577">
        <f>IF($AD577="","",INDEX('Per Line'!$M$2:$M$3001,$AD577)&amp;"")</f>
        <v/>
      </c>
      <c r="N577">
        <f>IF($AD577="","",INDEX('Per Line'!$AC$2:$AC$3001,$AD577)&amp;"")</f>
        <v/>
      </c>
      <c r="O577">
        <f>IF($AD577="","",INDEX('Per Line'!$P$2:$P$3001,$AD577))</f>
        <v/>
      </c>
      <c r="P577" s="7">
        <f>IF($AD577="","",IF(AND(ISNUMBER(Q577),Q577&gt;0,AB577&gt;Q577),O577*Q577/100+(AB577-Q577),O577*AB577/100))</f>
        <v/>
      </c>
      <c r="Q577">
        <f>IF($AD577="","",INDEX('Per Line'!$AG$2:$AG$3001,$AD577))</f>
        <v/>
      </c>
      <c r="R577">
        <f>IF($AD577="","",IF(AND(ISNUMBER(Q577),Q577&gt;0),AB577&gt;Q577,FALSE))</f>
        <v/>
      </c>
      <c r="S577" s="7">
        <f>IF($AD577="","",SUMIFS('Per Line'!$AB$2:$AB$3001,'Per Line'!$E$2:$E$3001,$B577,'Per Line'!$AQ$2:$AQ$3001,1))</f>
        <v/>
      </c>
      <c r="T577">
        <f>IF($AD577="","",Settings!$C$7)</f>
        <v/>
      </c>
      <c r="U577" s="7">
        <f>IF($AD577="","",SUMIFS('Per Line'!$AB$2:$AB$3001,'Per Line'!$E$2:$E$3001,$B577,'Per Line'!$AP$2:$AP$3001,0,'Per Line'!$AQ$2:$AQ$3001,0))</f>
        <v/>
      </c>
      <c r="V577" s="7">
        <f>IF($AD577="","",U577*T577)</f>
        <v/>
      </c>
      <c r="W577">
        <f>IF($AD577="","",Settings!$C$6)</f>
        <v/>
      </c>
      <c r="X577" s="7">
        <f>IF($AD577="","",SUMIFS('Per Line'!$AB$2:$AB$3001,'Per Line'!$E$2:$E$3001,$B577,'Per Line'!$AP$2:$AP$3001,1,'Per Line'!$AQ$2:$AQ$3001,0))</f>
        <v/>
      </c>
      <c r="Y577" s="7">
        <f>IF($AD577="","",X577*W577)</f>
        <v/>
      </c>
      <c r="Z577" s="7">
        <f>IF($AD577="","",Y577+V577)</f>
        <v/>
      </c>
      <c r="AA577" s="7">
        <f>IF($AD577="","",AB577-Z577)</f>
        <v/>
      </c>
      <c r="AB577" s="7">
        <f>IF($AD577="","",U577+X577+S577)</f>
        <v/>
      </c>
      <c r="AC577" s="7">
        <f>IF($AD577="","",AB577-Z577-P577)</f>
        <v/>
      </c>
      <c r="AD577" s="13">
        <f>IF(ROWS($AD$2:$AD577)&lt;=MAX('Per Line'!$AO$2:$AO$3001),MATCH(ROWS($AD$2:$AD577),'Per Line'!$AO$2:$AO$3001,0),"")</f>
        <v/>
      </c>
      <c r="AE577" s="14">
        <f>IF($AD577="","",P577-O577*AB577/100)</f>
        <v/>
      </c>
    </row>
    <row r="578">
      <c r="A578" s="12" t="n"/>
      <c r="B578">
        <f>IF($AD578="","",INDEX('Per Line'!$E$2:$E$3001,$AD578)&amp;"")</f>
        <v/>
      </c>
      <c r="C578">
        <f>IF($AD578="","",INDEX('Per Line'!$A$2:$A$3001,$AD578)&amp;"")</f>
        <v/>
      </c>
      <c r="D578">
        <f>IF($AD578="","",INDEX('Per Line'!$C$2:$C$3001,$AD578)&amp;"")</f>
        <v/>
      </c>
      <c r="E578">
        <f>IF($AD578="","",INDEX('Per Line'!$B$2:$B$3001,$AD578))</f>
        <v/>
      </c>
      <c r="F578">
        <f>IF($AD578="","",INDEX('Per Line'!$D$2:$D$3001,$AD578)&amp;"")</f>
        <v/>
      </c>
      <c r="G578" s="11">
        <f>IF($AD578="","",INDEX('Per Line'!$G$2:$G$3001,$AD578))</f>
        <v/>
      </c>
      <c r="H578">
        <f>IF($AD578="","",INDEX('Per Line'!$J$2:$J$3001,$AD578)&amp;"")</f>
        <v/>
      </c>
      <c r="I578">
        <f>IF($AD578="","",INDEX('Per Line'!$H$2:$H$3001,$AD578)&amp;"")</f>
        <v/>
      </c>
      <c r="J578">
        <f>IF($AD578="","",INDEX('Per Line'!$F$2:$F$3001,$AD578)&amp;"")</f>
        <v/>
      </c>
      <c r="K578">
        <f>IF($AD578="","",INDEX('Per Line'!$K$2:$K$3001,$AD578)&amp;"")</f>
        <v/>
      </c>
      <c r="L578">
        <f>IF($AD578="","",INDEX('Per Line'!$L$2:$L$3001,$AD578)&amp;"")</f>
        <v/>
      </c>
      <c r="M578">
        <f>IF($AD578="","",INDEX('Per Line'!$M$2:$M$3001,$AD578)&amp;"")</f>
        <v/>
      </c>
      <c r="N578">
        <f>IF($AD578="","",INDEX('Per Line'!$AC$2:$AC$3001,$AD578)&amp;"")</f>
        <v/>
      </c>
      <c r="O578">
        <f>IF($AD578="","",INDEX('Per Line'!$P$2:$P$3001,$AD578))</f>
        <v/>
      </c>
      <c r="P578" s="7">
        <f>IF($AD578="","",IF(AND(ISNUMBER(Q578),Q578&gt;0,AB578&gt;Q578),O578*Q578/100+(AB578-Q578),O578*AB578/100))</f>
        <v/>
      </c>
      <c r="Q578">
        <f>IF($AD578="","",INDEX('Per Line'!$AG$2:$AG$3001,$AD578))</f>
        <v/>
      </c>
      <c r="R578">
        <f>IF($AD578="","",IF(AND(ISNUMBER(Q578),Q578&gt;0),AB578&gt;Q578,FALSE))</f>
        <v/>
      </c>
      <c r="S578" s="7">
        <f>IF($AD578="","",SUMIFS('Per Line'!$AB$2:$AB$3001,'Per Line'!$E$2:$E$3001,$B578,'Per Line'!$AQ$2:$AQ$3001,1))</f>
        <v/>
      </c>
      <c r="T578">
        <f>IF($AD578="","",Settings!$C$7)</f>
        <v/>
      </c>
      <c r="U578" s="7">
        <f>IF($AD578="","",SUMIFS('Per Line'!$AB$2:$AB$3001,'Per Line'!$E$2:$E$3001,$B578,'Per Line'!$AP$2:$AP$3001,0,'Per Line'!$AQ$2:$AQ$3001,0))</f>
        <v/>
      </c>
      <c r="V578" s="7">
        <f>IF($AD578="","",U578*T578)</f>
        <v/>
      </c>
      <c r="W578">
        <f>IF($AD578="","",Settings!$C$6)</f>
        <v/>
      </c>
      <c r="X578" s="7">
        <f>IF($AD578="","",SUMIFS('Per Line'!$AB$2:$AB$3001,'Per Line'!$E$2:$E$3001,$B578,'Per Line'!$AP$2:$AP$3001,1,'Per Line'!$AQ$2:$AQ$3001,0))</f>
        <v/>
      </c>
      <c r="Y578" s="7">
        <f>IF($AD578="","",X578*W578)</f>
        <v/>
      </c>
      <c r="Z578" s="7">
        <f>IF($AD578="","",Y578+V578)</f>
        <v/>
      </c>
      <c r="AA578" s="7">
        <f>IF($AD578="","",AB578-Z578)</f>
        <v/>
      </c>
      <c r="AB578" s="7">
        <f>IF($AD578="","",U578+X578+S578)</f>
        <v/>
      </c>
      <c r="AC578" s="7">
        <f>IF($AD578="","",AB578-Z578-P578)</f>
        <v/>
      </c>
      <c r="AD578" s="13">
        <f>IF(ROWS($AD$2:$AD578)&lt;=MAX('Per Line'!$AO$2:$AO$3001),MATCH(ROWS($AD$2:$AD578),'Per Line'!$AO$2:$AO$3001,0),"")</f>
        <v/>
      </c>
      <c r="AE578" s="14">
        <f>IF($AD578="","",P578-O578*AB578/100)</f>
        <v/>
      </c>
    </row>
    <row r="579">
      <c r="A579" s="12" t="n"/>
      <c r="B579">
        <f>IF($AD579="","",INDEX('Per Line'!$E$2:$E$3001,$AD579)&amp;"")</f>
        <v/>
      </c>
      <c r="C579">
        <f>IF($AD579="","",INDEX('Per Line'!$A$2:$A$3001,$AD579)&amp;"")</f>
        <v/>
      </c>
      <c r="D579">
        <f>IF($AD579="","",INDEX('Per Line'!$C$2:$C$3001,$AD579)&amp;"")</f>
        <v/>
      </c>
      <c r="E579">
        <f>IF($AD579="","",INDEX('Per Line'!$B$2:$B$3001,$AD579))</f>
        <v/>
      </c>
      <c r="F579">
        <f>IF($AD579="","",INDEX('Per Line'!$D$2:$D$3001,$AD579)&amp;"")</f>
        <v/>
      </c>
      <c r="G579" s="11">
        <f>IF($AD579="","",INDEX('Per Line'!$G$2:$G$3001,$AD579))</f>
        <v/>
      </c>
      <c r="H579">
        <f>IF($AD579="","",INDEX('Per Line'!$J$2:$J$3001,$AD579)&amp;"")</f>
        <v/>
      </c>
      <c r="I579">
        <f>IF($AD579="","",INDEX('Per Line'!$H$2:$H$3001,$AD579)&amp;"")</f>
        <v/>
      </c>
      <c r="J579">
        <f>IF($AD579="","",INDEX('Per Line'!$F$2:$F$3001,$AD579)&amp;"")</f>
        <v/>
      </c>
      <c r="K579">
        <f>IF($AD579="","",INDEX('Per Line'!$K$2:$K$3001,$AD579)&amp;"")</f>
        <v/>
      </c>
      <c r="L579">
        <f>IF($AD579="","",INDEX('Per Line'!$L$2:$L$3001,$AD579)&amp;"")</f>
        <v/>
      </c>
      <c r="M579">
        <f>IF($AD579="","",INDEX('Per Line'!$M$2:$M$3001,$AD579)&amp;"")</f>
        <v/>
      </c>
      <c r="N579">
        <f>IF($AD579="","",INDEX('Per Line'!$AC$2:$AC$3001,$AD579)&amp;"")</f>
        <v/>
      </c>
      <c r="O579">
        <f>IF($AD579="","",INDEX('Per Line'!$P$2:$P$3001,$AD579))</f>
        <v/>
      </c>
      <c r="P579" s="7">
        <f>IF($AD579="","",IF(AND(ISNUMBER(Q579),Q579&gt;0,AB579&gt;Q579),O579*Q579/100+(AB579-Q579),O579*AB579/100))</f>
        <v/>
      </c>
      <c r="Q579">
        <f>IF($AD579="","",INDEX('Per Line'!$AG$2:$AG$3001,$AD579))</f>
        <v/>
      </c>
      <c r="R579">
        <f>IF($AD579="","",IF(AND(ISNUMBER(Q579),Q579&gt;0),AB579&gt;Q579,FALSE))</f>
        <v/>
      </c>
      <c r="S579" s="7">
        <f>IF($AD579="","",SUMIFS('Per Line'!$AB$2:$AB$3001,'Per Line'!$E$2:$E$3001,$B579,'Per Line'!$AQ$2:$AQ$3001,1))</f>
        <v/>
      </c>
      <c r="T579">
        <f>IF($AD579="","",Settings!$C$7)</f>
        <v/>
      </c>
      <c r="U579" s="7">
        <f>IF($AD579="","",SUMIFS('Per Line'!$AB$2:$AB$3001,'Per Line'!$E$2:$E$3001,$B579,'Per Line'!$AP$2:$AP$3001,0,'Per Line'!$AQ$2:$AQ$3001,0))</f>
        <v/>
      </c>
      <c r="V579" s="7">
        <f>IF($AD579="","",U579*T579)</f>
        <v/>
      </c>
      <c r="W579">
        <f>IF($AD579="","",Settings!$C$6)</f>
        <v/>
      </c>
      <c r="X579" s="7">
        <f>IF($AD579="","",SUMIFS('Per Line'!$AB$2:$AB$3001,'Per Line'!$E$2:$E$3001,$B579,'Per Line'!$AP$2:$AP$3001,1,'Per Line'!$AQ$2:$AQ$3001,0))</f>
        <v/>
      </c>
      <c r="Y579" s="7">
        <f>IF($AD579="","",X579*W579)</f>
        <v/>
      </c>
      <c r="Z579" s="7">
        <f>IF($AD579="","",Y579+V579)</f>
        <v/>
      </c>
      <c r="AA579" s="7">
        <f>IF($AD579="","",AB579-Z579)</f>
        <v/>
      </c>
      <c r="AB579" s="7">
        <f>IF($AD579="","",U579+X579+S579)</f>
        <v/>
      </c>
      <c r="AC579" s="7">
        <f>IF($AD579="","",AB579-Z579-P579)</f>
        <v/>
      </c>
      <c r="AD579" s="13">
        <f>IF(ROWS($AD$2:$AD579)&lt;=MAX('Per Line'!$AO$2:$AO$3001),MATCH(ROWS($AD$2:$AD579),'Per Line'!$AO$2:$AO$3001,0),"")</f>
        <v/>
      </c>
      <c r="AE579" s="14">
        <f>IF($AD579="","",P579-O579*AB579/100)</f>
        <v/>
      </c>
    </row>
    <row r="580">
      <c r="A580" s="12" t="n"/>
      <c r="B580">
        <f>IF($AD580="","",INDEX('Per Line'!$E$2:$E$3001,$AD580)&amp;"")</f>
        <v/>
      </c>
      <c r="C580">
        <f>IF($AD580="","",INDEX('Per Line'!$A$2:$A$3001,$AD580)&amp;"")</f>
        <v/>
      </c>
      <c r="D580">
        <f>IF($AD580="","",INDEX('Per Line'!$C$2:$C$3001,$AD580)&amp;"")</f>
        <v/>
      </c>
      <c r="E580">
        <f>IF($AD580="","",INDEX('Per Line'!$B$2:$B$3001,$AD580))</f>
        <v/>
      </c>
      <c r="F580">
        <f>IF($AD580="","",INDEX('Per Line'!$D$2:$D$3001,$AD580)&amp;"")</f>
        <v/>
      </c>
      <c r="G580" s="11">
        <f>IF($AD580="","",INDEX('Per Line'!$G$2:$G$3001,$AD580))</f>
        <v/>
      </c>
      <c r="H580">
        <f>IF($AD580="","",INDEX('Per Line'!$J$2:$J$3001,$AD580)&amp;"")</f>
        <v/>
      </c>
      <c r="I580">
        <f>IF($AD580="","",INDEX('Per Line'!$H$2:$H$3001,$AD580)&amp;"")</f>
        <v/>
      </c>
      <c r="J580">
        <f>IF($AD580="","",INDEX('Per Line'!$F$2:$F$3001,$AD580)&amp;"")</f>
        <v/>
      </c>
      <c r="K580">
        <f>IF($AD580="","",INDEX('Per Line'!$K$2:$K$3001,$AD580)&amp;"")</f>
        <v/>
      </c>
      <c r="L580">
        <f>IF($AD580="","",INDEX('Per Line'!$L$2:$L$3001,$AD580)&amp;"")</f>
        <v/>
      </c>
      <c r="M580">
        <f>IF($AD580="","",INDEX('Per Line'!$M$2:$M$3001,$AD580)&amp;"")</f>
        <v/>
      </c>
      <c r="N580">
        <f>IF($AD580="","",INDEX('Per Line'!$AC$2:$AC$3001,$AD580)&amp;"")</f>
        <v/>
      </c>
      <c r="O580">
        <f>IF($AD580="","",INDEX('Per Line'!$P$2:$P$3001,$AD580))</f>
        <v/>
      </c>
      <c r="P580" s="7">
        <f>IF($AD580="","",IF(AND(ISNUMBER(Q580),Q580&gt;0,AB580&gt;Q580),O580*Q580/100+(AB580-Q580),O580*AB580/100))</f>
        <v/>
      </c>
      <c r="Q580">
        <f>IF($AD580="","",INDEX('Per Line'!$AG$2:$AG$3001,$AD580))</f>
        <v/>
      </c>
      <c r="R580">
        <f>IF($AD580="","",IF(AND(ISNUMBER(Q580),Q580&gt;0),AB580&gt;Q580,FALSE))</f>
        <v/>
      </c>
      <c r="S580" s="7">
        <f>IF($AD580="","",SUMIFS('Per Line'!$AB$2:$AB$3001,'Per Line'!$E$2:$E$3001,$B580,'Per Line'!$AQ$2:$AQ$3001,1))</f>
        <v/>
      </c>
      <c r="T580">
        <f>IF($AD580="","",Settings!$C$7)</f>
        <v/>
      </c>
      <c r="U580" s="7">
        <f>IF($AD580="","",SUMIFS('Per Line'!$AB$2:$AB$3001,'Per Line'!$E$2:$E$3001,$B580,'Per Line'!$AP$2:$AP$3001,0,'Per Line'!$AQ$2:$AQ$3001,0))</f>
        <v/>
      </c>
      <c r="V580" s="7">
        <f>IF($AD580="","",U580*T580)</f>
        <v/>
      </c>
      <c r="W580">
        <f>IF($AD580="","",Settings!$C$6)</f>
        <v/>
      </c>
      <c r="X580" s="7">
        <f>IF($AD580="","",SUMIFS('Per Line'!$AB$2:$AB$3001,'Per Line'!$E$2:$E$3001,$B580,'Per Line'!$AP$2:$AP$3001,1,'Per Line'!$AQ$2:$AQ$3001,0))</f>
        <v/>
      </c>
      <c r="Y580" s="7">
        <f>IF($AD580="","",X580*W580)</f>
        <v/>
      </c>
      <c r="Z580" s="7">
        <f>IF($AD580="","",Y580+V580)</f>
        <v/>
      </c>
      <c r="AA580" s="7">
        <f>IF($AD580="","",AB580-Z580)</f>
        <v/>
      </c>
      <c r="AB580" s="7">
        <f>IF($AD580="","",U580+X580+S580)</f>
        <v/>
      </c>
      <c r="AC580" s="7">
        <f>IF($AD580="","",AB580-Z580-P580)</f>
        <v/>
      </c>
      <c r="AD580" s="13">
        <f>IF(ROWS($AD$2:$AD580)&lt;=MAX('Per Line'!$AO$2:$AO$3001),MATCH(ROWS($AD$2:$AD580),'Per Line'!$AO$2:$AO$3001,0),"")</f>
        <v/>
      </c>
      <c r="AE580" s="14">
        <f>IF($AD580="","",P580-O580*AB580/100)</f>
        <v/>
      </c>
    </row>
    <row r="581">
      <c r="A581" s="12" t="n"/>
      <c r="B581">
        <f>IF($AD581="","",INDEX('Per Line'!$E$2:$E$3001,$AD581)&amp;"")</f>
        <v/>
      </c>
      <c r="C581">
        <f>IF($AD581="","",INDEX('Per Line'!$A$2:$A$3001,$AD581)&amp;"")</f>
        <v/>
      </c>
      <c r="D581">
        <f>IF($AD581="","",INDEX('Per Line'!$C$2:$C$3001,$AD581)&amp;"")</f>
        <v/>
      </c>
      <c r="E581">
        <f>IF($AD581="","",INDEX('Per Line'!$B$2:$B$3001,$AD581))</f>
        <v/>
      </c>
      <c r="F581">
        <f>IF($AD581="","",INDEX('Per Line'!$D$2:$D$3001,$AD581)&amp;"")</f>
        <v/>
      </c>
      <c r="G581" s="11">
        <f>IF($AD581="","",INDEX('Per Line'!$G$2:$G$3001,$AD581))</f>
        <v/>
      </c>
      <c r="H581">
        <f>IF($AD581="","",INDEX('Per Line'!$J$2:$J$3001,$AD581)&amp;"")</f>
        <v/>
      </c>
      <c r="I581">
        <f>IF($AD581="","",INDEX('Per Line'!$H$2:$H$3001,$AD581)&amp;"")</f>
        <v/>
      </c>
      <c r="J581">
        <f>IF($AD581="","",INDEX('Per Line'!$F$2:$F$3001,$AD581)&amp;"")</f>
        <v/>
      </c>
      <c r="K581">
        <f>IF($AD581="","",INDEX('Per Line'!$K$2:$K$3001,$AD581)&amp;"")</f>
        <v/>
      </c>
      <c r="L581">
        <f>IF($AD581="","",INDEX('Per Line'!$L$2:$L$3001,$AD581)&amp;"")</f>
        <v/>
      </c>
      <c r="M581">
        <f>IF($AD581="","",INDEX('Per Line'!$M$2:$M$3001,$AD581)&amp;"")</f>
        <v/>
      </c>
      <c r="N581">
        <f>IF($AD581="","",INDEX('Per Line'!$AC$2:$AC$3001,$AD581)&amp;"")</f>
        <v/>
      </c>
      <c r="O581">
        <f>IF($AD581="","",INDEX('Per Line'!$P$2:$P$3001,$AD581))</f>
        <v/>
      </c>
      <c r="P581" s="7">
        <f>IF($AD581="","",IF(AND(ISNUMBER(Q581),Q581&gt;0,AB581&gt;Q581),O581*Q581/100+(AB581-Q581),O581*AB581/100))</f>
        <v/>
      </c>
      <c r="Q581">
        <f>IF($AD581="","",INDEX('Per Line'!$AG$2:$AG$3001,$AD581))</f>
        <v/>
      </c>
      <c r="R581">
        <f>IF($AD581="","",IF(AND(ISNUMBER(Q581),Q581&gt;0),AB581&gt;Q581,FALSE))</f>
        <v/>
      </c>
      <c r="S581" s="7">
        <f>IF($AD581="","",SUMIFS('Per Line'!$AB$2:$AB$3001,'Per Line'!$E$2:$E$3001,$B581,'Per Line'!$AQ$2:$AQ$3001,1))</f>
        <v/>
      </c>
      <c r="T581">
        <f>IF($AD581="","",Settings!$C$7)</f>
        <v/>
      </c>
      <c r="U581" s="7">
        <f>IF($AD581="","",SUMIFS('Per Line'!$AB$2:$AB$3001,'Per Line'!$E$2:$E$3001,$B581,'Per Line'!$AP$2:$AP$3001,0,'Per Line'!$AQ$2:$AQ$3001,0))</f>
        <v/>
      </c>
      <c r="V581" s="7">
        <f>IF($AD581="","",U581*T581)</f>
        <v/>
      </c>
      <c r="W581">
        <f>IF($AD581="","",Settings!$C$6)</f>
        <v/>
      </c>
      <c r="X581" s="7">
        <f>IF($AD581="","",SUMIFS('Per Line'!$AB$2:$AB$3001,'Per Line'!$E$2:$E$3001,$B581,'Per Line'!$AP$2:$AP$3001,1,'Per Line'!$AQ$2:$AQ$3001,0))</f>
        <v/>
      </c>
      <c r="Y581" s="7">
        <f>IF($AD581="","",X581*W581)</f>
        <v/>
      </c>
      <c r="Z581" s="7">
        <f>IF($AD581="","",Y581+V581)</f>
        <v/>
      </c>
      <c r="AA581" s="7">
        <f>IF($AD581="","",AB581-Z581)</f>
        <v/>
      </c>
      <c r="AB581" s="7">
        <f>IF($AD581="","",U581+X581+S581)</f>
        <v/>
      </c>
      <c r="AC581" s="7">
        <f>IF($AD581="","",AB581-Z581-P581)</f>
        <v/>
      </c>
      <c r="AD581" s="13">
        <f>IF(ROWS($AD$2:$AD581)&lt;=MAX('Per Line'!$AO$2:$AO$3001),MATCH(ROWS($AD$2:$AD581),'Per Line'!$AO$2:$AO$3001,0),"")</f>
        <v/>
      </c>
      <c r="AE581" s="14">
        <f>IF($AD581="","",P581-O581*AB581/100)</f>
        <v/>
      </c>
    </row>
    <row r="582">
      <c r="A582" s="12" t="n"/>
      <c r="B582">
        <f>IF($AD582="","",INDEX('Per Line'!$E$2:$E$3001,$AD582)&amp;"")</f>
        <v/>
      </c>
      <c r="C582">
        <f>IF($AD582="","",INDEX('Per Line'!$A$2:$A$3001,$AD582)&amp;"")</f>
        <v/>
      </c>
      <c r="D582">
        <f>IF($AD582="","",INDEX('Per Line'!$C$2:$C$3001,$AD582)&amp;"")</f>
        <v/>
      </c>
      <c r="E582">
        <f>IF($AD582="","",INDEX('Per Line'!$B$2:$B$3001,$AD582))</f>
        <v/>
      </c>
      <c r="F582">
        <f>IF($AD582="","",INDEX('Per Line'!$D$2:$D$3001,$AD582)&amp;"")</f>
        <v/>
      </c>
      <c r="G582" s="11">
        <f>IF($AD582="","",INDEX('Per Line'!$G$2:$G$3001,$AD582))</f>
        <v/>
      </c>
      <c r="H582">
        <f>IF($AD582="","",INDEX('Per Line'!$J$2:$J$3001,$AD582)&amp;"")</f>
        <v/>
      </c>
      <c r="I582">
        <f>IF($AD582="","",INDEX('Per Line'!$H$2:$H$3001,$AD582)&amp;"")</f>
        <v/>
      </c>
      <c r="J582">
        <f>IF($AD582="","",INDEX('Per Line'!$F$2:$F$3001,$AD582)&amp;"")</f>
        <v/>
      </c>
      <c r="K582">
        <f>IF($AD582="","",INDEX('Per Line'!$K$2:$K$3001,$AD582)&amp;"")</f>
        <v/>
      </c>
      <c r="L582">
        <f>IF($AD582="","",INDEX('Per Line'!$L$2:$L$3001,$AD582)&amp;"")</f>
        <v/>
      </c>
      <c r="M582">
        <f>IF($AD582="","",INDEX('Per Line'!$M$2:$M$3001,$AD582)&amp;"")</f>
        <v/>
      </c>
      <c r="N582">
        <f>IF($AD582="","",INDEX('Per Line'!$AC$2:$AC$3001,$AD582)&amp;"")</f>
        <v/>
      </c>
      <c r="O582">
        <f>IF($AD582="","",INDEX('Per Line'!$P$2:$P$3001,$AD582))</f>
        <v/>
      </c>
      <c r="P582" s="7">
        <f>IF($AD582="","",IF(AND(ISNUMBER(Q582),Q582&gt;0,AB582&gt;Q582),O582*Q582/100+(AB582-Q582),O582*AB582/100))</f>
        <v/>
      </c>
      <c r="Q582">
        <f>IF($AD582="","",INDEX('Per Line'!$AG$2:$AG$3001,$AD582))</f>
        <v/>
      </c>
      <c r="R582">
        <f>IF($AD582="","",IF(AND(ISNUMBER(Q582),Q582&gt;0),AB582&gt;Q582,FALSE))</f>
        <v/>
      </c>
      <c r="S582" s="7">
        <f>IF($AD582="","",SUMIFS('Per Line'!$AB$2:$AB$3001,'Per Line'!$E$2:$E$3001,$B582,'Per Line'!$AQ$2:$AQ$3001,1))</f>
        <v/>
      </c>
      <c r="T582">
        <f>IF($AD582="","",Settings!$C$7)</f>
        <v/>
      </c>
      <c r="U582" s="7">
        <f>IF($AD582="","",SUMIFS('Per Line'!$AB$2:$AB$3001,'Per Line'!$E$2:$E$3001,$B582,'Per Line'!$AP$2:$AP$3001,0,'Per Line'!$AQ$2:$AQ$3001,0))</f>
        <v/>
      </c>
      <c r="V582" s="7">
        <f>IF($AD582="","",U582*T582)</f>
        <v/>
      </c>
      <c r="W582">
        <f>IF($AD582="","",Settings!$C$6)</f>
        <v/>
      </c>
      <c r="X582" s="7">
        <f>IF($AD582="","",SUMIFS('Per Line'!$AB$2:$AB$3001,'Per Line'!$E$2:$E$3001,$B582,'Per Line'!$AP$2:$AP$3001,1,'Per Line'!$AQ$2:$AQ$3001,0))</f>
        <v/>
      </c>
      <c r="Y582" s="7">
        <f>IF($AD582="","",X582*W582)</f>
        <v/>
      </c>
      <c r="Z582" s="7">
        <f>IF($AD582="","",Y582+V582)</f>
        <v/>
      </c>
      <c r="AA582" s="7">
        <f>IF($AD582="","",AB582-Z582)</f>
        <v/>
      </c>
      <c r="AB582" s="7">
        <f>IF($AD582="","",U582+X582+S582)</f>
        <v/>
      </c>
      <c r="AC582" s="7">
        <f>IF($AD582="","",AB582-Z582-P582)</f>
        <v/>
      </c>
      <c r="AD582" s="13">
        <f>IF(ROWS($AD$2:$AD582)&lt;=MAX('Per Line'!$AO$2:$AO$3001),MATCH(ROWS($AD$2:$AD582),'Per Line'!$AO$2:$AO$3001,0),"")</f>
        <v/>
      </c>
      <c r="AE582" s="14">
        <f>IF($AD582="","",P582-O582*AB582/100)</f>
        <v/>
      </c>
    </row>
    <row r="583">
      <c r="A583" s="12" t="n"/>
      <c r="B583">
        <f>IF($AD583="","",INDEX('Per Line'!$E$2:$E$3001,$AD583)&amp;"")</f>
        <v/>
      </c>
      <c r="C583">
        <f>IF($AD583="","",INDEX('Per Line'!$A$2:$A$3001,$AD583)&amp;"")</f>
        <v/>
      </c>
      <c r="D583">
        <f>IF($AD583="","",INDEX('Per Line'!$C$2:$C$3001,$AD583)&amp;"")</f>
        <v/>
      </c>
      <c r="E583">
        <f>IF($AD583="","",INDEX('Per Line'!$B$2:$B$3001,$AD583))</f>
        <v/>
      </c>
      <c r="F583">
        <f>IF($AD583="","",INDEX('Per Line'!$D$2:$D$3001,$AD583)&amp;"")</f>
        <v/>
      </c>
      <c r="G583" s="11">
        <f>IF($AD583="","",INDEX('Per Line'!$G$2:$G$3001,$AD583))</f>
        <v/>
      </c>
      <c r="H583">
        <f>IF($AD583="","",INDEX('Per Line'!$J$2:$J$3001,$AD583)&amp;"")</f>
        <v/>
      </c>
      <c r="I583">
        <f>IF($AD583="","",INDEX('Per Line'!$H$2:$H$3001,$AD583)&amp;"")</f>
        <v/>
      </c>
      <c r="J583">
        <f>IF($AD583="","",INDEX('Per Line'!$F$2:$F$3001,$AD583)&amp;"")</f>
        <v/>
      </c>
      <c r="K583">
        <f>IF($AD583="","",INDEX('Per Line'!$K$2:$K$3001,$AD583)&amp;"")</f>
        <v/>
      </c>
      <c r="L583">
        <f>IF($AD583="","",INDEX('Per Line'!$L$2:$L$3001,$AD583)&amp;"")</f>
        <v/>
      </c>
      <c r="M583">
        <f>IF($AD583="","",INDEX('Per Line'!$M$2:$M$3001,$AD583)&amp;"")</f>
        <v/>
      </c>
      <c r="N583">
        <f>IF($AD583="","",INDEX('Per Line'!$AC$2:$AC$3001,$AD583)&amp;"")</f>
        <v/>
      </c>
      <c r="O583">
        <f>IF($AD583="","",INDEX('Per Line'!$P$2:$P$3001,$AD583))</f>
        <v/>
      </c>
      <c r="P583" s="7">
        <f>IF($AD583="","",IF(AND(ISNUMBER(Q583),Q583&gt;0,AB583&gt;Q583),O583*Q583/100+(AB583-Q583),O583*AB583/100))</f>
        <v/>
      </c>
      <c r="Q583">
        <f>IF($AD583="","",INDEX('Per Line'!$AG$2:$AG$3001,$AD583))</f>
        <v/>
      </c>
      <c r="R583">
        <f>IF($AD583="","",IF(AND(ISNUMBER(Q583),Q583&gt;0),AB583&gt;Q583,FALSE))</f>
        <v/>
      </c>
      <c r="S583" s="7">
        <f>IF($AD583="","",SUMIFS('Per Line'!$AB$2:$AB$3001,'Per Line'!$E$2:$E$3001,$B583,'Per Line'!$AQ$2:$AQ$3001,1))</f>
        <v/>
      </c>
      <c r="T583">
        <f>IF($AD583="","",Settings!$C$7)</f>
        <v/>
      </c>
      <c r="U583" s="7">
        <f>IF($AD583="","",SUMIFS('Per Line'!$AB$2:$AB$3001,'Per Line'!$E$2:$E$3001,$B583,'Per Line'!$AP$2:$AP$3001,0,'Per Line'!$AQ$2:$AQ$3001,0))</f>
        <v/>
      </c>
      <c r="V583" s="7">
        <f>IF($AD583="","",U583*T583)</f>
        <v/>
      </c>
      <c r="W583">
        <f>IF($AD583="","",Settings!$C$6)</f>
        <v/>
      </c>
      <c r="X583" s="7">
        <f>IF($AD583="","",SUMIFS('Per Line'!$AB$2:$AB$3001,'Per Line'!$E$2:$E$3001,$B583,'Per Line'!$AP$2:$AP$3001,1,'Per Line'!$AQ$2:$AQ$3001,0))</f>
        <v/>
      </c>
      <c r="Y583" s="7">
        <f>IF($AD583="","",X583*W583)</f>
        <v/>
      </c>
      <c r="Z583" s="7">
        <f>IF($AD583="","",Y583+V583)</f>
        <v/>
      </c>
      <c r="AA583" s="7">
        <f>IF($AD583="","",AB583-Z583)</f>
        <v/>
      </c>
      <c r="AB583" s="7">
        <f>IF($AD583="","",U583+X583+S583)</f>
        <v/>
      </c>
      <c r="AC583" s="7">
        <f>IF($AD583="","",AB583-Z583-P583)</f>
        <v/>
      </c>
      <c r="AD583" s="13">
        <f>IF(ROWS($AD$2:$AD583)&lt;=MAX('Per Line'!$AO$2:$AO$3001),MATCH(ROWS($AD$2:$AD583),'Per Line'!$AO$2:$AO$3001,0),"")</f>
        <v/>
      </c>
      <c r="AE583" s="14">
        <f>IF($AD583="","",P583-O583*AB583/100)</f>
        <v/>
      </c>
    </row>
    <row r="584">
      <c r="A584" s="12" t="n"/>
      <c r="B584">
        <f>IF($AD584="","",INDEX('Per Line'!$E$2:$E$3001,$AD584)&amp;"")</f>
        <v/>
      </c>
      <c r="C584">
        <f>IF($AD584="","",INDEX('Per Line'!$A$2:$A$3001,$AD584)&amp;"")</f>
        <v/>
      </c>
      <c r="D584">
        <f>IF($AD584="","",INDEX('Per Line'!$C$2:$C$3001,$AD584)&amp;"")</f>
        <v/>
      </c>
      <c r="E584">
        <f>IF($AD584="","",INDEX('Per Line'!$B$2:$B$3001,$AD584))</f>
        <v/>
      </c>
      <c r="F584">
        <f>IF($AD584="","",INDEX('Per Line'!$D$2:$D$3001,$AD584)&amp;"")</f>
        <v/>
      </c>
      <c r="G584" s="11">
        <f>IF($AD584="","",INDEX('Per Line'!$G$2:$G$3001,$AD584))</f>
        <v/>
      </c>
      <c r="H584">
        <f>IF($AD584="","",INDEX('Per Line'!$J$2:$J$3001,$AD584)&amp;"")</f>
        <v/>
      </c>
      <c r="I584">
        <f>IF($AD584="","",INDEX('Per Line'!$H$2:$H$3001,$AD584)&amp;"")</f>
        <v/>
      </c>
      <c r="J584">
        <f>IF($AD584="","",INDEX('Per Line'!$F$2:$F$3001,$AD584)&amp;"")</f>
        <v/>
      </c>
      <c r="K584">
        <f>IF($AD584="","",INDEX('Per Line'!$K$2:$K$3001,$AD584)&amp;"")</f>
        <v/>
      </c>
      <c r="L584">
        <f>IF($AD584="","",INDEX('Per Line'!$L$2:$L$3001,$AD584)&amp;"")</f>
        <v/>
      </c>
      <c r="M584">
        <f>IF($AD584="","",INDEX('Per Line'!$M$2:$M$3001,$AD584)&amp;"")</f>
        <v/>
      </c>
      <c r="N584">
        <f>IF($AD584="","",INDEX('Per Line'!$AC$2:$AC$3001,$AD584)&amp;"")</f>
        <v/>
      </c>
      <c r="O584">
        <f>IF($AD584="","",INDEX('Per Line'!$P$2:$P$3001,$AD584))</f>
        <v/>
      </c>
      <c r="P584" s="7">
        <f>IF($AD584="","",IF(AND(ISNUMBER(Q584),Q584&gt;0,AB584&gt;Q584),O584*Q584/100+(AB584-Q584),O584*AB584/100))</f>
        <v/>
      </c>
      <c r="Q584">
        <f>IF($AD584="","",INDEX('Per Line'!$AG$2:$AG$3001,$AD584))</f>
        <v/>
      </c>
      <c r="R584">
        <f>IF($AD584="","",IF(AND(ISNUMBER(Q584),Q584&gt;0),AB584&gt;Q584,FALSE))</f>
        <v/>
      </c>
      <c r="S584" s="7">
        <f>IF($AD584="","",SUMIFS('Per Line'!$AB$2:$AB$3001,'Per Line'!$E$2:$E$3001,$B584,'Per Line'!$AQ$2:$AQ$3001,1))</f>
        <v/>
      </c>
      <c r="T584">
        <f>IF($AD584="","",Settings!$C$7)</f>
        <v/>
      </c>
      <c r="U584" s="7">
        <f>IF($AD584="","",SUMIFS('Per Line'!$AB$2:$AB$3001,'Per Line'!$E$2:$E$3001,$B584,'Per Line'!$AP$2:$AP$3001,0,'Per Line'!$AQ$2:$AQ$3001,0))</f>
        <v/>
      </c>
      <c r="V584" s="7">
        <f>IF($AD584="","",U584*T584)</f>
        <v/>
      </c>
      <c r="W584">
        <f>IF($AD584="","",Settings!$C$6)</f>
        <v/>
      </c>
      <c r="X584" s="7">
        <f>IF($AD584="","",SUMIFS('Per Line'!$AB$2:$AB$3001,'Per Line'!$E$2:$E$3001,$B584,'Per Line'!$AP$2:$AP$3001,1,'Per Line'!$AQ$2:$AQ$3001,0))</f>
        <v/>
      </c>
      <c r="Y584" s="7">
        <f>IF($AD584="","",X584*W584)</f>
        <v/>
      </c>
      <c r="Z584" s="7">
        <f>IF($AD584="","",Y584+V584)</f>
        <v/>
      </c>
      <c r="AA584" s="7">
        <f>IF($AD584="","",AB584-Z584)</f>
        <v/>
      </c>
      <c r="AB584" s="7">
        <f>IF($AD584="","",U584+X584+S584)</f>
        <v/>
      </c>
      <c r="AC584" s="7">
        <f>IF($AD584="","",AB584-Z584-P584)</f>
        <v/>
      </c>
      <c r="AD584" s="13">
        <f>IF(ROWS($AD$2:$AD584)&lt;=MAX('Per Line'!$AO$2:$AO$3001),MATCH(ROWS($AD$2:$AD584),'Per Line'!$AO$2:$AO$3001,0),"")</f>
        <v/>
      </c>
      <c r="AE584" s="14">
        <f>IF($AD584="","",P584-O584*AB584/100)</f>
        <v/>
      </c>
    </row>
    <row r="585">
      <c r="A585" s="12" t="n"/>
      <c r="B585">
        <f>IF($AD585="","",INDEX('Per Line'!$E$2:$E$3001,$AD585)&amp;"")</f>
        <v/>
      </c>
      <c r="C585">
        <f>IF($AD585="","",INDEX('Per Line'!$A$2:$A$3001,$AD585)&amp;"")</f>
        <v/>
      </c>
      <c r="D585">
        <f>IF($AD585="","",INDEX('Per Line'!$C$2:$C$3001,$AD585)&amp;"")</f>
        <v/>
      </c>
      <c r="E585">
        <f>IF($AD585="","",INDEX('Per Line'!$B$2:$B$3001,$AD585))</f>
        <v/>
      </c>
      <c r="F585">
        <f>IF($AD585="","",INDEX('Per Line'!$D$2:$D$3001,$AD585)&amp;"")</f>
        <v/>
      </c>
      <c r="G585" s="11">
        <f>IF($AD585="","",INDEX('Per Line'!$G$2:$G$3001,$AD585))</f>
        <v/>
      </c>
      <c r="H585">
        <f>IF($AD585="","",INDEX('Per Line'!$J$2:$J$3001,$AD585)&amp;"")</f>
        <v/>
      </c>
      <c r="I585">
        <f>IF($AD585="","",INDEX('Per Line'!$H$2:$H$3001,$AD585)&amp;"")</f>
        <v/>
      </c>
      <c r="J585">
        <f>IF($AD585="","",INDEX('Per Line'!$F$2:$F$3001,$AD585)&amp;"")</f>
        <v/>
      </c>
      <c r="K585">
        <f>IF($AD585="","",INDEX('Per Line'!$K$2:$K$3001,$AD585)&amp;"")</f>
        <v/>
      </c>
      <c r="L585">
        <f>IF($AD585="","",INDEX('Per Line'!$L$2:$L$3001,$AD585)&amp;"")</f>
        <v/>
      </c>
      <c r="M585">
        <f>IF($AD585="","",INDEX('Per Line'!$M$2:$M$3001,$AD585)&amp;"")</f>
        <v/>
      </c>
      <c r="N585">
        <f>IF($AD585="","",INDEX('Per Line'!$AC$2:$AC$3001,$AD585)&amp;"")</f>
        <v/>
      </c>
      <c r="O585">
        <f>IF($AD585="","",INDEX('Per Line'!$P$2:$P$3001,$AD585))</f>
        <v/>
      </c>
      <c r="P585" s="7">
        <f>IF($AD585="","",IF(AND(ISNUMBER(Q585),Q585&gt;0,AB585&gt;Q585),O585*Q585/100+(AB585-Q585),O585*AB585/100))</f>
        <v/>
      </c>
      <c r="Q585">
        <f>IF($AD585="","",INDEX('Per Line'!$AG$2:$AG$3001,$AD585))</f>
        <v/>
      </c>
      <c r="R585">
        <f>IF($AD585="","",IF(AND(ISNUMBER(Q585),Q585&gt;0),AB585&gt;Q585,FALSE))</f>
        <v/>
      </c>
      <c r="S585" s="7">
        <f>IF($AD585="","",SUMIFS('Per Line'!$AB$2:$AB$3001,'Per Line'!$E$2:$E$3001,$B585,'Per Line'!$AQ$2:$AQ$3001,1))</f>
        <v/>
      </c>
      <c r="T585">
        <f>IF($AD585="","",Settings!$C$7)</f>
        <v/>
      </c>
      <c r="U585" s="7">
        <f>IF($AD585="","",SUMIFS('Per Line'!$AB$2:$AB$3001,'Per Line'!$E$2:$E$3001,$B585,'Per Line'!$AP$2:$AP$3001,0,'Per Line'!$AQ$2:$AQ$3001,0))</f>
        <v/>
      </c>
      <c r="V585" s="7">
        <f>IF($AD585="","",U585*T585)</f>
        <v/>
      </c>
      <c r="W585">
        <f>IF($AD585="","",Settings!$C$6)</f>
        <v/>
      </c>
      <c r="X585" s="7">
        <f>IF($AD585="","",SUMIFS('Per Line'!$AB$2:$AB$3001,'Per Line'!$E$2:$E$3001,$B585,'Per Line'!$AP$2:$AP$3001,1,'Per Line'!$AQ$2:$AQ$3001,0))</f>
        <v/>
      </c>
      <c r="Y585" s="7">
        <f>IF($AD585="","",X585*W585)</f>
        <v/>
      </c>
      <c r="Z585" s="7">
        <f>IF($AD585="","",Y585+V585)</f>
        <v/>
      </c>
      <c r="AA585" s="7">
        <f>IF($AD585="","",AB585-Z585)</f>
        <v/>
      </c>
      <c r="AB585" s="7">
        <f>IF($AD585="","",U585+X585+S585)</f>
        <v/>
      </c>
      <c r="AC585" s="7">
        <f>IF($AD585="","",AB585-Z585-P585)</f>
        <v/>
      </c>
      <c r="AD585" s="13">
        <f>IF(ROWS($AD$2:$AD585)&lt;=MAX('Per Line'!$AO$2:$AO$3001),MATCH(ROWS($AD$2:$AD585),'Per Line'!$AO$2:$AO$3001,0),"")</f>
        <v/>
      </c>
      <c r="AE585" s="14">
        <f>IF($AD585="","",P585-O585*AB585/100)</f>
        <v/>
      </c>
    </row>
    <row r="586">
      <c r="A586" s="12" t="n"/>
      <c r="B586">
        <f>IF($AD586="","",INDEX('Per Line'!$E$2:$E$3001,$AD586)&amp;"")</f>
        <v/>
      </c>
      <c r="C586">
        <f>IF($AD586="","",INDEX('Per Line'!$A$2:$A$3001,$AD586)&amp;"")</f>
        <v/>
      </c>
      <c r="D586">
        <f>IF($AD586="","",INDEX('Per Line'!$C$2:$C$3001,$AD586)&amp;"")</f>
        <v/>
      </c>
      <c r="E586">
        <f>IF($AD586="","",INDEX('Per Line'!$B$2:$B$3001,$AD586))</f>
        <v/>
      </c>
      <c r="F586">
        <f>IF($AD586="","",INDEX('Per Line'!$D$2:$D$3001,$AD586)&amp;"")</f>
        <v/>
      </c>
      <c r="G586" s="11">
        <f>IF($AD586="","",INDEX('Per Line'!$G$2:$G$3001,$AD586))</f>
        <v/>
      </c>
      <c r="H586">
        <f>IF($AD586="","",INDEX('Per Line'!$J$2:$J$3001,$AD586)&amp;"")</f>
        <v/>
      </c>
      <c r="I586">
        <f>IF($AD586="","",INDEX('Per Line'!$H$2:$H$3001,$AD586)&amp;"")</f>
        <v/>
      </c>
      <c r="J586">
        <f>IF($AD586="","",INDEX('Per Line'!$F$2:$F$3001,$AD586)&amp;"")</f>
        <v/>
      </c>
      <c r="K586">
        <f>IF($AD586="","",INDEX('Per Line'!$K$2:$K$3001,$AD586)&amp;"")</f>
        <v/>
      </c>
      <c r="L586">
        <f>IF($AD586="","",INDEX('Per Line'!$L$2:$L$3001,$AD586)&amp;"")</f>
        <v/>
      </c>
      <c r="M586">
        <f>IF($AD586="","",INDEX('Per Line'!$M$2:$M$3001,$AD586)&amp;"")</f>
        <v/>
      </c>
      <c r="N586">
        <f>IF($AD586="","",INDEX('Per Line'!$AC$2:$AC$3001,$AD586)&amp;"")</f>
        <v/>
      </c>
      <c r="O586">
        <f>IF($AD586="","",INDEX('Per Line'!$P$2:$P$3001,$AD586))</f>
        <v/>
      </c>
      <c r="P586" s="7">
        <f>IF($AD586="","",IF(AND(ISNUMBER(Q586),Q586&gt;0,AB586&gt;Q586),O586*Q586/100+(AB586-Q586),O586*AB586/100))</f>
        <v/>
      </c>
      <c r="Q586">
        <f>IF($AD586="","",INDEX('Per Line'!$AG$2:$AG$3001,$AD586))</f>
        <v/>
      </c>
      <c r="R586">
        <f>IF($AD586="","",IF(AND(ISNUMBER(Q586),Q586&gt;0),AB586&gt;Q586,FALSE))</f>
        <v/>
      </c>
      <c r="S586" s="7">
        <f>IF($AD586="","",SUMIFS('Per Line'!$AB$2:$AB$3001,'Per Line'!$E$2:$E$3001,$B586,'Per Line'!$AQ$2:$AQ$3001,1))</f>
        <v/>
      </c>
      <c r="T586">
        <f>IF($AD586="","",Settings!$C$7)</f>
        <v/>
      </c>
      <c r="U586" s="7">
        <f>IF($AD586="","",SUMIFS('Per Line'!$AB$2:$AB$3001,'Per Line'!$E$2:$E$3001,$B586,'Per Line'!$AP$2:$AP$3001,0,'Per Line'!$AQ$2:$AQ$3001,0))</f>
        <v/>
      </c>
      <c r="V586" s="7">
        <f>IF($AD586="","",U586*T586)</f>
        <v/>
      </c>
      <c r="W586">
        <f>IF($AD586="","",Settings!$C$6)</f>
        <v/>
      </c>
      <c r="X586" s="7">
        <f>IF($AD586="","",SUMIFS('Per Line'!$AB$2:$AB$3001,'Per Line'!$E$2:$E$3001,$B586,'Per Line'!$AP$2:$AP$3001,1,'Per Line'!$AQ$2:$AQ$3001,0))</f>
        <v/>
      </c>
      <c r="Y586" s="7">
        <f>IF($AD586="","",X586*W586)</f>
        <v/>
      </c>
      <c r="Z586" s="7">
        <f>IF($AD586="","",Y586+V586)</f>
        <v/>
      </c>
      <c r="AA586" s="7">
        <f>IF($AD586="","",AB586-Z586)</f>
        <v/>
      </c>
      <c r="AB586" s="7">
        <f>IF($AD586="","",U586+X586+S586)</f>
        <v/>
      </c>
      <c r="AC586" s="7">
        <f>IF($AD586="","",AB586-Z586-P586)</f>
        <v/>
      </c>
      <c r="AD586" s="13">
        <f>IF(ROWS($AD$2:$AD586)&lt;=MAX('Per Line'!$AO$2:$AO$3001),MATCH(ROWS($AD$2:$AD586),'Per Line'!$AO$2:$AO$3001,0),"")</f>
        <v/>
      </c>
      <c r="AE586" s="14">
        <f>IF($AD586="","",P586-O586*AB586/100)</f>
        <v/>
      </c>
    </row>
    <row r="587">
      <c r="A587" s="12" t="n"/>
      <c r="B587">
        <f>IF($AD587="","",INDEX('Per Line'!$E$2:$E$3001,$AD587)&amp;"")</f>
        <v/>
      </c>
      <c r="C587">
        <f>IF($AD587="","",INDEX('Per Line'!$A$2:$A$3001,$AD587)&amp;"")</f>
        <v/>
      </c>
      <c r="D587">
        <f>IF($AD587="","",INDEX('Per Line'!$C$2:$C$3001,$AD587)&amp;"")</f>
        <v/>
      </c>
      <c r="E587">
        <f>IF($AD587="","",INDEX('Per Line'!$B$2:$B$3001,$AD587))</f>
        <v/>
      </c>
      <c r="F587">
        <f>IF($AD587="","",INDEX('Per Line'!$D$2:$D$3001,$AD587)&amp;"")</f>
        <v/>
      </c>
      <c r="G587" s="11">
        <f>IF($AD587="","",INDEX('Per Line'!$G$2:$G$3001,$AD587))</f>
        <v/>
      </c>
      <c r="H587">
        <f>IF($AD587="","",INDEX('Per Line'!$J$2:$J$3001,$AD587)&amp;"")</f>
        <v/>
      </c>
      <c r="I587">
        <f>IF($AD587="","",INDEX('Per Line'!$H$2:$H$3001,$AD587)&amp;"")</f>
        <v/>
      </c>
      <c r="J587">
        <f>IF($AD587="","",INDEX('Per Line'!$F$2:$F$3001,$AD587)&amp;"")</f>
        <v/>
      </c>
      <c r="K587">
        <f>IF($AD587="","",INDEX('Per Line'!$K$2:$K$3001,$AD587)&amp;"")</f>
        <v/>
      </c>
      <c r="L587">
        <f>IF($AD587="","",INDEX('Per Line'!$L$2:$L$3001,$AD587)&amp;"")</f>
        <v/>
      </c>
      <c r="M587">
        <f>IF($AD587="","",INDEX('Per Line'!$M$2:$M$3001,$AD587)&amp;"")</f>
        <v/>
      </c>
      <c r="N587">
        <f>IF($AD587="","",INDEX('Per Line'!$AC$2:$AC$3001,$AD587)&amp;"")</f>
        <v/>
      </c>
      <c r="O587">
        <f>IF($AD587="","",INDEX('Per Line'!$P$2:$P$3001,$AD587))</f>
        <v/>
      </c>
      <c r="P587" s="7">
        <f>IF($AD587="","",IF(AND(ISNUMBER(Q587),Q587&gt;0,AB587&gt;Q587),O587*Q587/100+(AB587-Q587),O587*AB587/100))</f>
        <v/>
      </c>
      <c r="Q587">
        <f>IF($AD587="","",INDEX('Per Line'!$AG$2:$AG$3001,$AD587))</f>
        <v/>
      </c>
      <c r="R587">
        <f>IF($AD587="","",IF(AND(ISNUMBER(Q587),Q587&gt;0),AB587&gt;Q587,FALSE))</f>
        <v/>
      </c>
      <c r="S587" s="7">
        <f>IF($AD587="","",SUMIFS('Per Line'!$AB$2:$AB$3001,'Per Line'!$E$2:$E$3001,$B587,'Per Line'!$AQ$2:$AQ$3001,1))</f>
        <v/>
      </c>
      <c r="T587">
        <f>IF($AD587="","",Settings!$C$7)</f>
        <v/>
      </c>
      <c r="U587" s="7">
        <f>IF($AD587="","",SUMIFS('Per Line'!$AB$2:$AB$3001,'Per Line'!$E$2:$E$3001,$B587,'Per Line'!$AP$2:$AP$3001,0,'Per Line'!$AQ$2:$AQ$3001,0))</f>
        <v/>
      </c>
      <c r="V587" s="7">
        <f>IF($AD587="","",U587*T587)</f>
        <v/>
      </c>
      <c r="W587">
        <f>IF($AD587="","",Settings!$C$6)</f>
        <v/>
      </c>
      <c r="X587" s="7">
        <f>IF($AD587="","",SUMIFS('Per Line'!$AB$2:$AB$3001,'Per Line'!$E$2:$E$3001,$B587,'Per Line'!$AP$2:$AP$3001,1,'Per Line'!$AQ$2:$AQ$3001,0))</f>
        <v/>
      </c>
      <c r="Y587" s="7">
        <f>IF($AD587="","",X587*W587)</f>
        <v/>
      </c>
      <c r="Z587" s="7">
        <f>IF($AD587="","",Y587+V587)</f>
        <v/>
      </c>
      <c r="AA587" s="7">
        <f>IF($AD587="","",AB587-Z587)</f>
        <v/>
      </c>
      <c r="AB587" s="7">
        <f>IF($AD587="","",U587+X587+S587)</f>
        <v/>
      </c>
      <c r="AC587" s="7">
        <f>IF($AD587="","",AB587-Z587-P587)</f>
        <v/>
      </c>
      <c r="AD587" s="13">
        <f>IF(ROWS($AD$2:$AD587)&lt;=MAX('Per Line'!$AO$2:$AO$3001),MATCH(ROWS($AD$2:$AD587),'Per Line'!$AO$2:$AO$3001,0),"")</f>
        <v/>
      </c>
      <c r="AE587" s="14">
        <f>IF($AD587="","",P587-O587*AB587/100)</f>
        <v/>
      </c>
    </row>
    <row r="588">
      <c r="A588" s="12" t="n"/>
      <c r="B588">
        <f>IF($AD588="","",INDEX('Per Line'!$E$2:$E$3001,$AD588)&amp;"")</f>
        <v/>
      </c>
      <c r="C588">
        <f>IF($AD588="","",INDEX('Per Line'!$A$2:$A$3001,$AD588)&amp;"")</f>
        <v/>
      </c>
      <c r="D588">
        <f>IF($AD588="","",INDEX('Per Line'!$C$2:$C$3001,$AD588)&amp;"")</f>
        <v/>
      </c>
      <c r="E588">
        <f>IF($AD588="","",INDEX('Per Line'!$B$2:$B$3001,$AD588))</f>
        <v/>
      </c>
      <c r="F588">
        <f>IF($AD588="","",INDEX('Per Line'!$D$2:$D$3001,$AD588)&amp;"")</f>
        <v/>
      </c>
      <c r="G588" s="11">
        <f>IF($AD588="","",INDEX('Per Line'!$G$2:$G$3001,$AD588))</f>
        <v/>
      </c>
      <c r="H588">
        <f>IF($AD588="","",INDEX('Per Line'!$J$2:$J$3001,$AD588)&amp;"")</f>
        <v/>
      </c>
      <c r="I588">
        <f>IF($AD588="","",INDEX('Per Line'!$H$2:$H$3001,$AD588)&amp;"")</f>
        <v/>
      </c>
      <c r="J588">
        <f>IF($AD588="","",INDEX('Per Line'!$F$2:$F$3001,$AD588)&amp;"")</f>
        <v/>
      </c>
      <c r="K588">
        <f>IF($AD588="","",INDEX('Per Line'!$K$2:$K$3001,$AD588)&amp;"")</f>
        <v/>
      </c>
      <c r="L588">
        <f>IF($AD588="","",INDEX('Per Line'!$L$2:$L$3001,$AD588)&amp;"")</f>
        <v/>
      </c>
      <c r="M588">
        <f>IF($AD588="","",INDEX('Per Line'!$M$2:$M$3001,$AD588)&amp;"")</f>
        <v/>
      </c>
      <c r="N588">
        <f>IF($AD588="","",INDEX('Per Line'!$AC$2:$AC$3001,$AD588)&amp;"")</f>
        <v/>
      </c>
      <c r="O588">
        <f>IF($AD588="","",INDEX('Per Line'!$P$2:$P$3001,$AD588))</f>
        <v/>
      </c>
      <c r="P588" s="7">
        <f>IF($AD588="","",IF(AND(ISNUMBER(Q588),Q588&gt;0,AB588&gt;Q588),O588*Q588/100+(AB588-Q588),O588*AB588/100))</f>
        <v/>
      </c>
      <c r="Q588">
        <f>IF($AD588="","",INDEX('Per Line'!$AG$2:$AG$3001,$AD588))</f>
        <v/>
      </c>
      <c r="R588">
        <f>IF($AD588="","",IF(AND(ISNUMBER(Q588),Q588&gt;0),AB588&gt;Q588,FALSE))</f>
        <v/>
      </c>
      <c r="S588" s="7">
        <f>IF($AD588="","",SUMIFS('Per Line'!$AB$2:$AB$3001,'Per Line'!$E$2:$E$3001,$B588,'Per Line'!$AQ$2:$AQ$3001,1))</f>
        <v/>
      </c>
      <c r="T588">
        <f>IF($AD588="","",Settings!$C$7)</f>
        <v/>
      </c>
      <c r="U588" s="7">
        <f>IF($AD588="","",SUMIFS('Per Line'!$AB$2:$AB$3001,'Per Line'!$E$2:$E$3001,$B588,'Per Line'!$AP$2:$AP$3001,0,'Per Line'!$AQ$2:$AQ$3001,0))</f>
        <v/>
      </c>
      <c r="V588" s="7">
        <f>IF($AD588="","",U588*T588)</f>
        <v/>
      </c>
      <c r="W588">
        <f>IF($AD588="","",Settings!$C$6)</f>
        <v/>
      </c>
      <c r="X588" s="7">
        <f>IF($AD588="","",SUMIFS('Per Line'!$AB$2:$AB$3001,'Per Line'!$E$2:$E$3001,$B588,'Per Line'!$AP$2:$AP$3001,1,'Per Line'!$AQ$2:$AQ$3001,0))</f>
        <v/>
      </c>
      <c r="Y588" s="7">
        <f>IF($AD588="","",X588*W588)</f>
        <v/>
      </c>
      <c r="Z588" s="7">
        <f>IF($AD588="","",Y588+V588)</f>
        <v/>
      </c>
      <c r="AA588" s="7">
        <f>IF($AD588="","",AB588-Z588)</f>
        <v/>
      </c>
      <c r="AB588" s="7">
        <f>IF($AD588="","",U588+X588+S588)</f>
        <v/>
      </c>
      <c r="AC588" s="7">
        <f>IF($AD588="","",AB588-Z588-P588)</f>
        <v/>
      </c>
      <c r="AD588" s="13">
        <f>IF(ROWS($AD$2:$AD588)&lt;=MAX('Per Line'!$AO$2:$AO$3001),MATCH(ROWS($AD$2:$AD588),'Per Line'!$AO$2:$AO$3001,0),"")</f>
        <v/>
      </c>
      <c r="AE588" s="14">
        <f>IF($AD588="","",P588-O588*AB588/100)</f>
        <v/>
      </c>
    </row>
    <row r="589">
      <c r="A589" s="12" t="n"/>
      <c r="B589">
        <f>IF($AD589="","",INDEX('Per Line'!$E$2:$E$3001,$AD589)&amp;"")</f>
        <v/>
      </c>
      <c r="C589">
        <f>IF($AD589="","",INDEX('Per Line'!$A$2:$A$3001,$AD589)&amp;"")</f>
        <v/>
      </c>
      <c r="D589">
        <f>IF($AD589="","",INDEX('Per Line'!$C$2:$C$3001,$AD589)&amp;"")</f>
        <v/>
      </c>
      <c r="E589">
        <f>IF($AD589="","",INDEX('Per Line'!$B$2:$B$3001,$AD589))</f>
        <v/>
      </c>
      <c r="F589">
        <f>IF($AD589="","",INDEX('Per Line'!$D$2:$D$3001,$AD589)&amp;"")</f>
        <v/>
      </c>
      <c r="G589" s="11">
        <f>IF($AD589="","",INDEX('Per Line'!$G$2:$G$3001,$AD589))</f>
        <v/>
      </c>
      <c r="H589">
        <f>IF($AD589="","",INDEX('Per Line'!$J$2:$J$3001,$AD589)&amp;"")</f>
        <v/>
      </c>
      <c r="I589">
        <f>IF($AD589="","",INDEX('Per Line'!$H$2:$H$3001,$AD589)&amp;"")</f>
        <v/>
      </c>
      <c r="J589">
        <f>IF($AD589="","",INDEX('Per Line'!$F$2:$F$3001,$AD589)&amp;"")</f>
        <v/>
      </c>
      <c r="K589">
        <f>IF($AD589="","",INDEX('Per Line'!$K$2:$K$3001,$AD589)&amp;"")</f>
        <v/>
      </c>
      <c r="L589">
        <f>IF($AD589="","",INDEX('Per Line'!$L$2:$L$3001,$AD589)&amp;"")</f>
        <v/>
      </c>
      <c r="M589">
        <f>IF($AD589="","",INDEX('Per Line'!$M$2:$M$3001,$AD589)&amp;"")</f>
        <v/>
      </c>
      <c r="N589">
        <f>IF($AD589="","",INDEX('Per Line'!$AC$2:$AC$3001,$AD589)&amp;"")</f>
        <v/>
      </c>
      <c r="O589">
        <f>IF($AD589="","",INDEX('Per Line'!$P$2:$P$3001,$AD589))</f>
        <v/>
      </c>
      <c r="P589" s="7">
        <f>IF($AD589="","",IF(AND(ISNUMBER(Q589),Q589&gt;0,AB589&gt;Q589),O589*Q589/100+(AB589-Q589),O589*AB589/100))</f>
        <v/>
      </c>
      <c r="Q589">
        <f>IF($AD589="","",INDEX('Per Line'!$AG$2:$AG$3001,$AD589))</f>
        <v/>
      </c>
      <c r="R589">
        <f>IF($AD589="","",IF(AND(ISNUMBER(Q589),Q589&gt;0),AB589&gt;Q589,FALSE))</f>
        <v/>
      </c>
      <c r="S589" s="7">
        <f>IF($AD589="","",SUMIFS('Per Line'!$AB$2:$AB$3001,'Per Line'!$E$2:$E$3001,$B589,'Per Line'!$AQ$2:$AQ$3001,1))</f>
        <v/>
      </c>
      <c r="T589">
        <f>IF($AD589="","",Settings!$C$7)</f>
        <v/>
      </c>
      <c r="U589" s="7">
        <f>IF($AD589="","",SUMIFS('Per Line'!$AB$2:$AB$3001,'Per Line'!$E$2:$E$3001,$B589,'Per Line'!$AP$2:$AP$3001,0,'Per Line'!$AQ$2:$AQ$3001,0))</f>
        <v/>
      </c>
      <c r="V589" s="7">
        <f>IF($AD589="","",U589*T589)</f>
        <v/>
      </c>
      <c r="W589">
        <f>IF($AD589="","",Settings!$C$6)</f>
        <v/>
      </c>
      <c r="X589" s="7">
        <f>IF($AD589="","",SUMIFS('Per Line'!$AB$2:$AB$3001,'Per Line'!$E$2:$E$3001,$B589,'Per Line'!$AP$2:$AP$3001,1,'Per Line'!$AQ$2:$AQ$3001,0))</f>
        <v/>
      </c>
      <c r="Y589" s="7">
        <f>IF($AD589="","",X589*W589)</f>
        <v/>
      </c>
      <c r="Z589" s="7">
        <f>IF($AD589="","",Y589+V589)</f>
        <v/>
      </c>
      <c r="AA589" s="7">
        <f>IF($AD589="","",AB589-Z589)</f>
        <v/>
      </c>
      <c r="AB589" s="7">
        <f>IF($AD589="","",U589+X589+S589)</f>
        <v/>
      </c>
      <c r="AC589" s="7">
        <f>IF($AD589="","",AB589-Z589-P589)</f>
        <v/>
      </c>
      <c r="AD589" s="13">
        <f>IF(ROWS($AD$2:$AD589)&lt;=MAX('Per Line'!$AO$2:$AO$3001),MATCH(ROWS($AD$2:$AD589),'Per Line'!$AO$2:$AO$3001,0),"")</f>
        <v/>
      </c>
      <c r="AE589" s="14">
        <f>IF($AD589="","",P589-O589*AB589/100)</f>
        <v/>
      </c>
    </row>
    <row r="590">
      <c r="A590" s="12" t="n"/>
      <c r="B590">
        <f>IF($AD590="","",INDEX('Per Line'!$E$2:$E$3001,$AD590)&amp;"")</f>
        <v/>
      </c>
      <c r="C590">
        <f>IF($AD590="","",INDEX('Per Line'!$A$2:$A$3001,$AD590)&amp;"")</f>
        <v/>
      </c>
      <c r="D590">
        <f>IF($AD590="","",INDEX('Per Line'!$C$2:$C$3001,$AD590)&amp;"")</f>
        <v/>
      </c>
      <c r="E590">
        <f>IF($AD590="","",INDEX('Per Line'!$B$2:$B$3001,$AD590))</f>
        <v/>
      </c>
      <c r="F590">
        <f>IF($AD590="","",INDEX('Per Line'!$D$2:$D$3001,$AD590)&amp;"")</f>
        <v/>
      </c>
      <c r="G590" s="11">
        <f>IF($AD590="","",INDEX('Per Line'!$G$2:$G$3001,$AD590))</f>
        <v/>
      </c>
      <c r="H590">
        <f>IF($AD590="","",INDEX('Per Line'!$J$2:$J$3001,$AD590)&amp;"")</f>
        <v/>
      </c>
      <c r="I590">
        <f>IF($AD590="","",INDEX('Per Line'!$H$2:$H$3001,$AD590)&amp;"")</f>
        <v/>
      </c>
      <c r="J590">
        <f>IF($AD590="","",INDEX('Per Line'!$F$2:$F$3001,$AD590)&amp;"")</f>
        <v/>
      </c>
      <c r="K590">
        <f>IF($AD590="","",INDEX('Per Line'!$K$2:$K$3001,$AD590)&amp;"")</f>
        <v/>
      </c>
      <c r="L590">
        <f>IF($AD590="","",INDEX('Per Line'!$L$2:$L$3001,$AD590)&amp;"")</f>
        <v/>
      </c>
      <c r="M590">
        <f>IF($AD590="","",INDEX('Per Line'!$M$2:$M$3001,$AD590)&amp;"")</f>
        <v/>
      </c>
      <c r="N590">
        <f>IF($AD590="","",INDEX('Per Line'!$AC$2:$AC$3001,$AD590)&amp;"")</f>
        <v/>
      </c>
      <c r="O590">
        <f>IF($AD590="","",INDEX('Per Line'!$P$2:$P$3001,$AD590))</f>
        <v/>
      </c>
      <c r="P590" s="7">
        <f>IF($AD590="","",IF(AND(ISNUMBER(Q590),Q590&gt;0,AB590&gt;Q590),O590*Q590/100+(AB590-Q590),O590*AB590/100))</f>
        <v/>
      </c>
      <c r="Q590">
        <f>IF($AD590="","",INDEX('Per Line'!$AG$2:$AG$3001,$AD590))</f>
        <v/>
      </c>
      <c r="R590">
        <f>IF($AD590="","",IF(AND(ISNUMBER(Q590),Q590&gt;0),AB590&gt;Q590,FALSE))</f>
        <v/>
      </c>
      <c r="S590" s="7">
        <f>IF($AD590="","",SUMIFS('Per Line'!$AB$2:$AB$3001,'Per Line'!$E$2:$E$3001,$B590,'Per Line'!$AQ$2:$AQ$3001,1))</f>
        <v/>
      </c>
      <c r="T590">
        <f>IF($AD590="","",Settings!$C$7)</f>
        <v/>
      </c>
      <c r="U590" s="7">
        <f>IF($AD590="","",SUMIFS('Per Line'!$AB$2:$AB$3001,'Per Line'!$E$2:$E$3001,$B590,'Per Line'!$AP$2:$AP$3001,0,'Per Line'!$AQ$2:$AQ$3001,0))</f>
        <v/>
      </c>
      <c r="V590" s="7">
        <f>IF($AD590="","",U590*T590)</f>
        <v/>
      </c>
      <c r="W590">
        <f>IF($AD590="","",Settings!$C$6)</f>
        <v/>
      </c>
      <c r="X590" s="7">
        <f>IF($AD590="","",SUMIFS('Per Line'!$AB$2:$AB$3001,'Per Line'!$E$2:$E$3001,$B590,'Per Line'!$AP$2:$AP$3001,1,'Per Line'!$AQ$2:$AQ$3001,0))</f>
        <v/>
      </c>
      <c r="Y590" s="7">
        <f>IF($AD590="","",X590*W590)</f>
        <v/>
      </c>
      <c r="Z590" s="7">
        <f>IF($AD590="","",Y590+V590)</f>
        <v/>
      </c>
      <c r="AA590" s="7">
        <f>IF($AD590="","",AB590-Z590)</f>
        <v/>
      </c>
      <c r="AB590" s="7">
        <f>IF($AD590="","",U590+X590+S590)</f>
        <v/>
      </c>
      <c r="AC590" s="7">
        <f>IF($AD590="","",AB590-Z590-P590)</f>
        <v/>
      </c>
      <c r="AD590" s="13">
        <f>IF(ROWS($AD$2:$AD590)&lt;=MAX('Per Line'!$AO$2:$AO$3001),MATCH(ROWS($AD$2:$AD590),'Per Line'!$AO$2:$AO$3001,0),"")</f>
        <v/>
      </c>
      <c r="AE590" s="14">
        <f>IF($AD590="","",P590-O590*AB590/100)</f>
        <v/>
      </c>
    </row>
    <row r="591">
      <c r="A591" s="12" t="n"/>
      <c r="B591">
        <f>IF($AD591="","",INDEX('Per Line'!$E$2:$E$3001,$AD591)&amp;"")</f>
        <v/>
      </c>
      <c r="C591">
        <f>IF($AD591="","",INDEX('Per Line'!$A$2:$A$3001,$AD591)&amp;"")</f>
        <v/>
      </c>
      <c r="D591">
        <f>IF($AD591="","",INDEX('Per Line'!$C$2:$C$3001,$AD591)&amp;"")</f>
        <v/>
      </c>
      <c r="E591">
        <f>IF($AD591="","",INDEX('Per Line'!$B$2:$B$3001,$AD591))</f>
        <v/>
      </c>
      <c r="F591">
        <f>IF($AD591="","",INDEX('Per Line'!$D$2:$D$3001,$AD591)&amp;"")</f>
        <v/>
      </c>
      <c r="G591" s="11">
        <f>IF($AD591="","",INDEX('Per Line'!$G$2:$G$3001,$AD591))</f>
        <v/>
      </c>
      <c r="H591">
        <f>IF($AD591="","",INDEX('Per Line'!$J$2:$J$3001,$AD591)&amp;"")</f>
        <v/>
      </c>
      <c r="I591">
        <f>IF($AD591="","",INDEX('Per Line'!$H$2:$H$3001,$AD591)&amp;"")</f>
        <v/>
      </c>
      <c r="J591">
        <f>IF($AD591="","",INDEX('Per Line'!$F$2:$F$3001,$AD591)&amp;"")</f>
        <v/>
      </c>
      <c r="K591">
        <f>IF($AD591="","",INDEX('Per Line'!$K$2:$K$3001,$AD591)&amp;"")</f>
        <v/>
      </c>
      <c r="L591">
        <f>IF($AD591="","",INDEX('Per Line'!$L$2:$L$3001,$AD591)&amp;"")</f>
        <v/>
      </c>
      <c r="M591">
        <f>IF($AD591="","",INDEX('Per Line'!$M$2:$M$3001,$AD591)&amp;"")</f>
        <v/>
      </c>
      <c r="N591">
        <f>IF($AD591="","",INDEX('Per Line'!$AC$2:$AC$3001,$AD591)&amp;"")</f>
        <v/>
      </c>
      <c r="O591">
        <f>IF($AD591="","",INDEX('Per Line'!$P$2:$P$3001,$AD591))</f>
        <v/>
      </c>
      <c r="P591" s="7">
        <f>IF($AD591="","",IF(AND(ISNUMBER(Q591),Q591&gt;0,AB591&gt;Q591),O591*Q591/100+(AB591-Q591),O591*AB591/100))</f>
        <v/>
      </c>
      <c r="Q591">
        <f>IF($AD591="","",INDEX('Per Line'!$AG$2:$AG$3001,$AD591))</f>
        <v/>
      </c>
      <c r="R591">
        <f>IF($AD591="","",IF(AND(ISNUMBER(Q591),Q591&gt;0),AB591&gt;Q591,FALSE))</f>
        <v/>
      </c>
      <c r="S591" s="7">
        <f>IF($AD591="","",SUMIFS('Per Line'!$AB$2:$AB$3001,'Per Line'!$E$2:$E$3001,$B591,'Per Line'!$AQ$2:$AQ$3001,1))</f>
        <v/>
      </c>
      <c r="T591">
        <f>IF($AD591="","",Settings!$C$7)</f>
        <v/>
      </c>
      <c r="U591" s="7">
        <f>IF($AD591="","",SUMIFS('Per Line'!$AB$2:$AB$3001,'Per Line'!$E$2:$E$3001,$B591,'Per Line'!$AP$2:$AP$3001,0,'Per Line'!$AQ$2:$AQ$3001,0))</f>
        <v/>
      </c>
      <c r="V591" s="7">
        <f>IF($AD591="","",U591*T591)</f>
        <v/>
      </c>
      <c r="W591">
        <f>IF($AD591="","",Settings!$C$6)</f>
        <v/>
      </c>
      <c r="X591" s="7">
        <f>IF($AD591="","",SUMIFS('Per Line'!$AB$2:$AB$3001,'Per Line'!$E$2:$E$3001,$B591,'Per Line'!$AP$2:$AP$3001,1,'Per Line'!$AQ$2:$AQ$3001,0))</f>
        <v/>
      </c>
      <c r="Y591" s="7">
        <f>IF($AD591="","",X591*W591)</f>
        <v/>
      </c>
      <c r="Z591" s="7">
        <f>IF($AD591="","",Y591+V591)</f>
        <v/>
      </c>
      <c r="AA591" s="7">
        <f>IF($AD591="","",AB591-Z591)</f>
        <v/>
      </c>
      <c r="AB591" s="7">
        <f>IF($AD591="","",U591+X591+S591)</f>
        <v/>
      </c>
      <c r="AC591" s="7">
        <f>IF($AD591="","",AB591-Z591-P591)</f>
        <v/>
      </c>
      <c r="AD591" s="13">
        <f>IF(ROWS($AD$2:$AD591)&lt;=MAX('Per Line'!$AO$2:$AO$3001),MATCH(ROWS($AD$2:$AD591),'Per Line'!$AO$2:$AO$3001,0),"")</f>
        <v/>
      </c>
      <c r="AE591" s="14">
        <f>IF($AD591="","",P591-O591*AB591/100)</f>
        <v/>
      </c>
    </row>
    <row r="592">
      <c r="A592" s="12" t="n"/>
      <c r="B592">
        <f>IF($AD592="","",INDEX('Per Line'!$E$2:$E$3001,$AD592)&amp;"")</f>
        <v/>
      </c>
      <c r="C592">
        <f>IF($AD592="","",INDEX('Per Line'!$A$2:$A$3001,$AD592)&amp;"")</f>
        <v/>
      </c>
      <c r="D592">
        <f>IF($AD592="","",INDEX('Per Line'!$C$2:$C$3001,$AD592)&amp;"")</f>
        <v/>
      </c>
      <c r="E592">
        <f>IF($AD592="","",INDEX('Per Line'!$B$2:$B$3001,$AD592))</f>
        <v/>
      </c>
      <c r="F592">
        <f>IF($AD592="","",INDEX('Per Line'!$D$2:$D$3001,$AD592)&amp;"")</f>
        <v/>
      </c>
      <c r="G592" s="11">
        <f>IF($AD592="","",INDEX('Per Line'!$G$2:$G$3001,$AD592))</f>
        <v/>
      </c>
      <c r="H592">
        <f>IF($AD592="","",INDEX('Per Line'!$J$2:$J$3001,$AD592)&amp;"")</f>
        <v/>
      </c>
      <c r="I592">
        <f>IF($AD592="","",INDEX('Per Line'!$H$2:$H$3001,$AD592)&amp;"")</f>
        <v/>
      </c>
      <c r="J592">
        <f>IF($AD592="","",INDEX('Per Line'!$F$2:$F$3001,$AD592)&amp;"")</f>
        <v/>
      </c>
      <c r="K592">
        <f>IF($AD592="","",INDEX('Per Line'!$K$2:$K$3001,$AD592)&amp;"")</f>
        <v/>
      </c>
      <c r="L592">
        <f>IF($AD592="","",INDEX('Per Line'!$L$2:$L$3001,$AD592)&amp;"")</f>
        <v/>
      </c>
      <c r="M592">
        <f>IF($AD592="","",INDEX('Per Line'!$M$2:$M$3001,$AD592)&amp;"")</f>
        <v/>
      </c>
      <c r="N592">
        <f>IF($AD592="","",INDEX('Per Line'!$AC$2:$AC$3001,$AD592)&amp;"")</f>
        <v/>
      </c>
      <c r="O592">
        <f>IF($AD592="","",INDEX('Per Line'!$P$2:$P$3001,$AD592))</f>
        <v/>
      </c>
      <c r="P592" s="7">
        <f>IF($AD592="","",IF(AND(ISNUMBER(Q592),Q592&gt;0,AB592&gt;Q592),O592*Q592/100+(AB592-Q592),O592*AB592/100))</f>
        <v/>
      </c>
      <c r="Q592">
        <f>IF($AD592="","",INDEX('Per Line'!$AG$2:$AG$3001,$AD592))</f>
        <v/>
      </c>
      <c r="R592">
        <f>IF($AD592="","",IF(AND(ISNUMBER(Q592),Q592&gt;0),AB592&gt;Q592,FALSE))</f>
        <v/>
      </c>
      <c r="S592" s="7">
        <f>IF($AD592="","",SUMIFS('Per Line'!$AB$2:$AB$3001,'Per Line'!$E$2:$E$3001,$B592,'Per Line'!$AQ$2:$AQ$3001,1))</f>
        <v/>
      </c>
      <c r="T592">
        <f>IF($AD592="","",Settings!$C$7)</f>
        <v/>
      </c>
      <c r="U592" s="7">
        <f>IF($AD592="","",SUMIFS('Per Line'!$AB$2:$AB$3001,'Per Line'!$E$2:$E$3001,$B592,'Per Line'!$AP$2:$AP$3001,0,'Per Line'!$AQ$2:$AQ$3001,0))</f>
        <v/>
      </c>
      <c r="V592" s="7">
        <f>IF($AD592="","",U592*T592)</f>
        <v/>
      </c>
      <c r="W592">
        <f>IF($AD592="","",Settings!$C$6)</f>
        <v/>
      </c>
      <c r="X592" s="7">
        <f>IF($AD592="","",SUMIFS('Per Line'!$AB$2:$AB$3001,'Per Line'!$E$2:$E$3001,$B592,'Per Line'!$AP$2:$AP$3001,1,'Per Line'!$AQ$2:$AQ$3001,0))</f>
        <v/>
      </c>
      <c r="Y592" s="7">
        <f>IF($AD592="","",X592*W592)</f>
        <v/>
      </c>
      <c r="Z592" s="7">
        <f>IF($AD592="","",Y592+V592)</f>
        <v/>
      </c>
      <c r="AA592" s="7">
        <f>IF($AD592="","",AB592-Z592)</f>
        <v/>
      </c>
      <c r="AB592" s="7">
        <f>IF($AD592="","",U592+X592+S592)</f>
        <v/>
      </c>
      <c r="AC592" s="7">
        <f>IF($AD592="","",AB592-Z592-P592)</f>
        <v/>
      </c>
      <c r="AD592" s="13">
        <f>IF(ROWS($AD$2:$AD592)&lt;=MAX('Per Line'!$AO$2:$AO$3001),MATCH(ROWS($AD$2:$AD592),'Per Line'!$AO$2:$AO$3001,0),"")</f>
        <v/>
      </c>
      <c r="AE592" s="14">
        <f>IF($AD592="","",P592-O592*AB592/100)</f>
        <v/>
      </c>
    </row>
    <row r="593">
      <c r="A593" s="12" t="n"/>
      <c r="B593">
        <f>IF($AD593="","",INDEX('Per Line'!$E$2:$E$3001,$AD593)&amp;"")</f>
        <v/>
      </c>
      <c r="C593">
        <f>IF($AD593="","",INDEX('Per Line'!$A$2:$A$3001,$AD593)&amp;"")</f>
        <v/>
      </c>
      <c r="D593">
        <f>IF($AD593="","",INDEX('Per Line'!$C$2:$C$3001,$AD593)&amp;"")</f>
        <v/>
      </c>
      <c r="E593">
        <f>IF($AD593="","",INDEX('Per Line'!$B$2:$B$3001,$AD593))</f>
        <v/>
      </c>
      <c r="F593">
        <f>IF($AD593="","",INDEX('Per Line'!$D$2:$D$3001,$AD593)&amp;"")</f>
        <v/>
      </c>
      <c r="G593" s="11">
        <f>IF($AD593="","",INDEX('Per Line'!$G$2:$G$3001,$AD593))</f>
        <v/>
      </c>
      <c r="H593">
        <f>IF($AD593="","",INDEX('Per Line'!$J$2:$J$3001,$AD593)&amp;"")</f>
        <v/>
      </c>
      <c r="I593">
        <f>IF($AD593="","",INDEX('Per Line'!$H$2:$H$3001,$AD593)&amp;"")</f>
        <v/>
      </c>
      <c r="J593">
        <f>IF($AD593="","",INDEX('Per Line'!$F$2:$F$3001,$AD593)&amp;"")</f>
        <v/>
      </c>
      <c r="K593">
        <f>IF($AD593="","",INDEX('Per Line'!$K$2:$K$3001,$AD593)&amp;"")</f>
        <v/>
      </c>
      <c r="L593">
        <f>IF($AD593="","",INDEX('Per Line'!$L$2:$L$3001,$AD593)&amp;"")</f>
        <v/>
      </c>
      <c r="M593">
        <f>IF($AD593="","",INDEX('Per Line'!$M$2:$M$3001,$AD593)&amp;"")</f>
        <v/>
      </c>
      <c r="N593">
        <f>IF($AD593="","",INDEX('Per Line'!$AC$2:$AC$3001,$AD593)&amp;"")</f>
        <v/>
      </c>
      <c r="O593">
        <f>IF($AD593="","",INDEX('Per Line'!$P$2:$P$3001,$AD593))</f>
        <v/>
      </c>
      <c r="P593" s="7">
        <f>IF($AD593="","",IF(AND(ISNUMBER(Q593),Q593&gt;0,AB593&gt;Q593),O593*Q593/100+(AB593-Q593),O593*AB593/100))</f>
        <v/>
      </c>
      <c r="Q593">
        <f>IF($AD593="","",INDEX('Per Line'!$AG$2:$AG$3001,$AD593))</f>
        <v/>
      </c>
      <c r="R593">
        <f>IF($AD593="","",IF(AND(ISNUMBER(Q593),Q593&gt;0),AB593&gt;Q593,FALSE))</f>
        <v/>
      </c>
      <c r="S593" s="7">
        <f>IF($AD593="","",SUMIFS('Per Line'!$AB$2:$AB$3001,'Per Line'!$E$2:$E$3001,$B593,'Per Line'!$AQ$2:$AQ$3001,1))</f>
        <v/>
      </c>
      <c r="T593">
        <f>IF($AD593="","",Settings!$C$7)</f>
        <v/>
      </c>
      <c r="U593" s="7">
        <f>IF($AD593="","",SUMIFS('Per Line'!$AB$2:$AB$3001,'Per Line'!$E$2:$E$3001,$B593,'Per Line'!$AP$2:$AP$3001,0,'Per Line'!$AQ$2:$AQ$3001,0))</f>
        <v/>
      </c>
      <c r="V593" s="7">
        <f>IF($AD593="","",U593*T593)</f>
        <v/>
      </c>
      <c r="W593">
        <f>IF($AD593="","",Settings!$C$6)</f>
        <v/>
      </c>
      <c r="X593" s="7">
        <f>IF($AD593="","",SUMIFS('Per Line'!$AB$2:$AB$3001,'Per Line'!$E$2:$E$3001,$B593,'Per Line'!$AP$2:$AP$3001,1,'Per Line'!$AQ$2:$AQ$3001,0))</f>
        <v/>
      </c>
      <c r="Y593" s="7">
        <f>IF($AD593="","",X593*W593)</f>
        <v/>
      </c>
      <c r="Z593" s="7">
        <f>IF($AD593="","",Y593+V593)</f>
        <v/>
      </c>
      <c r="AA593" s="7">
        <f>IF($AD593="","",AB593-Z593)</f>
        <v/>
      </c>
      <c r="AB593" s="7">
        <f>IF($AD593="","",U593+X593+S593)</f>
        <v/>
      </c>
      <c r="AC593" s="7">
        <f>IF($AD593="","",AB593-Z593-P593)</f>
        <v/>
      </c>
      <c r="AD593" s="13">
        <f>IF(ROWS($AD$2:$AD593)&lt;=MAX('Per Line'!$AO$2:$AO$3001),MATCH(ROWS($AD$2:$AD593),'Per Line'!$AO$2:$AO$3001,0),"")</f>
        <v/>
      </c>
      <c r="AE593" s="14">
        <f>IF($AD593="","",P593-O593*AB593/100)</f>
        <v/>
      </c>
    </row>
    <row r="594">
      <c r="A594" s="12" t="n"/>
      <c r="B594">
        <f>IF($AD594="","",INDEX('Per Line'!$E$2:$E$3001,$AD594)&amp;"")</f>
        <v/>
      </c>
      <c r="C594">
        <f>IF($AD594="","",INDEX('Per Line'!$A$2:$A$3001,$AD594)&amp;"")</f>
        <v/>
      </c>
      <c r="D594">
        <f>IF($AD594="","",INDEX('Per Line'!$C$2:$C$3001,$AD594)&amp;"")</f>
        <v/>
      </c>
      <c r="E594">
        <f>IF($AD594="","",INDEX('Per Line'!$B$2:$B$3001,$AD594))</f>
        <v/>
      </c>
      <c r="F594">
        <f>IF($AD594="","",INDEX('Per Line'!$D$2:$D$3001,$AD594)&amp;"")</f>
        <v/>
      </c>
      <c r="G594" s="11">
        <f>IF($AD594="","",INDEX('Per Line'!$G$2:$G$3001,$AD594))</f>
        <v/>
      </c>
      <c r="H594">
        <f>IF($AD594="","",INDEX('Per Line'!$J$2:$J$3001,$AD594)&amp;"")</f>
        <v/>
      </c>
      <c r="I594">
        <f>IF($AD594="","",INDEX('Per Line'!$H$2:$H$3001,$AD594)&amp;"")</f>
        <v/>
      </c>
      <c r="J594">
        <f>IF($AD594="","",INDEX('Per Line'!$F$2:$F$3001,$AD594)&amp;"")</f>
        <v/>
      </c>
      <c r="K594">
        <f>IF($AD594="","",INDEX('Per Line'!$K$2:$K$3001,$AD594)&amp;"")</f>
        <v/>
      </c>
      <c r="L594">
        <f>IF($AD594="","",INDEX('Per Line'!$L$2:$L$3001,$AD594)&amp;"")</f>
        <v/>
      </c>
      <c r="M594">
        <f>IF($AD594="","",INDEX('Per Line'!$M$2:$M$3001,$AD594)&amp;"")</f>
        <v/>
      </c>
      <c r="N594">
        <f>IF($AD594="","",INDEX('Per Line'!$AC$2:$AC$3001,$AD594)&amp;"")</f>
        <v/>
      </c>
      <c r="O594">
        <f>IF($AD594="","",INDEX('Per Line'!$P$2:$P$3001,$AD594))</f>
        <v/>
      </c>
      <c r="P594" s="7">
        <f>IF($AD594="","",IF(AND(ISNUMBER(Q594),Q594&gt;0,AB594&gt;Q594),O594*Q594/100+(AB594-Q594),O594*AB594/100))</f>
        <v/>
      </c>
      <c r="Q594">
        <f>IF($AD594="","",INDEX('Per Line'!$AG$2:$AG$3001,$AD594))</f>
        <v/>
      </c>
      <c r="R594">
        <f>IF($AD594="","",IF(AND(ISNUMBER(Q594),Q594&gt;0),AB594&gt;Q594,FALSE))</f>
        <v/>
      </c>
      <c r="S594" s="7">
        <f>IF($AD594="","",SUMIFS('Per Line'!$AB$2:$AB$3001,'Per Line'!$E$2:$E$3001,$B594,'Per Line'!$AQ$2:$AQ$3001,1))</f>
        <v/>
      </c>
      <c r="T594">
        <f>IF($AD594="","",Settings!$C$7)</f>
        <v/>
      </c>
      <c r="U594" s="7">
        <f>IF($AD594="","",SUMIFS('Per Line'!$AB$2:$AB$3001,'Per Line'!$E$2:$E$3001,$B594,'Per Line'!$AP$2:$AP$3001,0,'Per Line'!$AQ$2:$AQ$3001,0))</f>
        <v/>
      </c>
      <c r="V594" s="7">
        <f>IF($AD594="","",U594*T594)</f>
        <v/>
      </c>
      <c r="W594">
        <f>IF($AD594="","",Settings!$C$6)</f>
        <v/>
      </c>
      <c r="X594" s="7">
        <f>IF($AD594="","",SUMIFS('Per Line'!$AB$2:$AB$3001,'Per Line'!$E$2:$E$3001,$B594,'Per Line'!$AP$2:$AP$3001,1,'Per Line'!$AQ$2:$AQ$3001,0))</f>
        <v/>
      </c>
      <c r="Y594" s="7">
        <f>IF($AD594="","",X594*W594)</f>
        <v/>
      </c>
      <c r="Z594" s="7">
        <f>IF($AD594="","",Y594+V594)</f>
        <v/>
      </c>
      <c r="AA594" s="7">
        <f>IF($AD594="","",AB594-Z594)</f>
        <v/>
      </c>
      <c r="AB594" s="7">
        <f>IF($AD594="","",U594+X594+S594)</f>
        <v/>
      </c>
      <c r="AC594" s="7">
        <f>IF($AD594="","",AB594-Z594-P594)</f>
        <v/>
      </c>
      <c r="AD594" s="13">
        <f>IF(ROWS($AD$2:$AD594)&lt;=MAX('Per Line'!$AO$2:$AO$3001),MATCH(ROWS($AD$2:$AD594),'Per Line'!$AO$2:$AO$3001,0),"")</f>
        <v/>
      </c>
      <c r="AE594" s="14">
        <f>IF($AD594="","",P594-O594*AB594/100)</f>
        <v/>
      </c>
    </row>
    <row r="595">
      <c r="A595" s="12" t="n"/>
      <c r="B595">
        <f>IF($AD595="","",INDEX('Per Line'!$E$2:$E$3001,$AD595)&amp;"")</f>
        <v/>
      </c>
      <c r="C595">
        <f>IF($AD595="","",INDEX('Per Line'!$A$2:$A$3001,$AD595)&amp;"")</f>
        <v/>
      </c>
      <c r="D595">
        <f>IF($AD595="","",INDEX('Per Line'!$C$2:$C$3001,$AD595)&amp;"")</f>
        <v/>
      </c>
      <c r="E595">
        <f>IF($AD595="","",INDEX('Per Line'!$B$2:$B$3001,$AD595))</f>
        <v/>
      </c>
      <c r="F595">
        <f>IF($AD595="","",INDEX('Per Line'!$D$2:$D$3001,$AD595)&amp;"")</f>
        <v/>
      </c>
      <c r="G595" s="11">
        <f>IF($AD595="","",INDEX('Per Line'!$G$2:$G$3001,$AD595))</f>
        <v/>
      </c>
      <c r="H595">
        <f>IF($AD595="","",INDEX('Per Line'!$J$2:$J$3001,$AD595)&amp;"")</f>
        <v/>
      </c>
      <c r="I595">
        <f>IF($AD595="","",INDEX('Per Line'!$H$2:$H$3001,$AD595)&amp;"")</f>
        <v/>
      </c>
      <c r="J595">
        <f>IF($AD595="","",INDEX('Per Line'!$F$2:$F$3001,$AD595)&amp;"")</f>
        <v/>
      </c>
      <c r="K595">
        <f>IF($AD595="","",INDEX('Per Line'!$K$2:$K$3001,$AD595)&amp;"")</f>
        <v/>
      </c>
      <c r="L595">
        <f>IF($AD595="","",INDEX('Per Line'!$L$2:$L$3001,$AD595)&amp;"")</f>
        <v/>
      </c>
      <c r="M595">
        <f>IF($AD595="","",INDEX('Per Line'!$M$2:$M$3001,$AD595)&amp;"")</f>
        <v/>
      </c>
      <c r="N595">
        <f>IF($AD595="","",INDEX('Per Line'!$AC$2:$AC$3001,$AD595)&amp;"")</f>
        <v/>
      </c>
      <c r="O595">
        <f>IF($AD595="","",INDEX('Per Line'!$P$2:$P$3001,$AD595))</f>
        <v/>
      </c>
      <c r="P595" s="7">
        <f>IF($AD595="","",IF(AND(ISNUMBER(Q595),Q595&gt;0,AB595&gt;Q595),O595*Q595/100+(AB595-Q595),O595*AB595/100))</f>
        <v/>
      </c>
      <c r="Q595">
        <f>IF($AD595="","",INDEX('Per Line'!$AG$2:$AG$3001,$AD595))</f>
        <v/>
      </c>
      <c r="R595">
        <f>IF($AD595="","",IF(AND(ISNUMBER(Q595),Q595&gt;0),AB595&gt;Q595,FALSE))</f>
        <v/>
      </c>
      <c r="S595" s="7">
        <f>IF($AD595="","",SUMIFS('Per Line'!$AB$2:$AB$3001,'Per Line'!$E$2:$E$3001,$B595,'Per Line'!$AQ$2:$AQ$3001,1))</f>
        <v/>
      </c>
      <c r="T595">
        <f>IF($AD595="","",Settings!$C$7)</f>
        <v/>
      </c>
      <c r="U595" s="7">
        <f>IF($AD595="","",SUMIFS('Per Line'!$AB$2:$AB$3001,'Per Line'!$E$2:$E$3001,$B595,'Per Line'!$AP$2:$AP$3001,0,'Per Line'!$AQ$2:$AQ$3001,0))</f>
        <v/>
      </c>
      <c r="V595" s="7">
        <f>IF($AD595="","",U595*T595)</f>
        <v/>
      </c>
      <c r="W595">
        <f>IF($AD595="","",Settings!$C$6)</f>
        <v/>
      </c>
      <c r="X595" s="7">
        <f>IF($AD595="","",SUMIFS('Per Line'!$AB$2:$AB$3001,'Per Line'!$E$2:$E$3001,$B595,'Per Line'!$AP$2:$AP$3001,1,'Per Line'!$AQ$2:$AQ$3001,0))</f>
        <v/>
      </c>
      <c r="Y595" s="7">
        <f>IF($AD595="","",X595*W595)</f>
        <v/>
      </c>
      <c r="Z595" s="7">
        <f>IF($AD595="","",Y595+V595)</f>
        <v/>
      </c>
      <c r="AA595" s="7">
        <f>IF($AD595="","",AB595-Z595)</f>
        <v/>
      </c>
      <c r="AB595" s="7">
        <f>IF($AD595="","",U595+X595+S595)</f>
        <v/>
      </c>
      <c r="AC595" s="7">
        <f>IF($AD595="","",AB595-Z595-P595)</f>
        <v/>
      </c>
      <c r="AD595" s="13">
        <f>IF(ROWS($AD$2:$AD595)&lt;=MAX('Per Line'!$AO$2:$AO$3001),MATCH(ROWS($AD$2:$AD595),'Per Line'!$AO$2:$AO$3001,0),"")</f>
        <v/>
      </c>
      <c r="AE595" s="14">
        <f>IF($AD595="","",P595-O595*AB595/100)</f>
        <v/>
      </c>
    </row>
    <row r="596">
      <c r="A596" s="12" t="n"/>
      <c r="B596">
        <f>IF($AD596="","",INDEX('Per Line'!$E$2:$E$3001,$AD596)&amp;"")</f>
        <v/>
      </c>
      <c r="C596">
        <f>IF($AD596="","",INDEX('Per Line'!$A$2:$A$3001,$AD596)&amp;"")</f>
        <v/>
      </c>
      <c r="D596">
        <f>IF($AD596="","",INDEX('Per Line'!$C$2:$C$3001,$AD596)&amp;"")</f>
        <v/>
      </c>
      <c r="E596">
        <f>IF($AD596="","",INDEX('Per Line'!$B$2:$B$3001,$AD596))</f>
        <v/>
      </c>
      <c r="F596">
        <f>IF($AD596="","",INDEX('Per Line'!$D$2:$D$3001,$AD596)&amp;"")</f>
        <v/>
      </c>
      <c r="G596" s="11">
        <f>IF($AD596="","",INDEX('Per Line'!$G$2:$G$3001,$AD596))</f>
        <v/>
      </c>
      <c r="H596">
        <f>IF($AD596="","",INDEX('Per Line'!$J$2:$J$3001,$AD596)&amp;"")</f>
        <v/>
      </c>
      <c r="I596">
        <f>IF($AD596="","",INDEX('Per Line'!$H$2:$H$3001,$AD596)&amp;"")</f>
        <v/>
      </c>
      <c r="J596">
        <f>IF($AD596="","",INDEX('Per Line'!$F$2:$F$3001,$AD596)&amp;"")</f>
        <v/>
      </c>
      <c r="K596">
        <f>IF($AD596="","",INDEX('Per Line'!$K$2:$K$3001,$AD596)&amp;"")</f>
        <v/>
      </c>
      <c r="L596">
        <f>IF($AD596="","",INDEX('Per Line'!$L$2:$L$3001,$AD596)&amp;"")</f>
        <v/>
      </c>
      <c r="M596">
        <f>IF($AD596="","",INDEX('Per Line'!$M$2:$M$3001,$AD596)&amp;"")</f>
        <v/>
      </c>
      <c r="N596">
        <f>IF($AD596="","",INDEX('Per Line'!$AC$2:$AC$3001,$AD596)&amp;"")</f>
        <v/>
      </c>
      <c r="O596">
        <f>IF($AD596="","",INDEX('Per Line'!$P$2:$P$3001,$AD596))</f>
        <v/>
      </c>
      <c r="P596" s="7">
        <f>IF($AD596="","",IF(AND(ISNUMBER(Q596),Q596&gt;0,AB596&gt;Q596),O596*Q596/100+(AB596-Q596),O596*AB596/100))</f>
        <v/>
      </c>
      <c r="Q596">
        <f>IF($AD596="","",INDEX('Per Line'!$AG$2:$AG$3001,$AD596))</f>
        <v/>
      </c>
      <c r="R596">
        <f>IF($AD596="","",IF(AND(ISNUMBER(Q596),Q596&gt;0),AB596&gt;Q596,FALSE))</f>
        <v/>
      </c>
      <c r="S596" s="7">
        <f>IF($AD596="","",SUMIFS('Per Line'!$AB$2:$AB$3001,'Per Line'!$E$2:$E$3001,$B596,'Per Line'!$AQ$2:$AQ$3001,1))</f>
        <v/>
      </c>
      <c r="T596">
        <f>IF($AD596="","",Settings!$C$7)</f>
        <v/>
      </c>
      <c r="U596" s="7">
        <f>IF($AD596="","",SUMIFS('Per Line'!$AB$2:$AB$3001,'Per Line'!$E$2:$E$3001,$B596,'Per Line'!$AP$2:$AP$3001,0,'Per Line'!$AQ$2:$AQ$3001,0))</f>
        <v/>
      </c>
      <c r="V596" s="7">
        <f>IF($AD596="","",U596*T596)</f>
        <v/>
      </c>
      <c r="W596">
        <f>IF($AD596="","",Settings!$C$6)</f>
        <v/>
      </c>
      <c r="X596" s="7">
        <f>IF($AD596="","",SUMIFS('Per Line'!$AB$2:$AB$3001,'Per Line'!$E$2:$E$3001,$B596,'Per Line'!$AP$2:$AP$3001,1,'Per Line'!$AQ$2:$AQ$3001,0))</f>
        <v/>
      </c>
      <c r="Y596" s="7">
        <f>IF($AD596="","",X596*W596)</f>
        <v/>
      </c>
      <c r="Z596" s="7">
        <f>IF($AD596="","",Y596+V596)</f>
        <v/>
      </c>
      <c r="AA596" s="7">
        <f>IF($AD596="","",AB596-Z596)</f>
        <v/>
      </c>
      <c r="AB596" s="7">
        <f>IF($AD596="","",U596+X596+S596)</f>
        <v/>
      </c>
      <c r="AC596" s="7">
        <f>IF($AD596="","",AB596-Z596-P596)</f>
        <v/>
      </c>
      <c r="AD596" s="13">
        <f>IF(ROWS($AD$2:$AD596)&lt;=MAX('Per Line'!$AO$2:$AO$3001),MATCH(ROWS($AD$2:$AD596),'Per Line'!$AO$2:$AO$3001,0),"")</f>
        <v/>
      </c>
      <c r="AE596" s="14">
        <f>IF($AD596="","",P596-O596*AB596/100)</f>
        <v/>
      </c>
    </row>
    <row r="597">
      <c r="A597" s="12" t="n"/>
      <c r="B597">
        <f>IF($AD597="","",INDEX('Per Line'!$E$2:$E$3001,$AD597)&amp;"")</f>
        <v/>
      </c>
      <c r="C597">
        <f>IF($AD597="","",INDEX('Per Line'!$A$2:$A$3001,$AD597)&amp;"")</f>
        <v/>
      </c>
      <c r="D597">
        <f>IF($AD597="","",INDEX('Per Line'!$C$2:$C$3001,$AD597)&amp;"")</f>
        <v/>
      </c>
      <c r="E597">
        <f>IF($AD597="","",INDEX('Per Line'!$B$2:$B$3001,$AD597))</f>
        <v/>
      </c>
      <c r="F597">
        <f>IF($AD597="","",INDEX('Per Line'!$D$2:$D$3001,$AD597)&amp;"")</f>
        <v/>
      </c>
      <c r="G597" s="11">
        <f>IF($AD597="","",INDEX('Per Line'!$G$2:$G$3001,$AD597))</f>
        <v/>
      </c>
      <c r="H597">
        <f>IF($AD597="","",INDEX('Per Line'!$J$2:$J$3001,$AD597)&amp;"")</f>
        <v/>
      </c>
      <c r="I597">
        <f>IF($AD597="","",INDEX('Per Line'!$H$2:$H$3001,$AD597)&amp;"")</f>
        <v/>
      </c>
      <c r="J597">
        <f>IF($AD597="","",INDEX('Per Line'!$F$2:$F$3001,$AD597)&amp;"")</f>
        <v/>
      </c>
      <c r="K597">
        <f>IF($AD597="","",INDEX('Per Line'!$K$2:$K$3001,$AD597)&amp;"")</f>
        <v/>
      </c>
      <c r="L597">
        <f>IF($AD597="","",INDEX('Per Line'!$L$2:$L$3001,$AD597)&amp;"")</f>
        <v/>
      </c>
      <c r="M597">
        <f>IF($AD597="","",INDEX('Per Line'!$M$2:$M$3001,$AD597)&amp;"")</f>
        <v/>
      </c>
      <c r="N597">
        <f>IF($AD597="","",INDEX('Per Line'!$AC$2:$AC$3001,$AD597)&amp;"")</f>
        <v/>
      </c>
      <c r="O597">
        <f>IF($AD597="","",INDEX('Per Line'!$P$2:$P$3001,$AD597))</f>
        <v/>
      </c>
      <c r="P597" s="7">
        <f>IF($AD597="","",IF(AND(ISNUMBER(Q597),Q597&gt;0,AB597&gt;Q597),O597*Q597/100+(AB597-Q597),O597*AB597/100))</f>
        <v/>
      </c>
      <c r="Q597">
        <f>IF($AD597="","",INDEX('Per Line'!$AG$2:$AG$3001,$AD597))</f>
        <v/>
      </c>
      <c r="R597">
        <f>IF($AD597="","",IF(AND(ISNUMBER(Q597),Q597&gt;0),AB597&gt;Q597,FALSE))</f>
        <v/>
      </c>
      <c r="S597" s="7">
        <f>IF($AD597="","",SUMIFS('Per Line'!$AB$2:$AB$3001,'Per Line'!$E$2:$E$3001,$B597,'Per Line'!$AQ$2:$AQ$3001,1))</f>
        <v/>
      </c>
      <c r="T597">
        <f>IF($AD597="","",Settings!$C$7)</f>
        <v/>
      </c>
      <c r="U597" s="7">
        <f>IF($AD597="","",SUMIFS('Per Line'!$AB$2:$AB$3001,'Per Line'!$E$2:$E$3001,$B597,'Per Line'!$AP$2:$AP$3001,0,'Per Line'!$AQ$2:$AQ$3001,0))</f>
        <v/>
      </c>
      <c r="V597" s="7">
        <f>IF($AD597="","",U597*T597)</f>
        <v/>
      </c>
      <c r="W597">
        <f>IF($AD597="","",Settings!$C$6)</f>
        <v/>
      </c>
      <c r="X597" s="7">
        <f>IF($AD597="","",SUMIFS('Per Line'!$AB$2:$AB$3001,'Per Line'!$E$2:$E$3001,$B597,'Per Line'!$AP$2:$AP$3001,1,'Per Line'!$AQ$2:$AQ$3001,0))</f>
        <v/>
      </c>
      <c r="Y597" s="7">
        <f>IF($AD597="","",X597*W597)</f>
        <v/>
      </c>
      <c r="Z597" s="7">
        <f>IF($AD597="","",Y597+V597)</f>
        <v/>
      </c>
      <c r="AA597" s="7">
        <f>IF($AD597="","",AB597-Z597)</f>
        <v/>
      </c>
      <c r="AB597" s="7">
        <f>IF($AD597="","",U597+X597+S597)</f>
        <v/>
      </c>
      <c r="AC597" s="7">
        <f>IF($AD597="","",AB597-Z597-P597)</f>
        <v/>
      </c>
      <c r="AD597" s="13">
        <f>IF(ROWS($AD$2:$AD597)&lt;=MAX('Per Line'!$AO$2:$AO$3001),MATCH(ROWS($AD$2:$AD597),'Per Line'!$AO$2:$AO$3001,0),"")</f>
        <v/>
      </c>
      <c r="AE597" s="14">
        <f>IF($AD597="","",P597-O597*AB597/100)</f>
        <v/>
      </c>
    </row>
    <row r="598">
      <c r="A598" s="12" t="n"/>
      <c r="B598">
        <f>IF($AD598="","",INDEX('Per Line'!$E$2:$E$3001,$AD598)&amp;"")</f>
        <v/>
      </c>
      <c r="C598">
        <f>IF($AD598="","",INDEX('Per Line'!$A$2:$A$3001,$AD598)&amp;"")</f>
        <v/>
      </c>
      <c r="D598">
        <f>IF($AD598="","",INDEX('Per Line'!$C$2:$C$3001,$AD598)&amp;"")</f>
        <v/>
      </c>
      <c r="E598">
        <f>IF($AD598="","",INDEX('Per Line'!$B$2:$B$3001,$AD598))</f>
        <v/>
      </c>
      <c r="F598">
        <f>IF($AD598="","",INDEX('Per Line'!$D$2:$D$3001,$AD598)&amp;"")</f>
        <v/>
      </c>
      <c r="G598" s="11">
        <f>IF($AD598="","",INDEX('Per Line'!$G$2:$G$3001,$AD598))</f>
        <v/>
      </c>
      <c r="H598">
        <f>IF($AD598="","",INDEX('Per Line'!$J$2:$J$3001,$AD598)&amp;"")</f>
        <v/>
      </c>
      <c r="I598">
        <f>IF($AD598="","",INDEX('Per Line'!$H$2:$H$3001,$AD598)&amp;"")</f>
        <v/>
      </c>
      <c r="J598">
        <f>IF($AD598="","",INDEX('Per Line'!$F$2:$F$3001,$AD598)&amp;"")</f>
        <v/>
      </c>
      <c r="K598">
        <f>IF($AD598="","",INDEX('Per Line'!$K$2:$K$3001,$AD598)&amp;"")</f>
        <v/>
      </c>
      <c r="L598">
        <f>IF($AD598="","",INDEX('Per Line'!$L$2:$L$3001,$AD598)&amp;"")</f>
        <v/>
      </c>
      <c r="M598">
        <f>IF($AD598="","",INDEX('Per Line'!$M$2:$M$3001,$AD598)&amp;"")</f>
        <v/>
      </c>
      <c r="N598">
        <f>IF($AD598="","",INDEX('Per Line'!$AC$2:$AC$3001,$AD598)&amp;"")</f>
        <v/>
      </c>
      <c r="O598">
        <f>IF($AD598="","",INDEX('Per Line'!$P$2:$P$3001,$AD598))</f>
        <v/>
      </c>
      <c r="P598" s="7">
        <f>IF($AD598="","",IF(AND(ISNUMBER(Q598),Q598&gt;0,AB598&gt;Q598),O598*Q598/100+(AB598-Q598),O598*AB598/100))</f>
        <v/>
      </c>
      <c r="Q598">
        <f>IF($AD598="","",INDEX('Per Line'!$AG$2:$AG$3001,$AD598))</f>
        <v/>
      </c>
      <c r="R598">
        <f>IF($AD598="","",IF(AND(ISNUMBER(Q598),Q598&gt;0),AB598&gt;Q598,FALSE))</f>
        <v/>
      </c>
      <c r="S598" s="7">
        <f>IF($AD598="","",SUMIFS('Per Line'!$AB$2:$AB$3001,'Per Line'!$E$2:$E$3001,$B598,'Per Line'!$AQ$2:$AQ$3001,1))</f>
        <v/>
      </c>
      <c r="T598">
        <f>IF($AD598="","",Settings!$C$7)</f>
        <v/>
      </c>
      <c r="U598" s="7">
        <f>IF($AD598="","",SUMIFS('Per Line'!$AB$2:$AB$3001,'Per Line'!$E$2:$E$3001,$B598,'Per Line'!$AP$2:$AP$3001,0,'Per Line'!$AQ$2:$AQ$3001,0))</f>
        <v/>
      </c>
      <c r="V598" s="7">
        <f>IF($AD598="","",U598*T598)</f>
        <v/>
      </c>
      <c r="W598">
        <f>IF($AD598="","",Settings!$C$6)</f>
        <v/>
      </c>
      <c r="X598" s="7">
        <f>IF($AD598="","",SUMIFS('Per Line'!$AB$2:$AB$3001,'Per Line'!$E$2:$E$3001,$B598,'Per Line'!$AP$2:$AP$3001,1,'Per Line'!$AQ$2:$AQ$3001,0))</f>
        <v/>
      </c>
      <c r="Y598" s="7">
        <f>IF($AD598="","",X598*W598)</f>
        <v/>
      </c>
      <c r="Z598" s="7">
        <f>IF($AD598="","",Y598+V598)</f>
        <v/>
      </c>
      <c r="AA598" s="7">
        <f>IF($AD598="","",AB598-Z598)</f>
        <v/>
      </c>
      <c r="AB598" s="7">
        <f>IF($AD598="","",U598+X598+S598)</f>
        <v/>
      </c>
      <c r="AC598" s="7">
        <f>IF($AD598="","",AB598-Z598-P598)</f>
        <v/>
      </c>
      <c r="AD598" s="13">
        <f>IF(ROWS($AD$2:$AD598)&lt;=MAX('Per Line'!$AO$2:$AO$3001),MATCH(ROWS($AD$2:$AD598),'Per Line'!$AO$2:$AO$3001,0),"")</f>
        <v/>
      </c>
      <c r="AE598" s="14">
        <f>IF($AD598="","",P598-O598*AB598/100)</f>
        <v/>
      </c>
    </row>
    <row r="599">
      <c r="A599" s="12" t="n"/>
      <c r="B599">
        <f>IF($AD599="","",INDEX('Per Line'!$E$2:$E$3001,$AD599)&amp;"")</f>
        <v/>
      </c>
      <c r="C599">
        <f>IF($AD599="","",INDEX('Per Line'!$A$2:$A$3001,$AD599)&amp;"")</f>
        <v/>
      </c>
      <c r="D599">
        <f>IF($AD599="","",INDEX('Per Line'!$C$2:$C$3001,$AD599)&amp;"")</f>
        <v/>
      </c>
      <c r="E599">
        <f>IF($AD599="","",INDEX('Per Line'!$B$2:$B$3001,$AD599))</f>
        <v/>
      </c>
      <c r="F599">
        <f>IF($AD599="","",INDEX('Per Line'!$D$2:$D$3001,$AD599)&amp;"")</f>
        <v/>
      </c>
      <c r="G599" s="11">
        <f>IF($AD599="","",INDEX('Per Line'!$G$2:$G$3001,$AD599))</f>
        <v/>
      </c>
      <c r="H599">
        <f>IF($AD599="","",INDEX('Per Line'!$J$2:$J$3001,$AD599)&amp;"")</f>
        <v/>
      </c>
      <c r="I599">
        <f>IF($AD599="","",INDEX('Per Line'!$H$2:$H$3001,$AD599)&amp;"")</f>
        <v/>
      </c>
      <c r="J599">
        <f>IF($AD599="","",INDEX('Per Line'!$F$2:$F$3001,$AD599)&amp;"")</f>
        <v/>
      </c>
      <c r="K599">
        <f>IF($AD599="","",INDEX('Per Line'!$K$2:$K$3001,$AD599)&amp;"")</f>
        <v/>
      </c>
      <c r="L599">
        <f>IF($AD599="","",INDEX('Per Line'!$L$2:$L$3001,$AD599)&amp;"")</f>
        <v/>
      </c>
      <c r="M599">
        <f>IF($AD599="","",INDEX('Per Line'!$M$2:$M$3001,$AD599)&amp;"")</f>
        <v/>
      </c>
      <c r="N599">
        <f>IF($AD599="","",INDEX('Per Line'!$AC$2:$AC$3001,$AD599)&amp;"")</f>
        <v/>
      </c>
      <c r="O599">
        <f>IF($AD599="","",INDEX('Per Line'!$P$2:$P$3001,$AD599))</f>
        <v/>
      </c>
      <c r="P599" s="7">
        <f>IF($AD599="","",IF(AND(ISNUMBER(Q599),Q599&gt;0,AB599&gt;Q599),O599*Q599/100+(AB599-Q599),O599*AB599/100))</f>
        <v/>
      </c>
      <c r="Q599">
        <f>IF($AD599="","",INDEX('Per Line'!$AG$2:$AG$3001,$AD599))</f>
        <v/>
      </c>
      <c r="R599">
        <f>IF($AD599="","",IF(AND(ISNUMBER(Q599),Q599&gt;0),AB599&gt;Q599,FALSE))</f>
        <v/>
      </c>
      <c r="S599" s="7">
        <f>IF($AD599="","",SUMIFS('Per Line'!$AB$2:$AB$3001,'Per Line'!$E$2:$E$3001,$B599,'Per Line'!$AQ$2:$AQ$3001,1))</f>
        <v/>
      </c>
      <c r="T599">
        <f>IF($AD599="","",Settings!$C$7)</f>
        <v/>
      </c>
      <c r="U599" s="7">
        <f>IF($AD599="","",SUMIFS('Per Line'!$AB$2:$AB$3001,'Per Line'!$E$2:$E$3001,$B599,'Per Line'!$AP$2:$AP$3001,0,'Per Line'!$AQ$2:$AQ$3001,0))</f>
        <v/>
      </c>
      <c r="V599" s="7">
        <f>IF($AD599="","",U599*T599)</f>
        <v/>
      </c>
      <c r="W599">
        <f>IF($AD599="","",Settings!$C$6)</f>
        <v/>
      </c>
      <c r="X599" s="7">
        <f>IF($AD599="","",SUMIFS('Per Line'!$AB$2:$AB$3001,'Per Line'!$E$2:$E$3001,$B599,'Per Line'!$AP$2:$AP$3001,1,'Per Line'!$AQ$2:$AQ$3001,0))</f>
        <v/>
      </c>
      <c r="Y599" s="7">
        <f>IF($AD599="","",X599*W599)</f>
        <v/>
      </c>
      <c r="Z599" s="7">
        <f>IF($AD599="","",Y599+V599)</f>
        <v/>
      </c>
      <c r="AA599" s="7">
        <f>IF($AD599="","",AB599-Z599)</f>
        <v/>
      </c>
      <c r="AB599" s="7">
        <f>IF($AD599="","",U599+X599+S599)</f>
        <v/>
      </c>
      <c r="AC599" s="7">
        <f>IF($AD599="","",AB599-Z599-P599)</f>
        <v/>
      </c>
      <c r="AD599" s="13">
        <f>IF(ROWS($AD$2:$AD599)&lt;=MAX('Per Line'!$AO$2:$AO$3001),MATCH(ROWS($AD$2:$AD599),'Per Line'!$AO$2:$AO$3001,0),"")</f>
        <v/>
      </c>
      <c r="AE599" s="14">
        <f>IF($AD599="","",P599-O599*AB599/100)</f>
        <v/>
      </c>
    </row>
    <row r="600">
      <c r="A600" s="12" t="n"/>
      <c r="B600">
        <f>IF($AD600="","",INDEX('Per Line'!$E$2:$E$3001,$AD600)&amp;"")</f>
        <v/>
      </c>
      <c r="C600">
        <f>IF($AD600="","",INDEX('Per Line'!$A$2:$A$3001,$AD600)&amp;"")</f>
        <v/>
      </c>
      <c r="D600">
        <f>IF($AD600="","",INDEX('Per Line'!$C$2:$C$3001,$AD600)&amp;"")</f>
        <v/>
      </c>
      <c r="E600">
        <f>IF($AD600="","",INDEX('Per Line'!$B$2:$B$3001,$AD600))</f>
        <v/>
      </c>
      <c r="F600">
        <f>IF($AD600="","",INDEX('Per Line'!$D$2:$D$3001,$AD600)&amp;"")</f>
        <v/>
      </c>
      <c r="G600" s="11">
        <f>IF($AD600="","",INDEX('Per Line'!$G$2:$G$3001,$AD600))</f>
        <v/>
      </c>
      <c r="H600">
        <f>IF($AD600="","",INDEX('Per Line'!$J$2:$J$3001,$AD600)&amp;"")</f>
        <v/>
      </c>
      <c r="I600">
        <f>IF($AD600="","",INDEX('Per Line'!$H$2:$H$3001,$AD600)&amp;"")</f>
        <v/>
      </c>
      <c r="J600">
        <f>IF($AD600="","",INDEX('Per Line'!$F$2:$F$3001,$AD600)&amp;"")</f>
        <v/>
      </c>
      <c r="K600">
        <f>IF($AD600="","",INDEX('Per Line'!$K$2:$K$3001,$AD600)&amp;"")</f>
        <v/>
      </c>
      <c r="L600">
        <f>IF($AD600="","",INDEX('Per Line'!$L$2:$L$3001,$AD600)&amp;"")</f>
        <v/>
      </c>
      <c r="M600">
        <f>IF($AD600="","",INDEX('Per Line'!$M$2:$M$3001,$AD600)&amp;"")</f>
        <v/>
      </c>
      <c r="N600">
        <f>IF($AD600="","",INDEX('Per Line'!$AC$2:$AC$3001,$AD600)&amp;"")</f>
        <v/>
      </c>
      <c r="O600">
        <f>IF($AD600="","",INDEX('Per Line'!$P$2:$P$3001,$AD600))</f>
        <v/>
      </c>
      <c r="P600" s="7">
        <f>IF($AD600="","",IF(AND(ISNUMBER(Q600),Q600&gt;0,AB600&gt;Q600),O600*Q600/100+(AB600-Q600),O600*AB600/100))</f>
        <v/>
      </c>
      <c r="Q600">
        <f>IF($AD600="","",INDEX('Per Line'!$AG$2:$AG$3001,$AD600))</f>
        <v/>
      </c>
      <c r="R600">
        <f>IF($AD600="","",IF(AND(ISNUMBER(Q600),Q600&gt;0),AB600&gt;Q600,FALSE))</f>
        <v/>
      </c>
      <c r="S600" s="7">
        <f>IF($AD600="","",SUMIFS('Per Line'!$AB$2:$AB$3001,'Per Line'!$E$2:$E$3001,$B600,'Per Line'!$AQ$2:$AQ$3001,1))</f>
        <v/>
      </c>
      <c r="T600">
        <f>IF($AD600="","",Settings!$C$7)</f>
        <v/>
      </c>
      <c r="U600" s="7">
        <f>IF($AD600="","",SUMIFS('Per Line'!$AB$2:$AB$3001,'Per Line'!$E$2:$E$3001,$B600,'Per Line'!$AP$2:$AP$3001,0,'Per Line'!$AQ$2:$AQ$3001,0))</f>
        <v/>
      </c>
      <c r="V600" s="7">
        <f>IF($AD600="","",U600*T600)</f>
        <v/>
      </c>
      <c r="W600">
        <f>IF($AD600="","",Settings!$C$6)</f>
        <v/>
      </c>
      <c r="X600" s="7">
        <f>IF($AD600="","",SUMIFS('Per Line'!$AB$2:$AB$3001,'Per Line'!$E$2:$E$3001,$B600,'Per Line'!$AP$2:$AP$3001,1,'Per Line'!$AQ$2:$AQ$3001,0))</f>
        <v/>
      </c>
      <c r="Y600" s="7">
        <f>IF($AD600="","",X600*W600)</f>
        <v/>
      </c>
      <c r="Z600" s="7">
        <f>IF($AD600="","",Y600+V600)</f>
        <v/>
      </c>
      <c r="AA600" s="7">
        <f>IF($AD600="","",AB600-Z600)</f>
        <v/>
      </c>
      <c r="AB600" s="7">
        <f>IF($AD600="","",U600+X600+S600)</f>
        <v/>
      </c>
      <c r="AC600" s="7">
        <f>IF($AD600="","",AB600-Z600-P600)</f>
        <v/>
      </c>
      <c r="AD600" s="13">
        <f>IF(ROWS($AD$2:$AD600)&lt;=MAX('Per Line'!$AO$2:$AO$3001),MATCH(ROWS($AD$2:$AD600),'Per Line'!$AO$2:$AO$3001,0),"")</f>
        <v/>
      </c>
      <c r="AE600" s="14">
        <f>IF($AD600="","",P600-O600*AB600/100)</f>
        <v/>
      </c>
    </row>
    <row r="601">
      <c r="A601" s="12" t="n"/>
      <c r="B601">
        <f>IF($AD601="","",INDEX('Per Line'!$E$2:$E$3001,$AD601)&amp;"")</f>
        <v/>
      </c>
      <c r="C601">
        <f>IF($AD601="","",INDEX('Per Line'!$A$2:$A$3001,$AD601)&amp;"")</f>
        <v/>
      </c>
      <c r="D601">
        <f>IF($AD601="","",INDEX('Per Line'!$C$2:$C$3001,$AD601)&amp;"")</f>
        <v/>
      </c>
      <c r="E601">
        <f>IF($AD601="","",INDEX('Per Line'!$B$2:$B$3001,$AD601))</f>
        <v/>
      </c>
      <c r="F601">
        <f>IF($AD601="","",INDEX('Per Line'!$D$2:$D$3001,$AD601)&amp;"")</f>
        <v/>
      </c>
      <c r="G601" s="11">
        <f>IF($AD601="","",INDEX('Per Line'!$G$2:$G$3001,$AD601))</f>
        <v/>
      </c>
      <c r="H601">
        <f>IF($AD601="","",INDEX('Per Line'!$J$2:$J$3001,$AD601)&amp;"")</f>
        <v/>
      </c>
      <c r="I601">
        <f>IF($AD601="","",INDEX('Per Line'!$H$2:$H$3001,$AD601)&amp;"")</f>
        <v/>
      </c>
      <c r="J601">
        <f>IF($AD601="","",INDEX('Per Line'!$F$2:$F$3001,$AD601)&amp;"")</f>
        <v/>
      </c>
      <c r="K601">
        <f>IF($AD601="","",INDEX('Per Line'!$K$2:$K$3001,$AD601)&amp;"")</f>
        <v/>
      </c>
      <c r="L601">
        <f>IF($AD601="","",INDEX('Per Line'!$L$2:$L$3001,$AD601)&amp;"")</f>
        <v/>
      </c>
      <c r="M601">
        <f>IF($AD601="","",INDEX('Per Line'!$M$2:$M$3001,$AD601)&amp;"")</f>
        <v/>
      </c>
      <c r="N601">
        <f>IF($AD601="","",INDEX('Per Line'!$AC$2:$AC$3001,$AD601)&amp;"")</f>
        <v/>
      </c>
      <c r="O601">
        <f>IF($AD601="","",INDEX('Per Line'!$P$2:$P$3001,$AD601))</f>
        <v/>
      </c>
      <c r="P601" s="7">
        <f>IF($AD601="","",IF(AND(ISNUMBER(Q601),Q601&gt;0,AB601&gt;Q601),O601*Q601/100+(AB601-Q601),O601*AB601/100))</f>
        <v/>
      </c>
      <c r="Q601">
        <f>IF($AD601="","",INDEX('Per Line'!$AG$2:$AG$3001,$AD601))</f>
        <v/>
      </c>
      <c r="R601">
        <f>IF($AD601="","",IF(AND(ISNUMBER(Q601),Q601&gt;0),AB601&gt;Q601,FALSE))</f>
        <v/>
      </c>
      <c r="S601" s="7">
        <f>IF($AD601="","",SUMIFS('Per Line'!$AB$2:$AB$3001,'Per Line'!$E$2:$E$3001,$B601,'Per Line'!$AQ$2:$AQ$3001,1))</f>
        <v/>
      </c>
      <c r="T601">
        <f>IF($AD601="","",Settings!$C$7)</f>
        <v/>
      </c>
      <c r="U601" s="7">
        <f>IF($AD601="","",SUMIFS('Per Line'!$AB$2:$AB$3001,'Per Line'!$E$2:$E$3001,$B601,'Per Line'!$AP$2:$AP$3001,0,'Per Line'!$AQ$2:$AQ$3001,0))</f>
        <v/>
      </c>
      <c r="V601" s="7">
        <f>IF($AD601="","",U601*T601)</f>
        <v/>
      </c>
      <c r="W601">
        <f>IF($AD601="","",Settings!$C$6)</f>
        <v/>
      </c>
      <c r="X601" s="7">
        <f>IF($AD601="","",SUMIFS('Per Line'!$AB$2:$AB$3001,'Per Line'!$E$2:$E$3001,$B601,'Per Line'!$AP$2:$AP$3001,1,'Per Line'!$AQ$2:$AQ$3001,0))</f>
        <v/>
      </c>
      <c r="Y601" s="7">
        <f>IF($AD601="","",X601*W601)</f>
        <v/>
      </c>
      <c r="Z601" s="7">
        <f>IF($AD601="","",Y601+V601)</f>
        <v/>
      </c>
      <c r="AA601" s="7">
        <f>IF($AD601="","",AB601-Z601)</f>
        <v/>
      </c>
      <c r="AB601" s="7">
        <f>IF($AD601="","",U601+X601+S601)</f>
        <v/>
      </c>
      <c r="AC601" s="7">
        <f>IF($AD601="","",AB601-Z601-P601)</f>
        <v/>
      </c>
      <c r="AD601" s="13">
        <f>IF(ROWS($AD$2:$AD601)&lt;=MAX('Per Line'!$AO$2:$AO$3001),MATCH(ROWS($AD$2:$AD601),'Per Line'!$AO$2:$AO$3001,0),"")</f>
        <v/>
      </c>
      <c r="AE601" s="14">
        <f>IF($AD601="","",P601-O601*AB601/100)</f>
        <v/>
      </c>
    </row>
    <row r="602">
      <c r="A602" s="12" t="n"/>
      <c r="B602">
        <f>IF($AD602="","",INDEX('Per Line'!$E$2:$E$3001,$AD602)&amp;"")</f>
        <v/>
      </c>
      <c r="C602">
        <f>IF($AD602="","",INDEX('Per Line'!$A$2:$A$3001,$AD602)&amp;"")</f>
        <v/>
      </c>
      <c r="D602">
        <f>IF($AD602="","",INDEX('Per Line'!$C$2:$C$3001,$AD602)&amp;"")</f>
        <v/>
      </c>
      <c r="E602">
        <f>IF($AD602="","",INDEX('Per Line'!$B$2:$B$3001,$AD602))</f>
        <v/>
      </c>
      <c r="F602">
        <f>IF($AD602="","",INDEX('Per Line'!$D$2:$D$3001,$AD602)&amp;"")</f>
        <v/>
      </c>
      <c r="G602" s="11">
        <f>IF($AD602="","",INDEX('Per Line'!$G$2:$G$3001,$AD602))</f>
        <v/>
      </c>
      <c r="H602">
        <f>IF($AD602="","",INDEX('Per Line'!$J$2:$J$3001,$AD602)&amp;"")</f>
        <v/>
      </c>
      <c r="I602">
        <f>IF($AD602="","",INDEX('Per Line'!$H$2:$H$3001,$AD602)&amp;"")</f>
        <v/>
      </c>
      <c r="J602">
        <f>IF($AD602="","",INDEX('Per Line'!$F$2:$F$3001,$AD602)&amp;"")</f>
        <v/>
      </c>
      <c r="K602">
        <f>IF($AD602="","",INDEX('Per Line'!$K$2:$K$3001,$AD602)&amp;"")</f>
        <v/>
      </c>
      <c r="L602">
        <f>IF($AD602="","",INDEX('Per Line'!$L$2:$L$3001,$AD602)&amp;"")</f>
        <v/>
      </c>
      <c r="M602">
        <f>IF($AD602="","",INDEX('Per Line'!$M$2:$M$3001,$AD602)&amp;"")</f>
        <v/>
      </c>
      <c r="N602">
        <f>IF($AD602="","",INDEX('Per Line'!$AC$2:$AC$3001,$AD602)&amp;"")</f>
        <v/>
      </c>
      <c r="O602">
        <f>IF($AD602="","",INDEX('Per Line'!$P$2:$P$3001,$AD602))</f>
        <v/>
      </c>
      <c r="P602" s="7">
        <f>IF($AD602="","",IF(AND(ISNUMBER(Q602),Q602&gt;0,AB602&gt;Q602),O602*Q602/100+(AB602-Q602),O602*AB602/100))</f>
        <v/>
      </c>
      <c r="Q602">
        <f>IF($AD602="","",INDEX('Per Line'!$AG$2:$AG$3001,$AD602))</f>
        <v/>
      </c>
      <c r="R602">
        <f>IF($AD602="","",IF(AND(ISNUMBER(Q602),Q602&gt;0),AB602&gt;Q602,FALSE))</f>
        <v/>
      </c>
      <c r="S602" s="7">
        <f>IF($AD602="","",SUMIFS('Per Line'!$AB$2:$AB$3001,'Per Line'!$E$2:$E$3001,$B602,'Per Line'!$AQ$2:$AQ$3001,1))</f>
        <v/>
      </c>
      <c r="T602">
        <f>IF($AD602="","",Settings!$C$7)</f>
        <v/>
      </c>
      <c r="U602" s="7">
        <f>IF($AD602="","",SUMIFS('Per Line'!$AB$2:$AB$3001,'Per Line'!$E$2:$E$3001,$B602,'Per Line'!$AP$2:$AP$3001,0,'Per Line'!$AQ$2:$AQ$3001,0))</f>
        <v/>
      </c>
      <c r="V602" s="7">
        <f>IF($AD602="","",U602*T602)</f>
        <v/>
      </c>
      <c r="W602">
        <f>IF($AD602="","",Settings!$C$6)</f>
        <v/>
      </c>
      <c r="X602" s="7">
        <f>IF($AD602="","",SUMIFS('Per Line'!$AB$2:$AB$3001,'Per Line'!$E$2:$E$3001,$B602,'Per Line'!$AP$2:$AP$3001,1,'Per Line'!$AQ$2:$AQ$3001,0))</f>
        <v/>
      </c>
      <c r="Y602" s="7">
        <f>IF($AD602="","",X602*W602)</f>
        <v/>
      </c>
      <c r="Z602" s="7">
        <f>IF($AD602="","",Y602+V602)</f>
        <v/>
      </c>
      <c r="AA602" s="7">
        <f>IF($AD602="","",AB602-Z602)</f>
        <v/>
      </c>
      <c r="AB602" s="7">
        <f>IF($AD602="","",U602+X602+S602)</f>
        <v/>
      </c>
      <c r="AC602" s="7">
        <f>IF($AD602="","",AB602-Z602-P602)</f>
        <v/>
      </c>
      <c r="AD602" s="13">
        <f>IF(ROWS($AD$2:$AD602)&lt;=MAX('Per Line'!$AO$2:$AO$3001),MATCH(ROWS($AD$2:$AD602),'Per Line'!$AO$2:$AO$3001,0),"")</f>
        <v/>
      </c>
      <c r="AE602" s="14">
        <f>IF($AD602="","",P602-O602*AB602/100)</f>
        <v/>
      </c>
    </row>
    <row r="603">
      <c r="A603" s="12" t="n"/>
      <c r="B603">
        <f>IF($AD603="","",INDEX('Per Line'!$E$2:$E$3001,$AD603)&amp;"")</f>
        <v/>
      </c>
      <c r="C603">
        <f>IF($AD603="","",INDEX('Per Line'!$A$2:$A$3001,$AD603)&amp;"")</f>
        <v/>
      </c>
      <c r="D603">
        <f>IF($AD603="","",INDEX('Per Line'!$C$2:$C$3001,$AD603)&amp;"")</f>
        <v/>
      </c>
      <c r="E603">
        <f>IF($AD603="","",INDEX('Per Line'!$B$2:$B$3001,$AD603))</f>
        <v/>
      </c>
      <c r="F603">
        <f>IF($AD603="","",INDEX('Per Line'!$D$2:$D$3001,$AD603)&amp;"")</f>
        <v/>
      </c>
      <c r="G603" s="11">
        <f>IF($AD603="","",INDEX('Per Line'!$G$2:$G$3001,$AD603))</f>
        <v/>
      </c>
      <c r="H603">
        <f>IF($AD603="","",INDEX('Per Line'!$J$2:$J$3001,$AD603)&amp;"")</f>
        <v/>
      </c>
      <c r="I603">
        <f>IF($AD603="","",INDEX('Per Line'!$H$2:$H$3001,$AD603)&amp;"")</f>
        <v/>
      </c>
      <c r="J603">
        <f>IF($AD603="","",INDEX('Per Line'!$F$2:$F$3001,$AD603)&amp;"")</f>
        <v/>
      </c>
      <c r="K603">
        <f>IF($AD603="","",INDEX('Per Line'!$K$2:$K$3001,$AD603)&amp;"")</f>
        <v/>
      </c>
      <c r="L603">
        <f>IF($AD603="","",INDEX('Per Line'!$L$2:$L$3001,$AD603)&amp;"")</f>
        <v/>
      </c>
      <c r="M603">
        <f>IF($AD603="","",INDEX('Per Line'!$M$2:$M$3001,$AD603)&amp;"")</f>
        <v/>
      </c>
      <c r="N603">
        <f>IF($AD603="","",INDEX('Per Line'!$AC$2:$AC$3001,$AD603)&amp;"")</f>
        <v/>
      </c>
      <c r="O603">
        <f>IF($AD603="","",INDEX('Per Line'!$P$2:$P$3001,$AD603))</f>
        <v/>
      </c>
      <c r="P603" s="7">
        <f>IF($AD603="","",IF(AND(ISNUMBER(Q603),Q603&gt;0,AB603&gt;Q603),O603*Q603/100+(AB603-Q603),O603*AB603/100))</f>
        <v/>
      </c>
      <c r="Q603">
        <f>IF($AD603="","",INDEX('Per Line'!$AG$2:$AG$3001,$AD603))</f>
        <v/>
      </c>
      <c r="R603">
        <f>IF($AD603="","",IF(AND(ISNUMBER(Q603),Q603&gt;0),AB603&gt;Q603,FALSE))</f>
        <v/>
      </c>
      <c r="S603" s="7">
        <f>IF($AD603="","",SUMIFS('Per Line'!$AB$2:$AB$3001,'Per Line'!$E$2:$E$3001,$B603,'Per Line'!$AQ$2:$AQ$3001,1))</f>
        <v/>
      </c>
      <c r="T603">
        <f>IF($AD603="","",Settings!$C$7)</f>
        <v/>
      </c>
      <c r="U603" s="7">
        <f>IF($AD603="","",SUMIFS('Per Line'!$AB$2:$AB$3001,'Per Line'!$E$2:$E$3001,$B603,'Per Line'!$AP$2:$AP$3001,0,'Per Line'!$AQ$2:$AQ$3001,0))</f>
        <v/>
      </c>
      <c r="V603" s="7">
        <f>IF($AD603="","",U603*T603)</f>
        <v/>
      </c>
      <c r="W603">
        <f>IF($AD603="","",Settings!$C$6)</f>
        <v/>
      </c>
      <c r="X603" s="7">
        <f>IF($AD603="","",SUMIFS('Per Line'!$AB$2:$AB$3001,'Per Line'!$E$2:$E$3001,$B603,'Per Line'!$AP$2:$AP$3001,1,'Per Line'!$AQ$2:$AQ$3001,0))</f>
        <v/>
      </c>
      <c r="Y603" s="7">
        <f>IF($AD603="","",X603*W603)</f>
        <v/>
      </c>
      <c r="Z603" s="7">
        <f>IF($AD603="","",Y603+V603)</f>
        <v/>
      </c>
      <c r="AA603" s="7">
        <f>IF($AD603="","",AB603-Z603)</f>
        <v/>
      </c>
      <c r="AB603" s="7">
        <f>IF($AD603="","",U603+X603+S603)</f>
        <v/>
      </c>
      <c r="AC603" s="7">
        <f>IF($AD603="","",AB603-Z603-P603)</f>
        <v/>
      </c>
      <c r="AD603" s="13">
        <f>IF(ROWS($AD$2:$AD603)&lt;=MAX('Per Line'!$AO$2:$AO$3001),MATCH(ROWS($AD$2:$AD603),'Per Line'!$AO$2:$AO$3001,0),"")</f>
        <v/>
      </c>
      <c r="AE603" s="14">
        <f>IF($AD603="","",P603-O603*AB603/100)</f>
        <v/>
      </c>
    </row>
    <row r="604">
      <c r="A604" s="12" t="n"/>
      <c r="B604">
        <f>IF($AD604="","",INDEX('Per Line'!$E$2:$E$3001,$AD604)&amp;"")</f>
        <v/>
      </c>
      <c r="C604">
        <f>IF($AD604="","",INDEX('Per Line'!$A$2:$A$3001,$AD604)&amp;"")</f>
        <v/>
      </c>
      <c r="D604">
        <f>IF($AD604="","",INDEX('Per Line'!$C$2:$C$3001,$AD604)&amp;"")</f>
        <v/>
      </c>
      <c r="E604">
        <f>IF($AD604="","",INDEX('Per Line'!$B$2:$B$3001,$AD604))</f>
        <v/>
      </c>
      <c r="F604">
        <f>IF($AD604="","",INDEX('Per Line'!$D$2:$D$3001,$AD604)&amp;"")</f>
        <v/>
      </c>
      <c r="G604" s="11">
        <f>IF($AD604="","",INDEX('Per Line'!$G$2:$G$3001,$AD604))</f>
        <v/>
      </c>
      <c r="H604">
        <f>IF($AD604="","",INDEX('Per Line'!$J$2:$J$3001,$AD604)&amp;"")</f>
        <v/>
      </c>
      <c r="I604">
        <f>IF($AD604="","",INDEX('Per Line'!$H$2:$H$3001,$AD604)&amp;"")</f>
        <v/>
      </c>
      <c r="J604">
        <f>IF($AD604="","",INDEX('Per Line'!$F$2:$F$3001,$AD604)&amp;"")</f>
        <v/>
      </c>
      <c r="K604">
        <f>IF($AD604="","",INDEX('Per Line'!$K$2:$K$3001,$AD604)&amp;"")</f>
        <v/>
      </c>
      <c r="L604">
        <f>IF($AD604="","",INDEX('Per Line'!$L$2:$L$3001,$AD604)&amp;"")</f>
        <v/>
      </c>
      <c r="M604">
        <f>IF($AD604="","",INDEX('Per Line'!$M$2:$M$3001,$AD604)&amp;"")</f>
        <v/>
      </c>
      <c r="N604">
        <f>IF($AD604="","",INDEX('Per Line'!$AC$2:$AC$3001,$AD604)&amp;"")</f>
        <v/>
      </c>
      <c r="O604">
        <f>IF($AD604="","",INDEX('Per Line'!$P$2:$P$3001,$AD604))</f>
        <v/>
      </c>
      <c r="P604" s="7">
        <f>IF($AD604="","",IF(AND(ISNUMBER(Q604),Q604&gt;0,AB604&gt;Q604),O604*Q604/100+(AB604-Q604),O604*AB604/100))</f>
        <v/>
      </c>
      <c r="Q604">
        <f>IF($AD604="","",INDEX('Per Line'!$AG$2:$AG$3001,$AD604))</f>
        <v/>
      </c>
      <c r="R604">
        <f>IF($AD604="","",IF(AND(ISNUMBER(Q604),Q604&gt;0),AB604&gt;Q604,FALSE))</f>
        <v/>
      </c>
      <c r="S604" s="7">
        <f>IF($AD604="","",SUMIFS('Per Line'!$AB$2:$AB$3001,'Per Line'!$E$2:$E$3001,$B604,'Per Line'!$AQ$2:$AQ$3001,1))</f>
        <v/>
      </c>
      <c r="T604">
        <f>IF($AD604="","",Settings!$C$7)</f>
        <v/>
      </c>
      <c r="U604" s="7">
        <f>IF($AD604="","",SUMIFS('Per Line'!$AB$2:$AB$3001,'Per Line'!$E$2:$E$3001,$B604,'Per Line'!$AP$2:$AP$3001,0,'Per Line'!$AQ$2:$AQ$3001,0))</f>
        <v/>
      </c>
      <c r="V604" s="7">
        <f>IF($AD604="","",U604*T604)</f>
        <v/>
      </c>
      <c r="W604">
        <f>IF($AD604="","",Settings!$C$6)</f>
        <v/>
      </c>
      <c r="X604" s="7">
        <f>IF($AD604="","",SUMIFS('Per Line'!$AB$2:$AB$3001,'Per Line'!$E$2:$E$3001,$B604,'Per Line'!$AP$2:$AP$3001,1,'Per Line'!$AQ$2:$AQ$3001,0))</f>
        <v/>
      </c>
      <c r="Y604" s="7">
        <f>IF($AD604="","",X604*W604)</f>
        <v/>
      </c>
      <c r="Z604" s="7">
        <f>IF($AD604="","",Y604+V604)</f>
        <v/>
      </c>
      <c r="AA604" s="7">
        <f>IF($AD604="","",AB604-Z604)</f>
        <v/>
      </c>
      <c r="AB604" s="7">
        <f>IF($AD604="","",U604+X604+S604)</f>
        <v/>
      </c>
      <c r="AC604" s="7">
        <f>IF($AD604="","",AB604-Z604-P604)</f>
        <v/>
      </c>
      <c r="AD604" s="13">
        <f>IF(ROWS($AD$2:$AD604)&lt;=MAX('Per Line'!$AO$2:$AO$3001),MATCH(ROWS($AD$2:$AD604),'Per Line'!$AO$2:$AO$3001,0),"")</f>
        <v/>
      </c>
      <c r="AE604" s="14">
        <f>IF($AD604="","",P604-O604*AB604/100)</f>
        <v/>
      </c>
    </row>
    <row r="605">
      <c r="A605" s="12" t="n"/>
      <c r="B605">
        <f>IF($AD605="","",INDEX('Per Line'!$E$2:$E$3001,$AD605)&amp;"")</f>
        <v/>
      </c>
      <c r="C605">
        <f>IF($AD605="","",INDEX('Per Line'!$A$2:$A$3001,$AD605)&amp;"")</f>
        <v/>
      </c>
      <c r="D605">
        <f>IF($AD605="","",INDEX('Per Line'!$C$2:$C$3001,$AD605)&amp;"")</f>
        <v/>
      </c>
      <c r="E605">
        <f>IF($AD605="","",INDEX('Per Line'!$B$2:$B$3001,$AD605))</f>
        <v/>
      </c>
      <c r="F605">
        <f>IF($AD605="","",INDEX('Per Line'!$D$2:$D$3001,$AD605)&amp;"")</f>
        <v/>
      </c>
      <c r="G605" s="11">
        <f>IF($AD605="","",INDEX('Per Line'!$G$2:$G$3001,$AD605))</f>
        <v/>
      </c>
      <c r="H605">
        <f>IF($AD605="","",INDEX('Per Line'!$J$2:$J$3001,$AD605)&amp;"")</f>
        <v/>
      </c>
      <c r="I605">
        <f>IF($AD605="","",INDEX('Per Line'!$H$2:$H$3001,$AD605)&amp;"")</f>
        <v/>
      </c>
      <c r="J605">
        <f>IF($AD605="","",INDEX('Per Line'!$F$2:$F$3001,$AD605)&amp;"")</f>
        <v/>
      </c>
      <c r="K605">
        <f>IF($AD605="","",INDEX('Per Line'!$K$2:$K$3001,$AD605)&amp;"")</f>
        <v/>
      </c>
      <c r="L605">
        <f>IF($AD605="","",INDEX('Per Line'!$L$2:$L$3001,$AD605)&amp;"")</f>
        <v/>
      </c>
      <c r="M605">
        <f>IF($AD605="","",INDEX('Per Line'!$M$2:$M$3001,$AD605)&amp;"")</f>
        <v/>
      </c>
      <c r="N605">
        <f>IF($AD605="","",INDEX('Per Line'!$AC$2:$AC$3001,$AD605)&amp;"")</f>
        <v/>
      </c>
      <c r="O605">
        <f>IF($AD605="","",INDEX('Per Line'!$P$2:$P$3001,$AD605))</f>
        <v/>
      </c>
      <c r="P605" s="7">
        <f>IF($AD605="","",IF(AND(ISNUMBER(Q605),Q605&gt;0,AB605&gt;Q605),O605*Q605/100+(AB605-Q605),O605*AB605/100))</f>
        <v/>
      </c>
      <c r="Q605">
        <f>IF($AD605="","",INDEX('Per Line'!$AG$2:$AG$3001,$AD605))</f>
        <v/>
      </c>
      <c r="R605">
        <f>IF($AD605="","",IF(AND(ISNUMBER(Q605),Q605&gt;0),AB605&gt;Q605,FALSE))</f>
        <v/>
      </c>
      <c r="S605" s="7">
        <f>IF($AD605="","",SUMIFS('Per Line'!$AB$2:$AB$3001,'Per Line'!$E$2:$E$3001,$B605,'Per Line'!$AQ$2:$AQ$3001,1))</f>
        <v/>
      </c>
      <c r="T605">
        <f>IF($AD605="","",Settings!$C$7)</f>
        <v/>
      </c>
      <c r="U605" s="7">
        <f>IF($AD605="","",SUMIFS('Per Line'!$AB$2:$AB$3001,'Per Line'!$E$2:$E$3001,$B605,'Per Line'!$AP$2:$AP$3001,0,'Per Line'!$AQ$2:$AQ$3001,0))</f>
        <v/>
      </c>
      <c r="V605" s="7">
        <f>IF($AD605="","",U605*T605)</f>
        <v/>
      </c>
      <c r="W605">
        <f>IF($AD605="","",Settings!$C$6)</f>
        <v/>
      </c>
      <c r="X605" s="7">
        <f>IF($AD605="","",SUMIFS('Per Line'!$AB$2:$AB$3001,'Per Line'!$E$2:$E$3001,$B605,'Per Line'!$AP$2:$AP$3001,1,'Per Line'!$AQ$2:$AQ$3001,0))</f>
        <v/>
      </c>
      <c r="Y605" s="7">
        <f>IF($AD605="","",X605*W605)</f>
        <v/>
      </c>
      <c r="Z605" s="7">
        <f>IF($AD605="","",Y605+V605)</f>
        <v/>
      </c>
      <c r="AA605" s="7">
        <f>IF($AD605="","",AB605-Z605)</f>
        <v/>
      </c>
      <c r="AB605" s="7">
        <f>IF($AD605="","",U605+X605+S605)</f>
        <v/>
      </c>
      <c r="AC605" s="7">
        <f>IF($AD605="","",AB605-Z605-P605)</f>
        <v/>
      </c>
      <c r="AD605" s="13">
        <f>IF(ROWS($AD$2:$AD605)&lt;=MAX('Per Line'!$AO$2:$AO$3001),MATCH(ROWS($AD$2:$AD605),'Per Line'!$AO$2:$AO$3001,0),"")</f>
        <v/>
      </c>
      <c r="AE605" s="14">
        <f>IF($AD605="","",P605-O605*AB605/100)</f>
        <v/>
      </c>
    </row>
    <row r="606">
      <c r="A606" s="12" t="n"/>
      <c r="B606">
        <f>IF($AD606="","",INDEX('Per Line'!$E$2:$E$3001,$AD606)&amp;"")</f>
        <v/>
      </c>
      <c r="C606">
        <f>IF($AD606="","",INDEX('Per Line'!$A$2:$A$3001,$AD606)&amp;"")</f>
        <v/>
      </c>
      <c r="D606">
        <f>IF($AD606="","",INDEX('Per Line'!$C$2:$C$3001,$AD606)&amp;"")</f>
        <v/>
      </c>
      <c r="E606">
        <f>IF($AD606="","",INDEX('Per Line'!$B$2:$B$3001,$AD606))</f>
        <v/>
      </c>
      <c r="F606">
        <f>IF($AD606="","",INDEX('Per Line'!$D$2:$D$3001,$AD606)&amp;"")</f>
        <v/>
      </c>
      <c r="G606" s="11">
        <f>IF($AD606="","",INDEX('Per Line'!$G$2:$G$3001,$AD606))</f>
        <v/>
      </c>
      <c r="H606">
        <f>IF($AD606="","",INDEX('Per Line'!$J$2:$J$3001,$AD606)&amp;"")</f>
        <v/>
      </c>
      <c r="I606">
        <f>IF($AD606="","",INDEX('Per Line'!$H$2:$H$3001,$AD606)&amp;"")</f>
        <v/>
      </c>
      <c r="J606">
        <f>IF($AD606="","",INDEX('Per Line'!$F$2:$F$3001,$AD606)&amp;"")</f>
        <v/>
      </c>
      <c r="K606">
        <f>IF($AD606="","",INDEX('Per Line'!$K$2:$K$3001,$AD606)&amp;"")</f>
        <v/>
      </c>
      <c r="L606">
        <f>IF($AD606="","",INDEX('Per Line'!$L$2:$L$3001,$AD606)&amp;"")</f>
        <v/>
      </c>
      <c r="M606">
        <f>IF($AD606="","",INDEX('Per Line'!$M$2:$M$3001,$AD606)&amp;"")</f>
        <v/>
      </c>
      <c r="N606">
        <f>IF($AD606="","",INDEX('Per Line'!$AC$2:$AC$3001,$AD606)&amp;"")</f>
        <v/>
      </c>
      <c r="O606">
        <f>IF($AD606="","",INDEX('Per Line'!$P$2:$P$3001,$AD606))</f>
        <v/>
      </c>
      <c r="P606" s="7">
        <f>IF($AD606="","",IF(AND(ISNUMBER(Q606),Q606&gt;0,AB606&gt;Q606),O606*Q606/100+(AB606-Q606),O606*AB606/100))</f>
        <v/>
      </c>
      <c r="Q606">
        <f>IF($AD606="","",INDEX('Per Line'!$AG$2:$AG$3001,$AD606))</f>
        <v/>
      </c>
      <c r="R606">
        <f>IF($AD606="","",IF(AND(ISNUMBER(Q606),Q606&gt;0),AB606&gt;Q606,FALSE))</f>
        <v/>
      </c>
      <c r="S606" s="7">
        <f>IF($AD606="","",SUMIFS('Per Line'!$AB$2:$AB$3001,'Per Line'!$E$2:$E$3001,$B606,'Per Line'!$AQ$2:$AQ$3001,1))</f>
        <v/>
      </c>
      <c r="T606">
        <f>IF($AD606="","",Settings!$C$7)</f>
        <v/>
      </c>
      <c r="U606" s="7">
        <f>IF($AD606="","",SUMIFS('Per Line'!$AB$2:$AB$3001,'Per Line'!$E$2:$E$3001,$B606,'Per Line'!$AP$2:$AP$3001,0,'Per Line'!$AQ$2:$AQ$3001,0))</f>
        <v/>
      </c>
      <c r="V606" s="7">
        <f>IF($AD606="","",U606*T606)</f>
        <v/>
      </c>
      <c r="W606">
        <f>IF($AD606="","",Settings!$C$6)</f>
        <v/>
      </c>
      <c r="X606" s="7">
        <f>IF($AD606="","",SUMIFS('Per Line'!$AB$2:$AB$3001,'Per Line'!$E$2:$E$3001,$B606,'Per Line'!$AP$2:$AP$3001,1,'Per Line'!$AQ$2:$AQ$3001,0))</f>
        <v/>
      </c>
      <c r="Y606" s="7">
        <f>IF($AD606="","",X606*W606)</f>
        <v/>
      </c>
      <c r="Z606" s="7">
        <f>IF($AD606="","",Y606+V606)</f>
        <v/>
      </c>
      <c r="AA606" s="7">
        <f>IF($AD606="","",AB606-Z606)</f>
        <v/>
      </c>
      <c r="AB606" s="7">
        <f>IF($AD606="","",U606+X606+S606)</f>
        <v/>
      </c>
      <c r="AC606" s="7">
        <f>IF($AD606="","",AB606-Z606-P606)</f>
        <v/>
      </c>
      <c r="AD606" s="13">
        <f>IF(ROWS($AD$2:$AD606)&lt;=MAX('Per Line'!$AO$2:$AO$3001),MATCH(ROWS($AD$2:$AD606),'Per Line'!$AO$2:$AO$3001,0),"")</f>
        <v/>
      </c>
      <c r="AE606" s="14">
        <f>IF($AD606="","",P606-O606*AB606/100)</f>
        <v/>
      </c>
    </row>
    <row r="607">
      <c r="A607" s="12" t="n"/>
      <c r="B607">
        <f>IF($AD607="","",INDEX('Per Line'!$E$2:$E$3001,$AD607)&amp;"")</f>
        <v/>
      </c>
      <c r="C607">
        <f>IF($AD607="","",INDEX('Per Line'!$A$2:$A$3001,$AD607)&amp;"")</f>
        <v/>
      </c>
      <c r="D607">
        <f>IF($AD607="","",INDEX('Per Line'!$C$2:$C$3001,$AD607)&amp;"")</f>
        <v/>
      </c>
      <c r="E607">
        <f>IF($AD607="","",INDEX('Per Line'!$B$2:$B$3001,$AD607))</f>
        <v/>
      </c>
      <c r="F607">
        <f>IF($AD607="","",INDEX('Per Line'!$D$2:$D$3001,$AD607)&amp;"")</f>
        <v/>
      </c>
      <c r="G607" s="11">
        <f>IF($AD607="","",INDEX('Per Line'!$G$2:$G$3001,$AD607))</f>
        <v/>
      </c>
      <c r="H607">
        <f>IF($AD607="","",INDEX('Per Line'!$J$2:$J$3001,$AD607)&amp;"")</f>
        <v/>
      </c>
      <c r="I607">
        <f>IF($AD607="","",INDEX('Per Line'!$H$2:$H$3001,$AD607)&amp;"")</f>
        <v/>
      </c>
      <c r="J607">
        <f>IF($AD607="","",INDEX('Per Line'!$F$2:$F$3001,$AD607)&amp;"")</f>
        <v/>
      </c>
      <c r="K607">
        <f>IF($AD607="","",INDEX('Per Line'!$K$2:$K$3001,$AD607)&amp;"")</f>
        <v/>
      </c>
      <c r="L607">
        <f>IF($AD607="","",INDEX('Per Line'!$L$2:$L$3001,$AD607)&amp;"")</f>
        <v/>
      </c>
      <c r="M607">
        <f>IF($AD607="","",INDEX('Per Line'!$M$2:$M$3001,$AD607)&amp;"")</f>
        <v/>
      </c>
      <c r="N607">
        <f>IF($AD607="","",INDEX('Per Line'!$AC$2:$AC$3001,$AD607)&amp;"")</f>
        <v/>
      </c>
      <c r="O607">
        <f>IF($AD607="","",INDEX('Per Line'!$P$2:$P$3001,$AD607))</f>
        <v/>
      </c>
      <c r="P607" s="7">
        <f>IF($AD607="","",IF(AND(ISNUMBER(Q607),Q607&gt;0,AB607&gt;Q607),O607*Q607/100+(AB607-Q607),O607*AB607/100))</f>
        <v/>
      </c>
      <c r="Q607">
        <f>IF($AD607="","",INDEX('Per Line'!$AG$2:$AG$3001,$AD607))</f>
        <v/>
      </c>
      <c r="R607">
        <f>IF($AD607="","",IF(AND(ISNUMBER(Q607),Q607&gt;0),AB607&gt;Q607,FALSE))</f>
        <v/>
      </c>
      <c r="S607" s="7">
        <f>IF($AD607="","",SUMIFS('Per Line'!$AB$2:$AB$3001,'Per Line'!$E$2:$E$3001,$B607,'Per Line'!$AQ$2:$AQ$3001,1))</f>
        <v/>
      </c>
      <c r="T607">
        <f>IF($AD607="","",Settings!$C$7)</f>
        <v/>
      </c>
      <c r="U607" s="7">
        <f>IF($AD607="","",SUMIFS('Per Line'!$AB$2:$AB$3001,'Per Line'!$E$2:$E$3001,$B607,'Per Line'!$AP$2:$AP$3001,0,'Per Line'!$AQ$2:$AQ$3001,0))</f>
        <v/>
      </c>
      <c r="V607" s="7">
        <f>IF($AD607="","",U607*T607)</f>
        <v/>
      </c>
      <c r="W607">
        <f>IF($AD607="","",Settings!$C$6)</f>
        <v/>
      </c>
      <c r="X607" s="7">
        <f>IF($AD607="","",SUMIFS('Per Line'!$AB$2:$AB$3001,'Per Line'!$E$2:$E$3001,$B607,'Per Line'!$AP$2:$AP$3001,1,'Per Line'!$AQ$2:$AQ$3001,0))</f>
        <v/>
      </c>
      <c r="Y607" s="7">
        <f>IF($AD607="","",X607*W607)</f>
        <v/>
      </c>
      <c r="Z607" s="7">
        <f>IF($AD607="","",Y607+V607)</f>
        <v/>
      </c>
      <c r="AA607" s="7">
        <f>IF($AD607="","",AB607-Z607)</f>
        <v/>
      </c>
      <c r="AB607" s="7">
        <f>IF($AD607="","",U607+X607+S607)</f>
        <v/>
      </c>
      <c r="AC607" s="7">
        <f>IF($AD607="","",AB607-Z607-P607)</f>
        <v/>
      </c>
      <c r="AD607" s="13">
        <f>IF(ROWS($AD$2:$AD607)&lt;=MAX('Per Line'!$AO$2:$AO$3001),MATCH(ROWS($AD$2:$AD607),'Per Line'!$AO$2:$AO$3001,0),"")</f>
        <v/>
      </c>
      <c r="AE607" s="14">
        <f>IF($AD607="","",P607-O607*AB607/100)</f>
        <v/>
      </c>
    </row>
    <row r="608">
      <c r="A608" s="12" t="n"/>
      <c r="B608">
        <f>IF($AD608="","",INDEX('Per Line'!$E$2:$E$3001,$AD608)&amp;"")</f>
        <v/>
      </c>
      <c r="C608">
        <f>IF($AD608="","",INDEX('Per Line'!$A$2:$A$3001,$AD608)&amp;"")</f>
        <v/>
      </c>
      <c r="D608">
        <f>IF($AD608="","",INDEX('Per Line'!$C$2:$C$3001,$AD608)&amp;"")</f>
        <v/>
      </c>
      <c r="E608">
        <f>IF($AD608="","",INDEX('Per Line'!$B$2:$B$3001,$AD608))</f>
        <v/>
      </c>
      <c r="F608">
        <f>IF($AD608="","",INDEX('Per Line'!$D$2:$D$3001,$AD608)&amp;"")</f>
        <v/>
      </c>
      <c r="G608" s="11">
        <f>IF($AD608="","",INDEX('Per Line'!$G$2:$G$3001,$AD608))</f>
        <v/>
      </c>
      <c r="H608">
        <f>IF($AD608="","",INDEX('Per Line'!$J$2:$J$3001,$AD608)&amp;"")</f>
        <v/>
      </c>
      <c r="I608">
        <f>IF($AD608="","",INDEX('Per Line'!$H$2:$H$3001,$AD608)&amp;"")</f>
        <v/>
      </c>
      <c r="J608">
        <f>IF($AD608="","",INDEX('Per Line'!$F$2:$F$3001,$AD608)&amp;"")</f>
        <v/>
      </c>
      <c r="K608">
        <f>IF($AD608="","",INDEX('Per Line'!$K$2:$K$3001,$AD608)&amp;"")</f>
        <v/>
      </c>
      <c r="L608">
        <f>IF($AD608="","",INDEX('Per Line'!$L$2:$L$3001,$AD608)&amp;"")</f>
        <v/>
      </c>
      <c r="M608">
        <f>IF($AD608="","",INDEX('Per Line'!$M$2:$M$3001,$AD608)&amp;"")</f>
        <v/>
      </c>
      <c r="N608">
        <f>IF($AD608="","",INDEX('Per Line'!$AC$2:$AC$3001,$AD608)&amp;"")</f>
        <v/>
      </c>
      <c r="O608">
        <f>IF($AD608="","",INDEX('Per Line'!$P$2:$P$3001,$AD608))</f>
        <v/>
      </c>
      <c r="P608" s="7">
        <f>IF($AD608="","",IF(AND(ISNUMBER(Q608),Q608&gt;0,AB608&gt;Q608),O608*Q608/100+(AB608-Q608),O608*AB608/100))</f>
        <v/>
      </c>
      <c r="Q608">
        <f>IF($AD608="","",INDEX('Per Line'!$AG$2:$AG$3001,$AD608))</f>
        <v/>
      </c>
      <c r="R608">
        <f>IF($AD608="","",IF(AND(ISNUMBER(Q608),Q608&gt;0),AB608&gt;Q608,FALSE))</f>
        <v/>
      </c>
      <c r="S608" s="7">
        <f>IF($AD608="","",SUMIFS('Per Line'!$AB$2:$AB$3001,'Per Line'!$E$2:$E$3001,$B608,'Per Line'!$AQ$2:$AQ$3001,1))</f>
        <v/>
      </c>
      <c r="T608">
        <f>IF($AD608="","",Settings!$C$7)</f>
        <v/>
      </c>
      <c r="U608" s="7">
        <f>IF($AD608="","",SUMIFS('Per Line'!$AB$2:$AB$3001,'Per Line'!$E$2:$E$3001,$B608,'Per Line'!$AP$2:$AP$3001,0,'Per Line'!$AQ$2:$AQ$3001,0))</f>
        <v/>
      </c>
      <c r="V608" s="7">
        <f>IF($AD608="","",U608*T608)</f>
        <v/>
      </c>
      <c r="W608">
        <f>IF($AD608="","",Settings!$C$6)</f>
        <v/>
      </c>
      <c r="X608" s="7">
        <f>IF($AD608="","",SUMIFS('Per Line'!$AB$2:$AB$3001,'Per Line'!$E$2:$E$3001,$B608,'Per Line'!$AP$2:$AP$3001,1,'Per Line'!$AQ$2:$AQ$3001,0))</f>
        <v/>
      </c>
      <c r="Y608" s="7">
        <f>IF($AD608="","",X608*W608)</f>
        <v/>
      </c>
      <c r="Z608" s="7">
        <f>IF($AD608="","",Y608+V608)</f>
        <v/>
      </c>
      <c r="AA608" s="7">
        <f>IF($AD608="","",AB608-Z608)</f>
        <v/>
      </c>
      <c r="AB608" s="7">
        <f>IF($AD608="","",U608+X608+S608)</f>
        <v/>
      </c>
      <c r="AC608" s="7">
        <f>IF($AD608="","",AB608-Z608-P608)</f>
        <v/>
      </c>
      <c r="AD608" s="13">
        <f>IF(ROWS($AD$2:$AD608)&lt;=MAX('Per Line'!$AO$2:$AO$3001),MATCH(ROWS($AD$2:$AD608),'Per Line'!$AO$2:$AO$3001,0),"")</f>
        <v/>
      </c>
      <c r="AE608" s="14">
        <f>IF($AD608="","",P608-O608*AB608/100)</f>
        <v/>
      </c>
    </row>
    <row r="609">
      <c r="A609" s="12" t="n"/>
      <c r="B609">
        <f>IF($AD609="","",INDEX('Per Line'!$E$2:$E$3001,$AD609)&amp;"")</f>
        <v/>
      </c>
      <c r="C609">
        <f>IF($AD609="","",INDEX('Per Line'!$A$2:$A$3001,$AD609)&amp;"")</f>
        <v/>
      </c>
      <c r="D609">
        <f>IF($AD609="","",INDEX('Per Line'!$C$2:$C$3001,$AD609)&amp;"")</f>
        <v/>
      </c>
      <c r="E609">
        <f>IF($AD609="","",INDEX('Per Line'!$B$2:$B$3001,$AD609))</f>
        <v/>
      </c>
      <c r="F609">
        <f>IF($AD609="","",INDEX('Per Line'!$D$2:$D$3001,$AD609)&amp;"")</f>
        <v/>
      </c>
      <c r="G609" s="11">
        <f>IF($AD609="","",INDEX('Per Line'!$G$2:$G$3001,$AD609))</f>
        <v/>
      </c>
      <c r="H609">
        <f>IF($AD609="","",INDEX('Per Line'!$J$2:$J$3001,$AD609)&amp;"")</f>
        <v/>
      </c>
      <c r="I609">
        <f>IF($AD609="","",INDEX('Per Line'!$H$2:$H$3001,$AD609)&amp;"")</f>
        <v/>
      </c>
      <c r="J609">
        <f>IF($AD609="","",INDEX('Per Line'!$F$2:$F$3001,$AD609)&amp;"")</f>
        <v/>
      </c>
      <c r="K609">
        <f>IF($AD609="","",INDEX('Per Line'!$K$2:$K$3001,$AD609)&amp;"")</f>
        <v/>
      </c>
      <c r="L609">
        <f>IF($AD609="","",INDEX('Per Line'!$L$2:$L$3001,$AD609)&amp;"")</f>
        <v/>
      </c>
      <c r="M609">
        <f>IF($AD609="","",INDEX('Per Line'!$M$2:$M$3001,$AD609)&amp;"")</f>
        <v/>
      </c>
      <c r="N609">
        <f>IF($AD609="","",INDEX('Per Line'!$AC$2:$AC$3001,$AD609)&amp;"")</f>
        <v/>
      </c>
      <c r="O609">
        <f>IF($AD609="","",INDEX('Per Line'!$P$2:$P$3001,$AD609))</f>
        <v/>
      </c>
      <c r="P609" s="7">
        <f>IF($AD609="","",IF(AND(ISNUMBER(Q609),Q609&gt;0,AB609&gt;Q609),O609*Q609/100+(AB609-Q609),O609*AB609/100))</f>
        <v/>
      </c>
      <c r="Q609">
        <f>IF($AD609="","",INDEX('Per Line'!$AG$2:$AG$3001,$AD609))</f>
        <v/>
      </c>
      <c r="R609">
        <f>IF($AD609="","",IF(AND(ISNUMBER(Q609),Q609&gt;0),AB609&gt;Q609,FALSE))</f>
        <v/>
      </c>
      <c r="S609" s="7">
        <f>IF($AD609="","",SUMIFS('Per Line'!$AB$2:$AB$3001,'Per Line'!$E$2:$E$3001,$B609,'Per Line'!$AQ$2:$AQ$3001,1))</f>
        <v/>
      </c>
      <c r="T609">
        <f>IF($AD609="","",Settings!$C$7)</f>
        <v/>
      </c>
      <c r="U609" s="7">
        <f>IF($AD609="","",SUMIFS('Per Line'!$AB$2:$AB$3001,'Per Line'!$E$2:$E$3001,$B609,'Per Line'!$AP$2:$AP$3001,0,'Per Line'!$AQ$2:$AQ$3001,0))</f>
        <v/>
      </c>
      <c r="V609" s="7">
        <f>IF($AD609="","",U609*T609)</f>
        <v/>
      </c>
      <c r="W609">
        <f>IF($AD609="","",Settings!$C$6)</f>
        <v/>
      </c>
      <c r="X609" s="7">
        <f>IF($AD609="","",SUMIFS('Per Line'!$AB$2:$AB$3001,'Per Line'!$E$2:$E$3001,$B609,'Per Line'!$AP$2:$AP$3001,1,'Per Line'!$AQ$2:$AQ$3001,0))</f>
        <v/>
      </c>
      <c r="Y609" s="7">
        <f>IF($AD609="","",X609*W609)</f>
        <v/>
      </c>
      <c r="Z609" s="7">
        <f>IF($AD609="","",Y609+V609)</f>
        <v/>
      </c>
      <c r="AA609" s="7">
        <f>IF($AD609="","",AB609-Z609)</f>
        <v/>
      </c>
      <c r="AB609" s="7">
        <f>IF($AD609="","",U609+X609+S609)</f>
        <v/>
      </c>
      <c r="AC609" s="7">
        <f>IF($AD609="","",AB609-Z609-P609)</f>
        <v/>
      </c>
      <c r="AD609" s="13">
        <f>IF(ROWS($AD$2:$AD609)&lt;=MAX('Per Line'!$AO$2:$AO$3001),MATCH(ROWS($AD$2:$AD609),'Per Line'!$AO$2:$AO$3001,0),"")</f>
        <v/>
      </c>
      <c r="AE609" s="14">
        <f>IF($AD609="","",P609-O609*AB609/100)</f>
        <v/>
      </c>
    </row>
    <row r="610">
      <c r="A610" s="12" t="n"/>
      <c r="B610">
        <f>IF($AD610="","",INDEX('Per Line'!$E$2:$E$3001,$AD610)&amp;"")</f>
        <v/>
      </c>
      <c r="C610">
        <f>IF($AD610="","",INDEX('Per Line'!$A$2:$A$3001,$AD610)&amp;"")</f>
        <v/>
      </c>
      <c r="D610">
        <f>IF($AD610="","",INDEX('Per Line'!$C$2:$C$3001,$AD610)&amp;"")</f>
        <v/>
      </c>
      <c r="E610">
        <f>IF($AD610="","",INDEX('Per Line'!$B$2:$B$3001,$AD610))</f>
        <v/>
      </c>
      <c r="F610">
        <f>IF($AD610="","",INDEX('Per Line'!$D$2:$D$3001,$AD610)&amp;"")</f>
        <v/>
      </c>
      <c r="G610" s="11">
        <f>IF($AD610="","",INDEX('Per Line'!$G$2:$G$3001,$AD610))</f>
        <v/>
      </c>
      <c r="H610">
        <f>IF($AD610="","",INDEX('Per Line'!$J$2:$J$3001,$AD610)&amp;"")</f>
        <v/>
      </c>
      <c r="I610">
        <f>IF($AD610="","",INDEX('Per Line'!$H$2:$H$3001,$AD610)&amp;"")</f>
        <v/>
      </c>
      <c r="J610">
        <f>IF($AD610="","",INDEX('Per Line'!$F$2:$F$3001,$AD610)&amp;"")</f>
        <v/>
      </c>
      <c r="K610">
        <f>IF($AD610="","",INDEX('Per Line'!$K$2:$K$3001,$AD610)&amp;"")</f>
        <v/>
      </c>
      <c r="L610">
        <f>IF($AD610="","",INDEX('Per Line'!$L$2:$L$3001,$AD610)&amp;"")</f>
        <v/>
      </c>
      <c r="M610">
        <f>IF($AD610="","",INDEX('Per Line'!$M$2:$M$3001,$AD610)&amp;"")</f>
        <v/>
      </c>
      <c r="N610">
        <f>IF($AD610="","",INDEX('Per Line'!$AC$2:$AC$3001,$AD610)&amp;"")</f>
        <v/>
      </c>
      <c r="O610">
        <f>IF($AD610="","",INDEX('Per Line'!$P$2:$P$3001,$AD610))</f>
        <v/>
      </c>
      <c r="P610" s="7">
        <f>IF($AD610="","",IF(AND(ISNUMBER(Q610),Q610&gt;0,AB610&gt;Q610),O610*Q610/100+(AB610-Q610),O610*AB610/100))</f>
        <v/>
      </c>
      <c r="Q610">
        <f>IF($AD610="","",INDEX('Per Line'!$AG$2:$AG$3001,$AD610))</f>
        <v/>
      </c>
      <c r="R610">
        <f>IF($AD610="","",IF(AND(ISNUMBER(Q610),Q610&gt;0),AB610&gt;Q610,FALSE))</f>
        <v/>
      </c>
      <c r="S610" s="7">
        <f>IF($AD610="","",SUMIFS('Per Line'!$AB$2:$AB$3001,'Per Line'!$E$2:$E$3001,$B610,'Per Line'!$AQ$2:$AQ$3001,1))</f>
        <v/>
      </c>
      <c r="T610">
        <f>IF($AD610="","",Settings!$C$7)</f>
        <v/>
      </c>
      <c r="U610" s="7">
        <f>IF($AD610="","",SUMIFS('Per Line'!$AB$2:$AB$3001,'Per Line'!$E$2:$E$3001,$B610,'Per Line'!$AP$2:$AP$3001,0,'Per Line'!$AQ$2:$AQ$3001,0))</f>
        <v/>
      </c>
      <c r="V610" s="7">
        <f>IF($AD610="","",U610*T610)</f>
        <v/>
      </c>
      <c r="W610">
        <f>IF($AD610="","",Settings!$C$6)</f>
        <v/>
      </c>
      <c r="X610" s="7">
        <f>IF($AD610="","",SUMIFS('Per Line'!$AB$2:$AB$3001,'Per Line'!$E$2:$E$3001,$B610,'Per Line'!$AP$2:$AP$3001,1,'Per Line'!$AQ$2:$AQ$3001,0))</f>
        <v/>
      </c>
      <c r="Y610" s="7">
        <f>IF($AD610="","",X610*W610)</f>
        <v/>
      </c>
      <c r="Z610" s="7">
        <f>IF($AD610="","",Y610+V610)</f>
        <v/>
      </c>
      <c r="AA610" s="7">
        <f>IF($AD610="","",AB610-Z610)</f>
        <v/>
      </c>
      <c r="AB610" s="7">
        <f>IF($AD610="","",U610+X610+S610)</f>
        <v/>
      </c>
      <c r="AC610" s="7">
        <f>IF($AD610="","",AB610-Z610-P610)</f>
        <v/>
      </c>
      <c r="AD610" s="13">
        <f>IF(ROWS($AD$2:$AD610)&lt;=MAX('Per Line'!$AO$2:$AO$3001),MATCH(ROWS($AD$2:$AD610),'Per Line'!$AO$2:$AO$3001,0),"")</f>
        <v/>
      </c>
      <c r="AE610" s="14">
        <f>IF($AD610="","",P610-O610*AB610/100)</f>
        <v/>
      </c>
    </row>
    <row r="611">
      <c r="A611" s="12" t="n"/>
      <c r="B611">
        <f>IF($AD611="","",INDEX('Per Line'!$E$2:$E$3001,$AD611)&amp;"")</f>
        <v/>
      </c>
      <c r="C611">
        <f>IF($AD611="","",INDEX('Per Line'!$A$2:$A$3001,$AD611)&amp;"")</f>
        <v/>
      </c>
      <c r="D611">
        <f>IF($AD611="","",INDEX('Per Line'!$C$2:$C$3001,$AD611)&amp;"")</f>
        <v/>
      </c>
      <c r="E611">
        <f>IF($AD611="","",INDEX('Per Line'!$B$2:$B$3001,$AD611))</f>
        <v/>
      </c>
      <c r="F611">
        <f>IF($AD611="","",INDEX('Per Line'!$D$2:$D$3001,$AD611)&amp;"")</f>
        <v/>
      </c>
      <c r="G611" s="11">
        <f>IF($AD611="","",INDEX('Per Line'!$G$2:$G$3001,$AD611))</f>
        <v/>
      </c>
      <c r="H611">
        <f>IF($AD611="","",INDEX('Per Line'!$J$2:$J$3001,$AD611)&amp;"")</f>
        <v/>
      </c>
      <c r="I611">
        <f>IF($AD611="","",INDEX('Per Line'!$H$2:$H$3001,$AD611)&amp;"")</f>
        <v/>
      </c>
      <c r="J611">
        <f>IF($AD611="","",INDEX('Per Line'!$F$2:$F$3001,$AD611)&amp;"")</f>
        <v/>
      </c>
      <c r="K611">
        <f>IF($AD611="","",INDEX('Per Line'!$K$2:$K$3001,$AD611)&amp;"")</f>
        <v/>
      </c>
      <c r="L611">
        <f>IF($AD611="","",INDEX('Per Line'!$L$2:$L$3001,$AD611)&amp;"")</f>
        <v/>
      </c>
      <c r="M611">
        <f>IF($AD611="","",INDEX('Per Line'!$M$2:$M$3001,$AD611)&amp;"")</f>
        <v/>
      </c>
      <c r="N611">
        <f>IF($AD611="","",INDEX('Per Line'!$AC$2:$AC$3001,$AD611)&amp;"")</f>
        <v/>
      </c>
      <c r="O611">
        <f>IF($AD611="","",INDEX('Per Line'!$P$2:$P$3001,$AD611))</f>
        <v/>
      </c>
      <c r="P611" s="7">
        <f>IF($AD611="","",IF(AND(ISNUMBER(Q611),Q611&gt;0,AB611&gt;Q611),O611*Q611/100+(AB611-Q611),O611*AB611/100))</f>
        <v/>
      </c>
      <c r="Q611">
        <f>IF($AD611="","",INDEX('Per Line'!$AG$2:$AG$3001,$AD611))</f>
        <v/>
      </c>
      <c r="R611">
        <f>IF($AD611="","",IF(AND(ISNUMBER(Q611),Q611&gt;0),AB611&gt;Q611,FALSE))</f>
        <v/>
      </c>
      <c r="S611" s="7">
        <f>IF($AD611="","",SUMIFS('Per Line'!$AB$2:$AB$3001,'Per Line'!$E$2:$E$3001,$B611,'Per Line'!$AQ$2:$AQ$3001,1))</f>
        <v/>
      </c>
      <c r="T611">
        <f>IF($AD611="","",Settings!$C$7)</f>
        <v/>
      </c>
      <c r="U611" s="7">
        <f>IF($AD611="","",SUMIFS('Per Line'!$AB$2:$AB$3001,'Per Line'!$E$2:$E$3001,$B611,'Per Line'!$AP$2:$AP$3001,0,'Per Line'!$AQ$2:$AQ$3001,0))</f>
        <v/>
      </c>
      <c r="V611" s="7">
        <f>IF($AD611="","",U611*T611)</f>
        <v/>
      </c>
      <c r="W611">
        <f>IF($AD611="","",Settings!$C$6)</f>
        <v/>
      </c>
      <c r="X611" s="7">
        <f>IF($AD611="","",SUMIFS('Per Line'!$AB$2:$AB$3001,'Per Line'!$E$2:$E$3001,$B611,'Per Line'!$AP$2:$AP$3001,1,'Per Line'!$AQ$2:$AQ$3001,0))</f>
        <v/>
      </c>
      <c r="Y611" s="7">
        <f>IF($AD611="","",X611*W611)</f>
        <v/>
      </c>
      <c r="Z611" s="7">
        <f>IF($AD611="","",Y611+V611)</f>
        <v/>
      </c>
      <c r="AA611" s="7">
        <f>IF($AD611="","",AB611-Z611)</f>
        <v/>
      </c>
      <c r="AB611" s="7">
        <f>IF($AD611="","",U611+X611+S611)</f>
        <v/>
      </c>
      <c r="AC611" s="7">
        <f>IF($AD611="","",AB611-Z611-P611)</f>
        <v/>
      </c>
      <c r="AD611" s="13">
        <f>IF(ROWS($AD$2:$AD611)&lt;=MAX('Per Line'!$AO$2:$AO$3001),MATCH(ROWS($AD$2:$AD611),'Per Line'!$AO$2:$AO$3001,0),"")</f>
        <v/>
      </c>
      <c r="AE611" s="14">
        <f>IF($AD611="","",P611-O611*AB611/100)</f>
        <v/>
      </c>
    </row>
    <row r="612">
      <c r="A612" s="12" t="n"/>
      <c r="B612">
        <f>IF($AD612="","",INDEX('Per Line'!$E$2:$E$3001,$AD612)&amp;"")</f>
        <v/>
      </c>
      <c r="C612">
        <f>IF($AD612="","",INDEX('Per Line'!$A$2:$A$3001,$AD612)&amp;"")</f>
        <v/>
      </c>
      <c r="D612">
        <f>IF($AD612="","",INDEX('Per Line'!$C$2:$C$3001,$AD612)&amp;"")</f>
        <v/>
      </c>
      <c r="E612">
        <f>IF($AD612="","",INDEX('Per Line'!$B$2:$B$3001,$AD612))</f>
        <v/>
      </c>
      <c r="F612">
        <f>IF($AD612="","",INDEX('Per Line'!$D$2:$D$3001,$AD612)&amp;"")</f>
        <v/>
      </c>
      <c r="G612" s="11">
        <f>IF($AD612="","",INDEX('Per Line'!$G$2:$G$3001,$AD612))</f>
        <v/>
      </c>
      <c r="H612">
        <f>IF($AD612="","",INDEX('Per Line'!$J$2:$J$3001,$AD612)&amp;"")</f>
        <v/>
      </c>
      <c r="I612">
        <f>IF($AD612="","",INDEX('Per Line'!$H$2:$H$3001,$AD612)&amp;"")</f>
        <v/>
      </c>
      <c r="J612">
        <f>IF($AD612="","",INDEX('Per Line'!$F$2:$F$3001,$AD612)&amp;"")</f>
        <v/>
      </c>
      <c r="K612">
        <f>IF($AD612="","",INDEX('Per Line'!$K$2:$K$3001,$AD612)&amp;"")</f>
        <v/>
      </c>
      <c r="L612">
        <f>IF($AD612="","",INDEX('Per Line'!$L$2:$L$3001,$AD612)&amp;"")</f>
        <v/>
      </c>
      <c r="M612">
        <f>IF($AD612="","",INDEX('Per Line'!$M$2:$M$3001,$AD612)&amp;"")</f>
        <v/>
      </c>
      <c r="N612">
        <f>IF($AD612="","",INDEX('Per Line'!$AC$2:$AC$3001,$AD612)&amp;"")</f>
        <v/>
      </c>
      <c r="O612">
        <f>IF($AD612="","",INDEX('Per Line'!$P$2:$P$3001,$AD612))</f>
        <v/>
      </c>
      <c r="P612" s="7">
        <f>IF($AD612="","",IF(AND(ISNUMBER(Q612),Q612&gt;0,AB612&gt;Q612),O612*Q612/100+(AB612-Q612),O612*AB612/100))</f>
        <v/>
      </c>
      <c r="Q612">
        <f>IF($AD612="","",INDEX('Per Line'!$AG$2:$AG$3001,$AD612))</f>
        <v/>
      </c>
      <c r="R612">
        <f>IF($AD612="","",IF(AND(ISNUMBER(Q612),Q612&gt;0),AB612&gt;Q612,FALSE))</f>
        <v/>
      </c>
      <c r="S612" s="7">
        <f>IF($AD612="","",SUMIFS('Per Line'!$AB$2:$AB$3001,'Per Line'!$E$2:$E$3001,$B612,'Per Line'!$AQ$2:$AQ$3001,1))</f>
        <v/>
      </c>
      <c r="T612">
        <f>IF($AD612="","",Settings!$C$7)</f>
        <v/>
      </c>
      <c r="U612" s="7">
        <f>IF($AD612="","",SUMIFS('Per Line'!$AB$2:$AB$3001,'Per Line'!$E$2:$E$3001,$B612,'Per Line'!$AP$2:$AP$3001,0,'Per Line'!$AQ$2:$AQ$3001,0))</f>
        <v/>
      </c>
      <c r="V612" s="7">
        <f>IF($AD612="","",U612*T612)</f>
        <v/>
      </c>
      <c r="W612">
        <f>IF($AD612="","",Settings!$C$6)</f>
        <v/>
      </c>
      <c r="X612" s="7">
        <f>IF($AD612="","",SUMIFS('Per Line'!$AB$2:$AB$3001,'Per Line'!$E$2:$E$3001,$B612,'Per Line'!$AP$2:$AP$3001,1,'Per Line'!$AQ$2:$AQ$3001,0))</f>
        <v/>
      </c>
      <c r="Y612" s="7">
        <f>IF($AD612="","",X612*W612)</f>
        <v/>
      </c>
      <c r="Z612" s="7">
        <f>IF($AD612="","",Y612+V612)</f>
        <v/>
      </c>
      <c r="AA612" s="7">
        <f>IF($AD612="","",AB612-Z612)</f>
        <v/>
      </c>
      <c r="AB612" s="7">
        <f>IF($AD612="","",U612+X612+S612)</f>
        <v/>
      </c>
      <c r="AC612" s="7">
        <f>IF($AD612="","",AB612-Z612-P612)</f>
        <v/>
      </c>
      <c r="AD612" s="13">
        <f>IF(ROWS($AD$2:$AD612)&lt;=MAX('Per Line'!$AO$2:$AO$3001),MATCH(ROWS($AD$2:$AD612),'Per Line'!$AO$2:$AO$3001,0),"")</f>
        <v/>
      </c>
      <c r="AE612" s="14">
        <f>IF($AD612="","",P612-O612*AB612/100)</f>
        <v/>
      </c>
    </row>
    <row r="613">
      <c r="A613" s="12" t="n"/>
      <c r="B613">
        <f>IF($AD613="","",INDEX('Per Line'!$E$2:$E$3001,$AD613)&amp;"")</f>
        <v/>
      </c>
      <c r="C613">
        <f>IF($AD613="","",INDEX('Per Line'!$A$2:$A$3001,$AD613)&amp;"")</f>
        <v/>
      </c>
      <c r="D613">
        <f>IF($AD613="","",INDEX('Per Line'!$C$2:$C$3001,$AD613)&amp;"")</f>
        <v/>
      </c>
      <c r="E613">
        <f>IF($AD613="","",INDEX('Per Line'!$B$2:$B$3001,$AD613))</f>
        <v/>
      </c>
      <c r="F613">
        <f>IF($AD613="","",INDEX('Per Line'!$D$2:$D$3001,$AD613)&amp;"")</f>
        <v/>
      </c>
      <c r="G613" s="11">
        <f>IF($AD613="","",INDEX('Per Line'!$G$2:$G$3001,$AD613))</f>
        <v/>
      </c>
      <c r="H613">
        <f>IF($AD613="","",INDEX('Per Line'!$J$2:$J$3001,$AD613)&amp;"")</f>
        <v/>
      </c>
      <c r="I613">
        <f>IF($AD613="","",INDEX('Per Line'!$H$2:$H$3001,$AD613)&amp;"")</f>
        <v/>
      </c>
      <c r="J613">
        <f>IF($AD613="","",INDEX('Per Line'!$F$2:$F$3001,$AD613)&amp;"")</f>
        <v/>
      </c>
      <c r="K613">
        <f>IF($AD613="","",INDEX('Per Line'!$K$2:$K$3001,$AD613)&amp;"")</f>
        <v/>
      </c>
      <c r="L613">
        <f>IF($AD613="","",INDEX('Per Line'!$L$2:$L$3001,$AD613)&amp;"")</f>
        <v/>
      </c>
      <c r="M613">
        <f>IF($AD613="","",INDEX('Per Line'!$M$2:$M$3001,$AD613)&amp;"")</f>
        <v/>
      </c>
      <c r="N613">
        <f>IF($AD613="","",INDEX('Per Line'!$AC$2:$AC$3001,$AD613)&amp;"")</f>
        <v/>
      </c>
      <c r="O613">
        <f>IF($AD613="","",INDEX('Per Line'!$P$2:$P$3001,$AD613))</f>
        <v/>
      </c>
      <c r="P613" s="7">
        <f>IF($AD613="","",IF(AND(ISNUMBER(Q613),Q613&gt;0,AB613&gt;Q613),O613*Q613/100+(AB613-Q613),O613*AB613/100))</f>
        <v/>
      </c>
      <c r="Q613">
        <f>IF($AD613="","",INDEX('Per Line'!$AG$2:$AG$3001,$AD613))</f>
        <v/>
      </c>
      <c r="R613">
        <f>IF($AD613="","",IF(AND(ISNUMBER(Q613),Q613&gt;0),AB613&gt;Q613,FALSE))</f>
        <v/>
      </c>
      <c r="S613" s="7">
        <f>IF($AD613="","",SUMIFS('Per Line'!$AB$2:$AB$3001,'Per Line'!$E$2:$E$3001,$B613,'Per Line'!$AQ$2:$AQ$3001,1))</f>
        <v/>
      </c>
      <c r="T613">
        <f>IF($AD613="","",Settings!$C$7)</f>
        <v/>
      </c>
      <c r="U613" s="7">
        <f>IF($AD613="","",SUMIFS('Per Line'!$AB$2:$AB$3001,'Per Line'!$E$2:$E$3001,$B613,'Per Line'!$AP$2:$AP$3001,0,'Per Line'!$AQ$2:$AQ$3001,0))</f>
        <v/>
      </c>
      <c r="V613" s="7">
        <f>IF($AD613="","",U613*T613)</f>
        <v/>
      </c>
      <c r="W613">
        <f>IF($AD613="","",Settings!$C$6)</f>
        <v/>
      </c>
      <c r="X613" s="7">
        <f>IF($AD613="","",SUMIFS('Per Line'!$AB$2:$AB$3001,'Per Line'!$E$2:$E$3001,$B613,'Per Line'!$AP$2:$AP$3001,1,'Per Line'!$AQ$2:$AQ$3001,0))</f>
        <v/>
      </c>
      <c r="Y613" s="7">
        <f>IF($AD613="","",X613*W613)</f>
        <v/>
      </c>
      <c r="Z613" s="7">
        <f>IF($AD613="","",Y613+V613)</f>
        <v/>
      </c>
      <c r="AA613" s="7">
        <f>IF($AD613="","",AB613-Z613)</f>
        <v/>
      </c>
      <c r="AB613" s="7">
        <f>IF($AD613="","",U613+X613+S613)</f>
        <v/>
      </c>
      <c r="AC613" s="7">
        <f>IF($AD613="","",AB613-Z613-P613)</f>
        <v/>
      </c>
      <c r="AD613" s="13">
        <f>IF(ROWS($AD$2:$AD613)&lt;=MAX('Per Line'!$AO$2:$AO$3001),MATCH(ROWS($AD$2:$AD613),'Per Line'!$AO$2:$AO$3001,0),"")</f>
        <v/>
      </c>
      <c r="AE613" s="14">
        <f>IF($AD613="","",P613-O613*AB613/100)</f>
        <v/>
      </c>
    </row>
    <row r="614">
      <c r="A614" s="12" t="n"/>
      <c r="B614">
        <f>IF($AD614="","",INDEX('Per Line'!$E$2:$E$3001,$AD614)&amp;"")</f>
        <v/>
      </c>
      <c r="C614">
        <f>IF($AD614="","",INDEX('Per Line'!$A$2:$A$3001,$AD614)&amp;"")</f>
        <v/>
      </c>
      <c r="D614">
        <f>IF($AD614="","",INDEX('Per Line'!$C$2:$C$3001,$AD614)&amp;"")</f>
        <v/>
      </c>
      <c r="E614">
        <f>IF($AD614="","",INDEX('Per Line'!$B$2:$B$3001,$AD614))</f>
        <v/>
      </c>
      <c r="F614">
        <f>IF($AD614="","",INDEX('Per Line'!$D$2:$D$3001,$AD614)&amp;"")</f>
        <v/>
      </c>
      <c r="G614" s="11">
        <f>IF($AD614="","",INDEX('Per Line'!$G$2:$G$3001,$AD614))</f>
        <v/>
      </c>
      <c r="H614">
        <f>IF($AD614="","",INDEX('Per Line'!$J$2:$J$3001,$AD614)&amp;"")</f>
        <v/>
      </c>
      <c r="I614">
        <f>IF($AD614="","",INDEX('Per Line'!$H$2:$H$3001,$AD614)&amp;"")</f>
        <v/>
      </c>
      <c r="J614">
        <f>IF($AD614="","",INDEX('Per Line'!$F$2:$F$3001,$AD614)&amp;"")</f>
        <v/>
      </c>
      <c r="K614">
        <f>IF($AD614="","",INDEX('Per Line'!$K$2:$K$3001,$AD614)&amp;"")</f>
        <v/>
      </c>
      <c r="L614">
        <f>IF($AD614="","",INDEX('Per Line'!$L$2:$L$3001,$AD614)&amp;"")</f>
        <v/>
      </c>
      <c r="M614">
        <f>IF($AD614="","",INDEX('Per Line'!$M$2:$M$3001,$AD614)&amp;"")</f>
        <v/>
      </c>
      <c r="N614">
        <f>IF($AD614="","",INDEX('Per Line'!$AC$2:$AC$3001,$AD614)&amp;"")</f>
        <v/>
      </c>
      <c r="O614">
        <f>IF($AD614="","",INDEX('Per Line'!$P$2:$P$3001,$AD614))</f>
        <v/>
      </c>
      <c r="P614" s="7">
        <f>IF($AD614="","",IF(AND(ISNUMBER(Q614),Q614&gt;0,AB614&gt;Q614),O614*Q614/100+(AB614-Q614),O614*AB614/100))</f>
        <v/>
      </c>
      <c r="Q614">
        <f>IF($AD614="","",INDEX('Per Line'!$AG$2:$AG$3001,$AD614))</f>
        <v/>
      </c>
      <c r="R614">
        <f>IF($AD614="","",IF(AND(ISNUMBER(Q614),Q614&gt;0),AB614&gt;Q614,FALSE))</f>
        <v/>
      </c>
      <c r="S614" s="7">
        <f>IF($AD614="","",SUMIFS('Per Line'!$AB$2:$AB$3001,'Per Line'!$E$2:$E$3001,$B614,'Per Line'!$AQ$2:$AQ$3001,1))</f>
        <v/>
      </c>
      <c r="T614">
        <f>IF($AD614="","",Settings!$C$7)</f>
        <v/>
      </c>
      <c r="U614" s="7">
        <f>IF($AD614="","",SUMIFS('Per Line'!$AB$2:$AB$3001,'Per Line'!$E$2:$E$3001,$B614,'Per Line'!$AP$2:$AP$3001,0,'Per Line'!$AQ$2:$AQ$3001,0))</f>
        <v/>
      </c>
      <c r="V614" s="7">
        <f>IF($AD614="","",U614*T614)</f>
        <v/>
      </c>
      <c r="W614">
        <f>IF($AD614="","",Settings!$C$6)</f>
        <v/>
      </c>
      <c r="X614" s="7">
        <f>IF($AD614="","",SUMIFS('Per Line'!$AB$2:$AB$3001,'Per Line'!$E$2:$E$3001,$B614,'Per Line'!$AP$2:$AP$3001,1,'Per Line'!$AQ$2:$AQ$3001,0))</f>
        <v/>
      </c>
      <c r="Y614" s="7">
        <f>IF($AD614="","",X614*W614)</f>
        <v/>
      </c>
      <c r="Z614" s="7">
        <f>IF($AD614="","",Y614+V614)</f>
        <v/>
      </c>
      <c r="AA614" s="7">
        <f>IF($AD614="","",AB614-Z614)</f>
        <v/>
      </c>
      <c r="AB614" s="7">
        <f>IF($AD614="","",U614+X614+S614)</f>
        <v/>
      </c>
      <c r="AC614" s="7">
        <f>IF($AD614="","",AB614-Z614-P614)</f>
        <v/>
      </c>
      <c r="AD614" s="13">
        <f>IF(ROWS($AD$2:$AD614)&lt;=MAX('Per Line'!$AO$2:$AO$3001),MATCH(ROWS($AD$2:$AD614),'Per Line'!$AO$2:$AO$3001,0),"")</f>
        <v/>
      </c>
      <c r="AE614" s="14">
        <f>IF($AD614="","",P614-O614*AB614/100)</f>
        <v/>
      </c>
    </row>
    <row r="615">
      <c r="A615" s="12" t="n"/>
      <c r="B615">
        <f>IF($AD615="","",INDEX('Per Line'!$E$2:$E$3001,$AD615)&amp;"")</f>
        <v/>
      </c>
      <c r="C615">
        <f>IF($AD615="","",INDEX('Per Line'!$A$2:$A$3001,$AD615)&amp;"")</f>
        <v/>
      </c>
      <c r="D615">
        <f>IF($AD615="","",INDEX('Per Line'!$C$2:$C$3001,$AD615)&amp;"")</f>
        <v/>
      </c>
      <c r="E615">
        <f>IF($AD615="","",INDEX('Per Line'!$B$2:$B$3001,$AD615))</f>
        <v/>
      </c>
      <c r="F615">
        <f>IF($AD615="","",INDEX('Per Line'!$D$2:$D$3001,$AD615)&amp;"")</f>
        <v/>
      </c>
      <c r="G615" s="11">
        <f>IF($AD615="","",INDEX('Per Line'!$G$2:$G$3001,$AD615))</f>
        <v/>
      </c>
      <c r="H615">
        <f>IF($AD615="","",INDEX('Per Line'!$J$2:$J$3001,$AD615)&amp;"")</f>
        <v/>
      </c>
      <c r="I615">
        <f>IF($AD615="","",INDEX('Per Line'!$H$2:$H$3001,$AD615)&amp;"")</f>
        <v/>
      </c>
      <c r="J615">
        <f>IF($AD615="","",INDEX('Per Line'!$F$2:$F$3001,$AD615)&amp;"")</f>
        <v/>
      </c>
      <c r="K615">
        <f>IF($AD615="","",INDEX('Per Line'!$K$2:$K$3001,$AD615)&amp;"")</f>
        <v/>
      </c>
      <c r="L615">
        <f>IF($AD615="","",INDEX('Per Line'!$L$2:$L$3001,$AD615)&amp;"")</f>
        <v/>
      </c>
      <c r="M615">
        <f>IF($AD615="","",INDEX('Per Line'!$M$2:$M$3001,$AD615)&amp;"")</f>
        <v/>
      </c>
      <c r="N615">
        <f>IF($AD615="","",INDEX('Per Line'!$AC$2:$AC$3001,$AD615)&amp;"")</f>
        <v/>
      </c>
      <c r="O615">
        <f>IF($AD615="","",INDEX('Per Line'!$P$2:$P$3001,$AD615))</f>
        <v/>
      </c>
      <c r="P615" s="7">
        <f>IF($AD615="","",IF(AND(ISNUMBER(Q615),Q615&gt;0,AB615&gt;Q615),O615*Q615/100+(AB615-Q615),O615*AB615/100))</f>
        <v/>
      </c>
      <c r="Q615">
        <f>IF($AD615="","",INDEX('Per Line'!$AG$2:$AG$3001,$AD615))</f>
        <v/>
      </c>
      <c r="R615">
        <f>IF($AD615="","",IF(AND(ISNUMBER(Q615),Q615&gt;0),AB615&gt;Q615,FALSE))</f>
        <v/>
      </c>
      <c r="S615" s="7">
        <f>IF($AD615="","",SUMIFS('Per Line'!$AB$2:$AB$3001,'Per Line'!$E$2:$E$3001,$B615,'Per Line'!$AQ$2:$AQ$3001,1))</f>
        <v/>
      </c>
      <c r="T615">
        <f>IF($AD615="","",Settings!$C$7)</f>
        <v/>
      </c>
      <c r="U615" s="7">
        <f>IF($AD615="","",SUMIFS('Per Line'!$AB$2:$AB$3001,'Per Line'!$E$2:$E$3001,$B615,'Per Line'!$AP$2:$AP$3001,0,'Per Line'!$AQ$2:$AQ$3001,0))</f>
        <v/>
      </c>
      <c r="V615" s="7">
        <f>IF($AD615="","",U615*T615)</f>
        <v/>
      </c>
      <c r="W615">
        <f>IF($AD615="","",Settings!$C$6)</f>
        <v/>
      </c>
      <c r="X615" s="7">
        <f>IF($AD615="","",SUMIFS('Per Line'!$AB$2:$AB$3001,'Per Line'!$E$2:$E$3001,$B615,'Per Line'!$AP$2:$AP$3001,1,'Per Line'!$AQ$2:$AQ$3001,0))</f>
        <v/>
      </c>
      <c r="Y615" s="7">
        <f>IF($AD615="","",X615*W615)</f>
        <v/>
      </c>
      <c r="Z615" s="7">
        <f>IF($AD615="","",Y615+V615)</f>
        <v/>
      </c>
      <c r="AA615" s="7">
        <f>IF($AD615="","",AB615-Z615)</f>
        <v/>
      </c>
      <c r="AB615" s="7">
        <f>IF($AD615="","",U615+X615+S615)</f>
        <v/>
      </c>
      <c r="AC615" s="7">
        <f>IF($AD615="","",AB615-Z615-P615)</f>
        <v/>
      </c>
      <c r="AD615" s="13">
        <f>IF(ROWS($AD$2:$AD615)&lt;=MAX('Per Line'!$AO$2:$AO$3001),MATCH(ROWS($AD$2:$AD615),'Per Line'!$AO$2:$AO$3001,0),"")</f>
        <v/>
      </c>
      <c r="AE615" s="14">
        <f>IF($AD615="","",P615-O615*AB615/100)</f>
        <v/>
      </c>
    </row>
    <row r="616">
      <c r="A616" s="12" t="n"/>
      <c r="B616">
        <f>IF($AD616="","",INDEX('Per Line'!$E$2:$E$3001,$AD616)&amp;"")</f>
        <v/>
      </c>
      <c r="C616">
        <f>IF($AD616="","",INDEX('Per Line'!$A$2:$A$3001,$AD616)&amp;"")</f>
        <v/>
      </c>
      <c r="D616">
        <f>IF($AD616="","",INDEX('Per Line'!$C$2:$C$3001,$AD616)&amp;"")</f>
        <v/>
      </c>
      <c r="E616">
        <f>IF($AD616="","",INDEX('Per Line'!$B$2:$B$3001,$AD616))</f>
        <v/>
      </c>
      <c r="F616">
        <f>IF($AD616="","",INDEX('Per Line'!$D$2:$D$3001,$AD616)&amp;"")</f>
        <v/>
      </c>
      <c r="G616" s="11">
        <f>IF($AD616="","",INDEX('Per Line'!$G$2:$G$3001,$AD616))</f>
        <v/>
      </c>
      <c r="H616">
        <f>IF($AD616="","",INDEX('Per Line'!$J$2:$J$3001,$AD616)&amp;"")</f>
        <v/>
      </c>
      <c r="I616">
        <f>IF($AD616="","",INDEX('Per Line'!$H$2:$H$3001,$AD616)&amp;"")</f>
        <v/>
      </c>
      <c r="J616">
        <f>IF($AD616="","",INDEX('Per Line'!$F$2:$F$3001,$AD616)&amp;"")</f>
        <v/>
      </c>
      <c r="K616">
        <f>IF($AD616="","",INDEX('Per Line'!$K$2:$K$3001,$AD616)&amp;"")</f>
        <v/>
      </c>
      <c r="L616">
        <f>IF($AD616="","",INDEX('Per Line'!$L$2:$L$3001,$AD616)&amp;"")</f>
        <v/>
      </c>
      <c r="M616">
        <f>IF($AD616="","",INDEX('Per Line'!$M$2:$M$3001,$AD616)&amp;"")</f>
        <v/>
      </c>
      <c r="N616">
        <f>IF($AD616="","",INDEX('Per Line'!$AC$2:$AC$3001,$AD616)&amp;"")</f>
        <v/>
      </c>
      <c r="O616">
        <f>IF($AD616="","",INDEX('Per Line'!$P$2:$P$3001,$AD616))</f>
        <v/>
      </c>
      <c r="P616" s="7">
        <f>IF($AD616="","",IF(AND(ISNUMBER(Q616),Q616&gt;0,AB616&gt;Q616),O616*Q616/100+(AB616-Q616),O616*AB616/100))</f>
        <v/>
      </c>
      <c r="Q616">
        <f>IF($AD616="","",INDEX('Per Line'!$AG$2:$AG$3001,$AD616))</f>
        <v/>
      </c>
      <c r="R616">
        <f>IF($AD616="","",IF(AND(ISNUMBER(Q616),Q616&gt;0),AB616&gt;Q616,FALSE))</f>
        <v/>
      </c>
      <c r="S616" s="7">
        <f>IF($AD616="","",SUMIFS('Per Line'!$AB$2:$AB$3001,'Per Line'!$E$2:$E$3001,$B616,'Per Line'!$AQ$2:$AQ$3001,1))</f>
        <v/>
      </c>
      <c r="T616">
        <f>IF($AD616="","",Settings!$C$7)</f>
        <v/>
      </c>
      <c r="U616" s="7">
        <f>IF($AD616="","",SUMIFS('Per Line'!$AB$2:$AB$3001,'Per Line'!$E$2:$E$3001,$B616,'Per Line'!$AP$2:$AP$3001,0,'Per Line'!$AQ$2:$AQ$3001,0))</f>
        <v/>
      </c>
      <c r="V616" s="7">
        <f>IF($AD616="","",U616*T616)</f>
        <v/>
      </c>
      <c r="W616">
        <f>IF($AD616="","",Settings!$C$6)</f>
        <v/>
      </c>
      <c r="X616" s="7">
        <f>IF($AD616="","",SUMIFS('Per Line'!$AB$2:$AB$3001,'Per Line'!$E$2:$E$3001,$B616,'Per Line'!$AP$2:$AP$3001,1,'Per Line'!$AQ$2:$AQ$3001,0))</f>
        <v/>
      </c>
      <c r="Y616" s="7">
        <f>IF($AD616="","",X616*W616)</f>
        <v/>
      </c>
      <c r="Z616" s="7">
        <f>IF($AD616="","",Y616+V616)</f>
        <v/>
      </c>
      <c r="AA616" s="7">
        <f>IF($AD616="","",AB616-Z616)</f>
        <v/>
      </c>
      <c r="AB616" s="7">
        <f>IF($AD616="","",U616+X616+S616)</f>
        <v/>
      </c>
      <c r="AC616" s="7">
        <f>IF($AD616="","",AB616-Z616-P616)</f>
        <v/>
      </c>
      <c r="AD616" s="13">
        <f>IF(ROWS($AD$2:$AD616)&lt;=MAX('Per Line'!$AO$2:$AO$3001),MATCH(ROWS($AD$2:$AD616),'Per Line'!$AO$2:$AO$3001,0),"")</f>
        <v/>
      </c>
      <c r="AE616" s="14">
        <f>IF($AD616="","",P616-O616*AB616/100)</f>
        <v/>
      </c>
    </row>
    <row r="617">
      <c r="A617" s="12" t="n"/>
      <c r="B617">
        <f>IF($AD617="","",INDEX('Per Line'!$E$2:$E$3001,$AD617)&amp;"")</f>
        <v/>
      </c>
      <c r="C617">
        <f>IF($AD617="","",INDEX('Per Line'!$A$2:$A$3001,$AD617)&amp;"")</f>
        <v/>
      </c>
      <c r="D617">
        <f>IF($AD617="","",INDEX('Per Line'!$C$2:$C$3001,$AD617)&amp;"")</f>
        <v/>
      </c>
      <c r="E617">
        <f>IF($AD617="","",INDEX('Per Line'!$B$2:$B$3001,$AD617))</f>
        <v/>
      </c>
      <c r="F617">
        <f>IF($AD617="","",INDEX('Per Line'!$D$2:$D$3001,$AD617)&amp;"")</f>
        <v/>
      </c>
      <c r="G617" s="11">
        <f>IF($AD617="","",INDEX('Per Line'!$G$2:$G$3001,$AD617))</f>
        <v/>
      </c>
      <c r="H617">
        <f>IF($AD617="","",INDEX('Per Line'!$J$2:$J$3001,$AD617)&amp;"")</f>
        <v/>
      </c>
      <c r="I617">
        <f>IF($AD617="","",INDEX('Per Line'!$H$2:$H$3001,$AD617)&amp;"")</f>
        <v/>
      </c>
      <c r="J617">
        <f>IF($AD617="","",INDEX('Per Line'!$F$2:$F$3001,$AD617)&amp;"")</f>
        <v/>
      </c>
      <c r="K617">
        <f>IF($AD617="","",INDEX('Per Line'!$K$2:$K$3001,$AD617)&amp;"")</f>
        <v/>
      </c>
      <c r="L617">
        <f>IF($AD617="","",INDEX('Per Line'!$L$2:$L$3001,$AD617)&amp;"")</f>
        <v/>
      </c>
      <c r="M617">
        <f>IF($AD617="","",INDEX('Per Line'!$M$2:$M$3001,$AD617)&amp;"")</f>
        <v/>
      </c>
      <c r="N617">
        <f>IF($AD617="","",INDEX('Per Line'!$AC$2:$AC$3001,$AD617)&amp;"")</f>
        <v/>
      </c>
      <c r="O617">
        <f>IF($AD617="","",INDEX('Per Line'!$P$2:$P$3001,$AD617))</f>
        <v/>
      </c>
      <c r="P617" s="7">
        <f>IF($AD617="","",IF(AND(ISNUMBER(Q617),Q617&gt;0,AB617&gt;Q617),O617*Q617/100+(AB617-Q617),O617*AB617/100))</f>
        <v/>
      </c>
      <c r="Q617">
        <f>IF($AD617="","",INDEX('Per Line'!$AG$2:$AG$3001,$AD617))</f>
        <v/>
      </c>
      <c r="R617">
        <f>IF($AD617="","",IF(AND(ISNUMBER(Q617),Q617&gt;0),AB617&gt;Q617,FALSE))</f>
        <v/>
      </c>
      <c r="S617" s="7">
        <f>IF($AD617="","",SUMIFS('Per Line'!$AB$2:$AB$3001,'Per Line'!$E$2:$E$3001,$B617,'Per Line'!$AQ$2:$AQ$3001,1))</f>
        <v/>
      </c>
      <c r="T617">
        <f>IF($AD617="","",Settings!$C$7)</f>
        <v/>
      </c>
      <c r="U617" s="7">
        <f>IF($AD617="","",SUMIFS('Per Line'!$AB$2:$AB$3001,'Per Line'!$E$2:$E$3001,$B617,'Per Line'!$AP$2:$AP$3001,0,'Per Line'!$AQ$2:$AQ$3001,0))</f>
        <v/>
      </c>
      <c r="V617" s="7">
        <f>IF($AD617="","",U617*T617)</f>
        <v/>
      </c>
      <c r="W617">
        <f>IF($AD617="","",Settings!$C$6)</f>
        <v/>
      </c>
      <c r="X617" s="7">
        <f>IF($AD617="","",SUMIFS('Per Line'!$AB$2:$AB$3001,'Per Line'!$E$2:$E$3001,$B617,'Per Line'!$AP$2:$AP$3001,1,'Per Line'!$AQ$2:$AQ$3001,0))</f>
        <v/>
      </c>
      <c r="Y617" s="7">
        <f>IF($AD617="","",X617*W617)</f>
        <v/>
      </c>
      <c r="Z617" s="7">
        <f>IF($AD617="","",Y617+V617)</f>
        <v/>
      </c>
      <c r="AA617" s="7">
        <f>IF($AD617="","",AB617-Z617)</f>
        <v/>
      </c>
      <c r="AB617" s="7">
        <f>IF($AD617="","",U617+X617+S617)</f>
        <v/>
      </c>
      <c r="AC617" s="7">
        <f>IF($AD617="","",AB617-Z617-P617)</f>
        <v/>
      </c>
      <c r="AD617" s="13">
        <f>IF(ROWS($AD$2:$AD617)&lt;=MAX('Per Line'!$AO$2:$AO$3001),MATCH(ROWS($AD$2:$AD617),'Per Line'!$AO$2:$AO$3001,0),"")</f>
        <v/>
      </c>
      <c r="AE617" s="14">
        <f>IF($AD617="","",P617-O617*AB617/100)</f>
        <v/>
      </c>
    </row>
    <row r="618">
      <c r="A618" s="12" t="n"/>
      <c r="B618">
        <f>IF($AD618="","",INDEX('Per Line'!$E$2:$E$3001,$AD618)&amp;"")</f>
        <v/>
      </c>
      <c r="C618">
        <f>IF($AD618="","",INDEX('Per Line'!$A$2:$A$3001,$AD618)&amp;"")</f>
        <v/>
      </c>
      <c r="D618">
        <f>IF($AD618="","",INDEX('Per Line'!$C$2:$C$3001,$AD618)&amp;"")</f>
        <v/>
      </c>
      <c r="E618">
        <f>IF($AD618="","",INDEX('Per Line'!$B$2:$B$3001,$AD618))</f>
        <v/>
      </c>
      <c r="F618">
        <f>IF($AD618="","",INDEX('Per Line'!$D$2:$D$3001,$AD618)&amp;"")</f>
        <v/>
      </c>
      <c r="G618" s="11">
        <f>IF($AD618="","",INDEX('Per Line'!$G$2:$G$3001,$AD618))</f>
        <v/>
      </c>
      <c r="H618">
        <f>IF($AD618="","",INDEX('Per Line'!$J$2:$J$3001,$AD618)&amp;"")</f>
        <v/>
      </c>
      <c r="I618">
        <f>IF($AD618="","",INDEX('Per Line'!$H$2:$H$3001,$AD618)&amp;"")</f>
        <v/>
      </c>
      <c r="J618">
        <f>IF($AD618="","",INDEX('Per Line'!$F$2:$F$3001,$AD618)&amp;"")</f>
        <v/>
      </c>
      <c r="K618">
        <f>IF($AD618="","",INDEX('Per Line'!$K$2:$K$3001,$AD618)&amp;"")</f>
        <v/>
      </c>
      <c r="L618">
        <f>IF($AD618="","",INDEX('Per Line'!$L$2:$L$3001,$AD618)&amp;"")</f>
        <v/>
      </c>
      <c r="M618">
        <f>IF($AD618="","",INDEX('Per Line'!$M$2:$M$3001,$AD618)&amp;"")</f>
        <v/>
      </c>
      <c r="N618">
        <f>IF($AD618="","",INDEX('Per Line'!$AC$2:$AC$3001,$AD618)&amp;"")</f>
        <v/>
      </c>
      <c r="O618">
        <f>IF($AD618="","",INDEX('Per Line'!$P$2:$P$3001,$AD618))</f>
        <v/>
      </c>
      <c r="P618" s="7">
        <f>IF($AD618="","",IF(AND(ISNUMBER(Q618),Q618&gt;0,AB618&gt;Q618),O618*Q618/100+(AB618-Q618),O618*AB618/100))</f>
        <v/>
      </c>
      <c r="Q618">
        <f>IF($AD618="","",INDEX('Per Line'!$AG$2:$AG$3001,$AD618))</f>
        <v/>
      </c>
      <c r="R618">
        <f>IF($AD618="","",IF(AND(ISNUMBER(Q618),Q618&gt;0),AB618&gt;Q618,FALSE))</f>
        <v/>
      </c>
      <c r="S618" s="7">
        <f>IF($AD618="","",SUMIFS('Per Line'!$AB$2:$AB$3001,'Per Line'!$E$2:$E$3001,$B618,'Per Line'!$AQ$2:$AQ$3001,1))</f>
        <v/>
      </c>
      <c r="T618">
        <f>IF($AD618="","",Settings!$C$7)</f>
        <v/>
      </c>
      <c r="U618" s="7">
        <f>IF($AD618="","",SUMIFS('Per Line'!$AB$2:$AB$3001,'Per Line'!$E$2:$E$3001,$B618,'Per Line'!$AP$2:$AP$3001,0,'Per Line'!$AQ$2:$AQ$3001,0))</f>
        <v/>
      </c>
      <c r="V618" s="7">
        <f>IF($AD618="","",U618*T618)</f>
        <v/>
      </c>
      <c r="W618">
        <f>IF($AD618="","",Settings!$C$6)</f>
        <v/>
      </c>
      <c r="X618" s="7">
        <f>IF($AD618="","",SUMIFS('Per Line'!$AB$2:$AB$3001,'Per Line'!$E$2:$E$3001,$B618,'Per Line'!$AP$2:$AP$3001,1,'Per Line'!$AQ$2:$AQ$3001,0))</f>
        <v/>
      </c>
      <c r="Y618" s="7">
        <f>IF($AD618="","",X618*W618)</f>
        <v/>
      </c>
      <c r="Z618" s="7">
        <f>IF($AD618="","",Y618+V618)</f>
        <v/>
      </c>
      <c r="AA618" s="7">
        <f>IF($AD618="","",AB618-Z618)</f>
        <v/>
      </c>
      <c r="AB618" s="7">
        <f>IF($AD618="","",U618+X618+S618)</f>
        <v/>
      </c>
      <c r="AC618" s="7">
        <f>IF($AD618="","",AB618-Z618-P618)</f>
        <v/>
      </c>
      <c r="AD618" s="13">
        <f>IF(ROWS($AD$2:$AD618)&lt;=MAX('Per Line'!$AO$2:$AO$3001),MATCH(ROWS($AD$2:$AD618),'Per Line'!$AO$2:$AO$3001,0),"")</f>
        <v/>
      </c>
      <c r="AE618" s="14">
        <f>IF($AD618="","",P618-O618*AB618/100)</f>
        <v/>
      </c>
    </row>
    <row r="619">
      <c r="A619" s="12" t="n"/>
      <c r="B619">
        <f>IF($AD619="","",INDEX('Per Line'!$E$2:$E$3001,$AD619)&amp;"")</f>
        <v/>
      </c>
      <c r="C619">
        <f>IF($AD619="","",INDEX('Per Line'!$A$2:$A$3001,$AD619)&amp;"")</f>
        <v/>
      </c>
      <c r="D619">
        <f>IF($AD619="","",INDEX('Per Line'!$C$2:$C$3001,$AD619)&amp;"")</f>
        <v/>
      </c>
      <c r="E619">
        <f>IF($AD619="","",INDEX('Per Line'!$B$2:$B$3001,$AD619))</f>
        <v/>
      </c>
      <c r="F619">
        <f>IF($AD619="","",INDEX('Per Line'!$D$2:$D$3001,$AD619)&amp;"")</f>
        <v/>
      </c>
      <c r="G619" s="11">
        <f>IF($AD619="","",INDEX('Per Line'!$G$2:$G$3001,$AD619))</f>
        <v/>
      </c>
      <c r="H619">
        <f>IF($AD619="","",INDEX('Per Line'!$J$2:$J$3001,$AD619)&amp;"")</f>
        <v/>
      </c>
      <c r="I619">
        <f>IF($AD619="","",INDEX('Per Line'!$H$2:$H$3001,$AD619)&amp;"")</f>
        <v/>
      </c>
      <c r="J619">
        <f>IF($AD619="","",INDEX('Per Line'!$F$2:$F$3001,$AD619)&amp;"")</f>
        <v/>
      </c>
      <c r="K619">
        <f>IF($AD619="","",INDEX('Per Line'!$K$2:$K$3001,$AD619)&amp;"")</f>
        <v/>
      </c>
      <c r="L619">
        <f>IF($AD619="","",INDEX('Per Line'!$L$2:$L$3001,$AD619)&amp;"")</f>
        <v/>
      </c>
      <c r="M619">
        <f>IF($AD619="","",INDEX('Per Line'!$M$2:$M$3001,$AD619)&amp;"")</f>
        <v/>
      </c>
      <c r="N619">
        <f>IF($AD619="","",INDEX('Per Line'!$AC$2:$AC$3001,$AD619)&amp;"")</f>
        <v/>
      </c>
      <c r="O619">
        <f>IF($AD619="","",INDEX('Per Line'!$P$2:$P$3001,$AD619))</f>
        <v/>
      </c>
      <c r="P619" s="7">
        <f>IF($AD619="","",IF(AND(ISNUMBER(Q619),Q619&gt;0,AB619&gt;Q619),O619*Q619/100+(AB619-Q619),O619*AB619/100))</f>
        <v/>
      </c>
      <c r="Q619">
        <f>IF($AD619="","",INDEX('Per Line'!$AG$2:$AG$3001,$AD619))</f>
        <v/>
      </c>
      <c r="R619">
        <f>IF($AD619="","",IF(AND(ISNUMBER(Q619),Q619&gt;0),AB619&gt;Q619,FALSE))</f>
        <v/>
      </c>
      <c r="S619" s="7">
        <f>IF($AD619="","",SUMIFS('Per Line'!$AB$2:$AB$3001,'Per Line'!$E$2:$E$3001,$B619,'Per Line'!$AQ$2:$AQ$3001,1))</f>
        <v/>
      </c>
      <c r="T619">
        <f>IF($AD619="","",Settings!$C$7)</f>
        <v/>
      </c>
      <c r="U619" s="7">
        <f>IF($AD619="","",SUMIFS('Per Line'!$AB$2:$AB$3001,'Per Line'!$E$2:$E$3001,$B619,'Per Line'!$AP$2:$AP$3001,0,'Per Line'!$AQ$2:$AQ$3001,0))</f>
        <v/>
      </c>
      <c r="V619" s="7">
        <f>IF($AD619="","",U619*T619)</f>
        <v/>
      </c>
      <c r="W619">
        <f>IF($AD619="","",Settings!$C$6)</f>
        <v/>
      </c>
      <c r="X619" s="7">
        <f>IF($AD619="","",SUMIFS('Per Line'!$AB$2:$AB$3001,'Per Line'!$E$2:$E$3001,$B619,'Per Line'!$AP$2:$AP$3001,1,'Per Line'!$AQ$2:$AQ$3001,0))</f>
        <v/>
      </c>
      <c r="Y619" s="7">
        <f>IF($AD619="","",X619*W619)</f>
        <v/>
      </c>
      <c r="Z619" s="7">
        <f>IF($AD619="","",Y619+V619)</f>
        <v/>
      </c>
      <c r="AA619" s="7">
        <f>IF($AD619="","",AB619-Z619)</f>
        <v/>
      </c>
      <c r="AB619" s="7">
        <f>IF($AD619="","",U619+X619+S619)</f>
        <v/>
      </c>
      <c r="AC619" s="7">
        <f>IF($AD619="","",AB619-Z619-P619)</f>
        <v/>
      </c>
      <c r="AD619" s="13">
        <f>IF(ROWS($AD$2:$AD619)&lt;=MAX('Per Line'!$AO$2:$AO$3001),MATCH(ROWS($AD$2:$AD619),'Per Line'!$AO$2:$AO$3001,0),"")</f>
        <v/>
      </c>
      <c r="AE619" s="14">
        <f>IF($AD619="","",P619-O619*AB619/100)</f>
        <v/>
      </c>
    </row>
    <row r="620">
      <c r="A620" s="12" t="n"/>
      <c r="B620">
        <f>IF($AD620="","",INDEX('Per Line'!$E$2:$E$3001,$AD620)&amp;"")</f>
        <v/>
      </c>
      <c r="C620">
        <f>IF($AD620="","",INDEX('Per Line'!$A$2:$A$3001,$AD620)&amp;"")</f>
        <v/>
      </c>
      <c r="D620">
        <f>IF($AD620="","",INDEX('Per Line'!$C$2:$C$3001,$AD620)&amp;"")</f>
        <v/>
      </c>
      <c r="E620">
        <f>IF($AD620="","",INDEX('Per Line'!$B$2:$B$3001,$AD620))</f>
        <v/>
      </c>
      <c r="F620">
        <f>IF($AD620="","",INDEX('Per Line'!$D$2:$D$3001,$AD620)&amp;"")</f>
        <v/>
      </c>
      <c r="G620" s="11">
        <f>IF($AD620="","",INDEX('Per Line'!$G$2:$G$3001,$AD620))</f>
        <v/>
      </c>
      <c r="H620">
        <f>IF($AD620="","",INDEX('Per Line'!$J$2:$J$3001,$AD620)&amp;"")</f>
        <v/>
      </c>
      <c r="I620">
        <f>IF($AD620="","",INDEX('Per Line'!$H$2:$H$3001,$AD620)&amp;"")</f>
        <v/>
      </c>
      <c r="J620">
        <f>IF($AD620="","",INDEX('Per Line'!$F$2:$F$3001,$AD620)&amp;"")</f>
        <v/>
      </c>
      <c r="K620">
        <f>IF($AD620="","",INDEX('Per Line'!$K$2:$K$3001,$AD620)&amp;"")</f>
        <v/>
      </c>
      <c r="L620">
        <f>IF($AD620="","",INDEX('Per Line'!$L$2:$L$3001,$AD620)&amp;"")</f>
        <v/>
      </c>
      <c r="M620">
        <f>IF($AD620="","",INDEX('Per Line'!$M$2:$M$3001,$AD620)&amp;"")</f>
        <v/>
      </c>
      <c r="N620">
        <f>IF($AD620="","",INDEX('Per Line'!$AC$2:$AC$3001,$AD620)&amp;"")</f>
        <v/>
      </c>
      <c r="O620">
        <f>IF($AD620="","",INDEX('Per Line'!$P$2:$P$3001,$AD620))</f>
        <v/>
      </c>
      <c r="P620" s="7">
        <f>IF($AD620="","",IF(AND(ISNUMBER(Q620),Q620&gt;0,AB620&gt;Q620),O620*Q620/100+(AB620-Q620),O620*AB620/100))</f>
        <v/>
      </c>
      <c r="Q620">
        <f>IF($AD620="","",INDEX('Per Line'!$AG$2:$AG$3001,$AD620))</f>
        <v/>
      </c>
      <c r="R620">
        <f>IF($AD620="","",IF(AND(ISNUMBER(Q620),Q620&gt;0),AB620&gt;Q620,FALSE))</f>
        <v/>
      </c>
      <c r="S620" s="7">
        <f>IF($AD620="","",SUMIFS('Per Line'!$AB$2:$AB$3001,'Per Line'!$E$2:$E$3001,$B620,'Per Line'!$AQ$2:$AQ$3001,1))</f>
        <v/>
      </c>
      <c r="T620">
        <f>IF($AD620="","",Settings!$C$7)</f>
        <v/>
      </c>
      <c r="U620" s="7">
        <f>IF($AD620="","",SUMIFS('Per Line'!$AB$2:$AB$3001,'Per Line'!$E$2:$E$3001,$B620,'Per Line'!$AP$2:$AP$3001,0,'Per Line'!$AQ$2:$AQ$3001,0))</f>
        <v/>
      </c>
      <c r="V620" s="7">
        <f>IF($AD620="","",U620*T620)</f>
        <v/>
      </c>
      <c r="W620">
        <f>IF($AD620="","",Settings!$C$6)</f>
        <v/>
      </c>
      <c r="X620" s="7">
        <f>IF($AD620="","",SUMIFS('Per Line'!$AB$2:$AB$3001,'Per Line'!$E$2:$E$3001,$B620,'Per Line'!$AP$2:$AP$3001,1,'Per Line'!$AQ$2:$AQ$3001,0))</f>
        <v/>
      </c>
      <c r="Y620" s="7">
        <f>IF($AD620="","",X620*W620)</f>
        <v/>
      </c>
      <c r="Z620" s="7">
        <f>IF($AD620="","",Y620+V620)</f>
        <v/>
      </c>
      <c r="AA620" s="7">
        <f>IF($AD620="","",AB620-Z620)</f>
        <v/>
      </c>
      <c r="AB620" s="7">
        <f>IF($AD620="","",U620+X620+S620)</f>
        <v/>
      </c>
      <c r="AC620" s="7">
        <f>IF($AD620="","",AB620-Z620-P620)</f>
        <v/>
      </c>
      <c r="AD620" s="13">
        <f>IF(ROWS($AD$2:$AD620)&lt;=MAX('Per Line'!$AO$2:$AO$3001),MATCH(ROWS($AD$2:$AD620),'Per Line'!$AO$2:$AO$3001,0),"")</f>
        <v/>
      </c>
      <c r="AE620" s="14">
        <f>IF($AD620="","",P620-O620*AB620/100)</f>
        <v/>
      </c>
    </row>
    <row r="621">
      <c r="A621" s="12" t="n"/>
      <c r="B621">
        <f>IF($AD621="","",INDEX('Per Line'!$E$2:$E$3001,$AD621)&amp;"")</f>
        <v/>
      </c>
      <c r="C621">
        <f>IF($AD621="","",INDEX('Per Line'!$A$2:$A$3001,$AD621)&amp;"")</f>
        <v/>
      </c>
      <c r="D621">
        <f>IF($AD621="","",INDEX('Per Line'!$C$2:$C$3001,$AD621)&amp;"")</f>
        <v/>
      </c>
      <c r="E621">
        <f>IF($AD621="","",INDEX('Per Line'!$B$2:$B$3001,$AD621))</f>
        <v/>
      </c>
      <c r="F621">
        <f>IF($AD621="","",INDEX('Per Line'!$D$2:$D$3001,$AD621)&amp;"")</f>
        <v/>
      </c>
      <c r="G621" s="11">
        <f>IF($AD621="","",INDEX('Per Line'!$G$2:$G$3001,$AD621))</f>
        <v/>
      </c>
      <c r="H621">
        <f>IF($AD621="","",INDEX('Per Line'!$J$2:$J$3001,$AD621)&amp;"")</f>
        <v/>
      </c>
      <c r="I621">
        <f>IF($AD621="","",INDEX('Per Line'!$H$2:$H$3001,$AD621)&amp;"")</f>
        <v/>
      </c>
      <c r="J621">
        <f>IF($AD621="","",INDEX('Per Line'!$F$2:$F$3001,$AD621)&amp;"")</f>
        <v/>
      </c>
      <c r="K621">
        <f>IF($AD621="","",INDEX('Per Line'!$K$2:$K$3001,$AD621)&amp;"")</f>
        <v/>
      </c>
      <c r="L621">
        <f>IF($AD621="","",INDEX('Per Line'!$L$2:$L$3001,$AD621)&amp;"")</f>
        <v/>
      </c>
      <c r="M621">
        <f>IF($AD621="","",INDEX('Per Line'!$M$2:$M$3001,$AD621)&amp;"")</f>
        <v/>
      </c>
      <c r="N621">
        <f>IF($AD621="","",INDEX('Per Line'!$AC$2:$AC$3001,$AD621)&amp;"")</f>
        <v/>
      </c>
      <c r="O621">
        <f>IF($AD621="","",INDEX('Per Line'!$P$2:$P$3001,$AD621))</f>
        <v/>
      </c>
      <c r="P621" s="7">
        <f>IF($AD621="","",IF(AND(ISNUMBER(Q621),Q621&gt;0,AB621&gt;Q621),O621*Q621/100+(AB621-Q621),O621*AB621/100))</f>
        <v/>
      </c>
      <c r="Q621">
        <f>IF($AD621="","",INDEX('Per Line'!$AG$2:$AG$3001,$AD621))</f>
        <v/>
      </c>
      <c r="R621">
        <f>IF($AD621="","",IF(AND(ISNUMBER(Q621),Q621&gt;0),AB621&gt;Q621,FALSE))</f>
        <v/>
      </c>
      <c r="S621" s="7">
        <f>IF($AD621="","",SUMIFS('Per Line'!$AB$2:$AB$3001,'Per Line'!$E$2:$E$3001,$B621,'Per Line'!$AQ$2:$AQ$3001,1))</f>
        <v/>
      </c>
      <c r="T621">
        <f>IF($AD621="","",Settings!$C$7)</f>
        <v/>
      </c>
      <c r="U621" s="7">
        <f>IF($AD621="","",SUMIFS('Per Line'!$AB$2:$AB$3001,'Per Line'!$E$2:$E$3001,$B621,'Per Line'!$AP$2:$AP$3001,0,'Per Line'!$AQ$2:$AQ$3001,0))</f>
        <v/>
      </c>
      <c r="V621" s="7">
        <f>IF($AD621="","",U621*T621)</f>
        <v/>
      </c>
      <c r="W621">
        <f>IF($AD621="","",Settings!$C$6)</f>
        <v/>
      </c>
      <c r="X621" s="7">
        <f>IF($AD621="","",SUMIFS('Per Line'!$AB$2:$AB$3001,'Per Line'!$E$2:$E$3001,$B621,'Per Line'!$AP$2:$AP$3001,1,'Per Line'!$AQ$2:$AQ$3001,0))</f>
        <v/>
      </c>
      <c r="Y621" s="7">
        <f>IF($AD621="","",X621*W621)</f>
        <v/>
      </c>
      <c r="Z621" s="7">
        <f>IF($AD621="","",Y621+V621)</f>
        <v/>
      </c>
      <c r="AA621" s="7">
        <f>IF($AD621="","",AB621-Z621)</f>
        <v/>
      </c>
      <c r="AB621" s="7">
        <f>IF($AD621="","",U621+X621+S621)</f>
        <v/>
      </c>
      <c r="AC621" s="7">
        <f>IF($AD621="","",AB621-Z621-P621)</f>
        <v/>
      </c>
      <c r="AD621" s="13">
        <f>IF(ROWS($AD$2:$AD621)&lt;=MAX('Per Line'!$AO$2:$AO$3001),MATCH(ROWS($AD$2:$AD621),'Per Line'!$AO$2:$AO$3001,0),"")</f>
        <v/>
      </c>
      <c r="AE621" s="14">
        <f>IF($AD621="","",P621-O621*AB621/100)</f>
        <v/>
      </c>
    </row>
    <row r="622">
      <c r="A622" s="12" t="n"/>
      <c r="B622">
        <f>IF($AD622="","",INDEX('Per Line'!$E$2:$E$3001,$AD622)&amp;"")</f>
        <v/>
      </c>
      <c r="C622">
        <f>IF($AD622="","",INDEX('Per Line'!$A$2:$A$3001,$AD622)&amp;"")</f>
        <v/>
      </c>
      <c r="D622">
        <f>IF($AD622="","",INDEX('Per Line'!$C$2:$C$3001,$AD622)&amp;"")</f>
        <v/>
      </c>
      <c r="E622">
        <f>IF($AD622="","",INDEX('Per Line'!$B$2:$B$3001,$AD622))</f>
        <v/>
      </c>
      <c r="F622">
        <f>IF($AD622="","",INDEX('Per Line'!$D$2:$D$3001,$AD622)&amp;"")</f>
        <v/>
      </c>
      <c r="G622" s="11">
        <f>IF($AD622="","",INDEX('Per Line'!$G$2:$G$3001,$AD622))</f>
        <v/>
      </c>
      <c r="H622">
        <f>IF($AD622="","",INDEX('Per Line'!$J$2:$J$3001,$AD622)&amp;"")</f>
        <v/>
      </c>
      <c r="I622">
        <f>IF($AD622="","",INDEX('Per Line'!$H$2:$H$3001,$AD622)&amp;"")</f>
        <v/>
      </c>
      <c r="J622">
        <f>IF($AD622="","",INDEX('Per Line'!$F$2:$F$3001,$AD622)&amp;"")</f>
        <v/>
      </c>
      <c r="K622">
        <f>IF($AD622="","",INDEX('Per Line'!$K$2:$K$3001,$AD622)&amp;"")</f>
        <v/>
      </c>
      <c r="L622">
        <f>IF($AD622="","",INDEX('Per Line'!$L$2:$L$3001,$AD622)&amp;"")</f>
        <v/>
      </c>
      <c r="M622">
        <f>IF($AD622="","",INDEX('Per Line'!$M$2:$M$3001,$AD622)&amp;"")</f>
        <v/>
      </c>
      <c r="N622">
        <f>IF($AD622="","",INDEX('Per Line'!$AC$2:$AC$3001,$AD622)&amp;"")</f>
        <v/>
      </c>
      <c r="O622">
        <f>IF($AD622="","",INDEX('Per Line'!$P$2:$P$3001,$AD622))</f>
        <v/>
      </c>
      <c r="P622" s="7">
        <f>IF($AD622="","",IF(AND(ISNUMBER(Q622),Q622&gt;0,AB622&gt;Q622),O622*Q622/100+(AB622-Q622),O622*AB622/100))</f>
        <v/>
      </c>
      <c r="Q622">
        <f>IF($AD622="","",INDEX('Per Line'!$AG$2:$AG$3001,$AD622))</f>
        <v/>
      </c>
      <c r="R622">
        <f>IF($AD622="","",IF(AND(ISNUMBER(Q622),Q622&gt;0),AB622&gt;Q622,FALSE))</f>
        <v/>
      </c>
      <c r="S622" s="7">
        <f>IF($AD622="","",SUMIFS('Per Line'!$AB$2:$AB$3001,'Per Line'!$E$2:$E$3001,$B622,'Per Line'!$AQ$2:$AQ$3001,1))</f>
        <v/>
      </c>
      <c r="T622">
        <f>IF($AD622="","",Settings!$C$7)</f>
        <v/>
      </c>
      <c r="U622" s="7">
        <f>IF($AD622="","",SUMIFS('Per Line'!$AB$2:$AB$3001,'Per Line'!$E$2:$E$3001,$B622,'Per Line'!$AP$2:$AP$3001,0,'Per Line'!$AQ$2:$AQ$3001,0))</f>
        <v/>
      </c>
      <c r="V622" s="7">
        <f>IF($AD622="","",U622*T622)</f>
        <v/>
      </c>
      <c r="W622">
        <f>IF($AD622="","",Settings!$C$6)</f>
        <v/>
      </c>
      <c r="X622" s="7">
        <f>IF($AD622="","",SUMIFS('Per Line'!$AB$2:$AB$3001,'Per Line'!$E$2:$E$3001,$B622,'Per Line'!$AP$2:$AP$3001,1,'Per Line'!$AQ$2:$AQ$3001,0))</f>
        <v/>
      </c>
      <c r="Y622" s="7">
        <f>IF($AD622="","",X622*W622)</f>
        <v/>
      </c>
      <c r="Z622" s="7">
        <f>IF($AD622="","",Y622+V622)</f>
        <v/>
      </c>
      <c r="AA622" s="7">
        <f>IF($AD622="","",AB622-Z622)</f>
        <v/>
      </c>
      <c r="AB622" s="7">
        <f>IF($AD622="","",U622+X622+S622)</f>
        <v/>
      </c>
      <c r="AC622" s="7">
        <f>IF($AD622="","",AB622-Z622-P622)</f>
        <v/>
      </c>
      <c r="AD622" s="13">
        <f>IF(ROWS($AD$2:$AD622)&lt;=MAX('Per Line'!$AO$2:$AO$3001),MATCH(ROWS($AD$2:$AD622),'Per Line'!$AO$2:$AO$3001,0),"")</f>
        <v/>
      </c>
      <c r="AE622" s="14">
        <f>IF($AD622="","",P622-O622*AB622/100)</f>
        <v/>
      </c>
    </row>
    <row r="623">
      <c r="A623" s="12" t="n"/>
      <c r="B623">
        <f>IF($AD623="","",INDEX('Per Line'!$E$2:$E$3001,$AD623)&amp;"")</f>
        <v/>
      </c>
      <c r="C623">
        <f>IF($AD623="","",INDEX('Per Line'!$A$2:$A$3001,$AD623)&amp;"")</f>
        <v/>
      </c>
      <c r="D623">
        <f>IF($AD623="","",INDEX('Per Line'!$C$2:$C$3001,$AD623)&amp;"")</f>
        <v/>
      </c>
      <c r="E623">
        <f>IF($AD623="","",INDEX('Per Line'!$B$2:$B$3001,$AD623))</f>
        <v/>
      </c>
      <c r="F623">
        <f>IF($AD623="","",INDEX('Per Line'!$D$2:$D$3001,$AD623)&amp;"")</f>
        <v/>
      </c>
      <c r="G623" s="11">
        <f>IF($AD623="","",INDEX('Per Line'!$G$2:$G$3001,$AD623))</f>
        <v/>
      </c>
      <c r="H623">
        <f>IF($AD623="","",INDEX('Per Line'!$J$2:$J$3001,$AD623)&amp;"")</f>
        <v/>
      </c>
      <c r="I623">
        <f>IF($AD623="","",INDEX('Per Line'!$H$2:$H$3001,$AD623)&amp;"")</f>
        <v/>
      </c>
      <c r="J623">
        <f>IF($AD623="","",INDEX('Per Line'!$F$2:$F$3001,$AD623)&amp;"")</f>
        <v/>
      </c>
      <c r="K623">
        <f>IF($AD623="","",INDEX('Per Line'!$K$2:$K$3001,$AD623)&amp;"")</f>
        <v/>
      </c>
      <c r="L623">
        <f>IF($AD623="","",INDEX('Per Line'!$L$2:$L$3001,$AD623)&amp;"")</f>
        <v/>
      </c>
      <c r="M623">
        <f>IF($AD623="","",INDEX('Per Line'!$M$2:$M$3001,$AD623)&amp;"")</f>
        <v/>
      </c>
      <c r="N623">
        <f>IF($AD623="","",INDEX('Per Line'!$AC$2:$AC$3001,$AD623)&amp;"")</f>
        <v/>
      </c>
      <c r="O623">
        <f>IF($AD623="","",INDEX('Per Line'!$P$2:$P$3001,$AD623))</f>
        <v/>
      </c>
      <c r="P623" s="7">
        <f>IF($AD623="","",IF(AND(ISNUMBER(Q623),Q623&gt;0,AB623&gt;Q623),O623*Q623/100+(AB623-Q623),O623*AB623/100))</f>
        <v/>
      </c>
      <c r="Q623">
        <f>IF($AD623="","",INDEX('Per Line'!$AG$2:$AG$3001,$AD623))</f>
        <v/>
      </c>
      <c r="R623">
        <f>IF($AD623="","",IF(AND(ISNUMBER(Q623),Q623&gt;0),AB623&gt;Q623,FALSE))</f>
        <v/>
      </c>
      <c r="S623" s="7">
        <f>IF($AD623="","",SUMIFS('Per Line'!$AB$2:$AB$3001,'Per Line'!$E$2:$E$3001,$B623,'Per Line'!$AQ$2:$AQ$3001,1))</f>
        <v/>
      </c>
      <c r="T623">
        <f>IF($AD623="","",Settings!$C$7)</f>
        <v/>
      </c>
      <c r="U623" s="7">
        <f>IF($AD623="","",SUMIFS('Per Line'!$AB$2:$AB$3001,'Per Line'!$E$2:$E$3001,$B623,'Per Line'!$AP$2:$AP$3001,0,'Per Line'!$AQ$2:$AQ$3001,0))</f>
        <v/>
      </c>
      <c r="V623" s="7">
        <f>IF($AD623="","",U623*T623)</f>
        <v/>
      </c>
      <c r="W623">
        <f>IF($AD623="","",Settings!$C$6)</f>
        <v/>
      </c>
      <c r="X623" s="7">
        <f>IF($AD623="","",SUMIFS('Per Line'!$AB$2:$AB$3001,'Per Line'!$E$2:$E$3001,$B623,'Per Line'!$AP$2:$AP$3001,1,'Per Line'!$AQ$2:$AQ$3001,0))</f>
        <v/>
      </c>
      <c r="Y623" s="7">
        <f>IF($AD623="","",X623*W623)</f>
        <v/>
      </c>
      <c r="Z623" s="7">
        <f>IF($AD623="","",Y623+V623)</f>
        <v/>
      </c>
      <c r="AA623" s="7">
        <f>IF($AD623="","",AB623-Z623)</f>
        <v/>
      </c>
      <c r="AB623" s="7">
        <f>IF($AD623="","",U623+X623+S623)</f>
        <v/>
      </c>
      <c r="AC623" s="7">
        <f>IF($AD623="","",AB623-Z623-P623)</f>
        <v/>
      </c>
      <c r="AD623" s="13">
        <f>IF(ROWS($AD$2:$AD623)&lt;=MAX('Per Line'!$AO$2:$AO$3001),MATCH(ROWS($AD$2:$AD623),'Per Line'!$AO$2:$AO$3001,0),"")</f>
        <v/>
      </c>
      <c r="AE623" s="14">
        <f>IF($AD623="","",P623-O623*AB623/100)</f>
        <v/>
      </c>
    </row>
    <row r="624">
      <c r="A624" s="12" t="n"/>
      <c r="B624">
        <f>IF($AD624="","",INDEX('Per Line'!$E$2:$E$3001,$AD624)&amp;"")</f>
        <v/>
      </c>
      <c r="C624">
        <f>IF($AD624="","",INDEX('Per Line'!$A$2:$A$3001,$AD624)&amp;"")</f>
        <v/>
      </c>
      <c r="D624">
        <f>IF($AD624="","",INDEX('Per Line'!$C$2:$C$3001,$AD624)&amp;"")</f>
        <v/>
      </c>
      <c r="E624">
        <f>IF($AD624="","",INDEX('Per Line'!$B$2:$B$3001,$AD624))</f>
        <v/>
      </c>
      <c r="F624">
        <f>IF($AD624="","",INDEX('Per Line'!$D$2:$D$3001,$AD624)&amp;"")</f>
        <v/>
      </c>
      <c r="G624" s="11">
        <f>IF($AD624="","",INDEX('Per Line'!$G$2:$G$3001,$AD624))</f>
        <v/>
      </c>
      <c r="H624">
        <f>IF($AD624="","",INDEX('Per Line'!$J$2:$J$3001,$AD624)&amp;"")</f>
        <v/>
      </c>
      <c r="I624">
        <f>IF($AD624="","",INDEX('Per Line'!$H$2:$H$3001,$AD624)&amp;"")</f>
        <v/>
      </c>
      <c r="J624">
        <f>IF($AD624="","",INDEX('Per Line'!$F$2:$F$3001,$AD624)&amp;"")</f>
        <v/>
      </c>
      <c r="K624">
        <f>IF($AD624="","",INDEX('Per Line'!$K$2:$K$3001,$AD624)&amp;"")</f>
        <v/>
      </c>
      <c r="L624">
        <f>IF($AD624="","",INDEX('Per Line'!$L$2:$L$3001,$AD624)&amp;"")</f>
        <v/>
      </c>
      <c r="M624">
        <f>IF($AD624="","",INDEX('Per Line'!$M$2:$M$3001,$AD624)&amp;"")</f>
        <v/>
      </c>
      <c r="N624">
        <f>IF($AD624="","",INDEX('Per Line'!$AC$2:$AC$3001,$AD624)&amp;"")</f>
        <v/>
      </c>
      <c r="O624">
        <f>IF($AD624="","",INDEX('Per Line'!$P$2:$P$3001,$AD624))</f>
        <v/>
      </c>
      <c r="P624" s="7">
        <f>IF($AD624="","",IF(AND(ISNUMBER(Q624),Q624&gt;0,AB624&gt;Q624),O624*Q624/100+(AB624-Q624),O624*AB624/100))</f>
        <v/>
      </c>
      <c r="Q624">
        <f>IF($AD624="","",INDEX('Per Line'!$AG$2:$AG$3001,$AD624))</f>
        <v/>
      </c>
      <c r="R624">
        <f>IF($AD624="","",IF(AND(ISNUMBER(Q624),Q624&gt;0),AB624&gt;Q624,FALSE))</f>
        <v/>
      </c>
      <c r="S624" s="7">
        <f>IF($AD624="","",SUMIFS('Per Line'!$AB$2:$AB$3001,'Per Line'!$E$2:$E$3001,$B624,'Per Line'!$AQ$2:$AQ$3001,1))</f>
        <v/>
      </c>
      <c r="T624">
        <f>IF($AD624="","",Settings!$C$7)</f>
        <v/>
      </c>
      <c r="U624" s="7">
        <f>IF($AD624="","",SUMIFS('Per Line'!$AB$2:$AB$3001,'Per Line'!$E$2:$E$3001,$B624,'Per Line'!$AP$2:$AP$3001,0,'Per Line'!$AQ$2:$AQ$3001,0))</f>
        <v/>
      </c>
      <c r="V624" s="7">
        <f>IF($AD624="","",U624*T624)</f>
        <v/>
      </c>
      <c r="W624">
        <f>IF($AD624="","",Settings!$C$6)</f>
        <v/>
      </c>
      <c r="X624" s="7">
        <f>IF($AD624="","",SUMIFS('Per Line'!$AB$2:$AB$3001,'Per Line'!$E$2:$E$3001,$B624,'Per Line'!$AP$2:$AP$3001,1,'Per Line'!$AQ$2:$AQ$3001,0))</f>
        <v/>
      </c>
      <c r="Y624" s="7">
        <f>IF($AD624="","",X624*W624)</f>
        <v/>
      </c>
      <c r="Z624" s="7">
        <f>IF($AD624="","",Y624+V624)</f>
        <v/>
      </c>
      <c r="AA624" s="7">
        <f>IF($AD624="","",AB624-Z624)</f>
        <v/>
      </c>
      <c r="AB624" s="7">
        <f>IF($AD624="","",U624+X624+S624)</f>
        <v/>
      </c>
      <c r="AC624" s="7">
        <f>IF($AD624="","",AB624-Z624-P624)</f>
        <v/>
      </c>
      <c r="AD624" s="13">
        <f>IF(ROWS($AD$2:$AD624)&lt;=MAX('Per Line'!$AO$2:$AO$3001),MATCH(ROWS($AD$2:$AD624),'Per Line'!$AO$2:$AO$3001,0),"")</f>
        <v/>
      </c>
      <c r="AE624" s="14">
        <f>IF($AD624="","",P624-O624*AB624/100)</f>
        <v/>
      </c>
    </row>
    <row r="625">
      <c r="A625" s="12" t="n"/>
      <c r="B625">
        <f>IF($AD625="","",INDEX('Per Line'!$E$2:$E$3001,$AD625)&amp;"")</f>
        <v/>
      </c>
      <c r="C625">
        <f>IF($AD625="","",INDEX('Per Line'!$A$2:$A$3001,$AD625)&amp;"")</f>
        <v/>
      </c>
      <c r="D625">
        <f>IF($AD625="","",INDEX('Per Line'!$C$2:$C$3001,$AD625)&amp;"")</f>
        <v/>
      </c>
      <c r="E625">
        <f>IF($AD625="","",INDEX('Per Line'!$B$2:$B$3001,$AD625))</f>
        <v/>
      </c>
      <c r="F625">
        <f>IF($AD625="","",INDEX('Per Line'!$D$2:$D$3001,$AD625)&amp;"")</f>
        <v/>
      </c>
      <c r="G625" s="11">
        <f>IF($AD625="","",INDEX('Per Line'!$G$2:$G$3001,$AD625))</f>
        <v/>
      </c>
      <c r="H625">
        <f>IF($AD625="","",INDEX('Per Line'!$J$2:$J$3001,$AD625)&amp;"")</f>
        <v/>
      </c>
      <c r="I625">
        <f>IF($AD625="","",INDEX('Per Line'!$H$2:$H$3001,$AD625)&amp;"")</f>
        <v/>
      </c>
      <c r="J625">
        <f>IF($AD625="","",INDEX('Per Line'!$F$2:$F$3001,$AD625)&amp;"")</f>
        <v/>
      </c>
      <c r="K625">
        <f>IF($AD625="","",INDEX('Per Line'!$K$2:$K$3001,$AD625)&amp;"")</f>
        <v/>
      </c>
      <c r="L625">
        <f>IF($AD625="","",INDEX('Per Line'!$L$2:$L$3001,$AD625)&amp;"")</f>
        <v/>
      </c>
      <c r="M625">
        <f>IF($AD625="","",INDEX('Per Line'!$M$2:$M$3001,$AD625)&amp;"")</f>
        <v/>
      </c>
      <c r="N625">
        <f>IF($AD625="","",INDEX('Per Line'!$AC$2:$AC$3001,$AD625)&amp;"")</f>
        <v/>
      </c>
      <c r="O625">
        <f>IF($AD625="","",INDEX('Per Line'!$P$2:$P$3001,$AD625))</f>
        <v/>
      </c>
      <c r="P625" s="7">
        <f>IF($AD625="","",IF(AND(ISNUMBER(Q625),Q625&gt;0,AB625&gt;Q625),O625*Q625/100+(AB625-Q625),O625*AB625/100))</f>
        <v/>
      </c>
      <c r="Q625">
        <f>IF($AD625="","",INDEX('Per Line'!$AG$2:$AG$3001,$AD625))</f>
        <v/>
      </c>
      <c r="R625">
        <f>IF($AD625="","",IF(AND(ISNUMBER(Q625),Q625&gt;0),AB625&gt;Q625,FALSE))</f>
        <v/>
      </c>
      <c r="S625" s="7">
        <f>IF($AD625="","",SUMIFS('Per Line'!$AB$2:$AB$3001,'Per Line'!$E$2:$E$3001,$B625,'Per Line'!$AQ$2:$AQ$3001,1))</f>
        <v/>
      </c>
      <c r="T625">
        <f>IF($AD625="","",Settings!$C$7)</f>
        <v/>
      </c>
      <c r="U625" s="7">
        <f>IF($AD625="","",SUMIFS('Per Line'!$AB$2:$AB$3001,'Per Line'!$E$2:$E$3001,$B625,'Per Line'!$AP$2:$AP$3001,0,'Per Line'!$AQ$2:$AQ$3001,0))</f>
        <v/>
      </c>
      <c r="V625" s="7">
        <f>IF($AD625="","",U625*T625)</f>
        <v/>
      </c>
      <c r="W625">
        <f>IF($AD625="","",Settings!$C$6)</f>
        <v/>
      </c>
      <c r="X625" s="7">
        <f>IF($AD625="","",SUMIFS('Per Line'!$AB$2:$AB$3001,'Per Line'!$E$2:$E$3001,$B625,'Per Line'!$AP$2:$AP$3001,1,'Per Line'!$AQ$2:$AQ$3001,0))</f>
        <v/>
      </c>
      <c r="Y625" s="7">
        <f>IF($AD625="","",X625*W625)</f>
        <v/>
      </c>
      <c r="Z625" s="7">
        <f>IF($AD625="","",Y625+V625)</f>
        <v/>
      </c>
      <c r="AA625" s="7">
        <f>IF($AD625="","",AB625-Z625)</f>
        <v/>
      </c>
      <c r="AB625" s="7">
        <f>IF($AD625="","",U625+X625+S625)</f>
        <v/>
      </c>
      <c r="AC625" s="7">
        <f>IF($AD625="","",AB625-Z625-P625)</f>
        <v/>
      </c>
      <c r="AD625" s="13">
        <f>IF(ROWS($AD$2:$AD625)&lt;=MAX('Per Line'!$AO$2:$AO$3001),MATCH(ROWS($AD$2:$AD625),'Per Line'!$AO$2:$AO$3001,0),"")</f>
        <v/>
      </c>
      <c r="AE625" s="14">
        <f>IF($AD625="","",P625-O625*AB625/100)</f>
        <v/>
      </c>
    </row>
    <row r="626">
      <c r="A626" s="12" t="n"/>
      <c r="B626">
        <f>IF($AD626="","",INDEX('Per Line'!$E$2:$E$3001,$AD626)&amp;"")</f>
        <v/>
      </c>
      <c r="C626">
        <f>IF($AD626="","",INDEX('Per Line'!$A$2:$A$3001,$AD626)&amp;"")</f>
        <v/>
      </c>
      <c r="D626">
        <f>IF($AD626="","",INDEX('Per Line'!$C$2:$C$3001,$AD626)&amp;"")</f>
        <v/>
      </c>
      <c r="E626">
        <f>IF($AD626="","",INDEX('Per Line'!$B$2:$B$3001,$AD626))</f>
        <v/>
      </c>
      <c r="F626">
        <f>IF($AD626="","",INDEX('Per Line'!$D$2:$D$3001,$AD626)&amp;"")</f>
        <v/>
      </c>
      <c r="G626" s="11">
        <f>IF($AD626="","",INDEX('Per Line'!$G$2:$G$3001,$AD626))</f>
        <v/>
      </c>
      <c r="H626">
        <f>IF($AD626="","",INDEX('Per Line'!$J$2:$J$3001,$AD626)&amp;"")</f>
        <v/>
      </c>
      <c r="I626">
        <f>IF($AD626="","",INDEX('Per Line'!$H$2:$H$3001,$AD626)&amp;"")</f>
        <v/>
      </c>
      <c r="J626">
        <f>IF($AD626="","",INDEX('Per Line'!$F$2:$F$3001,$AD626)&amp;"")</f>
        <v/>
      </c>
      <c r="K626">
        <f>IF($AD626="","",INDEX('Per Line'!$K$2:$K$3001,$AD626)&amp;"")</f>
        <v/>
      </c>
      <c r="L626">
        <f>IF($AD626="","",INDEX('Per Line'!$L$2:$L$3001,$AD626)&amp;"")</f>
        <v/>
      </c>
      <c r="M626">
        <f>IF($AD626="","",INDEX('Per Line'!$M$2:$M$3001,$AD626)&amp;"")</f>
        <v/>
      </c>
      <c r="N626">
        <f>IF($AD626="","",INDEX('Per Line'!$AC$2:$AC$3001,$AD626)&amp;"")</f>
        <v/>
      </c>
      <c r="O626">
        <f>IF($AD626="","",INDEX('Per Line'!$P$2:$P$3001,$AD626))</f>
        <v/>
      </c>
      <c r="P626" s="7">
        <f>IF($AD626="","",IF(AND(ISNUMBER(Q626),Q626&gt;0,AB626&gt;Q626),O626*Q626/100+(AB626-Q626),O626*AB626/100))</f>
        <v/>
      </c>
      <c r="Q626">
        <f>IF($AD626="","",INDEX('Per Line'!$AG$2:$AG$3001,$AD626))</f>
        <v/>
      </c>
      <c r="R626">
        <f>IF($AD626="","",IF(AND(ISNUMBER(Q626),Q626&gt;0),AB626&gt;Q626,FALSE))</f>
        <v/>
      </c>
      <c r="S626" s="7">
        <f>IF($AD626="","",SUMIFS('Per Line'!$AB$2:$AB$3001,'Per Line'!$E$2:$E$3001,$B626,'Per Line'!$AQ$2:$AQ$3001,1))</f>
        <v/>
      </c>
      <c r="T626">
        <f>IF($AD626="","",Settings!$C$7)</f>
        <v/>
      </c>
      <c r="U626" s="7">
        <f>IF($AD626="","",SUMIFS('Per Line'!$AB$2:$AB$3001,'Per Line'!$E$2:$E$3001,$B626,'Per Line'!$AP$2:$AP$3001,0,'Per Line'!$AQ$2:$AQ$3001,0))</f>
        <v/>
      </c>
      <c r="V626" s="7">
        <f>IF($AD626="","",U626*T626)</f>
        <v/>
      </c>
      <c r="W626">
        <f>IF($AD626="","",Settings!$C$6)</f>
        <v/>
      </c>
      <c r="X626" s="7">
        <f>IF($AD626="","",SUMIFS('Per Line'!$AB$2:$AB$3001,'Per Line'!$E$2:$E$3001,$B626,'Per Line'!$AP$2:$AP$3001,1,'Per Line'!$AQ$2:$AQ$3001,0))</f>
        <v/>
      </c>
      <c r="Y626" s="7">
        <f>IF($AD626="","",X626*W626)</f>
        <v/>
      </c>
      <c r="Z626" s="7">
        <f>IF($AD626="","",Y626+V626)</f>
        <v/>
      </c>
      <c r="AA626" s="7">
        <f>IF($AD626="","",AB626-Z626)</f>
        <v/>
      </c>
      <c r="AB626" s="7">
        <f>IF($AD626="","",U626+X626+S626)</f>
        <v/>
      </c>
      <c r="AC626" s="7">
        <f>IF($AD626="","",AB626-Z626-P626)</f>
        <v/>
      </c>
      <c r="AD626" s="13">
        <f>IF(ROWS($AD$2:$AD626)&lt;=MAX('Per Line'!$AO$2:$AO$3001),MATCH(ROWS($AD$2:$AD626),'Per Line'!$AO$2:$AO$3001,0),"")</f>
        <v/>
      </c>
      <c r="AE626" s="14">
        <f>IF($AD626="","",P626-O626*AB626/100)</f>
        <v/>
      </c>
    </row>
    <row r="627">
      <c r="A627" s="12" t="n"/>
      <c r="B627">
        <f>IF($AD627="","",INDEX('Per Line'!$E$2:$E$3001,$AD627)&amp;"")</f>
        <v/>
      </c>
      <c r="C627">
        <f>IF($AD627="","",INDEX('Per Line'!$A$2:$A$3001,$AD627)&amp;"")</f>
        <v/>
      </c>
      <c r="D627">
        <f>IF($AD627="","",INDEX('Per Line'!$C$2:$C$3001,$AD627)&amp;"")</f>
        <v/>
      </c>
      <c r="E627">
        <f>IF($AD627="","",INDEX('Per Line'!$B$2:$B$3001,$AD627))</f>
        <v/>
      </c>
      <c r="F627">
        <f>IF($AD627="","",INDEX('Per Line'!$D$2:$D$3001,$AD627)&amp;"")</f>
        <v/>
      </c>
      <c r="G627" s="11">
        <f>IF($AD627="","",INDEX('Per Line'!$G$2:$G$3001,$AD627))</f>
        <v/>
      </c>
      <c r="H627">
        <f>IF($AD627="","",INDEX('Per Line'!$J$2:$J$3001,$AD627)&amp;"")</f>
        <v/>
      </c>
      <c r="I627">
        <f>IF($AD627="","",INDEX('Per Line'!$H$2:$H$3001,$AD627)&amp;"")</f>
        <v/>
      </c>
      <c r="J627">
        <f>IF($AD627="","",INDEX('Per Line'!$F$2:$F$3001,$AD627)&amp;"")</f>
        <v/>
      </c>
      <c r="K627">
        <f>IF($AD627="","",INDEX('Per Line'!$K$2:$K$3001,$AD627)&amp;"")</f>
        <v/>
      </c>
      <c r="L627">
        <f>IF($AD627="","",INDEX('Per Line'!$L$2:$L$3001,$AD627)&amp;"")</f>
        <v/>
      </c>
      <c r="M627">
        <f>IF($AD627="","",INDEX('Per Line'!$M$2:$M$3001,$AD627)&amp;"")</f>
        <v/>
      </c>
      <c r="N627">
        <f>IF($AD627="","",INDEX('Per Line'!$AC$2:$AC$3001,$AD627)&amp;"")</f>
        <v/>
      </c>
      <c r="O627">
        <f>IF($AD627="","",INDEX('Per Line'!$P$2:$P$3001,$AD627))</f>
        <v/>
      </c>
      <c r="P627" s="7">
        <f>IF($AD627="","",IF(AND(ISNUMBER(Q627),Q627&gt;0,AB627&gt;Q627),O627*Q627/100+(AB627-Q627),O627*AB627/100))</f>
        <v/>
      </c>
      <c r="Q627">
        <f>IF($AD627="","",INDEX('Per Line'!$AG$2:$AG$3001,$AD627))</f>
        <v/>
      </c>
      <c r="R627">
        <f>IF($AD627="","",IF(AND(ISNUMBER(Q627),Q627&gt;0),AB627&gt;Q627,FALSE))</f>
        <v/>
      </c>
      <c r="S627" s="7">
        <f>IF($AD627="","",SUMIFS('Per Line'!$AB$2:$AB$3001,'Per Line'!$E$2:$E$3001,$B627,'Per Line'!$AQ$2:$AQ$3001,1))</f>
        <v/>
      </c>
      <c r="T627">
        <f>IF($AD627="","",Settings!$C$7)</f>
        <v/>
      </c>
      <c r="U627" s="7">
        <f>IF($AD627="","",SUMIFS('Per Line'!$AB$2:$AB$3001,'Per Line'!$E$2:$E$3001,$B627,'Per Line'!$AP$2:$AP$3001,0,'Per Line'!$AQ$2:$AQ$3001,0))</f>
        <v/>
      </c>
      <c r="V627" s="7">
        <f>IF($AD627="","",U627*T627)</f>
        <v/>
      </c>
      <c r="W627">
        <f>IF($AD627="","",Settings!$C$6)</f>
        <v/>
      </c>
      <c r="X627" s="7">
        <f>IF($AD627="","",SUMIFS('Per Line'!$AB$2:$AB$3001,'Per Line'!$E$2:$E$3001,$B627,'Per Line'!$AP$2:$AP$3001,1,'Per Line'!$AQ$2:$AQ$3001,0))</f>
        <v/>
      </c>
      <c r="Y627" s="7">
        <f>IF($AD627="","",X627*W627)</f>
        <v/>
      </c>
      <c r="Z627" s="7">
        <f>IF($AD627="","",Y627+V627)</f>
        <v/>
      </c>
      <c r="AA627" s="7">
        <f>IF($AD627="","",AB627-Z627)</f>
        <v/>
      </c>
      <c r="AB627" s="7">
        <f>IF($AD627="","",U627+X627+S627)</f>
        <v/>
      </c>
      <c r="AC627" s="7">
        <f>IF($AD627="","",AB627-Z627-P627)</f>
        <v/>
      </c>
      <c r="AD627" s="13">
        <f>IF(ROWS($AD$2:$AD627)&lt;=MAX('Per Line'!$AO$2:$AO$3001),MATCH(ROWS($AD$2:$AD627),'Per Line'!$AO$2:$AO$3001,0),"")</f>
        <v/>
      </c>
      <c r="AE627" s="14">
        <f>IF($AD627="","",P627-O627*AB627/100)</f>
        <v/>
      </c>
    </row>
    <row r="628">
      <c r="A628" s="12" t="n"/>
      <c r="B628">
        <f>IF($AD628="","",INDEX('Per Line'!$E$2:$E$3001,$AD628)&amp;"")</f>
        <v/>
      </c>
      <c r="C628">
        <f>IF($AD628="","",INDEX('Per Line'!$A$2:$A$3001,$AD628)&amp;"")</f>
        <v/>
      </c>
      <c r="D628">
        <f>IF($AD628="","",INDEX('Per Line'!$C$2:$C$3001,$AD628)&amp;"")</f>
        <v/>
      </c>
      <c r="E628">
        <f>IF($AD628="","",INDEX('Per Line'!$B$2:$B$3001,$AD628))</f>
        <v/>
      </c>
      <c r="F628">
        <f>IF($AD628="","",INDEX('Per Line'!$D$2:$D$3001,$AD628)&amp;"")</f>
        <v/>
      </c>
      <c r="G628" s="11">
        <f>IF($AD628="","",INDEX('Per Line'!$G$2:$G$3001,$AD628))</f>
        <v/>
      </c>
      <c r="H628">
        <f>IF($AD628="","",INDEX('Per Line'!$J$2:$J$3001,$AD628)&amp;"")</f>
        <v/>
      </c>
      <c r="I628">
        <f>IF($AD628="","",INDEX('Per Line'!$H$2:$H$3001,$AD628)&amp;"")</f>
        <v/>
      </c>
      <c r="J628">
        <f>IF($AD628="","",INDEX('Per Line'!$F$2:$F$3001,$AD628)&amp;"")</f>
        <v/>
      </c>
      <c r="K628">
        <f>IF($AD628="","",INDEX('Per Line'!$K$2:$K$3001,$AD628)&amp;"")</f>
        <v/>
      </c>
      <c r="L628">
        <f>IF($AD628="","",INDEX('Per Line'!$L$2:$L$3001,$AD628)&amp;"")</f>
        <v/>
      </c>
      <c r="M628">
        <f>IF($AD628="","",INDEX('Per Line'!$M$2:$M$3001,$AD628)&amp;"")</f>
        <v/>
      </c>
      <c r="N628">
        <f>IF($AD628="","",INDEX('Per Line'!$AC$2:$AC$3001,$AD628)&amp;"")</f>
        <v/>
      </c>
      <c r="O628">
        <f>IF($AD628="","",INDEX('Per Line'!$P$2:$P$3001,$AD628))</f>
        <v/>
      </c>
      <c r="P628" s="7">
        <f>IF($AD628="","",IF(AND(ISNUMBER(Q628),Q628&gt;0,AB628&gt;Q628),O628*Q628/100+(AB628-Q628),O628*AB628/100))</f>
        <v/>
      </c>
      <c r="Q628">
        <f>IF($AD628="","",INDEX('Per Line'!$AG$2:$AG$3001,$AD628))</f>
        <v/>
      </c>
      <c r="R628">
        <f>IF($AD628="","",IF(AND(ISNUMBER(Q628),Q628&gt;0),AB628&gt;Q628,FALSE))</f>
        <v/>
      </c>
      <c r="S628" s="7">
        <f>IF($AD628="","",SUMIFS('Per Line'!$AB$2:$AB$3001,'Per Line'!$E$2:$E$3001,$B628,'Per Line'!$AQ$2:$AQ$3001,1))</f>
        <v/>
      </c>
      <c r="T628">
        <f>IF($AD628="","",Settings!$C$7)</f>
        <v/>
      </c>
      <c r="U628" s="7">
        <f>IF($AD628="","",SUMIFS('Per Line'!$AB$2:$AB$3001,'Per Line'!$E$2:$E$3001,$B628,'Per Line'!$AP$2:$AP$3001,0,'Per Line'!$AQ$2:$AQ$3001,0))</f>
        <v/>
      </c>
      <c r="V628" s="7">
        <f>IF($AD628="","",U628*T628)</f>
        <v/>
      </c>
      <c r="W628">
        <f>IF($AD628="","",Settings!$C$6)</f>
        <v/>
      </c>
      <c r="X628" s="7">
        <f>IF($AD628="","",SUMIFS('Per Line'!$AB$2:$AB$3001,'Per Line'!$E$2:$E$3001,$B628,'Per Line'!$AP$2:$AP$3001,1,'Per Line'!$AQ$2:$AQ$3001,0))</f>
        <v/>
      </c>
      <c r="Y628" s="7">
        <f>IF($AD628="","",X628*W628)</f>
        <v/>
      </c>
      <c r="Z628" s="7">
        <f>IF($AD628="","",Y628+V628)</f>
        <v/>
      </c>
      <c r="AA628" s="7">
        <f>IF($AD628="","",AB628-Z628)</f>
        <v/>
      </c>
      <c r="AB628" s="7">
        <f>IF($AD628="","",U628+X628+S628)</f>
        <v/>
      </c>
      <c r="AC628" s="7">
        <f>IF($AD628="","",AB628-Z628-P628)</f>
        <v/>
      </c>
      <c r="AD628" s="13">
        <f>IF(ROWS($AD$2:$AD628)&lt;=MAX('Per Line'!$AO$2:$AO$3001),MATCH(ROWS($AD$2:$AD628),'Per Line'!$AO$2:$AO$3001,0),"")</f>
        <v/>
      </c>
      <c r="AE628" s="14">
        <f>IF($AD628="","",P628-O628*AB628/100)</f>
        <v/>
      </c>
    </row>
    <row r="629">
      <c r="A629" s="12" t="n"/>
      <c r="B629">
        <f>IF($AD629="","",INDEX('Per Line'!$E$2:$E$3001,$AD629)&amp;"")</f>
        <v/>
      </c>
      <c r="C629">
        <f>IF($AD629="","",INDEX('Per Line'!$A$2:$A$3001,$AD629)&amp;"")</f>
        <v/>
      </c>
      <c r="D629">
        <f>IF($AD629="","",INDEX('Per Line'!$C$2:$C$3001,$AD629)&amp;"")</f>
        <v/>
      </c>
      <c r="E629">
        <f>IF($AD629="","",INDEX('Per Line'!$B$2:$B$3001,$AD629))</f>
        <v/>
      </c>
      <c r="F629">
        <f>IF($AD629="","",INDEX('Per Line'!$D$2:$D$3001,$AD629)&amp;"")</f>
        <v/>
      </c>
      <c r="G629" s="11">
        <f>IF($AD629="","",INDEX('Per Line'!$G$2:$G$3001,$AD629))</f>
        <v/>
      </c>
      <c r="H629">
        <f>IF($AD629="","",INDEX('Per Line'!$J$2:$J$3001,$AD629)&amp;"")</f>
        <v/>
      </c>
      <c r="I629">
        <f>IF($AD629="","",INDEX('Per Line'!$H$2:$H$3001,$AD629)&amp;"")</f>
        <v/>
      </c>
      <c r="J629">
        <f>IF($AD629="","",INDEX('Per Line'!$F$2:$F$3001,$AD629)&amp;"")</f>
        <v/>
      </c>
      <c r="K629">
        <f>IF($AD629="","",INDEX('Per Line'!$K$2:$K$3001,$AD629)&amp;"")</f>
        <v/>
      </c>
      <c r="L629">
        <f>IF($AD629="","",INDEX('Per Line'!$L$2:$L$3001,$AD629)&amp;"")</f>
        <v/>
      </c>
      <c r="M629">
        <f>IF($AD629="","",INDEX('Per Line'!$M$2:$M$3001,$AD629)&amp;"")</f>
        <v/>
      </c>
      <c r="N629">
        <f>IF($AD629="","",INDEX('Per Line'!$AC$2:$AC$3001,$AD629)&amp;"")</f>
        <v/>
      </c>
      <c r="O629">
        <f>IF($AD629="","",INDEX('Per Line'!$P$2:$P$3001,$AD629))</f>
        <v/>
      </c>
      <c r="P629" s="7">
        <f>IF($AD629="","",IF(AND(ISNUMBER(Q629),Q629&gt;0,AB629&gt;Q629),O629*Q629/100+(AB629-Q629),O629*AB629/100))</f>
        <v/>
      </c>
      <c r="Q629">
        <f>IF($AD629="","",INDEX('Per Line'!$AG$2:$AG$3001,$AD629))</f>
        <v/>
      </c>
      <c r="R629">
        <f>IF($AD629="","",IF(AND(ISNUMBER(Q629),Q629&gt;0),AB629&gt;Q629,FALSE))</f>
        <v/>
      </c>
      <c r="S629" s="7">
        <f>IF($AD629="","",SUMIFS('Per Line'!$AB$2:$AB$3001,'Per Line'!$E$2:$E$3001,$B629,'Per Line'!$AQ$2:$AQ$3001,1))</f>
        <v/>
      </c>
      <c r="T629">
        <f>IF($AD629="","",Settings!$C$7)</f>
        <v/>
      </c>
      <c r="U629" s="7">
        <f>IF($AD629="","",SUMIFS('Per Line'!$AB$2:$AB$3001,'Per Line'!$E$2:$E$3001,$B629,'Per Line'!$AP$2:$AP$3001,0,'Per Line'!$AQ$2:$AQ$3001,0))</f>
        <v/>
      </c>
      <c r="V629" s="7">
        <f>IF($AD629="","",U629*T629)</f>
        <v/>
      </c>
      <c r="W629">
        <f>IF($AD629="","",Settings!$C$6)</f>
        <v/>
      </c>
      <c r="X629" s="7">
        <f>IF($AD629="","",SUMIFS('Per Line'!$AB$2:$AB$3001,'Per Line'!$E$2:$E$3001,$B629,'Per Line'!$AP$2:$AP$3001,1,'Per Line'!$AQ$2:$AQ$3001,0))</f>
        <v/>
      </c>
      <c r="Y629" s="7">
        <f>IF($AD629="","",X629*W629)</f>
        <v/>
      </c>
      <c r="Z629" s="7">
        <f>IF($AD629="","",Y629+V629)</f>
        <v/>
      </c>
      <c r="AA629" s="7">
        <f>IF($AD629="","",AB629-Z629)</f>
        <v/>
      </c>
      <c r="AB629" s="7">
        <f>IF($AD629="","",U629+X629+S629)</f>
        <v/>
      </c>
      <c r="AC629" s="7">
        <f>IF($AD629="","",AB629-Z629-P629)</f>
        <v/>
      </c>
      <c r="AD629" s="13">
        <f>IF(ROWS($AD$2:$AD629)&lt;=MAX('Per Line'!$AO$2:$AO$3001),MATCH(ROWS($AD$2:$AD629),'Per Line'!$AO$2:$AO$3001,0),"")</f>
        <v/>
      </c>
      <c r="AE629" s="14">
        <f>IF($AD629="","",P629-O629*AB629/100)</f>
        <v/>
      </c>
    </row>
    <row r="630">
      <c r="A630" s="12" t="n"/>
      <c r="B630">
        <f>IF($AD630="","",INDEX('Per Line'!$E$2:$E$3001,$AD630)&amp;"")</f>
        <v/>
      </c>
      <c r="C630">
        <f>IF($AD630="","",INDEX('Per Line'!$A$2:$A$3001,$AD630)&amp;"")</f>
        <v/>
      </c>
      <c r="D630">
        <f>IF($AD630="","",INDEX('Per Line'!$C$2:$C$3001,$AD630)&amp;"")</f>
        <v/>
      </c>
      <c r="E630">
        <f>IF($AD630="","",INDEX('Per Line'!$B$2:$B$3001,$AD630))</f>
        <v/>
      </c>
      <c r="F630">
        <f>IF($AD630="","",INDEX('Per Line'!$D$2:$D$3001,$AD630)&amp;"")</f>
        <v/>
      </c>
      <c r="G630" s="11">
        <f>IF($AD630="","",INDEX('Per Line'!$G$2:$G$3001,$AD630))</f>
        <v/>
      </c>
      <c r="H630">
        <f>IF($AD630="","",INDEX('Per Line'!$J$2:$J$3001,$AD630)&amp;"")</f>
        <v/>
      </c>
      <c r="I630">
        <f>IF($AD630="","",INDEX('Per Line'!$H$2:$H$3001,$AD630)&amp;"")</f>
        <v/>
      </c>
      <c r="J630">
        <f>IF($AD630="","",INDEX('Per Line'!$F$2:$F$3001,$AD630)&amp;"")</f>
        <v/>
      </c>
      <c r="K630">
        <f>IF($AD630="","",INDEX('Per Line'!$K$2:$K$3001,$AD630)&amp;"")</f>
        <v/>
      </c>
      <c r="L630">
        <f>IF($AD630="","",INDEX('Per Line'!$L$2:$L$3001,$AD630)&amp;"")</f>
        <v/>
      </c>
      <c r="M630">
        <f>IF($AD630="","",INDEX('Per Line'!$M$2:$M$3001,$AD630)&amp;"")</f>
        <v/>
      </c>
      <c r="N630">
        <f>IF($AD630="","",INDEX('Per Line'!$AC$2:$AC$3001,$AD630)&amp;"")</f>
        <v/>
      </c>
      <c r="O630">
        <f>IF($AD630="","",INDEX('Per Line'!$P$2:$P$3001,$AD630))</f>
        <v/>
      </c>
      <c r="P630" s="7">
        <f>IF($AD630="","",IF(AND(ISNUMBER(Q630),Q630&gt;0,AB630&gt;Q630),O630*Q630/100+(AB630-Q630),O630*AB630/100))</f>
        <v/>
      </c>
      <c r="Q630">
        <f>IF($AD630="","",INDEX('Per Line'!$AG$2:$AG$3001,$AD630))</f>
        <v/>
      </c>
      <c r="R630">
        <f>IF($AD630="","",IF(AND(ISNUMBER(Q630),Q630&gt;0),AB630&gt;Q630,FALSE))</f>
        <v/>
      </c>
      <c r="S630" s="7">
        <f>IF($AD630="","",SUMIFS('Per Line'!$AB$2:$AB$3001,'Per Line'!$E$2:$E$3001,$B630,'Per Line'!$AQ$2:$AQ$3001,1))</f>
        <v/>
      </c>
      <c r="T630">
        <f>IF($AD630="","",Settings!$C$7)</f>
        <v/>
      </c>
      <c r="U630" s="7">
        <f>IF($AD630="","",SUMIFS('Per Line'!$AB$2:$AB$3001,'Per Line'!$E$2:$E$3001,$B630,'Per Line'!$AP$2:$AP$3001,0,'Per Line'!$AQ$2:$AQ$3001,0))</f>
        <v/>
      </c>
      <c r="V630" s="7">
        <f>IF($AD630="","",U630*T630)</f>
        <v/>
      </c>
      <c r="W630">
        <f>IF($AD630="","",Settings!$C$6)</f>
        <v/>
      </c>
      <c r="X630" s="7">
        <f>IF($AD630="","",SUMIFS('Per Line'!$AB$2:$AB$3001,'Per Line'!$E$2:$E$3001,$B630,'Per Line'!$AP$2:$AP$3001,1,'Per Line'!$AQ$2:$AQ$3001,0))</f>
        <v/>
      </c>
      <c r="Y630" s="7">
        <f>IF($AD630="","",X630*W630)</f>
        <v/>
      </c>
      <c r="Z630" s="7">
        <f>IF($AD630="","",Y630+V630)</f>
        <v/>
      </c>
      <c r="AA630" s="7">
        <f>IF($AD630="","",AB630-Z630)</f>
        <v/>
      </c>
      <c r="AB630" s="7">
        <f>IF($AD630="","",U630+X630+S630)</f>
        <v/>
      </c>
      <c r="AC630" s="7">
        <f>IF($AD630="","",AB630-Z630-P630)</f>
        <v/>
      </c>
      <c r="AD630" s="13">
        <f>IF(ROWS($AD$2:$AD630)&lt;=MAX('Per Line'!$AO$2:$AO$3001),MATCH(ROWS($AD$2:$AD630),'Per Line'!$AO$2:$AO$3001,0),"")</f>
        <v/>
      </c>
      <c r="AE630" s="14">
        <f>IF($AD630="","",P630-O630*AB630/100)</f>
        <v/>
      </c>
    </row>
    <row r="631">
      <c r="A631" s="12" t="n"/>
      <c r="B631">
        <f>IF($AD631="","",INDEX('Per Line'!$E$2:$E$3001,$AD631)&amp;"")</f>
        <v/>
      </c>
      <c r="C631">
        <f>IF($AD631="","",INDEX('Per Line'!$A$2:$A$3001,$AD631)&amp;"")</f>
        <v/>
      </c>
      <c r="D631">
        <f>IF($AD631="","",INDEX('Per Line'!$C$2:$C$3001,$AD631)&amp;"")</f>
        <v/>
      </c>
      <c r="E631">
        <f>IF($AD631="","",INDEX('Per Line'!$B$2:$B$3001,$AD631))</f>
        <v/>
      </c>
      <c r="F631">
        <f>IF($AD631="","",INDEX('Per Line'!$D$2:$D$3001,$AD631)&amp;"")</f>
        <v/>
      </c>
      <c r="G631" s="11">
        <f>IF($AD631="","",INDEX('Per Line'!$G$2:$G$3001,$AD631))</f>
        <v/>
      </c>
      <c r="H631">
        <f>IF($AD631="","",INDEX('Per Line'!$J$2:$J$3001,$AD631)&amp;"")</f>
        <v/>
      </c>
      <c r="I631">
        <f>IF($AD631="","",INDEX('Per Line'!$H$2:$H$3001,$AD631)&amp;"")</f>
        <v/>
      </c>
      <c r="J631">
        <f>IF($AD631="","",INDEX('Per Line'!$F$2:$F$3001,$AD631)&amp;"")</f>
        <v/>
      </c>
      <c r="K631">
        <f>IF($AD631="","",INDEX('Per Line'!$K$2:$K$3001,$AD631)&amp;"")</f>
        <v/>
      </c>
      <c r="L631">
        <f>IF($AD631="","",INDEX('Per Line'!$L$2:$L$3001,$AD631)&amp;"")</f>
        <v/>
      </c>
      <c r="M631">
        <f>IF($AD631="","",INDEX('Per Line'!$M$2:$M$3001,$AD631)&amp;"")</f>
        <v/>
      </c>
      <c r="N631">
        <f>IF($AD631="","",INDEX('Per Line'!$AC$2:$AC$3001,$AD631)&amp;"")</f>
        <v/>
      </c>
      <c r="O631">
        <f>IF($AD631="","",INDEX('Per Line'!$P$2:$P$3001,$AD631))</f>
        <v/>
      </c>
      <c r="P631" s="7">
        <f>IF($AD631="","",IF(AND(ISNUMBER(Q631),Q631&gt;0,AB631&gt;Q631),O631*Q631/100+(AB631-Q631),O631*AB631/100))</f>
        <v/>
      </c>
      <c r="Q631">
        <f>IF($AD631="","",INDEX('Per Line'!$AG$2:$AG$3001,$AD631))</f>
        <v/>
      </c>
      <c r="R631">
        <f>IF($AD631="","",IF(AND(ISNUMBER(Q631),Q631&gt;0),AB631&gt;Q631,FALSE))</f>
        <v/>
      </c>
      <c r="S631" s="7">
        <f>IF($AD631="","",SUMIFS('Per Line'!$AB$2:$AB$3001,'Per Line'!$E$2:$E$3001,$B631,'Per Line'!$AQ$2:$AQ$3001,1))</f>
        <v/>
      </c>
      <c r="T631">
        <f>IF($AD631="","",Settings!$C$7)</f>
        <v/>
      </c>
      <c r="U631" s="7">
        <f>IF($AD631="","",SUMIFS('Per Line'!$AB$2:$AB$3001,'Per Line'!$E$2:$E$3001,$B631,'Per Line'!$AP$2:$AP$3001,0,'Per Line'!$AQ$2:$AQ$3001,0))</f>
        <v/>
      </c>
      <c r="V631" s="7">
        <f>IF($AD631="","",U631*T631)</f>
        <v/>
      </c>
      <c r="W631">
        <f>IF($AD631="","",Settings!$C$6)</f>
        <v/>
      </c>
      <c r="X631" s="7">
        <f>IF($AD631="","",SUMIFS('Per Line'!$AB$2:$AB$3001,'Per Line'!$E$2:$E$3001,$B631,'Per Line'!$AP$2:$AP$3001,1,'Per Line'!$AQ$2:$AQ$3001,0))</f>
        <v/>
      </c>
      <c r="Y631" s="7">
        <f>IF($AD631="","",X631*W631)</f>
        <v/>
      </c>
      <c r="Z631" s="7">
        <f>IF($AD631="","",Y631+V631)</f>
        <v/>
      </c>
      <c r="AA631" s="7">
        <f>IF($AD631="","",AB631-Z631)</f>
        <v/>
      </c>
      <c r="AB631" s="7">
        <f>IF($AD631="","",U631+X631+S631)</f>
        <v/>
      </c>
      <c r="AC631" s="7">
        <f>IF($AD631="","",AB631-Z631-P631)</f>
        <v/>
      </c>
      <c r="AD631" s="13">
        <f>IF(ROWS($AD$2:$AD631)&lt;=MAX('Per Line'!$AO$2:$AO$3001),MATCH(ROWS($AD$2:$AD631),'Per Line'!$AO$2:$AO$3001,0),"")</f>
        <v/>
      </c>
      <c r="AE631" s="14">
        <f>IF($AD631="","",P631-O631*AB631/100)</f>
        <v/>
      </c>
    </row>
    <row r="632">
      <c r="A632" s="12" t="n"/>
      <c r="B632">
        <f>IF($AD632="","",INDEX('Per Line'!$E$2:$E$3001,$AD632)&amp;"")</f>
        <v/>
      </c>
      <c r="C632">
        <f>IF($AD632="","",INDEX('Per Line'!$A$2:$A$3001,$AD632)&amp;"")</f>
        <v/>
      </c>
      <c r="D632">
        <f>IF($AD632="","",INDEX('Per Line'!$C$2:$C$3001,$AD632)&amp;"")</f>
        <v/>
      </c>
      <c r="E632">
        <f>IF($AD632="","",INDEX('Per Line'!$B$2:$B$3001,$AD632))</f>
        <v/>
      </c>
      <c r="F632">
        <f>IF($AD632="","",INDEX('Per Line'!$D$2:$D$3001,$AD632)&amp;"")</f>
        <v/>
      </c>
      <c r="G632" s="11">
        <f>IF($AD632="","",INDEX('Per Line'!$G$2:$G$3001,$AD632))</f>
        <v/>
      </c>
      <c r="H632">
        <f>IF($AD632="","",INDEX('Per Line'!$J$2:$J$3001,$AD632)&amp;"")</f>
        <v/>
      </c>
      <c r="I632">
        <f>IF($AD632="","",INDEX('Per Line'!$H$2:$H$3001,$AD632)&amp;"")</f>
        <v/>
      </c>
      <c r="J632">
        <f>IF($AD632="","",INDEX('Per Line'!$F$2:$F$3001,$AD632)&amp;"")</f>
        <v/>
      </c>
      <c r="K632">
        <f>IF($AD632="","",INDEX('Per Line'!$K$2:$K$3001,$AD632)&amp;"")</f>
        <v/>
      </c>
      <c r="L632">
        <f>IF($AD632="","",INDEX('Per Line'!$L$2:$L$3001,$AD632)&amp;"")</f>
        <v/>
      </c>
      <c r="M632">
        <f>IF($AD632="","",INDEX('Per Line'!$M$2:$M$3001,$AD632)&amp;"")</f>
        <v/>
      </c>
      <c r="N632">
        <f>IF($AD632="","",INDEX('Per Line'!$AC$2:$AC$3001,$AD632)&amp;"")</f>
        <v/>
      </c>
      <c r="O632">
        <f>IF($AD632="","",INDEX('Per Line'!$P$2:$P$3001,$AD632))</f>
        <v/>
      </c>
      <c r="P632" s="7">
        <f>IF($AD632="","",IF(AND(ISNUMBER(Q632),Q632&gt;0,AB632&gt;Q632),O632*Q632/100+(AB632-Q632),O632*AB632/100))</f>
        <v/>
      </c>
      <c r="Q632">
        <f>IF($AD632="","",INDEX('Per Line'!$AG$2:$AG$3001,$AD632))</f>
        <v/>
      </c>
      <c r="R632">
        <f>IF($AD632="","",IF(AND(ISNUMBER(Q632),Q632&gt;0),AB632&gt;Q632,FALSE))</f>
        <v/>
      </c>
      <c r="S632" s="7">
        <f>IF($AD632="","",SUMIFS('Per Line'!$AB$2:$AB$3001,'Per Line'!$E$2:$E$3001,$B632,'Per Line'!$AQ$2:$AQ$3001,1))</f>
        <v/>
      </c>
      <c r="T632">
        <f>IF($AD632="","",Settings!$C$7)</f>
        <v/>
      </c>
      <c r="U632" s="7">
        <f>IF($AD632="","",SUMIFS('Per Line'!$AB$2:$AB$3001,'Per Line'!$E$2:$E$3001,$B632,'Per Line'!$AP$2:$AP$3001,0,'Per Line'!$AQ$2:$AQ$3001,0))</f>
        <v/>
      </c>
      <c r="V632" s="7">
        <f>IF($AD632="","",U632*T632)</f>
        <v/>
      </c>
      <c r="W632">
        <f>IF($AD632="","",Settings!$C$6)</f>
        <v/>
      </c>
      <c r="X632" s="7">
        <f>IF($AD632="","",SUMIFS('Per Line'!$AB$2:$AB$3001,'Per Line'!$E$2:$E$3001,$B632,'Per Line'!$AP$2:$AP$3001,1,'Per Line'!$AQ$2:$AQ$3001,0))</f>
        <v/>
      </c>
      <c r="Y632" s="7">
        <f>IF($AD632="","",X632*W632)</f>
        <v/>
      </c>
      <c r="Z632" s="7">
        <f>IF($AD632="","",Y632+V632)</f>
        <v/>
      </c>
      <c r="AA632" s="7">
        <f>IF($AD632="","",AB632-Z632)</f>
        <v/>
      </c>
      <c r="AB632" s="7">
        <f>IF($AD632="","",U632+X632+S632)</f>
        <v/>
      </c>
      <c r="AC632" s="7">
        <f>IF($AD632="","",AB632-Z632-P632)</f>
        <v/>
      </c>
      <c r="AD632" s="13">
        <f>IF(ROWS($AD$2:$AD632)&lt;=MAX('Per Line'!$AO$2:$AO$3001),MATCH(ROWS($AD$2:$AD632),'Per Line'!$AO$2:$AO$3001,0),"")</f>
        <v/>
      </c>
      <c r="AE632" s="14">
        <f>IF($AD632="","",P632-O632*AB632/100)</f>
        <v/>
      </c>
    </row>
    <row r="633">
      <c r="A633" s="12" t="n"/>
      <c r="B633">
        <f>IF($AD633="","",INDEX('Per Line'!$E$2:$E$3001,$AD633)&amp;"")</f>
        <v/>
      </c>
      <c r="C633">
        <f>IF($AD633="","",INDEX('Per Line'!$A$2:$A$3001,$AD633)&amp;"")</f>
        <v/>
      </c>
      <c r="D633">
        <f>IF($AD633="","",INDEX('Per Line'!$C$2:$C$3001,$AD633)&amp;"")</f>
        <v/>
      </c>
      <c r="E633">
        <f>IF($AD633="","",INDEX('Per Line'!$B$2:$B$3001,$AD633))</f>
        <v/>
      </c>
      <c r="F633">
        <f>IF($AD633="","",INDEX('Per Line'!$D$2:$D$3001,$AD633)&amp;"")</f>
        <v/>
      </c>
      <c r="G633" s="11">
        <f>IF($AD633="","",INDEX('Per Line'!$G$2:$G$3001,$AD633))</f>
        <v/>
      </c>
      <c r="H633">
        <f>IF($AD633="","",INDEX('Per Line'!$J$2:$J$3001,$AD633)&amp;"")</f>
        <v/>
      </c>
      <c r="I633">
        <f>IF($AD633="","",INDEX('Per Line'!$H$2:$H$3001,$AD633)&amp;"")</f>
        <v/>
      </c>
      <c r="J633">
        <f>IF($AD633="","",INDEX('Per Line'!$F$2:$F$3001,$AD633)&amp;"")</f>
        <v/>
      </c>
      <c r="K633">
        <f>IF($AD633="","",INDEX('Per Line'!$K$2:$K$3001,$AD633)&amp;"")</f>
        <v/>
      </c>
      <c r="L633">
        <f>IF($AD633="","",INDEX('Per Line'!$L$2:$L$3001,$AD633)&amp;"")</f>
        <v/>
      </c>
      <c r="M633">
        <f>IF($AD633="","",INDEX('Per Line'!$M$2:$M$3001,$AD633)&amp;"")</f>
        <v/>
      </c>
      <c r="N633">
        <f>IF($AD633="","",INDEX('Per Line'!$AC$2:$AC$3001,$AD633)&amp;"")</f>
        <v/>
      </c>
      <c r="O633">
        <f>IF($AD633="","",INDEX('Per Line'!$P$2:$P$3001,$AD633))</f>
        <v/>
      </c>
      <c r="P633" s="7">
        <f>IF($AD633="","",IF(AND(ISNUMBER(Q633),Q633&gt;0,AB633&gt;Q633),O633*Q633/100+(AB633-Q633),O633*AB633/100))</f>
        <v/>
      </c>
      <c r="Q633">
        <f>IF($AD633="","",INDEX('Per Line'!$AG$2:$AG$3001,$AD633))</f>
        <v/>
      </c>
      <c r="R633">
        <f>IF($AD633="","",IF(AND(ISNUMBER(Q633),Q633&gt;0),AB633&gt;Q633,FALSE))</f>
        <v/>
      </c>
      <c r="S633" s="7">
        <f>IF($AD633="","",SUMIFS('Per Line'!$AB$2:$AB$3001,'Per Line'!$E$2:$E$3001,$B633,'Per Line'!$AQ$2:$AQ$3001,1))</f>
        <v/>
      </c>
      <c r="T633">
        <f>IF($AD633="","",Settings!$C$7)</f>
        <v/>
      </c>
      <c r="U633" s="7">
        <f>IF($AD633="","",SUMIFS('Per Line'!$AB$2:$AB$3001,'Per Line'!$E$2:$E$3001,$B633,'Per Line'!$AP$2:$AP$3001,0,'Per Line'!$AQ$2:$AQ$3001,0))</f>
        <v/>
      </c>
      <c r="V633" s="7">
        <f>IF($AD633="","",U633*T633)</f>
        <v/>
      </c>
      <c r="W633">
        <f>IF($AD633="","",Settings!$C$6)</f>
        <v/>
      </c>
      <c r="X633" s="7">
        <f>IF($AD633="","",SUMIFS('Per Line'!$AB$2:$AB$3001,'Per Line'!$E$2:$E$3001,$B633,'Per Line'!$AP$2:$AP$3001,1,'Per Line'!$AQ$2:$AQ$3001,0))</f>
        <v/>
      </c>
      <c r="Y633" s="7">
        <f>IF($AD633="","",X633*W633)</f>
        <v/>
      </c>
      <c r="Z633" s="7">
        <f>IF($AD633="","",Y633+V633)</f>
        <v/>
      </c>
      <c r="AA633" s="7">
        <f>IF($AD633="","",AB633-Z633)</f>
        <v/>
      </c>
      <c r="AB633" s="7">
        <f>IF($AD633="","",U633+X633+S633)</f>
        <v/>
      </c>
      <c r="AC633" s="7">
        <f>IF($AD633="","",AB633-Z633-P633)</f>
        <v/>
      </c>
      <c r="AD633" s="13">
        <f>IF(ROWS($AD$2:$AD633)&lt;=MAX('Per Line'!$AO$2:$AO$3001),MATCH(ROWS($AD$2:$AD633),'Per Line'!$AO$2:$AO$3001,0),"")</f>
        <v/>
      </c>
      <c r="AE633" s="14">
        <f>IF($AD633="","",P633-O633*AB633/100)</f>
        <v/>
      </c>
    </row>
    <row r="634">
      <c r="A634" s="12" t="n"/>
      <c r="B634">
        <f>IF($AD634="","",INDEX('Per Line'!$E$2:$E$3001,$AD634)&amp;"")</f>
        <v/>
      </c>
      <c r="C634">
        <f>IF($AD634="","",INDEX('Per Line'!$A$2:$A$3001,$AD634)&amp;"")</f>
        <v/>
      </c>
      <c r="D634">
        <f>IF($AD634="","",INDEX('Per Line'!$C$2:$C$3001,$AD634)&amp;"")</f>
        <v/>
      </c>
      <c r="E634">
        <f>IF($AD634="","",INDEX('Per Line'!$B$2:$B$3001,$AD634))</f>
        <v/>
      </c>
      <c r="F634">
        <f>IF($AD634="","",INDEX('Per Line'!$D$2:$D$3001,$AD634)&amp;"")</f>
        <v/>
      </c>
      <c r="G634" s="11">
        <f>IF($AD634="","",INDEX('Per Line'!$G$2:$G$3001,$AD634))</f>
        <v/>
      </c>
      <c r="H634">
        <f>IF($AD634="","",INDEX('Per Line'!$J$2:$J$3001,$AD634)&amp;"")</f>
        <v/>
      </c>
      <c r="I634">
        <f>IF($AD634="","",INDEX('Per Line'!$H$2:$H$3001,$AD634)&amp;"")</f>
        <v/>
      </c>
      <c r="J634">
        <f>IF($AD634="","",INDEX('Per Line'!$F$2:$F$3001,$AD634)&amp;"")</f>
        <v/>
      </c>
      <c r="K634">
        <f>IF($AD634="","",INDEX('Per Line'!$K$2:$K$3001,$AD634)&amp;"")</f>
        <v/>
      </c>
      <c r="L634">
        <f>IF($AD634="","",INDEX('Per Line'!$L$2:$L$3001,$AD634)&amp;"")</f>
        <v/>
      </c>
      <c r="M634">
        <f>IF($AD634="","",INDEX('Per Line'!$M$2:$M$3001,$AD634)&amp;"")</f>
        <v/>
      </c>
      <c r="N634">
        <f>IF($AD634="","",INDEX('Per Line'!$AC$2:$AC$3001,$AD634)&amp;"")</f>
        <v/>
      </c>
      <c r="O634">
        <f>IF($AD634="","",INDEX('Per Line'!$P$2:$P$3001,$AD634))</f>
        <v/>
      </c>
      <c r="P634" s="7">
        <f>IF($AD634="","",IF(AND(ISNUMBER(Q634),Q634&gt;0,AB634&gt;Q634),O634*Q634/100+(AB634-Q634),O634*AB634/100))</f>
        <v/>
      </c>
      <c r="Q634">
        <f>IF($AD634="","",INDEX('Per Line'!$AG$2:$AG$3001,$AD634))</f>
        <v/>
      </c>
      <c r="R634">
        <f>IF($AD634="","",IF(AND(ISNUMBER(Q634),Q634&gt;0),AB634&gt;Q634,FALSE))</f>
        <v/>
      </c>
      <c r="S634" s="7">
        <f>IF($AD634="","",SUMIFS('Per Line'!$AB$2:$AB$3001,'Per Line'!$E$2:$E$3001,$B634,'Per Line'!$AQ$2:$AQ$3001,1))</f>
        <v/>
      </c>
      <c r="T634">
        <f>IF($AD634="","",Settings!$C$7)</f>
        <v/>
      </c>
      <c r="U634" s="7">
        <f>IF($AD634="","",SUMIFS('Per Line'!$AB$2:$AB$3001,'Per Line'!$E$2:$E$3001,$B634,'Per Line'!$AP$2:$AP$3001,0,'Per Line'!$AQ$2:$AQ$3001,0))</f>
        <v/>
      </c>
      <c r="V634" s="7">
        <f>IF($AD634="","",U634*T634)</f>
        <v/>
      </c>
      <c r="W634">
        <f>IF($AD634="","",Settings!$C$6)</f>
        <v/>
      </c>
      <c r="X634" s="7">
        <f>IF($AD634="","",SUMIFS('Per Line'!$AB$2:$AB$3001,'Per Line'!$E$2:$E$3001,$B634,'Per Line'!$AP$2:$AP$3001,1,'Per Line'!$AQ$2:$AQ$3001,0))</f>
        <v/>
      </c>
      <c r="Y634" s="7">
        <f>IF($AD634="","",X634*W634)</f>
        <v/>
      </c>
      <c r="Z634" s="7">
        <f>IF($AD634="","",Y634+V634)</f>
        <v/>
      </c>
      <c r="AA634" s="7">
        <f>IF($AD634="","",AB634-Z634)</f>
        <v/>
      </c>
      <c r="AB634" s="7">
        <f>IF($AD634="","",U634+X634+S634)</f>
        <v/>
      </c>
      <c r="AC634" s="7">
        <f>IF($AD634="","",AB634-Z634-P634)</f>
        <v/>
      </c>
      <c r="AD634" s="13">
        <f>IF(ROWS($AD$2:$AD634)&lt;=MAX('Per Line'!$AO$2:$AO$3001),MATCH(ROWS($AD$2:$AD634),'Per Line'!$AO$2:$AO$3001,0),"")</f>
        <v/>
      </c>
      <c r="AE634" s="14">
        <f>IF($AD634="","",P634-O634*AB634/100)</f>
        <v/>
      </c>
    </row>
    <row r="635">
      <c r="A635" s="12" t="n"/>
      <c r="B635">
        <f>IF($AD635="","",INDEX('Per Line'!$E$2:$E$3001,$AD635)&amp;"")</f>
        <v/>
      </c>
      <c r="C635">
        <f>IF($AD635="","",INDEX('Per Line'!$A$2:$A$3001,$AD635)&amp;"")</f>
        <v/>
      </c>
      <c r="D635">
        <f>IF($AD635="","",INDEX('Per Line'!$C$2:$C$3001,$AD635)&amp;"")</f>
        <v/>
      </c>
      <c r="E635">
        <f>IF($AD635="","",INDEX('Per Line'!$B$2:$B$3001,$AD635))</f>
        <v/>
      </c>
      <c r="F635">
        <f>IF($AD635="","",INDEX('Per Line'!$D$2:$D$3001,$AD635)&amp;"")</f>
        <v/>
      </c>
      <c r="G635" s="11">
        <f>IF($AD635="","",INDEX('Per Line'!$G$2:$G$3001,$AD635))</f>
        <v/>
      </c>
      <c r="H635">
        <f>IF($AD635="","",INDEX('Per Line'!$J$2:$J$3001,$AD635)&amp;"")</f>
        <v/>
      </c>
      <c r="I635">
        <f>IF($AD635="","",INDEX('Per Line'!$H$2:$H$3001,$AD635)&amp;"")</f>
        <v/>
      </c>
      <c r="J635">
        <f>IF($AD635="","",INDEX('Per Line'!$F$2:$F$3001,$AD635)&amp;"")</f>
        <v/>
      </c>
      <c r="K635">
        <f>IF($AD635="","",INDEX('Per Line'!$K$2:$K$3001,$AD635)&amp;"")</f>
        <v/>
      </c>
      <c r="L635">
        <f>IF($AD635="","",INDEX('Per Line'!$L$2:$L$3001,$AD635)&amp;"")</f>
        <v/>
      </c>
      <c r="M635">
        <f>IF($AD635="","",INDEX('Per Line'!$M$2:$M$3001,$AD635)&amp;"")</f>
        <v/>
      </c>
      <c r="N635">
        <f>IF($AD635="","",INDEX('Per Line'!$AC$2:$AC$3001,$AD635)&amp;"")</f>
        <v/>
      </c>
      <c r="O635">
        <f>IF($AD635="","",INDEX('Per Line'!$P$2:$P$3001,$AD635))</f>
        <v/>
      </c>
      <c r="P635" s="7">
        <f>IF($AD635="","",IF(AND(ISNUMBER(Q635),Q635&gt;0,AB635&gt;Q635),O635*Q635/100+(AB635-Q635),O635*AB635/100))</f>
        <v/>
      </c>
      <c r="Q635">
        <f>IF($AD635="","",INDEX('Per Line'!$AG$2:$AG$3001,$AD635))</f>
        <v/>
      </c>
      <c r="R635">
        <f>IF($AD635="","",IF(AND(ISNUMBER(Q635),Q635&gt;0),AB635&gt;Q635,FALSE))</f>
        <v/>
      </c>
      <c r="S635" s="7">
        <f>IF($AD635="","",SUMIFS('Per Line'!$AB$2:$AB$3001,'Per Line'!$E$2:$E$3001,$B635,'Per Line'!$AQ$2:$AQ$3001,1))</f>
        <v/>
      </c>
      <c r="T635">
        <f>IF($AD635="","",Settings!$C$7)</f>
        <v/>
      </c>
      <c r="U635" s="7">
        <f>IF($AD635="","",SUMIFS('Per Line'!$AB$2:$AB$3001,'Per Line'!$E$2:$E$3001,$B635,'Per Line'!$AP$2:$AP$3001,0,'Per Line'!$AQ$2:$AQ$3001,0))</f>
        <v/>
      </c>
      <c r="V635" s="7">
        <f>IF($AD635="","",U635*T635)</f>
        <v/>
      </c>
      <c r="W635">
        <f>IF($AD635="","",Settings!$C$6)</f>
        <v/>
      </c>
      <c r="X635" s="7">
        <f>IF($AD635="","",SUMIFS('Per Line'!$AB$2:$AB$3001,'Per Line'!$E$2:$E$3001,$B635,'Per Line'!$AP$2:$AP$3001,1,'Per Line'!$AQ$2:$AQ$3001,0))</f>
        <v/>
      </c>
      <c r="Y635" s="7">
        <f>IF($AD635="","",X635*W635)</f>
        <v/>
      </c>
      <c r="Z635" s="7">
        <f>IF($AD635="","",Y635+V635)</f>
        <v/>
      </c>
      <c r="AA635" s="7">
        <f>IF($AD635="","",AB635-Z635)</f>
        <v/>
      </c>
      <c r="AB635" s="7">
        <f>IF($AD635="","",U635+X635+S635)</f>
        <v/>
      </c>
      <c r="AC635" s="7">
        <f>IF($AD635="","",AB635-Z635-P635)</f>
        <v/>
      </c>
      <c r="AD635" s="13">
        <f>IF(ROWS($AD$2:$AD635)&lt;=MAX('Per Line'!$AO$2:$AO$3001),MATCH(ROWS($AD$2:$AD635),'Per Line'!$AO$2:$AO$3001,0),"")</f>
        <v/>
      </c>
      <c r="AE635" s="14">
        <f>IF($AD635="","",P635-O635*AB635/100)</f>
        <v/>
      </c>
    </row>
    <row r="636">
      <c r="A636" s="12" t="n"/>
      <c r="B636">
        <f>IF($AD636="","",INDEX('Per Line'!$E$2:$E$3001,$AD636)&amp;"")</f>
        <v/>
      </c>
      <c r="C636">
        <f>IF($AD636="","",INDEX('Per Line'!$A$2:$A$3001,$AD636)&amp;"")</f>
        <v/>
      </c>
      <c r="D636">
        <f>IF($AD636="","",INDEX('Per Line'!$C$2:$C$3001,$AD636)&amp;"")</f>
        <v/>
      </c>
      <c r="E636">
        <f>IF($AD636="","",INDEX('Per Line'!$B$2:$B$3001,$AD636))</f>
        <v/>
      </c>
      <c r="F636">
        <f>IF($AD636="","",INDEX('Per Line'!$D$2:$D$3001,$AD636)&amp;"")</f>
        <v/>
      </c>
      <c r="G636" s="11">
        <f>IF($AD636="","",INDEX('Per Line'!$G$2:$G$3001,$AD636))</f>
        <v/>
      </c>
      <c r="H636">
        <f>IF($AD636="","",INDEX('Per Line'!$J$2:$J$3001,$AD636)&amp;"")</f>
        <v/>
      </c>
      <c r="I636">
        <f>IF($AD636="","",INDEX('Per Line'!$H$2:$H$3001,$AD636)&amp;"")</f>
        <v/>
      </c>
      <c r="J636">
        <f>IF($AD636="","",INDEX('Per Line'!$F$2:$F$3001,$AD636)&amp;"")</f>
        <v/>
      </c>
      <c r="K636">
        <f>IF($AD636="","",INDEX('Per Line'!$K$2:$K$3001,$AD636)&amp;"")</f>
        <v/>
      </c>
      <c r="L636">
        <f>IF($AD636="","",INDEX('Per Line'!$L$2:$L$3001,$AD636)&amp;"")</f>
        <v/>
      </c>
      <c r="M636">
        <f>IF($AD636="","",INDEX('Per Line'!$M$2:$M$3001,$AD636)&amp;"")</f>
        <v/>
      </c>
      <c r="N636">
        <f>IF($AD636="","",INDEX('Per Line'!$AC$2:$AC$3001,$AD636)&amp;"")</f>
        <v/>
      </c>
      <c r="O636">
        <f>IF($AD636="","",INDEX('Per Line'!$P$2:$P$3001,$AD636))</f>
        <v/>
      </c>
      <c r="P636" s="7">
        <f>IF($AD636="","",IF(AND(ISNUMBER(Q636),Q636&gt;0,AB636&gt;Q636),O636*Q636/100+(AB636-Q636),O636*AB636/100))</f>
        <v/>
      </c>
      <c r="Q636">
        <f>IF($AD636="","",INDEX('Per Line'!$AG$2:$AG$3001,$AD636))</f>
        <v/>
      </c>
      <c r="R636">
        <f>IF($AD636="","",IF(AND(ISNUMBER(Q636),Q636&gt;0),AB636&gt;Q636,FALSE))</f>
        <v/>
      </c>
      <c r="S636" s="7">
        <f>IF($AD636="","",SUMIFS('Per Line'!$AB$2:$AB$3001,'Per Line'!$E$2:$E$3001,$B636,'Per Line'!$AQ$2:$AQ$3001,1))</f>
        <v/>
      </c>
      <c r="T636">
        <f>IF($AD636="","",Settings!$C$7)</f>
        <v/>
      </c>
      <c r="U636" s="7">
        <f>IF($AD636="","",SUMIFS('Per Line'!$AB$2:$AB$3001,'Per Line'!$E$2:$E$3001,$B636,'Per Line'!$AP$2:$AP$3001,0,'Per Line'!$AQ$2:$AQ$3001,0))</f>
        <v/>
      </c>
      <c r="V636" s="7">
        <f>IF($AD636="","",U636*T636)</f>
        <v/>
      </c>
      <c r="W636">
        <f>IF($AD636="","",Settings!$C$6)</f>
        <v/>
      </c>
      <c r="X636" s="7">
        <f>IF($AD636="","",SUMIFS('Per Line'!$AB$2:$AB$3001,'Per Line'!$E$2:$E$3001,$B636,'Per Line'!$AP$2:$AP$3001,1,'Per Line'!$AQ$2:$AQ$3001,0))</f>
        <v/>
      </c>
      <c r="Y636" s="7">
        <f>IF($AD636="","",X636*W636)</f>
        <v/>
      </c>
      <c r="Z636" s="7">
        <f>IF($AD636="","",Y636+V636)</f>
        <v/>
      </c>
      <c r="AA636" s="7">
        <f>IF($AD636="","",AB636-Z636)</f>
        <v/>
      </c>
      <c r="AB636" s="7">
        <f>IF($AD636="","",U636+X636+S636)</f>
        <v/>
      </c>
      <c r="AC636" s="7">
        <f>IF($AD636="","",AB636-Z636-P636)</f>
        <v/>
      </c>
      <c r="AD636" s="13">
        <f>IF(ROWS($AD$2:$AD636)&lt;=MAX('Per Line'!$AO$2:$AO$3001),MATCH(ROWS($AD$2:$AD636),'Per Line'!$AO$2:$AO$3001,0),"")</f>
        <v/>
      </c>
      <c r="AE636" s="14">
        <f>IF($AD636="","",P636-O636*AB636/100)</f>
        <v/>
      </c>
    </row>
    <row r="637">
      <c r="A637" s="12" t="n"/>
      <c r="B637">
        <f>IF($AD637="","",INDEX('Per Line'!$E$2:$E$3001,$AD637)&amp;"")</f>
        <v/>
      </c>
      <c r="C637">
        <f>IF($AD637="","",INDEX('Per Line'!$A$2:$A$3001,$AD637)&amp;"")</f>
        <v/>
      </c>
      <c r="D637">
        <f>IF($AD637="","",INDEX('Per Line'!$C$2:$C$3001,$AD637)&amp;"")</f>
        <v/>
      </c>
      <c r="E637">
        <f>IF($AD637="","",INDEX('Per Line'!$B$2:$B$3001,$AD637))</f>
        <v/>
      </c>
      <c r="F637">
        <f>IF($AD637="","",INDEX('Per Line'!$D$2:$D$3001,$AD637)&amp;"")</f>
        <v/>
      </c>
      <c r="G637" s="11">
        <f>IF($AD637="","",INDEX('Per Line'!$G$2:$G$3001,$AD637))</f>
        <v/>
      </c>
      <c r="H637">
        <f>IF($AD637="","",INDEX('Per Line'!$J$2:$J$3001,$AD637)&amp;"")</f>
        <v/>
      </c>
      <c r="I637">
        <f>IF($AD637="","",INDEX('Per Line'!$H$2:$H$3001,$AD637)&amp;"")</f>
        <v/>
      </c>
      <c r="J637">
        <f>IF($AD637="","",INDEX('Per Line'!$F$2:$F$3001,$AD637)&amp;"")</f>
        <v/>
      </c>
      <c r="K637">
        <f>IF($AD637="","",INDEX('Per Line'!$K$2:$K$3001,$AD637)&amp;"")</f>
        <v/>
      </c>
      <c r="L637">
        <f>IF($AD637="","",INDEX('Per Line'!$L$2:$L$3001,$AD637)&amp;"")</f>
        <v/>
      </c>
      <c r="M637">
        <f>IF($AD637="","",INDEX('Per Line'!$M$2:$M$3001,$AD637)&amp;"")</f>
        <v/>
      </c>
      <c r="N637">
        <f>IF($AD637="","",INDEX('Per Line'!$AC$2:$AC$3001,$AD637)&amp;"")</f>
        <v/>
      </c>
      <c r="O637">
        <f>IF($AD637="","",INDEX('Per Line'!$P$2:$P$3001,$AD637))</f>
        <v/>
      </c>
      <c r="P637" s="7">
        <f>IF($AD637="","",IF(AND(ISNUMBER(Q637),Q637&gt;0,AB637&gt;Q637),O637*Q637/100+(AB637-Q637),O637*AB637/100))</f>
        <v/>
      </c>
      <c r="Q637">
        <f>IF($AD637="","",INDEX('Per Line'!$AG$2:$AG$3001,$AD637))</f>
        <v/>
      </c>
      <c r="R637">
        <f>IF($AD637="","",IF(AND(ISNUMBER(Q637),Q637&gt;0),AB637&gt;Q637,FALSE))</f>
        <v/>
      </c>
      <c r="S637" s="7">
        <f>IF($AD637="","",SUMIFS('Per Line'!$AB$2:$AB$3001,'Per Line'!$E$2:$E$3001,$B637,'Per Line'!$AQ$2:$AQ$3001,1))</f>
        <v/>
      </c>
      <c r="T637">
        <f>IF($AD637="","",Settings!$C$7)</f>
        <v/>
      </c>
      <c r="U637" s="7">
        <f>IF($AD637="","",SUMIFS('Per Line'!$AB$2:$AB$3001,'Per Line'!$E$2:$E$3001,$B637,'Per Line'!$AP$2:$AP$3001,0,'Per Line'!$AQ$2:$AQ$3001,0))</f>
        <v/>
      </c>
      <c r="V637" s="7">
        <f>IF($AD637="","",U637*T637)</f>
        <v/>
      </c>
      <c r="W637">
        <f>IF($AD637="","",Settings!$C$6)</f>
        <v/>
      </c>
      <c r="X637" s="7">
        <f>IF($AD637="","",SUMIFS('Per Line'!$AB$2:$AB$3001,'Per Line'!$E$2:$E$3001,$B637,'Per Line'!$AP$2:$AP$3001,1,'Per Line'!$AQ$2:$AQ$3001,0))</f>
        <v/>
      </c>
      <c r="Y637" s="7">
        <f>IF($AD637="","",X637*W637)</f>
        <v/>
      </c>
      <c r="Z637" s="7">
        <f>IF($AD637="","",Y637+V637)</f>
        <v/>
      </c>
      <c r="AA637" s="7">
        <f>IF($AD637="","",AB637-Z637)</f>
        <v/>
      </c>
      <c r="AB637" s="7">
        <f>IF($AD637="","",U637+X637+S637)</f>
        <v/>
      </c>
      <c r="AC637" s="7">
        <f>IF($AD637="","",AB637-Z637-P637)</f>
        <v/>
      </c>
      <c r="AD637" s="13">
        <f>IF(ROWS($AD$2:$AD637)&lt;=MAX('Per Line'!$AO$2:$AO$3001),MATCH(ROWS($AD$2:$AD637),'Per Line'!$AO$2:$AO$3001,0),"")</f>
        <v/>
      </c>
      <c r="AE637" s="14">
        <f>IF($AD637="","",P637-O637*AB637/100)</f>
        <v/>
      </c>
    </row>
    <row r="638">
      <c r="A638" s="12" t="n"/>
      <c r="B638">
        <f>IF($AD638="","",INDEX('Per Line'!$E$2:$E$3001,$AD638)&amp;"")</f>
        <v/>
      </c>
      <c r="C638">
        <f>IF($AD638="","",INDEX('Per Line'!$A$2:$A$3001,$AD638)&amp;"")</f>
        <v/>
      </c>
      <c r="D638">
        <f>IF($AD638="","",INDEX('Per Line'!$C$2:$C$3001,$AD638)&amp;"")</f>
        <v/>
      </c>
      <c r="E638">
        <f>IF($AD638="","",INDEX('Per Line'!$B$2:$B$3001,$AD638))</f>
        <v/>
      </c>
      <c r="F638">
        <f>IF($AD638="","",INDEX('Per Line'!$D$2:$D$3001,$AD638)&amp;"")</f>
        <v/>
      </c>
      <c r="G638" s="11">
        <f>IF($AD638="","",INDEX('Per Line'!$G$2:$G$3001,$AD638))</f>
        <v/>
      </c>
      <c r="H638">
        <f>IF($AD638="","",INDEX('Per Line'!$J$2:$J$3001,$AD638)&amp;"")</f>
        <v/>
      </c>
      <c r="I638">
        <f>IF($AD638="","",INDEX('Per Line'!$H$2:$H$3001,$AD638)&amp;"")</f>
        <v/>
      </c>
      <c r="J638">
        <f>IF($AD638="","",INDEX('Per Line'!$F$2:$F$3001,$AD638)&amp;"")</f>
        <v/>
      </c>
      <c r="K638">
        <f>IF($AD638="","",INDEX('Per Line'!$K$2:$K$3001,$AD638)&amp;"")</f>
        <v/>
      </c>
      <c r="L638">
        <f>IF($AD638="","",INDEX('Per Line'!$L$2:$L$3001,$AD638)&amp;"")</f>
        <v/>
      </c>
      <c r="M638">
        <f>IF($AD638="","",INDEX('Per Line'!$M$2:$M$3001,$AD638)&amp;"")</f>
        <v/>
      </c>
      <c r="N638">
        <f>IF($AD638="","",INDEX('Per Line'!$AC$2:$AC$3001,$AD638)&amp;"")</f>
        <v/>
      </c>
      <c r="O638">
        <f>IF($AD638="","",INDEX('Per Line'!$P$2:$P$3001,$AD638))</f>
        <v/>
      </c>
      <c r="P638" s="7">
        <f>IF($AD638="","",IF(AND(ISNUMBER(Q638),Q638&gt;0,AB638&gt;Q638),O638*Q638/100+(AB638-Q638),O638*AB638/100))</f>
        <v/>
      </c>
      <c r="Q638">
        <f>IF($AD638="","",INDEX('Per Line'!$AG$2:$AG$3001,$AD638))</f>
        <v/>
      </c>
      <c r="R638">
        <f>IF($AD638="","",IF(AND(ISNUMBER(Q638),Q638&gt;0),AB638&gt;Q638,FALSE))</f>
        <v/>
      </c>
      <c r="S638" s="7">
        <f>IF($AD638="","",SUMIFS('Per Line'!$AB$2:$AB$3001,'Per Line'!$E$2:$E$3001,$B638,'Per Line'!$AQ$2:$AQ$3001,1))</f>
        <v/>
      </c>
      <c r="T638">
        <f>IF($AD638="","",Settings!$C$7)</f>
        <v/>
      </c>
      <c r="U638" s="7">
        <f>IF($AD638="","",SUMIFS('Per Line'!$AB$2:$AB$3001,'Per Line'!$E$2:$E$3001,$B638,'Per Line'!$AP$2:$AP$3001,0,'Per Line'!$AQ$2:$AQ$3001,0))</f>
        <v/>
      </c>
      <c r="V638" s="7">
        <f>IF($AD638="","",U638*T638)</f>
        <v/>
      </c>
      <c r="W638">
        <f>IF($AD638="","",Settings!$C$6)</f>
        <v/>
      </c>
      <c r="X638" s="7">
        <f>IF($AD638="","",SUMIFS('Per Line'!$AB$2:$AB$3001,'Per Line'!$E$2:$E$3001,$B638,'Per Line'!$AP$2:$AP$3001,1,'Per Line'!$AQ$2:$AQ$3001,0))</f>
        <v/>
      </c>
      <c r="Y638" s="7">
        <f>IF($AD638="","",X638*W638)</f>
        <v/>
      </c>
      <c r="Z638" s="7">
        <f>IF($AD638="","",Y638+V638)</f>
        <v/>
      </c>
      <c r="AA638" s="7">
        <f>IF($AD638="","",AB638-Z638)</f>
        <v/>
      </c>
      <c r="AB638" s="7">
        <f>IF($AD638="","",U638+X638+S638)</f>
        <v/>
      </c>
      <c r="AC638" s="7">
        <f>IF($AD638="","",AB638-Z638-P638)</f>
        <v/>
      </c>
      <c r="AD638" s="13">
        <f>IF(ROWS($AD$2:$AD638)&lt;=MAX('Per Line'!$AO$2:$AO$3001),MATCH(ROWS($AD$2:$AD638),'Per Line'!$AO$2:$AO$3001,0),"")</f>
        <v/>
      </c>
      <c r="AE638" s="14">
        <f>IF($AD638="","",P638-O638*AB638/100)</f>
        <v/>
      </c>
    </row>
    <row r="639">
      <c r="A639" s="12" t="n"/>
      <c r="B639">
        <f>IF($AD639="","",INDEX('Per Line'!$E$2:$E$3001,$AD639)&amp;"")</f>
        <v/>
      </c>
      <c r="C639">
        <f>IF($AD639="","",INDEX('Per Line'!$A$2:$A$3001,$AD639)&amp;"")</f>
        <v/>
      </c>
      <c r="D639">
        <f>IF($AD639="","",INDEX('Per Line'!$C$2:$C$3001,$AD639)&amp;"")</f>
        <v/>
      </c>
      <c r="E639">
        <f>IF($AD639="","",INDEX('Per Line'!$B$2:$B$3001,$AD639))</f>
        <v/>
      </c>
      <c r="F639">
        <f>IF($AD639="","",INDEX('Per Line'!$D$2:$D$3001,$AD639)&amp;"")</f>
        <v/>
      </c>
      <c r="G639" s="11">
        <f>IF($AD639="","",INDEX('Per Line'!$G$2:$G$3001,$AD639))</f>
        <v/>
      </c>
      <c r="H639">
        <f>IF($AD639="","",INDEX('Per Line'!$J$2:$J$3001,$AD639)&amp;"")</f>
        <v/>
      </c>
      <c r="I639">
        <f>IF($AD639="","",INDEX('Per Line'!$H$2:$H$3001,$AD639)&amp;"")</f>
        <v/>
      </c>
      <c r="J639">
        <f>IF($AD639="","",INDEX('Per Line'!$F$2:$F$3001,$AD639)&amp;"")</f>
        <v/>
      </c>
      <c r="K639">
        <f>IF($AD639="","",INDEX('Per Line'!$K$2:$K$3001,$AD639)&amp;"")</f>
        <v/>
      </c>
      <c r="L639">
        <f>IF($AD639="","",INDEX('Per Line'!$L$2:$L$3001,$AD639)&amp;"")</f>
        <v/>
      </c>
      <c r="M639">
        <f>IF($AD639="","",INDEX('Per Line'!$M$2:$M$3001,$AD639)&amp;"")</f>
        <v/>
      </c>
      <c r="N639">
        <f>IF($AD639="","",INDEX('Per Line'!$AC$2:$AC$3001,$AD639)&amp;"")</f>
        <v/>
      </c>
      <c r="O639">
        <f>IF($AD639="","",INDEX('Per Line'!$P$2:$P$3001,$AD639))</f>
        <v/>
      </c>
      <c r="P639" s="7">
        <f>IF($AD639="","",IF(AND(ISNUMBER(Q639),Q639&gt;0,AB639&gt;Q639),O639*Q639/100+(AB639-Q639),O639*AB639/100))</f>
        <v/>
      </c>
      <c r="Q639">
        <f>IF($AD639="","",INDEX('Per Line'!$AG$2:$AG$3001,$AD639))</f>
        <v/>
      </c>
      <c r="R639">
        <f>IF($AD639="","",IF(AND(ISNUMBER(Q639),Q639&gt;0),AB639&gt;Q639,FALSE))</f>
        <v/>
      </c>
      <c r="S639" s="7">
        <f>IF($AD639="","",SUMIFS('Per Line'!$AB$2:$AB$3001,'Per Line'!$E$2:$E$3001,$B639,'Per Line'!$AQ$2:$AQ$3001,1))</f>
        <v/>
      </c>
      <c r="T639">
        <f>IF($AD639="","",Settings!$C$7)</f>
        <v/>
      </c>
      <c r="U639" s="7">
        <f>IF($AD639="","",SUMIFS('Per Line'!$AB$2:$AB$3001,'Per Line'!$E$2:$E$3001,$B639,'Per Line'!$AP$2:$AP$3001,0,'Per Line'!$AQ$2:$AQ$3001,0))</f>
        <v/>
      </c>
      <c r="V639" s="7">
        <f>IF($AD639="","",U639*T639)</f>
        <v/>
      </c>
      <c r="W639">
        <f>IF($AD639="","",Settings!$C$6)</f>
        <v/>
      </c>
      <c r="X639" s="7">
        <f>IF($AD639="","",SUMIFS('Per Line'!$AB$2:$AB$3001,'Per Line'!$E$2:$E$3001,$B639,'Per Line'!$AP$2:$AP$3001,1,'Per Line'!$AQ$2:$AQ$3001,0))</f>
        <v/>
      </c>
      <c r="Y639" s="7">
        <f>IF($AD639="","",X639*W639)</f>
        <v/>
      </c>
      <c r="Z639" s="7">
        <f>IF($AD639="","",Y639+V639)</f>
        <v/>
      </c>
      <c r="AA639" s="7">
        <f>IF($AD639="","",AB639-Z639)</f>
        <v/>
      </c>
      <c r="AB639" s="7">
        <f>IF($AD639="","",U639+X639+S639)</f>
        <v/>
      </c>
      <c r="AC639" s="7">
        <f>IF($AD639="","",AB639-Z639-P639)</f>
        <v/>
      </c>
      <c r="AD639" s="13">
        <f>IF(ROWS($AD$2:$AD639)&lt;=MAX('Per Line'!$AO$2:$AO$3001),MATCH(ROWS($AD$2:$AD639),'Per Line'!$AO$2:$AO$3001,0),"")</f>
        <v/>
      </c>
      <c r="AE639" s="14">
        <f>IF($AD639="","",P639-O639*AB639/100)</f>
        <v/>
      </c>
    </row>
    <row r="640">
      <c r="A640" s="12" t="n"/>
      <c r="B640">
        <f>IF($AD640="","",INDEX('Per Line'!$E$2:$E$3001,$AD640)&amp;"")</f>
        <v/>
      </c>
      <c r="C640">
        <f>IF($AD640="","",INDEX('Per Line'!$A$2:$A$3001,$AD640)&amp;"")</f>
        <v/>
      </c>
      <c r="D640">
        <f>IF($AD640="","",INDEX('Per Line'!$C$2:$C$3001,$AD640)&amp;"")</f>
        <v/>
      </c>
      <c r="E640">
        <f>IF($AD640="","",INDEX('Per Line'!$B$2:$B$3001,$AD640))</f>
        <v/>
      </c>
      <c r="F640">
        <f>IF($AD640="","",INDEX('Per Line'!$D$2:$D$3001,$AD640)&amp;"")</f>
        <v/>
      </c>
      <c r="G640" s="11">
        <f>IF($AD640="","",INDEX('Per Line'!$G$2:$G$3001,$AD640))</f>
        <v/>
      </c>
      <c r="H640">
        <f>IF($AD640="","",INDEX('Per Line'!$J$2:$J$3001,$AD640)&amp;"")</f>
        <v/>
      </c>
      <c r="I640">
        <f>IF($AD640="","",INDEX('Per Line'!$H$2:$H$3001,$AD640)&amp;"")</f>
        <v/>
      </c>
      <c r="J640">
        <f>IF($AD640="","",INDEX('Per Line'!$F$2:$F$3001,$AD640)&amp;"")</f>
        <v/>
      </c>
      <c r="K640">
        <f>IF($AD640="","",INDEX('Per Line'!$K$2:$K$3001,$AD640)&amp;"")</f>
        <v/>
      </c>
      <c r="L640">
        <f>IF($AD640="","",INDEX('Per Line'!$L$2:$L$3001,$AD640)&amp;"")</f>
        <v/>
      </c>
      <c r="M640">
        <f>IF($AD640="","",INDEX('Per Line'!$M$2:$M$3001,$AD640)&amp;"")</f>
        <v/>
      </c>
      <c r="N640">
        <f>IF($AD640="","",INDEX('Per Line'!$AC$2:$AC$3001,$AD640)&amp;"")</f>
        <v/>
      </c>
      <c r="O640">
        <f>IF($AD640="","",INDEX('Per Line'!$P$2:$P$3001,$AD640))</f>
        <v/>
      </c>
      <c r="P640" s="7">
        <f>IF($AD640="","",IF(AND(ISNUMBER(Q640),Q640&gt;0,AB640&gt;Q640),O640*Q640/100+(AB640-Q640),O640*AB640/100))</f>
        <v/>
      </c>
      <c r="Q640">
        <f>IF($AD640="","",INDEX('Per Line'!$AG$2:$AG$3001,$AD640))</f>
        <v/>
      </c>
      <c r="R640">
        <f>IF($AD640="","",IF(AND(ISNUMBER(Q640),Q640&gt;0),AB640&gt;Q640,FALSE))</f>
        <v/>
      </c>
      <c r="S640" s="7">
        <f>IF($AD640="","",SUMIFS('Per Line'!$AB$2:$AB$3001,'Per Line'!$E$2:$E$3001,$B640,'Per Line'!$AQ$2:$AQ$3001,1))</f>
        <v/>
      </c>
      <c r="T640">
        <f>IF($AD640="","",Settings!$C$7)</f>
        <v/>
      </c>
      <c r="U640" s="7">
        <f>IF($AD640="","",SUMIFS('Per Line'!$AB$2:$AB$3001,'Per Line'!$E$2:$E$3001,$B640,'Per Line'!$AP$2:$AP$3001,0,'Per Line'!$AQ$2:$AQ$3001,0))</f>
        <v/>
      </c>
      <c r="V640" s="7">
        <f>IF($AD640="","",U640*T640)</f>
        <v/>
      </c>
      <c r="W640">
        <f>IF($AD640="","",Settings!$C$6)</f>
        <v/>
      </c>
      <c r="X640" s="7">
        <f>IF($AD640="","",SUMIFS('Per Line'!$AB$2:$AB$3001,'Per Line'!$E$2:$E$3001,$B640,'Per Line'!$AP$2:$AP$3001,1,'Per Line'!$AQ$2:$AQ$3001,0))</f>
        <v/>
      </c>
      <c r="Y640" s="7">
        <f>IF($AD640="","",X640*W640)</f>
        <v/>
      </c>
      <c r="Z640" s="7">
        <f>IF($AD640="","",Y640+V640)</f>
        <v/>
      </c>
      <c r="AA640" s="7">
        <f>IF($AD640="","",AB640-Z640)</f>
        <v/>
      </c>
      <c r="AB640" s="7">
        <f>IF($AD640="","",U640+X640+S640)</f>
        <v/>
      </c>
      <c r="AC640" s="7">
        <f>IF($AD640="","",AB640-Z640-P640)</f>
        <v/>
      </c>
      <c r="AD640" s="13">
        <f>IF(ROWS($AD$2:$AD640)&lt;=MAX('Per Line'!$AO$2:$AO$3001),MATCH(ROWS($AD$2:$AD640),'Per Line'!$AO$2:$AO$3001,0),"")</f>
        <v/>
      </c>
      <c r="AE640" s="14">
        <f>IF($AD640="","",P640-O640*AB640/100)</f>
        <v/>
      </c>
    </row>
    <row r="641">
      <c r="A641" s="12" t="n"/>
      <c r="B641">
        <f>IF($AD641="","",INDEX('Per Line'!$E$2:$E$3001,$AD641)&amp;"")</f>
        <v/>
      </c>
      <c r="C641">
        <f>IF($AD641="","",INDEX('Per Line'!$A$2:$A$3001,$AD641)&amp;"")</f>
        <v/>
      </c>
      <c r="D641">
        <f>IF($AD641="","",INDEX('Per Line'!$C$2:$C$3001,$AD641)&amp;"")</f>
        <v/>
      </c>
      <c r="E641">
        <f>IF($AD641="","",INDEX('Per Line'!$B$2:$B$3001,$AD641))</f>
        <v/>
      </c>
      <c r="F641">
        <f>IF($AD641="","",INDEX('Per Line'!$D$2:$D$3001,$AD641)&amp;"")</f>
        <v/>
      </c>
      <c r="G641" s="11">
        <f>IF($AD641="","",INDEX('Per Line'!$G$2:$G$3001,$AD641))</f>
        <v/>
      </c>
      <c r="H641">
        <f>IF($AD641="","",INDEX('Per Line'!$J$2:$J$3001,$AD641)&amp;"")</f>
        <v/>
      </c>
      <c r="I641">
        <f>IF($AD641="","",INDEX('Per Line'!$H$2:$H$3001,$AD641)&amp;"")</f>
        <v/>
      </c>
      <c r="J641">
        <f>IF($AD641="","",INDEX('Per Line'!$F$2:$F$3001,$AD641)&amp;"")</f>
        <v/>
      </c>
      <c r="K641">
        <f>IF($AD641="","",INDEX('Per Line'!$K$2:$K$3001,$AD641)&amp;"")</f>
        <v/>
      </c>
      <c r="L641">
        <f>IF($AD641="","",INDEX('Per Line'!$L$2:$L$3001,$AD641)&amp;"")</f>
        <v/>
      </c>
      <c r="M641">
        <f>IF($AD641="","",INDEX('Per Line'!$M$2:$M$3001,$AD641)&amp;"")</f>
        <v/>
      </c>
      <c r="N641">
        <f>IF($AD641="","",INDEX('Per Line'!$AC$2:$AC$3001,$AD641)&amp;"")</f>
        <v/>
      </c>
      <c r="O641">
        <f>IF($AD641="","",INDEX('Per Line'!$P$2:$P$3001,$AD641))</f>
        <v/>
      </c>
      <c r="P641" s="7">
        <f>IF($AD641="","",IF(AND(ISNUMBER(Q641),Q641&gt;0,AB641&gt;Q641),O641*Q641/100+(AB641-Q641),O641*AB641/100))</f>
        <v/>
      </c>
      <c r="Q641">
        <f>IF($AD641="","",INDEX('Per Line'!$AG$2:$AG$3001,$AD641))</f>
        <v/>
      </c>
      <c r="R641">
        <f>IF($AD641="","",IF(AND(ISNUMBER(Q641),Q641&gt;0),AB641&gt;Q641,FALSE))</f>
        <v/>
      </c>
      <c r="S641" s="7">
        <f>IF($AD641="","",SUMIFS('Per Line'!$AB$2:$AB$3001,'Per Line'!$E$2:$E$3001,$B641,'Per Line'!$AQ$2:$AQ$3001,1))</f>
        <v/>
      </c>
      <c r="T641">
        <f>IF($AD641="","",Settings!$C$7)</f>
        <v/>
      </c>
      <c r="U641" s="7">
        <f>IF($AD641="","",SUMIFS('Per Line'!$AB$2:$AB$3001,'Per Line'!$E$2:$E$3001,$B641,'Per Line'!$AP$2:$AP$3001,0,'Per Line'!$AQ$2:$AQ$3001,0))</f>
        <v/>
      </c>
      <c r="V641" s="7">
        <f>IF($AD641="","",U641*T641)</f>
        <v/>
      </c>
      <c r="W641">
        <f>IF($AD641="","",Settings!$C$6)</f>
        <v/>
      </c>
      <c r="X641" s="7">
        <f>IF($AD641="","",SUMIFS('Per Line'!$AB$2:$AB$3001,'Per Line'!$E$2:$E$3001,$B641,'Per Line'!$AP$2:$AP$3001,1,'Per Line'!$AQ$2:$AQ$3001,0))</f>
        <v/>
      </c>
      <c r="Y641" s="7">
        <f>IF($AD641="","",X641*W641)</f>
        <v/>
      </c>
      <c r="Z641" s="7">
        <f>IF($AD641="","",Y641+V641)</f>
        <v/>
      </c>
      <c r="AA641" s="7">
        <f>IF($AD641="","",AB641-Z641)</f>
        <v/>
      </c>
      <c r="AB641" s="7">
        <f>IF($AD641="","",U641+X641+S641)</f>
        <v/>
      </c>
      <c r="AC641" s="7">
        <f>IF($AD641="","",AB641-Z641-P641)</f>
        <v/>
      </c>
      <c r="AD641" s="13">
        <f>IF(ROWS($AD$2:$AD641)&lt;=MAX('Per Line'!$AO$2:$AO$3001),MATCH(ROWS($AD$2:$AD641),'Per Line'!$AO$2:$AO$3001,0),"")</f>
        <v/>
      </c>
      <c r="AE641" s="14">
        <f>IF($AD641="","",P641-O641*AB641/100)</f>
        <v/>
      </c>
    </row>
    <row r="642">
      <c r="A642" s="12" t="n"/>
      <c r="B642">
        <f>IF($AD642="","",INDEX('Per Line'!$E$2:$E$3001,$AD642)&amp;"")</f>
        <v/>
      </c>
      <c r="C642">
        <f>IF($AD642="","",INDEX('Per Line'!$A$2:$A$3001,$AD642)&amp;"")</f>
        <v/>
      </c>
      <c r="D642">
        <f>IF($AD642="","",INDEX('Per Line'!$C$2:$C$3001,$AD642)&amp;"")</f>
        <v/>
      </c>
      <c r="E642">
        <f>IF($AD642="","",INDEX('Per Line'!$B$2:$B$3001,$AD642))</f>
        <v/>
      </c>
      <c r="F642">
        <f>IF($AD642="","",INDEX('Per Line'!$D$2:$D$3001,$AD642)&amp;"")</f>
        <v/>
      </c>
      <c r="G642" s="11">
        <f>IF($AD642="","",INDEX('Per Line'!$G$2:$G$3001,$AD642))</f>
        <v/>
      </c>
      <c r="H642">
        <f>IF($AD642="","",INDEX('Per Line'!$J$2:$J$3001,$AD642)&amp;"")</f>
        <v/>
      </c>
      <c r="I642">
        <f>IF($AD642="","",INDEX('Per Line'!$H$2:$H$3001,$AD642)&amp;"")</f>
        <v/>
      </c>
      <c r="J642">
        <f>IF($AD642="","",INDEX('Per Line'!$F$2:$F$3001,$AD642)&amp;"")</f>
        <v/>
      </c>
      <c r="K642">
        <f>IF($AD642="","",INDEX('Per Line'!$K$2:$K$3001,$AD642)&amp;"")</f>
        <v/>
      </c>
      <c r="L642">
        <f>IF($AD642="","",INDEX('Per Line'!$L$2:$L$3001,$AD642)&amp;"")</f>
        <v/>
      </c>
      <c r="M642">
        <f>IF($AD642="","",INDEX('Per Line'!$M$2:$M$3001,$AD642)&amp;"")</f>
        <v/>
      </c>
      <c r="N642">
        <f>IF($AD642="","",INDEX('Per Line'!$AC$2:$AC$3001,$AD642)&amp;"")</f>
        <v/>
      </c>
      <c r="O642">
        <f>IF($AD642="","",INDEX('Per Line'!$P$2:$P$3001,$AD642))</f>
        <v/>
      </c>
      <c r="P642" s="7">
        <f>IF($AD642="","",IF(AND(ISNUMBER(Q642),Q642&gt;0,AB642&gt;Q642),O642*Q642/100+(AB642-Q642),O642*AB642/100))</f>
        <v/>
      </c>
      <c r="Q642">
        <f>IF($AD642="","",INDEX('Per Line'!$AG$2:$AG$3001,$AD642))</f>
        <v/>
      </c>
      <c r="R642">
        <f>IF($AD642="","",IF(AND(ISNUMBER(Q642),Q642&gt;0),AB642&gt;Q642,FALSE))</f>
        <v/>
      </c>
      <c r="S642" s="7">
        <f>IF($AD642="","",SUMIFS('Per Line'!$AB$2:$AB$3001,'Per Line'!$E$2:$E$3001,$B642,'Per Line'!$AQ$2:$AQ$3001,1))</f>
        <v/>
      </c>
      <c r="T642">
        <f>IF($AD642="","",Settings!$C$7)</f>
        <v/>
      </c>
      <c r="U642" s="7">
        <f>IF($AD642="","",SUMIFS('Per Line'!$AB$2:$AB$3001,'Per Line'!$E$2:$E$3001,$B642,'Per Line'!$AP$2:$AP$3001,0,'Per Line'!$AQ$2:$AQ$3001,0))</f>
        <v/>
      </c>
      <c r="V642" s="7">
        <f>IF($AD642="","",U642*T642)</f>
        <v/>
      </c>
      <c r="W642">
        <f>IF($AD642="","",Settings!$C$6)</f>
        <v/>
      </c>
      <c r="X642" s="7">
        <f>IF($AD642="","",SUMIFS('Per Line'!$AB$2:$AB$3001,'Per Line'!$E$2:$E$3001,$B642,'Per Line'!$AP$2:$AP$3001,1,'Per Line'!$AQ$2:$AQ$3001,0))</f>
        <v/>
      </c>
      <c r="Y642" s="7">
        <f>IF($AD642="","",X642*W642)</f>
        <v/>
      </c>
      <c r="Z642" s="7">
        <f>IF($AD642="","",Y642+V642)</f>
        <v/>
      </c>
      <c r="AA642" s="7">
        <f>IF($AD642="","",AB642-Z642)</f>
        <v/>
      </c>
      <c r="AB642" s="7">
        <f>IF($AD642="","",U642+X642+S642)</f>
        <v/>
      </c>
      <c r="AC642" s="7">
        <f>IF($AD642="","",AB642-Z642-P642)</f>
        <v/>
      </c>
      <c r="AD642" s="13">
        <f>IF(ROWS($AD$2:$AD642)&lt;=MAX('Per Line'!$AO$2:$AO$3001),MATCH(ROWS($AD$2:$AD642),'Per Line'!$AO$2:$AO$3001,0),"")</f>
        <v/>
      </c>
      <c r="AE642" s="14">
        <f>IF($AD642="","",P642-O642*AB642/100)</f>
        <v/>
      </c>
    </row>
    <row r="643">
      <c r="A643" s="12" t="n"/>
      <c r="B643">
        <f>IF($AD643="","",INDEX('Per Line'!$E$2:$E$3001,$AD643)&amp;"")</f>
        <v/>
      </c>
      <c r="C643">
        <f>IF($AD643="","",INDEX('Per Line'!$A$2:$A$3001,$AD643)&amp;"")</f>
        <v/>
      </c>
      <c r="D643">
        <f>IF($AD643="","",INDEX('Per Line'!$C$2:$C$3001,$AD643)&amp;"")</f>
        <v/>
      </c>
      <c r="E643">
        <f>IF($AD643="","",INDEX('Per Line'!$B$2:$B$3001,$AD643))</f>
        <v/>
      </c>
      <c r="F643">
        <f>IF($AD643="","",INDEX('Per Line'!$D$2:$D$3001,$AD643)&amp;"")</f>
        <v/>
      </c>
      <c r="G643" s="11">
        <f>IF($AD643="","",INDEX('Per Line'!$G$2:$G$3001,$AD643))</f>
        <v/>
      </c>
      <c r="H643">
        <f>IF($AD643="","",INDEX('Per Line'!$J$2:$J$3001,$AD643)&amp;"")</f>
        <v/>
      </c>
      <c r="I643">
        <f>IF($AD643="","",INDEX('Per Line'!$H$2:$H$3001,$AD643)&amp;"")</f>
        <v/>
      </c>
      <c r="J643">
        <f>IF($AD643="","",INDEX('Per Line'!$F$2:$F$3001,$AD643)&amp;"")</f>
        <v/>
      </c>
      <c r="K643">
        <f>IF($AD643="","",INDEX('Per Line'!$K$2:$K$3001,$AD643)&amp;"")</f>
        <v/>
      </c>
      <c r="L643">
        <f>IF($AD643="","",INDEX('Per Line'!$L$2:$L$3001,$AD643)&amp;"")</f>
        <v/>
      </c>
      <c r="M643">
        <f>IF($AD643="","",INDEX('Per Line'!$M$2:$M$3001,$AD643)&amp;"")</f>
        <v/>
      </c>
      <c r="N643">
        <f>IF($AD643="","",INDEX('Per Line'!$AC$2:$AC$3001,$AD643)&amp;"")</f>
        <v/>
      </c>
      <c r="O643">
        <f>IF($AD643="","",INDEX('Per Line'!$P$2:$P$3001,$AD643))</f>
        <v/>
      </c>
      <c r="P643" s="7">
        <f>IF($AD643="","",IF(AND(ISNUMBER(Q643),Q643&gt;0,AB643&gt;Q643),O643*Q643/100+(AB643-Q643),O643*AB643/100))</f>
        <v/>
      </c>
      <c r="Q643">
        <f>IF($AD643="","",INDEX('Per Line'!$AG$2:$AG$3001,$AD643))</f>
        <v/>
      </c>
      <c r="R643">
        <f>IF($AD643="","",IF(AND(ISNUMBER(Q643),Q643&gt;0),AB643&gt;Q643,FALSE))</f>
        <v/>
      </c>
      <c r="S643" s="7">
        <f>IF($AD643="","",SUMIFS('Per Line'!$AB$2:$AB$3001,'Per Line'!$E$2:$E$3001,$B643,'Per Line'!$AQ$2:$AQ$3001,1))</f>
        <v/>
      </c>
      <c r="T643">
        <f>IF($AD643="","",Settings!$C$7)</f>
        <v/>
      </c>
      <c r="U643" s="7">
        <f>IF($AD643="","",SUMIFS('Per Line'!$AB$2:$AB$3001,'Per Line'!$E$2:$E$3001,$B643,'Per Line'!$AP$2:$AP$3001,0,'Per Line'!$AQ$2:$AQ$3001,0))</f>
        <v/>
      </c>
      <c r="V643" s="7">
        <f>IF($AD643="","",U643*T643)</f>
        <v/>
      </c>
      <c r="W643">
        <f>IF($AD643="","",Settings!$C$6)</f>
        <v/>
      </c>
      <c r="X643" s="7">
        <f>IF($AD643="","",SUMIFS('Per Line'!$AB$2:$AB$3001,'Per Line'!$E$2:$E$3001,$B643,'Per Line'!$AP$2:$AP$3001,1,'Per Line'!$AQ$2:$AQ$3001,0))</f>
        <v/>
      </c>
      <c r="Y643" s="7">
        <f>IF($AD643="","",X643*W643)</f>
        <v/>
      </c>
      <c r="Z643" s="7">
        <f>IF($AD643="","",Y643+V643)</f>
        <v/>
      </c>
      <c r="AA643" s="7">
        <f>IF($AD643="","",AB643-Z643)</f>
        <v/>
      </c>
      <c r="AB643" s="7">
        <f>IF($AD643="","",U643+X643+S643)</f>
        <v/>
      </c>
      <c r="AC643" s="7">
        <f>IF($AD643="","",AB643-Z643-P643)</f>
        <v/>
      </c>
      <c r="AD643" s="13">
        <f>IF(ROWS($AD$2:$AD643)&lt;=MAX('Per Line'!$AO$2:$AO$3001),MATCH(ROWS($AD$2:$AD643),'Per Line'!$AO$2:$AO$3001,0),"")</f>
        <v/>
      </c>
      <c r="AE643" s="14">
        <f>IF($AD643="","",P643-O643*AB643/100)</f>
        <v/>
      </c>
    </row>
    <row r="644">
      <c r="A644" s="12" t="n"/>
      <c r="B644">
        <f>IF($AD644="","",INDEX('Per Line'!$E$2:$E$3001,$AD644)&amp;"")</f>
        <v/>
      </c>
      <c r="C644">
        <f>IF($AD644="","",INDEX('Per Line'!$A$2:$A$3001,$AD644)&amp;"")</f>
        <v/>
      </c>
      <c r="D644">
        <f>IF($AD644="","",INDEX('Per Line'!$C$2:$C$3001,$AD644)&amp;"")</f>
        <v/>
      </c>
      <c r="E644">
        <f>IF($AD644="","",INDEX('Per Line'!$B$2:$B$3001,$AD644))</f>
        <v/>
      </c>
      <c r="F644">
        <f>IF($AD644="","",INDEX('Per Line'!$D$2:$D$3001,$AD644)&amp;"")</f>
        <v/>
      </c>
      <c r="G644" s="11">
        <f>IF($AD644="","",INDEX('Per Line'!$G$2:$G$3001,$AD644))</f>
        <v/>
      </c>
      <c r="H644">
        <f>IF($AD644="","",INDEX('Per Line'!$J$2:$J$3001,$AD644)&amp;"")</f>
        <v/>
      </c>
      <c r="I644">
        <f>IF($AD644="","",INDEX('Per Line'!$H$2:$H$3001,$AD644)&amp;"")</f>
        <v/>
      </c>
      <c r="J644">
        <f>IF($AD644="","",INDEX('Per Line'!$F$2:$F$3001,$AD644)&amp;"")</f>
        <v/>
      </c>
      <c r="K644">
        <f>IF($AD644="","",INDEX('Per Line'!$K$2:$K$3001,$AD644)&amp;"")</f>
        <v/>
      </c>
      <c r="L644">
        <f>IF($AD644="","",INDEX('Per Line'!$L$2:$L$3001,$AD644)&amp;"")</f>
        <v/>
      </c>
      <c r="M644">
        <f>IF($AD644="","",INDEX('Per Line'!$M$2:$M$3001,$AD644)&amp;"")</f>
        <v/>
      </c>
      <c r="N644">
        <f>IF($AD644="","",INDEX('Per Line'!$AC$2:$AC$3001,$AD644)&amp;"")</f>
        <v/>
      </c>
      <c r="O644">
        <f>IF($AD644="","",INDEX('Per Line'!$P$2:$P$3001,$AD644))</f>
        <v/>
      </c>
      <c r="P644" s="7">
        <f>IF($AD644="","",IF(AND(ISNUMBER(Q644),Q644&gt;0,AB644&gt;Q644),O644*Q644/100+(AB644-Q644),O644*AB644/100))</f>
        <v/>
      </c>
      <c r="Q644">
        <f>IF($AD644="","",INDEX('Per Line'!$AG$2:$AG$3001,$AD644))</f>
        <v/>
      </c>
      <c r="R644">
        <f>IF($AD644="","",IF(AND(ISNUMBER(Q644),Q644&gt;0),AB644&gt;Q644,FALSE))</f>
        <v/>
      </c>
      <c r="S644" s="7">
        <f>IF($AD644="","",SUMIFS('Per Line'!$AB$2:$AB$3001,'Per Line'!$E$2:$E$3001,$B644,'Per Line'!$AQ$2:$AQ$3001,1))</f>
        <v/>
      </c>
      <c r="T644">
        <f>IF($AD644="","",Settings!$C$7)</f>
        <v/>
      </c>
      <c r="U644" s="7">
        <f>IF($AD644="","",SUMIFS('Per Line'!$AB$2:$AB$3001,'Per Line'!$E$2:$E$3001,$B644,'Per Line'!$AP$2:$AP$3001,0,'Per Line'!$AQ$2:$AQ$3001,0))</f>
        <v/>
      </c>
      <c r="V644" s="7">
        <f>IF($AD644="","",U644*T644)</f>
        <v/>
      </c>
      <c r="W644">
        <f>IF($AD644="","",Settings!$C$6)</f>
        <v/>
      </c>
      <c r="X644" s="7">
        <f>IF($AD644="","",SUMIFS('Per Line'!$AB$2:$AB$3001,'Per Line'!$E$2:$E$3001,$B644,'Per Line'!$AP$2:$AP$3001,1,'Per Line'!$AQ$2:$AQ$3001,0))</f>
        <v/>
      </c>
      <c r="Y644" s="7">
        <f>IF($AD644="","",X644*W644)</f>
        <v/>
      </c>
      <c r="Z644" s="7">
        <f>IF($AD644="","",Y644+V644)</f>
        <v/>
      </c>
      <c r="AA644" s="7">
        <f>IF($AD644="","",AB644-Z644)</f>
        <v/>
      </c>
      <c r="AB644" s="7">
        <f>IF($AD644="","",U644+X644+S644)</f>
        <v/>
      </c>
      <c r="AC644" s="7">
        <f>IF($AD644="","",AB644-Z644-P644)</f>
        <v/>
      </c>
      <c r="AD644" s="13">
        <f>IF(ROWS($AD$2:$AD644)&lt;=MAX('Per Line'!$AO$2:$AO$3001),MATCH(ROWS($AD$2:$AD644),'Per Line'!$AO$2:$AO$3001,0),"")</f>
        <v/>
      </c>
      <c r="AE644" s="14">
        <f>IF($AD644="","",P644-O644*AB644/100)</f>
        <v/>
      </c>
    </row>
    <row r="645">
      <c r="A645" s="12" t="n"/>
      <c r="B645">
        <f>IF($AD645="","",INDEX('Per Line'!$E$2:$E$3001,$AD645)&amp;"")</f>
        <v/>
      </c>
      <c r="C645">
        <f>IF($AD645="","",INDEX('Per Line'!$A$2:$A$3001,$AD645)&amp;"")</f>
        <v/>
      </c>
      <c r="D645">
        <f>IF($AD645="","",INDEX('Per Line'!$C$2:$C$3001,$AD645)&amp;"")</f>
        <v/>
      </c>
      <c r="E645">
        <f>IF($AD645="","",INDEX('Per Line'!$B$2:$B$3001,$AD645))</f>
        <v/>
      </c>
      <c r="F645">
        <f>IF($AD645="","",INDEX('Per Line'!$D$2:$D$3001,$AD645)&amp;"")</f>
        <v/>
      </c>
      <c r="G645" s="11">
        <f>IF($AD645="","",INDEX('Per Line'!$G$2:$G$3001,$AD645))</f>
        <v/>
      </c>
      <c r="H645">
        <f>IF($AD645="","",INDEX('Per Line'!$J$2:$J$3001,$AD645)&amp;"")</f>
        <v/>
      </c>
      <c r="I645">
        <f>IF($AD645="","",INDEX('Per Line'!$H$2:$H$3001,$AD645)&amp;"")</f>
        <v/>
      </c>
      <c r="J645">
        <f>IF($AD645="","",INDEX('Per Line'!$F$2:$F$3001,$AD645)&amp;"")</f>
        <v/>
      </c>
      <c r="K645">
        <f>IF($AD645="","",INDEX('Per Line'!$K$2:$K$3001,$AD645)&amp;"")</f>
        <v/>
      </c>
      <c r="L645">
        <f>IF($AD645="","",INDEX('Per Line'!$L$2:$L$3001,$AD645)&amp;"")</f>
        <v/>
      </c>
      <c r="M645">
        <f>IF($AD645="","",INDEX('Per Line'!$M$2:$M$3001,$AD645)&amp;"")</f>
        <v/>
      </c>
      <c r="N645">
        <f>IF($AD645="","",INDEX('Per Line'!$AC$2:$AC$3001,$AD645)&amp;"")</f>
        <v/>
      </c>
      <c r="O645">
        <f>IF($AD645="","",INDEX('Per Line'!$P$2:$P$3001,$AD645))</f>
        <v/>
      </c>
      <c r="P645" s="7">
        <f>IF($AD645="","",IF(AND(ISNUMBER(Q645),Q645&gt;0,AB645&gt;Q645),O645*Q645/100+(AB645-Q645),O645*AB645/100))</f>
        <v/>
      </c>
      <c r="Q645">
        <f>IF($AD645="","",INDEX('Per Line'!$AG$2:$AG$3001,$AD645))</f>
        <v/>
      </c>
      <c r="R645">
        <f>IF($AD645="","",IF(AND(ISNUMBER(Q645),Q645&gt;0),AB645&gt;Q645,FALSE))</f>
        <v/>
      </c>
      <c r="S645" s="7">
        <f>IF($AD645="","",SUMIFS('Per Line'!$AB$2:$AB$3001,'Per Line'!$E$2:$E$3001,$B645,'Per Line'!$AQ$2:$AQ$3001,1))</f>
        <v/>
      </c>
      <c r="T645">
        <f>IF($AD645="","",Settings!$C$7)</f>
        <v/>
      </c>
      <c r="U645" s="7">
        <f>IF($AD645="","",SUMIFS('Per Line'!$AB$2:$AB$3001,'Per Line'!$E$2:$E$3001,$B645,'Per Line'!$AP$2:$AP$3001,0,'Per Line'!$AQ$2:$AQ$3001,0))</f>
        <v/>
      </c>
      <c r="V645" s="7">
        <f>IF($AD645="","",U645*T645)</f>
        <v/>
      </c>
      <c r="W645">
        <f>IF($AD645="","",Settings!$C$6)</f>
        <v/>
      </c>
      <c r="X645" s="7">
        <f>IF($AD645="","",SUMIFS('Per Line'!$AB$2:$AB$3001,'Per Line'!$E$2:$E$3001,$B645,'Per Line'!$AP$2:$AP$3001,1,'Per Line'!$AQ$2:$AQ$3001,0))</f>
        <v/>
      </c>
      <c r="Y645" s="7">
        <f>IF($AD645="","",X645*W645)</f>
        <v/>
      </c>
      <c r="Z645" s="7">
        <f>IF($AD645="","",Y645+V645)</f>
        <v/>
      </c>
      <c r="AA645" s="7">
        <f>IF($AD645="","",AB645-Z645)</f>
        <v/>
      </c>
      <c r="AB645" s="7">
        <f>IF($AD645="","",U645+X645+S645)</f>
        <v/>
      </c>
      <c r="AC645" s="7">
        <f>IF($AD645="","",AB645-Z645-P645)</f>
        <v/>
      </c>
      <c r="AD645" s="13">
        <f>IF(ROWS($AD$2:$AD645)&lt;=MAX('Per Line'!$AO$2:$AO$3001),MATCH(ROWS($AD$2:$AD645),'Per Line'!$AO$2:$AO$3001,0),"")</f>
        <v/>
      </c>
      <c r="AE645" s="14">
        <f>IF($AD645="","",P645-O645*AB645/100)</f>
        <v/>
      </c>
    </row>
    <row r="646">
      <c r="A646" s="12" t="n"/>
      <c r="B646">
        <f>IF($AD646="","",INDEX('Per Line'!$E$2:$E$3001,$AD646)&amp;"")</f>
        <v/>
      </c>
      <c r="C646">
        <f>IF($AD646="","",INDEX('Per Line'!$A$2:$A$3001,$AD646)&amp;"")</f>
        <v/>
      </c>
      <c r="D646">
        <f>IF($AD646="","",INDEX('Per Line'!$C$2:$C$3001,$AD646)&amp;"")</f>
        <v/>
      </c>
      <c r="E646">
        <f>IF($AD646="","",INDEX('Per Line'!$B$2:$B$3001,$AD646))</f>
        <v/>
      </c>
      <c r="F646">
        <f>IF($AD646="","",INDEX('Per Line'!$D$2:$D$3001,$AD646)&amp;"")</f>
        <v/>
      </c>
      <c r="G646" s="11">
        <f>IF($AD646="","",INDEX('Per Line'!$G$2:$G$3001,$AD646))</f>
        <v/>
      </c>
      <c r="H646">
        <f>IF($AD646="","",INDEX('Per Line'!$J$2:$J$3001,$AD646)&amp;"")</f>
        <v/>
      </c>
      <c r="I646">
        <f>IF($AD646="","",INDEX('Per Line'!$H$2:$H$3001,$AD646)&amp;"")</f>
        <v/>
      </c>
      <c r="J646">
        <f>IF($AD646="","",INDEX('Per Line'!$F$2:$F$3001,$AD646)&amp;"")</f>
        <v/>
      </c>
      <c r="K646">
        <f>IF($AD646="","",INDEX('Per Line'!$K$2:$K$3001,$AD646)&amp;"")</f>
        <v/>
      </c>
      <c r="L646">
        <f>IF($AD646="","",INDEX('Per Line'!$L$2:$L$3001,$AD646)&amp;"")</f>
        <v/>
      </c>
      <c r="M646">
        <f>IF($AD646="","",INDEX('Per Line'!$M$2:$M$3001,$AD646)&amp;"")</f>
        <v/>
      </c>
      <c r="N646">
        <f>IF($AD646="","",INDEX('Per Line'!$AC$2:$AC$3001,$AD646)&amp;"")</f>
        <v/>
      </c>
      <c r="O646">
        <f>IF($AD646="","",INDEX('Per Line'!$P$2:$P$3001,$AD646))</f>
        <v/>
      </c>
      <c r="P646" s="7">
        <f>IF($AD646="","",IF(AND(ISNUMBER(Q646),Q646&gt;0,AB646&gt;Q646),O646*Q646/100+(AB646-Q646),O646*AB646/100))</f>
        <v/>
      </c>
      <c r="Q646">
        <f>IF($AD646="","",INDEX('Per Line'!$AG$2:$AG$3001,$AD646))</f>
        <v/>
      </c>
      <c r="R646">
        <f>IF($AD646="","",IF(AND(ISNUMBER(Q646),Q646&gt;0),AB646&gt;Q646,FALSE))</f>
        <v/>
      </c>
      <c r="S646" s="7">
        <f>IF($AD646="","",SUMIFS('Per Line'!$AB$2:$AB$3001,'Per Line'!$E$2:$E$3001,$B646,'Per Line'!$AQ$2:$AQ$3001,1))</f>
        <v/>
      </c>
      <c r="T646">
        <f>IF($AD646="","",Settings!$C$7)</f>
        <v/>
      </c>
      <c r="U646" s="7">
        <f>IF($AD646="","",SUMIFS('Per Line'!$AB$2:$AB$3001,'Per Line'!$E$2:$E$3001,$B646,'Per Line'!$AP$2:$AP$3001,0,'Per Line'!$AQ$2:$AQ$3001,0))</f>
        <v/>
      </c>
      <c r="V646" s="7">
        <f>IF($AD646="","",U646*T646)</f>
        <v/>
      </c>
      <c r="W646">
        <f>IF($AD646="","",Settings!$C$6)</f>
        <v/>
      </c>
      <c r="X646" s="7">
        <f>IF($AD646="","",SUMIFS('Per Line'!$AB$2:$AB$3001,'Per Line'!$E$2:$E$3001,$B646,'Per Line'!$AP$2:$AP$3001,1,'Per Line'!$AQ$2:$AQ$3001,0))</f>
        <v/>
      </c>
      <c r="Y646" s="7">
        <f>IF($AD646="","",X646*W646)</f>
        <v/>
      </c>
      <c r="Z646" s="7">
        <f>IF($AD646="","",Y646+V646)</f>
        <v/>
      </c>
      <c r="AA646" s="7">
        <f>IF($AD646="","",AB646-Z646)</f>
        <v/>
      </c>
      <c r="AB646" s="7">
        <f>IF($AD646="","",U646+X646+S646)</f>
        <v/>
      </c>
      <c r="AC646" s="7">
        <f>IF($AD646="","",AB646-Z646-P646)</f>
        <v/>
      </c>
      <c r="AD646" s="13">
        <f>IF(ROWS($AD$2:$AD646)&lt;=MAX('Per Line'!$AO$2:$AO$3001),MATCH(ROWS($AD$2:$AD646),'Per Line'!$AO$2:$AO$3001,0),"")</f>
        <v/>
      </c>
      <c r="AE646" s="14">
        <f>IF($AD646="","",P646-O646*AB646/100)</f>
        <v/>
      </c>
    </row>
    <row r="647">
      <c r="A647" s="12" t="n"/>
      <c r="B647">
        <f>IF($AD647="","",INDEX('Per Line'!$E$2:$E$3001,$AD647)&amp;"")</f>
        <v/>
      </c>
      <c r="C647">
        <f>IF($AD647="","",INDEX('Per Line'!$A$2:$A$3001,$AD647)&amp;"")</f>
        <v/>
      </c>
      <c r="D647">
        <f>IF($AD647="","",INDEX('Per Line'!$C$2:$C$3001,$AD647)&amp;"")</f>
        <v/>
      </c>
      <c r="E647">
        <f>IF($AD647="","",INDEX('Per Line'!$B$2:$B$3001,$AD647))</f>
        <v/>
      </c>
      <c r="F647">
        <f>IF($AD647="","",INDEX('Per Line'!$D$2:$D$3001,$AD647)&amp;"")</f>
        <v/>
      </c>
      <c r="G647" s="11">
        <f>IF($AD647="","",INDEX('Per Line'!$G$2:$G$3001,$AD647))</f>
        <v/>
      </c>
      <c r="H647">
        <f>IF($AD647="","",INDEX('Per Line'!$J$2:$J$3001,$AD647)&amp;"")</f>
        <v/>
      </c>
      <c r="I647">
        <f>IF($AD647="","",INDEX('Per Line'!$H$2:$H$3001,$AD647)&amp;"")</f>
        <v/>
      </c>
      <c r="J647">
        <f>IF($AD647="","",INDEX('Per Line'!$F$2:$F$3001,$AD647)&amp;"")</f>
        <v/>
      </c>
      <c r="K647">
        <f>IF($AD647="","",INDEX('Per Line'!$K$2:$K$3001,$AD647)&amp;"")</f>
        <v/>
      </c>
      <c r="L647">
        <f>IF($AD647="","",INDEX('Per Line'!$L$2:$L$3001,$AD647)&amp;"")</f>
        <v/>
      </c>
      <c r="M647">
        <f>IF($AD647="","",INDEX('Per Line'!$M$2:$M$3001,$AD647)&amp;"")</f>
        <v/>
      </c>
      <c r="N647">
        <f>IF($AD647="","",INDEX('Per Line'!$AC$2:$AC$3001,$AD647)&amp;"")</f>
        <v/>
      </c>
      <c r="O647">
        <f>IF($AD647="","",INDEX('Per Line'!$P$2:$P$3001,$AD647))</f>
        <v/>
      </c>
      <c r="P647" s="7">
        <f>IF($AD647="","",IF(AND(ISNUMBER(Q647),Q647&gt;0,AB647&gt;Q647),O647*Q647/100+(AB647-Q647),O647*AB647/100))</f>
        <v/>
      </c>
      <c r="Q647">
        <f>IF($AD647="","",INDEX('Per Line'!$AG$2:$AG$3001,$AD647))</f>
        <v/>
      </c>
      <c r="R647">
        <f>IF($AD647="","",IF(AND(ISNUMBER(Q647),Q647&gt;0),AB647&gt;Q647,FALSE))</f>
        <v/>
      </c>
      <c r="S647" s="7">
        <f>IF($AD647="","",SUMIFS('Per Line'!$AB$2:$AB$3001,'Per Line'!$E$2:$E$3001,$B647,'Per Line'!$AQ$2:$AQ$3001,1))</f>
        <v/>
      </c>
      <c r="T647">
        <f>IF($AD647="","",Settings!$C$7)</f>
        <v/>
      </c>
      <c r="U647" s="7">
        <f>IF($AD647="","",SUMIFS('Per Line'!$AB$2:$AB$3001,'Per Line'!$E$2:$E$3001,$B647,'Per Line'!$AP$2:$AP$3001,0,'Per Line'!$AQ$2:$AQ$3001,0))</f>
        <v/>
      </c>
      <c r="V647" s="7">
        <f>IF($AD647="","",U647*T647)</f>
        <v/>
      </c>
      <c r="W647">
        <f>IF($AD647="","",Settings!$C$6)</f>
        <v/>
      </c>
      <c r="X647" s="7">
        <f>IF($AD647="","",SUMIFS('Per Line'!$AB$2:$AB$3001,'Per Line'!$E$2:$E$3001,$B647,'Per Line'!$AP$2:$AP$3001,1,'Per Line'!$AQ$2:$AQ$3001,0))</f>
        <v/>
      </c>
      <c r="Y647" s="7">
        <f>IF($AD647="","",X647*W647)</f>
        <v/>
      </c>
      <c r="Z647" s="7">
        <f>IF($AD647="","",Y647+V647)</f>
        <v/>
      </c>
      <c r="AA647" s="7">
        <f>IF($AD647="","",AB647-Z647)</f>
        <v/>
      </c>
      <c r="AB647" s="7">
        <f>IF($AD647="","",U647+X647+S647)</f>
        <v/>
      </c>
      <c r="AC647" s="7">
        <f>IF($AD647="","",AB647-Z647-P647)</f>
        <v/>
      </c>
      <c r="AD647" s="13">
        <f>IF(ROWS($AD$2:$AD647)&lt;=MAX('Per Line'!$AO$2:$AO$3001),MATCH(ROWS($AD$2:$AD647),'Per Line'!$AO$2:$AO$3001,0),"")</f>
        <v/>
      </c>
      <c r="AE647" s="14">
        <f>IF($AD647="","",P647-O647*AB647/100)</f>
        <v/>
      </c>
    </row>
    <row r="648">
      <c r="A648" s="12" t="n"/>
      <c r="B648">
        <f>IF($AD648="","",INDEX('Per Line'!$E$2:$E$3001,$AD648)&amp;"")</f>
        <v/>
      </c>
      <c r="C648">
        <f>IF($AD648="","",INDEX('Per Line'!$A$2:$A$3001,$AD648)&amp;"")</f>
        <v/>
      </c>
      <c r="D648">
        <f>IF($AD648="","",INDEX('Per Line'!$C$2:$C$3001,$AD648)&amp;"")</f>
        <v/>
      </c>
      <c r="E648">
        <f>IF($AD648="","",INDEX('Per Line'!$B$2:$B$3001,$AD648))</f>
        <v/>
      </c>
      <c r="F648">
        <f>IF($AD648="","",INDEX('Per Line'!$D$2:$D$3001,$AD648)&amp;"")</f>
        <v/>
      </c>
      <c r="G648" s="11">
        <f>IF($AD648="","",INDEX('Per Line'!$G$2:$G$3001,$AD648))</f>
        <v/>
      </c>
      <c r="H648">
        <f>IF($AD648="","",INDEX('Per Line'!$J$2:$J$3001,$AD648)&amp;"")</f>
        <v/>
      </c>
      <c r="I648">
        <f>IF($AD648="","",INDEX('Per Line'!$H$2:$H$3001,$AD648)&amp;"")</f>
        <v/>
      </c>
      <c r="J648">
        <f>IF($AD648="","",INDEX('Per Line'!$F$2:$F$3001,$AD648)&amp;"")</f>
        <v/>
      </c>
      <c r="K648">
        <f>IF($AD648="","",INDEX('Per Line'!$K$2:$K$3001,$AD648)&amp;"")</f>
        <v/>
      </c>
      <c r="L648">
        <f>IF($AD648="","",INDEX('Per Line'!$L$2:$L$3001,$AD648)&amp;"")</f>
        <v/>
      </c>
      <c r="M648">
        <f>IF($AD648="","",INDEX('Per Line'!$M$2:$M$3001,$AD648)&amp;"")</f>
        <v/>
      </c>
      <c r="N648">
        <f>IF($AD648="","",INDEX('Per Line'!$AC$2:$AC$3001,$AD648)&amp;"")</f>
        <v/>
      </c>
      <c r="O648">
        <f>IF($AD648="","",INDEX('Per Line'!$P$2:$P$3001,$AD648))</f>
        <v/>
      </c>
      <c r="P648" s="7">
        <f>IF($AD648="","",IF(AND(ISNUMBER(Q648),Q648&gt;0,AB648&gt;Q648),O648*Q648/100+(AB648-Q648),O648*AB648/100))</f>
        <v/>
      </c>
      <c r="Q648">
        <f>IF($AD648="","",INDEX('Per Line'!$AG$2:$AG$3001,$AD648))</f>
        <v/>
      </c>
      <c r="R648">
        <f>IF($AD648="","",IF(AND(ISNUMBER(Q648),Q648&gt;0),AB648&gt;Q648,FALSE))</f>
        <v/>
      </c>
      <c r="S648" s="7">
        <f>IF($AD648="","",SUMIFS('Per Line'!$AB$2:$AB$3001,'Per Line'!$E$2:$E$3001,$B648,'Per Line'!$AQ$2:$AQ$3001,1))</f>
        <v/>
      </c>
      <c r="T648">
        <f>IF($AD648="","",Settings!$C$7)</f>
        <v/>
      </c>
      <c r="U648" s="7">
        <f>IF($AD648="","",SUMIFS('Per Line'!$AB$2:$AB$3001,'Per Line'!$E$2:$E$3001,$B648,'Per Line'!$AP$2:$AP$3001,0,'Per Line'!$AQ$2:$AQ$3001,0))</f>
        <v/>
      </c>
      <c r="V648" s="7">
        <f>IF($AD648="","",U648*T648)</f>
        <v/>
      </c>
      <c r="W648">
        <f>IF($AD648="","",Settings!$C$6)</f>
        <v/>
      </c>
      <c r="X648" s="7">
        <f>IF($AD648="","",SUMIFS('Per Line'!$AB$2:$AB$3001,'Per Line'!$E$2:$E$3001,$B648,'Per Line'!$AP$2:$AP$3001,1,'Per Line'!$AQ$2:$AQ$3001,0))</f>
        <v/>
      </c>
      <c r="Y648" s="7">
        <f>IF($AD648="","",X648*W648)</f>
        <v/>
      </c>
      <c r="Z648" s="7">
        <f>IF($AD648="","",Y648+V648)</f>
        <v/>
      </c>
      <c r="AA648" s="7">
        <f>IF($AD648="","",AB648-Z648)</f>
        <v/>
      </c>
      <c r="AB648" s="7">
        <f>IF($AD648="","",U648+X648+S648)</f>
        <v/>
      </c>
      <c r="AC648" s="7">
        <f>IF($AD648="","",AB648-Z648-P648)</f>
        <v/>
      </c>
      <c r="AD648" s="13">
        <f>IF(ROWS($AD$2:$AD648)&lt;=MAX('Per Line'!$AO$2:$AO$3001),MATCH(ROWS($AD$2:$AD648),'Per Line'!$AO$2:$AO$3001,0),"")</f>
        <v/>
      </c>
      <c r="AE648" s="14">
        <f>IF($AD648="","",P648-O648*AB648/100)</f>
        <v/>
      </c>
    </row>
    <row r="649">
      <c r="A649" s="12" t="n"/>
      <c r="B649">
        <f>IF($AD649="","",INDEX('Per Line'!$E$2:$E$3001,$AD649)&amp;"")</f>
        <v/>
      </c>
      <c r="C649">
        <f>IF($AD649="","",INDEX('Per Line'!$A$2:$A$3001,$AD649)&amp;"")</f>
        <v/>
      </c>
      <c r="D649">
        <f>IF($AD649="","",INDEX('Per Line'!$C$2:$C$3001,$AD649)&amp;"")</f>
        <v/>
      </c>
      <c r="E649">
        <f>IF($AD649="","",INDEX('Per Line'!$B$2:$B$3001,$AD649))</f>
        <v/>
      </c>
      <c r="F649">
        <f>IF($AD649="","",INDEX('Per Line'!$D$2:$D$3001,$AD649)&amp;"")</f>
        <v/>
      </c>
      <c r="G649" s="11">
        <f>IF($AD649="","",INDEX('Per Line'!$G$2:$G$3001,$AD649))</f>
        <v/>
      </c>
      <c r="H649">
        <f>IF($AD649="","",INDEX('Per Line'!$J$2:$J$3001,$AD649)&amp;"")</f>
        <v/>
      </c>
      <c r="I649">
        <f>IF($AD649="","",INDEX('Per Line'!$H$2:$H$3001,$AD649)&amp;"")</f>
        <v/>
      </c>
      <c r="J649">
        <f>IF($AD649="","",INDEX('Per Line'!$F$2:$F$3001,$AD649)&amp;"")</f>
        <v/>
      </c>
      <c r="K649">
        <f>IF($AD649="","",INDEX('Per Line'!$K$2:$K$3001,$AD649)&amp;"")</f>
        <v/>
      </c>
      <c r="L649">
        <f>IF($AD649="","",INDEX('Per Line'!$L$2:$L$3001,$AD649)&amp;"")</f>
        <v/>
      </c>
      <c r="M649">
        <f>IF($AD649="","",INDEX('Per Line'!$M$2:$M$3001,$AD649)&amp;"")</f>
        <v/>
      </c>
      <c r="N649">
        <f>IF($AD649="","",INDEX('Per Line'!$AC$2:$AC$3001,$AD649)&amp;"")</f>
        <v/>
      </c>
      <c r="O649">
        <f>IF($AD649="","",INDEX('Per Line'!$P$2:$P$3001,$AD649))</f>
        <v/>
      </c>
      <c r="P649" s="7">
        <f>IF($AD649="","",IF(AND(ISNUMBER(Q649),Q649&gt;0,AB649&gt;Q649),O649*Q649/100+(AB649-Q649),O649*AB649/100))</f>
        <v/>
      </c>
      <c r="Q649">
        <f>IF($AD649="","",INDEX('Per Line'!$AG$2:$AG$3001,$AD649))</f>
        <v/>
      </c>
      <c r="R649">
        <f>IF($AD649="","",IF(AND(ISNUMBER(Q649),Q649&gt;0),AB649&gt;Q649,FALSE))</f>
        <v/>
      </c>
      <c r="S649" s="7">
        <f>IF($AD649="","",SUMIFS('Per Line'!$AB$2:$AB$3001,'Per Line'!$E$2:$E$3001,$B649,'Per Line'!$AQ$2:$AQ$3001,1))</f>
        <v/>
      </c>
      <c r="T649">
        <f>IF($AD649="","",Settings!$C$7)</f>
        <v/>
      </c>
      <c r="U649" s="7">
        <f>IF($AD649="","",SUMIFS('Per Line'!$AB$2:$AB$3001,'Per Line'!$E$2:$E$3001,$B649,'Per Line'!$AP$2:$AP$3001,0,'Per Line'!$AQ$2:$AQ$3001,0))</f>
        <v/>
      </c>
      <c r="V649" s="7">
        <f>IF($AD649="","",U649*T649)</f>
        <v/>
      </c>
      <c r="W649">
        <f>IF($AD649="","",Settings!$C$6)</f>
        <v/>
      </c>
      <c r="X649" s="7">
        <f>IF($AD649="","",SUMIFS('Per Line'!$AB$2:$AB$3001,'Per Line'!$E$2:$E$3001,$B649,'Per Line'!$AP$2:$AP$3001,1,'Per Line'!$AQ$2:$AQ$3001,0))</f>
        <v/>
      </c>
      <c r="Y649" s="7">
        <f>IF($AD649="","",X649*W649)</f>
        <v/>
      </c>
      <c r="Z649" s="7">
        <f>IF($AD649="","",Y649+V649)</f>
        <v/>
      </c>
      <c r="AA649" s="7">
        <f>IF($AD649="","",AB649-Z649)</f>
        <v/>
      </c>
      <c r="AB649" s="7">
        <f>IF($AD649="","",U649+X649+S649)</f>
        <v/>
      </c>
      <c r="AC649" s="7">
        <f>IF($AD649="","",AB649-Z649-P649)</f>
        <v/>
      </c>
      <c r="AD649" s="13">
        <f>IF(ROWS($AD$2:$AD649)&lt;=MAX('Per Line'!$AO$2:$AO$3001),MATCH(ROWS($AD$2:$AD649),'Per Line'!$AO$2:$AO$3001,0),"")</f>
        <v/>
      </c>
      <c r="AE649" s="14">
        <f>IF($AD649="","",P649-O649*AB649/100)</f>
        <v/>
      </c>
    </row>
    <row r="650">
      <c r="A650" s="12" t="n"/>
      <c r="B650">
        <f>IF($AD650="","",INDEX('Per Line'!$E$2:$E$3001,$AD650)&amp;"")</f>
        <v/>
      </c>
      <c r="C650">
        <f>IF($AD650="","",INDEX('Per Line'!$A$2:$A$3001,$AD650)&amp;"")</f>
        <v/>
      </c>
      <c r="D650">
        <f>IF($AD650="","",INDEX('Per Line'!$C$2:$C$3001,$AD650)&amp;"")</f>
        <v/>
      </c>
      <c r="E650">
        <f>IF($AD650="","",INDEX('Per Line'!$B$2:$B$3001,$AD650))</f>
        <v/>
      </c>
      <c r="F650">
        <f>IF($AD650="","",INDEX('Per Line'!$D$2:$D$3001,$AD650)&amp;"")</f>
        <v/>
      </c>
      <c r="G650" s="11">
        <f>IF($AD650="","",INDEX('Per Line'!$G$2:$G$3001,$AD650))</f>
        <v/>
      </c>
      <c r="H650">
        <f>IF($AD650="","",INDEX('Per Line'!$J$2:$J$3001,$AD650)&amp;"")</f>
        <v/>
      </c>
      <c r="I650">
        <f>IF($AD650="","",INDEX('Per Line'!$H$2:$H$3001,$AD650)&amp;"")</f>
        <v/>
      </c>
      <c r="J650">
        <f>IF($AD650="","",INDEX('Per Line'!$F$2:$F$3001,$AD650)&amp;"")</f>
        <v/>
      </c>
      <c r="K650">
        <f>IF($AD650="","",INDEX('Per Line'!$K$2:$K$3001,$AD650)&amp;"")</f>
        <v/>
      </c>
      <c r="L650">
        <f>IF($AD650="","",INDEX('Per Line'!$L$2:$L$3001,$AD650)&amp;"")</f>
        <v/>
      </c>
      <c r="M650">
        <f>IF($AD650="","",INDEX('Per Line'!$M$2:$M$3001,$AD650)&amp;"")</f>
        <v/>
      </c>
      <c r="N650">
        <f>IF($AD650="","",INDEX('Per Line'!$AC$2:$AC$3001,$AD650)&amp;"")</f>
        <v/>
      </c>
      <c r="O650">
        <f>IF($AD650="","",INDEX('Per Line'!$P$2:$P$3001,$AD650))</f>
        <v/>
      </c>
      <c r="P650" s="7">
        <f>IF($AD650="","",IF(AND(ISNUMBER(Q650),Q650&gt;0,AB650&gt;Q650),O650*Q650/100+(AB650-Q650),O650*AB650/100))</f>
        <v/>
      </c>
      <c r="Q650">
        <f>IF($AD650="","",INDEX('Per Line'!$AG$2:$AG$3001,$AD650))</f>
        <v/>
      </c>
      <c r="R650">
        <f>IF($AD650="","",IF(AND(ISNUMBER(Q650),Q650&gt;0),AB650&gt;Q650,FALSE))</f>
        <v/>
      </c>
      <c r="S650" s="7">
        <f>IF($AD650="","",SUMIFS('Per Line'!$AB$2:$AB$3001,'Per Line'!$E$2:$E$3001,$B650,'Per Line'!$AQ$2:$AQ$3001,1))</f>
        <v/>
      </c>
      <c r="T650">
        <f>IF($AD650="","",Settings!$C$7)</f>
        <v/>
      </c>
      <c r="U650" s="7">
        <f>IF($AD650="","",SUMIFS('Per Line'!$AB$2:$AB$3001,'Per Line'!$E$2:$E$3001,$B650,'Per Line'!$AP$2:$AP$3001,0,'Per Line'!$AQ$2:$AQ$3001,0))</f>
        <v/>
      </c>
      <c r="V650" s="7">
        <f>IF($AD650="","",U650*T650)</f>
        <v/>
      </c>
      <c r="W650">
        <f>IF($AD650="","",Settings!$C$6)</f>
        <v/>
      </c>
      <c r="X650" s="7">
        <f>IF($AD650="","",SUMIFS('Per Line'!$AB$2:$AB$3001,'Per Line'!$E$2:$E$3001,$B650,'Per Line'!$AP$2:$AP$3001,1,'Per Line'!$AQ$2:$AQ$3001,0))</f>
        <v/>
      </c>
      <c r="Y650" s="7">
        <f>IF($AD650="","",X650*W650)</f>
        <v/>
      </c>
      <c r="Z650" s="7">
        <f>IF($AD650="","",Y650+V650)</f>
        <v/>
      </c>
      <c r="AA650" s="7">
        <f>IF($AD650="","",AB650-Z650)</f>
        <v/>
      </c>
      <c r="AB650" s="7">
        <f>IF($AD650="","",U650+X650+S650)</f>
        <v/>
      </c>
      <c r="AC650" s="7">
        <f>IF($AD650="","",AB650-Z650-P650)</f>
        <v/>
      </c>
      <c r="AD650" s="13">
        <f>IF(ROWS($AD$2:$AD650)&lt;=MAX('Per Line'!$AO$2:$AO$3001),MATCH(ROWS($AD$2:$AD650),'Per Line'!$AO$2:$AO$3001,0),"")</f>
        <v/>
      </c>
      <c r="AE650" s="14">
        <f>IF($AD650="","",P650-O650*AB650/100)</f>
        <v/>
      </c>
    </row>
    <row r="651">
      <c r="A651" s="12" t="n"/>
      <c r="B651">
        <f>IF($AD651="","",INDEX('Per Line'!$E$2:$E$3001,$AD651)&amp;"")</f>
        <v/>
      </c>
      <c r="C651">
        <f>IF($AD651="","",INDEX('Per Line'!$A$2:$A$3001,$AD651)&amp;"")</f>
        <v/>
      </c>
      <c r="D651">
        <f>IF($AD651="","",INDEX('Per Line'!$C$2:$C$3001,$AD651)&amp;"")</f>
        <v/>
      </c>
      <c r="E651">
        <f>IF($AD651="","",INDEX('Per Line'!$B$2:$B$3001,$AD651))</f>
        <v/>
      </c>
      <c r="F651">
        <f>IF($AD651="","",INDEX('Per Line'!$D$2:$D$3001,$AD651)&amp;"")</f>
        <v/>
      </c>
      <c r="G651" s="11">
        <f>IF($AD651="","",INDEX('Per Line'!$G$2:$G$3001,$AD651))</f>
        <v/>
      </c>
      <c r="H651">
        <f>IF($AD651="","",INDEX('Per Line'!$J$2:$J$3001,$AD651)&amp;"")</f>
        <v/>
      </c>
      <c r="I651">
        <f>IF($AD651="","",INDEX('Per Line'!$H$2:$H$3001,$AD651)&amp;"")</f>
        <v/>
      </c>
      <c r="J651">
        <f>IF($AD651="","",INDEX('Per Line'!$F$2:$F$3001,$AD651)&amp;"")</f>
        <v/>
      </c>
      <c r="K651">
        <f>IF($AD651="","",INDEX('Per Line'!$K$2:$K$3001,$AD651)&amp;"")</f>
        <v/>
      </c>
      <c r="L651">
        <f>IF($AD651="","",INDEX('Per Line'!$L$2:$L$3001,$AD651)&amp;"")</f>
        <v/>
      </c>
      <c r="M651">
        <f>IF($AD651="","",INDEX('Per Line'!$M$2:$M$3001,$AD651)&amp;"")</f>
        <v/>
      </c>
      <c r="N651">
        <f>IF($AD651="","",INDEX('Per Line'!$AC$2:$AC$3001,$AD651)&amp;"")</f>
        <v/>
      </c>
      <c r="O651">
        <f>IF($AD651="","",INDEX('Per Line'!$P$2:$P$3001,$AD651))</f>
        <v/>
      </c>
      <c r="P651" s="7">
        <f>IF($AD651="","",IF(AND(ISNUMBER(Q651),Q651&gt;0,AB651&gt;Q651),O651*Q651/100+(AB651-Q651),O651*AB651/100))</f>
        <v/>
      </c>
      <c r="Q651">
        <f>IF($AD651="","",INDEX('Per Line'!$AG$2:$AG$3001,$AD651))</f>
        <v/>
      </c>
      <c r="R651">
        <f>IF($AD651="","",IF(AND(ISNUMBER(Q651),Q651&gt;0),AB651&gt;Q651,FALSE))</f>
        <v/>
      </c>
      <c r="S651" s="7">
        <f>IF($AD651="","",SUMIFS('Per Line'!$AB$2:$AB$3001,'Per Line'!$E$2:$E$3001,$B651,'Per Line'!$AQ$2:$AQ$3001,1))</f>
        <v/>
      </c>
      <c r="T651">
        <f>IF($AD651="","",Settings!$C$7)</f>
        <v/>
      </c>
      <c r="U651" s="7">
        <f>IF($AD651="","",SUMIFS('Per Line'!$AB$2:$AB$3001,'Per Line'!$E$2:$E$3001,$B651,'Per Line'!$AP$2:$AP$3001,0,'Per Line'!$AQ$2:$AQ$3001,0))</f>
        <v/>
      </c>
      <c r="V651" s="7">
        <f>IF($AD651="","",U651*T651)</f>
        <v/>
      </c>
      <c r="W651">
        <f>IF($AD651="","",Settings!$C$6)</f>
        <v/>
      </c>
      <c r="X651" s="7">
        <f>IF($AD651="","",SUMIFS('Per Line'!$AB$2:$AB$3001,'Per Line'!$E$2:$E$3001,$B651,'Per Line'!$AP$2:$AP$3001,1,'Per Line'!$AQ$2:$AQ$3001,0))</f>
        <v/>
      </c>
      <c r="Y651" s="7">
        <f>IF($AD651="","",X651*W651)</f>
        <v/>
      </c>
      <c r="Z651" s="7">
        <f>IF($AD651="","",Y651+V651)</f>
        <v/>
      </c>
      <c r="AA651" s="7">
        <f>IF($AD651="","",AB651-Z651)</f>
        <v/>
      </c>
      <c r="AB651" s="7">
        <f>IF($AD651="","",U651+X651+S651)</f>
        <v/>
      </c>
      <c r="AC651" s="7">
        <f>IF($AD651="","",AB651-Z651-P651)</f>
        <v/>
      </c>
      <c r="AD651" s="13">
        <f>IF(ROWS($AD$2:$AD651)&lt;=MAX('Per Line'!$AO$2:$AO$3001),MATCH(ROWS($AD$2:$AD651),'Per Line'!$AO$2:$AO$3001,0),"")</f>
        <v/>
      </c>
      <c r="AE651" s="14">
        <f>IF($AD651="","",P651-O651*AB651/100)</f>
        <v/>
      </c>
    </row>
    <row r="652">
      <c r="A652" s="12" t="n"/>
      <c r="B652">
        <f>IF($AD652="","",INDEX('Per Line'!$E$2:$E$3001,$AD652)&amp;"")</f>
        <v/>
      </c>
      <c r="C652">
        <f>IF($AD652="","",INDEX('Per Line'!$A$2:$A$3001,$AD652)&amp;"")</f>
        <v/>
      </c>
      <c r="D652">
        <f>IF($AD652="","",INDEX('Per Line'!$C$2:$C$3001,$AD652)&amp;"")</f>
        <v/>
      </c>
      <c r="E652">
        <f>IF($AD652="","",INDEX('Per Line'!$B$2:$B$3001,$AD652))</f>
        <v/>
      </c>
      <c r="F652">
        <f>IF($AD652="","",INDEX('Per Line'!$D$2:$D$3001,$AD652)&amp;"")</f>
        <v/>
      </c>
      <c r="G652" s="11">
        <f>IF($AD652="","",INDEX('Per Line'!$G$2:$G$3001,$AD652))</f>
        <v/>
      </c>
      <c r="H652">
        <f>IF($AD652="","",INDEX('Per Line'!$J$2:$J$3001,$AD652)&amp;"")</f>
        <v/>
      </c>
      <c r="I652">
        <f>IF($AD652="","",INDEX('Per Line'!$H$2:$H$3001,$AD652)&amp;"")</f>
        <v/>
      </c>
      <c r="J652">
        <f>IF($AD652="","",INDEX('Per Line'!$F$2:$F$3001,$AD652)&amp;"")</f>
        <v/>
      </c>
      <c r="K652">
        <f>IF($AD652="","",INDEX('Per Line'!$K$2:$K$3001,$AD652)&amp;"")</f>
        <v/>
      </c>
      <c r="L652">
        <f>IF($AD652="","",INDEX('Per Line'!$L$2:$L$3001,$AD652)&amp;"")</f>
        <v/>
      </c>
      <c r="M652">
        <f>IF($AD652="","",INDEX('Per Line'!$M$2:$M$3001,$AD652)&amp;"")</f>
        <v/>
      </c>
      <c r="N652">
        <f>IF($AD652="","",INDEX('Per Line'!$AC$2:$AC$3001,$AD652)&amp;"")</f>
        <v/>
      </c>
      <c r="O652">
        <f>IF($AD652="","",INDEX('Per Line'!$P$2:$P$3001,$AD652))</f>
        <v/>
      </c>
      <c r="P652" s="7">
        <f>IF($AD652="","",IF(AND(ISNUMBER(Q652),Q652&gt;0,AB652&gt;Q652),O652*Q652/100+(AB652-Q652),O652*AB652/100))</f>
        <v/>
      </c>
      <c r="Q652">
        <f>IF($AD652="","",INDEX('Per Line'!$AG$2:$AG$3001,$AD652))</f>
        <v/>
      </c>
      <c r="R652">
        <f>IF($AD652="","",IF(AND(ISNUMBER(Q652),Q652&gt;0),AB652&gt;Q652,FALSE))</f>
        <v/>
      </c>
      <c r="S652" s="7">
        <f>IF($AD652="","",SUMIFS('Per Line'!$AB$2:$AB$3001,'Per Line'!$E$2:$E$3001,$B652,'Per Line'!$AQ$2:$AQ$3001,1))</f>
        <v/>
      </c>
      <c r="T652">
        <f>IF($AD652="","",Settings!$C$7)</f>
        <v/>
      </c>
      <c r="U652" s="7">
        <f>IF($AD652="","",SUMIFS('Per Line'!$AB$2:$AB$3001,'Per Line'!$E$2:$E$3001,$B652,'Per Line'!$AP$2:$AP$3001,0,'Per Line'!$AQ$2:$AQ$3001,0))</f>
        <v/>
      </c>
      <c r="V652" s="7">
        <f>IF($AD652="","",U652*T652)</f>
        <v/>
      </c>
      <c r="W652">
        <f>IF($AD652="","",Settings!$C$6)</f>
        <v/>
      </c>
      <c r="X652" s="7">
        <f>IF($AD652="","",SUMIFS('Per Line'!$AB$2:$AB$3001,'Per Line'!$E$2:$E$3001,$B652,'Per Line'!$AP$2:$AP$3001,1,'Per Line'!$AQ$2:$AQ$3001,0))</f>
        <v/>
      </c>
      <c r="Y652" s="7">
        <f>IF($AD652="","",X652*W652)</f>
        <v/>
      </c>
      <c r="Z652" s="7">
        <f>IF($AD652="","",Y652+V652)</f>
        <v/>
      </c>
      <c r="AA652" s="7">
        <f>IF($AD652="","",AB652-Z652)</f>
        <v/>
      </c>
      <c r="AB652" s="7">
        <f>IF($AD652="","",U652+X652+S652)</f>
        <v/>
      </c>
      <c r="AC652" s="7">
        <f>IF($AD652="","",AB652-Z652-P652)</f>
        <v/>
      </c>
      <c r="AD652" s="13">
        <f>IF(ROWS($AD$2:$AD652)&lt;=MAX('Per Line'!$AO$2:$AO$3001),MATCH(ROWS($AD$2:$AD652),'Per Line'!$AO$2:$AO$3001,0),"")</f>
        <v/>
      </c>
      <c r="AE652" s="14">
        <f>IF($AD652="","",P652-O652*AB652/100)</f>
        <v/>
      </c>
    </row>
    <row r="653">
      <c r="A653" s="12" t="n"/>
      <c r="B653">
        <f>IF($AD653="","",INDEX('Per Line'!$E$2:$E$3001,$AD653)&amp;"")</f>
        <v/>
      </c>
      <c r="C653">
        <f>IF($AD653="","",INDEX('Per Line'!$A$2:$A$3001,$AD653)&amp;"")</f>
        <v/>
      </c>
      <c r="D653">
        <f>IF($AD653="","",INDEX('Per Line'!$C$2:$C$3001,$AD653)&amp;"")</f>
        <v/>
      </c>
      <c r="E653">
        <f>IF($AD653="","",INDEX('Per Line'!$B$2:$B$3001,$AD653))</f>
        <v/>
      </c>
      <c r="F653">
        <f>IF($AD653="","",INDEX('Per Line'!$D$2:$D$3001,$AD653)&amp;"")</f>
        <v/>
      </c>
      <c r="G653" s="11">
        <f>IF($AD653="","",INDEX('Per Line'!$G$2:$G$3001,$AD653))</f>
        <v/>
      </c>
      <c r="H653">
        <f>IF($AD653="","",INDEX('Per Line'!$J$2:$J$3001,$AD653)&amp;"")</f>
        <v/>
      </c>
      <c r="I653">
        <f>IF($AD653="","",INDEX('Per Line'!$H$2:$H$3001,$AD653)&amp;"")</f>
        <v/>
      </c>
      <c r="J653">
        <f>IF($AD653="","",INDEX('Per Line'!$F$2:$F$3001,$AD653)&amp;"")</f>
        <v/>
      </c>
      <c r="K653">
        <f>IF($AD653="","",INDEX('Per Line'!$K$2:$K$3001,$AD653)&amp;"")</f>
        <v/>
      </c>
      <c r="L653">
        <f>IF($AD653="","",INDEX('Per Line'!$L$2:$L$3001,$AD653)&amp;"")</f>
        <v/>
      </c>
      <c r="M653">
        <f>IF($AD653="","",INDEX('Per Line'!$M$2:$M$3001,$AD653)&amp;"")</f>
        <v/>
      </c>
      <c r="N653">
        <f>IF($AD653="","",INDEX('Per Line'!$AC$2:$AC$3001,$AD653)&amp;"")</f>
        <v/>
      </c>
      <c r="O653">
        <f>IF($AD653="","",INDEX('Per Line'!$P$2:$P$3001,$AD653))</f>
        <v/>
      </c>
      <c r="P653" s="7">
        <f>IF($AD653="","",IF(AND(ISNUMBER(Q653),Q653&gt;0,AB653&gt;Q653),O653*Q653/100+(AB653-Q653),O653*AB653/100))</f>
        <v/>
      </c>
      <c r="Q653">
        <f>IF($AD653="","",INDEX('Per Line'!$AG$2:$AG$3001,$AD653))</f>
        <v/>
      </c>
      <c r="R653">
        <f>IF($AD653="","",IF(AND(ISNUMBER(Q653),Q653&gt;0),AB653&gt;Q653,FALSE))</f>
        <v/>
      </c>
      <c r="S653" s="7">
        <f>IF($AD653="","",SUMIFS('Per Line'!$AB$2:$AB$3001,'Per Line'!$E$2:$E$3001,$B653,'Per Line'!$AQ$2:$AQ$3001,1))</f>
        <v/>
      </c>
      <c r="T653">
        <f>IF($AD653="","",Settings!$C$7)</f>
        <v/>
      </c>
      <c r="U653" s="7">
        <f>IF($AD653="","",SUMIFS('Per Line'!$AB$2:$AB$3001,'Per Line'!$E$2:$E$3001,$B653,'Per Line'!$AP$2:$AP$3001,0,'Per Line'!$AQ$2:$AQ$3001,0))</f>
        <v/>
      </c>
      <c r="V653" s="7">
        <f>IF($AD653="","",U653*T653)</f>
        <v/>
      </c>
      <c r="W653">
        <f>IF($AD653="","",Settings!$C$6)</f>
        <v/>
      </c>
      <c r="X653" s="7">
        <f>IF($AD653="","",SUMIFS('Per Line'!$AB$2:$AB$3001,'Per Line'!$E$2:$E$3001,$B653,'Per Line'!$AP$2:$AP$3001,1,'Per Line'!$AQ$2:$AQ$3001,0))</f>
        <v/>
      </c>
      <c r="Y653" s="7">
        <f>IF($AD653="","",X653*W653)</f>
        <v/>
      </c>
      <c r="Z653" s="7">
        <f>IF($AD653="","",Y653+V653)</f>
        <v/>
      </c>
      <c r="AA653" s="7">
        <f>IF($AD653="","",AB653-Z653)</f>
        <v/>
      </c>
      <c r="AB653" s="7">
        <f>IF($AD653="","",U653+X653+S653)</f>
        <v/>
      </c>
      <c r="AC653" s="7">
        <f>IF($AD653="","",AB653-Z653-P653)</f>
        <v/>
      </c>
      <c r="AD653" s="13">
        <f>IF(ROWS($AD$2:$AD653)&lt;=MAX('Per Line'!$AO$2:$AO$3001),MATCH(ROWS($AD$2:$AD653),'Per Line'!$AO$2:$AO$3001,0),"")</f>
        <v/>
      </c>
      <c r="AE653" s="14">
        <f>IF($AD653="","",P653-O653*AB653/100)</f>
        <v/>
      </c>
    </row>
    <row r="654">
      <c r="A654" s="12" t="n"/>
      <c r="B654">
        <f>IF($AD654="","",INDEX('Per Line'!$E$2:$E$3001,$AD654)&amp;"")</f>
        <v/>
      </c>
      <c r="C654">
        <f>IF($AD654="","",INDEX('Per Line'!$A$2:$A$3001,$AD654)&amp;"")</f>
        <v/>
      </c>
      <c r="D654">
        <f>IF($AD654="","",INDEX('Per Line'!$C$2:$C$3001,$AD654)&amp;"")</f>
        <v/>
      </c>
      <c r="E654">
        <f>IF($AD654="","",INDEX('Per Line'!$B$2:$B$3001,$AD654))</f>
        <v/>
      </c>
      <c r="F654">
        <f>IF($AD654="","",INDEX('Per Line'!$D$2:$D$3001,$AD654)&amp;"")</f>
        <v/>
      </c>
      <c r="G654" s="11">
        <f>IF($AD654="","",INDEX('Per Line'!$G$2:$G$3001,$AD654))</f>
        <v/>
      </c>
      <c r="H654">
        <f>IF($AD654="","",INDEX('Per Line'!$J$2:$J$3001,$AD654)&amp;"")</f>
        <v/>
      </c>
      <c r="I654">
        <f>IF($AD654="","",INDEX('Per Line'!$H$2:$H$3001,$AD654)&amp;"")</f>
        <v/>
      </c>
      <c r="J654">
        <f>IF($AD654="","",INDEX('Per Line'!$F$2:$F$3001,$AD654)&amp;"")</f>
        <v/>
      </c>
      <c r="K654">
        <f>IF($AD654="","",INDEX('Per Line'!$K$2:$K$3001,$AD654)&amp;"")</f>
        <v/>
      </c>
      <c r="L654">
        <f>IF($AD654="","",INDEX('Per Line'!$L$2:$L$3001,$AD654)&amp;"")</f>
        <v/>
      </c>
      <c r="M654">
        <f>IF($AD654="","",INDEX('Per Line'!$M$2:$M$3001,$AD654)&amp;"")</f>
        <v/>
      </c>
      <c r="N654">
        <f>IF($AD654="","",INDEX('Per Line'!$AC$2:$AC$3001,$AD654)&amp;"")</f>
        <v/>
      </c>
      <c r="O654">
        <f>IF($AD654="","",INDEX('Per Line'!$P$2:$P$3001,$AD654))</f>
        <v/>
      </c>
      <c r="P654" s="7">
        <f>IF($AD654="","",IF(AND(ISNUMBER(Q654),Q654&gt;0,AB654&gt;Q654),O654*Q654/100+(AB654-Q654),O654*AB654/100))</f>
        <v/>
      </c>
      <c r="Q654">
        <f>IF($AD654="","",INDEX('Per Line'!$AG$2:$AG$3001,$AD654))</f>
        <v/>
      </c>
      <c r="R654">
        <f>IF($AD654="","",IF(AND(ISNUMBER(Q654),Q654&gt;0),AB654&gt;Q654,FALSE))</f>
        <v/>
      </c>
      <c r="S654" s="7">
        <f>IF($AD654="","",SUMIFS('Per Line'!$AB$2:$AB$3001,'Per Line'!$E$2:$E$3001,$B654,'Per Line'!$AQ$2:$AQ$3001,1))</f>
        <v/>
      </c>
      <c r="T654">
        <f>IF($AD654="","",Settings!$C$7)</f>
        <v/>
      </c>
      <c r="U654" s="7">
        <f>IF($AD654="","",SUMIFS('Per Line'!$AB$2:$AB$3001,'Per Line'!$E$2:$E$3001,$B654,'Per Line'!$AP$2:$AP$3001,0,'Per Line'!$AQ$2:$AQ$3001,0))</f>
        <v/>
      </c>
      <c r="V654" s="7">
        <f>IF($AD654="","",U654*T654)</f>
        <v/>
      </c>
      <c r="W654">
        <f>IF($AD654="","",Settings!$C$6)</f>
        <v/>
      </c>
      <c r="X654" s="7">
        <f>IF($AD654="","",SUMIFS('Per Line'!$AB$2:$AB$3001,'Per Line'!$E$2:$E$3001,$B654,'Per Line'!$AP$2:$AP$3001,1,'Per Line'!$AQ$2:$AQ$3001,0))</f>
        <v/>
      </c>
      <c r="Y654" s="7">
        <f>IF($AD654="","",X654*W654)</f>
        <v/>
      </c>
      <c r="Z654" s="7">
        <f>IF($AD654="","",Y654+V654)</f>
        <v/>
      </c>
      <c r="AA654" s="7">
        <f>IF($AD654="","",AB654-Z654)</f>
        <v/>
      </c>
      <c r="AB654" s="7">
        <f>IF($AD654="","",U654+X654+S654)</f>
        <v/>
      </c>
      <c r="AC654" s="7">
        <f>IF($AD654="","",AB654-Z654-P654)</f>
        <v/>
      </c>
      <c r="AD654" s="13">
        <f>IF(ROWS($AD$2:$AD654)&lt;=MAX('Per Line'!$AO$2:$AO$3001),MATCH(ROWS($AD$2:$AD654),'Per Line'!$AO$2:$AO$3001,0),"")</f>
        <v/>
      </c>
      <c r="AE654" s="14">
        <f>IF($AD654="","",P654-O654*AB654/100)</f>
        <v/>
      </c>
    </row>
    <row r="655">
      <c r="A655" s="12" t="n"/>
      <c r="B655">
        <f>IF($AD655="","",INDEX('Per Line'!$E$2:$E$3001,$AD655)&amp;"")</f>
        <v/>
      </c>
      <c r="C655">
        <f>IF($AD655="","",INDEX('Per Line'!$A$2:$A$3001,$AD655)&amp;"")</f>
        <v/>
      </c>
      <c r="D655">
        <f>IF($AD655="","",INDEX('Per Line'!$C$2:$C$3001,$AD655)&amp;"")</f>
        <v/>
      </c>
      <c r="E655">
        <f>IF($AD655="","",INDEX('Per Line'!$B$2:$B$3001,$AD655))</f>
        <v/>
      </c>
      <c r="F655">
        <f>IF($AD655="","",INDEX('Per Line'!$D$2:$D$3001,$AD655)&amp;"")</f>
        <v/>
      </c>
      <c r="G655" s="11">
        <f>IF($AD655="","",INDEX('Per Line'!$G$2:$G$3001,$AD655))</f>
        <v/>
      </c>
      <c r="H655">
        <f>IF($AD655="","",INDEX('Per Line'!$J$2:$J$3001,$AD655)&amp;"")</f>
        <v/>
      </c>
      <c r="I655">
        <f>IF($AD655="","",INDEX('Per Line'!$H$2:$H$3001,$AD655)&amp;"")</f>
        <v/>
      </c>
      <c r="J655">
        <f>IF($AD655="","",INDEX('Per Line'!$F$2:$F$3001,$AD655)&amp;"")</f>
        <v/>
      </c>
      <c r="K655">
        <f>IF($AD655="","",INDEX('Per Line'!$K$2:$K$3001,$AD655)&amp;"")</f>
        <v/>
      </c>
      <c r="L655">
        <f>IF($AD655="","",INDEX('Per Line'!$L$2:$L$3001,$AD655)&amp;"")</f>
        <v/>
      </c>
      <c r="M655">
        <f>IF($AD655="","",INDEX('Per Line'!$M$2:$M$3001,$AD655)&amp;"")</f>
        <v/>
      </c>
      <c r="N655">
        <f>IF($AD655="","",INDEX('Per Line'!$AC$2:$AC$3001,$AD655)&amp;"")</f>
        <v/>
      </c>
      <c r="O655">
        <f>IF($AD655="","",INDEX('Per Line'!$P$2:$P$3001,$AD655))</f>
        <v/>
      </c>
      <c r="P655" s="7">
        <f>IF($AD655="","",IF(AND(ISNUMBER(Q655),Q655&gt;0,AB655&gt;Q655),O655*Q655/100+(AB655-Q655),O655*AB655/100))</f>
        <v/>
      </c>
      <c r="Q655">
        <f>IF($AD655="","",INDEX('Per Line'!$AG$2:$AG$3001,$AD655))</f>
        <v/>
      </c>
      <c r="R655">
        <f>IF($AD655="","",IF(AND(ISNUMBER(Q655),Q655&gt;0),AB655&gt;Q655,FALSE))</f>
        <v/>
      </c>
      <c r="S655" s="7">
        <f>IF($AD655="","",SUMIFS('Per Line'!$AB$2:$AB$3001,'Per Line'!$E$2:$E$3001,$B655,'Per Line'!$AQ$2:$AQ$3001,1))</f>
        <v/>
      </c>
      <c r="T655">
        <f>IF($AD655="","",Settings!$C$7)</f>
        <v/>
      </c>
      <c r="U655" s="7">
        <f>IF($AD655="","",SUMIFS('Per Line'!$AB$2:$AB$3001,'Per Line'!$E$2:$E$3001,$B655,'Per Line'!$AP$2:$AP$3001,0,'Per Line'!$AQ$2:$AQ$3001,0))</f>
        <v/>
      </c>
      <c r="V655" s="7">
        <f>IF($AD655="","",U655*T655)</f>
        <v/>
      </c>
      <c r="W655">
        <f>IF($AD655="","",Settings!$C$6)</f>
        <v/>
      </c>
      <c r="X655" s="7">
        <f>IF($AD655="","",SUMIFS('Per Line'!$AB$2:$AB$3001,'Per Line'!$E$2:$E$3001,$B655,'Per Line'!$AP$2:$AP$3001,1,'Per Line'!$AQ$2:$AQ$3001,0))</f>
        <v/>
      </c>
      <c r="Y655" s="7">
        <f>IF($AD655="","",X655*W655)</f>
        <v/>
      </c>
      <c r="Z655" s="7">
        <f>IF($AD655="","",Y655+V655)</f>
        <v/>
      </c>
      <c r="AA655" s="7">
        <f>IF($AD655="","",AB655-Z655)</f>
        <v/>
      </c>
      <c r="AB655" s="7">
        <f>IF($AD655="","",U655+X655+S655)</f>
        <v/>
      </c>
      <c r="AC655" s="7">
        <f>IF($AD655="","",AB655-Z655-P655)</f>
        <v/>
      </c>
      <c r="AD655" s="13">
        <f>IF(ROWS($AD$2:$AD655)&lt;=MAX('Per Line'!$AO$2:$AO$3001),MATCH(ROWS($AD$2:$AD655),'Per Line'!$AO$2:$AO$3001,0),"")</f>
        <v/>
      </c>
      <c r="AE655" s="14">
        <f>IF($AD655="","",P655-O655*AB655/100)</f>
        <v/>
      </c>
    </row>
    <row r="656">
      <c r="A656" s="12" t="n"/>
      <c r="B656">
        <f>IF($AD656="","",INDEX('Per Line'!$E$2:$E$3001,$AD656)&amp;"")</f>
        <v/>
      </c>
      <c r="C656">
        <f>IF($AD656="","",INDEX('Per Line'!$A$2:$A$3001,$AD656)&amp;"")</f>
        <v/>
      </c>
      <c r="D656">
        <f>IF($AD656="","",INDEX('Per Line'!$C$2:$C$3001,$AD656)&amp;"")</f>
        <v/>
      </c>
      <c r="E656">
        <f>IF($AD656="","",INDEX('Per Line'!$B$2:$B$3001,$AD656))</f>
        <v/>
      </c>
      <c r="F656">
        <f>IF($AD656="","",INDEX('Per Line'!$D$2:$D$3001,$AD656)&amp;"")</f>
        <v/>
      </c>
      <c r="G656" s="11">
        <f>IF($AD656="","",INDEX('Per Line'!$G$2:$G$3001,$AD656))</f>
        <v/>
      </c>
      <c r="H656">
        <f>IF($AD656="","",INDEX('Per Line'!$J$2:$J$3001,$AD656)&amp;"")</f>
        <v/>
      </c>
      <c r="I656">
        <f>IF($AD656="","",INDEX('Per Line'!$H$2:$H$3001,$AD656)&amp;"")</f>
        <v/>
      </c>
      <c r="J656">
        <f>IF($AD656="","",INDEX('Per Line'!$F$2:$F$3001,$AD656)&amp;"")</f>
        <v/>
      </c>
      <c r="K656">
        <f>IF($AD656="","",INDEX('Per Line'!$K$2:$K$3001,$AD656)&amp;"")</f>
        <v/>
      </c>
      <c r="L656">
        <f>IF($AD656="","",INDEX('Per Line'!$L$2:$L$3001,$AD656)&amp;"")</f>
        <v/>
      </c>
      <c r="M656">
        <f>IF($AD656="","",INDEX('Per Line'!$M$2:$M$3001,$AD656)&amp;"")</f>
        <v/>
      </c>
      <c r="N656">
        <f>IF($AD656="","",INDEX('Per Line'!$AC$2:$AC$3001,$AD656)&amp;"")</f>
        <v/>
      </c>
      <c r="O656">
        <f>IF($AD656="","",INDEX('Per Line'!$P$2:$P$3001,$AD656))</f>
        <v/>
      </c>
      <c r="P656" s="7">
        <f>IF($AD656="","",IF(AND(ISNUMBER(Q656),Q656&gt;0,AB656&gt;Q656),O656*Q656/100+(AB656-Q656),O656*AB656/100))</f>
        <v/>
      </c>
      <c r="Q656">
        <f>IF($AD656="","",INDEX('Per Line'!$AG$2:$AG$3001,$AD656))</f>
        <v/>
      </c>
      <c r="R656">
        <f>IF($AD656="","",IF(AND(ISNUMBER(Q656),Q656&gt;0),AB656&gt;Q656,FALSE))</f>
        <v/>
      </c>
      <c r="S656" s="7">
        <f>IF($AD656="","",SUMIFS('Per Line'!$AB$2:$AB$3001,'Per Line'!$E$2:$E$3001,$B656,'Per Line'!$AQ$2:$AQ$3001,1))</f>
        <v/>
      </c>
      <c r="T656">
        <f>IF($AD656="","",Settings!$C$7)</f>
        <v/>
      </c>
      <c r="U656" s="7">
        <f>IF($AD656="","",SUMIFS('Per Line'!$AB$2:$AB$3001,'Per Line'!$E$2:$E$3001,$B656,'Per Line'!$AP$2:$AP$3001,0,'Per Line'!$AQ$2:$AQ$3001,0))</f>
        <v/>
      </c>
      <c r="V656" s="7">
        <f>IF($AD656="","",U656*T656)</f>
        <v/>
      </c>
      <c r="W656">
        <f>IF($AD656="","",Settings!$C$6)</f>
        <v/>
      </c>
      <c r="X656" s="7">
        <f>IF($AD656="","",SUMIFS('Per Line'!$AB$2:$AB$3001,'Per Line'!$E$2:$E$3001,$B656,'Per Line'!$AP$2:$AP$3001,1,'Per Line'!$AQ$2:$AQ$3001,0))</f>
        <v/>
      </c>
      <c r="Y656" s="7">
        <f>IF($AD656="","",X656*W656)</f>
        <v/>
      </c>
      <c r="Z656" s="7">
        <f>IF($AD656="","",Y656+V656)</f>
        <v/>
      </c>
      <c r="AA656" s="7">
        <f>IF($AD656="","",AB656-Z656)</f>
        <v/>
      </c>
      <c r="AB656" s="7">
        <f>IF($AD656="","",U656+X656+S656)</f>
        <v/>
      </c>
      <c r="AC656" s="7">
        <f>IF($AD656="","",AB656-Z656-P656)</f>
        <v/>
      </c>
      <c r="AD656" s="13">
        <f>IF(ROWS($AD$2:$AD656)&lt;=MAX('Per Line'!$AO$2:$AO$3001),MATCH(ROWS($AD$2:$AD656),'Per Line'!$AO$2:$AO$3001,0),"")</f>
        <v/>
      </c>
      <c r="AE656" s="14">
        <f>IF($AD656="","",P656-O656*AB656/100)</f>
        <v/>
      </c>
    </row>
    <row r="657">
      <c r="A657" s="12" t="n"/>
      <c r="B657">
        <f>IF($AD657="","",INDEX('Per Line'!$E$2:$E$3001,$AD657)&amp;"")</f>
        <v/>
      </c>
      <c r="C657">
        <f>IF($AD657="","",INDEX('Per Line'!$A$2:$A$3001,$AD657)&amp;"")</f>
        <v/>
      </c>
      <c r="D657">
        <f>IF($AD657="","",INDEX('Per Line'!$C$2:$C$3001,$AD657)&amp;"")</f>
        <v/>
      </c>
      <c r="E657">
        <f>IF($AD657="","",INDEX('Per Line'!$B$2:$B$3001,$AD657))</f>
        <v/>
      </c>
      <c r="F657">
        <f>IF($AD657="","",INDEX('Per Line'!$D$2:$D$3001,$AD657)&amp;"")</f>
        <v/>
      </c>
      <c r="G657" s="11">
        <f>IF($AD657="","",INDEX('Per Line'!$G$2:$G$3001,$AD657))</f>
        <v/>
      </c>
      <c r="H657">
        <f>IF($AD657="","",INDEX('Per Line'!$J$2:$J$3001,$AD657)&amp;"")</f>
        <v/>
      </c>
      <c r="I657">
        <f>IF($AD657="","",INDEX('Per Line'!$H$2:$H$3001,$AD657)&amp;"")</f>
        <v/>
      </c>
      <c r="J657">
        <f>IF($AD657="","",INDEX('Per Line'!$F$2:$F$3001,$AD657)&amp;"")</f>
        <v/>
      </c>
      <c r="K657">
        <f>IF($AD657="","",INDEX('Per Line'!$K$2:$K$3001,$AD657)&amp;"")</f>
        <v/>
      </c>
      <c r="L657">
        <f>IF($AD657="","",INDEX('Per Line'!$L$2:$L$3001,$AD657)&amp;"")</f>
        <v/>
      </c>
      <c r="M657">
        <f>IF($AD657="","",INDEX('Per Line'!$M$2:$M$3001,$AD657)&amp;"")</f>
        <v/>
      </c>
      <c r="N657">
        <f>IF($AD657="","",INDEX('Per Line'!$AC$2:$AC$3001,$AD657)&amp;"")</f>
        <v/>
      </c>
      <c r="O657">
        <f>IF($AD657="","",INDEX('Per Line'!$P$2:$P$3001,$AD657))</f>
        <v/>
      </c>
      <c r="P657" s="7">
        <f>IF($AD657="","",IF(AND(ISNUMBER(Q657),Q657&gt;0,AB657&gt;Q657),O657*Q657/100+(AB657-Q657),O657*AB657/100))</f>
        <v/>
      </c>
      <c r="Q657">
        <f>IF($AD657="","",INDEX('Per Line'!$AG$2:$AG$3001,$AD657))</f>
        <v/>
      </c>
      <c r="R657">
        <f>IF($AD657="","",IF(AND(ISNUMBER(Q657),Q657&gt;0),AB657&gt;Q657,FALSE))</f>
        <v/>
      </c>
      <c r="S657" s="7">
        <f>IF($AD657="","",SUMIFS('Per Line'!$AB$2:$AB$3001,'Per Line'!$E$2:$E$3001,$B657,'Per Line'!$AQ$2:$AQ$3001,1))</f>
        <v/>
      </c>
      <c r="T657">
        <f>IF($AD657="","",Settings!$C$7)</f>
        <v/>
      </c>
      <c r="U657" s="7">
        <f>IF($AD657="","",SUMIFS('Per Line'!$AB$2:$AB$3001,'Per Line'!$E$2:$E$3001,$B657,'Per Line'!$AP$2:$AP$3001,0,'Per Line'!$AQ$2:$AQ$3001,0))</f>
        <v/>
      </c>
      <c r="V657" s="7">
        <f>IF($AD657="","",U657*T657)</f>
        <v/>
      </c>
      <c r="W657">
        <f>IF($AD657="","",Settings!$C$6)</f>
        <v/>
      </c>
      <c r="X657" s="7">
        <f>IF($AD657="","",SUMIFS('Per Line'!$AB$2:$AB$3001,'Per Line'!$E$2:$E$3001,$B657,'Per Line'!$AP$2:$AP$3001,1,'Per Line'!$AQ$2:$AQ$3001,0))</f>
        <v/>
      </c>
      <c r="Y657" s="7">
        <f>IF($AD657="","",X657*W657)</f>
        <v/>
      </c>
      <c r="Z657" s="7">
        <f>IF($AD657="","",Y657+V657)</f>
        <v/>
      </c>
      <c r="AA657" s="7">
        <f>IF($AD657="","",AB657-Z657)</f>
        <v/>
      </c>
      <c r="AB657" s="7">
        <f>IF($AD657="","",U657+X657+S657)</f>
        <v/>
      </c>
      <c r="AC657" s="7">
        <f>IF($AD657="","",AB657-Z657-P657)</f>
        <v/>
      </c>
      <c r="AD657" s="13">
        <f>IF(ROWS($AD$2:$AD657)&lt;=MAX('Per Line'!$AO$2:$AO$3001),MATCH(ROWS($AD$2:$AD657),'Per Line'!$AO$2:$AO$3001,0),"")</f>
        <v/>
      </c>
      <c r="AE657" s="14">
        <f>IF($AD657="","",P657-O657*AB657/100)</f>
        <v/>
      </c>
    </row>
    <row r="658">
      <c r="A658" s="12" t="n"/>
      <c r="B658">
        <f>IF($AD658="","",INDEX('Per Line'!$E$2:$E$3001,$AD658)&amp;"")</f>
        <v/>
      </c>
      <c r="C658">
        <f>IF($AD658="","",INDEX('Per Line'!$A$2:$A$3001,$AD658)&amp;"")</f>
        <v/>
      </c>
      <c r="D658">
        <f>IF($AD658="","",INDEX('Per Line'!$C$2:$C$3001,$AD658)&amp;"")</f>
        <v/>
      </c>
      <c r="E658">
        <f>IF($AD658="","",INDEX('Per Line'!$B$2:$B$3001,$AD658))</f>
        <v/>
      </c>
      <c r="F658">
        <f>IF($AD658="","",INDEX('Per Line'!$D$2:$D$3001,$AD658)&amp;"")</f>
        <v/>
      </c>
      <c r="G658" s="11">
        <f>IF($AD658="","",INDEX('Per Line'!$G$2:$G$3001,$AD658))</f>
        <v/>
      </c>
      <c r="H658">
        <f>IF($AD658="","",INDEX('Per Line'!$J$2:$J$3001,$AD658)&amp;"")</f>
        <v/>
      </c>
      <c r="I658">
        <f>IF($AD658="","",INDEX('Per Line'!$H$2:$H$3001,$AD658)&amp;"")</f>
        <v/>
      </c>
      <c r="J658">
        <f>IF($AD658="","",INDEX('Per Line'!$F$2:$F$3001,$AD658)&amp;"")</f>
        <v/>
      </c>
      <c r="K658">
        <f>IF($AD658="","",INDEX('Per Line'!$K$2:$K$3001,$AD658)&amp;"")</f>
        <v/>
      </c>
      <c r="L658">
        <f>IF($AD658="","",INDEX('Per Line'!$L$2:$L$3001,$AD658)&amp;"")</f>
        <v/>
      </c>
      <c r="M658">
        <f>IF($AD658="","",INDEX('Per Line'!$M$2:$M$3001,$AD658)&amp;"")</f>
        <v/>
      </c>
      <c r="N658">
        <f>IF($AD658="","",INDEX('Per Line'!$AC$2:$AC$3001,$AD658)&amp;"")</f>
        <v/>
      </c>
      <c r="O658">
        <f>IF($AD658="","",INDEX('Per Line'!$P$2:$P$3001,$AD658))</f>
        <v/>
      </c>
      <c r="P658" s="7">
        <f>IF($AD658="","",IF(AND(ISNUMBER(Q658),Q658&gt;0,AB658&gt;Q658),O658*Q658/100+(AB658-Q658),O658*AB658/100))</f>
        <v/>
      </c>
      <c r="Q658">
        <f>IF($AD658="","",INDEX('Per Line'!$AG$2:$AG$3001,$AD658))</f>
        <v/>
      </c>
      <c r="R658">
        <f>IF($AD658="","",IF(AND(ISNUMBER(Q658),Q658&gt;0),AB658&gt;Q658,FALSE))</f>
        <v/>
      </c>
      <c r="S658" s="7">
        <f>IF($AD658="","",SUMIFS('Per Line'!$AB$2:$AB$3001,'Per Line'!$E$2:$E$3001,$B658,'Per Line'!$AQ$2:$AQ$3001,1))</f>
        <v/>
      </c>
      <c r="T658">
        <f>IF($AD658="","",Settings!$C$7)</f>
        <v/>
      </c>
      <c r="U658" s="7">
        <f>IF($AD658="","",SUMIFS('Per Line'!$AB$2:$AB$3001,'Per Line'!$E$2:$E$3001,$B658,'Per Line'!$AP$2:$AP$3001,0,'Per Line'!$AQ$2:$AQ$3001,0))</f>
        <v/>
      </c>
      <c r="V658" s="7">
        <f>IF($AD658="","",U658*T658)</f>
        <v/>
      </c>
      <c r="W658">
        <f>IF($AD658="","",Settings!$C$6)</f>
        <v/>
      </c>
      <c r="X658" s="7">
        <f>IF($AD658="","",SUMIFS('Per Line'!$AB$2:$AB$3001,'Per Line'!$E$2:$E$3001,$B658,'Per Line'!$AP$2:$AP$3001,1,'Per Line'!$AQ$2:$AQ$3001,0))</f>
        <v/>
      </c>
      <c r="Y658" s="7">
        <f>IF($AD658="","",X658*W658)</f>
        <v/>
      </c>
      <c r="Z658" s="7">
        <f>IF($AD658="","",Y658+V658)</f>
        <v/>
      </c>
      <c r="AA658" s="7">
        <f>IF($AD658="","",AB658-Z658)</f>
        <v/>
      </c>
      <c r="AB658" s="7">
        <f>IF($AD658="","",U658+X658+S658)</f>
        <v/>
      </c>
      <c r="AC658" s="7">
        <f>IF($AD658="","",AB658-Z658-P658)</f>
        <v/>
      </c>
      <c r="AD658" s="13">
        <f>IF(ROWS($AD$2:$AD658)&lt;=MAX('Per Line'!$AO$2:$AO$3001),MATCH(ROWS($AD$2:$AD658),'Per Line'!$AO$2:$AO$3001,0),"")</f>
        <v/>
      </c>
      <c r="AE658" s="14">
        <f>IF($AD658="","",P658-O658*AB658/100)</f>
        <v/>
      </c>
    </row>
    <row r="659">
      <c r="A659" s="12" t="n"/>
      <c r="B659">
        <f>IF($AD659="","",INDEX('Per Line'!$E$2:$E$3001,$AD659)&amp;"")</f>
        <v/>
      </c>
      <c r="C659">
        <f>IF($AD659="","",INDEX('Per Line'!$A$2:$A$3001,$AD659)&amp;"")</f>
        <v/>
      </c>
      <c r="D659">
        <f>IF($AD659="","",INDEX('Per Line'!$C$2:$C$3001,$AD659)&amp;"")</f>
        <v/>
      </c>
      <c r="E659">
        <f>IF($AD659="","",INDEX('Per Line'!$B$2:$B$3001,$AD659))</f>
        <v/>
      </c>
      <c r="F659">
        <f>IF($AD659="","",INDEX('Per Line'!$D$2:$D$3001,$AD659)&amp;"")</f>
        <v/>
      </c>
      <c r="G659" s="11">
        <f>IF($AD659="","",INDEX('Per Line'!$G$2:$G$3001,$AD659))</f>
        <v/>
      </c>
      <c r="H659">
        <f>IF($AD659="","",INDEX('Per Line'!$J$2:$J$3001,$AD659)&amp;"")</f>
        <v/>
      </c>
      <c r="I659">
        <f>IF($AD659="","",INDEX('Per Line'!$H$2:$H$3001,$AD659)&amp;"")</f>
        <v/>
      </c>
      <c r="J659">
        <f>IF($AD659="","",INDEX('Per Line'!$F$2:$F$3001,$AD659)&amp;"")</f>
        <v/>
      </c>
      <c r="K659">
        <f>IF($AD659="","",INDEX('Per Line'!$K$2:$K$3001,$AD659)&amp;"")</f>
        <v/>
      </c>
      <c r="L659">
        <f>IF($AD659="","",INDEX('Per Line'!$L$2:$L$3001,$AD659)&amp;"")</f>
        <v/>
      </c>
      <c r="M659">
        <f>IF($AD659="","",INDEX('Per Line'!$M$2:$M$3001,$AD659)&amp;"")</f>
        <v/>
      </c>
      <c r="N659">
        <f>IF($AD659="","",INDEX('Per Line'!$AC$2:$AC$3001,$AD659)&amp;"")</f>
        <v/>
      </c>
      <c r="O659">
        <f>IF($AD659="","",INDEX('Per Line'!$P$2:$P$3001,$AD659))</f>
        <v/>
      </c>
      <c r="P659" s="7">
        <f>IF($AD659="","",IF(AND(ISNUMBER(Q659),Q659&gt;0,AB659&gt;Q659),O659*Q659/100+(AB659-Q659),O659*AB659/100))</f>
        <v/>
      </c>
      <c r="Q659">
        <f>IF($AD659="","",INDEX('Per Line'!$AG$2:$AG$3001,$AD659))</f>
        <v/>
      </c>
      <c r="R659">
        <f>IF($AD659="","",IF(AND(ISNUMBER(Q659),Q659&gt;0),AB659&gt;Q659,FALSE))</f>
        <v/>
      </c>
      <c r="S659" s="7">
        <f>IF($AD659="","",SUMIFS('Per Line'!$AB$2:$AB$3001,'Per Line'!$E$2:$E$3001,$B659,'Per Line'!$AQ$2:$AQ$3001,1))</f>
        <v/>
      </c>
      <c r="T659">
        <f>IF($AD659="","",Settings!$C$7)</f>
        <v/>
      </c>
      <c r="U659" s="7">
        <f>IF($AD659="","",SUMIFS('Per Line'!$AB$2:$AB$3001,'Per Line'!$E$2:$E$3001,$B659,'Per Line'!$AP$2:$AP$3001,0,'Per Line'!$AQ$2:$AQ$3001,0))</f>
        <v/>
      </c>
      <c r="V659" s="7">
        <f>IF($AD659="","",U659*T659)</f>
        <v/>
      </c>
      <c r="W659">
        <f>IF($AD659="","",Settings!$C$6)</f>
        <v/>
      </c>
      <c r="X659" s="7">
        <f>IF($AD659="","",SUMIFS('Per Line'!$AB$2:$AB$3001,'Per Line'!$E$2:$E$3001,$B659,'Per Line'!$AP$2:$AP$3001,1,'Per Line'!$AQ$2:$AQ$3001,0))</f>
        <v/>
      </c>
      <c r="Y659" s="7">
        <f>IF($AD659="","",X659*W659)</f>
        <v/>
      </c>
      <c r="Z659" s="7">
        <f>IF($AD659="","",Y659+V659)</f>
        <v/>
      </c>
      <c r="AA659" s="7">
        <f>IF($AD659="","",AB659-Z659)</f>
        <v/>
      </c>
      <c r="AB659" s="7">
        <f>IF($AD659="","",U659+X659+S659)</f>
        <v/>
      </c>
      <c r="AC659" s="7">
        <f>IF($AD659="","",AB659-Z659-P659)</f>
        <v/>
      </c>
      <c r="AD659" s="13">
        <f>IF(ROWS($AD$2:$AD659)&lt;=MAX('Per Line'!$AO$2:$AO$3001),MATCH(ROWS($AD$2:$AD659),'Per Line'!$AO$2:$AO$3001,0),"")</f>
        <v/>
      </c>
      <c r="AE659" s="14">
        <f>IF($AD659="","",P659-O659*AB659/100)</f>
        <v/>
      </c>
    </row>
    <row r="660">
      <c r="A660" s="12" t="n"/>
      <c r="B660">
        <f>IF($AD660="","",INDEX('Per Line'!$E$2:$E$3001,$AD660)&amp;"")</f>
        <v/>
      </c>
      <c r="C660">
        <f>IF($AD660="","",INDEX('Per Line'!$A$2:$A$3001,$AD660)&amp;"")</f>
        <v/>
      </c>
      <c r="D660">
        <f>IF($AD660="","",INDEX('Per Line'!$C$2:$C$3001,$AD660)&amp;"")</f>
        <v/>
      </c>
      <c r="E660">
        <f>IF($AD660="","",INDEX('Per Line'!$B$2:$B$3001,$AD660))</f>
        <v/>
      </c>
      <c r="F660">
        <f>IF($AD660="","",INDEX('Per Line'!$D$2:$D$3001,$AD660)&amp;"")</f>
        <v/>
      </c>
      <c r="G660" s="11">
        <f>IF($AD660="","",INDEX('Per Line'!$G$2:$G$3001,$AD660))</f>
        <v/>
      </c>
      <c r="H660">
        <f>IF($AD660="","",INDEX('Per Line'!$J$2:$J$3001,$AD660)&amp;"")</f>
        <v/>
      </c>
      <c r="I660">
        <f>IF($AD660="","",INDEX('Per Line'!$H$2:$H$3001,$AD660)&amp;"")</f>
        <v/>
      </c>
      <c r="J660">
        <f>IF($AD660="","",INDEX('Per Line'!$F$2:$F$3001,$AD660)&amp;"")</f>
        <v/>
      </c>
      <c r="K660">
        <f>IF($AD660="","",INDEX('Per Line'!$K$2:$K$3001,$AD660)&amp;"")</f>
        <v/>
      </c>
      <c r="L660">
        <f>IF($AD660="","",INDEX('Per Line'!$L$2:$L$3001,$AD660)&amp;"")</f>
        <v/>
      </c>
      <c r="M660">
        <f>IF($AD660="","",INDEX('Per Line'!$M$2:$M$3001,$AD660)&amp;"")</f>
        <v/>
      </c>
      <c r="N660">
        <f>IF($AD660="","",INDEX('Per Line'!$AC$2:$AC$3001,$AD660)&amp;"")</f>
        <v/>
      </c>
      <c r="O660">
        <f>IF($AD660="","",INDEX('Per Line'!$P$2:$P$3001,$AD660))</f>
        <v/>
      </c>
      <c r="P660" s="7">
        <f>IF($AD660="","",IF(AND(ISNUMBER(Q660),Q660&gt;0,AB660&gt;Q660),O660*Q660/100+(AB660-Q660),O660*AB660/100))</f>
        <v/>
      </c>
      <c r="Q660">
        <f>IF($AD660="","",INDEX('Per Line'!$AG$2:$AG$3001,$AD660))</f>
        <v/>
      </c>
      <c r="R660">
        <f>IF($AD660="","",IF(AND(ISNUMBER(Q660),Q660&gt;0),AB660&gt;Q660,FALSE))</f>
        <v/>
      </c>
      <c r="S660" s="7">
        <f>IF($AD660="","",SUMIFS('Per Line'!$AB$2:$AB$3001,'Per Line'!$E$2:$E$3001,$B660,'Per Line'!$AQ$2:$AQ$3001,1))</f>
        <v/>
      </c>
      <c r="T660">
        <f>IF($AD660="","",Settings!$C$7)</f>
        <v/>
      </c>
      <c r="U660" s="7">
        <f>IF($AD660="","",SUMIFS('Per Line'!$AB$2:$AB$3001,'Per Line'!$E$2:$E$3001,$B660,'Per Line'!$AP$2:$AP$3001,0,'Per Line'!$AQ$2:$AQ$3001,0))</f>
        <v/>
      </c>
      <c r="V660" s="7">
        <f>IF($AD660="","",U660*T660)</f>
        <v/>
      </c>
      <c r="W660">
        <f>IF($AD660="","",Settings!$C$6)</f>
        <v/>
      </c>
      <c r="X660" s="7">
        <f>IF($AD660="","",SUMIFS('Per Line'!$AB$2:$AB$3001,'Per Line'!$E$2:$E$3001,$B660,'Per Line'!$AP$2:$AP$3001,1,'Per Line'!$AQ$2:$AQ$3001,0))</f>
        <v/>
      </c>
      <c r="Y660" s="7">
        <f>IF($AD660="","",X660*W660)</f>
        <v/>
      </c>
      <c r="Z660" s="7">
        <f>IF($AD660="","",Y660+V660)</f>
        <v/>
      </c>
      <c r="AA660" s="7">
        <f>IF($AD660="","",AB660-Z660)</f>
        <v/>
      </c>
      <c r="AB660" s="7">
        <f>IF($AD660="","",U660+X660+S660)</f>
        <v/>
      </c>
      <c r="AC660" s="7">
        <f>IF($AD660="","",AB660-Z660-P660)</f>
        <v/>
      </c>
      <c r="AD660" s="13">
        <f>IF(ROWS($AD$2:$AD660)&lt;=MAX('Per Line'!$AO$2:$AO$3001),MATCH(ROWS($AD$2:$AD660),'Per Line'!$AO$2:$AO$3001,0),"")</f>
        <v/>
      </c>
      <c r="AE660" s="14">
        <f>IF($AD660="","",P660-O660*AB660/100)</f>
        <v/>
      </c>
    </row>
    <row r="661">
      <c r="A661" s="12" t="n"/>
      <c r="B661">
        <f>IF($AD661="","",INDEX('Per Line'!$E$2:$E$3001,$AD661)&amp;"")</f>
        <v/>
      </c>
      <c r="C661">
        <f>IF($AD661="","",INDEX('Per Line'!$A$2:$A$3001,$AD661)&amp;"")</f>
        <v/>
      </c>
      <c r="D661">
        <f>IF($AD661="","",INDEX('Per Line'!$C$2:$C$3001,$AD661)&amp;"")</f>
        <v/>
      </c>
      <c r="E661">
        <f>IF($AD661="","",INDEX('Per Line'!$B$2:$B$3001,$AD661))</f>
        <v/>
      </c>
      <c r="F661">
        <f>IF($AD661="","",INDEX('Per Line'!$D$2:$D$3001,$AD661)&amp;"")</f>
        <v/>
      </c>
      <c r="G661" s="11">
        <f>IF($AD661="","",INDEX('Per Line'!$G$2:$G$3001,$AD661))</f>
        <v/>
      </c>
      <c r="H661">
        <f>IF($AD661="","",INDEX('Per Line'!$J$2:$J$3001,$AD661)&amp;"")</f>
        <v/>
      </c>
      <c r="I661">
        <f>IF($AD661="","",INDEX('Per Line'!$H$2:$H$3001,$AD661)&amp;"")</f>
        <v/>
      </c>
      <c r="J661">
        <f>IF($AD661="","",INDEX('Per Line'!$F$2:$F$3001,$AD661)&amp;"")</f>
        <v/>
      </c>
      <c r="K661">
        <f>IF($AD661="","",INDEX('Per Line'!$K$2:$K$3001,$AD661)&amp;"")</f>
        <v/>
      </c>
      <c r="L661">
        <f>IF($AD661="","",INDEX('Per Line'!$L$2:$L$3001,$AD661)&amp;"")</f>
        <v/>
      </c>
      <c r="M661">
        <f>IF($AD661="","",INDEX('Per Line'!$M$2:$M$3001,$AD661)&amp;"")</f>
        <v/>
      </c>
      <c r="N661">
        <f>IF($AD661="","",INDEX('Per Line'!$AC$2:$AC$3001,$AD661)&amp;"")</f>
        <v/>
      </c>
      <c r="O661">
        <f>IF($AD661="","",INDEX('Per Line'!$P$2:$P$3001,$AD661))</f>
        <v/>
      </c>
      <c r="P661" s="7">
        <f>IF($AD661="","",IF(AND(ISNUMBER(Q661),Q661&gt;0,AB661&gt;Q661),O661*Q661/100+(AB661-Q661),O661*AB661/100))</f>
        <v/>
      </c>
      <c r="Q661">
        <f>IF($AD661="","",INDEX('Per Line'!$AG$2:$AG$3001,$AD661))</f>
        <v/>
      </c>
      <c r="R661">
        <f>IF($AD661="","",IF(AND(ISNUMBER(Q661),Q661&gt;0),AB661&gt;Q661,FALSE))</f>
        <v/>
      </c>
      <c r="S661" s="7">
        <f>IF($AD661="","",SUMIFS('Per Line'!$AB$2:$AB$3001,'Per Line'!$E$2:$E$3001,$B661,'Per Line'!$AQ$2:$AQ$3001,1))</f>
        <v/>
      </c>
      <c r="T661">
        <f>IF($AD661="","",Settings!$C$7)</f>
        <v/>
      </c>
      <c r="U661" s="7">
        <f>IF($AD661="","",SUMIFS('Per Line'!$AB$2:$AB$3001,'Per Line'!$E$2:$E$3001,$B661,'Per Line'!$AP$2:$AP$3001,0,'Per Line'!$AQ$2:$AQ$3001,0))</f>
        <v/>
      </c>
      <c r="V661" s="7">
        <f>IF($AD661="","",U661*T661)</f>
        <v/>
      </c>
      <c r="W661">
        <f>IF($AD661="","",Settings!$C$6)</f>
        <v/>
      </c>
      <c r="X661" s="7">
        <f>IF($AD661="","",SUMIFS('Per Line'!$AB$2:$AB$3001,'Per Line'!$E$2:$E$3001,$B661,'Per Line'!$AP$2:$AP$3001,1,'Per Line'!$AQ$2:$AQ$3001,0))</f>
        <v/>
      </c>
      <c r="Y661" s="7">
        <f>IF($AD661="","",X661*W661)</f>
        <v/>
      </c>
      <c r="Z661" s="7">
        <f>IF($AD661="","",Y661+V661)</f>
        <v/>
      </c>
      <c r="AA661" s="7">
        <f>IF($AD661="","",AB661-Z661)</f>
        <v/>
      </c>
      <c r="AB661" s="7">
        <f>IF($AD661="","",U661+X661+S661)</f>
        <v/>
      </c>
      <c r="AC661" s="7">
        <f>IF($AD661="","",AB661-Z661-P661)</f>
        <v/>
      </c>
      <c r="AD661" s="13">
        <f>IF(ROWS($AD$2:$AD661)&lt;=MAX('Per Line'!$AO$2:$AO$3001),MATCH(ROWS($AD$2:$AD661),'Per Line'!$AO$2:$AO$3001,0),"")</f>
        <v/>
      </c>
      <c r="AE661" s="14">
        <f>IF($AD661="","",P661-O661*AB661/100)</f>
        <v/>
      </c>
    </row>
    <row r="662">
      <c r="A662" s="12" t="n"/>
      <c r="B662">
        <f>IF($AD662="","",INDEX('Per Line'!$E$2:$E$3001,$AD662)&amp;"")</f>
        <v/>
      </c>
      <c r="C662">
        <f>IF($AD662="","",INDEX('Per Line'!$A$2:$A$3001,$AD662)&amp;"")</f>
        <v/>
      </c>
      <c r="D662">
        <f>IF($AD662="","",INDEX('Per Line'!$C$2:$C$3001,$AD662)&amp;"")</f>
        <v/>
      </c>
      <c r="E662">
        <f>IF($AD662="","",INDEX('Per Line'!$B$2:$B$3001,$AD662))</f>
        <v/>
      </c>
      <c r="F662">
        <f>IF($AD662="","",INDEX('Per Line'!$D$2:$D$3001,$AD662)&amp;"")</f>
        <v/>
      </c>
      <c r="G662" s="11">
        <f>IF($AD662="","",INDEX('Per Line'!$G$2:$G$3001,$AD662))</f>
        <v/>
      </c>
      <c r="H662">
        <f>IF($AD662="","",INDEX('Per Line'!$J$2:$J$3001,$AD662)&amp;"")</f>
        <v/>
      </c>
      <c r="I662">
        <f>IF($AD662="","",INDEX('Per Line'!$H$2:$H$3001,$AD662)&amp;"")</f>
        <v/>
      </c>
      <c r="J662">
        <f>IF($AD662="","",INDEX('Per Line'!$F$2:$F$3001,$AD662)&amp;"")</f>
        <v/>
      </c>
      <c r="K662">
        <f>IF($AD662="","",INDEX('Per Line'!$K$2:$K$3001,$AD662)&amp;"")</f>
        <v/>
      </c>
      <c r="L662">
        <f>IF($AD662="","",INDEX('Per Line'!$L$2:$L$3001,$AD662)&amp;"")</f>
        <v/>
      </c>
      <c r="M662">
        <f>IF($AD662="","",INDEX('Per Line'!$M$2:$M$3001,$AD662)&amp;"")</f>
        <v/>
      </c>
      <c r="N662">
        <f>IF($AD662="","",INDEX('Per Line'!$AC$2:$AC$3001,$AD662)&amp;"")</f>
        <v/>
      </c>
      <c r="O662">
        <f>IF($AD662="","",INDEX('Per Line'!$P$2:$P$3001,$AD662))</f>
        <v/>
      </c>
      <c r="P662" s="7">
        <f>IF($AD662="","",IF(AND(ISNUMBER(Q662),Q662&gt;0,AB662&gt;Q662),O662*Q662/100+(AB662-Q662),O662*AB662/100))</f>
        <v/>
      </c>
      <c r="Q662">
        <f>IF($AD662="","",INDEX('Per Line'!$AG$2:$AG$3001,$AD662))</f>
        <v/>
      </c>
      <c r="R662">
        <f>IF($AD662="","",IF(AND(ISNUMBER(Q662),Q662&gt;0),AB662&gt;Q662,FALSE))</f>
        <v/>
      </c>
      <c r="S662" s="7">
        <f>IF($AD662="","",SUMIFS('Per Line'!$AB$2:$AB$3001,'Per Line'!$E$2:$E$3001,$B662,'Per Line'!$AQ$2:$AQ$3001,1))</f>
        <v/>
      </c>
      <c r="T662">
        <f>IF($AD662="","",Settings!$C$7)</f>
        <v/>
      </c>
      <c r="U662" s="7">
        <f>IF($AD662="","",SUMIFS('Per Line'!$AB$2:$AB$3001,'Per Line'!$E$2:$E$3001,$B662,'Per Line'!$AP$2:$AP$3001,0,'Per Line'!$AQ$2:$AQ$3001,0))</f>
        <v/>
      </c>
      <c r="V662" s="7">
        <f>IF($AD662="","",U662*T662)</f>
        <v/>
      </c>
      <c r="W662">
        <f>IF($AD662="","",Settings!$C$6)</f>
        <v/>
      </c>
      <c r="X662" s="7">
        <f>IF($AD662="","",SUMIFS('Per Line'!$AB$2:$AB$3001,'Per Line'!$E$2:$E$3001,$B662,'Per Line'!$AP$2:$AP$3001,1,'Per Line'!$AQ$2:$AQ$3001,0))</f>
        <v/>
      </c>
      <c r="Y662" s="7">
        <f>IF($AD662="","",X662*W662)</f>
        <v/>
      </c>
      <c r="Z662" s="7">
        <f>IF($AD662="","",Y662+V662)</f>
        <v/>
      </c>
      <c r="AA662" s="7">
        <f>IF($AD662="","",AB662-Z662)</f>
        <v/>
      </c>
      <c r="AB662" s="7">
        <f>IF($AD662="","",U662+X662+S662)</f>
        <v/>
      </c>
      <c r="AC662" s="7">
        <f>IF($AD662="","",AB662-Z662-P662)</f>
        <v/>
      </c>
      <c r="AD662" s="13">
        <f>IF(ROWS($AD$2:$AD662)&lt;=MAX('Per Line'!$AO$2:$AO$3001),MATCH(ROWS($AD$2:$AD662),'Per Line'!$AO$2:$AO$3001,0),"")</f>
        <v/>
      </c>
      <c r="AE662" s="14">
        <f>IF($AD662="","",P662-O662*AB662/100)</f>
        <v/>
      </c>
    </row>
    <row r="663">
      <c r="A663" s="12" t="n"/>
      <c r="B663">
        <f>IF($AD663="","",INDEX('Per Line'!$E$2:$E$3001,$AD663)&amp;"")</f>
        <v/>
      </c>
      <c r="C663">
        <f>IF($AD663="","",INDEX('Per Line'!$A$2:$A$3001,$AD663)&amp;"")</f>
        <v/>
      </c>
      <c r="D663">
        <f>IF($AD663="","",INDEX('Per Line'!$C$2:$C$3001,$AD663)&amp;"")</f>
        <v/>
      </c>
      <c r="E663">
        <f>IF($AD663="","",INDEX('Per Line'!$B$2:$B$3001,$AD663))</f>
        <v/>
      </c>
      <c r="F663">
        <f>IF($AD663="","",INDEX('Per Line'!$D$2:$D$3001,$AD663)&amp;"")</f>
        <v/>
      </c>
      <c r="G663" s="11">
        <f>IF($AD663="","",INDEX('Per Line'!$G$2:$G$3001,$AD663))</f>
        <v/>
      </c>
      <c r="H663">
        <f>IF($AD663="","",INDEX('Per Line'!$J$2:$J$3001,$AD663)&amp;"")</f>
        <v/>
      </c>
      <c r="I663">
        <f>IF($AD663="","",INDEX('Per Line'!$H$2:$H$3001,$AD663)&amp;"")</f>
        <v/>
      </c>
      <c r="J663">
        <f>IF($AD663="","",INDEX('Per Line'!$F$2:$F$3001,$AD663)&amp;"")</f>
        <v/>
      </c>
      <c r="K663">
        <f>IF($AD663="","",INDEX('Per Line'!$K$2:$K$3001,$AD663)&amp;"")</f>
        <v/>
      </c>
      <c r="L663">
        <f>IF($AD663="","",INDEX('Per Line'!$L$2:$L$3001,$AD663)&amp;"")</f>
        <v/>
      </c>
      <c r="M663">
        <f>IF($AD663="","",INDEX('Per Line'!$M$2:$M$3001,$AD663)&amp;"")</f>
        <v/>
      </c>
      <c r="N663">
        <f>IF($AD663="","",INDEX('Per Line'!$AC$2:$AC$3001,$AD663)&amp;"")</f>
        <v/>
      </c>
      <c r="O663">
        <f>IF($AD663="","",INDEX('Per Line'!$P$2:$P$3001,$AD663))</f>
        <v/>
      </c>
      <c r="P663" s="7">
        <f>IF($AD663="","",IF(AND(ISNUMBER(Q663),Q663&gt;0,AB663&gt;Q663),O663*Q663/100+(AB663-Q663),O663*AB663/100))</f>
        <v/>
      </c>
      <c r="Q663">
        <f>IF($AD663="","",INDEX('Per Line'!$AG$2:$AG$3001,$AD663))</f>
        <v/>
      </c>
      <c r="R663">
        <f>IF($AD663="","",IF(AND(ISNUMBER(Q663),Q663&gt;0),AB663&gt;Q663,FALSE))</f>
        <v/>
      </c>
      <c r="S663" s="7">
        <f>IF($AD663="","",SUMIFS('Per Line'!$AB$2:$AB$3001,'Per Line'!$E$2:$E$3001,$B663,'Per Line'!$AQ$2:$AQ$3001,1))</f>
        <v/>
      </c>
      <c r="T663">
        <f>IF($AD663="","",Settings!$C$7)</f>
        <v/>
      </c>
      <c r="U663" s="7">
        <f>IF($AD663="","",SUMIFS('Per Line'!$AB$2:$AB$3001,'Per Line'!$E$2:$E$3001,$B663,'Per Line'!$AP$2:$AP$3001,0,'Per Line'!$AQ$2:$AQ$3001,0))</f>
        <v/>
      </c>
      <c r="V663" s="7">
        <f>IF($AD663="","",U663*T663)</f>
        <v/>
      </c>
      <c r="W663">
        <f>IF($AD663="","",Settings!$C$6)</f>
        <v/>
      </c>
      <c r="X663" s="7">
        <f>IF($AD663="","",SUMIFS('Per Line'!$AB$2:$AB$3001,'Per Line'!$E$2:$E$3001,$B663,'Per Line'!$AP$2:$AP$3001,1,'Per Line'!$AQ$2:$AQ$3001,0))</f>
        <v/>
      </c>
      <c r="Y663" s="7">
        <f>IF($AD663="","",X663*W663)</f>
        <v/>
      </c>
      <c r="Z663" s="7">
        <f>IF($AD663="","",Y663+V663)</f>
        <v/>
      </c>
      <c r="AA663" s="7">
        <f>IF($AD663="","",AB663-Z663)</f>
        <v/>
      </c>
      <c r="AB663" s="7">
        <f>IF($AD663="","",U663+X663+S663)</f>
        <v/>
      </c>
      <c r="AC663" s="7">
        <f>IF($AD663="","",AB663-Z663-P663)</f>
        <v/>
      </c>
      <c r="AD663" s="13">
        <f>IF(ROWS($AD$2:$AD663)&lt;=MAX('Per Line'!$AO$2:$AO$3001),MATCH(ROWS($AD$2:$AD663),'Per Line'!$AO$2:$AO$3001,0),"")</f>
        <v/>
      </c>
      <c r="AE663" s="14">
        <f>IF($AD663="","",P663-O663*AB663/100)</f>
        <v/>
      </c>
    </row>
    <row r="664">
      <c r="A664" s="12" t="n"/>
      <c r="B664">
        <f>IF($AD664="","",INDEX('Per Line'!$E$2:$E$3001,$AD664)&amp;"")</f>
        <v/>
      </c>
      <c r="C664">
        <f>IF($AD664="","",INDEX('Per Line'!$A$2:$A$3001,$AD664)&amp;"")</f>
        <v/>
      </c>
      <c r="D664">
        <f>IF($AD664="","",INDEX('Per Line'!$C$2:$C$3001,$AD664)&amp;"")</f>
        <v/>
      </c>
      <c r="E664">
        <f>IF($AD664="","",INDEX('Per Line'!$B$2:$B$3001,$AD664))</f>
        <v/>
      </c>
      <c r="F664">
        <f>IF($AD664="","",INDEX('Per Line'!$D$2:$D$3001,$AD664)&amp;"")</f>
        <v/>
      </c>
      <c r="G664" s="11">
        <f>IF($AD664="","",INDEX('Per Line'!$G$2:$G$3001,$AD664))</f>
        <v/>
      </c>
      <c r="H664">
        <f>IF($AD664="","",INDEX('Per Line'!$J$2:$J$3001,$AD664)&amp;"")</f>
        <v/>
      </c>
      <c r="I664">
        <f>IF($AD664="","",INDEX('Per Line'!$H$2:$H$3001,$AD664)&amp;"")</f>
        <v/>
      </c>
      <c r="J664">
        <f>IF($AD664="","",INDEX('Per Line'!$F$2:$F$3001,$AD664)&amp;"")</f>
        <v/>
      </c>
      <c r="K664">
        <f>IF($AD664="","",INDEX('Per Line'!$K$2:$K$3001,$AD664)&amp;"")</f>
        <v/>
      </c>
      <c r="L664">
        <f>IF($AD664="","",INDEX('Per Line'!$L$2:$L$3001,$AD664)&amp;"")</f>
        <v/>
      </c>
      <c r="M664">
        <f>IF($AD664="","",INDEX('Per Line'!$M$2:$M$3001,$AD664)&amp;"")</f>
        <v/>
      </c>
      <c r="N664">
        <f>IF($AD664="","",INDEX('Per Line'!$AC$2:$AC$3001,$AD664)&amp;"")</f>
        <v/>
      </c>
      <c r="O664">
        <f>IF($AD664="","",INDEX('Per Line'!$P$2:$P$3001,$AD664))</f>
        <v/>
      </c>
      <c r="P664" s="7">
        <f>IF($AD664="","",IF(AND(ISNUMBER(Q664),Q664&gt;0,AB664&gt;Q664),O664*Q664/100+(AB664-Q664),O664*AB664/100))</f>
        <v/>
      </c>
      <c r="Q664">
        <f>IF($AD664="","",INDEX('Per Line'!$AG$2:$AG$3001,$AD664))</f>
        <v/>
      </c>
      <c r="R664">
        <f>IF($AD664="","",IF(AND(ISNUMBER(Q664),Q664&gt;0),AB664&gt;Q664,FALSE))</f>
        <v/>
      </c>
      <c r="S664" s="7">
        <f>IF($AD664="","",SUMIFS('Per Line'!$AB$2:$AB$3001,'Per Line'!$E$2:$E$3001,$B664,'Per Line'!$AQ$2:$AQ$3001,1))</f>
        <v/>
      </c>
      <c r="T664">
        <f>IF($AD664="","",Settings!$C$7)</f>
        <v/>
      </c>
      <c r="U664" s="7">
        <f>IF($AD664="","",SUMIFS('Per Line'!$AB$2:$AB$3001,'Per Line'!$E$2:$E$3001,$B664,'Per Line'!$AP$2:$AP$3001,0,'Per Line'!$AQ$2:$AQ$3001,0))</f>
        <v/>
      </c>
      <c r="V664" s="7">
        <f>IF($AD664="","",U664*T664)</f>
        <v/>
      </c>
      <c r="W664">
        <f>IF($AD664="","",Settings!$C$6)</f>
        <v/>
      </c>
      <c r="X664" s="7">
        <f>IF($AD664="","",SUMIFS('Per Line'!$AB$2:$AB$3001,'Per Line'!$E$2:$E$3001,$B664,'Per Line'!$AP$2:$AP$3001,1,'Per Line'!$AQ$2:$AQ$3001,0))</f>
        <v/>
      </c>
      <c r="Y664" s="7">
        <f>IF($AD664="","",X664*W664)</f>
        <v/>
      </c>
      <c r="Z664" s="7">
        <f>IF($AD664="","",Y664+V664)</f>
        <v/>
      </c>
      <c r="AA664" s="7">
        <f>IF($AD664="","",AB664-Z664)</f>
        <v/>
      </c>
      <c r="AB664" s="7">
        <f>IF($AD664="","",U664+X664+S664)</f>
        <v/>
      </c>
      <c r="AC664" s="7">
        <f>IF($AD664="","",AB664-Z664-P664)</f>
        <v/>
      </c>
      <c r="AD664" s="13">
        <f>IF(ROWS($AD$2:$AD664)&lt;=MAX('Per Line'!$AO$2:$AO$3001),MATCH(ROWS($AD$2:$AD664),'Per Line'!$AO$2:$AO$3001,0),"")</f>
        <v/>
      </c>
      <c r="AE664" s="14">
        <f>IF($AD664="","",P664-O664*AB664/100)</f>
        <v/>
      </c>
    </row>
    <row r="665">
      <c r="A665" s="12" t="n"/>
      <c r="B665">
        <f>IF($AD665="","",INDEX('Per Line'!$E$2:$E$3001,$AD665)&amp;"")</f>
        <v/>
      </c>
      <c r="C665">
        <f>IF($AD665="","",INDEX('Per Line'!$A$2:$A$3001,$AD665)&amp;"")</f>
        <v/>
      </c>
      <c r="D665">
        <f>IF($AD665="","",INDEX('Per Line'!$C$2:$C$3001,$AD665)&amp;"")</f>
        <v/>
      </c>
      <c r="E665">
        <f>IF($AD665="","",INDEX('Per Line'!$B$2:$B$3001,$AD665))</f>
        <v/>
      </c>
      <c r="F665">
        <f>IF($AD665="","",INDEX('Per Line'!$D$2:$D$3001,$AD665)&amp;"")</f>
        <v/>
      </c>
      <c r="G665" s="11">
        <f>IF($AD665="","",INDEX('Per Line'!$G$2:$G$3001,$AD665))</f>
        <v/>
      </c>
      <c r="H665">
        <f>IF($AD665="","",INDEX('Per Line'!$J$2:$J$3001,$AD665)&amp;"")</f>
        <v/>
      </c>
      <c r="I665">
        <f>IF($AD665="","",INDEX('Per Line'!$H$2:$H$3001,$AD665)&amp;"")</f>
        <v/>
      </c>
      <c r="J665">
        <f>IF($AD665="","",INDEX('Per Line'!$F$2:$F$3001,$AD665)&amp;"")</f>
        <v/>
      </c>
      <c r="K665">
        <f>IF($AD665="","",INDEX('Per Line'!$K$2:$K$3001,$AD665)&amp;"")</f>
        <v/>
      </c>
      <c r="L665">
        <f>IF($AD665="","",INDEX('Per Line'!$L$2:$L$3001,$AD665)&amp;"")</f>
        <v/>
      </c>
      <c r="M665">
        <f>IF($AD665="","",INDEX('Per Line'!$M$2:$M$3001,$AD665)&amp;"")</f>
        <v/>
      </c>
      <c r="N665">
        <f>IF($AD665="","",INDEX('Per Line'!$AC$2:$AC$3001,$AD665)&amp;"")</f>
        <v/>
      </c>
      <c r="O665">
        <f>IF($AD665="","",INDEX('Per Line'!$P$2:$P$3001,$AD665))</f>
        <v/>
      </c>
      <c r="P665" s="7">
        <f>IF($AD665="","",IF(AND(ISNUMBER(Q665),Q665&gt;0,AB665&gt;Q665),O665*Q665/100+(AB665-Q665),O665*AB665/100))</f>
        <v/>
      </c>
      <c r="Q665">
        <f>IF($AD665="","",INDEX('Per Line'!$AG$2:$AG$3001,$AD665))</f>
        <v/>
      </c>
      <c r="R665">
        <f>IF($AD665="","",IF(AND(ISNUMBER(Q665),Q665&gt;0),AB665&gt;Q665,FALSE))</f>
        <v/>
      </c>
      <c r="S665" s="7">
        <f>IF($AD665="","",SUMIFS('Per Line'!$AB$2:$AB$3001,'Per Line'!$E$2:$E$3001,$B665,'Per Line'!$AQ$2:$AQ$3001,1))</f>
        <v/>
      </c>
      <c r="T665">
        <f>IF($AD665="","",Settings!$C$7)</f>
        <v/>
      </c>
      <c r="U665" s="7">
        <f>IF($AD665="","",SUMIFS('Per Line'!$AB$2:$AB$3001,'Per Line'!$E$2:$E$3001,$B665,'Per Line'!$AP$2:$AP$3001,0,'Per Line'!$AQ$2:$AQ$3001,0))</f>
        <v/>
      </c>
      <c r="V665" s="7">
        <f>IF($AD665="","",U665*T665)</f>
        <v/>
      </c>
      <c r="W665">
        <f>IF($AD665="","",Settings!$C$6)</f>
        <v/>
      </c>
      <c r="X665" s="7">
        <f>IF($AD665="","",SUMIFS('Per Line'!$AB$2:$AB$3001,'Per Line'!$E$2:$E$3001,$B665,'Per Line'!$AP$2:$AP$3001,1,'Per Line'!$AQ$2:$AQ$3001,0))</f>
        <v/>
      </c>
      <c r="Y665" s="7">
        <f>IF($AD665="","",X665*W665)</f>
        <v/>
      </c>
      <c r="Z665" s="7">
        <f>IF($AD665="","",Y665+V665)</f>
        <v/>
      </c>
      <c r="AA665" s="7">
        <f>IF($AD665="","",AB665-Z665)</f>
        <v/>
      </c>
      <c r="AB665" s="7">
        <f>IF($AD665="","",U665+X665+S665)</f>
        <v/>
      </c>
      <c r="AC665" s="7">
        <f>IF($AD665="","",AB665-Z665-P665)</f>
        <v/>
      </c>
      <c r="AD665" s="13">
        <f>IF(ROWS($AD$2:$AD665)&lt;=MAX('Per Line'!$AO$2:$AO$3001),MATCH(ROWS($AD$2:$AD665),'Per Line'!$AO$2:$AO$3001,0),"")</f>
        <v/>
      </c>
      <c r="AE665" s="14">
        <f>IF($AD665="","",P665-O665*AB665/100)</f>
        <v/>
      </c>
    </row>
    <row r="666">
      <c r="A666" s="12" t="n"/>
      <c r="B666">
        <f>IF($AD666="","",INDEX('Per Line'!$E$2:$E$3001,$AD666)&amp;"")</f>
        <v/>
      </c>
      <c r="C666">
        <f>IF($AD666="","",INDEX('Per Line'!$A$2:$A$3001,$AD666)&amp;"")</f>
        <v/>
      </c>
      <c r="D666">
        <f>IF($AD666="","",INDEX('Per Line'!$C$2:$C$3001,$AD666)&amp;"")</f>
        <v/>
      </c>
      <c r="E666">
        <f>IF($AD666="","",INDEX('Per Line'!$B$2:$B$3001,$AD666))</f>
        <v/>
      </c>
      <c r="F666">
        <f>IF($AD666="","",INDEX('Per Line'!$D$2:$D$3001,$AD666)&amp;"")</f>
        <v/>
      </c>
      <c r="G666" s="11">
        <f>IF($AD666="","",INDEX('Per Line'!$G$2:$G$3001,$AD666))</f>
        <v/>
      </c>
      <c r="H666">
        <f>IF($AD666="","",INDEX('Per Line'!$J$2:$J$3001,$AD666)&amp;"")</f>
        <v/>
      </c>
      <c r="I666">
        <f>IF($AD666="","",INDEX('Per Line'!$H$2:$H$3001,$AD666)&amp;"")</f>
        <v/>
      </c>
      <c r="J666">
        <f>IF($AD666="","",INDEX('Per Line'!$F$2:$F$3001,$AD666)&amp;"")</f>
        <v/>
      </c>
      <c r="K666">
        <f>IF($AD666="","",INDEX('Per Line'!$K$2:$K$3001,$AD666)&amp;"")</f>
        <v/>
      </c>
      <c r="L666">
        <f>IF($AD666="","",INDEX('Per Line'!$L$2:$L$3001,$AD666)&amp;"")</f>
        <v/>
      </c>
      <c r="M666">
        <f>IF($AD666="","",INDEX('Per Line'!$M$2:$M$3001,$AD666)&amp;"")</f>
        <v/>
      </c>
      <c r="N666">
        <f>IF($AD666="","",INDEX('Per Line'!$AC$2:$AC$3001,$AD666)&amp;"")</f>
        <v/>
      </c>
      <c r="O666">
        <f>IF($AD666="","",INDEX('Per Line'!$P$2:$P$3001,$AD666))</f>
        <v/>
      </c>
      <c r="P666" s="7">
        <f>IF($AD666="","",IF(AND(ISNUMBER(Q666),Q666&gt;0,AB666&gt;Q666),O666*Q666/100+(AB666-Q666),O666*AB666/100))</f>
        <v/>
      </c>
      <c r="Q666">
        <f>IF($AD666="","",INDEX('Per Line'!$AG$2:$AG$3001,$AD666))</f>
        <v/>
      </c>
      <c r="R666">
        <f>IF($AD666="","",IF(AND(ISNUMBER(Q666),Q666&gt;0),AB666&gt;Q666,FALSE))</f>
        <v/>
      </c>
      <c r="S666" s="7">
        <f>IF($AD666="","",SUMIFS('Per Line'!$AB$2:$AB$3001,'Per Line'!$E$2:$E$3001,$B666,'Per Line'!$AQ$2:$AQ$3001,1))</f>
        <v/>
      </c>
      <c r="T666">
        <f>IF($AD666="","",Settings!$C$7)</f>
        <v/>
      </c>
      <c r="U666" s="7">
        <f>IF($AD666="","",SUMIFS('Per Line'!$AB$2:$AB$3001,'Per Line'!$E$2:$E$3001,$B666,'Per Line'!$AP$2:$AP$3001,0,'Per Line'!$AQ$2:$AQ$3001,0))</f>
        <v/>
      </c>
      <c r="V666" s="7">
        <f>IF($AD666="","",U666*T666)</f>
        <v/>
      </c>
      <c r="W666">
        <f>IF($AD666="","",Settings!$C$6)</f>
        <v/>
      </c>
      <c r="X666" s="7">
        <f>IF($AD666="","",SUMIFS('Per Line'!$AB$2:$AB$3001,'Per Line'!$E$2:$E$3001,$B666,'Per Line'!$AP$2:$AP$3001,1,'Per Line'!$AQ$2:$AQ$3001,0))</f>
        <v/>
      </c>
      <c r="Y666" s="7">
        <f>IF($AD666="","",X666*W666)</f>
        <v/>
      </c>
      <c r="Z666" s="7">
        <f>IF($AD666="","",Y666+V666)</f>
        <v/>
      </c>
      <c r="AA666" s="7">
        <f>IF($AD666="","",AB666-Z666)</f>
        <v/>
      </c>
      <c r="AB666" s="7">
        <f>IF($AD666="","",U666+X666+S666)</f>
        <v/>
      </c>
      <c r="AC666" s="7">
        <f>IF($AD666="","",AB666-Z666-P666)</f>
        <v/>
      </c>
      <c r="AD666" s="13">
        <f>IF(ROWS($AD$2:$AD666)&lt;=MAX('Per Line'!$AO$2:$AO$3001),MATCH(ROWS($AD$2:$AD666),'Per Line'!$AO$2:$AO$3001,0),"")</f>
        <v/>
      </c>
      <c r="AE666" s="14">
        <f>IF($AD666="","",P666-O666*AB666/100)</f>
        <v/>
      </c>
    </row>
    <row r="667">
      <c r="A667" s="12" t="n"/>
      <c r="B667">
        <f>IF($AD667="","",INDEX('Per Line'!$E$2:$E$3001,$AD667)&amp;"")</f>
        <v/>
      </c>
      <c r="C667">
        <f>IF($AD667="","",INDEX('Per Line'!$A$2:$A$3001,$AD667)&amp;"")</f>
        <v/>
      </c>
      <c r="D667">
        <f>IF($AD667="","",INDEX('Per Line'!$C$2:$C$3001,$AD667)&amp;"")</f>
        <v/>
      </c>
      <c r="E667">
        <f>IF($AD667="","",INDEX('Per Line'!$B$2:$B$3001,$AD667))</f>
        <v/>
      </c>
      <c r="F667">
        <f>IF($AD667="","",INDEX('Per Line'!$D$2:$D$3001,$AD667)&amp;"")</f>
        <v/>
      </c>
      <c r="G667" s="11">
        <f>IF($AD667="","",INDEX('Per Line'!$G$2:$G$3001,$AD667))</f>
        <v/>
      </c>
      <c r="H667">
        <f>IF($AD667="","",INDEX('Per Line'!$J$2:$J$3001,$AD667)&amp;"")</f>
        <v/>
      </c>
      <c r="I667">
        <f>IF($AD667="","",INDEX('Per Line'!$H$2:$H$3001,$AD667)&amp;"")</f>
        <v/>
      </c>
      <c r="J667">
        <f>IF($AD667="","",INDEX('Per Line'!$F$2:$F$3001,$AD667)&amp;"")</f>
        <v/>
      </c>
      <c r="K667">
        <f>IF($AD667="","",INDEX('Per Line'!$K$2:$K$3001,$AD667)&amp;"")</f>
        <v/>
      </c>
      <c r="L667">
        <f>IF($AD667="","",INDEX('Per Line'!$L$2:$L$3001,$AD667)&amp;"")</f>
        <v/>
      </c>
      <c r="M667">
        <f>IF($AD667="","",INDEX('Per Line'!$M$2:$M$3001,$AD667)&amp;"")</f>
        <v/>
      </c>
      <c r="N667">
        <f>IF($AD667="","",INDEX('Per Line'!$AC$2:$AC$3001,$AD667)&amp;"")</f>
        <v/>
      </c>
      <c r="O667">
        <f>IF($AD667="","",INDEX('Per Line'!$P$2:$P$3001,$AD667))</f>
        <v/>
      </c>
      <c r="P667" s="7">
        <f>IF($AD667="","",IF(AND(ISNUMBER(Q667),Q667&gt;0,AB667&gt;Q667),O667*Q667/100+(AB667-Q667),O667*AB667/100))</f>
        <v/>
      </c>
      <c r="Q667">
        <f>IF($AD667="","",INDEX('Per Line'!$AG$2:$AG$3001,$AD667))</f>
        <v/>
      </c>
      <c r="R667">
        <f>IF($AD667="","",IF(AND(ISNUMBER(Q667),Q667&gt;0),AB667&gt;Q667,FALSE))</f>
        <v/>
      </c>
      <c r="S667" s="7">
        <f>IF($AD667="","",SUMIFS('Per Line'!$AB$2:$AB$3001,'Per Line'!$E$2:$E$3001,$B667,'Per Line'!$AQ$2:$AQ$3001,1))</f>
        <v/>
      </c>
      <c r="T667">
        <f>IF($AD667="","",Settings!$C$7)</f>
        <v/>
      </c>
      <c r="U667" s="7">
        <f>IF($AD667="","",SUMIFS('Per Line'!$AB$2:$AB$3001,'Per Line'!$E$2:$E$3001,$B667,'Per Line'!$AP$2:$AP$3001,0,'Per Line'!$AQ$2:$AQ$3001,0))</f>
        <v/>
      </c>
      <c r="V667" s="7">
        <f>IF($AD667="","",U667*T667)</f>
        <v/>
      </c>
      <c r="W667">
        <f>IF($AD667="","",Settings!$C$6)</f>
        <v/>
      </c>
      <c r="X667" s="7">
        <f>IF($AD667="","",SUMIFS('Per Line'!$AB$2:$AB$3001,'Per Line'!$E$2:$E$3001,$B667,'Per Line'!$AP$2:$AP$3001,1,'Per Line'!$AQ$2:$AQ$3001,0))</f>
        <v/>
      </c>
      <c r="Y667" s="7">
        <f>IF($AD667="","",X667*W667)</f>
        <v/>
      </c>
      <c r="Z667" s="7">
        <f>IF($AD667="","",Y667+V667)</f>
        <v/>
      </c>
      <c r="AA667" s="7">
        <f>IF($AD667="","",AB667-Z667)</f>
        <v/>
      </c>
      <c r="AB667" s="7">
        <f>IF($AD667="","",U667+X667+S667)</f>
        <v/>
      </c>
      <c r="AC667" s="7">
        <f>IF($AD667="","",AB667-Z667-P667)</f>
        <v/>
      </c>
      <c r="AD667" s="13">
        <f>IF(ROWS($AD$2:$AD667)&lt;=MAX('Per Line'!$AO$2:$AO$3001),MATCH(ROWS($AD$2:$AD667),'Per Line'!$AO$2:$AO$3001,0),"")</f>
        <v/>
      </c>
      <c r="AE667" s="14">
        <f>IF($AD667="","",P667-O667*AB667/100)</f>
        <v/>
      </c>
    </row>
    <row r="668">
      <c r="A668" s="12" t="n"/>
      <c r="B668">
        <f>IF($AD668="","",INDEX('Per Line'!$E$2:$E$3001,$AD668)&amp;"")</f>
        <v/>
      </c>
      <c r="C668">
        <f>IF($AD668="","",INDEX('Per Line'!$A$2:$A$3001,$AD668)&amp;"")</f>
        <v/>
      </c>
      <c r="D668">
        <f>IF($AD668="","",INDEX('Per Line'!$C$2:$C$3001,$AD668)&amp;"")</f>
        <v/>
      </c>
      <c r="E668">
        <f>IF($AD668="","",INDEX('Per Line'!$B$2:$B$3001,$AD668))</f>
        <v/>
      </c>
      <c r="F668">
        <f>IF($AD668="","",INDEX('Per Line'!$D$2:$D$3001,$AD668)&amp;"")</f>
        <v/>
      </c>
      <c r="G668" s="11">
        <f>IF($AD668="","",INDEX('Per Line'!$G$2:$G$3001,$AD668))</f>
        <v/>
      </c>
      <c r="H668">
        <f>IF($AD668="","",INDEX('Per Line'!$J$2:$J$3001,$AD668)&amp;"")</f>
        <v/>
      </c>
      <c r="I668">
        <f>IF($AD668="","",INDEX('Per Line'!$H$2:$H$3001,$AD668)&amp;"")</f>
        <v/>
      </c>
      <c r="J668">
        <f>IF($AD668="","",INDEX('Per Line'!$F$2:$F$3001,$AD668)&amp;"")</f>
        <v/>
      </c>
      <c r="K668">
        <f>IF($AD668="","",INDEX('Per Line'!$K$2:$K$3001,$AD668)&amp;"")</f>
        <v/>
      </c>
      <c r="L668">
        <f>IF($AD668="","",INDEX('Per Line'!$L$2:$L$3001,$AD668)&amp;"")</f>
        <v/>
      </c>
      <c r="M668">
        <f>IF($AD668="","",INDEX('Per Line'!$M$2:$M$3001,$AD668)&amp;"")</f>
        <v/>
      </c>
      <c r="N668">
        <f>IF($AD668="","",INDEX('Per Line'!$AC$2:$AC$3001,$AD668)&amp;"")</f>
        <v/>
      </c>
      <c r="O668">
        <f>IF($AD668="","",INDEX('Per Line'!$P$2:$P$3001,$AD668))</f>
        <v/>
      </c>
      <c r="P668" s="7">
        <f>IF($AD668="","",IF(AND(ISNUMBER(Q668),Q668&gt;0,AB668&gt;Q668),O668*Q668/100+(AB668-Q668),O668*AB668/100))</f>
        <v/>
      </c>
      <c r="Q668">
        <f>IF($AD668="","",INDEX('Per Line'!$AG$2:$AG$3001,$AD668))</f>
        <v/>
      </c>
      <c r="R668">
        <f>IF($AD668="","",IF(AND(ISNUMBER(Q668),Q668&gt;0),AB668&gt;Q668,FALSE))</f>
        <v/>
      </c>
      <c r="S668" s="7">
        <f>IF($AD668="","",SUMIFS('Per Line'!$AB$2:$AB$3001,'Per Line'!$E$2:$E$3001,$B668,'Per Line'!$AQ$2:$AQ$3001,1))</f>
        <v/>
      </c>
      <c r="T668">
        <f>IF($AD668="","",Settings!$C$7)</f>
        <v/>
      </c>
      <c r="U668" s="7">
        <f>IF($AD668="","",SUMIFS('Per Line'!$AB$2:$AB$3001,'Per Line'!$E$2:$E$3001,$B668,'Per Line'!$AP$2:$AP$3001,0,'Per Line'!$AQ$2:$AQ$3001,0))</f>
        <v/>
      </c>
      <c r="V668" s="7">
        <f>IF($AD668="","",U668*T668)</f>
        <v/>
      </c>
      <c r="W668">
        <f>IF($AD668="","",Settings!$C$6)</f>
        <v/>
      </c>
      <c r="X668" s="7">
        <f>IF($AD668="","",SUMIFS('Per Line'!$AB$2:$AB$3001,'Per Line'!$E$2:$E$3001,$B668,'Per Line'!$AP$2:$AP$3001,1,'Per Line'!$AQ$2:$AQ$3001,0))</f>
        <v/>
      </c>
      <c r="Y668" s="7">
        <f>IF($AD668="","",X668*W668)</f>
        <v/>
      </c>
      <c r="Z668" s="7">
        <f>IF($AD668="","",Y668+V668)</f>
        <v/>
      </c>
      <c r="AA668" s="7">
        <f>IF($AD668="","",AB668-Z668)</f>
        <v/>
      </c>
      <c r="AB668" s="7">
        <f>IF($AD668="","",U668+X668+S668)</f>
        <v/>
      </c>
      <c r="AC668" s="7">
        <f>IF($AD668="","",AB668-Z668-P668)</f>
        <v/>
      </c>
      <c r="AD668" s="13">
        <f>IF(ROWS($AD$2:$AD668)&lt;=MAX('Per Line'!$AO$2:$AO$3001),MATCH(ROWS($AD$2:$AD668),'Per Line'!$AO$2:$AO$3001,0),"")</f>
        <v/>
      </c>
      <c r="AE668" s="14">
        <f>IF($AD668="","",P668-O668*AB668/100)</f>
        <v/>
      </c>
    </row>
    <row r="669">
      <c r="A669" s="12" t="n"/>
      <c r="B669">
        <f>IF($AD669="","",INDEX('Per Line'!$E$2:$E$3001,$AD669)&amp;"")</f>
        <v/>
      </c>
      <c r="C669">
        <f>IF($AD669="","",INDEX('Per Line'!$A$2:$A$3001,$AD669)&amp;"")</f>
        <v/>
      </c>
      <c r="D669">
        <f>IF($AD669="","",INDEX('Per Line'!$C$2:$C$3001,$AD669)&amp;"")</f>
        <v/>
      </c>
      <c r="E669">
        <f>IF($AD669="","",INDEX('Per Line'!$B$2:$B$3001,$AD669))</f>
        <v/>
      </c>
      <c r="F669">
        <f>IF($AD669="","",INDEX('Per Line'!$D$2:$D$3001,$AD669)&amp;"")</f>
        <v/>
      </c>
      <c r="G669" s="11">
        <f>IF($AD669="","",INDEX('Per Line'!$G$2:$G$3001,$AD669))</f>
        <v/>
      </c>
      <c r="H669">
        <f>IF($AD669="","",INDEX('Per Line'!$J$2:$J$3001,$AD669)&amp;"")</f>
        <v/>
      </c>
      <c r="I669">
        <f>IF($AD669="","",INDEX('Per Line'!$H$2:$H$3001,$AD669)&amp;"")</f>
        <v/>
      </c>
      <c r="J669">
        <f>IF($AD669="","",INDEX('Per Line'!$F$2:$F$3001,$AD669)&amp;"")</f>
        <v/>
      </c>
      <c r="K669">
        <f>IF($AD669="","",INDEX('Per Line'!$K$2:$K$3001,$AD669)&amp;"")</f>
        <v/>
      </c>
      <c r="L669">
        <f>IF($AD669="","",INDEX('Per Line'!$L$2:$L$3001,$AD669)&amp;"")</f>
        <v/>
      </c>
      <c r="M669">
        <f>IF($AD669="","",INDEX('Per Line'!$M$2:$M$3001,$AD669)&amp;"")</f>
        <v/>
      </c>
      <c r="N669">
        <f>IF($AD669="","",INDEX('Per Line'!$AC$2:$AC$3001,$AD669)&amp;"")</f>
        <v/>
      </c>
      <c r="O669">
        <f>IF($AD669="","",INDEX('Per Line'!$P$2:$P$3001,$AD669))</f>
        <v/>
      </c>
      <c r="P669" s="7">
        <f>IF($AD669="","",IF(AND(ISNUMBER(Q669),Q669&gt;0,AB669&gt;Q669),O669*Q669/100+(AB669-Q669),O669*AB669/100))</f>
        <v/>
      </c>
      <c r="Q669">
        <f>IF($AD669="","",INDEX('Per Line'!$AG$2:$AG$3001,$AD669))</f>
        <v/>
      </c>
      <c r="R669">
        <f>IF($AD669="","",IF(AND(ISNUMBER(Q669),Q669&gt;0),AB669&gt;Q669,FALSE))</f>
        <v/>
      </c>
      <c r="S669" s="7">
        <f>IF($AD669="","",SUMIFS('Per Line'!$AB$2:$AB$3001,'Per Line'!$E$2:$E$3001,$B669,'Per Line'!$AQ$2:$AQ$3001,1))</f>
        <v/>
      </c>
      <c r="T669">
        <f>IF($AD669="","",Settings!$C$7)</f>
        <v/>
      </c>
      <c r="U669" s="7">
        <f>IF($AD669="","",SUMIFS('Per Line'!$AB$2:$AB$3001,'Per Line'!$E$2:$E$3001,$B669,'Per Line'!$AP$2:$AP$3001,0,'Per Line'!$AQ$2:$AQ$3001,0))</f>
        <v/>
      </c>
      <c r="V669" s="7">
        <f>IF($AD669="","",U669*T669)</f>
        <v/>
      </c>
      <c r="W669">
        <f>IF($AD669="","",Settings!$C$6)</f>
        <v/>
      </c>
      <c r="X669" s="7">
        <f>IF($AD669="","",SUMIFS('Per Line'!$AB$2:$AB$3001,'Per Line'!$E$2:$E$3001,$B669,'Per Line'!$AP$2:$AP$3001,1,'Per Line'!$AQ$2:$AQ$3001,0))</f>
        <v/>
      </c>
      <c r="Y669" s="7">
        <f>IF($AD669="","",X669*W669)</f>
        <v/>
      </c>
      <c r="Z669" s="7">
        <f>IF($AD669="","",Y669+V669)</f>
        <v/>
      </c>
      <c r="AA669" s="7">
        <f>IF($AD669="","",AB669-Z669)</f>
        <v/>
      </c>
      <c r="AB669" s="7">
        <f>IF($AD669="","",U669+X669+S669)</f>
        <v/>
      </c>
      <c r="AC669" s="7">
        <f>IF($AD669="","",AB669-Z669-P669)</f>
        <v/>
      </c>
      <c r="AD669" s="13">
        <f>IF(ROWS($AD$2:$AD669)&lt;=MAX('Per Line'!$AO$2:$AO$3001),MATCH(ROWS($AD$2:$AD669),'Per Line'!$AO$2:$AO$3001,0),"")</f>
        <v/>
      </c>
      <c r="AE669" s="14">
        <f>IF($AD669="","",P669-O669*AB669/100)</f>
        <v/>
      </c>
    </row>
    <row r="670">
      <c r="A670" s="12" t="n"/>
      <c r="B670">
        <f>IF($AD670="","",INDEX('Per Line'!$E$2:$E$3001,$AD670)&amp;"")</f>
        <v/>
      </c>
      <c r="C670">
        <f>IF($AD670="","",INDEX('Per Line'!$A$2:$A$3001,$AD670)&amp;"")</f>
        <v/>
      </c>
      <c r="D670">
        <f>IF($AD670="","",INDEX('Per Line'!$C$2:$C$3001,$AD670)&amp;"")</f>
        <v/>
      </c>
      <c r="E670">
        <f>IF($AD670="","",INDEX('Per Line'!$B$2:$B$3001,$AD670))</f>
        <v/>
      </c>
      <c r="F670">
        <f>IF($AD670="","",INDEX('Per Line'!$D$2:$D$3001,$AD670)&amp;"")</f>
        <v/>
      </c>
      <c r="G670" s="11">
        <f>IF($AD670="","",INDEX('Per Line'!$G$2:$G$3001,$AD670))</f>
        <v/>
      </c>
      <c r="H670">
        <f>IF($AD670="","",INDEX('Per Line'!$J$2:$J$3001,$AD670)&amp;"")</f>
        <v/>
      </c>
      <c r="I670">
        <f>IF($AD670="","",INDEX('Per Line'!$H$2:$H$3001,$AD670)&amp;"")</f>
        <v/>
      </c>
      <c r="J670">
        <f>IF($AD670="","",INDEX('Per Line'!$F$2:$F$3001,$AD670)&amp;"")</f>
        <v/>
      </c>
      <c r="K670">
        <f>IF($AD670="","",INDEX('Per Line'!$K$2:$K$3001,$AD670)&amp;"")</f>
        <v/>
      </c>
      <c r="L670">
        <f>IF($AD670="","",INDEX('Per Line'!$L$2:$L$3001,$AD670)&amp;"")</f>
        <v/>
      </c>
      <c r="M670">
        <f>IF($AD670="","",INDEX('Per Line'!$M$2:$M$3001,$AD670)&amp;"")</f>
        <v/>
      </c>
      <c r="N670">
        <f>IF($AD670="","",INDEX('Per Line'!$AC$2:$AC$3001,$AD670)&amp;"")</f>
        <v/>
      </c>
      <c r="O670">
        <f>IF($AD670="","",INDEX('Per Line'!$P$2:$P$3001,$AD670))</f>
        <v/>
      </c>
      <c r="P670" s="7">
        <f>IF($AD670="","",IF(AND(ISNUMBER(Q670),Q670&gt;0,AB670&gt;Q670),O670*Q670/100+(AB670-Q670),O670*AB670/100))</f>
        <v/>
      </c>
      <c r="Q670">
        <f>IF($AD670="","",INDEX('Per Line'!$AG$2:$AG$3001,$AD670))</f>
        <v/>
      </c>
      <c r="R670">
        <f>IF($AD670="","",IF(AND(ISNUMBER(Q670),Q670&gt;0),AB670&gt;Q670,FALSE))</f>
        <v/>
      </c>
      <c r="S670" s="7">
        <f>IF($AD670="","",SUMIFS('Per Line'!$AB$2:$AB$3001,'Per Line'!$E$2:$E$3001,$B670,'Per Line'!$AQ$2:$AQ$3001,1))</f>
        <v/>
      </c>
      <c r="T670">
        <f>IF($AD670="","",Settings!$C$7)</f>
        <v/>
      </c>
      <c r="U670" s="7">
        <f>IF($AD670="","",SUMIFS('Per Line'!$AB$2:$AB$3001,'Per Line'!$E$2:$E$3001,$B670,'Per Line'!$AP$2:$AP$3001,0,'Per Line'!$AQ$2:$AQ$3001,0))</f>
        <v/>
      </c>
      <c r="V670" s="7">
        <f>IF($AD670="","",U670*T670)</f>
        <v/>
      </c>
      <c r="W670">
        <f>IF($AD670="","",Settings!$C$6)</f>
        <v/>
      </c>
      <c r="X670" s="7">
        <f>IF($AD670="","",SUMIFS('Per Line'!$AB$2:$AB$3001,'Per Line'!$E$2:$E$3001,$B670,'Per Line'!$AP$2:$AP$3001,1,'Per Line'!$AQ$2:$AQ$3001,0))</f>
        <v/>
      </c>
      <c r="Y670" s="7">
        <f>IF($AD670="","",X670*W670)</f>
        <v/>
      </c>
      <c r="Z670" s="7">
        <f>IF($AD670="","",Y670+V670)</f>
        <v/>
      </c>
      <c r="AA670" s="7">
        <f>IF($AD670="","",AB670-Z670)</f>
        <v/>
      </c>
      <c r="AB670" s="7">
        <f>IF($AD670="","",U670+X670+S670)</f>
        <v/>
      </c>
      <c r="AC670" s="7">
        <f>IF($AD670="","",AB670-Z670-P670)</f>
        <v/>
      </c>
      <c r="AD670" s="13">
        <f>IF(ROWS($AD$2:$AD670)&lt;=MAX('Per Line'!$AO$2:$AO$3001),MATCH(ROWS($AD$2:$AD670),'Per Line'!$AO$2:$AO$3001,0),"")</f>
        <v/>
      </c>
      <c r="AE670" s="14">
        <f>IF($AD670="","",P670-O670*AB670/100)</f>
        <v/>
      </c>
    </row>
    <row r="671">
      <c r="A671" s="12" t="n"/>
      <c r="B671">
        <f>IF($AD671="","",INDEX('Per Line'!$E$2:$E$3001,$AD671)&amp;"")</f>
        <v/>
      </c>
      <c r="C671">
        <f>IF($AD671="","",INDEX('Per Line'!$A$2:$A$3001,$AD671)&amp;"")</f>
        <v/>
      </c>
      <c r="D671">
        <f>IF($AD671="","",INDEX('Per Line'!$C$2:$C$3001,$AD671)&amp;"")</f>
        <v/>
      </c>
      <c r="E671">
        <f>IF($AD671="","",INDEX('Per Line'!$B$2:$B$3001,$AD671))</f>
        <v/>
      </c>
      <c r="F671">
        <f>IF($AD671="","",INDEX('Per Line'!$D$2:$D$3001,$AD671)&amp;"")</f>
        <v/>
      </c>
      <c r="G671" s="11">
        <f>IF($AD671="","",INDEX('Per Line'!$G$2:$G$3001,$AD671))</f>
        <v/>
      </c>
      <c r="H671">
        <f>IF($AD671="","",INDEX('Per Line'!$J$2:$J$3001,$AD671)&amp;"")</f>
        <v/>
      </c>
      <c r="I671">
        <f>IF($AD671="","",INDEX('Per Line'!$H$2:$H$3001,$AD671)&amp;"")</f>
        <v/>
      </c>
      <c r="J671">
        <f>IF($AD671="","",INDEX('Per Line'!$F$2:$F$3001,$AD671)&amp;"")</f>
        <v/>
      </c>
      <c r="K671">
        <f>IF($AD671="","",INDEX('Per Line'!$K$2:$K$3001,$AD671)&amp;"")</f>
        <v/>
      </c>
      <c r="L671">
        <f>IF($AD671="","",INDEX('Per Line'!$L$2:$L$3001,$AD671)&amp;"")</f>
        <v/>
      </c>
      <c r="M671">
        <f>IF($AD671="","",INDEX('Per Line'!$M$2:$M$3001,$AD671)&amp;"")</f>
        <v/>
      </c>
      <c r="N671">
        <f>IF($AD671="","",INDEX('Per Line'!$AC$2:$AC$3001,$AD671)&amp;"")</f>
        <v/>
      </c>
      <c r="O671">
        <f>IF($AD671="","",INDEX('Per Line'!$P$2:$P$3001,$AD671))</f>
        <v/>
      </c>
      <c r="P671" s="7">
        <f>IF($AD671="","",IF(AND(ISNUMBER(Q671),Q671&gt;0,AB671&gt;Q671),O671*Q671/100+(AB671-Q671),O671*AB671/100))</f>
        <v/>
      </c>
      <c r="Q671">
        <f>IF($AD671="","",INDEX('Per Line'!$AG$2:$AG$3001,$AD671))</f>
        <v/>
      </c>
      <c r="R671">
        <f>IF($AD671="","",IF(AND(ISNUMBER(Q671),Q671&gt;0),AB671&gt;Q671,FALSE))</f>
        <v/>
      </c>
      <c r="S671" s="7">
        <f>IF($AD671="","",SUMIFS('Per Line'!$AB$2:$AB$3001,'Per Line'!$E$2:$E$3001,$B671,'Per Line'!$AQ$2:$AQ$3001,1))</f>
        <v/>
      </c>
      <c r="T671">
        <f>IF($AD671="","",Settings!$C$7)</f>
        <v/>
      </c>
      <c r="U671" s="7">
        <f>IF($AD671="","",SUMIFS('Per Line'!$AB$2:$AB$3001,'Per Line'!$E$2:$E$3001,$B671,'Per Line'!$AP$2:$AP$3001,0,'Per Line'!$AQ$2:$AQ$3001,0))</f>
        <v/>
      </c>
      <c r="V671" s="7">
        <f>IF($AD671="","",U671*T671)</f>
        <v/>
      </c>
      <c r="W671">
        <f>IF($AD671="","",Settings!$C$6)</f>
        <v/>
      </c>
      <c r="X671" s="7">
        <f>IF($AD671="","",SUMIFS('Per Line'!$AB$2:$AB$3001,'Per Line'!$E$2:$E$3001,$B671,'Per Line'!$AP$2:$AP$3001,1,'Per Line'!$AQ$2:$AQ$3001,0))</f>
        <v/>
      </c>
      <c r="Y671" s="7">
        <f>IF($AD671="","",X671*W671)</f>
        <v/>
      </c>
      <c r="Z671" s="7">
        <f>IF($AD671="","",Y671+V671)</f>
        <v/>
      </c>
      <c r="AA671" s="7">
        <f>IF($AD671="","",AB671-Z671)</f>
        <v/>
      </c>
      <c r="AB671" s="7">
        <f>IF($AD671="","",U671+X671+S671)</f>
        <v/>
      </c>
      <c r="AC671" s="7">
        <f>IF($AD671="","",AB671-Z671-P671)</f>
        <v/>
      </c>
      <c r="AD671" s="13">
        <f>IF(ROWS($AD$2:$AD671)&lt;=MAX('Per Line'!$AO$2:$AO$3001),MATCH(ROWS($AD$2:$AD671),'Per Line'!$AO$2:$AO$3001,0),"")</f>
        <v/>
      </c>
      <c r="AE671" s="14">
        <f>IF($AD671="","",P671-O671*AB671/100)</f>
        <v/>
      </c>
    </row>
    <row r="672">
      <c r="A672" s="12" t="n"/>
      <c r="B672">
        <f>IF($AD672="","",INDEX('Per Line'!$E$2:$E$3001,$AD672)&amp;"")</f>
        <v/>
      </c>
      <c r="C672">
        <f>IF($AD672="","",INDEX('Per Line'!$A$2:$A$3001,$AD672)&amp;"")</f>
        <v/>
      </c>
      <c r="D672">
        <f>IF($AD672="","",INDEX('Per Line'!$C$2:$C$3001,$AD672)&amp;"")</f>
        <v/>
      </c>
      <c r="E672">
        <f>IF($AD672="","",INDEX('Per Line'!$B$2:$B$3001,$AD672))</f>
        <v/>
      </c>
      <c r="F672">
        <f>IF($AD672="","",INDEX('Per Line'!$D$2:$D$3001,$AD672)&amp;"")</f>
        <v/>
      </c>
      <c r="G672" s="11">
        <f>IF($AD672="","",INDEX('Per Line'!$G$2:$G$3001,$AD672))</f>
        <v/>
      </c>
      <c r="H672">
        <f>IF($AD672="","",INDEX('Per Line'!$J$2:$J$3001,$AD672)&amp;"")</f>
        <v/>
      </c>
      <c r="I672">
        <f>IF($AD672="","",INDEX('Per Line'!$H$2:$H$3001,$AD672)&amp;"")</f>
        <v/>
      </c>
      <c r="J672">
        <f>IF($AD672="","",INDEX('Per Line'!$F$2:$F$3001,$AD672)&amp;"")</f>
        <v/>
      </c>
      <c r="K672">
        <f>IF($AD672="","",INDEX('Per Line'!$K$2:$K$3001,$AD672)&amp;"")</f>
        <v/>
      </c>
      <c r="L672">
        <f>IF($AD672="","",INDEX('Per Line'!$L$2:$L$3001,$AD672)&amp;"")</f>
        <v/>
      </c>
      <c r="M672">
        <f>IF($AD672="","",INDEX('Per Line'!$M$2:$M$3001,$AD672)&amp;"")</f>
        <v/>
      </c>
      <c r="N672">
        <f>IF($AD672="","",INDEX('Per Line'!$AC$2:$AC$3001,$AD672)&amp;"")</f>
        <v/>
      </c>
      <c r="O672">
        <f>IF($AD672="","",INDEX('Per Line'!$P$2:$P$3001,$AD672))</f>
        <v/>
      </c>
      <c r="P672" s="7">
        <f>IF($AD672="","",IF(AND(ISNUMBER(Q672),Q672&gt;0,AB672&gt;Q672),O672*Q672/100+(AB672-Q672),O672*AB672/100))</f>
        <v/>
      </c>
      <c r="Q672">
        <f>IF($AD672="","",INDEX('Per Line'!$AG$2:$AG$3001,$AD672))</f>
        <v/>
      </c>
      <c r="R672">
        <f>IF($AD672="","",IF(AND(ISNUMBER(Q672),Q672&gt;0),AB672&gt;Q672,FALSE))</f>
        <v/>
      </c>
      <c r="S672" s="7">
        <f>IF($AD672="","",SUMIFS('Per Line'!$AB$2:$AB$3001,'Per Line'!$E$2:$E$3001,$B672,'Per Line'!$AQ$2:$AQ$3001,1))</f>
        <v/>
      </c>
      <c r="T672">
        <f>IF($AD672="","",Settings!$C$7)</f>
        <v/>
      </c>
      <c r="U672" s="7">
        <f>IF($AD672="","",SUMIFS('Per Line'!$AB$2:$AB$3001,'Per Line'!$E$2:$E$3001,$B672,'Per Line'!$AP$2:$AP$3001,0,'Per Line'!$AQ$2:$AQ$3001,0))</f>
        <v/>
      </c>
      <c r="V672" s="7">
        <f>IF($AD672="","",U672*T672)</f>
        <v/>
      </c>
      <c r="W672">
        <f>IF($AD672="","",Settings!$C$6)</f>
        <v/>
      </c>
      <c r="X672" s="7">
        <f>IF($AD672="","",SUMIFS('Per Line'!$AB$2:$AB$3001,'Per Line'!$E$2:$E$3001,$B672,'Per Line'!$AP$2:$AP$3001,1,'Per Line'!$AQ$2:$AQ$3001,0))</f>
        <v/>
      </c>
      <c r="Y672" s="7">
        <f>IF($AD672="","",X672*W672)</f>
        <v/>
      </c>
      <c r="Z672" s="7">
        <f>IF($AD672="","",Y672+V672)</f>
        <v/>
      </c>
      <c r="AA672" s="7">
        <f>IF($AD672="","",AB672-Z672)</f>
        <v/>
      </c>
      <c r="AB672" s="7">
        <f>IF($AD672="","",U672+X672+S672)</f>
        <v/>
      </c>
      <c r="AC672" s="7">
        <f>IF($AD672="","",AB672-Z672-P672)</f>
        <v/>
      </c>
      <c r="AD672" s="13">
        <f>IF(ROWS($AD$2:$AD672)&lt;=MAX('Per Line'!$AO$2:$AO$3001),MATCH(ROWS($AD$2:$AD672),'Per Line'!$AO$2:$AO$3001,0),"")</f>
        <v/>
      </c>
      <c r="AE672" s="14">
        <f>IF($AD672="","",P672-O672*AB672/100)</f>
        <v/>
      </c>
    </row>
    <row r="673">
      <c r="A673" s="12" t="n"/>
      <c r="B673">
        <f>IF($AD673="","",INDEX('Per Line'!$E$2:$E$3001,$AD673)&amp;"")</f>
        <v/>
      </c>
      <c r="C673">
        <f>IF($AD673="","",INDEX('Per Line'!$A$2:$A$3001,$AD673)&amp;"")</f>
        <v/>
      </c>
      <c r="D673">
        <f>IF($AD673="","",INDEX('Per Line'!$C$2:$C$3001,$AD673)&amp;"")</f>
        <v/>
      </c>
      <c r="E673">
        <f>IF($AD673="","",INDEX('Per Line'!$B$2:$B$3001,$AD673))</f>
        <v/>
      </c>
      <c r="F673">
        <f>IF($AD673="","",INDEX('Per Line'!$D$2:$D$3001,$AD673)&amp;"")</f>
        <v/>
      </c>
      <c r="G673" s="11">
        <f>IF($AD673="","",INDEX('Per Line'!$G$2:$G$3001,$AD673))</f>
        <v/>
      </c>
      <c r="H673">
        <f>IF($AD673="","",INDEX('Per Line'!$J$2:$J$3001,$AD673)&amp;"")</f>
        <v/>
      </c>
      <c r="I673">
        <f>IF($AD673="","",INDEX('Per Line'!$H$2:$H$3001,$AD673)&amp;"")</f>
        <v/>
      </c>
      <c r="J673">
        <f>IF($AD673="","",INDEX('Per Line'!$F$2:$F$3001,$AD673)&amp;"")</f>
        <v/>
      </c>
      <c r="K673">
        <f>IF($AD673="","",INDEX('Per Line'!$K$2:$K$3001,$AD673)&amp;"")</f>
        <v/>
      </c>
      <c r="L673">
        <f>IF($AD673="","",INDEX('Per Line'!$L$2:$L$3001,$AD673)&amp;"")</f>
        <v/>
      </c>
      <c r="M673">
        <f>IF($AD673="","",INDEX('Per Line'!$M$2:$M$3001,$AD673)&amp;"")</f>
        <v/>
      </c>
      <c r="N673">
        <f>IF($AD673="","",INDEX('Per Line'!$AC$2:$AC$3001,$AD673)&amp;"")</f>
        <v/>
      </c>
      <c r="O673">
        <f>IF($AD673="","",INDEX('Per Line'!$P$2:$P$3001,$AD673))</f>
        <v/>
      </c>
      <c r="P673" s="7">
        <f>IF($AD673="","",IF(AND(ISNUMBER(Q673),Q673&gt;0,AB673&gt;Q673),O673*Q673/100+(AB673-Q673),O673*AB673/100))</f>
        <v/>
      </c>
      <c r="Q673">
        <f>IF($AD673="","",INDEX('Per Line'!$AG$2:$AG$3001,$AD673))</f>
        <v/>
      </c>
      <c r="R673">
        <f>IF($AD673="","",IF(AND(ISNUMBER(Q673),Q673&gt;0),AB673&gt;Q673,FALSE))</f>
        <v/>
      </c>
      <c r="S673" s="7">
        <f>IF($AD673="","",SUMIFS('Per Line'!$AB$2:$AB$3001,'Per Line'!$E$2:$E$3001,$B673,'Per Line'!$AQ$2:$AQ$3001,1))</f>
        <v/>
      </c>
      <c r="T673">
        <f>IF($AD673="","",Settings!$C$7)</f>
        <v/>
      </c>
      <c r="U673" s="7">
        <f>IF($AD673="","",SUMIFS('Per Line'!$AB$2:$AB$3001,'Per Line'!$E$2:$E$3001,$B673,'Per Line'!$AP$2:$AP$3001,0,'Per Line'!$AQ$2:$AQ$3001,0))</f>
        <v/>
      </c>
      <c r="V673" s="7">
        <f>IF($AD673="","",U673*T673)</f>
        <v/>
      </c>
      <c r="W673">
        <f>IF($AD673="","",Settings!$C$6)</f>
        <v/>
      </c>
      <c r="X673" s="7">
        <f>IF($AD673="","",SUMIFS('Per Line'!$AB$2:$AB$3001,'Per Line'!$E$2:$E$3001,$B673,'Per Line'!$AP$2:$AP$3001,1,'Per Line'!$AQ$2:$AQ$3001,0))</f>
        <v/>
      </c>
      <c r="Y673" s="7">
        <f>IF($AD673="","",X673*W673)</f>
        <v/>
      </c>
      <c r="Z673" s="7">
        <f>IF($AD673="","",Y673+V673)</f>
        <v/>
      </c>
      <c r="AA673" s="7">
        <f>IF($AD673="","",AB673-Z673)</f>
        <v/>
      </c>
      <c r="AB673" s="7">
        <f>IF($AD673="","",U673+X673+S673)</f>
        <v/>
      </c>
      <c r="AC673" s="7">
        <f>IF($AD673="","",AB673-Z673-P673)</f>
        <v/>
      </c>
      <c r="AD673" s="13">
        <f>IF(ROWS($AD$2:$AD673)&lt;=MAX('Per Line'!$AO$2:$AO$3001),MATCH(ROWS($AD$2:$AD673),'Per Line'!$AO$2:$AO$3001,0),"")</f>
        <v/>
      </c>
      <c r="AE673" s="14">
        <f>IF($AD673="","",P673-O673*AB673/100)</f>
        <v/>
      </c>
    </row>
    <row r="674">
      <c r="A674" s="12" t="n"/>
      <c r="B674">
        <f>IF($AD674="","",INDEX('Per Line'!$E$2:$E$3001,$AD674)&amp;"")</f>
        <v/>
      </c>
      <c r="C674">
        <f>IF($AD674="","",INDEX('Per Line'!$A$2:$A$3001,$AD674)&amp;"")</f>
        <v/>
      </c>
      <c r="D674">
        <f>IF($AD674="","",INDEX('Per Line'!$C$2:$C$3001,$AD674)&amp;"")</f>
        <v/>
      </c>
      <c r="E674">
        <f>IF($AD674="","",INDEX('Per Line'!$B$2:$B$3001,$AD674))</f>
        <v/>
      </c>
      <c r="F674">
        <f>IF($AD674="","",INDEX('Per Line'!$D$2:$D$3001,$AD674)&amp;"")</f>
        <v/>
      </c>
      <c r="G674" s="11">
        <f>IF($AD674="","",INDEX('Per Line'!$G$2:$G$3001,$AD674))</f>
        <v/>
      </c>
      <c r="H674">
        <f>IF($AD674="","",INDEX('Per Line'!$J$2:$J$3001,$AD674)&amp;"")</f>
        <v/>
      </c>
      <c r="I674">
        <f>IF($AD674="","",INDEX('Per Line'!$H$2:$H$3001,$AD674)&amp;"")</f>
        <v/>
      </c>
      <c r="J674">
        <f>IF($AD674="","",INDEX('Per Line'!$F$2:$F$3001,$AD674)&amp;"")</f>
        <v/>
      </c>
      <c r="K674">
        <f>IF($AD674="","",INDEX('Per Line'!$K$2:$K$3001,$AD674)&amp;"")</f>
        <v/>
      </c>
      <c r="L674">
        <f>IF($AD674="","",INDEX('Per Line'!$L$2:$L$3001,$AD674)&amp;"")</f>
        <v/>
      </c>
      <c r="M674">
        <f>IF($AD674="","",INDEX('Per Line'!$M$2:$M$3001,$AD674)&amp;"")</f>
        <v/>
      </c>
      <c r="N674">
        <f>IF($AD674="","",INDEX('Per Line'!$AC$2:$AC$3001,$AD674)&amp;"")</f>
        <v/>
      </c>
      <c r="O674">
        <f>IF($AD674="","",INDEX('Per Line'!$P$2:$P$3001,$AD674))</f>
        <v/>
      </c>
      <c r="P674" s="7">
        <f>IF($AD674="","",IF(AND(ISNUMBER(Q674),Q674&gt;0,AB674&gt;Q674),O674*Q674/100+(AB674-Q674),O674*AB674/100))</f>
        <v/>
      </c>
      <c r="Q674">
        <f>IF($AD674="","",INDEX('Per Line'!$AG$2:$AG$3001,$AD674))</f>
        <v/>
      </c>
      <c r="R674">
        <f>IF($AD674="","",IF(AND(ISNUMBER(Q674),Q674&gt;0),AB674&gt;Q674,FALSE))</f>
        <v/>
      </c>
      <c r="S674" s="7">
        <f>IF($AD674="","",SUMIFS('Per Line'!$AB$2:$AB$3001,'Per Line'!$E$2:$E$3001,$B674,'Per Line'!$AQ$2:$AQ$3001,1))</f>
        <v/>
      </c>
      <c r="T674">
        <f>IF($AD674="","",Settings!$C$7)</f>
        <v/>
      </c>
      <c r="U674" s="7">
        <f>IF($AD674="","",SUMIFS('Per Line'!$AB$2:$AB$3001,'Per Line'!$E$2:$E$3001,$B674,'Per Line'!$AP$2:$AP$3001,0,'Per Line'!$AQ$2:$AQ$3001,0))</f>
        <v/>
      </c>
      <c r="V674" s="7">
        <f>IF($AD674="","",U674*T674)</f>
        <v/>
      </c>
      <c r="W674">
        <f>IF($AD674="","",Settings!$C$6)</f>
        <v/>
      </c>
      <c r="X674" s="7">
        <f>IF($AD674="","",SUMIFS('Per Line'!$AB$2:$AB$3001,'Per Line'!$E$2:$E$3001,$B674,'Per Line'!$AP$2:$AP$3001,1,'Per Line'!$AQ$2:$AQ$3001,0))</f>
        <v/>
      </c>
      <c r="Y674" s="7">
        <f>IF($AD674="","",X674*W674)</f>
        <v/>
      </c>
      <c r="Z674" s="7">
        <f>IF($AD674="","",Y674+V674)</f>
        <v/>
      </c>
      <c r="AA674" s="7">
        <f>IF($AD674="","",AB674-Z674)</f>
        <v/>
      </c>
      <c r="AB674" s="7">
        <f>IF($AD674="","",U674+X674+S674)</f>
        <v/>
      </c>
      <c r="AC674" s="7">
        <f>IF($AD674="","",AB674-Z674-P674)</f>
        <v/>
      </c>
      <c r="AD674" s="13">
        <f>IF(ROWS($AD$2:$AD674)&lt;=MAX('Per Line'!$AO$2:$AO$3001),MATCH(ROWS($AD$2:$AD674),'Per Line'!$AO$2:$AO$3001,0),"")</f>
        <v/>
      </c>
      <c r="AE674" s="14">
        <f>IF($AD674="","",P674-O674*AB674/100)</f>
        <v/>
      </c>
    </row>
    <row r="675">
      <c r="A675" s="12" t="n"/>
      <c r="B675">
        <f>IF($AD675="","",INDEX('Per Line'!$E$2:$E$3001,$AD675)&amp;"")</f>
        <v/>
      </c>
      <c r="C675">
        <f>IF($AD675="","",INDEX('Per Line'!$A$2:$A$3001,$AD675)&amp;"")</f>
        <v/>
      </c>
      <c r="D675">
        <f>IF($AD675="","",INDEX('Per Line'!$C$2:$C$3001,$AD675)&amp;"")</f>
        <v/>
      </c>
      <c r="E675">
        <f>IF($AD675="","",INDEX('Per Line'!$B$2:$B$3001,$AD675))</f>
        <v/>
      </c>
      <c r="F675">
        <f>IF($AD675="","",INDEX('Per Line'!$D$2:$D$3001,$AD675)&amp;"")</f>
        <v/>
      </c>
      <c r="G675" s="11">
        <f>IF($AD675="","",INDEX('Per Line'!$G$2:$G$3001,$AD675))</f>
        <v/>
      </c>
      <c r="H675">
        <f>IF($AD675="","",INDEX('Per Line'!$J$2:$J$3001,$AD675)&amp;"")</f>
        <v/>
      </c>
      <c r="I675">
        <f>IF($AD675="","",INDEX('Per Line'!$H$2:$H$3001,$AD675)&amp;"")</f>
        <v/>
      </c>
      <c r="J675">
        <f>IF($AD675="","",INDEX('Per Line'!$F$2:$F$3001,$AD675)&amp;"")</f>
        <v/>
      </c>
      <c r="K675">
        <f>IF($AD675="","",INDEX('Per Line'!$K$2:$K$3001,$AD675)&amp;"")</f>
        <v/>
      </c>
      <c r="L675">
        <f>IF($AD675="","",INDEX('Per Line'!$L$2:$L$3001,$AD675)&amp;"")</f>
        <v/>
      </c>
      <c r="M675">
        <f>IF($AD675="","",INDEX('Per Line'!$M$2:$M$3001,$AD675)&amp;"")</f>
        <v/>
      </c>
      <c r="N675">
        <f>IF($AD675="","",INDEX('Per Line'!$AC$2:$AC$3001,$AD675)&amp;"")</f>
        <v/>
      </c>
      <c r="O675">
        <f>IF($AD675="","",INDEX('Per Line'!$P$2:$P$3001,$AD675))</f>
        <v/>
      </c>
      <c r="P675" s="7">
        <f>IF($AD675="","",IF(AND(ISNUMBER(Q675),Q675&gt;0,AB675&gt;Q675),O675*Q675/100+(AB675-Q675),O675*AB675/100))</f>
        <v/>
      </c>
      <c r="Q675">
        <f>IF($AD675="","",INDEX('Per Line'!$AG$2:$AG$3001,$AD675))</f>
        <v/>
      </c>
      <c r="R675">
        <f>IF($AD675="","",IF(AND(ISNUMBER(Q675),Q675&gt;0),AB675&gt;Q675,FALSE))</f>
        <v/>
      </c>
      <c r="S675" s="7">
        <f>IF($AD675="","",SUMIFS('Per Line'!$AB$2:$AB$3001,'Per Line'!$E$2:$E$3001,$B675,'Per Line'!$AQ$2:$AQ$3001,1))</f>
        <v/>
      </c>
      <c r="T675">
        <f>IF($AD675="","",Settings!$C$7)</f>
        <v/>
      </c>
      <c r="U675" s="7">
        <f>IF($AD675="","",SUMIFS('Per Line'!$AB$2:$AB$3001,'Per Line'!$E$2:$E$3001,$B675,'Per Line'!$AP$2:$AP$3001,0,'Per Line'!$AQ$2:$AQ$3001,0))</f>
        <v/>
      </c>
      <c r="V675" s="7">
        <f>IF($AD675="","",U675*T675)</f>
        <v/>
      </c>
      <c r="W675">
        <f>IF($AD675="","",Settings!$C$6)</f>
        <v/>
      </c>
      <c r="X675" s="7">
        <f>IF($AD675="","",SUMIFS('Per Line'!$AB$2:$AB$3001,'Per Line'!$E$2:$E$3001,$B675,'Per Line'!$AP$2:$AP$3001,1,'Per Line'!$AQ$2:$AQ$3001,0))</f>
        <v/>
      </c>
      <c r="Y675" s="7">
        <f>IF($AD675="","",X675*W675)</f>
        <v/>
      </c>
      <c r="Z675" s="7">
        <f>IF($AD675="","",Y675+V675)</f>
        <v/>
      </c>
      <c r="AA675" s="7">
        <f>IF($AD675="","",AB675-Z675)</f>
        <v/>
      </c>
      <c r="AB675" s="7">
        <f>IF($AD675="","",U675+X675+S675)</f>
        <v/>
      </c>
      <c r="AC675" s="7">
        <f>IF($AD675="","",AB675-Z675-P675)</f>
        <v/>
      </c>
      <c r="AD675" s="13">
        <f>IF(ROWS($AD$2:$AD675)&lt;=MAX('Per Line'!$AO$2:$AO$3001),MATCH(ROWS($AD$2:$AD675),'Per Line'!$AO$2:$AO$3001,0),"")</f>
        <v/>
      </c>
      <c r="AE675" s="14">
        <f>IF($AD675="","",P675-O675*AB675/100)</f>
        <v/>
      </c>
    </row>
    <row r="676">
      <c r="A676" s="12" t="n"/>
      <c r="B676">
        <f>IF($AD676="","",INDEX('Per Line'!$E$2:$E$3001,$AD676)&amp;"")</f>
        <v/>
      </c>
      <c r="C676">
        <f>IF($AD676="","",INDEX('Per Line'!$A$2:$A$3001,$AD676)&amp;"")</f>
        <v/>
      </c>
      <c r="D676">
        <f>IF($AD676="","",INDEX('Per Line'!$C$2:$C$3001,$AD676)&amp;"")</f>
        <v/>
      </c>
      <c r="E676">
        <f>IF($AD676="","",INDEX('Per Line'!$B$2:$B$3001,$AD676))</f>
        <v/>
      </c>
      <c r="F676">
        <f>IF($AD676="","",INDEX('Per Line'!$D$2:$D$3001,$AD676)&amp;"")</f>
        <v/>
      </c>
      <c r="G676" s="11">
        <f>IF($AD676="","",INDEX('Per Line'!$G$2:$G$3001,$AD676))</f>
        <v/>
      </c>
      <c r="H676">
        <f>IF($AD676="","",INDEX('Per Line'!$J$2:$J$3001,$AD676)&amp;"")</f>
        <v/>
      </c>
      <c r="I676">
        <f>IF($AD676="","",INDEX('Per Line'!$H$2:$H$3001,$AD676)&amp;"")</f>
        <v/>
      </c>
      <c r="J676">
        <f>IF($AD676="","",INDEX('Per Line'!$F$2:$F$3001,$AD676)&amp;"")</f>
        <v/>
      </c>
      <c r="K676">
        <f>IF($AD676="","",INDEX('Per Line'!$K$2:$K$3001,$AD676)&amp;"")</f>
        <v/>
      </c>
      <c r="L676">
        <f>IF($AD676="","",INDEX('Per Line'!$L$2:$L$3001,$AD676)&amp;"")</f>
        <v/>
      </c>
      <c r="M676">
        <f>IF($AD676="","",INDEX('Per Line'!$M$2:$M$3001,$AD676)&amp;"")</f>
        <v/>
      </c>
      <c r="N676">
        <f>IF($AD676="","",INDEX('Per Line'!$AC$2:$AC$3001,$AD676)&amp;"")</f>
        <v/>
      </c>
      <c r="O676">
        <f>IF($AD676="","",INDEX('Per Line'!$P$2:$P$3001,$AD676))</f>
        <v/>
      </c>
      <c r="P676" s="7">
        <f>IF($AD676="","",IF(AND(ISNUMBER(Q676),Q676&gt;0,AB676&gt;Q676),O676*Q676/100+(AB676-Q676),O676*AB676/100))</f>
        <v/>
      </c>
      <c r="Q676">
        <f>IF($AD676="","",INDEX('Per Line'!$AG$2:$AG$3001,$AD676))</f>
        <v/>
      </c>
      <c r="R676">
        <f>IF($AD676="","",IF(AND(ISNUMBER(Q676),Q676&gt;0),AB676&gt;Q676,FALSE))</f>
        <v/>
      </c>
      <c r="S676" s="7">
        <f>IF($AD676="","",SUMIFS('Per Line'!$AB$2:$AB$3001,'Per Line'!$E$2:$E$3001,$B676,'Per Line'!$AQ$2:$AQ$3001,1))</f>
        <v/>
      </c>
      <c r="T676">
        <f>IF($AD676="","",Settings!$C$7)</f>
        <v/>
      </c>
      <c r="U676" s="7">
        <f>IF($AD676="","",SUMIFS('Per Line'!$AB$2:$AB$3001,'Per Line'!$E$2:$E$3001,$B676,'Per Line'!$AP$2:$AP$3001,0,'Per Line'!$AQ$2:$AQ$3001,0))</f>
        <v/>
      </c>
      <c r="V676" s="7">
        <f>IF($AD676="","",U676*T676)</f>
        <v/>
      </c>
      <c r="W676">
        <f>IF($AD676="","",Settings!$C$6)</f>
        <v/>
      </c>
      <c r="X676" s="7">
        <f>IF($AD676="","",SUMIFS('Per Line'!$AB$2:$AB$3001,'Per Line'!$E$2:$E$3001,$B676,'Per Line'!$AP$2:$AP$3001,1,'Per Line'!$AQ$2:$AQ$3001,0))</f>
        <v/>
      </c>
      <c r="Y676" s="7">
        <f>IF($AD676="","",X676*W676)</f>
        <v/>
      </c>
      <c r="Z676" s="7">
        <f>IF($AD676="","",Y676+V676)</f>
        <v/>
      </c>
      <c r="AA676" s="7">
        <f>IF($AD676="","",AB676-Z676)</f>
        <v/>
      </c>
      <c r="AB676" s="7">
        <f>IF($AD676="","",U676+X676+S676)</f>
        <v/>
      </c>
      <c r="AC676" s="7">
        <f>IF($AD676="","",AB676-Z676-P676)</f>
        <v/>
      </c>
      <c r="AD676" s="13">
        <f>IF(ROWS($AD$2:$AD676)&lt;=MAX('Per Line'!$AO$2:$AO$3001),MATCH(ROWS($AD$2:$AD676),'Per Line'!$AO$2:$AO$3001,0),"")</f>
        <v/>
      </c>
      <c r="AE676" s="14">
        <f>IF($AD676="","",P676-O676*AB676/100)</f>
        <v/>
      </c>
    </row>
    <row r="677">
      <c r="A677" s="12" t="n"/>
      <c r="B677">
        <f>IF($AD677="","",INDEX('Per Line'!$E$2:$E$3001,$AD677)&amp;"")</f>
        <v/>
      </c>
      <c r="C677">
        <f>IF($AD677="","",INDEX('Per Line'!$A$2:$A$3001,$AD677)&amp;"")</f>
        <v/>
      </c>
      <c r="D677">
        <f>IF($AD677="","",INDEX('Per Line'!$C$2:$C$3001,$AD677)&amp;"")</f>
        <v/>
      </c>
      <c r="E677">
        <f>IF($AD677="","",INDEX('Per Line'!$B$2:$B$3001,$AD677))</f>
        <v/>
      </c>
      <c r="F677">
        <f>IF($AD677="","",INDEX('Per Line'!$D$2:$D$3001,$AD677)&amp;"")</f>
        <v/>
      </c>
      <c r="G677" s="11">
        <f>IF($AD677="","",INDEX('Per Line'!$G$2:$G$3001,$AD677))</f>
        <v/>
      </c>
      <c r="H677">
        <f>IF($AD677="","",INDEX('Per Line'!$J$2:$J$3001,$AD677)&amp;"")</f>
        <v/>
      </c>
      <c r="I677">
        <f>IF($AD677="","",INDEX('Per Line'!$H$2:$H$3001,$AD677)&amp;"")</f>
        <v/>
      </c>
      <c r="J677">
        <f>IF($AD677="","",INDEX('Per Line'!$F$2:$F$3001,$AD677)&amp;"")</f>
        <v/>
      </c>
      <c r="K677">
        <f>IF($AD677="","",INDEX('Per Line'!$K$2:$K$3001,$AD677)&amp;"")</f>
        <v/>
      </c>
      <c r="L677">
        <f>IF($AD677="","",INDEX('Per Line'!$L$2:$L$3001,$AD677)&amp;"")</f>
        <v/>
      </c>
      <c r="M677">
        <f>IF($AD677="","",INDEX('Per Line'!$M$2:$M$3001,$AD677)&amp;"")</f>
        <v/>
      </c>
      <c r="N677">
        <f>IF($AD677="","",INDEX('Per Line'!$AC$2:$AC$3001,$AD677)&amp;"")</f>
        <v/>
      </c>
      <c r="O677">
        <f>IF($AD677="","",INDEX('Per Line'!$P$2:$P$3001,$AD677))</f>
        <v/>
      </c>
      <c r="P677" s="7">
        <f>IF($AD677="","",IF(AND(ISNUMBER(Q677),Q677&gt;0,AB677&gt;Q677),O677*Q677/100+(AB677-Q677),O677*AB677/100))</f>
        <v/>
      </c>
      <c r="Q677">
        <f>IF($AD677="","",INDEX('Per Line'!$AG$2:$AG$3001,$AD677))</f>
        <v/>
      </c>
      <c r="R677">
        <f>IF($AD677="","",IF(AND(ISNUMBER(Q677),Q677&gt;0),AB677&gt;Q677,FALSE))</f>
        <v/>
      </c>
      <c r="S677" s="7">
        <f>IF($AD677="","",SUMIFS('Per Line'!$AB$2:$AB$3001,'Per Line'!$E$2:$E$3001,$B677,'Per Line'!$AQ$2:$AQ$3001,1))</f>
        <v/>
      </c>
      <c r="T677">
        <f>IF($AD677="","",Settings!$C$7)</f>
        <v/>
      </c>
      <c r="U677" s="7">
        <f>IF($AD677="","",SUMIFS('Per Line'!$AB$2:$AB$3001,'Per Line'!$E$2:$E$3001,$B677,'Per Line'!$AP$2:$AP$3001,0,'Per Line'!$AQ$2:$AQ$3001,0))</f>
        <v/>
      </c>
      <c r="V677" s="7">
        <f>IF($AD677="","",U677*T677)</f>
        <v/>
      </c>
      <c r="W677">
        <f>IF($AD677="","",Settings!$C$6)</f>
        <v/>
      </c>
      <c r="X677" s="7">
        <f>IF($AD677="","",SUMIFS('Per Line'!$AB$2:$AB$3001,'Per Line'!$E$2:$E$3001,$B677,'Per Line'!$AP$2:$AP$3001,1,'Per Line'!$AQ$2:$AQ$3001,0))</f>
        <v/>
      </c>
      <c r="Y677" s="7">
        <f>IF($AD677="","",X677*W677)</f>
        <v/>
      </c>
      <c r="Z677" s="7">
        <f>IF($AD677="","",Y677+V677)</f>
        <v/>
      </c>
      <c r="AA677" s="7">
        <f>IF($AD677="","",AB677-Z677)</f>
        <v/>
      </c>
      <c r="AB677" s="7">
        <f>IF($AD677="","",U677+X677+S677)</f>
        <v/>
      </c>
      <c r="AC677" s="7">
        <f>IF($AD677="","",AB677-Z677-P677)</f>
        <v/>
      </c>
      <c r="AD677" s="13">
        <f>IF(ROWS($AD$2:$AD677)&lt;=MAX('Per Line'!$AO$2:$AO$3001),MATCH(ROWS($AD$2:$AD677),'Per Line'!$AO$2:$AO$3001,0),"")</f>
        <v/>
      </c>
      <c r="AE677" s="14">
        <f>IF($AD677="","",P677-O677*AB677/100)</f>
        <v/>
      </c>
    </row>
    <row r="678">
      <c r="A678" s="12" t="n"/>
      <c r="B678">
        <f>IF($AD678="","",INDEX('Per Line'!$E$2:$E$3001,$AD678)&amp;"")</f>
        <v/>
      </c>
      <c r="C678">
        <f>IF($AD678="","",INDEX('Per Line'!$A$2:$A$3001,$AD678)&amp;"")</f>
        <v/>
      </c>
      <c r="D678">
        <f>IF($AD678="","",INDEX('Per Line'!$C$2:$C$3001,$AD678)&amp;"")</f>
        <v/>
      </c>
      <c r="E678">
        <f>IF($AD678="","",INDEX('Per Line'!$B$2:$B$3001,$AD678))</f>
        <v/>
      </c>
      <c r="F678">
        <f>IF($AD678="","",INDEX('Per Line'!$D$2:$D$3001,$AD678)&amp;"")</f>
        <v/>
      </c>
      <c r="G678" s="11">
        <f>IF($AD678="","",INDEX('Per Line'!$G$2:$G$3001,$AD678))</f>
        <v/>
      </c>
      <c r="H678">
        <f>IF($AD678="","",INDEX('Per Line'!$J$2:$J$3001,$AD678)&amp;"")</f>
        <v/>
      </c>
      <c r="I678">
        <f>IF($AD678="","",INDEX('Per Line'!$H$2:$H$3001,$AD678)&amp;"")</f>
        <v/>
      </c>
      <c r="J678">
        <f>IF($AD678="","",INDEX('Per Line'!$F$2:$F$3001,$AD678)&amp;"")</f>
        <v/>
      </c>
      <c r="K678">
        <f>IF($AD678="","",INDEX('Per Line'!$K$2:$K$3001,$AD678)&amp;"")</f>
        <v/>
      </c>
      <c r="L678">
        <f>IF($AD678="","",INDEX('Per Line'!$L$2:$L$3001,$AD678)&amp;"")</f>
        <v/>
      </c>
      <c r="M678">
        <f>IF($AD678="","",INDEX('Per Line'!$M$2:$M$3001,$AD678)&amp;"")</f>
        <v/>
      </c>
      <c r="N678">
        <f>IF($AD678="","",INDEX('Per Line'!$AC$2:$AC$3001,$AD678)&amp;"")</f>
        <v/>
      </c>
      <c r="O678">
        <f>IF($AD678="","",INDEX('Per Line'!$P$2:$P$3001,$AD678))</f>
        <v/>
      </c>
      <c r="P678" s="7">
        <f>IF($AD678="","",IF(AND(ISNUMBER(Q678),Q678&gt;0,AB678&gt;Q678),O678*Q678/100+(AB678-Q678),O678*AB678/100))</f>
        <v/>
      </c>
      <c r="Q678">
        <f>IF($AD678="","",INDEX('Per Line'!$AG$2:$AG$3001,$AD678))</f>
        <v/>
      </c>
      <c r="R678">
        <f>IF($AD678="","",IF(AND(ISNUMBER(Q678),Q678&gt;0),AB678&gt;Q678,FALSE))</f>
        <v/>
      </c>
      <c r="S678" s="7">
        <f>IF($AD678="","",SUMIFS('Per Line'!$AB$2:$AB$3001,'Per Line'!$E$2:$E$3001,$B678,'Per Line'!$AQ$2:$AQ$3001,1))</f>
        <v/>
      </c>
      <c r="T678">
        <f>IF($AD678="","",Settings!$C$7)</f>
        <v/>
      </c>
      <c r="U678" s="7">
        <f>IF($AD678="","",SUMIFS('Per Line'!$AB$2:$AB$3001,'Per Line'!$E$2:$E$3001,$B678,'Per Line'!$AP$2:$AP$3001,0,'Per Line'!$AQ$2:$AQ$3001,0))</f>
        <v/>
      </c>
      <c r="V678" s="7">
        <f>IF($AD678="","",U678*T678)</f>
        <v/>
      </c>
      <c r="W678">
        <f>IF($AD678="","",Settings!$C$6)</f>
        <v/>
      </c>
      <c r="X678" s="7">
        <f>IF($AD678="","",SUMIFS('Per Line'!$AB$2:$AB$3001,'Per Line'!$E$2:$E$3001,$B678,'Per Line'!$AP$2:$AP$3001,1,'Per Line'!$AQ$2:$AQ$3001,0))</f>
        <v/>
      </c>
      <c r="Y678" s="7">
        <f>IF($AD678="","",X678*W678)</f>
        <v/>
      </c>
      <c r="Z678" s="7">
        <f>IF($AD678="","",Y678+V678)</f>
        <v/>
      </c>
      <c r="AA678" s="7">
        <f>IF($AD678="","",AB678-Z678)</f>
        <v/>
      </c>
      <c r="AB678" s="7">
        <f>IF($AD678="","",U678+X678+S678)</f>
        <v/>
      </c>
      <c r="AC678" s="7">
        <f>IF($AD678="","",AB678-Z678-P678)</f>
        <v/>
      </c>
      <c r="AD678" s="13">
        <f>IF(ROWS($AD$2:$AD678)&lt;=MAX('Per Line'!$AO$2:$AO$3001),MATCH(ROWS($AD$2:$AD678),'Per Line'!$AO$2:$AO$3001,0),"")</f>
        <v/>
      </c>
      <c r="AE678" s="14">
        <f>IF($AD678="","",P678-O678*AB678/100)</f>
        <v/>
      </c>
    </row>
    <row r="679">
      <c r="A679" s="12" t="n"/>
      <c r="B679">
        <f>IF($AD679="","",INDEX('Per Line'!$E$2:$E$3001,$AD679)&amp;"")</f>
        <v/>
      </c>
      <c r="C679">
        <f>IF($AD679="","",INDEX('Per Line'!$A$2:$A$3001,$AD679)&amp;"")</f>
        <v/>
      </c>
      <c r="D679">
        <f>IF($AD679="","",INDEX('Per Line'!$C$2:$C$3001,$AD679)&amp;"")</f>
        <v/>
      </c>
      <c r="E679">
        <f>IF($AD679="","",INDEX('Per Line'!$B$2:$B$3001,$AD679))</f>
        <v/>
      </c>
      <c r="F679">
        <f>IF($AD679="","",INDEX('Per Line'!$D$2:$D$3001,$AD679)&amp;"")</f>
        <v/>
      </c>
      <c r="G679" s="11">
        <f>IF($AD679="","",INDEX('Per Line'!$G$2:$G$3001,$AD679))</f>
        <v/>
      </c>
      <c r="H679">
        <f>IF($AD679="","",INDEX('Per Line'!$J$2:$J$3001,$AD679)&amp;"")</f>
        <v/>
      </c>
      <c r="I679">
        <f>IF($AD679="","",INDEX('Per Line'!$H$2:$H$3001,$AD679)&amp;"")</f>
        <v/>
      </c>
      <c r="J679">
        <f>IF($AD679="","",INDEX('Per Line'!$F$2:$F$3001,$AD679)&amp;"")</f>
        <v/>
      </c>
      <c r="K679">
        <f>IF($AD679="","",INDEX('Per Line'!$K$2:$K$3001,$AD679)&amp;"")</f>
        <v/>
      </c>
      <c r="L679">
        <f>IF($AD679="","",INDEX('Per Line'!$L$2:$L$3001,$AD679)&amp;"")</f>
        <v/>
      </c>
      <c r="M679">
        <f>IF($AD679="","",INDEX('Per Line'!$M$2:$M$3001,$AD679)&amp;"")</f>
        <v/>
      </c>
      <c r="N679">
        <f>IF($AD679="","",INDEX('Per Line'!$AC$2:$AC$3001,$AD679)&amp;"")</f>
        <v/>
      </c>
      <c r="O679">
        <f>IF($AD679="","",INDEX('Per Line'!$P$2:$P$3001,$AD679))</f>
        <v/>
      </c>
      <c r="P679" s="7">
        <f>IF($AD679="","",IF(AND(ISNUMBER(Q679),Q679&gt;0,AB679&gt;Q679),O679*Q679/100+(AB679-Q679),O679*AB679/100))</f>
        <v/>
      </c>
      <c r="Q679">
        <f>IF($AD679="","",INDEX('Per Line'!$AG$2:$AG$3001,$AD679))</f>
        <v/>
      </c>
      <c r="R679">
        <f>IF($AD679="","",IF(AND(ISNUMBER(Q679),Q679&gt;0),AB679&gt;Q679,FALSE))</f>
        <v/>
      </c>
      <c r="S679" s="7">
        <f>IF($AD679="","",SUMIFS('Per Line'!$AB$2:$AB$3001,'Per Line'!$E$2:$E$3001,$B679,'Per Line'!$AQ$2:$AQ$3001,1))</f>
        <v/>
      </c>
      <c r="T679">
        <f>IF($AD679="","",Settings!$C$7)</f>
        <v/>
      </c>
      <c r="U679" s="7">
        <f>IF($AD679="","",SUMIFS('Per Line'!$AB$2:$AB$3001,'Per Line'!$E$2:$E$3001,$B679,'Per Line'!$AP$2:$AP$3001,0,'Per Line'!$AQ$2:$AQ$3001,0))</f>
        <v/>
      </c>
      <c r="V679" s="7">
        <f>IF($AD679="","",U679*T679)</f>
        <v/>
      </c>
      <c r="W679">
        <f>IF($AD679="","",Settings!$C$6)</f>
        <v/>
      </c>
      <c r="X679" s="7">
        <f>IF($AD679="","",SUMIFS('Per Line'!$AB$2:$AB$3001,'Per Line'!$E$2:$E$3001,$B679,'Per Line'!$AP$2:$AP$3001,1,'Per Line'!$AQ$2:$AQ$3001,0))</f>
        <v/>
      </c>
      <c r="Y679" s="7">
        <f>IF($AD679="","",X679*W679)</f>
        <v/>
      </c>
      <c r="Z679" s="7">
        <f>IF($AD679="","",Y679+V679)</f>
        <v/>
      </c>
      <c r="AA679" s="7">
        <f>IF($AD679="","",AB679-Z679)</f>
        <v/>
      </c>
      <c r="AB679" s="7">
        <f>IF($AD679="","",U679+X679+S679)</f>
        <v/>
      </c>
      <c r="AC679" s="7">
        <f>IF($AD679="","",AB679-Z679-P679)</f>
        <v/>
      </c>
      <c r="AD679" s="13">
        <f>IF(ROWS($AD$2:$AD679)&lt;=MAX('Per Line'!$AO$2:$AO$3001),MATCH(ROWS($AD$2:$AD679),'Per Line'!$AO$2:$AO$3001,0),"")</f>
        <v/>
      </c>
      <c r="AE679" s="14">
        <f>IF($AD679="","",P679-O679*AB679/100)</f>
        <v/>
      </c>
    </row>
    <row r="680">
      <c r="A680" s="12" t="n"/>
      <c r="B680">
        <f>IF($AD680="","",INDEX('Per Line'!$E$2:$E$3001,$AD680)&amp;"")</f>
        <v/>
      </c>
      <c r="C680">
        <f>IF($AD680="","",INDEX('Per Line'!$A$2:$A$3001,$AD680)&amp;"")</f>
        <v/>
      </c>
      <c r="D680">
        <f>IF($AD680="","",INDEX('Per Line'!$C$2:$C$3001,$AD680)&amp;"")</f>
        <v/>
      </c>
      <c r="E680">
        <f>IF($AD680="","",INDEX('Per Line'!$B$2:$B$3001,$AD680))</f>
        <v/>
      </c>
      <c r="F680">
        <f>IF($AD680="","",INDEX('Per Line'!$D$2:$D$3001,$AD680)&amp;"")</f>
        <v/>
      </c>
      <c r="G680" s="11">
        <f>IF($AD680="","",INDEX('Per Line'!$G$2:$G$3001,$AD680))</f>
        <v/>
      </c>
      <c r="H680">
        <f>IF($AD680="","",INDEX('Per Line'!$J$2:$J$3001,$AD680)&amp;"")</f>
        <v/>
      </c>
      <c r="I680">
        <f>IF($AD680="","",INDEX('Per Line'!$H$2:$H$3001,$AD680)&amp;"")</f>
        <v/>
      </c>
      <c r="J680">
        <f>IF($AD680="","",INDEX('Per Line'!$F$2:$F$3001,$AD680)&amp;"")</f>
        <v/>
      </c>
      <c r="K680">
        <f>IF($AD680="","",INDEX('Per Line'!$K$2:$K$3001,$AD680)&amp;"")</f>
        <v/>
      </c>
      <c r="L680">
        <f>IF($AD680="","",INDEX('Per Line'!$L$2:$L$3001,$AD680)&amp;"")</f>
        <v/>
      </c>
      <c r="M680">
        <f>IF($AD680="","",INDEX('Per Line'!$M$2:$M$3001,$AD680)&amp;"")</f>
        <v/>
      </c>
      <c r="N680">
        <f>IF($AD680="","",INDEX('Per Line'!$AC$2:$AC$3001,$AD680)&amp;"")</f>
        <v/>
      </c>
      <c r="O680">
        <f>IF($AD680="","",INDEX('Per Line'!$P$2:$P$3001,$AD680))</f>
        <v/>
      </c>
      <c r="P680" s="7">
        <f>IF($AD680="","",IF(AND(ISNUMBER(Q680),Q680&gt;0,AB680&gt;Q680),O680*Q680/100+(AB680-Q680),O680*AB680/100))</f>
        <v/>
      </c>
      <c r="Q680">
        <f>IF($AD680="","",INDEX('Per Line'!$AG$2:$AG$3001,$AD680))</f>
        <v/>
      </c>
      <c r="R680">
        <f>IF($AD680="","",IF(AND(ISNUMBER(Q680),Q680&gt;0),AB680&gt;Q680,FALSE))</f>
        <v/>
      </c>
      <c r="S680" s="7">
        <f>IF($AD680="","",SUMIFS('Per Line'!$AB$2:$AB$3001,'Per Line'!$E$2:$E$3001,$B680,'Per Line'!$AQ$2:$AQ$3001,1))</f>
        <v/>
      </c>
      <c r="T680">
        <f>IF($AD680="","",Settings!$C$7)</f>
        <v/>
      </c>
      <c r="U680" s="7">
        <f>IF($AD680="","",SUMIFS('Per Line'!$AB$2:$AB$3001,'Per Line'!$E$2:$E$3001,$B680,'Per Line'!$AP$2:$AP$3001,0,'Per Line'!$AQ$2:$AQ$3001,0))</f>
        <v/>
      </c>
      <c r="V680" s="7">
        <f>IF($AD680="","",U680*T680)</f>
        <v/>
      </c>
      <c r="W680">
        <f>IF($AD680="","",Settings!$C$6)</f>
        <v/>
      </c>
      <c r="X680" s="7">
        <f>IF($AD680="","",SUMIFS('Per Line'!$AB$2:$AB$3001,'Per Line'!$E$2:$E$3001,$B680,'Per Line'!$AP$2:$AP$3001,1,'Per Line'!$AQ$2:$AQ$3001,0))</f>
        <v/>
      </c>
      <c r="Y680" s="7">
        <f>IF($AD680="","",X680*W680)</f>
        <v/>
      </c>
      <c r="Z680" s="7">
        <f>IF($AD680="","",Y680+V680)</f>
        <v/>
      </c>
      <c r="AA680" s="7">
        <f>IF($AD680="","",AB680-Z680)</f>
        <v/>
      </c>
      <c r="AB680" s="7">
        <f>IF($AD680="","",U680+X680+S680)</f>
        <v/>
      </c>
      <c r="AC680" s="7">
        <f>IF($AD680="","",AB680-Z680-P680)</f>
        <v/>
      </c>
      <c r="AD680" s="13">
        <f>IF(ROWS($AD$2:$AD680)&lt;=MAX('Per Line'!$AO$2:$AO$3001),MATCH(ROWS($AD$2:$AD680),'Per Line'!$AO$2:$AO$3001,0),"")</f>
        <v/>
      </c>
      <c r="AE680" s="14">
        <f>IF($AD680="","",P680-O680*AB680/100)</f>
        <v/>
      </c>
    </row>
    <row r="681">
      <c r="A681" s="12" t="n"/>
      <c r="B681">
        <f>IF($AD681="","",INDEX('Per Line'!$E$2:$E$3001,$AD681)&amp;"")</f>
        <v/>
      </c>
      <c r="C681">
        <f>IF($AD681="","",INDEX('Per Line'!$A$2:$A$3001,$AD681)&amp;"")</f>
        <v/>
      </c>
      <c r="D681">
        <f>IF($AD681="","",INDEX('Per Line'!$C$2:$C$3001,$AD681)&amp;"")</f>
        <v/>
      </c>
      <c r="E681">
        <f>IF($AD681="","",INDEX('Per Line'!$B$2:$B$3001,$AD681))</f>
        <v/>
      </c>
      <c r="F681">
        <f>IF($AD681="","",INDEX('Per Line'!$D$2:$D$3001,$AD681)&amp;"")</f>
        <v/>
      </c>
      <c r="G681" s="11">
        <f>IF($AD681="","",INDEX('Per Line'!$G$2:$G$3001,$AD681))</f>
        <v/>
      </c>
      <c r="H681">
        <f>IF($AD681="","",INDEX('Per Line'!$J$2:$J$3001,$AD681)&amp;"")</f>
        <v/>
      </c>
      <c r="I681">
        <f>IF($AD681="","",INDEX('Per Line'!$H$2:$H$3001,$AD681)&amp;"")</f>
        <v/>
      </c>
      <c r="J681">
        <f>IF($AD681="","",INDEX('Per Line'!$F$2:$F$3001,$AD681)&amp;"")</f>
        <v/>
      </c>
      <c r="K681">
        <f>IF($AD681="","",INDEX('Per Line'!$K$2:$K$3001,$AD681)&amp;"")</f>
        <v/>
      </c>
      <c r="L681">
        <f>IF($AD681="","",INDEX('Per Line'!$L$2:$L$3001,$AD681)&amp;"")</f>
        <v/>
      </c>
      <c r="M681">
        <f>IF($AD681="","",INDEX('Per Line'!$M$2:$M$3001,$AD681)&amp;"")</f>
        <v/>
      </c>
      <c r="N681">
        <f>IF($AD681="","",INDEX('Per Line'!$AC$2:$AC$3001,$AD681)&amp;"")</f>
        <v/>
      </c>
      <c r="O681">
        <f>IF($AD681="","",INDEX('Per Line'!$P$2:$P$3001,$AD681))</f>
        <v/>
      </c>
      <c r="P681" s="7">
        <f>IF($AD681="","",IF(AND(ISNUMBER(Q681),Q681&gt;0,AB681&gt;Q681),O681*Q681/100+(AB681-Q681),O681*AB681/100))</f>
        <v/>
      </c>
      <c r="Q681">
        <f>IF($AD681="","",INDEX('Per Line'!$AG$2:$AG$3001,$AD681))</f>
        <v/>
      </c>
      <c r="R681">
        <f>IF($AD681="","",IF(AND(ISNUMBER(Q681),Q681&gt;0),AB681&gt;Q681,FALSE))</f>
        <v/>
      </c>
      <c r="S681" s="7">
        <f>IF($AD681="","",SUMIFS('Per Line'!$AB$2:$AB$3001,'Per Line'!$E$2:$E$3001,$B681,'Per Line'!$AQ$2:$AQ$3001,1))</f>
        <v/>
      </c>
      <c r="T681">
        <f>IF($AD681="","",Settings!$C$7)</f>
        <v/>
      </c>
      <c r="U681" s="7">
        <f>IF($AD681="","",SUMIFS('Per Line'!$AB$2:$AB$3001,'Per Line'!$E$2:$E$3001,$B681,'Per Line'!$AP$2:$AP$3001,0,'Per Line'!$AQ$2:$AQ$3001,0))</f>
        <v/>
      </c>
      <c r="V681" s="7">
        <f>IF($AD681="","",U681*T681)</f>
        <v/>
      </c>
      <c r="W681">
        <f>IF($AD681="","",Settings!$C$6)</f>
        <v/>
      </c>
      <c r="X681" s="7">
        <f>IF($AD681="","",SUMIFS('Per Line'!$AB$2:$AB$3001,'Per Line'!$E$2:$E$3001,$B681,'Per Line'!$AP$2:$AP$3001,1,'Per Line'!$AQ$2:$AQ$3001,0))</f>
        <v/>
      </c>
      <c r="Y681" s="7">
        <f>IF($AD681="","",X681*W681)</f>
        <v/>
      </c>
      <c r="Z681" s="7">
        <f>IF($AD681="","",Y681+V681)</f>
        <v/>
      </c>
      <c r="AA681" s="7">
        <f>IF($AD681="","",AB681-Z681)</f>
        <v/>
      </c>
      <c r="AB681" s="7">
        <f>IF($AD681="","",U681+X681+S681)</f>
        <v/>
      </c>
      <c r="AC681" s="7">
        <f>IF($AD681="","",AB681-Z681-P681)</f>
        <v/>
      </c>
      <c r="AD681" s="13">
        <f>IF(ROWS($AD$2:$AD681)&lt;=MAX('Per Line'!$AO$2:$AO$3001),MATCH(ROWS($AD$2:$AD681),'Per Line'!$AO$2:$AO$3001,0),"")</f>
        <v/>
      </c>
      <c r="AE681" s="14">
        <f>IF($AD681="","",P681-O681*AB681/100)</f>
        <v/>
      </c>
    </row>
    <row r="682">
      <c r="A682" s="12" t="n"/>
      <c r="B682">
        <f>IF($AD682="","",INDEX('Per Line'!$E$2:$E$3001,$AD682)&amp;"")</f>
        <v/>
      </c>
      <c r="C682">
        <f>IF($AD682="","",INDEX('Per Line'!$A$2:$A$3001,$AD682)&amp;"")</f>
        <v/>
      </c>
      <c r="D682">
        <f>IF($AD682="","",INDEX('Per Line'!$C$2:$C$3001,$AD682)&amp;"")</f>
        <v/>
      </c>
      <c r="E682">
        <f>IF($AD682="","",INDEX('Per Line'!$B$2:$B$3001,$AD682))</f>
        <v/>
      </c>
      <c r="F682">
        <f>IF($AD682="","",INDEX('Per Line'!$D$2:$D$3001,$AD682)&amp;"")</f>
        <v/>
      </c>
      <c r="G682" s="11">
        <f>IF($AD682="","",INDEX('Per Line'!$G$2:$G$3001,$AD682))</f>
        <v/>
      </c>
      <c r="H682">
        <f>IF($AD682="","",INDEX('Per Line'!$J$2:$J$3001,$AD682)&amp;"")</f>
        <v/>
      </c>
      <c r="I682">
        <f>IF($AD682="","",INDEX('Per Line'!$H$2:$H$3001,$AD682)&amp;"")</f>
        <v/>
      </c>
      <c r="J682">
        <f>IF($AD682="","",INDEX('Per Line'!$F$2:$F$3001,$AD682)&amp;"")</f>
        <v/>
      </c>
      <c r="K682">
        <f>IF($AD682="","",INDEX('Per Line'!$K$2:$K$3001,$AD682)&amp;"")</f>
        <v/>
      </c>
      <c r="L682">
        <f>IF($AD682="","",INDEX('Per Line'!$L$2:$L$3001,$AD682)&amp;"")</f>
        <v/>
      </c>
      <c r="M682">
        <f>IF($AD682="","",INDEX('Per Line'!$M$2:$M$3001,$AD682)&amp;"")</f>
        <v/>
      </c>
      <c r="N682">
        <f>IF($AD682="","",INDEX('Per Line'!$AC$2:$AC$3001,$AD682)&amp;"")</f>
        <v/>
      </c>
      <c r="O682">
        <f>IF($AD682="","",INDEX('Per Line'!$P$2:$P$3001,$AD682))</f>
        <v/>
      </c>
      <c r="P682" s="7">
        <f>IF($AD682="","",IF(AND(ISNUMBER(Q682),Q682&gt;0,AB682&gt;Q682),O682*Q682/100+(AB682-Q682),O682*AB682/100))</f>
        <v/>
      </c>
      <c r="Q682">
        <f>IF($AD682="","",INDEX('Per Line'!$AG$2:$AG$3001,$AD682))</f>
        <v/>
      </c>
      <c r="R682">
        <f>IF($AD682="","",IF(AND(ISNUMBER(Q682),Q682&gt;0),AB682&gt;Q682,FALSE))</f>
        <v/>
      </c>
      <c r="S682" s="7">
        <f>IF($AD682="","",SUMIFS('Per Line'!$AB$2:$AB$3001,'Per Line'!$E$2:$E$3001,$B682,'Per Line'!$AQ$2:$AQ$3001,1))</f>
        <v/>
      </c>
      <c r="T682">
        <f>IF($AD682="","",Settings!$C$7)</f>
        <v/>
      </c>
      <c r="U682" s="7">
        <f>IF($AD682="","",SUMIFS('Per Line'!$AB$2:$AB$3001,'Per Line'!$E$2:$E$3001,$B682,'Per Line'!$AP$2:$AP$3001,0,'Per Line'!$AQ$2:$AQ$3001,0))</f>
        <v/>
      </c>
      <c r="V682" s="7">
        <f>IF($AD682="","",U682*T682)</f>
        <v/>
      </c>
      <c r="W682">
        <f>IF($AD682="","",Settings!$C$6)</f>
        <v/>
      </c>
      <c r="X682" s="7">
        <f>IF($AD682="","",SUMIFS('Per Line'!$AB$2:$AB$3001,'Per Line'!$E$2:$E$3001,$B682,'Per Line'!$AP$2:$AP$3001,1,'Per Line'!$AQ$2:$AQ$3001,0))</f>
        <v/>
      </c>
      <c r="Y682" s="7">
        <f>IF($AD682="","",X682*W682)</f>
        <v/>
      </c>
      <c r="Z682" s="7">
        <f>IF($AD682="","",Y682+V682)</f>
        <v/>
      </c>
      <c r="AA682" s="7">
        <f>IF($AD682="","",AB682-Z682)</f>
        <v/>
      </c>
      <c r="AB682" s="7">
        <f>IF($AD682="","",U682+X682+S682)</f>
        <v/>
      </c>
      <c r="AC682" s="7">
        <f>IF($AD682="","",AB682-Z682-P682)</f>
        <v/>
      </c>
      <c r="AD682" s="13">
        <f>IF(ROWS($AD$2:$AD682)&lt;=MAX('Per Line'!$AO$2:$AO$3001),MATCH(ROWS($AD$2:$AD682),'Per Line'!$AO$2:$AO$3001,0),"")</f>
        <v/>
      </c>
      <c r="AE682" s="14">
        <f>IF($AD682="","",P682-O682*AB682/100)</f>
        <v/>
      </c>
    </row>
    <row r="683">
      <c r="A683" s="12" t="n"/>
      <c r="B683">
        <f>IF($AD683="","",INDEX('Per Line'!$E$2:$E$3001,$AD683)&amp;"")</f>
        <v/>
      </c>
      <c r="C683">
        <f>IF($AD683="","",INDEX('Per Line'!$A$2:$A$3001,$AD683)&amp;"")</f>
        <v/>
      </c>
      <c r="D683">
        <f>IF($AD683="","",INDEX('Per Line'!$C$2:$C$3001,$AD683)&amp;"")</f>
        <v/>
      </c>
      <c r="E683">
        <f>IF($AD683="","",INDEX('Per Line'!$B$2:$B$3001,$AD683))</f>
        <v/>
      </c>
      <c r="F683">
        <f>IF($AD683="","",INDEX('Per Line'!$D$2:$D$3001,$AD683)&amp;"")</f>
        <v/>
      </c>
      <c r="G683" s="11">
        <f>IF($AD683="","",INDEX('Per Line'!$G$2:$G$3001,$AD683))</f>
        <v/>
      </c>
      <c r="H683">
        <f>IF($AD683="","",INDEX('Per Line'!$J$2:$J$3001,$AD683)&amp;"")</f>
        <v/>
      </c>
      <c r="I683">
        <f>IF($AD683="","",INDEX('Per Line'!$H$2:$H$3001,$AD683)&amp;"")</f>
        <v/>
      </c>
      <c r="J683">
        <f>IF($AD683="","",INDEX('Per Line'!$F$2:$F$3001,$AD683)&amp;"")</f>
        <v/>
      </c>
      <c r="K683">
        <f>IF($AD683="","",INDEX('Per Line'!$K$2:$K$3001,$AD683)&amp;"")</f>
        <v/>
      </c>
      <c r="L683">
        <f>IF($AD683="","",INDEX('Per Line'!$L$2:$L$3001,$AD683)&amp;"")</f>
        <v/>
      </c>
      <c r="M683">
        <f>IF($AD683="","",INDEX('Per Line'!$M$2:$M$3001,$AD683)&amp;"")</f>
        <v/>
      </c>
      <c r="N683">
        <f>IF($AD683="","",INDEX('Per Line'!$AC$2:$AC$3001,$AD683)&amp;"")</f>
        <v/>
      </c>
      <c r="O683">
        <f>IF($AD683="","",INDEX('Per Line'!$P$2:$P$3001,$AD683))</f>
        <v/>
      </c>
      <c r="P683" s="7">
        <f>IF($AD683="","",IF(AND(ISNUMBER(Q683),Q683&gt;0,AB683&gt;Q683),O683*Q683/100+(AB683-Q683),O683*AB683/100))</f>
        <v/>
      </c>
      <c r="Q683">
        <f>IF($AD683="","",INDEX('Per Line'!$AG$2:$AG$3001,$AD683))</f>
        <v/>
      </c>
      <c r="R683">
        <f>IF($AD683="","",IF(AND(ISNUMBER(Q683),Q683&gt;0),AB683&gt;Q683,FALSE))</f>
        <v/>
      </c>
      <c r="S683" s="7">
        <f>IF($AD683="","",SUMIFS('Per Line'!$AB$2:$AB$3001,'Per Line'!$E$2:$E$3001,$B683,'Per Line'!$AQ$2:$AQ$3001,1))</f>
        <v/>
      </c>
      <c r="T683">
        <f>IF($AD683="","",Settings!$C$7)</f>
        <v/>
      </c>
      <c r="U683" s="7">
        <f>IF($AD683="","",SUMIFS('Per Line'!$AB$2:$AB$3001,'Per Line'!$E$2:$E$3001,$B683,'Per Line'!$AP$2:$AP$3001,0,'Per Line'!$AQ$2:$AQ$3001,0))</f>
        <v/>
      </c>
      <c r="V683" s="7">
        <f>IF($AD683="","",U683*T683)</f>
        <v/>
      </c>
      <c r="W683">
        <f>IF($AD683="","",Settings!$C$6)</f>
        <v/>
      </c>
      <c r="X683" s="7">
        <f>IF($AD683="","",SUMIFS('Per Line'!$AB$2:$AB$3001,'Per Line'!$E$2:$E$3001,$B683,'Per Line'!$AP$2:$AP$3001,1,'Per Line'!$AQ$2:$AQ$3001,0))</f>
        <v/>
      </c>
      <c r="Y683" s="7">
        <f>IF($AD683="","",X683*W683)</f>
        <v/>
      </c>
      <c r="Z683" s="7">
        <f>IF($AD683="","",Y683+V683)</f>
        <v/>
      </c>
      <c r="AA683" s="7">
        <f>IF($AD683="","",AB683-Z683)</f>
        <v/>
      </c>
      <c r="AB683" s="7">
        <f>IF($AD683="","",U683+X683+S683)</f>
        <v/>
      </c>
      <c r="AC683" s="7">
        <f>IF($AD683="","",AB683-Z683-P683)</f>
        <v/>
      </c>
      <c r="AD683" s="13">
        <f>IF(ROWS($AD$2:$AD683)&lt;=MAX('Per Line'!$AO$2:$AO$3001),MATCH(ROWS($AD$2:$AD683),'Per Line'!$AO$2:$AO$3001,0),"")</f>
        <v/>
      </c>
      <c r="AE683" s="14">
        <f>IF($AD683="","",P683-O683*AB683/100)</f>
        <v/>
      </c>
    </row>
    <row r="684">
      <c r="A684" s="12" t="n"/>
      <c r="B684">
        <f>IF($AD684="","",INDEX('Per Line'!$E$2:$E$3001,$AD684)&amp;"")</f>
        <v/>
      </c>
      <c r="C684">
        <f>IF($AD684="","",INDEX('Per Line'!$A$2:$A$3001,$AD684)&amp;"")</f>
        <v/>
      </c>
      <c r="D684">
        <f>IF($AD684="","",INDEX('Per Line'!$C$2:$C$3001,$AD684)&amp;"")</f>
        <v/>
      </c>
      <c r="E684">
        <f>IF($AD684="","",INDEX('Per Line'!$B$2:$B$3001,$AD684))</f>
        <v/>
      </c>
      <c r="F684">
        <f>IF($AD684="","",INDEX('Per Line'!$D$2:$D$3001,$AD684)&amp;"")</f>
        <v/>
      </c>
      <c r="G684" s="11">
        <f>IF($AD684="","",INDEX('Per Line'!$G$2:$G$3001,$AD684))</f>
        <v/>
      </c>
      <c r="H684">
        <f>IF($AD684="","",INDEX('Per Line'!$J$2:$J$3001,$AD684)&amp;"")</f>
        <v/>
      </c>
      <c r="I684">
        <f>IF($AD684="","",INDEX('Per Line'!$H$2:$H$3001,$AD684)&amp;"")</f>
        <v/>
      </c>
      <c r="J684">
        <f>IF($AD684="","",INDEX('Per Line'!$F$2:$F$3001,$AD684)&amp;"")</f>
        <v/>
      </c>
      <c r="K684">
        <f>IF($AD684="","",INDEX('Per Line'!$K$2:$K$3001,$AD684)&amp;"")</f>
        <v/>
      </c>
      <c r="L684">
        <f>IF($AD684="","",INDEX('Per Line'!$L$2:$L$3001,$AD684)&amp;"")</f>
        <v/>
      </c>
      <c r="M684">
        <f>IF($AD684="","",INDEX('Per Line'!$M$2:$M$3001,$AD684)&amp;"")</f>
        <v/>
      </c>
      <c r="N684">
        <f>IF($AD684="","",INDEX('Per Line'!$AC$2:$AC$3001,$AD684)&amp;"")</f>
        <v/>
      </c>
      <c r="O684">
        <f>IF($AD684="","",INDEX('Per Line'!$P$2:$P$3001,$AD684))</f>
        <v/>
      </c>
      <c r="P684" s="7">
        <f>IF($AD684="","",IF(AND(ISNUMBER(Q684),Q684&gt;0,AB684&gt;Q684),O684*Q684/100+(AB684-Q684),O684*AB684/100))</f>
        <v/>
      </c>
      <c r="Q684">
        <f>IF($AD684="","",INDEX('Per Line'!$AG$2:$AG$3001,$AD684))</f>
        <v/>
      </c>
      <c r="R684">
        <f>IF($AD684="","",IF(AND(ISNUMBER(Q684),Q684&gt;0),AB684&gt;Q684,FALSE))</f>
        <v/>
      </c>
      <c r="S684" s="7">
        <f>IF($AD684="","",SUMIFS('Per Line'!$AB$2:$AB$3001,'Per Line'!$E$2:$E$3001,$B684,'Per Line'!$AQ$2:$AQ$3001,1))</f>
        <v/>
      </c>
      <c r="T684">
        <f>IF($AD684="","",Settings!$C$7)</f>
        <v/>
      </c>
      <c r="U684" s="7">
        <f>IF($AD684="","",SUMIFS('Per Line'!$AB$2:$AB$3001,'Per Line'!$E$2:$E$3001,$B684,'Per Line'!$AP$2:$AP$3001,0,'Per Line'!$AQ$2:$AQ$3001,0))</f>
        <v/>
      </c>
      <c r="V684" s="7">
        <f>IF($AD684="","",U684*T684)</f>
        <v/>
      </c>
      <c r="W684">
        <f>IF($AD684="","",Settings!$C$6)</f>
        <v/>
      </c>
      <c r="X684" s="7">
        <f>IF($AD684="","",SUMIFS('Per Line'!$AB$2:$AB$3001,'Per Line'!$E$2:$E$3001,$B684,'Per Line'!$AP$2:$AP$3001,1,'Per Line'!$AQ$2:$AQ$3001,0))</f>
        <v/>
      </c>
      <c r="Y684" s="7">
        <f>IF($AD684="","",X684*W684)</f>
        <v/>
      </c>
      <c r="Z684" s="7">
        <f>IF($AD684="","",Y684+V684)</f>
        <v/>
      </c>
      <c r="AA684" s="7">
        <f>IF($AD684="","",AB684-Z684)</f>
        <v/>
      </c>
      <c r="AB684" s="7">
        <f>IF($AD684="","",U684+X684+S684)</f>
        <v/>
      </c>
      <c r="AC684" s="7">
        <f>IF($AD684="","",AB684-Z684-P684)</f>
        <v/>
      </c>
      <c r="AD684" s="13">
        <f>IF(ROWS($AD$2:$AD684)&lt;=MAX('Per Line'!$AO$2:$AO$3001),MATCH(ROWS($AD$2:$AD684),'Per Line'!$AO$2:$AO$3001,0),"")</f>
        <v/>
      </c>
      <c r="AE684" s="14">
        <f>IF($AD684="","",P684-O684*AB684/100)</f>
        <v/>
      </c>
    </row>
    <row r="685">
      <c r="A685" s="12" t="n"/>
      <c r="B685">
        <f>IF($AD685="","",INDEX('Per Line'!$E$2:$E$3001,$AD685)&amp;"")</f>
        <v/>
      </c>
      <c r="C685">
        <f>IF($AD685="","",INDEX('Per Line'!$A$2:$A$3001,$AD685)&amp;"")</f>
        <v/>
      </c>
      <c r="D685">
        <f>IF($AD685="","",INDEX('Per Line'!$C$2:$C$3001,$AD685)&amp;"")</f>
        <v/>
      </c>
      <c r="E685">
        <f>IF($AD685="","",INDEX('Per Line'!$B$2:$B$3001,$AD685))</f>
        <v/>
      </c>
      <c r="F685">
        <f>IF($AD685="","",INDEX('Per Line'!$D$2:$D$3001,$AD685)&amp;"")</f>
        <v/>
      </c>
      <c r="G685" s="11">
        <f>IF($AD685="","",INDEX('Per Line'!$G$2:$G$3001,$AD685))</f>
        <v/>
      </c>
      <c r="H685">
        <f>IF($AD685="","",INDEX('Per Line'!$J$2:$J$3001,$AD685)&amp;"")</f>
        <v/>
      </c>
      <c r="I685">
        <f>IF($AD685="","",INDEX('Per Line'!$H$2:$H$3001,$AD685)&amp;"")</f>
        <v/>
      </c>
      <c r="J685">
        <f>IF($AD685="","",INDEX('Per Line'!$F$2:$F$3001,$AD685)&amp;"")</f>
        <v/>
      </c>
      <c r="K685">
        <f>IF($AD685="","",INDEX('Per Line'!$K$2:$K$3001,$AD685)&amp;"")</f>
        <v/>
      </c>
      <c r="L685">
        <f>IF($AD685="","",INDEX('Per Line'!$L$2:$L$3001,$AD685)&amp;"")</f>
        <v/>
      </c>
      <c r="M685">
        <f>IF($AD685="","",INDEX('Per Line'!$M$2:$M$3001,$AD685)&amp;"")</f>
        <v/>
      </c>
      <c r="N685">
        <f>IF($AD685="","",INDEX('Per Line'!$AC$2:$AC$3001,$AD685)&amp;"")</f>
        <v/>
      </c>
      <c r="O685">
        <f>IF($AD685="","",INDEX('Per Line'!$P$2:$P$3001,$AD685))</f>
        <v/>
      </c>
      <c r="P685" s="7">
        <f>IF($AD685="","",IF(AND(ISNUMBER(Q685),Q685&gt;0,AB685&gt;Q685),O685*Q685/100+(AB685-Q685),O685*AB685/100))</f>
        <v/>
      </c>
      <c r="Q685">
        <f>IF($AD685="","",INDEX('Per Line'!$AG$2:$AG$3001,$AD685))</f>
        <v/>
      </c>
      <c r="R685">
        <f>IF($AD685="","",IF(AND(ISNUMBER(Q685),Q685&gt;0),AB685&gt;Q685,FALSE))</f>
        <v/>
      </c>
      <c r="S685" s="7">
        <f>IF($AD685="","",SUMIFS('Per Line'!$AB$2:$AB$3001,'Per Line'!$E$2:$E$3001,$B685,'Per Line'!$AQ$2:$AQ$3001,1))</f>
        <v/>
      </c>
      <c r="T685">
        <f>IF($AD685="","",Settings!$C$7)</f>
        <v/>
      </c>
      <c r="U685" s="7">
        <f>IF($AD685="","",SUMIFS('Per Line'!$AB$2:$AB$3001,'Per Line'!$E$2:$E$3001,$B685,'Per Line'!$AP$2:$AP$3001,0,'Per Line'!$AQ$2:$AQ$3001,0))</f>
        <v/>
      </c>
      <c r="V685" s="7">
        <f>IF($AD685="","",U685*T685)</f>
        <v/>
      </c>
      <c r="W685">
        <f>IF($AD685="","",Settings!$C$6)</f>
        <v/>
      </c>
      <c r="X685" s="7">
        <f>IF($AD685="","",SUMIFS('Per Line'!$AB$2:$AB$3001,'Per Line'!$E$2:$E$3001,$B685,'Per Line'!$AP$2:$AP$3001,1,'Per Line'!$AQ$2:$AQ$3001,0))</f>
        <v/>
      </c>
      <c r="Y685" s="7">
        <f>IF($AD685="","",X685*W685)</f>
        <v/>
      </c>
      <c r="Z685" s="7">
        <f>IF($AD685="","",Y685+V685)</f>
        <v/>
      </c>
      <c r="AA685" s="7">
        <f>IF($AD685="","",AB685-Z685)</f>
        <v/>
      </c>
      <c r="AB685" s="7">
        <f>IF($AD685="","",U685+X685+S685)</f>
        <v/>
      </c>
      <c r="AC685" s="7">
        <f>IF($AD685="","",AB685-Z685-P685)</f>
        <v/>
      </c>
      <c r="AD685" s="13">
        <f>IF(ROWS($AD$2:$AD685)&lt;=MAX('Per Line'!$AO$2:$AO$3001),MATCH(ROWS($AD$2:$AD685),'Per Line'!$AO$2:$AO$3001,0),"")</f>
        <v/>
      </c>
      <c r="AE685" s="14">
        <f>IF($AD685="","",P685-O685*AB685/100)</f>
        <v/>
      </c>
    </row>
    <row r="686">
      <c r="A686" s="12" t="n"/>
      <c r="B686">
        <f>IF($AD686="","",INDEX('Per Line'!$E$2:$E$3001,$AD686)&amp;"")</f>
        <v/>
      </c>
      <c r="C686">
        <f>IF($AD686="","",INDEX('Per Line'!$A$2:$A$3001,$AD686)&amp;"")</f>
        <v/>
      </c>
      <c r="D686">
        <f>IF($AD686="","",INDEX('Per Line'!$C$2:$C$3001,$AD686)&amp;"")</f>
        <v/>
      </c>
      <c r="E686">
        <f>IF($AD686="","",INDEX('Per Line'!$B$2:$B$3001,$AD686))</f>
        <v/>
      </c>
      <c r="F686">
        <f>IF($AD686="","",INDEX('Per Line'!$D$2:$D$3001,$AD686)&amp;"")</f>
        <v/>
      </c>
      <c r="G686" s="11">
        <f>IF($AD686="","",INDEX('Per Line'!$G$2:$G$3001,$AD686))</f>
        <v/>
      </c>
      <c r="H686">
        <f>IF($AD686="","",INDEX('Per Line'!$J$2:$J$3001,$AD686)&amp;"")</f>
        <v/>
      </c>
      <c r="I686">
        <f>IF($AD686="","",INDEX('Per Line'!$H$2:$H$3001,$AD686)&amp;"")</f>
        <v/>
      </c>
      <c r="J686">
        <f>IF($AD686="","",INDEX('Per Line'!$F$2:$F$3001,$AD686)&amp;"")</f>
        <v/>
      </c>
      <c r="K686">
        <f>IF($AD686="","",INDEX('Per Line'!$K$2:$K$3001,$AD686)&amp;"")</f>
        <v/>
      </c>
      <c r="L686">
        <f>IF($AD686="","",INDEX('Per Line'!$L$2:$L$3001,$AD686)&amp;"")</f>
        <v/>
      </c>
      <c r="M686">
        <f>IF($AD686="","",INDEX('Per Line'!$M$2:$M$3001,$AD686)&amp;"")</f>
        <v/>
      </c>
      <c r="N686">
        <f>IF($AD686="","",INDEX('Per Line'!$AC$2:$AC$3001,$AD686)&amp;"")</f>
        <v/>
      </c>
      <c r="O686">
        <f>IF($AD686="","",INDEX('Per Line'!$P$2:$P$3001,$AD686))</f>
        <v/>
      </c>
      <c r="P686" s="7">
        <f>IF($AD686="","",IF(AND(ISNUMBER(Q686),Q686&gt;0,AB686&gt;Q686),O686*Q686/100+(AB686-Q686),O686*AB686/100))</f>
        <v/>
      </c>
      <c r="Q686">
        <f>IF($AD686="","",INDEX('Per Line'!$AG$2:$AG$3001,$AD686))</f>
        <v/>
      </c>
      <c r="R686">
        <f>IF($AD686="","",IF(AND(ISNUMBER(Q686),Q686&gt;0),AB686&gt;Q686,FALSE))</f>
        <v/>
      </c>
      <c r="S686" s="7">
        <f>IF($AD686="","",SUMIFS('Per Line'!$AB$2:$AB$3001,'Per Line'!$E$2:$E$3001,$B686,'Per Line'!$AQ$2:$AQ$3001,1))</f>
        <v/>
      </c>
      <c r="T686">
        <f>IF($AD686="","",Settings!$C$7)</f>
        <v/>
      </c>
      <c r="U686" s="7">
        <f>IF($AD686="","",SUMIFS('Per Line'!$AB$2:$AB$3001,'Per Line'!$E$2:$E$3001,$B686,'Per Line'!$AP$2:$AP$3001,0,'Per Line'!$AQ$2:$AQ$3001,0))</f>
        <v/>
      </c>
      <c r="V686" s="7">
        <f>IF($AD686="","",U686*T686)</f>
        <v/>
      </c>
      <c r="W686">
        <f>IF($AD686="","",Settings!$C$6)</f>
        <v/>
      </c>
      <c r="X686" s="7">
        <f>IF($AD686="","",SUMIFS('Per Line'!$AB$2:$AB$3001,'Per Line'!$E$2:$E$3001,$B686,'Per Line'!$AP$2:$AP$3001,1,'Per Line'!$AQ$2:$AQ$3001,0))</f>
        <v/>
      </c>
      <c r="Y686" s="7">
        <f>IF($AD686="","",X686*W686)</f>
        <v/>
      </c>
      <c r="Z686" s="7">
        <f>IF($AD686="","",Y686+V686)</f>
        <v/>
      </c>
      <c r="AA686" s="7">
        <f>IF($AD686="","",AB686-Z686)</f>
        <v/>
      </c>
      <c r="AB686" s="7">
        <f>IF($AD686="","",U686+X686+S686)</f>
        <v/>
      </c>
      <c r="AC686" s="7">
        <f>IF($AD686="","",AB686-Z686-P686)</f>
        <v/>
      </c>
      <c r="AD686" s="13">
        <f>IF(ROWS($AD$2:$AD686)&lt;=MAX('Per Line'!$AO$2:$AO$3001),MATCH(ROWS($AD$2:$AD686),'Per Line'!$AO$2:$AO$3001,0),"")</f>
        <v/>
      </c>
      <c r="AE686" s="14">
        <f>IF($AD686="","",P686-O686*AB686/100)</f>
        <v/>
      </c>
    </row>
    <row r="687">
      <c r="A687" s="12" t="n"/>
      <c r="B687">
        <f>IF($AD687="","",INDEX('Per Line'!$E$2:$E$3001,$AD687)&amp;"")</f>
        <v/>
      </c>
      <c r="C687">
        <f>IF($AD687="","",INDEX('Per Line'!$A$2:$A$3001,$AD687)&amp;"")</f>
        <v/>
      </c>
      <c r="D687">
        <f>IF($AD687="","",INDEX('Per Line'!$C$2:$C$3001,$AD687)&amp;"")</f>
        <v/>
      </c>
      <c r="E687">
        <f>IF($AD687="","",INDEX('Per Line'!$B$2:$B$3001,$AD687))</f>
        <v/>
      </c>
      <c r="F687">
        <f>IF($AD687="","",INDEX('Per Line'!$D$2:$D$3001,$AD687)&amp;"")</f>
        <v/>
      </c>
      <c r="G687" s="11">
        <f>IF($AD687="","",INDEX('Per Line'!$G$2:$G$3001,$AD687))</f>
        <v/>
      </c>
      <c r="H687">
        <f>IF($AD687="","",INDEX('Per Line'!$J$2:$J$3001,$AD687)&amp;"")</f>
        <v/>
      </c>
      <c r="I687">
        <f>IF($AD687="","",INDEX('Per Line'!$H$2:$H$3001,$AD687)&amp;"")</f>
        <v/>
      </c>
      <c r="J687">
        <f>IF($AD687="","",INDEX('Per Line'!$F$2:$F$3001,$AD687)&amp;"")</f>
        <v/>
      </c>
      <c r="K687">
        <f>IF($AD687="","",INDEX('Per Line'!$K$2:$K$3001,$AD687)&amp;"")</f>
        <v/>
      </c>
      <c r="L687">
        <f>IF($AD687="","",INDEX('Per Line'!$L$2:$L$3001,$AD687)&amp;"")</f>
        <v/>
      </c>
      <c r="M687">
        <f>IF($AD687="","",INDEX('Per Line'!$M$2:$M$3001,$AD687)&amp;"")</f>
        <v/>
      </c>
      <c r="N687">
        <f>IF($AD687="","",INDEX('Per Line'!$AC$2:$AC$3001,$AD687)&amp;"")</f>
        <v/>
      </c>
      <c r="O687">
        <f>IF($AD687="","",INDEX('Per Line'!$P$2:$P$3001,$AD687))</f>
        <v/>
      </c>
      <c r="P687" s="7">
        <f>IF($AD687="","",IF(AND(ISNUMBER(Q687),Q687&gt;0,AB687&gt;Q687),O687*Q687/100+(AB687-Q687),O687*AB687/100))</f>
        <v/>
      </c>
      <c r="Q687">
        <f>IF($AD687="","",INDEX('Per Line'!$AG$2:$AG$3001,$AD687))</f>
        <v/>
      </c>
      <c r="R687">
        <f>IF($AD687="","",IF(AND(ISNUMBER(Q687),Q687&gt;0),AB687&gt;Q687,FALSE))</f>
        <v/>
      </c>
      <c r="S687" s="7">
        <f>IF($AD687="","",SUMIFS('Per Line'!$AB$2:$AB$3001,'Per Line'!$E$2:$E$3001,$B687,'Per Line'!$AQ$2:$AQ$3001,1))</f>
        <v/>
      </c>
      <c r="T687">
        <f>IF($AD687="","",Settings!$C$7)</f>
        <v/>
      </c>
      <c r="U687" s="7">
        <f>IF($AD687="","",SUMIFS('Per Line'!$AB$2:$AB$3001,'Per Line'!$E$2:$E$3001,$B687,'Per Line'!$AP$2:$AP$3001,0,'Per Line'!$AQ$2:$AQ$3001,0))</f>
        <v/>
      </c>
      <c r="V687" s="7">
        <f>IF($AD687="","",U687*T687)</f>
        <v/>
      </c>
      <c r="W687">
        <f>IF($AD687="","",Settings!$C$6)</f>
        <v/>
      </c>
      <c r="X687" s="7">
        <f>IF($AD687="","",SUMIFS('Per Line'!$AB$2:$AB$3001,'Per Line'!$E$2:$E$3001,$B687,'Per Line'!$AP$2:$AP$3001,1,'Per Line'!$AQ$2:$AQ$3001,0))</f>
        <v/>
      </c>
      <c r="Y687" s="7">
        <f>IF($AD687="","",X687*W687)</f>
        <v/>
      </c>
      <c r="Z687" s="7">
        <f>IF($AD687="","",Y687+V687)</f>
        <v/>
      </c>
      <c r="AA687" s="7">
        <f>IF($AD687="","",AB687-Z687)</f>
        <v/>
      </c>
      <c r="AB687" s="7">
        <f>IF($AD687="","",U687+X687+S687)</f>
        <v/>
      </c>
      <c r="AC687" s="7">
        <f>IF($AD687="","",AB687-Z687-P687)</f>
        <v/>
      </c>
      <c r="AD687" s="13">
        <f>IF(ROWS($AD$2:$AD687)&lt;=MAX('Per Line'!$AO$2:$AO$3001),MATCH(ROWS($AD$2:$AD687),'Per Line'!$AO$2:$AO$3001,0),"")</f>
        <v/>
      </c>
      <c r="AE687" s="14">
        <f>IF($AD687="","",P687-O687*AB687/100)</f>
        <v/>
      </c>
    </row>
    <row r="688">
      <c r="A688" s="12" t="n"/>
      <c r="B688">
        <f>IF($AD688="","",INDEX('Per Line'!$E$2:$E$3001,$AD688)&amp;"")</f>
        <v/>
      </c>
      <c r="C688">
        <f>IF($AD688="","",INDEX('Per Line'!$A$2:$A$3001,$AD688)&amp;"")</f>
        <v/>
      </c>
      <c r="D688">
        <f>IF($AD688="","",INDEX('Per Line'!$C$2:$C$3001,$AD688)&amp;"")</f>
        <v/>
      </c>
      <c r="E688">
        <f>IF($AD688="","",INDEX('Per Line'!$B$2:$B$3001,$AD688))</f>
        <v/>
      </c>
      <c r="F688">
        <f>IF($AD688="","",INDEX('Per Line'!$D$2:$D$3001,$AD688)&amp;"")</f>
        <v/>
      </c>
      <c r="G688" s="11">
        <f>IF($AD688="","",INDEX('Per Line'!$G$2:$G$3001,$AD688))</f>
        <v/>
      </c>
      <c r="H688">
        <f>IF($AD688="","",INDEX('Per Line'!$J$2:$J$3001,$AD688)&amp;"")</f>
        <v/>
      </c>
      <c r="I688">
        <f>IF($AD688="","",INDEX('Per Line'!$H$2:$H$3001,$AD688)&amp;"")</f>
        <v/>
      </c>
      <c r="J688">
        <f>IF($AD688="","",INDEX('Per Line'!$F$2:$F$3001,$AD688)&amp;"")</f>
        <v/>
      </c>
      <c r="K688">
        <f>IF($AD688="","",INDEX('Per Line'!$K$2:$K$3001,$AD688)&amp;"")</f>
        <v/>
      </c>
      <c r="L688">
        <f>IF($AD688="","",INDEX('Per Line'!$L$2:$L$3001,$AD688)&amp;"")</f>
        <v/>
      </c>
      <c r="M688">
        <f>IF($AD688="","",INDEX('Per Line'!$M$2:$M$3001,$AD688)&amp;"")</f>
        <v/>
      </c>
      <c r="N688">
        <f>IF($AD688="","",INDEX('Per Line'!$AC$2:$AC$3001,$AD688)&amp;"")</f>
        <v/>
      </c>
      <c r="O688">
        <f>IF($AD688="","",INDEX('Per Line'!$P$2:$P$3001,$AD688))</f>
        <v/>
      </c>
      <c r="P688" s="7">
        <f>IF($AD688="","",IF(AND(ISNUMBER(Q688),Q688&gt;0,AB688&gt;Q688),O688*Q688/100+(AB688-Q688),O688*AB688/100))</f>
        <v/>
      </c>
      <c r="Q688">
        <f>IF($AD688="","",INDEX('Per Line'!$AG$2:$AG$3001,$AD688))</f>
        <v/>
      </c>
      <c r="R688">
        <f>IF($AD688="","",IF(AND(ISNUMBER(Q688),Q688&gt;0),AB688&gt;Q688,FALSE))</f>
        <v/>
      </c>
      <c r="S688" s="7">
        <f>IF($AD688="","",SUMIFS('Per Line'!$AB$2:$AB$3001,'Per Line'!$E$2:$E$3001,$B688,'Per Line'!$AQ$2:$AQ$3001,1))</f>
        <v/>
      </c>
      <c r="T688">
        <f>IF($AD688="","",Settings!$C$7)</f>
        <v/>
      </c>
      <c r="U688" s="7">
        <f>IF($AD688="","",SUMIFS('Per Line'!$AB$2:$AB$3001,'Per Line'!$E$2:$E$3001,$B688,'Per Line'!$AP$2:$AP$3001,0,'Per Line'!$AQ$2:$AQ$3001,0))</f>
        <v/>
      </c>
      <c r="V688" s="7">
        <f>IF($AD688="","",U688*T688)</f>
        <v/>
      </c>
      <c r="W688">
        <f>IF($AD688="","",Settings!$C$6)</f>
        <v/>
      </c>
      <c r="X688" s="7">
        <f>IF($AD688="","",SUMIFS('Per Line'!$AB$2:$AB$3001,'Per Line'!$E$2:$E$3001,$B688,'Per Line'!$AP$2:$AP$3001,1,'Per Line'!$AQ$2:$AQ$3001,0))</f>
        <v/>
      </c>
      <c r="Y688" s="7">
        <f>IF($AD688="","",X688*W688)</f>
        <v/>
      </c>
      <c r="Z688" s="7">
        <f>IF($AD688="","",Y688+V688)</f>
        <v/>
      </c>
      <c r="AA688" s="7">
        <f>IF($AD688="","",AB688-Z688)</f>
        <v/>
      </c>
      <c r="AB688" s="7">
        <f>IF($AD688="","",U688+X688+S688)</f>
        <v/>
      </c>
      <c r="AC688" s="7">
        <f>IF($AD688="","",AB688-Z688-P688)</f>
        <v/>
      </c>
      <c r="AD688" s="13">
        <f>IF(ROWS($AD$2:$AD688)&lt;=MAX('Per Line'!$AO$2:$AO$3001),MATCH(ROWS($AD$2:$AD688),'Per Line'!$AO$2:$AO$3001,0),"")</f>
        <v/>
      </c>
      <c r="AE688" s="14">
        <f>IF($AD688="","",P688-O688*AB688/100)</f>
        <v/>
      </c>
    </row>
    <row r="689">
      <c r="A689" s="12" t="n"/>
      <c r="B689">
        <f>IF($AD689="","",INDEX('Per Line'!$E$2:$E$3001,$AD689)&amp;"")</f>
        <v/>
      </c>
      <c r="C689">
        <f>IF($AD689="","",INDEX('Per Line'!$A$2:$A$3001,$AD689)&amp;"")</f>
        <v/>
      </c>
      <c r="D689">
        <f>IF($AD689="","",INDEX('Per Line'!$C$2:$C$3001,$AD689)&amp;"")</f>
        <v/>
      </c>
      <c r="E689">
        <f>IF($AD689="","",INDEX('Per Line'!$B$2:$B$3001,$AD689))</f>
        <v/>
      </c>
      <c r="F689">
        <f>IF($AD689="","",INDEX('Per Line'!$D$2:$D$3001,$AD689)&amp;"")</f>
        <v/>
      </c>
      <c r="G689" s="11">
        <f>IF($AD689="","",INDEX('Per Line'!$G$2:$G$3001,$AD689))</f>
        <v/>
      </c>
      <c r="H689">
        <f>IF($AD689="","",INDEX('Per Line'!$J$2:$J$3001,$AD689)&amp;"")</f>
        <v/>
      </c>
      <c r="I689">
        <f>IF($AD689="","",INDEX('Per Line'!$H$2:$H$3001,$AD689)&amp;"")</f>
        <v/>
      </c>
      <c r="J689">
        <f>IF($AD689="","",INDEX('Per Line'!$F$2:$F$3001,$AD689)&amp;"")</f>
        <v/>
      </c>
      <c r="K689">
        <f>IF($AD689="","",INDEX('Per Line'!$K$2:$K$3001,$AD689)&amp;"")</f>
        <v/>
      </c>
      <c r="L689">
        <f>IF($AD689="","",INDEX('Per Line'!$L$2:$L$3001,$AD689)&amp;"")</f>
        <v/>
      </c>
      <c r="M689">
        <f>IF($AD689="","",INDEX('Per Line'!$M$2:$M$3001,$AD689)&amp;"")</f>
        <v/>
      </c>
      <c r="N689">
        <f>IF($AD689="","",INDEX('Per Line'!$AC$2:$AC$3001,$AD689)&amp;"")</f>
        <v/>
      </c>
      <c r="O689">
        <f>IF($AD689="","",INDEX('Per Line'!$P$2:$P$3001,$AD689))</f>
        <v/>
      </c>
      <c r="P689" s="7">
        <f>IF($AD689="","",IF(AND(ISNUMBER(Q689),Q689&gt;0,AB689&gt;Q689),O689*Q689/100+(AB689-Q689),O689*AB689/100))</f>
        <v/>
      </c>
      <c r="Q689">
        <f>IF($AD689="","",INDEX('Per Line'!$AG$2:$AG$3001,$AD689))</f>
        <v/>
      </c>
      <c r="R689">
        <f>IF($AD689="","",IF(AND(ISNUMBER(Q689),Q689&gt;0),AB689&gt;Q689,FALSE))</f>
        <v/>
      </c>
      <c r="S689" s="7">
        <f>IF($AD689="","",SUMIFS('Per Line'!$AB$2:$AB$3001,'Per Line'!$E$2:$E$3001,$B689,'Per Line'!$AQ$2:$AQ$3001,1))</f>
        <v/>
      </c>
      <c r="T689">
        <f>IF($AD689="","",Settings!$C$7)</f>
        <v/>
      </c>
      <c r="U689" s="7">
        <f>IF($AD689="","",SUMIFS('Per Line'!$AB$2:$AB$3001,'Per Line'!$E$2:$E$3001,$B689,'Per Line'!$AP$2:$AP$3001,0,'Per Line'!$AQ$2:$AQ$3001,0))</f>
        <v/>
      </c>
      <c r="V689" s="7">
        <f>IF($AD689="","",U689*T689)</f>
        <v/>
      </c>
      <c r="W689">
        <f>IF($AD689="","",Settings!$C$6)</f>
        <v/>
      </c>
      <c r="X689" s="7">
        <f>IF($AD689="","",SUMIFS('Per Line'!$AB$2:$AB$3001,'Per Line'!$E$2:$E$3001,$B689,'Per Line'!$AP$2:$AP$3001,1,'Per Line'!$AQ$2:$AQ$3001,0))</f>
        <v/>
      </c>
      <c r="Y689" s="7">
        <f>IF($AD689="","",X689*W689)</f>
        <v/>
      </c>
      <c r="Z689" s="7">
        <f>IF($AD689="","",Y689+V689)</f>
        <v/>
      </c>
      <c r="AA689" s="7">
        <f>IF($AD689="","",AB689-Z689)</f>
        <v/>
      </c>
      <c r="AB689" s="7">
        <f>IF($AD689="","",U689+X689+S689)</f>
        <v/>
      </c>
      <c r="AC689" s="7">
        <f>IF($AD689="","",AB689-Z689-P689)</f>
        <v/>
      </c>
      <c r="AD689" s="13">
        <f>IF(ROWS($AD$2:$AD689)&lt;=MAX('Per Line'!$AO$2:$AO$3001),MATCH(ROWS($AD$2:$AD689),'Per Line'!$AO$2:$AO$3001,0),"")</f>
        <v/>
      </c>
      <c r="AE689" s="14">
        <f>IF($AD689="","",P689-O689*AB689/100)</f>
        <v/>
      </c>
    </row>
    <row r="690">
      <c r="A690" s="12" t="n"/>
      <c r="B690">
        <f>IF($AD690="","",INDEX('Per Line'!$E$2:$E$3001,$AD690)&amp;"")</f>
        <v/>
      </c>
      <c r="C690">
        <f>IF($AD690="","",INDEX('Per Line'!$A$2:$A$3001,$AD690)&amp;"")</f>
        <v/>
      </c>
      <c r="D690">
        <f>IF($AD690="","",INDEX('Per Line'!$C$2:$C$3001,$AD690)&amp;"")</f>
        <v/>
      </c>
      <c r="E690">
        <f>IF($AD690="","",INDEX('Per Line'!$B$2:$B$3001,$AD690))</f>
        <v/>
      </c>
      <c r="F690">
        <f>IF($AD690="","",INDEX('Per Line'!$D$2:$D$3001,$AD690)&amp;"")</f>
        <v/>
      </c>
      <c r="G690" s="11">
        <f>IF($AD690="","",INDEX('Per Line'!$G$2:$G$3001,$AD690))</f>
        <v/>
      </c>
      <c r="H690">
        <f>IF($AD690="","",INDEX('Per Line'!$J$2:$J$3001,$AD690)&amp;"")</f>
        <v/>
      </c>
      <c r="I690">
        <f>IF($AD690="","",INDEX('Per Line'!$H$2:$H$3001,$AD690)&amp;"")</f>
        <v/>
      </c>
      <c r="J690">
        <f>IF($AD690="","",INDEX('Per Line'!$F$2:$F$3001,$AD690)&amp;"")</f>
        <v/>
      </c>
      <c r="K690">
        <f>IF($AD690="","",INDEX('Per Line'!$K$2:$K$3001,$AD690)&amp;"")</f>
        <v/>
      </c>
      <c r="L690">
        <f>IF($AD690="","",INDEX('Per Line'!$L$2:$L$3001,$AD690)&amp;"")</f>
        <v/>
      </c>
      <c r="M690">
        <f>IF($AD690="","",INDEX('Per Line'!$M$2:$M$3001,$AD690)&amp;"")</f>
        <v/>
      </c>
      <c r="N690">
        <f>IF($AD690="","",INDEX('Per Line'!$AC$2:$AC$3001,$AD690)&amp;"")</f>
        <v/>
      </c>
      <c r="O690">
        <f>IF($AD690="","",INDEX('Per Line'!$P$2:$P$3001,$AD690))</f>
        <v/>
      </c>
      <c r="P690" s="7">
        <f>IF($AD690="","",IF(AND(ISNUMBER(Q690),Q690&gt;0,AB690&gt;Q690),O690*Q690/100+(AB690-Q690),O690*AB690/100))</f>
        <v/>
      </c>
      <c r="Q690">
        <f>IF($AD690="","",INDEX('Per Line'!$AG$2:$AG$3001,$AD690))</f>
        <v/>
      </c>
      <c r="R690">
        <f>IF($AD690="","",IF(AND(ISNUMBER(Q690),Q690&gt;0),AB690&gt;Q690,FALSE))</f>
        <v/>
      </c>
      <c r="S690" s="7">
        <f>IF($AD690="","",SUMIFS('Per Line'!$AB$2:$AB$3001,'Per Line'!$E$2:$E$3001,$B690,'Per Line'!$AQ$2:$AQ$3001,1))</f>
        <v/>
      </c>
      <c r="T690">
        <f>IF($AD690="","",Settings!$C$7)</f>
        <v/>
      </c>
      <c r="U690" s="7">
        <f>IF($AD690="","",SUMIFS('Per Line'!$AB$2:$AB$3001,'Per Line'!$E$2:$E$3001,$B690,'Per Line'!$AP$2:$AP$3001,0,'Per Line'!$AQ$2:$AQ$3001,0))</f>
        <v/>
      </c>
      <c r="V690" s="7">
        <f>IF($AD690="","",U690*T690)</f>
        <v/>
      </c>
      <c r="W690">
        <f>IF($AD690="","",Settings!$C$6)</f>
        <v/>
      </c>
      <c r="X690" s="7">
        <f>IF($AD690="","",SUMIFS('Per Line'!$AB$2:$AB$3001,'Per Line'!$E$2:$E$3001,$B690,'Per Line'!$AP$2:$AP$3001,1,'Per Line'!$AQ$2:$AQ$3001,0))</f>
        <v/>
      </c>
      <c r="Y690" s="7">
        <f>IF($AD690="","",X690*W690)</f>
        <v/>
      </c>
      <c r="Z690" s="7">
        <f>IF($AD690="","",Y690+V690)</f>
        <v/>
      </c>
      <c r="AA690" s="7">
        <f>IF($AD690="","",AB690-Z690)</f>
        <v/>
      </c>
      <c r="AB690" s="7">
        <f>IF($AD690="","",U690+X690+S690)</f>
        <v/>
      </c>
      <c r="AC690" s="7">
        <f>IF($AD690="","",AB690-Z690-P690)</f>
        <v/>
      </c>
      <c r="AD690" s="13">
        <f>IF(ROWS($AD$2:$AD690)&lt;=MAX('Per Line'!$AO$2:$AO$3001),MATCH(ROWS($AD$2:$AD690),'Per Line'!$AO$2:$AO$3001,0),"")</f>
        <v/>
      </c>
      <c r="AE690" s="14">
        <f>IF($AD690="","",P690-O690*AB690/100)</f>
        <v/>
      </c>
    </row>
    <row r="691">
      <c r="A691" s="12" t="n"/>
      <c r="B691">
        <f>IF($AD691="","",INDEX('Per Line'!$E$2:$E$3001,$AD691)&amp;"")</f>
        <v/>
      </c>
      <c r="C691">
        <f>IF($AD691="","",INDEX('Per Line'!$A$2:$A$3001,$AD691)&amp;"")</f>
        <v/>
      </c>
      <c r="D691">
        <f>IF($AD691="","",INDEX('Per Line'!$C$2:$C$3001,$AD691)&amp;"")</f>
        <v/>
      </c>
      <c r="E691">
        <f>IF($AD691="","",INDEX('Per Line'!$B$2:$B$3001,$AD691))</f>
        <v/>
      </c>
      <c r="F691">
        <f>IF($AD691="","",INDEX('Per Line'!$D$2:$D$3001,$AD691)&amp;"")</f>
        <v/>
      </c>
      <c r="G691" s="11">
        <f>IF($AD691="","",INDEX('Per Line'!$G$2:$G$3001,$AD691))</f>
        <v/>
      </c>
      <c r="H691">
        <f>IF($AD691="","",INDEX('Per Line'!$J$2:$J$3001,$AD691)&amp;"")</f>
        <v/>
      </c>
      <c r="I691">
        <f>IF($AD691="","",INDEX('Per Line'!$H$2:$H$3001,$AD691)&amp;"")</f>
        <v/>
      </c>
      <c r="J691">
        <f>IF($AD691="","",INDEX('Per Line'!$F$2:$F$3001,$AD691)&amp;"")</f>
        <v/>
      </c>
      <c r="K691">
        <f>IF($AD691="","",INDEX('Per Line'!$K$2:$K$3001,$AD691)&amp;"")</f>
        <v/>
      </c>
      <c r="L691">
        <f>IF($AD691="","",INDEX('Per Line'!$L$2:$L$3001,$AD691)&amp;"")</f>
        <v/>
      </c>
      <c r="M691">
        <f>IF($AD691="","",INDEX('Per Line'!$M$2:$M$3001,$AD691)&amp;"")</f>
        <v/>
      </c>
      <c r="N691">
        <f>IF($AD691="","",INDEX('Per Line'!$AC$2:$AC$3001,$AD691)&amp;"")</f>
        <v/>
      </c>
      <c r="O691">
        <f>IF($AD691="","",INDEX('Per Line'!$P$2:$P$3001,$AD691))</f>
        <v/>
      </c>
      <c r="P691" s="7">
        <f>IF($AD691="","",IF(AND(ISNUMBER(Q691),Q691&gt;0,AB691&gt;Q691),O691*Q691/100+(AB691-Q691),O691*AB691/100))</f>
        <v/>
      </c>
      <c r="Q691">
        <f>IF($AD691="","",INDEX('Per Line'!$AG$2:$AG$3001,$AD691))</f>
        <v/>
      </c>
      <c r="R691">
        <f>IF($AD691="","",IF(AND(ISNUMBER(Q691),Q691&gt;0),AB691&gt;Q691,FALSE))</f>
        <v/>
      </c>
      <c r="S691" s="7">
        <f>IF($AD691="","",SUMIFS('Per Line'!$AB$2:$AB$3001,'Per Line'!$E$2:$E$3001,$B691,'Per Line'!$AQ$2:$AQ$3001,1))</f>
        <v/>
      </c>
      <c r="T691">
        <f>IF($AD691="","",Settings!$C$7)</f>
        <v/>
      </c>
      <c r="U691" s="7">
        <f>IF($AD691="","",SUMIFS('Per Line'!$AB$2:$AB$3001,'Per Line'!$E$2:$E$3001,$B691,'Per Line'!$AP$2:$AP$3001,0,'Per Line'!$AQ$2:$AQ$3001,0))</f>
        <v/>
      </c>
      <c r="V691" s="7">
        <f>IF($AD691="","",U691*T691)</f>
        <v/>
      </c>
      <c r="W691">
        <f>IF($AD691="","",Settings!$C$6)</f>
        <v/>
      </c>
      <c r="X691" s="7">
        <f>IF($AD691="","",SUMIFS('Per Line'!$AB$2:$AB$3001,'Per Line'!$E$2:$E$3001,$B691,'Per Line'!$AP$2:$AP$3001,1,'Per Line'!$AQ$2:$AQ$3001,0))</f>
        <v/>
      </c>
      <c r="Y691" s="7">
        <f>IF($AD691="","",X691*W691)</f>
        <v/>
      </c>
      <c r="Z691" s="7">
        <f>IF($AD691="","",Y691+V691)</f>
        <v/>
      </c>
      <c r="AA691" s="7">
        <f>IF($AD691="","",AB691-Z691)</f>
        <v/>
      </c>
      <c r="AB691" s="7">
        <f>IF($AD691="","",U691+X691+S691)</f>
        <v/>
      </c>
      <c r="AC691" s="7">
        <f>IF($AD691="","",AB691-Z691-P691)</f>
        <v/>
      </c>
      <c r="AD691" s="13">
        <f>IF(ROWS($AD$2:$AD691)&lt;=MAX('Per Line'!$AO$2:$AO$3001),MATCH(ROWS($AD$2:$AD691),'Per Line'!$AO$2:$AO$3001,0),"")</f>
        <v/>
      </c>
      <c r="AE691" s="14">
        <f>IF($AD691="","",P691-O691*AB691/100)</f>
        <v/>
      </c>
    </row>
    <row r="692">
      <c r="A692" s="12" t="n"/>
      <c r="B692">
        <f>IF($AD692="","",INDEX('Per Line'!$E$2:$E$3001,$AD692)&amp;"")</f>
        <v/>
      </c>
      <c r="C692">
        <f>IF($AD692="","",INDEX('Per Line'!$A$2:$A$3001,$AD692)&amp;"")</f>
        <v/>
      </c>
      <c r="D692">
        <f>IF($AD692="","",INDEX('Per Line'!$C$2:$C$3001,$AD692)&amp;"")</f>
        <v/>
      </c>
      <c r="E692">
        <f>IF($AD692="","",INDEX('Per Line'!$B$2:$B$3001,$AD692))</f>
        <v/>
      </c>
      <c r="F692">
        <f>IF($AD692="","",INDEX('Per Line'!$D$2:$D$3001,$AD692)&amp;"")</f>
        <v/>
      </c>
      <c r="G692" s="11">
        <f>IF($AD692="","",INDEX('Per Line'!$G$2:$G$3001,$AD692))</f>
        <v/>
      </c>
      <c r="H692">
        <f>IF($AD692="","",INDEX('Per Line'!$J$2:$J$3001,$AD692)&amp;"")</f>
        <v/>
      </c>
      <c r="I692">
        <f>IF($AD692="","",INDEX('Per Line'!$H$2:$H$3001,$AD692)&amp;"")</f>
        <v/>
      </c>
      <c r="J692">
        <f>IF($AD692="","",INDEX('Per Line'!$F$2:$F$3001,$AD692)&amp;"")</f>
        <v/>
      </c>
      <c r="K692">
        <f>IF($AD692="","",INDEX('Per Line'!$K$2:$K$3001,$AD692)&amp;"")</f>
        <v/>
      </c>
      <c r="L692">
        <f>IF($AD692="","",INDEX('Per Line'!$L$2:$L$3001,$AD692)&amp;"")</f>
        <v/>
      </c>
      <c r="M692">
        <f>IF($AD692="","",INDEX('Per Line'!$M$2:$M$3001,$AD692)&amp;"")</f>
        <v/>
      </c>
      <c r="N692">
        <f>IF($AD692="","",INDEX('Per Line'!$AC$2:$AC$3001,$AD692)&amp;"")</f>
        <v/>
      </c>
      <c r="O692">
        <f>IF($AD692="","",INDEX('Per Line'!$P$2:$P$3001,$AD692))</f>
        <v/>
      </c>
      <c r="P692" s="7">
        <f>IF($AD692="","",IF(AND(ISNUMBER(Q692),Q692&gt;0,AB692&gt;Q692),O692*Q692/100+(AB692-Q692),O692*AB692/100))</f>
        <v/>
      </c>
      <c r="Q692">
        <f>IF($AD692="","",INDEX('Per Line'!$AG$2:$AG$3001,$AD692))</f>
        <v/>
      </c>
      <c r="R692">
        <f>IF($AD692="","",IF(AND(ISNUMBER(Q692),Q692&gt;0),AB692&gt;Q692,FALSE))</f>
        <v/>
      </c>
      <c r="S692" s="7">
        <f>IF($AD692="","",SUMIFS('Per Line'!$AB$2:$AB$3001,'Per Line'!$E$2:$E$3001,$B692,'Per Line'!$AQ$2:$AQ$3001,1))</f>
        <v/>
      </c>
      <c r="T692">
        <f>IF($AD692="","",Settings!$C$7)</f>
        <v/>
      </c>
      <c r="U692" s="7">
        <f>IF($AD692="","",SUMIFS('Per Line'!$AB$2:$AB$3001,'Per Line'!$E$2:$E$3001,$B692,'Per Line'!$AP$2:$AP$3001,0,'Per Line'!$AQ$2:$AQ$3001,0))</f>
        <v/>
      </c>
      <c r="V692" s="7">
        <f>IF($AD692="","",U692*T692)</f>
        <v/>
      </c>
      <c r="W692">
        <f>IF($AD692="","",Settings!$C$6)</f>
        <v/>
      </c>
      <c r="X692" s="7">
        <f>IF($AD692="","",SUMIFS('Per Line'!$AB$2:$AB$3001,'Per Line'!$E$2:$E$3001,$B692,'Per Line'!$AP$2:$AP$3001,1,'Per Line'!$AQ$2:$AQ$3001,0))</f>
        <v/>
      </c>
      <c r="Y692" s="7">
        <f>IF($AD692="","",X692*W692)</f>
        <v/>
      </c>
      <c r="Z692" s="7">
        <f>IF($AD692="","",Y692+V692)</f>
        <v/>
      </c>
      <c r="AA692" s="7">
        <f>IF($AD692="","",AB692-Z692)</f>
        <v/>
      </c>
      <c r="AB692" s="7">
        <f>IF($AD692="","",U692+X692+S692)</f>
        <v/>
      </c>
      <c r="AC692" s="7">
        <f>IF($AD692="","",AB692-Z692-P692)</f>
        <v/>
      </c>
      <c r="AD692" s="13">
        <f>IF(ROWS($AD$2:$AD692)&lt;=MAX('Per Line'!$AO$2:$AO$3001),MATCH(ROWS($AD$2:$AD692),'Per Line'!$AO$2:$AO$3001,0),"")</f>
        <v/>
      </c>
      <c r="AE692" s="14">
        <f>IF($AD692="","",P692-O692*AB692/100)</f>
        <v/>
      </c>
    </row>
    <row r="693">
      <c r="A693" s="12" t="n"/>
      <c r="B693">
        <f>IF($AD693="","",INDEX('Per Line'!$E$2:$E$3001,$AD693)&amp;"")</f>
        <v/>
      </c>
      <c r="C693">
        <f>IF($AD693="","",INDEX('Per Line'!$A$2:$A$3001,$AD693)&amp;"")</f>
        <v/>
      </c>
      <c r="D693">
        <f>IF($AD693="","",INDEX('Per Line'!$C$2:$C$3001,$AD693)&amp;"")</f>
        <v/>
      </c>
      <c r="E693">
        <f>IF($AD693="","",INDEX('Per Line'!$B$2:$B$3001,$AD693))</f>
        <v/>
      </c>
      <c r="F693">
        <f>IF($AD693="","",INDEX('Per Line'!$D$2:$D$3001,$AD693)&amp;"")</f>
        <v/>
      </c>
      <c r="G693" s="11">
        <f>IF($AD693="","",INDEX('Per Line'!$G$2:$G$3001,$AD693))</f>
        <v/>
      </c>
      <c r="H693">
        <f>IF($AD693="","",INDEX('Per Line'!$J$2:$J$3001,$AD693)&amp;"")</f>
        <v/>
      </c>
      <c r="I693">
        <f>IF($AD693="","",INDEX('Per Line'!$H$2:$H$3001,$AD693)&amp;"")</f>
        <v/>
      </c>
      <c r="J693">
        <f>IF($AD693="","",INDEX('Per Line'!$F$2:$F$3001,$AD693)&amp;"")</f>
        <v/>
      </c>
      <c r="K693">
        <f>IF($AD693="","",INDEX('Per Line'!$K$2:$K$3001,$AD693)&amp;"")</f>
        <v/>
      </c>
      <c r="L693">
        <f>IF($AD693="","",INDEX('Per Line'!$L$2:$L$3001,$AD693)&amp;"")</f>
        <v/>
      </c>
      <c r="M693">
        <f>IF($AD693="","",INDEX('Per Line'!$M$2:$M$3001,$AD693)&amp;"")</f>
        <v/>
      </c>
      <c r="N693">
        <f>IF($AD693="","",INDEX('Per Line'!$AC$2:$AC$3001,$AD693)&amp;"")</f>
        <v/>
      </c>
      <c r="O693">
        <f>IF($AD693="","",INDEX('Per Line'!$P$2:$P$3001,$AD693))</f>
        <v/>
      </c>
      <c r="P693" s="7">
        <f>IF($AD693="","",IF(AND(ISNUMBER(Q693),Q693&gt;0,AB693&gt;Q693),O693*Q693/100+(AB693-Q693),O693*AB693/100))</f>
        <v/>
      </c>
      <c r="Q693">
        <f>IF($AD693="","",INDEX('Per Line'!$AG$2:$AG$3001,$AD693))</f>
        <v/>
      </c>
      <c r="R693">
        <f>IF($AD693="","",IF(AND(ISNUMBER(Q693),Q693&gt;0),AB693&gt;Q693,FALSE))</f>
        <v/>
      </c>
      <c r="S693" s="7">
        <f>IF($AD693="","",SUMIFS('Per Line'!$AB$2:$AB$3001,'Per Line'!$E$2:$E$3001,$B693,'Per Line'!$AQ$2:$AQ$3001,1))</f>
        <v/>
      </c>
      <c r="T693">
        <f>IF($AD693="","",Settings!$C$7)</f>
        <v/>
      </c>
      <c r="U693" s="7">
        <f>IF($AD693="","",SUMIFS('Per Line'!$AB$2:$AB$3001,'Per Line'!$E$2:$E$3001,$B693,'Per Line'!$AP$2:$AP$3001,0,'Per Line'!$AQ$2:$AQ$3001,0))</f>
        <v/>
      </c>
      <c r="V693" s="7">
        <f>IF($AD693="","",U693*T693)</f>
        <v/>
      </c>
      <c r="W693">
        <f>IF($AD693="","",Settings!$C$6)</f>
        <v/>
      </c>
      <c r="X693" s="7">
        <f>IF($AD693="","",SUMIFS('Per Line'!$AB$2:$AB$3001,'Per Line'!$E$2:$E$3001,$B693,'Per Line'!$AP$2:$AP$3001,1,'Per Line'!$AQ$2:$AQ$3001,0))</f>
        <v/>
      </c>
      <c r="Y693" s="7">
        <f>IF($AD693="","",X693*W693)</f>
        <v/>
      </c>
      <c r="Z693" s="7">
        <f>IF($AD693="","",Y693+V693)</f>
        <v/>
      </c>
      <c r="AA693" s="7">
        <f>IF($AD693="","",AB693-Z693)</f>
        <v/>
      </c>
      <c r="AB693" s="7">
        <f>IF($AD693="","",U693+X693+S693)</f>
        <v/>
      </c>
      <c r="AC693" s="7">
        <f>IF($AD693="","",AB693-Z693-P693)</f>
        <v/>
      </c>
      <c r="AD693" s="13">
        <f>IF(ROWS($AD$2:$AD693)&lt;=MAX('Per Line'!$AO$2:$AO$3001),MATCH(ROWS($AD$2:$AD693),'Per Line'!$AO$2:$AO$3001,0),"")</f>
        <v/>
      </c>
      <c r="AE693" s="14">
        <f>IF($AD693="","",P693-O693*AB693/100)</f>
        <v/>
      </c>
    </row>
    <row r="694">
      <c r="A694" s="12" t="n"/>
      <c r="B694">
        <f>IF($AD694="","",INDEX('Per Line'!$E$2:$E$3001,$AD694)&amp;"")</f>
        <v/>
      </c>
      <c r="C694">
        <f>IF($AD694="","",INDEX('Per Line'!$A$2:$A$3001,$AD694)&amp;"")</f>
        <v/>
      </c>
      <c r="D694">
        <f>IF($AD694="","",INDEX('Per Line'!$C$2:$C$3001,$AD694)&amp;"")</f>
        <v/>
      </c>
      <c r="E694">
        <f>IF($AD694="","",INDEX('Per Line'!$B$2:$B$3001,$AD694))</f>
        <v/>
      </c>
      <c r="F694">
        <f>IF($AD694="","",INDEX('Per Line'!$D$2:$D$3001,$AD694)&amp;"")</f>
        <v/>
      </c>
      <c r="G694" s="11">
        <f>IF($AD694="","",INDEX('Per Line'!$G$2:$G$3001,$AD694))</f>
        <v/>
      </c>
      <c r="H694">
        <f>IF($AD694="","",INDEX('Per Line'!$J$2:$J$3001,$AD694)&amp;"")</f>
        <v/>
      </c>
      <c r="I694">
        <f>IF($AD694="","",INDEX('Per Line'!$H$2:$H$3001,$AD694)&amp;"")</f>
        <v/>
      </c>
      <c r="J694">
        <f>IF($AD694="","",INDEX('Per Line'!$F$2:$F$3001,$AD694)&amp;"")</f>
        <v/>
      </c>
      <c r="K694">
        <f>IF($AD694="","",INDEX('Per Line'!$K$2:$K$3001,$AD694)&amp;"")</f>
        <v/>
      </c>
      <c r="L694">
        <f>IF($AD694="","",INDEX('Per Line'!$L$2:$L$3001,$AD694)&amp;"")</f>
        <v/>
      </c>
      <c r="M694">
        <f>IF($AD694="","",INDEX('Per Line'!$M$2:$M$3001,$AD694)&amp;"")</f>
        <v/>
      </c>
      <c r="N694">
        <f>IF($AD694="","",INDEX('Per Line'!$AC$2:$AC$3001,$AD694)&amp;"")</f>
        <v/>
      </c>
      <c r="O694">
        <f>IF($AD694="","",INDEX('Per Line'!$P$2:$P$3001,$AD694))</f>
        <v/>
      </c>
      <c r="P694" s="7">
        <f>IF($AD694="","",IF(AND(ISNUMBER(Q694),Q694&gt;0,AB694&gt;Q694),O694*Q694/100+(AB694-Q694),O694*AB694/100))</f>
        <v/>
      </c>
      <c r="Q694">
        <f>IF($AD694="","",INDEX('Per Line'!$AG$2:$AG$3001,$AD694))</f>
        <v/>
      </c>
      <c r="R694">
        <f>IF($AD694="","",IF(AND(ISNUMBER(Q694),Q694&gt;0),AB694&gt;Q694,FALSE))</f>
        <v/>
      </c>
      <c r="S694" s="7">
        <f>IF($AD694="","",SUMIFS('Per Line'!$AB$2:$AB$3001,'Per Line'!$E$2:$E$3001,$B694,'Per Line'!$AQ$2:$AQ$3001,1))</f>
        <v/>
      </c>
      <c r="T694">
        <f>IF($AD694="","",Settings!$C$7)</f>
        <v/>
      </c>
      <c r="U694" s="7">
        <f>IF($AD694="","",SUMIFS('Per Line'!$AB$2:$AB$3001,'Per Line'!$E$2:$E$3001,$B694,'Per Line'!$AP$2:$AP$3001,0,'Per Line'!$AQ$2:$AQ$3001,0))</f>
        <v/>
      </c>
      <c r="V694" s="7">
        <f>IF($AD694="","",U694*T694)</f>
        <v/>
      </c>
      <c r="W694">
        <f>IF($AD694="","",Settings!$C$6)</f>
        <v/>
      </c>
      <c r="X694" s="7">
        <f>IF($AD694="","",SUMIFS('Per Line'!$AB$2:$AB$3001,'Per Line'!$E$2:$E$3001,$B694,'Per Line'!$AP$2:$AP$3001,1,'Per Line'!$AQ$2:$AQ$3001,0))</f>
        <v/>
      </c>
      <c r="Y694" s="7">
        <f>IF($AD694="","",X694*W694)</f>
        <v/>
      </c>
      <c r="Z694" s="7">
        <f>IF($AD694="","",Y694+V694)</f>
        <v/>
      </c>
      <c r="AA694" s="7">
        <f>IF($AD694="","",AB694-Z694)</f>
        <v/>
      </c>
      <c r="AB694" s="7">
        <f>IF($AD694="","",U694+X694+S694)</f>
        <v/>
      </c>
      <c r="AC694" s="7">
        <f>IF($AD694="","",AB694-Z694-P694)</f>
        <v/>
      </c>
      <c r="AD694" s="13">
        <f>IF(ROWS($AD$2:$AD694)&lt;=MAX('Per Line'!$AO$2:$AO$3001),MATCH(ROWS($AD$2:$AD694),'Per Line'!$AO$2:$AO$3001,0),"")</f>
        <v/>
      </c>
      <c r="AE694" s="14">
        <f>IF($AD694="","",P694-O694*AB694/100)</f>
        <v/>
      </c>
    </row>
    <row r="695">
      <c r="A695" s="12" t="n"/>
      <c r="B695">
        <f>IF($AD695="","",INDEX('Per Line'!$E$2:$E$3001,$AD695)&amp;"")</f>
        <v/>
      </c>
      <c r="C695">
        <f>IF($AD695="","",INDEX('Per Line'!$A$2:$A$3001,$AD695)&amp;"")</f>
        <v/>
      </c>
      <c r="D695">
        <f>IF($AD695="","",INDEX('Per Line'!$C$2:$C$3001,$AD695)&amp;"")</f>
        <v/>
      </c>
      <c r="E695">
        <f>IF($AD695="","",INDEX('Per Line'!$B$2:$B$3001,$AD695))</f>
        <v/>
      </c>
      <c r="F695">
        <f>IF($AD695="","",INDEX('Per Line'!$D$2:$D$3001,$AD695)&amp;"")</f>
        <v/>
      </c>
      <c r="G695" s="11">
        <f>IF($AD695="","",INDEX('Per Line'!$G$2:$G$3001,$AD695))</f>
        <v/>
      </c>
      <c r="H695">
        <f>IF($AD695="","",INDEX('Per Line'!$J$2:$J$3001,$AD695)&amp;"")</f>
        <v/>
      </c>
      <c r="I695">
        <f>IF($AD695="","",INDEX('Per Line'!$H$2:$H$3001,$AD695)&amp;"")</f>
        <v/>
      </c>
      <c r="J695">
        <f>IF($AD695="","",INDEX('Per Line'!$F$2:$F$3001,$AD695)&amp;"")</f>
        <v/>
      </c>
      <c r="K695">
        <f>IF($AD695="","",INDEX('Per Line'!$K$2:$K$3001,$AD695)&amp;"")</f>
        <v/>
      </c>
      <c r="L695">
        <f>IF($AD695="","",INDEX('Per Line'!$L$2:$L$3001,$AD695)&amp;"")</f>
        <v/>
      </c>
      <c r="M695">
        <f>IF($AD695="","",INDEX('Per Line'!$M$2:$M$3001,$AD695)&amp;"")</f>
        <v/>
      </c>
      <c r="N695">
        <f>IF($AD695="","",INDEX('Per Line'!$AC$2:$AC$3001,$AD695)&amp;"")</f>
        <v/>
      </c>
      <c r="O695">
        <f>IF($AD695="","",INDEX('Per Line'!$P$2:$P$3001,$AD695))</f>
        <v/>
      </c>
      <c r="P695" s="7">
        <f>IF($AD695="","",IF(AND(ISNUMBER(Q695),Q695&gt;0,AB695&gt;Q695),O695*Q695/100+(AB695-Q695),O695*AB695/100))</f>
        <v/>
      </c>
      <c r="Q695">
        <f>IF($AD695="","",INDEX('Per Line'!$AG$2:$AG$3001,$AD695))</f>
        <v/>
      </c>
      <c r="R695">
        <f>IF($AD695="","",IF(AND(ISNUMBER(Q695),Q695&gt;0),AB695&gt;Q695,FALSE))</f>
        <v/>
      </c>
      <c r="S695" s="7">
        <f>IF($AD695="","",SUMIFS('Per Line'!$AB$2:$AB$3001,'Per Line'!$E$2:$E$3001,$B695,'Per Line'!$AQ$2:$AQ$3001,1))</f>
        <v/>
      </c>
      <c r="T695">
        <f>IF($AD695="","",Settings!$C$7)</f>
        <v/>
      </c>
      <c r="U695" s="7">
        <f>IF($AD695="","",SUMIFS('Per Line'!$AB$2:$AB$3001,'Per Line'!$E$2:$E$3001,$B695,'Per Line'!$AP$2:$AP$3001,0,'Per Line'!$AQ$2:$AQ$3001,0))</f>
        <v/>
      </c>
      <c r="V695" s="7">
        <f>IF($AD695="","",U695*T695)</f>
        <v/>
      </c>
      <c r="W695">
        <f>IF($AD695="","",Settings!$C$6)</f>
        <v/>
      </c>
      <c r="X695" s="7">
        <f>IF($AD695="","",SUMIFS('Per Line'!$AB$2:$AB$3001,'Per Line'!$E$2:$E$3001,$B695,'Per Line'!$AP$2:$AP$3001,1,'Per Line'!$AQ$2:$AQ$3001,0))</f>
        <v/>
      </c>
      <c r="Y695" s="7">
        <f>IF($AD695="","",X695*W695)</f>
        <v/>
      </c>
      <c r="Z695" s="7">
        <f>IF($AD695="","",Y695+V695)</f>
        <v/>
      </c>
      <c r="AA695" s="7">
        <f>IF($AD695="","",AB695-Z695)</f>
        <v/>
      </c>
      <c r="AB695" s="7">
        <f>IF($AD695="","",U695+X695+S695)</f>
        <v/>
      </c>
      <c r="AC695" s="7">
        <f>IF($AD695="","",AB695-Z695-P695)</f>
        <v/>
      </c>
      <c r="AD695" s="13">
        <f>IF(ROWS($AD$2:$AD695)&lt;=MAX('Per Line'!$AO$2:$AO$3001),MATCH(ROWS($AD$2:$AD695),'Per Line'!$AO$2:$AO$3001,0),"")</f>
        <v/>
      </c>
      <c r="AE695" s="14">
        <f>IF($AD695="","",P695-O695*AB695/100)</f>
        <v/>
      </c>
    </row>
    <row r="696">
      <c r="A696" s="12" t="n"/>
      <c r="B696">
        <f>IF($AD696="","",INDEX('Per Line'!$E$2:$E$3001,$AD696)&amp;"")</f>
        <v/>
      </c>
      <c r="C696">
        <f>IF($AD696="","",INDEX('Per Line'!$A$2:$A$3001,$AD696)&amp;"")</f>
        <v/>
      </c>
      <c r="D696">
        <f>IF($AD696="","",INDEX('Per Line'!$C$2:$C$3001,$AD696)&amp;"")</f>
        <v/>
      </c>
      <c r="E696">
        <f>IF($AD696="","",INDEX('Per Line'!$B$2:$B$3001,$AD696))</f>
        <v/>
      </c>
      <c r="F696">
        <f>IF($AD696="","",INDEX('Per Line'!$D$2:$D$3001,$AD696)&amp;"")</f>
        <v/>
      </c>
      <c r="G696" s="11">
        <f>IF($AD696="","",INDEX('Per Line'!$G$2:$G$3001,$AD696))</f>
        <v/>
      </c>
      <c r="H696">
        <f>IF($AD696="","",INDEX('Per Line'!$J$2:$J$3001,$AD696)&amp;"")</f>
        <v/>
      </c>
      <c r="I696">
        <f>IF($AD696="","",INDEX('Per Line'!$H$2:$H$3001,$AD696)&amp;"")</f>
        <v/>
      </c>
      <c r="J696">
        <f>IF($AD696="","",INDEX('Per Line'!$F$2:$F$3001,$AD696)&amp;"")</f>
        <v/>
      </c>
      <c r="K696">
        <f>IF($AD696="","",INDEX('Per Line'!$K$2:$K$3001,$AD696)&amp;"")</f>
        <v/>
      </c>
      <c r="L696">
        <f>IF($AD696="","",INDEX('Per Line'!$L$2:$L$3001,$AD696)&amp;"")</f>
        <v/>
      </c>
      <c r="M696">
        <f>IF($AD696="","",INDEX('Per Line'!$M$2:$M$3001,$AD696)&amp;"")</f>
        <v/>
      </c>
      <c r="N696">
        <f>IF($AD696="","",INDEX('Per Line'!$AC$2:$AC$3001,$AD696)&amp;"")</f>
        <v/>
      </c>
      <c r="O696">
        <f>IF($AD696="","",INDEX('Per Line'!$P$2:$P$3001,$AD696))</f>
        <v/>
      </c>
      <c r="P696" s="7">
        <f>IF($AD696="","",IF(AND(ISNUMBER(Q696),Q696&gt;0,AB696&gt;Q696),O696*Q696/100+(AB696-Q696),O696*AB696/100))</f>
        <v/>
      </c>
      <c r="Q696">
        <f>IF($AD696="","",INDEX('Per Line'!$AG$2:$AG$3001,$AD696))</f>
        <v/>
      </c>
      <c r="R696">
        <f>IF($AD696="","",IF(AND(ISNUMBER(Q696),Q696&gt;0),AB696&gt;Q696,FALSE))</f>
        <v/>
      </c>
      <c r="S696" s="7">
        <f>IF($AD696="","",SUMIFS('Per Line'!$AB$2:$AB$3001,'Per Line'!$E$2:$E$3001,$B696,'Per Line'!$AQ$2:$AQ$3001,1))</f>
        <v/>
      </c>
      <c r="T696">
        <f>IF($AD696="","",Settings!$C$7)</f>
        <v/>
      </c>
      <c r="U696" s="7">
        <f>IF($AD696="","",SUMIFS('Per Line'!$AB$2:$AB$3001,'Per Line'!$E$2:$E$3001,$B696,'Per Line'!$AP$2:$AP$3001,0,'Per Line'!$AQ$2:$AQ$3001,0))</f>
        <v/>
      </c>
      <c r="V696" s="7">
        <f>IF($AD696="","",U696*T696)</f>
        <v/>
      </c>
      <c r="W696">
        <f>IF($AD696="","",Settings!$C$6)</f>
        <v/>
      </c>
      <c r="X696" s="7">
        <f>IF($AD696="","",SUMIFS('Per Line'!$AB$2:$AB$3001,'Per Line'!$E$2:$E$3001,$B696,'Per Line'!$AP$2:$AP$3001,1,'Per Line'!$AQ$2:$AQ$3001,0))</f>
        <v/>
      </c>
      <c r="Y696" s="7">
        <f>IF($AD696="","",X696*W696)</f>
        <v/>
      </c>
      <c r="Z696" s="7">
        <f>IF($AD696="","",Y696+V696)</f>
        <v/>
      </c>
      <c r="AA696" s="7">
        <f>IF($AD696="","",AB696-Z696)</f>
        <v/>
      </c>
      <c r="AB696" s="7">
        <f>IF($AD696="","",U696+X696+S696)</f>
        <v/>
      </c>
      <c r="AC696" s="7">
        <f>IF($AD696="","",AB696-Z696-P696)</f>
        <v/>
      </c>
      <c r="AD696" s="13">
        <f>IF(ROWS($AD$2:$AD696)&lt;=MAX('Per Line'!$AO$2:$AO$3001),MATCH(ROWS($AD$2:$AD696),'Per Line'!$AO$2:$AO$3001,0),"")</f>
        <v/>
      </c>
      <c r="AE696" s="14">
        <f>IF($AD696="","",P696-O696*AB696/100)</f>
        <v/>
      </c>
    </row>
    <row r="697">
      <c r="A697" s="12" t="n"/>
      <c r="B697">
        <f>IF($AD697="","",INDEX('Per Line'!$E$2:$E$3001,$AD697)&amp;"")</f>
        <v/>
      </c>
      <c r="C697">
        <f>IF($AD697="","",INDEX('Per Line'!$A$2:$A$3001,$AD697)&amp;"")</f>
        <v/>
      </c>
      <c r="D697">
        <f>IF($AD697="","",INDEX('Per Line'!$C$2:$C$3001,$AD697)&amp;"")</f>
        <v/>
      </c>
      <c r="E697">
        <f>IF($AD697="","",INDEX('Per Line'!$B$2:$B$3001,$AD697))</f>
        <v/>
      </c>
      <c r="F697">
        <f>IF($AD697="","",INDEX('Per Line'!$D$2:$D$3001,$AD697)&amp;"")</f>
        <v/>
      </c>
      <c r="G697" s="11">
        <f>IF($AD697="","",INDEX('Per Line'!$G$2:$G$3001,$AD697))</f>
        <v/>
      </c>
      <c r="H697">
        <f>IF($AD697="","",INDEX('Per Line'!$J$2:$J$3001,$AD697)&amp;"")</f>
        <v/>
      </c>
      <c r="I697">
        <f>IF($AD697="","",INDEX('Per Line'!$H$2:$H$3001,$AD697)&amp;"")</f>
        <v/>
      </c>
      <c r="J697">
        <f>IF($AD697="","",INDEX('Per Line'!$F$2:$F$3001,$AD697)&amp;"")</f>
        <v/>
      </c>
      <c r="K697">
        <f>IF($AD697="","",INDEX('Per Line'!$K$2:$K$3001,$AD697)&amp;"")</f>
        <v/>
      </c>
      <c r="L697">
        <f>IF($AD697="","",INDEX('Per Line'!$L$2:$L$3001,$AD697)&amp;"")</f>
        <v/>
      </c>
      <c r="M697">
        <f>IF($AD697="","",INDEX('Per Line'!$M$2:$M$3001,$AD697)&amp;"")</f>
        <v/>
      </c>
      <c r="N697">
        <f>IF($AD697="","",INDEX('Per Line'!$AC$2:$AC$3001,$AD697)&amp;"")</f>
        <v/>
      </c>
      <c r="O697">
        <f>IF($AD697="","",INDEX('Per Line'!$P$2:$P$3001,$AD697))</f>
        <v/>
      </c>
      <c r="P697" s="7">
        <f>IF($AD697="","",IF(AND(ISNUMBER(Q697),Q697&gt;0,AB697&gt;Q697),O697*Q697/100+(AB697-Q697),O697*AB697/100))</f>
        <v/>
      </c>
      <c r="Q697">
        <f>IF($AD697="","",INDEX('Per Line'!$AG$2:$AG$3001,$AD697))</f>
        <v/>
      </c>
      <c r="R697">
        <f>IF($AD697="","",IF(AND(ISNUMBER(Q697),Q697&gt;0),AB697&gt;Q697,FALSE))</f>
        <v/>
      </c>
      <c r="S697" s="7">
        <f>IF($AD697="","",SUMIFS('Per Line'!$AB$2:$AB$3001,'Per Line'!$E$2:$E$3001,$B697,'Per Line'!$AQ$2:$AQ$3001,1))</f>
        <v/>
      </c>
      <c r="T697">
        <f>IF($AD697="","",Settings!$C$7)</f>
        <v/>
      </c>
      <c r="U697" s="7">
        <f>IF($AD697="","",SUMIFS('Per Line'!$AB$2:$AB$3001,'Per Line'!$E$2:$E$3001,$B697,'Per Line'!$AP$2:$AP$3001,0,'Per Line'!$AQ$2:$AQ$3001,0))</f>
        <v/>
      </c>
      <c r="V697" s="7">
        <f>IF($AD697="","",U697*T697)</f>
        <v/>
      </c>
      <c r="W697">
        <f>IF($AD697="","",Settings!$C$6)</f>
        <v/>
      </c>
      <c r="X697" s="7">
        <f>IF($AD697="","",SUMIFS('Per Line'!$AB$2:$AB$3001,'Per Line'!$E$2:$E$3001,$B697,'Per Line'!$AP$2:$AP$3001,1,'Per Line'!$AQ$2:$AQ$3001,0))</f>
        <v/>
      </c>
      <c r="Y697" s="7">
        <f>IF($AD697="","",X697*W697)</f>
        <v/>
      </c>
      <c r="Z697" s="7">
        <f>IF($AD697="","",Y697+V697)</f>
        <v/>
      </c>
      <c r="AA697" s="7">
        <f>IF($AD697="","",AB697-Z697)</f>
        <v/>
      </c>
      <c r="AB697" s="7">
        <f>IF($AD697="","",U697+X697+S697)</f>
        <v/>
      </c>
      <c r="AC697" s="7">
        <f>IF($AD697="","",AB697-Z697-P697)</f>
        <v/>
      </c>
      <c r="AD697" s="13">
        <f>IF(ROWS($AD$2:$AD697)&lt;=MAX('Per Line'!$AO$2:$AO$3001),MATCH(ROWS($AD$2:$AD697),'Per Line'!$AO$2:$AO$3001,0),"")</f>
        <v/>
      </c>
      <c r="AE697" s="14">
        <f>IF($AD697="","",P697-O697*AB697/100)</f>
        <v/>
      </c>
    </row>
    <row r="698">
      <c r="A698" s="12" t="n"/>
      <c r="B698">
        <f>IF($AD698="","",INDEX('Per Line'!$E$2:$E$3001,$AD698)&amp;"")</f>
        <v/>
      </c>
      <c r="C698">
        <f>IF($AD698="","",INDEX('Per Line'!$A$2:$A$3001,$AD698)&amp;"")</f>
        <v/>
      </c>
      <c r="D698">
        <f>IF($AD698="","",INDEX('Per Line'!$C$2:$C$3001,$AD698)&amp;"")</f>
        <v/>
      </c>
      <c r="E698">
        <f>IF($AD698="","",INDEX('Per Line'!$B$2:$B$3001,$AD698))</f>
        <v/>
      </c>
      <c r="F698">
        <f>IF($AD698="","",INDEX('Per Line'!$D$2:$D$3001,$AD698)&amp;"")</f>
        <v/>
      </c>
      <c r="G698" s="11">
        <f>IF($AD698="","",INDEX('Per Line'!$G$2:$G$3001,$AD698))</f>
        <v/>
      </c>
      <c r="H698">
        <f>IF($AD698="","",INDEX('Per Line'!$J$2:$J$3001,$AD698)&amp;"")</f>
        <v/>
      </c>
      <c r="I698">
        <f>IF($AD698="","",INDEX('Per Line'!$H$2:$H$3001,$AD698)&amp;"")</f>
        <v/>
      </c>
      <c r="J698">
        <f>IF($AD698="","",INDEX('Per Line'!$F$2:$F$3001,$AD698)&amp;"")</f>
        <v/>
      </c>
      <c r="K698">
        <f>IF($AD698="","",INDEX('Per Line'!$K$2:$K$3001,$AD698)&amp;"")</f>
        <v/>
      </c>
      <c r="L698">
        <f>IF($AD698="","",INDEX('Per Line'!$L$2:$L$3001,$AD698)&amp;"")</f>
        <v/>
      </c>
      <c r="M698">
        <f>IF($AD698="","",INDEX('Per Line'!$M$2:$M$3001,$AD698)&amp;"")</f>
        <v/>
      </c>
      <c r="N698">
        <f>IF($AD698="","",INDEX('Per Line'!$AC$2:$AC$3001,$AD698)&amp;"")</f>
        <v/>
      </c>
      <c r="O698">
        <f>IF($AD698="","",INDEX('Per Line'!$P$2:$P$3001,$AD698))</f>
        <v/>
      </c>
      <c r="P698" s="7">
        <f>IF($AD698="","",IF(AND(ISNUMBER(Q698),Q698&gt;0,AB698&gt;Q698),O698*Q698/100+(AB698-Q698),O698*AB698/100))</f>
        <v/>
      </c>
      <c r="Q698">
        <f>IF($AD698="","",INDEX('Per Line'!$AG$2:$AG$3001,$AD698))</f>
        <v/>
      </c>
      <c r="R698">
        <f>IF($AD698="","",IF(AND(ISNUMBER(Q698),Q698&gt;0),AB698&gt;Q698,FALSE))</f>
        <v/>
      </c>
      <c r="S698" s="7">
        <f>IF($AD698="","",SUMIFS('Per Line'!$AB$2:$AB$3001,'Per Line'!$E$2:$E$3001,$B698,'Per Line'!$AQ$2:$AQ$3001,1))</f>
        <v/>
      </c>
      <c r="T698">
        <f>IF($AD698="","",Settings!$C$7)</f>
        <v/>
      </c>
      <c r="U698" s="7">
        <f>IF($AD698="","",SUMIFS('Per Line'!$AB$2:$AB$3001,'Per Line'!$E$2:$E$3001,$B698,'Per Line'!$AP$2:$AP$3001,0,'Per Line'!$AQ$2:$AQ$3001,0))</f>
        <v/>
      </c>
      <c r="V698" s="7">
        <f>IF($AD698="","",U698*T698)</f>
        <v/>
      </c>
      <c r="W698">
        <f>IF($AD698="","",Settings!$C$6)</f>
        <v/>
      </c>
      <c r="X698" s="7">
        <f>IF($AD698="","",SUMIFS('Per Line'!$AB$2:$AB$3001,'Per Line'!$E$2:$E$3001,$B698,'Per Line'!$AP$2:$AP$3001,1,'Per Line'!$AQ$2:$AQ$3001,0))</f>
        <v/>
      </c>
      <c r="Y698" s="7">
        <f>IF($AD698="","",X698*W698)</f>
        <v/>
      </c>
      <c r="Z698" s="7">
        <f>IF($AD698="","",Y698+V698)</f>
        <v/>
      </c>
      <c r="AA698" s="7">
        <f>IF($AD698="","",AB698-Z698)</f>
        <v/>
      </c>
      <c r="AB698" s="7">
        <f>IF($AD698="","",U698+X698+S698)</f>
        <v/>
      </c>
      <c r="AC698" s="7">
        <f>IF($AD698="","",AB698-Z698-P698)</f>
        <v/>
      </c>
      <c r="AD698" s="13">
        <f>IF(ROWS($AD$2:$AD698)&lt;=MAX('Per Line'!$AO$2:$AO$3001),MATCH(ROWS($AD$2:$AD698),'Per Line'!$AO$2:$AO$3001,0),"")</f>
        <v/>
      </c>
      <c r="AE698" s="14">
        <f>IF($AD698="","",P698-O698*AB698/100)</f>
        <v/>
      </c>
    </row>
    <row r="699">
      <c r="A699" s="12" t="n"/>
      <c r="B699">
        <f>IF($AD699="","",INDEX('Per Line'!$E$2:$E$3001,$AD699)&amp;"")</f>
        <v/>
      </c>
      <c r="C699">
        <f>IF($AD699="","",INDEX('Per Line'!$A$2:$A$3001,$AD699)&amp;"")</f>
        <v/>
      </c>
      <c r="D699">
        <f>IF($AD699="","",INDEX('Per Line'!$C$2:$C$3001,$AD699)&amp;"")</f>
        <v/>
      </c>
      <c r="E699">
        <f>IF($AD699="","",INDEX('Per Line'!$B$2:$B$3001,$AD699))</f>
        <v/>
      </c>
      <c r="F699">
        <f>IF($AD699="","",INDEX('Per Line'!$D$2:$D$3001,$AD699)&amp;"")</f>
        <v/>
      </c>
      <c r="G699" s="11">
        <f>IF($AD699="","",INDEX('Per Line'!$G$2:$G$3001,$AD699))</f>
        <v/>
      </c>
      <c r="H699">
        <f>IF($AD699="","",INDEX('Per Line'!$J$2:$J$3001,$AD699)&amp;"")</f>
        <v/>
      </c>
      <c r="I699">
        <f>IF($AD699="","",INDEX('Per Line'!$H$2:$H$3001,$AD699)&amp;"")</f>
        <v/>
      </c>
      <c r="J699">
        <f>IF($AD699="","",INDEX('Per Line'!$F$2:$F$3001,$AD699)&amp;"")</f>
        <v/>
      </c>
      <c r="K699">
        <f>IF($AD699="","",INDEX('Per Line'!$K$2:$K$3001,$AD699)&amp;"")</f>
        <v/>
      </c>
      <c r="L699">
        <f>IF($AD699="","",INDEX('Per Line'!$L$2:$L$3001,$AD699)&amp;"")</f>
        <v/>
      </c>
      <c r="M699">
        <f>IF($AD699="","",INDEX('Per Line'!$M$2:$M$3001,$AD699)&amp;"")</f>
        <v/>
      </c>
      <c r="N699">
        <f>IF($AD699="","",INDEX('Per Line'!$AC$2:$AC$3001,$AD699)&amp;"")</f>
        <v/>
      </c>
      <c r="O699">
        <f>IF($AD699="","",INDEX('Per Line'!$P$2:$P$3001,$AD699))</f>
        <v/>
      </c>
      <c r="P699" s="7">
        <f>IF($AD699="","",IF(AND(ISNUMBER(Q699),Q699&gt;0,AB699&gt;Q699),O699*Q699/100+(AB699-Q699),O699*AB699/100))</f>
        <v/>
      </c>
      <c r="Q699">
        <f>IF($AD699="","",INDEX('Per Line'!$AG$2:$AG$3001,$AD699))</f>
        <v/>
      </c>
      <c r="R699">
        <f>IF($AD699="","",IF(AND(ISNUMBER(Q699),Q699&gt;0),AB699&gt;Q699,FALSE))</f>
        <v/>
      </c>
      <c r="S699" s="7">
        <f>IF($AD699="","",SUMIFS('Per Line'!$AB$2:$AB$3001,'Per Line'!$E$2:$E$3001,$B699,'Per Line'!$AQ$2:$AQ$3001,1))</f>
        <v/>
      </c>
      <c r="T699">
        <f>IF($AD699="","",Settings!$C$7)</f>
        <v/>
      </c>
      <c r="U699" s="7">
        <f>IF($AD699="","",SUMIFS('Per Line'!$AB$2:$AB$3001,'Per Line'!$E$2:$E$3001,$B699,'Per Line'!$AP$2:$AP$3001,0,'Per Line'!$AQ$2:$AQ$3001,0))</f>
        <v/>
      </c>
      <c r="V699" s="7">
        <f>IF($AD699="","",U699*T699)</f>
        <v/>
      </c>
      <c r="W699">
        <f>IF($AD699="","",Settings!$C$6)</f>
        <v/>
      </c>
      <c r="X699" s="7">
        <f>IF($AD699="","",SUMIFS('Per Line'!$AB$2:$AB$3001,'Per Line'!$E$2:$E$3001,$B699,'Per Line'!$AP$2:$AP$3001,1,'Per Line'!$AQ$2:$AQ$3001,0))</f>
        <v/>
      </c>
      <c r="Y699" s="7">
        <f>IF($AD699="","",X699*W699)</f>
        <v/>
      </c>
      <c r="Z699" s="7">
        <f>IF($AD699="","",Y699+V699)</f>
        <v/>
      </c>
      <c r="AA699" s="7">
        <f>IF($AD699="","",AB699-Z699)</f>
        <v/>
      </c>
      <c r="AB699" s="7">
        <f>IF($AD699="","",U699+X699+S699)</f>
        <v/>
      </c>
      <c r="AC699" s="7">
        <f>IF($AD699="","",AB699-Z699-P699)</f>
        <v/>
      </c>
      <c r="AD699" s="13">
        <f>IF(ROWS($AD$2:$AD699)&lt;=MAX('Per Line'!$AO$2:$AO$3001),MATCH(ROWS($AD$2:$AD699),'Per Line'!$AO$2:$AO$3001,0),"")</f>
        <v/>
      </c>
      <c r="AE699" s="14">
        <f>IF($AD699="","",P699-O699*AB699/100)</f>
        <v/>
      </c>
    </row>
    <row r="700">
      <c r="A700" s="12" t="n"/>
      <c r="B700">
        <f>IF($AD700="","",INDEX('Per Line'!$E$2:$E$3001,$AD700)&amp;"")</f>
        <v/>
      </c>
      <c r="C700">
        <f>IF($AD700="","",INDEX('Per Line'!$A$2:$A$3001,$AD700)&amp;"")</f>
        <v/>
      </c>
      <c r="D700">
        <f>IF($AD700="","",INDEX('Per Line'!$C$2:$C$3001,$AD700)&amp;"")</f>
        <v/>
      </c>
      <c r="E700">
        <f>IF($AD700="","",INDEX('Per Line'!$B$2:$B$3001,$AD700))</f>
        <v/>
      </c>
      <c r="F700">
        <f>IF($AD700="","",INDEX('Per Line'!$D$2:$D$3001,$AD700)&amp;"")</f>
        <v/>
      </c>
      <c r="G700" s="11">
        <f>IF($AD700="","",INDEX('Per Line'!$G$2:$G$3001,$AD700))</f>
        <v/>
      </c>
      <c r="H700">
        <f>IF($AD700="","",INDEX('Per Line'!$J$2:$J$3001,$AD700)&amp;"")</f>
        <v/>
      </c>
      <c r="I700">
        <f>IF($AD700="","",INDEX('Per Line'!$H$2:$H$3001,$AD700)&amp;"")</f>
        <v/>
      </c>
      <c r="J700">
        <f>IF($AD700="","",INDEX('Per Line'!$F$2:$F$3001,$AD700)&amp;"")</f>
        <v/>
      </c>
      <c r="K700">
        <f>IF($AD700="","",INDEX('Per Line'!$K$2:$K$3001,$AD700)&amp;"")</f>
        <v/>
      </c>
      <c r="L700">
        <f>IF($AD700="","",INDEX('Per Line'!$L$2:$L$3001,$AD700)&amp;"")</f>
        <v/>
      </c>
      <c r="M700">
        <f>IF($AD700="","",INDEX('Per Line'!$M$2:$M$3001,$AD700)&amp;"")</f>
        <v/>
      </c>
      <c r="N700">
        <f>IF($AD700="","",INDEX('Per Line'!$AC$2:$AC$3001,$AD700)&amp;"")</f>
        <v/>
      </c>
      <c r="O700">
        <f>IF($AD700="","",INDEX('Per Line'!$P$2:$P$3001,$AD700))</f>
        <v/>
      </c>
      <c r="P700" s="7">
        <f>IF($AD700="","",IF(AND(ISNUMBER(Q700),Q700&gt;0,AB700&gt;Q700),O700*Q700/100+(AB700-Q700),O700*AB700/100))</f>
        <v/>
      </c>
      <c r="Q700">
        <f>IF($AD700="","",INDEX('Per Line'!$AG$2:$AG$3001,$AD700))</f>
        <v/>
      </c>
      <c r="R700">
        <f>IF($AD700="","",IF(AND(ISNUMBER(Q700),Q700&gt;0),AB700&gt;Q700,FALSE))</f>
        <v/>
      </c>
      <c r="S700" s="7">
        <f>IF($AD700="","",SUMIFS('Per Line'!$AB$2:$AB$3001,'Per Line'!$E$2:$E$3001,$B700,'Per Line'!$AQ$2:$AQ$3001,1))</f>
        <v/>
      </c>
      <c r="T700">
        <f>IF($AD700="","",Settings!$C$7)</f>
        <v/>
      </c>
      <c r="U700" s="7">
        <f>IF($AD700="","",SUMIFS('Per Line'!$AB$2:$AB$3001,'Per Line'!$E$2:$E$3001,$B700,'Per Line'!$AP$2:$AP$3001,0,'Per Line'!$AQ$2:$AQ$3001,0))</f>
        <v/>
      </c>
      <c r="V700" s="7">
        <f>IF($AD700="","",U700*T700)</f>
        <v/>
      </c>
      <c r="W700">
        <f>IF($AD700="","",Settings!$C$6)</f>
        <v/>
      </c>
      <c r="X700" s="7">
        <f>IF($AD700="","",SUMIFS('Per Line'!$AB$2:$AB$3001,'Per Line'!$E$2:$E$3001,$B700,'Per Line'!$AP$2:$AP$3001,1,'Per Line'!$AQ$2:$AQ$3001,0))</f>
        <v/>
      </c>
      <c r="Y700" s="7">
        <f>IF($AD700="","",X700*W700)</f>
        <v/>
      </c>
      <c r="Z700" s="7">
        <f>IF($AD700="","",Y700+V700)</f>
        <v/>
      </c>
      <c r="AA700" s="7">
        <f>IF($AD700="","",AB700-Z700)</f>
        <v/>
      </c>
      <c r="AB700" s="7">
        <f>IF($AD700="","",U700+X700+S700)</f>
        <v/>
      </c>
      <c r="AC700" s="7">
        <f>IF($AD700="","",AB700-Z700-P700)</f>
        <v/>
      </c>
      <c r="AD700" s="13">
        <f>IF(ROWS($AD$2:$AD700)&lt;=MAX('Per Line'!$AO$2:$AO$3001),MATCH(ROWS($AD$2:$AD700),'Per Line'!$AO$2:$AO$3001,0),"")</f>
        <v/>
      </c>
      <c r="AE700" s="14">
        <f>IF($AD700="","",P700-O700*AB700/100)</f>
        <v/>
      </c>
    </row>
    <row r="701">
      <c r="A701" s="12" t="n"/>
      <c r="B701">
        <f>IF($AD701="","",INDEX('Per Line'!$E$2:$E$3001,$AD701)&amp;"")</f>
        <v/>
      </c>
      <c r="C701">
        <f>IF($AD701="","",INDEX('Per Line'!$A$2:$A$3001,$AD701)&amp;"")</f>
        <v/>
      </c>
      <c r="D701">
        <f>IF($AD701="","",INDEX('Per Line'!$C$2:$C$3001,$AD701)&amp;"")</f>
        <v/>
      </c>
      <c r="E701">
        <f>IF($AD701="","",INDEX('Per Line'!$B$2:$B$3001,$AD701))</f>
        <v/>
      </c>
      <c r="F701">
        <f>IF($AD701="","",INDEX('Per Line'!$D$2:$D$3001,$AD701)&amp;"")</f>
        <v/>
      </c>
      <c r="G701" s="11">
        <f>IF($AD701="","",INDEX('Per Line'!$G$2:$G$3001,$AD701))</f>
        <v/>
      </c>
      <c r="H701">
        <f>IF($AD701="","",INDEX('Per Line'!$J$2:$J$3001,$AD701)&amp;"")</f>
        <v/>
      </c>
      <c r="I701">
        <f>IF($AD701="","",INDEX('Per Line'!$H$2:$H$3001,$AD701)&amp;"")</f>
        <v/>
      </c>
      <c r="J701">
        <f>IF($AD701="","",INDEX('Per Line'!$F$2:$F$3001,$AD701)&amp;"")</f>
        <v/>
      </c>
      <c r="K701">
        <f>IF($AD701="","",INDEX('Per Line'!$K$2:$K$3001,$AD701)&amp;"")</f>
        <v/>
      </c>
      <c r="L701">
        <f>IF($AD701="","",INDEX('Per Line'!$L$2:$L$3001,$AD701)&amp;"")</f>
        <v/>
      </c>
      <c r="M701">
        <f>IF($AD701="","",INDEX('Per Line'!$M$2:$M$3001,$AD701)&amp;"")</f>
        <v/>
      </c>
      <c r="N701">
        <f>IF($AD701="","",INDEX('Per Line'!$AC$2:$AC$3001,$AD701)&amp;"")</f>
        <v/>
      </c>
      <c r="O701">
        <f>IF($AD701="","",INDEX('Per Line'!$P$2:$P$3001,$AD701))</f>
        <v/>
      </c>
      <c r="P701" s="7">
        <f>IF($AD701="","",IF(AND(ISNUMBER(Q701),Q701&gt;0,AB701&gt;Q701),O701*Q701/100+(AB701-Q701),O701*AB701/100))</f>
        <v/>
      </c>
      <c r="Q701">
        <f>IF($AD701="","",INDEX('Per Line'!$AG$2:$AG$3001,$AD701))</f>
        <v/>
      </c>
      <c r="R701">
        <f>IF($AD701="","",IF(AND(ISNUMBER(Q701),Q701&gt;0),AB701&gt;Q701,FALSE))</f>
        <v/>
      </c>
      <c r="S701" s="7">
        <f>IF($AD701="","",SUMIFS('Per Line'!$AB$2:$AB$3001,'Per Line'!$E$2:$E$3001,$B701,'Per Line'!$AQ$2:$AQ$3001,1))</f>
        <v/>
      </c>
      <c r="T701">
        <f>IF($AD701="","",Settings!$C$7)</f>
        <v/>
      </c>
      <c r="U701" s="7">
        <f>IF($AD701="","",SUMIFS('Per Line'!$AB$2:$AB$3001,'Per Line'!$E$2:$E$3001,$B701,'Per Line'!$AP$2:$AP$3001,0,'Per Line'!$AQ$2:$AQ$3001,0))</f>
        <v/>
      </c>
      <c r="V701" s="7">
        <f>IF($AD701="","",U701*T701)</f>
        <v/>
      </c>
      <c r="W701">
        <f>IF($AD701="","",Settings!$C$6)</f>
        <v/>
      </c>
      <c r="X701" s="7">
        <f>IF($AD701="","",SUMIFS('Per Line'!$AB$2:$AB$3001,'Per Line'!$E$2:$E$3001,$B701,'Per Line'!$AP$2:$AP$3001,1,'Per Line'!$AQ$2:$AQ$3001,0))</f>
        <v/>
      </c>
      <c r="Y701" s="7">
        <f>IF($AD701="","",X701*W701)</f>
        <v/>
      </c>
      <c r="Z701" s="7">
        <f>IF($AD701="","",Y701+V701)</f>
        <v/>
      </c>
      <c r="AA701" s="7">
        <f>IF($AD701="","",AB701-Z701)</f>
        <v/>
      </c>
      <c r="AB701" s="7">
        <f>IF($AD701="","",U701+X701+S701)</f>
        <v/>
      </c>
      <c r="AC701" s="7">
        <f>IF($AD701="","",AB701-Z701-P701)</f>
        <v/>
      </c>
      <c r="AD701" s="13">
        <f>IF(ROWS($AD$2:$AD701)&lt;=MAX('Per Line'!$AO$2:$AO$3001),MATCH(ROWS($AD$2:$AD701),'Per Line'!$AO$2:$AO$3001,0),"")</f>
        <v/>
      </c>
      <c r="AE701" s="14">
        <f>IF($AD701="","",P701-O701*AB701/100)</f>
        <v/>
      </c>
    </row>
    <row r="702">
      <c r="A702" s="12" t="n"/>
      <c r="B702">
        <f>IF($AD702="","",INDEX('Per Line'!$E$2:$E$3001,$AD702)&amp;"")</f>
        <v/>
      </c>
      <c r="C702">
        <f>IF($AD702="","",INDEX('Per Line'!$A$2:$A$3001,$AD702)&amp;"")</f>
        <v/>
      </c>
      <c r="D702">
        <f>IF($AD702="","",INDEX('Per Line'!$C$2:$C$3001,$AD702)&amp;"")</f>
        <v/>
      </c>
      <c r="E702">
        <f>IF($AD702="","",INDEX('Per Line'!$B$2:$B$3001,$AD702))</f>
        <v/>
      </c>
      <c r="F702">
        <f>IF($AD702="","",INDEX('Per Line'!$D$2:$D$3001,$AD702)&amp;"")</f>
        <v/>
      </c>
      <c r="G702" s="11">
        <f>IF($AD702="","",INDEX('Per Line'!$G$2:$G$3001,$AD702))</f>
        <v/>
      </c>
      <c r="H702">
        <f>IF($AD702="","",INDEX('Per Line'!$J$2:$J$3001,$AD702)&amp;"")</f>
        <v/>
      </c>
      <c r="I702">
        <f>IF($AD702="","",INDEX('Per Line'!$H$2:$H$3001,$AD702)&amp;"")</f>
        <v/>
      </c>
      <c r="J702">
        <f>IF($AD702="","",INDEX('Per Line'!$F$2:$F$3001,$AD702)&amp;"")</f>
        <v/>
      </c>
      <c r="K702">
        <f>IF($AD702="","",INDEX('Per Line'!$K$2:$K$3001,$AD702)&amp;"")</f>
        <v/>
      </c>
      <c r="L702">
        <f>IF($AD702="","",INDEX('Per Line'!$L$2:$L$3001,$AD702)&amp;"")</f>
        <v/>
      </c>
      <c r="M702">
        <f>IF($AD702="","",INDEX('Per Line'!$M$2:$M$3001,$AD702)&amp;"")</f>
        <v/>
      </c>
      <c r="N702">
        <f>IF($AD702="","",INDEX('Per Line'!$AC$2:$AC$3001,$AD702)&amp;"")</f>
        <v/>
      </c>
      <c r="O702">
        <f>IF($AD702="","",INDEX('Per Line'!$P$2:$P$3001,$AD702))</f>
        <v/>
      </c>
      <c r="P702" s="7">
        <f>IF($AD702="","",IF(AND(ISNUMBER(Q702),Q702&gt;0,AB702&gt;Q702),O702*Q702/100+(AB702-Q702),O702*AB702/100))</f>
        <v/>
      </c>
      <c r="Q702">
        <f>IF($AD702="","",INDEX('Per Line'!$AG$2:$AG$3001,$AD702))</f>
        <v/>
      </c>
      <c r="R702">
        <f>IF($AD702="","",IF(AND(ISNUMBER(Q702),Q702&gt;0),AB702&gt;Q702,FALSE))</f>
        <v/>
      </c>
      <c r="S702" s="7">
        <f>IF($AD702="","",SUMIFS('Per Line'!$AB$2:$AB$3001,'Per Line'!$E$2:$E$3001,$B702,'Per Line'!$AQ$2:$AQ$3001,1))</f>
        <v/>
      </c>
      <c r="T702">
        <f>IF($AD702="","",Settings!$C$7)</f>
        <v/>
      </c>
      <c r="U702" s="7">
        <f>IF($AD702="","",SUMIFS('Per Line'!$AB$2:$AB$3001,'Per Line'!$E$2:$E$3001,$B702,'Per Line'!$AP$2:$AP$3001,0,'Per Line'!$AQ$2:$AQ$3001,0))</f>
        <v/>
      </c>
      <c r="V702" s="7">
        <f>IF($AD702="","",U702*T702)</f>
        <v/>
      </c>
      <c r="W702">
        <f>IF($AD702="","",Settings!$C$6)</f>
        <v/>
      </c>
      <c r="X702" s="7">
        <f>IF($AD702="","",SUMIFS('Per Line'!$AB$2:$AB$3001,'Per Line'!$E$2:$E$3001,$B702,'Per Line'!$AP$2:$AP$3001,1,'Per Line'!$AQ$2:$AQ$3001,0))</f>
        <v/>
      </c>
      <c r="Y702" s="7">
        <f>IF($AD702="","",X702*W702)</f>
        <v/>
      </c>
      <c r="Z702" s="7">
        <f>IF($AD702="","",Y702+V702)</f>
        <v/>
      </c>
      <c r="AA702" s="7">
        <f>IF($AD702="","",AB702-Z702)</f>
        <v/>
      </c>
      <c r="AB702" s="7">
        <f>IF($AD702="","",U702+X702+S702)</f>
        <v/>
      </c>
      <c r="AC702" s="7">
        <f>IF($AD702="","",AB702-Z702-P702)</f>
        <v/>
      </c>
      <c r="AD702" s="13">
        <f>IF(ROWS($AD$2:$AD702)&lt;=MAX('Per Line'!$AO$2:$AO$3001),MATCH(ROWS($AD$2:$AD702),'Per Line'!$AO$2:$AO$3001,0),"")</f>
        <v/>
      </c>
      <c r="AE702" s="14">
        <f>IF($AD702="","",P702-O702*AB702/100)</f>
        <v/>
      </c>
    </row>
    <row r="703">
      <c r="A703" s="12" t="n"/>
      <c r="B703">
        <f>IF($AD703="","",INDEX('Per Line'!$E$2:$E$3001,$AD703)&amp;"")</f>
        <v/>
      </c>
      <c r="C703">
        <f>IF($AD703="","",INDEX('Per Line'!$A$2:$A$3001,$AD703)&amp;"")</f>
        <v/>
      </c>
      <c r="D703">
        <f>IF($AD703="","",INDEX('Per Line'!$C$2:$C$3001,$AD703)&amp;"")</f>
        <v/>
      </c>
      <c r="E703">
        <f>IF($AD703="","",INDEX('Per Line'!$B$2:$B$3001,$AD703))</f>
        <v/>
      </c>
      <c r="F703">
        <f>IF($AD703="","",INDEX('Per Line'!$D$2:$D$3001,$AD703)&amp;"")</f>
        <v/>
      </c>
      <c r="G703" s="11">
        <f>IF($AD703="","",INDEX('Per Line'!$G$2:$G$3001,$AD703))</f>
        <v/>
      </c>
      <c r="H703">
        <f>IF($AD703="","",INDEX('Per Line'!$J$2:$J$3001,$AD703)&amp;"")</f>
        <v/>
      </c>
      <c r="I703">
        <f>IF($AD703="","",INDEX('Per Line'!$H$2:$H$3001,$AD703)&amp;"")</f>
        <v/>
      </c>
      <c r="J703">
        <f>IF($AD703="","",INDEX('Per Line'!$F$2:$F$3001,$AD703)&amp;"")</f>
        <v/>
      </c>
      <c r="K703">
        <f>IF($AD703="","",INDEX('Per Line'!$K$2:$K$3001,$AD703)&amp;"")</f>
        <v/>
      </c>
      <c r="L703">
        <f>IF($AD703="","",INDEX('Per Line'!$L$2:$L$3001,$AD703)&amp;"")</f>
        <v/>
      </c>
      <c r="M703">
        <f>IF($AD703="","",INDEX('Per Line'!$M$2:$M$3001,$AD703)&amp;"")</f>
        <v/>
      </c>
      <c r="N703">
        <f>IF($AD703="","",INDEX('Per Line'!$AC$2:$AC$3001,$AD703)&amp;"")</f>
        <v/>
      </c>
      <c r="O703">
        <f>IF($AD703="","",INDEX('Per Line'!$P$2:$P$3001,$AD703))</f>
        <v/>
      </c>
      <c r="P703" s="7">
        <f>IF($AD703="","",IF(AND(ISNUMBER(Q703),Q703&gt;0,AB703&gt;Q703),O703*Q703/100+(AB703-Q703),O703*AB703/100))</f>
        <v/>
      </c>
      <c r="Q703">
        <f>IF($AD703="","",INDEX('Per Line'!$AG$2:$AG$3001,$AD703))</f>
        <v/>
      </c>
      <c r="R703">
        <f>IF($AD703="","",IF(AND(ISNUMBER(Q703),Q703&gt;0),AB703&gt;Q703,FALSE))</f>
        <v/>
      </c>
      <c r="S703" s="7">
        <f>IF($AD703="","",SUMIFS('Per Line'!$AB$2:$AB$3001,'Per Line'!$E$2:$E$3001,$B703,'Per Line'!$AQ$2:$AQ$3001,1))</f>
        <v/>
      </c>
      <c r="T703">
        <f>IF($AD703="","",Settings!$C$7)</f>
        <v/>
      </c>
      <c r="U703" s="7">
        <f>IF($AD703="","",SUMIFS('Per Line'!$AB$2:$AB$3001,'Per Line'!$E$2:$E$3001,$B703,'Per Line'!$AP$2:$AP$3001,0,'Per Line'!$AQ$2:$AQ$3001,0))</f>
        <v/>
      </c>
      <c r="V703" s="7">
        <f>IF($AD703="","",U703*T703)</f>
        <v/>
      </c>
      <c r="W703">
        <f>IF($AD703="","",Settings!$C$6)</f>
        <v/>
      </c>
      <c r="X703" s="7">
        <f>IF($AD703="","",SUMIFS('Per Line'!$AB$2:$AB$3001,'Per Line'!$E$2:$E$3001,$B703,'Per Line'!$AP$2:$AP$3001,1,'Per Line'!$AQ$2:$AQ$3001,0))</f>
        <v/>
      </c>
      <c r="Y703" s="7">
        <f>IF($AD703="","",X703*W703)</f>
        <v/>
      </c>
      <c r="Z703" s="7">
        <f>IF($AD703="","",Y703+V703)</f>
        <v/>
      </c>
      <c r="AA703" s="7">
        <f>IF($AD703="","",AB703-Z703)</f>
        <v/>
      </c>
      <c r="AB703" s="7">
        <f>IF($AD703="","",U703+X703+S703)</f>
        <v/>
      </c>
      <c r="AC703" s="7">
        <f>IF($AD703="","",AB703-Z703-P703)</f>
        <v/>
      </c>
      <c r="AD703" s="13">
        <f>IF(ROWS($AD$2:$AD703)&lt;=MAX('Per Line'!$AO$2:$AO$3001),MATCH(ROWS($AD$2:$AD703),'Per Line'!$AO$2:$AO$3001,0),"")</f>
        <v/>
      </c>
      <c r="AE703" s="14">
        <f>IF($AD703="","",P703-O703*AB703/100)</f>
        <v/>
      </c>
    </row>
    <row r="704">
      <c r="A704" s="12" t="n"/>
      <c r="B704">
        <f>IF($AD704="","",INDEX('Per Line'!$E$2:$E$3001,$AD704)&amp;"")</f>
        <v/>
      </c>
      <c r="C704">
        <f>IF($AD704="","",INDEX('Per Line'!$A$2:$A$3001,$AD704)&amp;"")</f>
        <v/>
      </c>
      <c r="D704">
        <f>IF($AD704="","",INDEX('Per Line'!$C$2:$C$3001,$AD704)&amp;"")</f>
        <v/>
      </c>
      <c r="E704">
        <f>IF($AD704="","",INDEX('Per Line'!$B$2:$B$3001,$AD704))</f>
        <v/>
      </c>
      <c r="F704">
        <f>IF($AD704="","",INDEX('Per Line'!$D$2:$D$3001,$AD704)&amp;"")</f>
        <v/>
      </c>
      <c r="G704" s="11">
        <f>IF($AD704="","",INDEX('Per Line'!$G$2:$G$3001,$AD704))</f>
        <v/>
      </c>
      <c r="H704">
        <f>IF($AD704="","",INDEX('Per Line'!$J$2:$J$3001,$AD704)&amp;"")</f>
        <v/>
      </c>
      <c r="I704">
        <f>IF($AD704="","",INDEX('Per Line'!$H$2:$H$3001,$AD704)&amp;"")</f>
        <v/>
      </c>
      <c r="J704">
        <f>IF($AD704="","",INDEX('Per Line'!$F$2:$F$3001,$AD704)&amp;"")</f>
        <v/>
      </c>
      <c r="K704">
        <f>IF($AD704="","",INDEX('Per Line'!$K$2:$K$3001,$AD704)&amp;"")</f>
        <v/>
      </c>
      <c r="L704">
        <f>IF($AD704="","",INDEX('Per Line'!$L$2:$L$3001,$AD704)&amp;"")</f>
        <v/>
      </c>
      <c r="M704">
        <f>IF($AD704="","",INDEX('Per Line'!$M$2:$M$3001,$AD704)&amp;"")</f>
        <v/>
      </c>
      <c r="N704">
        <f>IF($AD704="","",INDEX('Per Line'!$AC$2:$AC$3001,$AD704)&amp;"")</f>
        <v/>
      </c>
      <c r="O704">
        <f>IF($AD704="","",INDEX('Per Line'!$P$2:$P$3001,$AD704))</f>
        <v/>
      </c>
      <c r="P704" s="7">
        <f>IF($AD704="","",IF(AND(ISNUMBER(Q704),Q704&gt;0,AB704&gt;Q704),O704*Q704/100+(AB704-Q704),O704*AB704/100))</f>
        <v/>
      </c>
      <c r="Q704">
        <f>IF($AD704="","",INDEX('Per Line'!$AG$2:$AG$3001,$AD704))</f>
        <v/>
      </c>
      <c r="R704">
        <f>IF($AD704="","",IF(AND(ISNUMBER(Q704),Q704&gt;0),AB704&gt;Q704,FALSE))</f>
        <v/>
      </c>
      <c r="S704" s="7">
        <f>IF($AD704="","",SUMIFS('Per Line'!$AB$2:$AB$3001,'Per Line'!$E$2:$E$3001,$B704,'Per Line'!$AQ$2:$AQ$3001,1))</f>
        <v/>
      </c>
      <c r="T704">
        <f>IF($AD704="","",Settings!$C$7)</f>
        <v/>
      </c>
      <c r="U704" s="7">
        <f>IF($AD704="","",SUMIFS('Per Line'!$AB$2:$AB$3001,'Per Line'!$E$2:$E$3001,$B704,'Per Line'!$AP$2:$AP$3001,0,'Per Line'!$AQ$2:$AQ$3001,0))</f>
        <v/>
      </c>
      <c r="V704" s="7">
        <f>IF($AD704="","",U704*T704)</f>
        <v/>
      </c>
      <c r="W704">
        <f>IF($AD704="","",Settings!$C$6)</f>
        <v/>
      </c>
      <c r="X704" s="7">
        <f>IF($AD704="","",SUMIFS('Per Line'!$AB$2:$AB$3001,'Per Line'!$E$2:$E$3001,$B704,'Per Line'!$AP$2:$AP$3001,1,'Per Line'!$AQ$2:$AQ$3001,0))</f>
        <v/>
      </c>
      <c r="Y704" s="7">
        <f>IF($AD704="","",X704*W704)</f>
        <v/>
      </c>
      <c r="Z704" s="7">
        <f>IF($AD704="","",Y704+V704)</f>
        <v/>
      </c>
      <c r="AA704" s="7">
        <f>IF($AD704="","",AB704-Z704)</f>
        <v/>
      </c>
      <c r="AB704" s="7">
        <f>IF($AD704="","",U704+X704+S704)</f>
        <v/>
      </c>
      <c r="AC704" s="7">
        <f>IF($AD704="","",AB704-Z704-P704)</f>
        <v/>
      </c>
      <c r="AD704" s="13">
        <f>IF(ROWS($AD$2:$AD704)&lt;=MAX('Per Line'!$AO$2:$AO$3001),MATCH(ROWS($AD$2:$AD704),'Per Line'!$AO$2:$AO$3001,0),"")</f>
        <v/>
      </c>
      <c r="AE704" s="14">
        <f>IF($AD704="","",P704-O704*AB704/100)</f>
        <v/>
      </c>
    </row>
    <row r="705">
      <c r="A705" s="12" t="n"/>
      <c r="B705">
        <f>IF($AD705="","",INDEX('Per Line'!$E$2:$E$3001,$AD705)&amp;"")</f>
        <v/>
      </c>
      <c r="C705">
        <f>IF($AD705="","",INDEX('Per Line'!$A$2:$A$3001,$AD705)&amp;"")</f>
        <v/>
      </c>
      <c r="D705">
        <f>IF($AD705="","",INDEX('Per Line'!$C$2:$C$3001,$AD705)&amp;"")</f>
        <v/>
      </c>
      <c r="E705">
        <f>IF($AD705="","",INDEX('Per Line'!$B$2:$B$3001,$AD705))</f>
        <v/>
      </c>
      <c r="F705">
        <f>IF($AD705="","",INDEX('Per Line'!$D$2:$D$3001,$AD705)&amp;"")</f>
        <v/>
      </c>
      <c r="G705" s="11">
        <f>IF($AD705="","",INDEX('Per Line'!$G$2:$G$3001,$AD705))</f>
        <v/>
      </c>
      <c r="H705">
        <f>IF($AD705="","",INDEX('Per Line'!$J$2:$J$3001,$AD705)&amp;"")</f>
        <v/>
      </c>
      <c r="I705">
        <f>IF($AD705="","",INDEX('Per Line'!$H$2:$H$3001,$AD705)&amp;"")</f>
        <v/>
      </c>
      <c r="J705">
        <f>IF($AD705="","",INDEX('Per Line'!$F$2:$F$3001,$AD705)&amp;"")</f>
        <v/>
      </c>
      <c r="K705">
        <f>IF($AD705="","",INDEX('Per Line'!$K$2:$K$3001,$AD705)&amp;"")</f>
        <v/>
      </c>
      <c r="L705">
        <f>IF($AD705="","",INDEX('Per Line'!$L$2:$L$3001,$AD705)&amp;"")</f>
        <v/>
      </c>
      <c r="M705">
        <f>IF($AD705="","",INDEX('Per Line'!$M$2:$M$3001,$AD705)&amp;"")</f>
        <v/>
      </c>
      <c r="N705">
        <f>IF($AD705="","",INDEX('Per Line'!$AC$2:$AC$3001,$AD705)&amp;"")</f>
        <v/>
      </c>
      <c r="O705">
        <f>IF($AD705="","",INDEX('Per Line'!$P$2:$P$3001,$AD705))</f>
        <v/>
      </c>
      <c r="P705" s="7">
        <f>IF($AD705="","",IF(AND(ISNUMBER(Q705),Q705&gt;0,AB705&gt;Q705),O705*Q705/100+(AB705-Q705),O705*AB705/100))</f>
        <v/>
      </c>
      <c r="Q705">
        <f>IF($AD705="","",INDEX('Per Line'!$AG$2:$AG$3001,$AD705))</f>
        <v/>
      </c>
      <c r="R705">
        <f>IF($AD705="","",IF(AND(ISNUMBER(Q705),Q705&gt;0),AB705&gt;Q705,FALSE))</f>
        <v/>
      </c>
      <c r="S705" s="7">
        <f>IF($AD705="","",SUMIFS('Per Line'!$AB$2:$AB$3001,'Per Line'!$E$2:$E$3001,$B705,'Per Line'!$AQ$2:$AQ$3001,1))</f>
        <v/>
      </c>
      <c r="T705">
        <f>IF($AD705="","",Settings!$C$7)</f>
        <v/>
      </c>
      <c r="U705" s="7">
        <f>IF($AD705="","",SUMIFS('Per Line'!$AB$2:$AB$3001,'Per Line'!$E$2:$E$3001,$B705,'Per Line'!$AP$2:$AP$3001,0,'Per Line'!$AQ$2:$AQ$3001,0))</f>
        <v/>
      </c>
      <c r="V705" s="7">
        <f>IF($AD705="","",U705*T705)</f>
        <v/>
      </c>
      <c r="W705">
        <f>IF($AD705="","",Settings!$C$6)</f>
        <v/>
      </c>
      <c r="X705" s="7">
        <f>IF($AD705="","",SUMIFS('Per Line'!$AB$2:$AB$3001,'Per Line'!$E$2:$E$3001,$B705,'Per Line'!$AP$2:$AP$3001,1,'Per Line'!$AQ$2:$AQ$3001,0))</f>
        <v/>
      </c>
      <c r="Y705" s="7">
        <f>IF($AD705="","",X705*W705)</f>
        <v/>
      </c>
      <c r="Z705" s="7">
        <f>IF($AD705="","",Y705+V705)</f>
        <v/>
      </c>
      <c r="AA705" s="7">
        <f>IF($AD705="","",AB705-Z705)</f>
        <v/>
      </c>
      <c r="AB705" s="7">
        <f>IF($AD705="","",U705+X705+S705)</f>
        <v/>
      </c>
      <c r="AC705" s="7">
        <f>IF($AD705="","",AB705-Z705-P705)</f>
        <v/>
      </c>
      <c r="AD705" s="13">
        <f>IF(ROWS($AD$2:$AD705)&lt;=MAX('Per Line'!$AO$2:$AO$3001),MATCH(ROWS($AD$2:$AD705),'Per Line'!$AO$2:$AO$3001,0),"")</f>
        <v/>
      </c>
      <c r="AE705" s="14">
        <f>IF($AD705="","",P705-O705*AB705/100)</f>
        <v/>
      </c>
    </row>
    <row r="706">
      <c r="A706" s="12" t="n"/>
      <c r="B706">
        <f>IF($AD706="","",INDEX('Per Line'!$E$2:$E$3001,$AD706)&amp;"")</f>
        <v/>
      </c>
      <c r="C706">
        <f>IF($AD706="","",INDEX('Per Line'!$A$2:$A$3001,$AD706)&amp;"")</f>
        <v/>
      </c>
      <c r="D706">
        <f>IF($AD706="","",INDEX('Per Line'!$C$2:$C$3001,$AD706)&amp;"")</f>
        <v/>
      </c>
      <c r="E706">
        <f>IF($AD706="","",INDEX('Per Line'!$B$2:$B$3001,$AD706))</f>
        <v/>
      </c>
      <c r="F706">
        <f>IF($AD706="","",INDEX('Per Line'!$D$2:$D$3001,$AD706)&amp;"")</f>
        <v/>
      </c>
      <c r="G706" s="11">
        <f>IF($AD706="","",INDEX('Per Line'!$G$2:$G$3001,$AD706))</f>
        <v/>
      </c>
      <c r="H706">
        <f>IF($AD706="","",INDEX('Per Line'!$J$2:$J$3001,$AD706)&amp;"")</f>
        <v/>
      </c>
      <c r="I706">
        <f>IF($AD706="","",INDEX('Per Line'!$H$2:$H$3001,$AD706)&amp;"")</f>
        <v/>
      </c>
      <c r="J706">
        <f>IF($AD706="","",INDEX('Per Line'!$F$2:$F$3001,$AD706)&amp;"")</f>
        <v/>
      </c>
      <c r="K706">
        <f>IF($AD706="","",INDEX('Per Line'!$K$2:$K$3001,$AD706)&amp;"")</f>
        <v/>
      </c>
      <c r="L706">
        <f>IF($AD706="","",INDEX('Per Line'!$L$2:$L$3001,$AD706)&amp;"")</f>
        <v/>
      </c>
      <c r="M706">
        <f>IF($AD706="","",INDEX('Per Line'!$M$2:$M$3001,$AD706)&amp;"")</f>
        <v/>
      </c>
      <c r="N706">
        <f>IF($AD706="","",INDEX('Per Line'!$AC$2:$AC$3001,$AD706)&amp;"")</f>
        <v/>
      </c>
      <c r="O706">
        <f>IF($AD706="","",INDEX('Per Line'!$P$2:$P$3001,$AD706))</f>
        <v/>
      </c>
      <c r="P706" s="7">
        <f>IF($AD706="","",IF(AND(ISNUMBER(Q706),Q706&gt;0,AB706&gt;Q706),O706*Q706/100+(AB706-Q706),O706*AB706/100))</f>
        <v/>
      </c>
      <c r="Q706">
        <f>IF($AD706="","",INDEX('Per Line'!$AG$2:$AG$3001,$AD706))</f>
        <v/>
      </c>
      <c r="R706">
        <f>IF($AD706="","",IF(AND(ISNUMBER(Q706),Q706&gt;0),AB706&gt;Q706,FALSE))</f>
        <v/>
      </c>
      <c r="S706" s="7">
        <f>IF($AD706="","",SUMIFS('Per Line'!$AB$2:$AB$3001,'Per Line'!$E$2:$E$3001,$B706,'Per Line'!$AQ$2:$AQ$3001,1))</f>
        <v/>
      </c>
      <c r="T706">
        <f>IF($AD706="","",Settings!$C$7)</f>
        <v/>
      </c>
      <c r="U706" s="7">
        <f>IF($AD706="","",SUMIFS('Per Line'!$AB$2:$AB$3001,'Per Line'!$E$2:$E$3001,$B706,'Per Line'!$AP$2:$AP$3001,0,'Per Line'!$AQ$2:$AQ$3001,0))</f>
        <v/>
      </c>
      <c r="V706" s="7">
        <f>IF($AD706="","",U706*T706)</f>
        <v/>
      </c>
      <c r="W706">
        <f>IF($AD706="","",Settings!$C$6)</f>
        <v/>
      </c>
      <c r="X706" s="7">
        <f>IF($AD706="","",SUMIFS('Per Line'!$AB$2:$AB$3001,'Per Line'!$E$2:$E$3001,$B706,'Per Line'!$AP$2:$AP$3001,1,'Per Line'!$AQ$2:$AQ$3001,0))</f>
        <v/>
      </c>
      <c r="Y706" s="7">
        <f>IF($AD706="","",X706*W706)</f>
        <v/>
      </c>
      <c r="Z706" s="7">
        <f>IF($AD706="","",Y706+V706)</f>
        <v/>
      </c>
      <c r="AA706" s="7">
        <f>IF($AD706="","",AB706-Z706)</f>
        <v/>
      </c>
      <c r="AB706" s="7">
        <f>IF($AD706="","",U706+X706+S706)</f>
        <v/>
      </c>
      <c r="AC706" s="7">
        <f>IF($AD706="","",AB706-Z706-P706)</f>
        <v/>
      </c>
      <c r="AD706" s="13">
        <f>IF(ROWS($AD$2:$AD706)&lt;=MAX('Per Line'!$AO$2:$AO$3001),MATCH(ROWS($AD$2:$AD706),'Per Line'!$AO$2:$AO$3001,0),"")</f>
        <v/>
      </c>
      <c r="AE706" s="14">
        <f>IF($AD706="","",P706-O706*AB706/100)</f>
        <v/>
      </c>
    </row>
    <row r="707">
      <c r="A707" s="12" t="n"/>
      <c r="B707">
        <f>IF($AD707="","",INDEX('Per Line'!$E$2:$E$3001,$AD707)&amp;"")</f>
        <v/>
      </c>
      <c r="C707">
        <f>IF($AD707="","",INDEX('Per Line'!$A$2:$A$3001,$AD707)&amp;"")</f>
        <v/>
      </c>
      <c r="D707">
        <f>IF($AD707="","",INDEX('Per Line'!$C$2:$C$3001,$AD707)&amp;"")</f>
        <v/>
      </c>
      <c r="E707">
        <f>IF($AD707="","",INDEX('Per Line'!$B$2:$B$3001,$AD707))</f>
        <v/>
      </c>
      <c r="F707">
        <f>IF($AD707="","",INDEX('Per Line'!$D$2:$D$3001,$AD707)&amp;"")</f>
        <v/>
      </c>
      <c r="G707" s="11">
        <f>IF($AD707="","",INDEX('Per Line'!$G$2:$G$3001,$AD707))</f>
        <v/>
      </c>
      <c r="H707">
        <f>IF($AD707="","",INDEX('Per Line'!$J$2:$J$3001,$AD707)&amp;"")</f>
        <v/>
      </c>
      <c r="I707">
        <f>IF($AD707="","",INDEX('Per Line'!$H$2:$H$3001,$AD707)&amp;"")</f>
        <v/>
      </c>
      <c r="J707">
        <f>IF($AD707="","",INDEX('Per Line'!$F$2:$F$3001,$AD707)&amp;"")</f>
        <v/>
      </c>
      <c r="K707">
        <f>IF($AD707="","",INDEX('Per Line'!$K$2:$K$3001,$AD707)&amp;"")</f>
        <v/>
      </c>
      <c r="L707">
        <f>IF($AD707="","",INDEX('Per Line'!$L$2:$L$3001,$AD707)&amp;"")</f>
        <v/>
      </c>
      <c r="M707">
        <f>IF($AD707="","",INDEX('Per Line'!$M$2:$M$3001,$AD707)&amp;"")</f>
        <v/>
      </c>
      <c r="N707">
        <f>IF($AD707="","",INDEX('Per Line'!$AC$2:$AC$3001,$AD707)&amp;"")</f>
        <v/>
      </c>
      <c r="O707">
        <f>IF($AD707="","",INDEX('Per Line'!$P$2:$P$3001,$AD707))</f>
        <v/>
      </c>
      <c r="P707" s="7">
        <f>IF($AD707="","",IF(AND(ISNUMBER(Q707),Q707&gt;0,AB707&gt;Q707),O707*Q707/100+(AB707-Q707),O707*AB707/100))</f>
        <v/>
      </c>
      <c r="Q707">
        <f>IF($AD707="","",INDEX('Per Line'!$AG$2:$AG$3001,$AD707))</f>
        <v/>
      </c>
      <c r="R707">
        <f>IF($AD707="","",IF(AND(ISNUMBER(Q707),Q707&gt;0),AB707&gt;Q707,FALSE))</f>
        <v/>
      </c>
      <c r="S707" s="7">
        <f>IF($AD707="","",SUMIFS('Per Line'!$AB$2:$AB$3001,'Per Line'!$E$2:$E$3001,$B707,'Per Line'!$AQ$2:$AQ$3001,1))</f>
        <v/>
      </c>
      <c r="T707">
        <f>IF($AD707="","",Settings!$C$7)</f>
        <v/>
      </c>
      <c r="U707" s="7">
        <f>IF($AD707="","",SUMIFS('Per Line'!$AB$2:$AB$3001,'Per Line'!$E$2:$E$3001,$B707,'Per Line'!$AP$2:$AP$3001,0,'Per Line'!$AQ$2:$AQ$3001,0))</f>
        <v/>
      </c>
      <c r="V707" s="7">
        <f>IF($AD707="","",U707*T707)</f>
        <v/>
      </c>
      <c r="W707">
        <f>IF($AD707="","",Settings!$C$6)</f>
        <v/>
      </c>
      <c r="X707" s="7">
        <f>IF($AD707="","",SUMIFS('Per Line'!$AB$2:$AB$3001,'Per Line'!$E$2:$E$3001,$B707,'Per Line'!$AP$2:$AP$3001,1,'Per Line'!$AQ$2:$AQ$3001,0))</f>
        <v/>
      </c>
      <c r="Y707" s="7">
        <f>IF($AD707="","",X707*W707)</f>
        <v/>
      </c>
      <c r="Z707" s="7">
        <f>IF($AD707="","",Y707+V707)</f>
        <v/>
      </c>
      <c r="AA707" s="7">
        <f>IF($AD707="","",AB707-Z707)</f>
        <v/>
      </c>
      <c r="AB707" s="7">
        <f>IF($AD707="","",U707+X707+S707)</f>
        <v/>
      </c>
      <c r="AC707" s="7">
        <f>IF($AD707="","",AB707-Z707-P707)</f>
        <v/>
      </c>
      <c r="AD707" s="13">
        <f>IF(ROWS($AD$2:$AD707)&lt;=MAX('Per Line'!$AO$2:$AO$3001),MATCH(ROWS($AD$2:$AD707),'Per Line'!$AO$2:$AO$3001,0),"")</f>
        <v/>
      </c>
      <c r="AE707" s="14">
        <f>IF($AD707="","",P707-O707*AB707/100)</f>
        <v/>
      </c>
    </row>
    <row r="708">
      <c r="A708" s="12" t="n"/>
      <c r="B708">
        <f>IF($AD708="","",INDEX('Per Line'!$E$2:$E$3001,$AD708)&amp;"")</f>
        <v/>
      </c>
      <c r="C708">
        <f>IF($AD708="","",INDEX('Per Line'!$A$2:$A$3001,$AD708)&amp;"")</f>
        <v/>
      </c>
      <c r="D708">
        <f>IF($AD708="","",INDEX('Per Line'!$C$2:$C$3001,$AD708)&amp;"")</f>
        <v/>
      </c>
      <c r="E708">
        <f>IF($AD708="","",INDEX('Per Line'!$B$2:$B$3001,$AD708))</f>
        <v/>
      </c>
      <c r="F708">
        <f>IF($AD708="","",INDEX('Per Line'!$D$2:$D$3001,$AD708)&amp;"")</f>
        <v/>
      </c>
      <c r="G708" s="11">
        <f>IF($AD708="","",INDEX('Per Line'!$G$2:$G$3001,$AD708))</f>
        <v/>
      </c>
      <c r="H708">
        <f>IF($AD708="","",INDEX('Per Line'!$J$2:$J$3001,$AD708)&amp;"")</f>
        <v/>
      </c>
      <c r="I708">
        <f>IF($AD708="","",INDEX('Per Line'!$H$2:$H$3001,$AD708)&amp;"")</f>
        <v/>
      </c>
      <c r="J708">
        <f>IF($AD708="","",INDEX('Per Line'!$F$2:$F$3001,$AD708)&amp;"")</f>
        <v/>
      </c>
      <c r="K708">
        <f>IF($AD708="","",INDEX('Per Line'!$K$2:$K$3001,$AD708)&amp;"")</f>
        <v/>
      </c>
      <c r="L708">
        <f>IF($AD708="","",INDEX('Per Line'!$L$2:$L$3001,$AD708)&amp;"")</f>
        <v/>
      </c>
      <c r="M708">
        <f>IF($AD708="","",INDEX('Per Line'!$M$2:$M$3001,$AD708)&amp;"")</f>
        <v/>
      </c>
      <c r="N708">
        <f>IF($AD708="","",INDEX('Per Line'!$AC$2:$AC$3001,$AD708)&amp;"")</f>
        <v/>
      </c>
      <c r="O708">
        <f>IF($AD708="","",INDEX('Per Line'!$P$2:$P$3001,$AD708))</f>
        <v/>
      </c>
      <c r="P708" s="7">
        <f>IF($AD708="","",IF(AND(ISNUMBER(Q708),Q708&gt;0,AB708&gt;Q708),O708*Q708/100+(AB708-Q708),O708*AB708/100))</f>
        <v/>
      </c>
      <c r="Q708">
        <f>IF($AD708="","",INDEX('Per Line'!$AG$2:$AG$3001,$AD708))</f>
        <v/>
      </c>
      <c r="R708">
        <f>IF($AD708="","",IF(AND(ISNUMBER(Q708),Q708&gt;0),AB708&gt;Q708,FALSE))</f>
        <v/>
      </c>
      <c r="S708" s="7">
        <f>IF($AD708="","",SUMIFS('Per Line'!$AB$2:$AB$3001,'Per Line'!$E$2:$E$3001,$B708,'Per Line'!$AQ$2:$AQ$3001,1))</f>
        <v/>
      </c>
      <c r="T708">
        <f>IF($AD708="","",Settings!$C$7)</f>
        <v/>
      </c>
      <c r="U708" s="7">
        <f>IF($AD708="","",SUMIFS('Per Line'!$AB$2:$AB$3001,'Per Line'!$E$2:$E$3001,$B708,'Per Line'!$AP$2:$AP$3001,0,'Per Line'!$AQ$2:$AQ$3001,0))</f>
        <v/>
      </c>
      <c r="V708" s="7">
        <f>IF($AD708="","",U708*T708)</f>
        <v/>
      </c>
      <c r="W708">
        <f>IF($AD708="","",Settings!$C$6)</f>
        <v/>
      </c>
      <c r="X708" s="7">
        <f>IF($AD708="","",SUMIFS('Per Line'!$AB$2:$AB$3001,'Per Line'!$E$2:$E$3001,$B708,'Per Line'!$AP$2:$AP$3001,1,'Per Line'!$AQ$2:$AQ$3001,0))</f>
        <v/>
      </c>
      <c r="Y708" s="7">
        <f>IF($AD708="","",X708*W708)</f>
        <v/>
      </c>
      <c r="Z708" s="7">
        <f>IF($AD708="","",Y708+V708)</f>
        <v/>
      </c>
      <c r="AA708" s="7">
        <f>IF($AD708="","",AB708-Z708)</f>
        <v/>
      </c>
      <c r="AB708" s="7">
        <f>IF($AD708="","",U708+X708+S708)</f>
        <v/>
      </c>
      <c r="AC708" s="7">
        <f>IF($AD708="","",AB708-Z708-P708)</f>
        <v/>
      </c>
      <c r="AD708" s="13">
        <f>IF(ROWS($AD$2:$AD708)&lt;=MAX('Per Line'!$AO$2:$AO$3001),MATCH(ROWS($AD$2:$AD708),'Per Line'!$AO$2:$AO$3001,0),"")</f>
        <v/>
      </c>
      <c r="AE708" s="14">
        <f>IF($AD708="","",P708-O708*AB708/100)</f>
        <v/>
      </c>
    </row>
    <row r="709">
      <c r="A709" s="12" t="n"/>
      <c r="B709">
        <f>IF($AD709="","",INDEX('Per Line'!$E$2:$E$3001,$AD709)&amp;"")</f>
        <v/>
      </c>
      <c r="C709">
        <f>IF($AD709="","",INDEX('Per Line'!$A$2:$A$3001,$AD709)&amp;"")</f>
        <v/>
      </c>
      <c r="D709">
        <f>IF($AD709="","",INDEX('Per Line'!$C$2:$C$3001,$AD709)&amp;"")</f>
        <v/>
      </c>
      <c r="E709">
        <f>IF($AD709="","",INDEX('Per Line'!$B$2:$B$3001,$AD709))</f>
        <v/>
      </c>
      <c r="F709">
        <f>IF($AD709="","",INDEX('Per Line'!$D$2:$D$3001,$AD709)&amp;"")</f>
        <v/>
      </c>
      <c r="G709" s="11">
        <f>IF($AD709="","",INDEX('Per Line'!$G$2:$G$3001,$AD709))</f>
        <v/>
      </c>
      <c r="H709">
        <f>IF($AD709="","",INDEX('Per Line'!$J$2:$J$3001,$AD709)&amp;"")</f>
        <v/>
      </c>
      <c r="I709">
        <f>IF($AD709="","",INDEX('Per Line'!$H$2:$H$3001,$AD709)&amp;"")</f>
        <v/>
      </c>
      <c r="J709">
        <f>IF($AD709="","",INDEX('Per Line'!$F$2:$F$3001,$AD709)&amp;"")</f>
        <v/>
      </c>
      <c r="K709">
        <f>IF($AD709="","",INDEX('Per Line'!$K$2:$K$3001,$AD709)&amp;"")</f>
        <v/>
      </c>
      <c r="L709">
        <f>IF($AD709="","",INDEX('Per Line'!$L$2:$L$3001,$AD709)&amp;"")</f>
        <v/>
      </c>
      <c r="M709">
        <f>IF($AD709="","",INDEX('Per Line'!$M$2:$M$3001,$AD709)&amp;"")</f>
        <v/>
      </c>
      <c r="N709">
        <f>IF($AD709="","",INDEX('Per Line'!$AC$2:$AC$3001,$AD709)&amp;"")</f>
        <v/>
      </c>
      <c r="O709">
        <f>IF($AD709="","",INDEX('Per Line'!$P$2:$P$3001,$AD709))</f>
        <v/>
      </c>
      <c r="P709" s="7">
        <f>IF($AD709="","",IF(AND(ISNUMBER(Q709),Q709&gt;0,AB709&gt;Q709),O709*Q709/100+(AB709-Q709),O709*AB709/100))</f>
        <v/>
      </c>
      <c r="Q709">
        <f>IF($AD709="","",INDEX('Per Line'!$AG$2:$AG$3001,$AD709))</f>
        <v/>
      </c>
      <c r="R709">
        <f>IF($AD709="","",IF(AND(ISNUMBER(Q709),Q709&gt;0),AB709&gt;Q709,FALSE))</f>
        <v/>
      </c>
      <c r="S709" s="7">
        <f>IF($AD709="","",SUMIFS('Per Line'!$AB$2:$AB$3001,'Per Line'!$E$2:$E$3001,$B709,'Per Line'!$AQ$2:$AQ$3001,1))</f>
        <v/>
      </c>
      <c r="T709">
        <f>IF($AD709="","",Settings!$C$7)</f>
        <v/>
      </c>
      <c r="U709" s="7">
        <f>IF($AD709="","",SUMIFS('Per Line'!$AB$2:$AB$3001,'Per Line'!$E$2:$E$3001,$B709,'Per Line'!$AP$2:$AP$3001,0,'Per Line'!$AQ$2:$AQ$3001,0))</f>
        <v/>
      </c>
      <c r="V709" s="7">
        <f>IF($AD709="","",U709*T709)</f>
        <v/>
      </c>
      <c r="W709">
        <f>IF($AD709="","",Settings!$C$6)</f>
        <v/>
      </c>
      <c r="X709" s="7">
        <f>IF($AD709="","",SUMIFS('Per Line'!$AB$2:$AB$3001,'Per Line'!$E$2:$E$3001,$B709,'Per Line'!$AP$2:$AP$3001,1,'Per Line'!$AQ$2:$AQ$3001,0))</f>
        <v/>
      </c>
      <c r="Y709" s="7">
        <f>IF($AD709="","",X709*W709)</f>
        <v/>
      </c>
      <c r="Z709" s="7">
        <f>IF($AD709="","",Y709+V709)</f>
        <v/>
      </c>
      <c r="AA709" s="7">
        <f>IF($AD709="","",AB709-Z709)</f>
        <v/>
      </c>
      <c r="AB709" s="7">
        <f>IF($AD709="","",U709+X709+S709)</f>
        <v/>
      </c>
      <c r="AC709" s="7">
        <f>IF($AD709="","",AB709-Z709-P709)</f>
        <v/>
      </c>
      <c r="AD709" s="13">
        <f>IF(ROWS($AD$2:$AD709)&lt;=MAX('Per Line'!$AO$2:$AO$3001),MATCH(ROWS($AD$2:$AD709),'Per Line'!$AO$2:$AO$3001,0),"")</f>
        <v/>
      </c>
      <c r="AE709" s="14">
        <f>IF($AD709="","",P709-O709*AB709/100)</f>
        <v/>
      </c>
    </row>
    <row r="710">
      <c r="A710" s="12" t="n"/>
      <c r="B710">
        <f>IF($AD710="","",INDEX('Per Line'!$E$2:$E$3001,$AD710)&amp;"")</f>
        <v/>
      </c>
      <c r="C710">
        <f>IF($AD710="","",INDEX('Per Line'!$A$2:$A$3001,$AD710)&amp;"")</f>
        <v/>
      </c>
      <c r="D710">
        <f>IF($AD710="","",INDEX('Per Line'!$C$2:$C$3001,$AD710)&amp;"")</f>
        <v/>
      </c>
      <c r="E710">
        <f>IF($AD710="","",INDEX('Per Line'!$B$2:$B$3001,$AD710))</f>
        <v/>
      </c>
      <c r="F710">
        <f>IF($AD710="","",INDEX('Per Line'!$D$2:$D$3001,$AD710)&amp;"")</f>
        <v/>
      </c>
      <c r="G710" s="11">
        <f>IF($AD710="","",INDEX('Per Line'!$G$2:$G$3001,$AD710))</f>
        <v/>
      </c>
      <c r="H710">
        <f>IF($AD710="","",INDEX('Per Line'!$J$2:$J$3001,$AD710)&amp;"")</f>
        <v/>
      </c>
      <c r="I710">
        <f>IF($AD710="","",INDEX('Per Line'!$H$2:$H$3001,$AD710)&amp;"")</f>
        <v/>
      </c>
      <c r="J710">
        <f>IF($AD710="","",INDEX('Per Line'!$F$2:$F$3001,$AD710)&amp;"")</f>
        <v/>
      </c>
      <c r="K710">
        <f>IF($AD710="","",INDEX('Per Line'!$K$2:$K$3001,$AD710)&amp;"")</f>
        <v/>
      </c>
      <c r="L710">
        <f>IF($AD710="","",INDEX('Per Line'!$L$2:$L$3001,$AD710)&amp;"")</f>
        <v/>
      </c>
      <c r="M710">
        <f>IF($AD710="","",INDEX('Per Line'!$M$2:$M$3001,$AD710)&amp;"")</f>
        <v/>
      </c>
      <c r="N710">
        <f>IF($AD710="","",INDEX('Per Line'!$AC$2:$AC$3001,$AD710)&amp;"")</f>
        <v/>
      </c>
      <c r="O710">
        <f>IF($AD710="","",INDEX('Per Line'!$P$2:$P$3001,$AD710))</f>
        <v/>
      </c>
      <c r="P710" s="7">
        <f>IF($AD710="","",IF(AND(ISNUMBER(Q710),Q710&gt;0,AB710&gt;Q710),O710*Q710/100+(AB710-Q710),O710*AB710/100))</f>
        <v/>
      </c>
      <c r="Q710">
        <f>IF($AD710="","",INDEX('Per Line'!$AG$2:$AG$3001,$AD710))</f>
        <v/>
      </c>
      <c r="R710">
        <f>IF($AD710="","",IF(AND(ISNUMBER(Q710),Q710&gt;0),AB710&gt;Q710,FALSE))</f>
        <v/>
      </c>
      <c r="S710" s="7">
        <f>IF($AD710="","",SUMIFS('Per Line'!$AB$2:$AB$3001,'Per Line'!$E$2:$E$3001,$B710,'Per Line'!$AQ$2:$AQ$3001,1))</f>
        <v/>
      </c>
      <c r="T710">
        <f>IF($AD710="","",Settings!$C$7)</f>
        <v/>
      </c>
      <c r="U710" s="7">
        <f>IF($AD710="","",SUMIFS('Per Line'!$AB$2:$AB$3001,'Per Line'!$E$2:$E$3001,$B710,'Per Line'!$AP$2:$AP$3001,0,'Per Line'!$AQ$2:$AQ$3001,0))</f>
        <v/>
      </c>
      <c r="V710" s="7">
        <f>IF($AD710="","",U710*T710)</f>
        <v/>
      </c>
      <c r="W710">
        <f>IF($AD710="","",Settings!$C$6)</f>
        <v/>
      </c>
      <c r="X710" s="7">
        <f>IF($AD710="","",SUMIFS('Per Line'!$AB$2:$AB$3001,'Per Line'!$E$2:$E$3001,$B710,'Per Line'!$AP$2:$AP$3001,1,'Per Line'!$AQ$2:$AQ$3001,0))</f>
        <v/>
      </c>
      <c r="Y710" s="7">
        <f>IF($AD710="","",X710*W710)</f>
        <v/>
      </c>
      <c r="Z710" s="7">
        <f>IF($AD710="","",Y710+V710)</f>
        <v/>
      </c>
      <c r="AA710" s="7">
        <f>IF($AD710="","",AB710-Z710)</f>
        <v/>
      </c>
      <c r="AB710" s="7">
        <f>IF($AD710="","",U710+X710+S710)</f>
        <v/>
      </c>
      <c r="AC710" s="7">
        <f>IF($AD710="","",AB710-Z710-P710)</f>
        <v/>
      </c>
      <c r="AD710" s="13">
        <f>IF(ROWS($AD$2:$AD710)&lt;=MAX('Per Line'!$AO$2:$AO$3001),MATCH(ROWS($AD$2:$AD710),'Per Line'!$AO$2:$AO$3001,0),"")</f>
        <v/>
      </c>
      <c r="AE710" s="14">
        <f>IF($AD710="","",P710-O710*AB710/100)</f>
        <v/>
      </c>
    </row>
    <row r="711">
      <c r="A711" s="12" t="n"/>
      <c r="B711">
        <f>IF($AD711="","",INDEX('Per Line'!$E$2:$E$3001,$AD711)&amp;"")</f>
        <v/>
      </c>
      <c r="C711">
        <f>IF($AD711="","",INDEX('Per Line'!$A$2:$A$3001,$AD711)&amp;"")</f>
        <v/>
      </c>
      <c r="D711">
        <f>IF($AD711="","",INDEX('Per Line'!$C$2:$C$3001,$AD711)&amp;"")</f>
        <v/>
      </c>
      <c r="E711">
        <f>IF($AD711="","",INDEX('Per Line'!$B$2:$B$3001,$AD711))</f>
        <v/>
      </c>
      <c r="F711">
        <f>IF($AD711="","",INDEX('Per Line'!$D$2:$D$3001,$AD711)&amp;"")</f>
        <v/>
      </c>
      <c r="G711" s="11">
        <f>IF($AD711="","",INDEX('Per Line'!$G$2:$G$3001,$AD711))</f>
        <v/>
      </c>
      <c r="H711">
        <f>IF($AD711="","",INDEX('Per Line'!$J$2:$J$3001,$AD711)&amp;"")</f>
        <v/>
      </c>
      <c r="I711">
        <f>IF($AD711="","",INDEX('Per Line'!$H$2:$H$3001,$AD711)&amp;"")</f>
        <v/>
      </c>
      <c r="J711">
        <f>IF($AD711="","",INDEX('Per Line'!$F$2:$F$3001,$AD711)&amp;"")</f>
        <v/>
      </c>
      <c r="K711">
        <f>IF($AD711="","",INDEX('Per Line'!$K$2:$K$3001,$AD711)&amp;"")</f>
        <v/>
      </c>
      <c r="L711">
        <f>IF($AD711="","",INDEX('Per Line'!$L$2:$L$3001,$AD711)&amp;"")</f>
        <v/>
      </c>
      <c r="M711">
        <f>IF($AD711="","",INDEX('Per Line'!$M$2:$M$3001,$AD711)&amp;"")</f>
        <v/>
      </c>
      <c r="N711">
        <f>IF($AD711="","",INDEX('Per Line'!$AC$2:$AC$3001,$AD711)&amp;"")</f>
        <v/>
      </c>
      <c r="O711">
        <f>IF($AD711="","",INDEX('Per Line'!$P$2:$P$3001,$AD711))</f>
        <v/>
      </c>
      <c r="P711" s="7">
        <f>IF($AD711="","",IF(AND(ISNUMBER(Q711),Q711&gt;0,AB711&gt;Q711),O711*Q711/100+(AB711-Q711),O711*AB711/100))</f>
        <v/>
      </c>
      <c r="Q711">
        <f>IF($AD711="","",INDEX('Per Line'!$AG$2:$AG$3001,$AD711))</f>
        <v/>
      </c>
      <c r="R711">
        <f>IF($AD711="","",IF(AND(ISNUMBER(Q711),Q711&gt;0),AB711&gt;Q711,FALSE))</f>
        <v/>
      </c>
      <c r="S711" s="7">
        <f>IF($AD711="","",SUMIFS('Per Line'!$AB$2:$AB$3001,'Per Line'!$E$2:$E$3001,$B711,'Per Line'!$AQ$2:$AQ$3001,1))</f>
        <v/>
      </c>
      <c r="T711">
        <f>IF($AD711="","",Settings!$C$7)</f>
        <v/>
      </c>
      <c r="U711" s="7">
        <f>IF($AD711="","",SUMIFS('Per Line'!$AB$2:$AB$3001,'Per Line'!$E$2:$E$3001,$B711,'Per Line'!$AP$2:$AP$3001,0,'Per Line'!$AQ$2:$AQ$3001,0))</f>
        <v/>
      </c>
      <c r="V711" s="7">
        <f>IF($AD711="","",U711*T711)</f>
        <v/>
      </c>
      <c r="W711">
        <f>IF($AD711="","",Settings!$C$6)</f>
        <v/>
      </c>
      <c r="X711" s="7">
        <f>IF($AD711="","",SUMIFS('Per Line'!$AB$2:$AB$3001,'Per Line'!$E$2:$E$3001,$B711,'Per Line'!$AP$2:$AP$3001,1,'Per Line'!$AQ$2:$AQ$3001,0))</f>
        <v/>
      </c>
      <c r="Y711" s="7">
        <f>IF($AD711="","",X711*W711)</f>
        <v/>
      </c>
      <c r="Z711" s="7">
        <f>IF($AD711="","",Y711+V711)</f>
        <v/>
      </c>
      <c r="AA711" s="7">
        <f>IF($AD711="","",AB711-Z711)</f>
        <v/>
      </c>
      <c r="AB711" s="7">
        <f>IF($AD711="","",U711+X711+S711)</f>
        <v/>
      </c>
      <c r="AC711" s="7">
        <f>IF($AD711="","",AB711-Z711-P711)</f>
        <v/>
      </c>
      <c r="AD711" s="13">
        <f>IF(ROWS($AD$2:$AD711)&lt;=MAX('Per Line'!$AO$2:$AO$3001),MATCH(ROWS($AD$2:$AD711),'Per Line'!$AO$2:$AO$3001,0),"")</f>
        <v/>
      </c>
      <c r="AE711" s="14">
        <f>IF($AD711="","",P711-O711*AB711/100)</f>
        <v/>
      </c>
    </row>
    <row r="712">
      <c r="A712" s="12" t="n"/>
      <c r="B712">
        <f>IF($AD712="","",INDEX('Per Line'!$E$2:$E$3001,$AD712)&amp;"")</f>
        <v/>
      </c>
      <c r="C712">
        <f>IF($AD712="","",INDEX('Per Line'!$A$2:$A$3001,$AD712)&amp;"")</f>
        <v/>
      </c>
      <c r="D712">
        <f>IF($AD712="","",INDEX('Per Line'!$C$2:$C$3001,$AD712)&amp;"")</f>
        <v/>
      </c>
      <c r="E712">
        <f>IF($AD712="","",INDEX('Per Line'!$B$2:$B$3001,$AD712))</f>
        <v/>
      </c>
      <c r="F712">
        <f>IF($AD712="","",INDEX('Per Line'!$D$2:$D$3001,$AD712)&amp;"")</f>
        <v/>
      </c>
      <c r="G712" s="11">
        <f>IF($AD712="","",INDEX('Per Line'!$G$2:$G$3001,$AD712))</f>
        <v/>
      </c>
      <c r="H712">
        <f>IF($AD712="","",INDEX('Per Line'!$J$2:$J$3001,$AD712)&amp;"")</f>
        <v/>
      </c>
      <c r="I712">
        <f>IF($AD712="","",INDEX('Per Line'!$H$2:$H$3001,$AD712)&amp;"")</f>
        <v/>
      </c>
      <c r="J712">
        <f>IF($AD712="","",INDEX('Per Line'!$F$2:$F$3001,$AD712)&amp;"")</f>
        <v/>
      </c>
      <c r="K712">
        <f>IF($AD712="","",INDEX('Per Line'!$K$2:$K$3001,$AD712)&amp;"")</f>
        <v/>
      </c>
      <c r="L712">
        <f>IF($AD712="","",INDEX('Per Line'!$L$2:$L$3001,$AD712)&amp;"")</f>
        <v/>
      </c>
      <c r="M712">
        <f>IF($AD712="","",INDEX('Per Line'!$M$2:$M$3001,$AD712)&amp;"")</f>
        <v/>
      </c>
      <c r="N712">
        <f>IF($AD712="","",INDEX('Per Line'!$AC$2:$AC$3001,$AD712)&amp;"")</f>
        <v/>
      </c>
      <c r="O712">
        <f>IF($AD712="","",INDEX('Per Line'!$P$2:$P$3001,$AD712))</f>
        <v/>
      </c>
      <c r="P712" s="7">
        <f>IF($AD712="","",IF(AND(ISNUMBER(Q712),Q712&gt;0,AB712&gt;Q712),O712*Q712/100+(AB712-Q712),O712*AB712/100))</f>
        <v/>
      </c>
      <c r="Q712">
        <f>IF($AD712="","",INDEX('Per Line'!$AG$2:$AG$3001,$AD712))</f>
        <v/>
      </c>
      <c r="R712">
        <f>IF($AD712="","",IF(AND(ISNUMBER(Q712),Q712&gt;0),AB712&gt;Q712,FALSE))</f>
        <v/>
      </c>
      <c r="S712" s="7">
        <f>IF($AD712="","",SUMIFS('Per Line'!$AB$2:$AB$3001,'Per Line'!$E$2:$E$3001,$B712,'Per Line'!$AQ$2:$AQ$3001,1))</f>
        <v/>
      </c>
      <c r="T712">
        <f>IF($AD712="","",Settings!$C$7)</f>
        <v/>
      </c>
      <c r="U712" s="7">
        <f>IF($AD712="","",SUMIFS('Per Line'!$AB$2:$AB$3001,'Per Line'!$E$2:$E$3001,$B712,'Per Line'!$AP$2:$AP$3001,0,'Per Line'!$AQ$2:$AQ$3001,0))</f>
        <v/>
      </c>
      <c r="V712" s="7">
        <f>IF($AD712="","",U712*T712)</f>
        <v/>
      </c>
      <c r="W712">
        <f>IF($AD712="","",Settings!$C$6)</f>
        <v/>
      </c>
      <c r="X712" s="7">
        <f>IF($AD712="","",SUMIFS('Per Line'!$AB$2:$AB$3001,'Per Line'!$E$2:$E$3001,$B712,'Per Line'!$AP$2:$AP$3001,1,'Per Line'!$AQ$2:$AQ$3001,0))</f>
        <v/>
      </c>
      <c r="Y712" s="7">
        <f>IF($AD712="","",X712*W712)</f>
        <v/>
      </c>
      <c r="Z712" s="7">
        <f>IF($AD712="","",Y712+V712)</f>
        <v/>
      </c>
      <c r="AA712" s="7">
        <f>IF($AD712="","",AB712-Z712)</f>
        <v/>
      </c>
      <c r="AB712" s="7">
        <f>IF($AD712="","",U712+X712+S712)</f>
        <v/>
      </c>
      <c r="AC712" s="7">
        <f>IF($AD712="","",AB712-Z712-P712)</f>
        <v/>
      </c>
      <c r="AD712" s="13">
        <f>IF(ROWS($AD$2:$AD712)&lt;=MAX('Per Line'!$AO$2:$AO$3001),MATCH(ROWS($AD$2:$AD712),'Per Line'!$AO$2:$AO$3001,0),"")</f>
        <v/>
      </c>
      <c r="AE712" s="14">
        <f>IF($AD712="","",P712-O712*AB712/100)</f>
        <v/>
      </c>
    </row>
    <row r="713">
      <c r="A713" s="12" t="n"/>
      <c r="B713">
        <f>IF($AD713="","",INDEX('Per Line'!$E$2:$E$3001,$AD713)&amp;"")</f>
        <v/>
      </c>
      <c r="C713">
        <f>IF($AD713="","",INDEX('Per Line'!$A$2:$A$3001,$AD713)&amp;"")</f>
        <v/>
      </c>
      <c r="D713">
        <f>IF($AD713="","",INDEX('Per Line'!$C$2:$C$3001,$AD713)&amp;"")</f>
        <v/>
      </c>
      <c r="E713">
        <f>IF($AD713="","",INDEX('Per Line'!$B$2:$B$3001,$AD713))</f>
        <v/>
      </c>
      <c r="F713">
        <f>IF($AD713="","",INDEX('Per Line'!$D$2:$D$3001,$AD713)&amp;"")</f>
        <v/>
      </c>
      <c r="G713" s="11">
        <f>IF($AD713="","",INDEX('Per Line'!$G$2:$G$3001,$AD713))</f>
        <v/>
      </c>
      <c r="H713">
        <f>IF($AD713="","",INDEX('Per Line'!$J$2:$J$3001,$AD713)&amp;"")</f>
        <v/>
      </c>
      <c r="I713">
        <f>IF($AD713="","",INDEX('Per Line'!$H$2:$H$3001,$AD713)&amp;"")</f>
        <v/>
      </c>
      <c r="J713">
        <f>IF($AD713="","",INDEX('Per Line'!$F$2:$F$3001,$AD713)&amp;"")</f>
        <v/>
      </c>
      <c r="K713">
        <f>IF($AD713="","",INDEX('Per Line'!$K$2:$K$3001,$AD713)&amp;"")</f>
        <v/>
      </c>
      <c r="L713">
        <f>IF($AD713="","",INDEX('Per Line'!$L$2:$L$3001,$AD713)&amp;"")</f>
        <v/>
      </c>
      <c r="M713">
        <f>IF($AD713="","",INDEX('Per Line'!$M$2:$M$3001,$AD713)&amp;"")</f>
        <v/>
      </c>
      <c r="N713">
        <f>IF($AD713="","",INDEX('Per Line'!$AC$2:$AC$3001,$AD713)&amp;"")</f>
        <v/>
      </c>
      <c r="O713">
        <f>IF($AD713="","",INDEX('Per Line'!$P$2:$P$3001,$AD713))</f>
        <v/>
      </c>
      <c r="P713" s="7">
        <f>IF($AD713="","",IF(AND(ISNUMBER(Q713),Q713&gt;0,AB713&gt;Q713),O713*Q713/100+(AB713-Q713),O713*AB713/100))</f>
        <v/>
      </c>
      <c r="Q713">
        <f>IF($AD713="","",INDEX('Per Line'!$AG$2:$AG$3001,$AD713))</f>
        <v/>
      </c>
      <c r="R713">
        <f>IF($AD713="","",IF(AND(ISNUMBER(Q713),Q713&gt;0),AB713&gt;Q713,FALSE))</f>
        <v/>
      </c>
      <c r="S713" s="7">
        <f>IF($AD713="","",SUMIFS('Per Line'!$AB$2:$AB$3001,'Per Line'!$E$2:$E$3001,$B713,'Per Line'!$AQ$2:$AQ$3001,1))</f>
        <v/>
      </c>
      <c r="T713">
        <f>IF($AD713="","",Settings!$C$7)</f>
        <v/>
      </c>
      <c r="U713" s="7">
        <f>IF($AD713="","",SUMIFS('Per Line'!$AB$2:$AB$3001,'Per Line'!$E$2:$E$3001,$B713,'Per Line'!$AP$2:$AP$3001,0,'Per Line'!$AQ$2:$AQ$3001,0))</f>
        <v/>
      </c>
      <c r="V713" s="7">
        <f>IF($AD713="","",U713*T713)</f>
        <v/>
      </c>
      <c r="W713">
        <f>IF($AD713="","",Settings!$C$6)</f>
        <v/>
      </c>
      <c r="X713" s="7">
        <f>IF($AD713="","",SUMIFS('Per Line'!$AB$2:$AB$3001,'Per Line'!$E$2:$E$3001,$B713,'Per Line'!$AP$2:$AP$3001,1,'Per Line'!$AQ$2:$AQ$3001,0))</f>
        <v/>
      </c>
      <c r="Y713" s="7">
        <f>IF($AD713="","",X713*W713)</f>
        <v/>
      </c>
      <c r="Z713" s="7">
        <f>IF($AD713="","",Y713+V713)</f>
        <v/>
      </c>
      <c r="AA713" s="7">
        <f>IF($AD713="","",AB713-Z713)</f>
        <v/>
      </c>
      <c r="AB713" s="7">
        <f>IF($AD713="","",U713+X713+S713)</f>
        <v/>
      </c>
      <c r="AC713" s="7">
        <f>IF($AD713="","",AB713-Z713-P713)</f>
        <v/>
      </c>
      <c r="AD713" s="13">
        <f>IF(ROWS($AD$2:$AD713)&lt;=MAX('Per Line'!$AO$2:$AO$3001),MATCH(ROWS($AD$2:$AD713),'Per Line'!$AO$2:$AO$3001,0),"")</f>
        <v/>
      </c>
      <c r="AE713" s="14">
        <f>IF($AD713="","",P713-O713*AB713/100)</f>
        <v/>
      </c>
    </row>
    <row r="714">
      <c r="A714" s="12" t="n"/>
      <c r="B714">
        <f>IF($AD714="","",INDEX('Per Line'!$E$2:$E$3001,$AD714)&amp;"")</f>
        <v/>
      </c>
      <c r="C714">
        <f>IF($AD714="","",INDEX('Per Line'!$A$2:$A$3001,$AD714)&amp;"")</f>
        <v/>
      </c>
      <c r="D714">
        <f>IF($AD714="","",INDEX('Per Line'!$C$2:$C$3001,$AD714)&amp;"")</f>
        <v/>
      </c>
      <c r="E714">
        <f>IF($AD714="","",INDEX('Per Line'!$B$2:$B$3001,$AD714))</f>
        <v/>
      </c>
      <c r="F714">
        <f>IF($AD714="","",INDEX('Per Line'!$D$2:$D$3001,$AD714)&amp;"")</f>
        <v/>
      </c>
      <c r="G714" s="11">
        <f>IF($AD714="","",INDEX('Per Line'!$G$2:$G$3001,$AD714))</f>
        <v/>
      </c>
      <c r="H714">
        <f>IF($AD714="","",INDEX('Per Line'!$J$2:$J$3001,$AD714)&amp;"")</f>
        <v/>
      </c>
      <c r="I714">
        <f>IF($AD714="","",INDEX('Per Line'!$H$2:$H$3001,$AD714)&amp;"")</f>
        <v/>
      </c>
      <c r="J714">
        <f>IF($AD714="","",INDEX('Per Line'!$F$2:$F$3001,$AD714)&amp;"")</f>
        <v/>
      </c>
      <c r="K714">
        <f>IF($AD714="","",INDEX('Per Line'!$K$2:$K$3001,$AD714)&amp;"")</f>
        <v/>
      </c>
      <c r="L714">
        <f>IF($AD714="","",INDEX('Per Line'!$L$2:$L$3001,$AD714)&amp;"")</f>
        <v/>
      </c>
      <c r="M714">
        <f>IF($AD714="","",INDEX('Per Line'!$M$2:$M$3001,$AD714)&amp;"")</f>
        <v/>
      </c>
      <c r="N714">
        <f>IF($AD714="","",INDEX('Per Line'!$AC$2:$AC$3001,$AD714)&amp;"")</f>
        <v/>
      </c>
      <c r="O714">
        <f>IF($AD714="","",INDEX('Per Line'!$P$2:$P$3001,$AD714))</f>
        <v/>
      </c>
      <c r="P714" s="7">
        <f>IF($AD714="","",IF(AND(ISNUMBER(Q714),Q714&gt;0,AB714&gt;Q714),O714*Q714/100+(AB714-Q714),O714*AB714/100))</f>
        <v/>
      </c>
      <c r="Q714">
        <f>IF($AD714="","",INDEX('Per Line'!$AG$2:$AG$3001,$AD714))</f>
        <v/>
      </c>
      <c r="R714">
        <f>IF($AD714="","",IF(AND(ISNUMBER(Q714),Q714&gt;0),AB714&gt;Q714,FALSE))</f>
        <v/>
      </c>
      <c r="S714" s="7">
        <f>IF($AD714="","",SUMIFS('Per Line'!$AB$2:$AB$3001,'Per Line'!$E$2:$E$3001,$B714,'Per Line'!$AQ$2:$AQ$3001,1))</f>
        <v/>
      </c>
      <c r="T714">
        <f>IF($AD714="","",Settings!$C$7)</f>
        <v/>
      </c>
      <c r="U714" s="7">
        <f>IF($AD714="","",SUMIFS('Per Line'!$AB$2:$AB$3001,'Per Line'!$E$2:$E$3001,$B714,'Per Line'!$AP$2:$AP$3001,0,'Per Line'!$AQ$2:$AQ$3001,0))</f>
        <v/>
      </c>
      <c r="V714" s="7">
        <f>IF($AD714="","",U714*T714)</f>
        <v/>
      </c>
      <c r="W714">
        <f>IF($AD714="","",Settings!$C$6)</f>
        <v/>
      </c>
      <c r="X714" s="7">
        <f>IF($AD714="","",SUMIFS('Per Line'!$AB$2:$AB$3001,'Per Line'!$E$2:$E$3001,$B714,'Per Line'!$AP$2:$AP$3001,1,'Per Line'!$AQ$2:$AQ$3001,0))</f>
        <v/>
      </c>
      <c r="Y714" s="7">
        <f>IF($AD714="","",X714*W714)</f>
        <v/>
      </c>
      <c r="Z714" s="7">
        <f>IF($AD714="","",Y714+V714)</f>
        <v/>
      </c>
      <c r="AA714" s="7">
        <f>IF($AD714="","",AB714-Z714)</f>
        <v/>
      </c>
      <c r="AB714" s="7">
        <f>IF($AD714="","",U714+X714+S714)</f>
        <v/>
      </c>
      <c r="AC714" s="7">
        <f>IF($AD714="","",AB714-Z714-P714)</f>
        <v/>
      </c>
      <c r="AD714" s="13">
        <f>IF(ROWS($AD$2:$AD714)&lt;=MAX('Per Line'!$AO$2:$AO$3001),MATCH(ROWS($AD$2:$AD714),'Per Line'!$AO$2:$AO$3001,0),"")</f>
        <v/>
      </c>
      <c r="AE714" s="14">
        <f>IF($AD714="","",P714-O714*AB714/100)</f>
        <v/>
      </c>
    </row>
    <row r="715">
      <c r="A715" s="12" t="n"/>
      <c r="B715">
        <f>IF($AD715="","",INDEX('Per Line'!$E$2:$E$3001,$AD715)&amp;"")</f>
        <v/>
      </c>
      <c r="C715">
        <f>IF($AD715="","",INDEX('Per Line'!$A$2:$A$3001,$AD715)&amp;"")</f>
        <v/>
      </c>
      <c r="D715">
        <f>IF($AD715="","",INDEX('Per Line'!$C$2:$C$3001,$AD715)&amp;"")</f>
        <v/>
      </c>
      <c r="E715">
        <f>IF($AD715="","",INDEX('Per Line'!$B$2:$B$3001,$AD715))</f>
        <v/>
      </c>
      <c r="F715">
        <f>IF($AD715="","",INDEX('Per Line'!$D$2:$D$3001,$AD715)&amp;"")</f>
        <v/>
      </c>
      <c r="G715" s="11">
        <f>IF($AD715="","",INDEX('Per Line'!$G$2:$G$3001,$AD715))</f>
        <v/>
      </c>
      <c r="H715">
        <f>IF($AD715="","",INDEX('Per Line'!$J$2:$J$3001,$AD715)&amp;"")</f>
        <v/>
      </c>
      <c r="I715">
        <f>IF($AD715="","",INDEX('Per Line'!$H$2:$H$3001,$AD715)&amp;"")</f>
        <v/>
      </c>
      <c r="J715">
        <f>IF($AD715="","",INDEX('Per Line'!$F$2:$F$3001,$AD715)&amp;"")</f>
        <v/>
      </c>
      <c r="K715">
        <f>IF($AD715="","",INDEX('Per Line'!$K$2:$K$3001,$AD715)&amp;"")</f>
        <v/>
      </c>
      <c r="L715">
        <f>IF($AD715="","",INDEX('Per Line'!$L$2:$L$3001,$AD715)&amp;"")</f>
        <v/>
      </c>
      <c r="M715">
        <f>IF($AD715="","",INDEX('Per Line'!$M$2:$M$3001,$AD715)&amp;"")</f>
        <v/>
      </c>
      <c r="N715">
        <f>IF($AD715="","",INDEX('Per Line'!$AC$2:$AC$3001,$AD715)&amp;"")</f>
        <v/>
      </c>
      <c r="O715">
        <f>IF($AD715="","",INDEX('Per Line'!$P$2:$P$3001,$AD715))</f>
        <v/>
      </c>
      <c r="P715" s="7">
        <f>IF($AD715="","",IF(AND(ISNUMBER(Q715),Q715&gt;0,AB715&gt;Q715),O715*Q715/100+(AB715-Q715),O715*AB715/100))</f>
        <v/>
      </c>
      <c r="Q715">
        <f>IF($AD715="","",INDEX('Per Line'!$AG$2:$AG$3001,$AD715))</f>
        <v/>
      </c>
      <c r="R715">
        <f>IF($AD715="","",IF(AND(ISNUMBER(Q715),Q715&gt;0),AB715&gt;Q715,FALSE))</f>
        <v/>
      </c>
      <c r="S715" s="7">
        <f>IF($AD715="","",SUMIFS('Per Line'!$AB$2:$AB$3001,'Per Line'!$E$2:$E$3001,$B715,'Per Line'!$AQ$2:$AQ$3001,1))</f>
        <v/>
      </c>
      <c r="T715">
        <f>IF($AD715="","",Settings!$C$7)</f>
        <v/>
      </c>
      <c r="U715" s="7">
        <f>IF($AD715="","",SUMIFS('Per Line'!$AB$2:$AB$3001,'Per Line'!$E$2:$E$3001,$B715,'Per Line'!$AP$2:$AP$3001,0,'Per Line'!$AQ$2:$AQ$3001,0))</f>
        <v/>
      </c>
      <c r="V715" s="7">
        <f>IF($AD715="","",U715*T715)</f>
        <v/>
      </c>
      <c r="W715">
        <f>IF($AD715="","",Settings!$C$6)</f>
        <v/>
      </c>
      <c r="X715" s="7">
        <f>IF($AD715="","",SUMIFS('Per Line'!$AB$2:$AB$3001,'Per Line'!$E$2:$E$3001,$B715,'Per Line'!$AP$2:$AP$3001,1,'Per Line'!$AQ$2:$AQ$3001,0))</f>
        <v/>
      </c>
      <c r="Y715" s="7">
        <f>IF($AD715="","",X715*W715)</f>
        <v/>
      </c>
      <c r="Z715" s="7">
        <f>IF($AD715="","",Y715+V715)</f>
        <v/>
      </c>
      <c r="AA715" s="7">
        <f>IF($AD715="","",AB715-Z715)</f>
        <v/>
      </c>
      <c r="AB715" s="7">
        <f>IF($AD715="","",U715+X715+S715)</f>
        <v/>
      </c>
      <c r="AC715" s="7">
        <f>IF($AD715="","",AB715-Z715-P715)</f>
        <v/>
      </c>
      <c r="AD715" s="13">
        <f>IF(ROWS($AD$2:$AD715)&lt;=MAX('Per Line'!$AO$2:$AO$3001),MATCH(ROWS($AD$2:$AD715),'Per Line'!$AO$2:$AO$3001,0),"")</f>
        <v/>
      </c>
      <c r="AE715" s="14">
        <f>IF($AD715="","",P715-O715*AB715/100)</f>
        <v/>
      </c>
    </row>
    <row r="716">
      <c r="A716" s="12" t="n"/>
      <c r="B716">
        <f>IF($AD716="","",INDEX('Per Line'!$E$2:$E$3001,$AD716)&amp;"")</f>
        <v/>
      </c>
      <c r="C716">
        <f>IF($AD716="","",INDEX('Per Line'!$A$2:$A$3001,$AD716)&amp;"")</f>
        <v/>
      </c>
      <c r="D716">
        <f>IF($AD716="","",INDEX('Per Line'!$C$2:$C$3001,$AD716)&amp;"")</f>
        <v/>
      </c>
      <c r="E716">
        <f>IF($AD716="","",INDEX('Per Line'!$B$2:$B$3001,$AD716))</f>
        <v/>
      </c>
      <c r="F716">
        <f>IF($AD716="","",INDEX('Per Line'!$D$2:$D$3001,$AD716)&amp;"")</f>
        <v/>
      </c>
      <c r="G716" s="11">
        <f>IF($AD716="","",INDEX('Per Line'!$G$2:$G$3001,$AD716))</f>
        <v/>
      </c>
      <c r="H716">
        <f>IF($AD716="","",INDEX('Per Line'!$J$2:$J$3001,$AD716)&amp;"")</f>
        <v/>
      </c>
      <c r="I716">
        <f>IF($AD716="","",INDEX('Per Line'!$H$2:$H$3001,$AD716)&amp;"")</f>
        <v/>
      </c>
      <c r="J716">
        <f>IF($AD716="","",INDEX('Per Line'!$F$2:$F$3001,$AD716)&amp;"")</f>
        <v/>
      </c>
      <c r="K716">
        <f>IF($AD716="","",INDEX('Per Line'!$K$2:$K$3001,$AD716)&amp;"")</f>
        <v/>
      </c>
      <c r="L716">
        <f>IF($AD716="","",INDEX('Per Line'!$L$2:$L$3001,$AD716)&amp;"")</f>
        <v/>
      </c>
      <c r="M716">
        <f>IF($AD716="","",INDEX('Per Line'!$M$2:$M$3001,$AD716)&amp;"")</f>
        <v/>
      </c>
      <c r="N716">
        <f>IF($AD716="","",INDEX('Per Line'!$AC$2:$AC$3001,$AD716)&amp;"")</f>
        <v/>
      </c>
      <c r="O716">
        <f>IF($AD716="","",INDEX('Per Line'!$P$2:$P$3001,$AD716))</f>
        <v/>
      </c>
      <c r="P716" s="7">
        <f>IF($AD716="","",IF(AND(ISNUMBER(Q716),Q716&gt;0,AB716&gt;Q716),O716*Q716/100+(AB716-Q716),O716*AB716/100))</f>
        <v/>
      </c>
      <c r="Q716">
        <f>IF($AD716="","",INDEX('Per Line'!$AG$2:$AG$3001,$AD716))</f>
        <v/>
      </c>
      <c r="R716">
        <f>IF($AD716="","",IF(AND(ISNUMBER(Q716),Q716&gt;0),AB716&gt;Q716,FALSE))</f>
        <v/>
      </c>
      <c r="S716" s="7">
        <f>IF($AD716="","",SUMIFS('Per Line'!$AB$2:$AB$3001,'Per Line'!$E$2:$E$3001,$B716,'Per Line'!$AQ$2:$AQ$3001,1))</f>
        <v/>
      </c>
      <c r="T716">
        <f>IF($AD716="","",Settings!$C$7)</f>
        <v/>
      </c>
      <c r="U716" s="7">
        <f>IF($AD716="","",SUMIFS('Per Line'!$AB$2:$AB$3001,'Per Line'!$E$2:$E$3001,$B716,'Per Line'!$AP$2:$AP$3001,0,'Per Line'!$AQ$2:$AQ$3001,0))</f>
        <v/>
      </c>
      <c r="V716" s="7">
        <f>IF($AD716="","",U716*T716)</f>
        <v/>
      </c>
      <c r="W716">
        <f>IF($AD716="","",Settings!$C$6)</f>
        <v/>
      </c>
      <c r="X716" s="7">
        <f>IF($AD716="","",SUMIFS('Per Line'!$AB$2:$AB$3001,'Per Line'!$E$2:$E$3001,$B716,'Per Line'!$AP$2:$AP$3001,1,'Per Line'!$AQ$2:$AQ$3001,0))</f>
        <v/>
      </c>
      <c r="Y716" s="7">
        <f>IF($AD716="","",X716*W716)</f>
        <v/>
      </c>
      <c r="Z716" s="7">
        <f>IF($AD716="","",Y716+V716)</f>
        <v/>
      </c>
      <c r="AA716" s="7">
        <f>IF($AD716="","",AB716-Z716)</f>
        <v/>
      </c>
      <c r="AB716" s="7">
        <f>IF($AD716="","",U716+X716+S716)</f>
        <v/>
      </c>
      <c r="AC716" s="7">
        <f>IF($AD716="","",AB716-Z716-P716)</f>
        <v/>
      </c>
      <c r="AD716" s="13">
        <f>IF(ROWS($AD$2:$AD716)&lt;=MAX('Per Line'!$AO$2:$AO$3001),MATCH(ROWS($AD$2:$AD716),'Per Line'!$AO$2:$AO$3001,0),"")</f>
        <v/>
      </c>
      <c r="AE716" s="14">
        <f>IF($AD716="","",P716-O716*AB716/100)</f>
        <v/>
      </c>
    </row>
    <row r="717">
      <c r="A717" s="12" t="n"/>
      <c r="B717">
        <f>IF($AD717="","",INDEX('Per Line'!$E$2:$E$3001,$AD717)&amp;"")</f>
        <v/>
      </c>
      <c r="C717">
        <f>IF($AD717="","",INDEX('Per Line'!$A$2:$A$3001,$AD717)&amp;"")</f>
        <v/>
      </c>
      <c r="D717">
        <f>IF($AD717="","",INDEX('Per Line'!$C$2:$C$3001,$AD717)&amp;"")</f>
        <v/>
      </c>
      <c r="E717">
        <f>IF($AD717="","",INDEX('Per Line'!$B$2:$B$3001,$AD717))</f>
        <v/>
      </c>
      <c r="F717">
        <f>IF($AD717="","",INDEX('Per Line'!$D$2:$D$3001,$AD717)&amp;"")</f>
        <v/>
      </c>
      <c r="G717" s="11">
        <f>IF($AD717="","",INDEX('Per Line'!$G$2:$G$3001,$AD717))</f>
        <v/>
      </c>
      <c r="H717">
        <f>IF($AD717="","",INDEX('Per Line'!$J$2:$J$3001,$AD717)&amp;"")</f>
        <v/>
      </c>
      <c r="I717">
        <f>IF($AD717="","",INDEX('Per Line'!$H$2:$H$3001,$AD717)&amp;"")</f>
        <v/>
      </c>
      <c r="J717">
        <f>IF($AD717="","",INDEX('Per Line'!$F$2:$F$3001,$AD717)&amp;"")</f>
        <v/>
      </c>
      <c r="K717">
        <f>IF($AD717="","",INDEX('Per Line'!$K$2:$K$3001,$AD717)&amp;"")</f>
        <v/>
      </c>
      <c r="L717">
        <f>IF($AD717="","",INDEX('Per Line'!$L$2:$L$3001,$AD717)&amp;"")</f>
        <v/>
      </c>
      <c r="M717">
        <f>IF($AD717="","",INDEX('Per Line'!$M$2:$M$3001,$AD717)&amp;"")</f>
        <v/>
      </c>
      <c r="N717">
        <f>IF($AD717="","",INDEX('Per Line'!$AC$2:$AC$3001,$AD717)&amp;"")</f>
        <v/>
      </c>
      <c r="O717">
        <f>IF($AD717="","",INDEX('Per Line'!$P$2:$P$3001,$AD717))</f>
        <v/>
      </c>
      <c r="P717" s="7">
        <f>IF($AD717="","",IF(AND(ISNUMBER(Q717),Q717&gt;0,AB717&gt;Q717),O717*Q717/100+(AB717-Q717),O717*AB717/100))</f>
        <v/>
      </c>
      <c r="Q717">
        <f>IF($AD717="","",INDEX('Per Line'!$AG$2:$AG$3001,$AD717))</f>
        <v/>
      </c>
      <c r="R717">
        <f>IF($AD717="","",IF(AND(ISNUMBER(Q717),Q717&gt;0),AB717&gt;Q717,FALSE))</f>
        <v/>
      </c>
      <c r="S717" s="7">
        <f>IF($AD717="","",SUMIFS('Per Line'!$AB$2:$AB$3001,'Per Line'!$E$2:$E$3001,$B717,'Per Line'!$AQ$2:$AQ$3001,1))</f>
        <v/>
      </c>
      <c r="T717">
        <f>IF($AD717="","",Settings!$C$7)</f>
        <v/>
      </c>
      <c r="U717" s="7">
        <f>IF($AD717="","",SUMIFS('Per Line'!$AB$2:$AB$3001,'Per Line'!$E$2:$E$3001,$B717,'Per Line'!$AP$2:$AP$3001,0,'Per Line'!$AQ$2:$AQ$3001,0))</f>
        <v/>
      </c>
      <c r="V717" s="7">
        <f>IF($AD717="","",U717*T717)</f>
        <v/>
      </c>
      <c r="W717">
        <f>IF($AD717="","",Settings!$C$6)</f>
        <v/>
      </c>
      <c r="X717" s="7">
        <f>IF($AD717="","",SUMIFS('Per Line'!$AB$2:$AB$3001,'Per Line'!$E$2:$E$3001,$B717,'Per Line'!$AP$2:$AP$3001,1,'Per Line'!$AQ$2:$AQ$3001,0))</f>
        <v/>
      </c>
      <c r="Y717" s="7">
        <f>IF($AD717="","",X717*W717)</f>
        <v/>
      </c>
      <c r="Z717" s="7">
        <f>IF($AD717="","",Y717+V717)</f>
        <v/>
      </c>
      <c r="AA717" s="7">
        <f>IF($AD717="","",AB717-Z717)</f>
        <v/>
      </c>
      <c r="AB717" s="7">
        <f>IF($AD717="","",U717+X717+S717)</f>
        <v/>
      </c>
      <c r="AC717" s="7">
        <f>IF($AD717="","",AB717-Z717-P717)</f>
        <v/>
      </c>
      <c r="AD717" s="13">
        <f>IF(ROWS($AD$2:$AD717)&lt;=MAX('Per Line'!$AO$2:$AO$3001),MATCH(ROWS($AD$2:$AD717),'Per Line'!$AO$2:$AO$3001,0),"")</f>
        <v/>
      </c>
      <c r="AE717" s="14">
        <f>IF($AD717="","",P717-O717*AB717/100)</f>
        <v/>
      </c>
    </row>
    <row r="718">
      <c r="A718" s="12" t="n"/>
      <c r="B718">
        <f>IF($AD718="","",INDEX('Per Line'!$E$2:$E$3001,$AD718)&amp;"")</f>
        <v/>
      </c>
      <c r="C718">
        <f>IF($AD718="","",INDEX('Per Line'!$A$2:$A$3001,$AD718)&amp;"")</f>
        <v/>
      </c>
      <c r="D718">
        <f>IF($AD718="","",INDEX('Per Line'!$C$2:$C$3001,$AD718)&amp;"")</f>
        <v/>
      </c>
      <c r="E718">
        <f>IF($AD718="","",INDEX('Per Line'!$B$2:$B$3001,$AD718))</f>
        <v/>
      </c>
      <c r="F718">
        <f>IF($AD718="","",INDEX('Per Line'!$D$2:$D$3001,$AD718)&amp;"")</f>
        <v/>
      </c>
      <c r="G718" s="11">
        <f>IF($AD718="","",INDEX('Per Line'!$G$2:$G$3001,$AD718))</f>
        <v/>
      </c>
      <c r="H718">
        <f>IF($AD718="","",INDEX('Per Line'!$J$2:$J$3001,$AD718)&amp;"")</f>
        <v/>
      </c>
      <c r="I718">
        <f>IF($AD718="","",INDEX('Per Line'!$H$2:$H$3001,$AD718)&amp;"")</f>
        <v/>
      </c>
      <c r="J718">
        <f>IF($AD718="","",INDEX('Per Line'!$F$2:$F$3001,$AD718)&amp;"")</f>
        <v/>
      </c>
      <c r="K718">
        <f>IF($AD718="","",INDEX('Per Line'!$K$2:$K$3001,$AD718)&amp;"")</f>
        <v/>
      </c>
      <c r="L718">
        <f>IF($AD718="","",INDEX('Per Line'!$L$2:$L$3001,$AD718)&amp;"")</f>
        <v/>
      </c>
      <c r="M718">
        <f>IF($AD718="","",INDEX('Per Line'!$M$2:$M$3001,$AD718)&amp;"")</f>
        <v/>
      </c>
      <c r="N718">
        <f>IF($AD718="","",INDEX('Per Line'!$AC$2:$AC$3001,$AD718)&amp;"")</f>
        <v/>
      </c>
      <c r="O718">
        <f>IF($AD718="","",INDEX('Per Line'!$P$2:$P$3001,$AD718))</f>
        <v/>
      </c>
      <c r="P718" s="7">
        <f>IF($AD718="","",IF(AND(ISNUMBER(Q718),Q718&gt;0,AB718&gt;Q718),O718*Q718/100+(AB718-Q718),O718*AB718/100))</f>
        <v/>
      </c>
      <c r="Q718">
        <f>IF($AD718="","",INDEX('Per Line'!$AG$2:$AG$3001,$AD718))</f>
        <v/>
      </c>
      <c r="R718">
        <f>IF($AD718="","",IF(AND(ISNUMBER(Q718),Q718&gt;0),AB718&gt;Q718,FALSE))</f>
        <v/>
      </c>
      <c r="S718" s="7">
        <f>IF($AD718="","",SUMIFS('Per Line'!$AB$2:$AB$3001,'Per Line'!$E$2:$E$3001,$B718,'Per Line'!$AQ$2:$AQ$3001,1))</f>
        <v/>
      </c>
      <c r="T718">
        <f>IF($AD718="","",Settings!$C$7)</f>
        <v/>
      </c>
      <c r="U718" s="7">
        <f>IF($AD718="","",SUMIFS('Per Line'!$AB$2:$AB$3001,'Per Line'!$E$2:$E$3001,$B718,'Per Line'!$AP$2:$AP$3001,0,'Per Line'!$AQ$2:$AQ$3001,0))</f>
        <v/>
      </c>
      <c r="V718" s="7">
        <f>IF($AD718="","",U718*T718)</f>
        <v/>
      </c>
      <c r="W718">
        <f>IF($AD718="","",Settings!$C$6)</f>
        <v/>
      </c>
      <c r="X718" s="7">
        <f>IF($AD718="","",SUMIFS('Per Line'!$AB$2:$AB$3001,'Per Line'!$E$2:$E$3001,$B718,'Per Line'!$AP$2:$AP$3001,1,'Per Line'!$AQ$2:$AQ$3001,0))</f>
        <v/>
      </c>
      <c r="Y718" s="7">
        <f>IF($AD718="","",X718*W718)</f>
        <v/>
      </c>
      <c r="Z718" s="7">
        <f>IF($AD718="","",Y718+V718)</f>
        <v/>
      </c>
      <c r="AA718" s="7">
        <f>IF($AD718="","",AB718-Z718)</f>
        <v/>
      </c>
      <c r="AB718" s="7">
        <f>IF($AD718="","",U718+X718+S718)</f>
        <v/>
      </c>
      <c r="AC718" s="7">
        <f>IF($AD718="","",AB718-Z718-P718)</f>
        <v/>
      </c>
      <c r="AD718" s="13">
        <f>IF(ROWS($AD$2:$AD718)&lt;=MAX('Per Line'!$AO$2:$AO$3001),MATCH(ROWS($AD$2:$AD718),'Per Line'!$AO$2:$AO$3001,0),"")</f>
        <v/>
      </c>
      <c r="AE718" s="14">
        <f>IF($AD718="","",P718-O718*AB718/100)</f>
        <v/>
      </c>
    </row>
    <row r="719">
      <c r="A719" s="12" t="n"/>
      <c r="B719">
        <f>IF($AD719="","",INDEX('Per Line'!$E$2:$E$3001,$AD719)&amp;"")</f>
        <v/>
      </c>
      <c r="C719">
        <f>IF($AD719="","",INDEX('Per Line'!$A$2:$A$3001,$AD719)&amp;"")</f>
        <v/>
      </c>
      <c r="D719">
        <f>IF($AD719="","",INDEX('Per Line'!$C$2:$C$3001,$AD719)&amp;"")</f>
        <v/>
      </c>
      <c r="E719">
        <f>IF($AD719="","",INDEX('Per Line'!$B$2:$B$3001,$AD719))</f>
        <v/>
      </c>
      <c r="F719">
        <f>IF($AD719="","",INDEX('Per Line'!$D$2:$D$3001,$AD719)&amp;"")</f>
        <v/>
      </c>
      <c r="G719" s="11">
        <f>IF($AD719="","",INDEX('Per Line'!$G$2:$G$3001,$AD719))</f>
        <v/>
      </c>
      <c r="H719">
        <f>IF($AD719="","",INDEX('Per Line'!$J$2:$J$3001,$AD719)&amp;"")</f>
        <v/>
      </c>
      <c r="I719">
        <f>IF($AD719="","",INDEX('Per Line'!$H$2:$H$3001,$AD719)&amp;"")</f>
        <v/>
      </c>
      <c r="J719">
        <f>IF($AD719="","",INDEX('Per Line'!$F$2:$F$3001,$AD719)&amp;"")</f>
        <v/>
      </c>
      <c r="K719">
        <f>IF($AD719="","",INDEX('Per Line'!$K$2:$K$3001,$AD719)&amp;"")</f>
        <v/>
      </c>
      <c r="L719">
        <f>IF($AD719="","",INDEX('Per Line'!$L$2:$L$3001,$AD719)&amp;"")</f>
        <v/>
      </c>
      <c r="M719">
        <f>IF($AD719="","",INDEX('Per Line'!$M$2:$M$3001,$AD719)&amp;"")</f>
        <v/>
      </c>
      <c r="N719">
        <f>IF($AD719="","",INDEX('Per Line'!$AC$2:$AC$3001,$AD719)&amp;"")</f>
        <v/>
      </c>
      <c r="O719">
        <f>IF($AD719="","",INDEX('Per Line'!$P$2:$P$3001,$AD719))</f>
        <v/>
      </c>
      <c r="P719" s="7">
        <f>IF($AD719="","",IF(AND(ISNUMBER(Q719),Q719&gt;0,AB719&gt;Q719),O719*Q719/100+(AB719-Q719),O719*AB719/100))</f>
        <v/>
      </c>
      <c r="Q719">
        <f>IF($AD719="","",INDEX('Per Line'!$AG$2:$AG$3001,$AD719))</f>
        <v/>
      </c>
      <c r="R719">
        <f>IF($AD719="","",IF(AND(ISNUMBER(Q719),Q719&gt;0),AB719&gt;Q719,FALSE))</f>
        <v/>
      </c>
      <c r="S719" s="7">
        <f>IF($AD719="","",SUMIFS('Per Line'!$AB$2:$AB$3001,'Per Line'!$E$2:$E$3001,$B719,'Per Line'!$AQ$2:$AQ$3001,1))</f>
        <v/>
      </c>
      <c r="T719">
        <f>IF($AD719="","",Settings!$C$7)</f>
        <v/>
      </c>
      <c r="U719" s="7">
        <f>IF($AD719="","",SUMIFS('Per Line'!$AB$2:$AB$3001,'Per Line'!$E$2:$E$3001,$B719,'Per Line'!$AP$2:$AP$3001,0,'Per Line'!$AQ$2:$AQ$3001,0))</f>
        <v/>
      </c>
      <c r="V719" s="7">
        <f>IF($AD719="","",U719*T719)</f>
        <v/>
      </c>
      <c r="W719">
        <f>IF($AD719="","",Settings!$C$6)</f>
        <v/>
      </c>
      <c r="X719" s="7">
        <f>IF($AD719="","",SUMIFS('Per Line'!$AB$2:$AB$3001,'Per Line'!$E$2:$E$3001,$B719,'Per Line'!$AP$2:$AP$3001,1,'Per Line'!$AQ$2:$AQ$3001,0))</f>
        <v/>
      </c>
      <c r="Y719" s="7">
        <f>IF($AD719="","",X719*W719)</f>
        <v/>
      </c>
      <c r="Z719" s="7">
        <f>IF($AD719="","",Y719+V719)</f>
        <v/>
      </c>
      <c r="AA719" s="7">
        <f>IF($AD719="","",AB719-Z719)</f>
        <v/>
      </c>
      <c r="AB719" s="7">
        <f>IF($AD719="","",U719+X719+S719)</f>
        <v/>
      </c>
      <c r="AC719" s="7">
        <f>IF($AD719="","",AB719-Z719-P719)</f>
        <v/>
      </c>
      <c r="AD719" s="13">
        <f>IF(ROWS($AD$2:$AD719)&lt;=MAX('Per Line'!$AO$2:$AO$3001),MATCH(ROWS($AD$2:$AD719),'Per Line'!$AO$2:$AO$3001,0),"")</f>
        <v/>
      </c>
      <c r="AE719" s="14">
        <f>IF($AD719="","",P719-O719*AB719/100)</f>
        <v/>
      </c>
    </row>
    <row r="720">
      <c r="A720" s="12" t="n"/>
      <c r="B720">
        <f>IF($AD720="","",INDEX('Per Line'!$E$2:$E$3001,$AD720)&amp;"")</f>
        <v/>
      </c>
      <c r="C720">
        <f>IF($AD720="","",INDEX('Per Line'!$A$2:$A$3001,$AD720)&amp;"")</f>
        <v/>
      </c>
      <c r="D720">
        <f>IF($AD720="","",INDEX('Per Line'!$C$2:$C$3001,$AD720)&amp;"")</f>
        <v/>
      </c>
      <c r="E720">
        <f>IF($AD720="","",INDEX('Per Line'!$B$2:$B$3001,$AD720))</f>
        <v/>
      </c>
      <c r="F720">
        <f>IF($AD720="","",INDEX('Per Line'!$D$2:$D$3001,$AD720)&amp;"")</f>
        <v/>
      </c>
      <c r="G720" s="11">
        <f>IF($AD720="","",INDEX('Per Line'!$G$2:$G$3001,$AD720))</f>
        <v/>
      </c>
      <c r="H720">
        <f>IF($AD720="","",INDEX('Per Line'!$J$2:$J$3001,$AD720)&amp;"")</f>
        <v/>
      </c>
      <c r="I720">
        <f>IF($AD720="","",INDEX('Per Line'!$H$2:$H$3001,$AD720)&amp;"")</f>
        <v/>
      </c>
      <c r="J720">
        <f>IF($AD720="","",INDEX('Per Line'!$F$2:$F$3001,$AD720)&amp;"")</f>
        <v/>
      </c>
      <c r="K720">
        <f>IF($AD720="","",INDEX('Per Line'!$K$2:$K$3001,$AD720)&amp;"")</f>
        <v/>
      </c>
      <c r="L720">
        <f>IF($AD720="","",INDEX('Per Line'!$L$2:$L$3001,$AD720)&amp;"")</f>
        <v/>
      </c>
      <c r="M720">
        <f>IF($AD720="","",INDEX('Per Line'!$M$2:$M$3001,$AD720)&amp;"")</f>
        <v/>
      </c>
      <c r="N720">
        <f>IF($AD720="","",INDEX('Per Line'!$AC$2:$AC$3001,$AD720)&amp;"")</f>
        <v/>
      </c>
      <c r="O720">
        <f>IF($AD720="","",INDEX('Per Line'!$P$2:$P$3001,$AD720))</f>
        <v/>
      </c>
      <c r="P720" s="7">
        <f>IF($AD720="","",IF(AND(ISNUMBER(Q720),Q720&gt;0,AB720&gt;Q720),O720*Q720/100+(AB720-Q720),O720*AB720/100))</f>
        <v/>
      </c>
      <c r="Q720">
        <f>IF($AD720="","",INDEX('Per Line'!$AG$2:$AG$3001,$AD720))</f>
        <v/>
      </c>
      <c r="R720">
        <f>IF($AD720="","",IF(AND(ISNUMBER(Q720),Q720&gt;0),AB720&gt;Q720,FALSE))</f>
        <v/>
      </c>
      <c r="S720" s="7">
        <f>IF($AD720="","",SUMIFS('Per Line'!$AB$2:$AB$3001,'Per Line'!$E$2:$E$3001,$B720,'Per Line'!$AQ$2:$AQ$3001,1))</f>
        <v/>
      </c>
      <c r="T720">
        <f>IF($AD720="","",Settings!$C$7)</f>
        <v/>
      </c>
      <c r="U720" s="7">
        <f>IF($AD720="","",SUMIFS('Per Line'!$AB$2:$AB$3001,'Per Line'!$E$2:$E$3001,$B720,'Per Line'!$AP$2:$AP$3001,0,'Per Line'!$AQ$2:$AQ$3001,0))</f>
        <v/>
      </c>
      <c r="V720" s="7">
        <f>IF($AD720="","",U720*T720)</f>
        <v/>
      </c>
      <c r="W720">
        <f>IF($AD720="","",Settings!$C$6)</f>
        <v/>
      </c>
      <c r="X720" s="7">
        <f>IF($AD720="","",SUMIFS('Per Line'!$AB$2:$AB$3001,'Per Line'!$E$2:$E$3001,$B720,'Per Line'!$AP$2:$AP$3001,1,'Per Line'!$AQ$2:$AQ$3001,0))</f>
        <v/>
      </c>
      <c r="Y720" s="7">
        <f>IF($AD720="","",X720*W720)</f>
        <v/>
      </c>
      <c r="Z720" s="7">
        <f>IF($AD720="","",Y720+V720)</f>
        <v/>
      </c>
      <c r="AA720" s="7">
        <f>IF($AD720="","",AB720-Z720)</f>
        <v/>
      </c>
      <c r="AB720" s="7">
        <f>IF($AD720="","",U720+X720+S720)</f>
        <v/>
      </c>
      <c r="AC720" s="7">
        <f>IF($AD720="","",AB720-Z720-P720)</f>
        <v/>
      </c>
      <c r="AD720" s="13">
        <f>IF(ROWS($AD$2:$AD720)&lt;=MAX('Per Line'!$AO$2:$AO$3001),MATCH(ROWS($AD$2:$AD720),'Per Line'!$AO$2:$AO$3001,0),"")</f>
        <v/>
      </c>
      <c r="AE720" s="14">
        <f>IF($AD720="","",P720-O720*AB720/100)</f>
        <v/>
      </c>
    </row>
    <row r="721">
      <c r="A721" s="12" t="n"/>
      <c r="B721">
        <f>IF($AD721="","",INDEX('Per Line'!$E$2:$E$3001,$AD721)&amp;"")</f>
        <v/>
      </c>
      <c r="C721">
        <f>IF($AD721="","",INDEX('Per Line'!$A$2:$A$3001,$AD721)&amp;"")</f>
        <v/>
      </c>
      <c r="D721">
        <f>IF($AD721="","",INDEX('Per Line'!$C$2:$C$3001,$AD721)&amp;"")</f>
        <v/>
      </c>
      <c r="E721">
        <f>IF($AD721="","",INDEX('Per Line'!$B$2:$B$3001,$AD721))</f>
        <v/>
      </c>
      <c r="F721">
        <f>IF($AD721="","",INDEX('Per Line'!$D$2:$D$3001,$AD721)&amp;"")</f>
        <v/>
      </c>
      <c r="G721" s="11">
        <f>IF($AD721="","",INDEX('Per Line'!$G$2:$G$3001,$AD721))</f>
        <v/>
      </c>
      <c r="H721">
        <f>IF($AD721="","",INDEX('Per Line'!$J$2:$J$3001,$AD721)&amp;"")</f>
        <v/>
      </c>
      <c r="I721">
        <f>IF($AD721="","",INDEX('Per Line'!$H$2:$H$3001,$AD721)&amp;"")</f>
        <v/>
      </c>
      <c r="J721">
        <f>IF($AD721="","",INDEX('Per Line'!$F$2:$F$3001,$AD721)&amp;"")</f>
        <v/>
      </c>
      <c r="K721">
        <f>IF($AD721="","",INDEX('Per Line'!$K$2:$K$3001,$AD721)&amp;"")</f>
        <v/>
      </c>
      <c r="L721">
        <f>IF($AD721="","",INDEX('Per Line'!$L$2:$L$3001,$AD721)&amp;"")</f>
        <v/>
      </c>
      <c r="M721">
        <f>IF($AD721="","",INDEX('Per Line'!$M$2:$M$3001,$AD721)&amp;"")</f>
        <v/>
      </c>
      <c r="N721">
        <f>IF($AD721="","",INDEX('Per Line'!$AC$2:$AC$3001,$AD721)&amp;"")</f>
        <v/>
      </c>
      <c r="O721">
        <f>IF($AD721="","",INDEX('Per Line'!$P$2:$P$3001,$AD721))</f>
        <v/>
      </c>
      <c r="P721" s="7">
        <f>IF($AD721="","",IF(AND(ISNUMBER(Q721),Q721&gt;0,AB721&gt;Q721),O721*Q721/100+(AB721-Q721),O721*AB721/100))</f>
        <v/>
      </c>
      <c r="Q721">
        <f>IF($AD721="","",INDEX('Per Line'!$AG$2:$AG$3001,$AD721))</f>
        <v/>
      </c>
      <c r="R721">
        <f>IF($AD721="","",IF(AND(ISNUMBER(Q721),Q721&gt;0),AB721&gt;Q721,FALSE))</f>
        <v/>
      </c>
      <c r="S721" s="7">
        <f>IF($AD721="","",SUMIFS('Per Line'!$AB$2:$AB$3001,'Per Line'!$E$2:$E$3001,$B721,'Per Line'!$AQ$2:$AQ$3001,1))</f>
        <v/>
      </c>
      <c r="T721">
        <f>IF($AD721="","",Settings!$C$7)</f>
        <v/>
      </c>
      <c r="U721" s="7">
        <f>IF($AD721="","",SUMIFS('Per Line'!$AB$2:$AB$3001,'Per Line'!$E$2:$E$3001,$B721,'Per Line'!$AP$2:$AP$3001,0,'Per Line'!$AQ$2:$AQ$3001,0))</f>
        <v/>
      </c>
      <c r="V721" s="7">
        <f>IF($AD721="","",U721*T721)</f>
        <v/>
      </c>
      <c r="W721">
        <f>IF($AD721="","",Settings!$C$6)</f>
        <v/>
      </c>
      <c r="X721" s="7">
        <f>IF($AD721="","",SUMIFS('Per Line'!$AB$2:$AB$3001,'Per Line'!$E$2:$E$3001,$B721,'Per Line'!$AP$2:$AP$3001,1,'Per Line'!$AQ$2:$AQ$3001,0))</f>
        <v/>
      </c>
      <c r="Y721" s="7">
        <f>IF($AD721="","",X721*W721)</f>
        <v/>
      </c>
      <c r="Z721" s="7">
        <f>IF($AD721="","",Y721+V721)</f>
        <v/>
      </c>
      <c r="AA721" s="7">
        <f>IF($AD721="","",AB721-Z721)</f>
        <v/>
      </c>
      <c r="AB721" s="7">
        <f>IF($AD721="","",U721+X721+S721)</f>
        <v/>
      </c>
      <c r="AC721" s="7">
        <f>IF($AD721="","",AB721-Z721-P721)</f>
        <v/>
      </c>
      <c r="AD721" s="13">
        <f>IF(ROWS($AD$2:$AD721)&lt;=MAX('Per Line'!$AO$2:$AO$3001),MATCH(ROWS($AD$2:$AD721),'Per Line'!$AO$2:$AO$3001,0),"")</f>
        <v/>
      </c>
      <c r="AE721" s="14">
        <f>IF($AD721="","",P721-O721*AB721/100)</f>
        <v/>
      </c>
    </row>
    <row r="722">
      <c r="A722" s="12" t="n"/>
      <c r="B722">
        <f>IF($AD722="","",INDEX('Per Line'!$E$2:$E$3001,$AD722)&amp;"")</f>
        <v/>
      </c>
      <c r="C722">
        <f>IF($AD722="","",INDEX('Per Line'!$A$2:$A$3001,$AD722)&amp;"")</f>
        <v/>
      </c>
      <c r="D722">
        <f>IF($AD722="","",INDEX('Per Line'!$C$2:$C$3001,$AD722)&amp;"")</f>
        <v/>
      </c>
      <c r="E722">
        <f>IF($AD722="","",INDEX('Per Line'!$B$2:$B$3001,$AD722))</f>
        <v/>
      </c>
      <c r="F722">
        <f>IF($AD722="","",INDEX('Per Line'!$D$2:$D$3001,$AD722)&amp;"")</f>
        <v/>
      </c>
      <c r="G722" s="11">
        <f>IF($AD722="","",INDEX('Per Line'!$G$2:$G$3001,$AD722))</f>
        <v/>
      </c>
      <c r="H722">
        <f>IF($AD722="","",INDEX('Per Line'!$J$2:$J$3001,$AD722)&amp;"")</f>
        <v/>
      </c>
      <c r="I722">
        <f>IF($AD722="","",INDEX('Per Line'!$H$2:$H$3001,$AD722)&amp;"")</f>
        <v/>
      </c>
      <c r="J722">
        <f>IF($AD722="","",INDEX('Per Line'!$F$2:$F$3001,$AD722)&amp;"")</f>
        <v/>
      </c>
      <c r="K722">
        <f>IF($AD722="","",INDEX('Per Line'!$K$2:$K$3001,$AD722)&amp;"")</f>
        <v/>
      </c>
      <c r="L722">
        <f>IF($AD722="","",INDEX('Per Line'!$L$2:$L$3001,$AD722)&amp;"")</f>
        <v/>
      </c>
      <c r="M722">
        <f>IF($AD722="","",INDEX('Per Line'!$M$2:$M$3001,$AD722)&amp;"")</f>
        <v/>
      </c>
      <c r="N722">
        <f>IF($AD722="","",INDEX('Per Line'!$AC$2:$AC$3001,$AD722)&amp;"")</f>
        <v/>
      </c>
      <c r="O722">
        <f>IF($AD722="","",INDEX('Per Line'!$P$2:$P$3001,$AD722))</f>
        <v/>
      </c>
      <c r="P722" s="7">
        <f>IF($AD722="","",IF(AND(ISNUMBER(Q722),Q722&gt;0,AB722&gt;Q722),O722*Q722/100+(AB722-Q722),O722*AB722/100))</f>
        <v/>
      </c>
      <c r="Q722">
        <f>IF($AD722="","",INDEX('Per Line'!$AG$2:$AG$3001,$AD722))</f>
        <v/>
      </c>
      <c r="R722">
        <f>IF($AD722="","",IF(AND(ISNUMBER(Q722),Q722&gt;0),AB722&gt;Q722,FALSE))</f>
        <v/>
      </c>
      <c r="S722" s="7">
        <f>IF($AD722="","",SUMIFS('Per Line'!$AB$2:$AB$3001,'Per Line'!$E$2:$E$3001,$B722,'Per Line'!$AQ$2:$AQ$3001,1))</f>
        <v/>
      </c>
      <c r="T722">
        <f>IF($AD722="","",Settings!$C$7)</f>
        <v/>
      </c>
      <c r="U722" s="7">
        <f>IF($AD722="","",SUMIFS('Per Line'!$AB$2:$AB$3001,'Per Line'!$E$2:$E$3001,$B722,'Per Line'!$AP$2:$AP$3001,0,'Per Line'!$AQ$2:$AQ$3001,0))</f>
        <v/>
      </c>
      <c r="V722" s="7">
        <f>IF($AD722="","",U722*T722)</f>
        <v/>
      </c>
      <c r="W722">
        <f>IF($AD722="","",Settings!$C$6)</f>
        <v/>
      </c>
      <c r="X722" s="7">
        <f>IF($AD722="","",SUMIFS('Per Line'!$AB$2:$AB$3001,'Per Line'!$E$2:$E$3001,$B722,'Per Line'!$AP$2:$AP$3001,1,'Per Line'!$AQ$2:$AQ$3001,0))</f>
        <v/>
      </c>
      <c r="Y722" s="7">
        <f>IF($AD722="","",X722*W722)</f>
        <v/>
      </c>
      <c r="Z722" s="7">
        <f>IF($AD722="","",Y722+V722)</f>
        <v/>
      </c>
      <c r="AA722" s="7">
        <f>IF($AD722="","",AB722-Z722)</f>
        <v/>
      </c>
      <c r="AB722" s="7">
        <f>IF($AD722="","",U722+X722+S722)</f>
        <v/>
      </c>
      <c r="AC722" s="7">
        <f>IF($AD722="","",AB722-Z722-P722)</f>
        <v/>
      </c>
      <c r="AD722" s="13">
        <f>IF(ROWS($AD$2:$AD722)&lt;=MAX('Per Line'!$AO$2:$AO$3001),MATCH(ROWS($AD$2:$AD722),'Per Line'!$AO$2:$AO$3001,0),"")</f>
        <v/>
      </c>
      <c r="AE722" s="14">
        <f>IF($AD722="","",P722-O722*AB722/100)</f>
        <v/>
      </c>
    </row>
    <row r="723">
      <c r="A723" s="12" t="n"/>
      <c r="B723">
        <f>IF($AD723="","",INDEX('Per Line'!$E$2:$E$3001,$AD723)&amp;"")</f>
        <v/>
      </c>
      <c r="C723">
        <f>IF($AD723="","",INDEX('Per Line'!$A$2:$A$3001,$AD723)&amp;"")</f>
        <v/>
      </c>
      <c r="D723">
        <f>IF($AD723="","",INDEX('Per Line'!$C$2:$C$3001,$AD723)&amp;"")</f>
        <v/>
      </c>
      <c r="E723">
        <f>IF($AD723="","",INDEX('Per Line'!$B$2:$B$3001,$AD723))</f>
        <v/>
      </c>
      <c r="F723">
        <f>IF($AD723="","",INDEX('Per Line'!$D$2:$D$3001,$AD723)&amp;"")</f>
        <v/>
      </c>
      <c r="G723" s="11">
        <f>IF($AD723="","",INDEX('Per Line'!$G$2:$G$3001,$AD723))</f>
        <v/>
      </c>
      <c r="H723">
        <f>IF($AD723="","",INDEX('Per Line'!$J$2:$J$3001,$AD723)&amp;"")</f>
        <v/>
      </c>
      <c r="I723">
        <f>IF($AD723="","",INDEX('Per Line'!$H$2:$H$3001,$AD723)&amp;"")</f>
        <v/>
      </c>
      <c r="J723">
        <f>IF($AD723="","",INDEX('Per Line'!$F$2:$F$3001,$AD723)&amp;"")</f>
        <v/>
      </c>
      <c r="K723">
        <f>IF($AD723="","",INDEX('Per Line'!$K$2:$K$3001,$AD723)&amp;"")</f>
        <v/>
      </c>
      <c r="L723">
        <f>IF($AD723="","",INDEX('Per Line'!$L$2:$L$3001,$AD723)&amp;"")</f>
        <v/>
      </c>
      <c r="M723">
        <f>IF($AD723="","",INDEX('Per Line'!$M$2:$M$3001,$AD723)&amp;"")</f>
        <v/>
      </c>
      <c r="N723">
        <f>IF($AD723="","",INDEX('Per Line'!$AC$2:$AC$3001,$AD723)&amp;"")</f>
        <v/>
      </c>
      <c r="O723">
        <f>IF($AD723="","",INDEX('Per Line'!$P$2:$P$3001,$AD723))</f>
        <v/>
      </c>
      <c r="P723" s="7">
        <f>IF($AD723="","",IF(AND(ISNUMBER(Q723),Q723&gt;0,AB723&gt;Q723),O723*Q723/100+(AB723-Q723),O723*AB723/100))</f>
        <v/>
      </c>
      <c r="Q723">
        <f>IF($AD723="","",INDEX('Per Line'!$AG$2:$AG$3001,$AD723))</f>
        <v/>
      </c>
      <c r="R723">
        <f>IF($AD723="","",IF(AND(ISNUMBER(Q723),Q723&gt;0),AB723&gt;Q723,FALSE))</f>
        <v/>
      </c>
      <c r="S723" s="7">
        <f>IF($AD723="","",SUMIFS('Per Line'!$AB$2:$AB$3001,'Per Line'!$E$2:$E$3001,$B723,'Per Line'!$AQ$2:$AQ$3001,1))</f>
        <v/>
      </c>
      <c r="T723">
        <f>IF($AD723="","",Settings!$C$7)</f>
        <v/>
      </c>
      <c r="U723" s="7">
        <f>IF($AD723="","",SUMIFS('Per Line'!$AB$2:$AB$3001,'Per Line'!$E$2:$E$3001,$B723,'Per Line'!$AP$2:$AP$3001,0,'Per Line'!$AQ$2:$AQ$3001,0))</f>
        <v/>
      </c>
      <c r="V723" s="7">
        <f>IF($AD723="","",U723*T723)</f>
        <v/>
      </c>
      <c r="W723">
        <f>IF($AD723="","",Settings!$C$6)</f>
        <v/>
      </c>
      <c r="X723" s="7">
        <f>IF($AD723="","",SUMIFS('Per Line'!$AB$2:$AB$3001,'Per Line'!$E$2:$E$3001,$B723,'Per Line'!$AP$2:$AP$3001,1,'Per Line'!$AQ$2:$AQ$3001,0))</f>
        <v/>
      </c>
      <c r="Y723" s="7">
        <f>IF($AD723="","",X723*W723)</f>
        <v/>
      </c>
      <c r="Z723" s="7">
        <f>IF($AD723="","",Y723+V723)</f>
        <v/>
      </c>
      <c r="AA723" s="7">
        <f>IF($AD723="","",AB723-Z723)</f>
        <v/>
      </c>
      <c r="AB723" s="7">
        <f>IF($AD723="","",U723+X723+S723)</f>
        <v/>
      </c>
      <c r="AC723" s="7">
        <f>IF($AD723="","",AB723-Z723-P723)</f>
        <v/>
      </c>
      <c r="AD723" s="13">
        <f>IF(ROWS($AD$2:$AD723)&lt;=MAX('Per Line'!$AO$2:$AO$3001),MATCH(ROWS($AD$2:$AD723),'Per Line'!$AO$2:$AO$3001,0),"")</f>
        <v/>
      </c>
      <c r="AE723" s="14">
        <f>IF($AD723="","",P723-O723*AB723/100)</f>
        <v/>
      </c>
    </row>
    <row r="724">
      <c r="A724" s="12" t="n"/>
      <c r="B724">
        <f>IF($AD724="","",INDEX('Per Line'!$E$2:$E$3001,$AD724)&amp;"")</f>
        <v/>
      </c>
      <c r="C724">
        <f>IF($AD724="","",INDEX('Per Line'!$A$2:$A$3001,$AD724)&amp;"")</f>
        <v/>
      </c>
      <c r="D724">
        <f>IF($AD724="","",INDEX('Per Line'!$C$2:$C$3001,$AD724)&amp;"")</f>
        <v/>
      </c>
      <c r="E724">
        <f>IF($AD724="","",INDEX('Per Line'!$B$2:$B$3001,$AD724))</f>
        <v/>
      </c>
      <c r="F724">
        <f>IF($AD724="","",INDEX('Per Line'!$D$2:$D$3001,$AD724)&amp;"")</f>
        <v/>
      </c>
      <c r="G724" s="11">
        <f>IF($AD724="","",INDEX('Per Line'!$G$2:$G$3001,$AD724))</f>
        <v/>
      </c>
      <c r="H724">
        <f>IF($AD724="","",INDEX('Per Line'!$J$2:$J$3001,$AD724)&amp;"")</f>
        <v/>
      </c>
      <c r="I724">
        <f>IF($AD724="","",INDEX('Per Line'!$H$2:$H$3001,$AD724)&amp;"")</f>
        <v/>
      </c>
      <c r="J724">
        <f>IF($AD724="","",INDEX('Per Line'!$F$2:$F$3001,$AD724)&amp;"")</f>
        <v/>
      </c>
      <c r="K724">
        <f>IF($AD724="","",INDEX('Per Line'!$K$2:$K$3001,$AD724)&amp;"")</f>
        <v/>
      </c>
      <c r="L724">
        <f>IF($AD724="","",INDEX('Per Line'!$L$2:$L$3001,$AD724)&amp;"")</f>
        <v/>
      </c>
      <c r="M724">
        <f>IF($AD724="","",INDEX('Per Line'!$M$2:$M$3001,$AD724)&amp;"")</f>
        <v/>
      </c>
      <c r="N724">
        <f>IF($AD724="","",INDEX('Per Line'!$AC$2:$AC$3001,$AD724)&amp;"")</f>
        <v/>
      </c>
      <c r="O724">
        <f>IF($AD724="","",INDEX('Per Line'!$P$2:$P$3001,$AD724))</f>
        <v/>
      </c>
      <c r="P724" s="7">
        <f>IF($AD724="","",IF(AND(ISNUMBER(Q724),Q724&gt;0,AB724&gt;Q724),O724*Q724/100+(AB724-Q724),O724*AB724/100))</f>
        <v/>
      </c>
      <c r="Q724">
        <f>IF($AD724="","",INDEX('Per Line'!$AG$2:$AG$3001,$AD724))</f>
        <v/>
      </c>
      <c r="R724">
        <f>IF($AD724="","",IF(AND(ISNUMBER(Q724),Q724&gt;0),AB724&gt;Q724,FALSE))</f>
        <v/>
      </c>
      <c r="S724" s="7">
        <f>IF($AD724="","",SUMIFS('Per Line'!$AB$2:$AB$3001,'Per Line'!$E$2:$E$3001,$B724,'Per Line'!$AQ$2:$AQ$3001,1))</f>
        <v/>
      </c>
      <c r="T724">
        <f>IF($AD724="","",Settings!$C$7)</f>
        <v/>
      </c>
      <c r="U724" s="7">
        <f>IF($AD724="","",SUMIFS('Per Line'!$AB$2:$AB$3001,'Per Line'!$E$2:$E$3001,$B724,'Per Line'!$AP$2:$AP$3001,0,'Per Line'!$AQ$2:$AQ$3001,0))</f>
        <v/>
      </c>
      <c r="V724" s="7">
        <f>IF($AD724="","",U724*T724)</f>
        <v/>
      </c>
      <c r="W724">
        <f>IF($AD724="","",Settings!$C$6)</f>
        <v/>
      </c>
      <c r="X724" s="7">
        <f>IF($AD724="","",SUMIFS('Per Line'!$AB$2:$AB$3001,'Per Line'!$E$2:$E$3001,$B724,'Per Line'!$AP$2:$AP$3001,1,'Per Line'!$AQ$2:$AQ$3001,0))</f>
        <v/>
      </c>
      <c r="Y724" s="7">
        <f>IF($AD724="","",X724*W724)</f>
        <v/>
      </c>
      <c r="Z724" s="7">
        <f>IF($AD724="","",Y724+V724)</f>
        <v/>
      </c>
      <c r="AA724" s="7">
        <f>IF($AD724="","",AB724-Z724)</f>
        <v/>
      </c>
      <c r="AB724" s="7">
        <f>IF($AD724="","",U724+X724+S724)</f>
        <v/>
      </c>
      <c r="AC724" s="7">
        <f>IF($AD724="","",AB724-Z724-P724)</f>
        <v/>
      </c>
      <c r="AD724" s="13">
        <f>IF(ROWS($AD$2:$AD724)&lt;=MAX('Per Line'!$AO$2:$AO$3001),MATCH(ROWS($AD$2:$AD724),'Per Line'!$AO$2:$AO$3001,0),"")</f>
        <v/>
      </c>
      <c r="AE724" s="14">
        <f>IF($AD724="","",P724-O724*AB724/100)</f>
        <v/>
      </c>
    </row>
    <row r="725">
      <c r="A725" s="12" t="n"/>
      <c r="B725">
        <f>IF($AD725="","",INDEX('Per Line'!$E$2:$E$3001,$AD725)&amp;"")</f>
        <v/>
      </c>
      <c r="C725">
        <f>IF($AD725="","",INDEX('Per Line'!$A$2:$A$3001,$AD725)&amp;"")</f>
        <v/>
      </c>
      <c r="D725">
        <f>IF($AD725="","",INDEX('Per Line'!$C$2:$C$3001,$AD725)&amp;"")</f>
        <v/>
      </c>
      <c r="E725">
        <f>IF($AD725="","",INDEX('Per Line'!$B$2:$B$3001,$AD725))</f>
        <v/>
      </c>
      <c r="F725">
        <f>IF($AD725="","",INDEX('Per Line'!$D$2:$D$3001,$AD725)&amp;"")</f>
        <v/>
      </c>
      <c r="G725" s="11">
        <f>IF($AD725="","",INDEX('Per Line'!$G$2:$G$3001,$AD725))</f>
        <v/>
      </c>
      <c r="H725">
        <f>IF($AD725="","",INDEX('Per Line'!$J$2:$J$3001,$AD725)&amp;"")</f>
        <v/>
      </c>
      <c r="I725">
        <f>IF($AD725="","",INDEX('Per Line'!$H$2:$H$3001,$AD725)&amp;"")</f>
        <v/>
      </c>
      <c r="J725">
        <f>IF($AD725="","",INDEX('Per Line'!$F$2:$F$3001,$AD725)&amp;"")</f>
        <v/>
      </c>
      <c r="K725">
        <f>IF($AD725="","",INDEX('Per Line'!$K$2:$K$3001,$AD725)&amp;"")</f>
        <v/>
      </c>
      <c r="L725">
        <f>IF($AD725="","",INDEX('Per Line'!$L$2:$L$3001,$AD725)&amp;"")</f>
        <v/>
      </c>
      <c r="M725">
        <f>IF($AD725="","",INDEX('Per Line'!$M$2:$M$3001,$AD725)&amp;"")</f>
        <v/>
      </c>
      <c r="N725">
        <f>IF($AD725="","",INDEX('Per Line'!$AC$2:$AC$3001,$AD725)&amp;"")</f>
        <v/>
      </c>
      <c r="O725">
        <f>IF($AD725="","",INDEX('Per Line'!$P$2:$P$3001,$AD725))</f>
        <v/>
      </c>
      <c r="P725" s="7">
        <f>IF($AD725="","",IF(AND(ISNUMBER(Q725),Q725&gt;0,AB725&gt;Q725),O725*Q725/100+(AB725-Q725),O725*AB725/100))</f>
        <v/>
      </c>
      <c r="Q725">
        <f>IF($AD725="","",INDEX('Per Line'!$AG$2:$AG$3001,$AD725))</f>
        <v/>
      </c>
      <c r="R725">
        <f>IF($AD725="","",IF(AND(ISNUMBER(Q725),Q725&gt;0),AB725&gt;Q725,FALSE))</f>
        <v/>
      </c>
      <c r="S725" s="7">
        <f>IF($AD725="","",SUMIFS('Per Line'!$AB$2:$AB$3001,'Per Line'!$E$2:$E$3001,$B725,'Per Line'!$AQ$2:$AQ$3001,1))</f>
        <v/>
      </c>
      <c r="T725">
        <f>IF($AD725="","",Settings!$C$7)</f>
        <v/>
      </c>
      <c r="U725" s="7">
        <f>IF($AD725="","",SUMIFS('Per Line'!$AB$2:$AB$3001,'Per Line'!$E$2:$E$3001,$B725,'Per Line'!$AP$2:$AP$3001,0,'Per Line'!$AQ$2:$AQ$3001,0))</f>
        <v/>
      </c>
      <c r="V725" s="7">
        <f>IF($AD725="","",U725*T725)</f>
        <v/>
      </c>
      <c r="W725">
        <f>IF($AD725="","",Settings!$C$6)</f>
        <v/>
      </c>
      <c r="X725" s="7">
        <f>IF($AD725="","",SUMIFS('Per Line'!$AB$2:$AB$3001,'Per Line'!$E$2:$E$3001,$B725,'Per Line'!$AP$2:$AP$3001,1,'Per Line'!$AQ$2:$AQ$3001,0))</f>
        <v/>
      </c>
      <c r="Y725" s="7">
        <f>IF($AD725="","",X725*W725)</f>
        <v/>
      </c>
      <c r="Z725" s="7">
        <f>IF($AD725="","",Y725+V725)</f>
        <v/>
      </c>
      <c r="AA725" s="7">
        <f>IF($AD725="","",AB725-Z725)</f>
        <v/>
      </c>
      <c r="AB725" s="7">
        <f>IF($AD725="","",U725+X725+S725)</f>
        <v/>
      </c>
      <c r="AC725" s="7">
        <f>IF($AD725="","",AB725-Z725-P725)</f>
        <v/>
      </c>
      <c r="AD725" s="13">
        <f>IF(ROWS($AD$2:$AD725)&lt;=MAX('Per Line'!$AO$2:$AO$3001),MATCH(ROWS($AD$2:$AD725),'Per Line'!$AO$2:$AO$3001,0),"")</f>
        <v/>
      </c>
      <c r="AE725" s="14">
        <f>IF($AD725="","",P725-O725*AB725/100)</f>
        <v/>
      </c>
    </row>
    <row r="726">
      <c r="A726" s="12" t="n"/>
      <c r="B726">
        <f>IF($AD726="","",INDEX('Per Line'!$E$2:$E$3001,$AD726)&amp;"")</f>
        <v/>
      </c>
      <c r="C726">
        <f>IF($AD726="","",INDEX('Per Line'!$A$2:$A$3001,$AD726)&amp;"")</f>
        <v/>
      </c>
      <c r="D726">
        <f>IF($AD726="","",INDEX('Per Line'!$C$2:$C$3001,$AD726)&amp;"")</f>
        <v/>
      </c>
      <c r="E726">
        <f>IF($AD726="","",INDEX('Per Line'!$B$2:$B$3001,$AD726))</f>
        <v/>
      </c>
      <c r="F726">
        <f>IF($AD726="","",INDEX('Per Line'!$D$2:$D$3001,$AD726)&amp;"")</f>
        <v/>
      </c>
      <c r="G726" s="11">
        <f>IF($AD726="","",INDEX('Per Line'!$G$2:$G$3001,$AD726))</f>
        <v/>
      </c>
      <c r="H726">
        <f>IF($AD726="","",INDEX('Per Line'!$J$2:$J$3001,$AD726)&amp;"")</f>
        <v/>
      </c>
      <c r="I726">
        <f>IF($AD726="","",INDEX('Per Line'!$H$2:$H$3001,$AD726)&amp;"")</f>
        <v/>
      </c>
      <c r="J726">
        <f>IF($AD726="","",INDEX('Per Line'!$F$2:$F$3001,$AD726)&amp;"")</f>
        <v/>
      </c>
      <c r="K726">
        <f>IF($AD726="","",INDEX('Per Line'!$K$2:$K$3001,$AD726)&amp;"")</f>
        <v/>
      </c>
      <c r="L726">
        <f>IF($AD726="","",INDEX('Per Line'!$L$2:$L$3001,$AD726)&amp;"")</f>
        <v/>
      </c>
      <c r="M726">
        <f>IF($AD726="","",INDEX('Per Line'!$M$2:$M$3001,$AD726)&amp;"")</f>
        <v/>
      </c>
      <c r="N726">
        <f>IF($AD726="","",INDEX('Per Line'!$AC$2:$AC$3001,$AD726)&amp;"")</f>
        <v/>
      </c>
      <c r="O726">
        <f>IF($AD726="","",INDEX('Per Line'!$P$2:$P$3001,$AD726))</f>
        <v/>
      </c>
      <c r="P726" s="7">
        <f>IF($AD726="","",IF(AND(ISNUMBER(Q726),Q726&gt;0,AB726&gt;Q726),O726*Q726/100+(AB726-Q726),O726*AB726/100))</f>
        <v/>
      </c>
      <c r="Q726">
        <f>IF($AD726="","",INDEX('Per Line'!$AG$2:$AG$3001,$AD726))</f>
        <v/>
      </c>
      <c r="R726">
        <f>IF($AD726="","",IF(AND(ISNUMBER(Q726),Q726&gt;0),AB726&gt;Q726,FALSE))</f>
        <v/>
      </c>
      <c r="S726" s="7">
        <f>IF($AD726="","",SUMIFS('Per Line'!$AB$2:$AB$3001,'Per Line'!$E$2:$E$3001,$B726,'Per Line'!$AQ$2:$AQ$3001,1))</f>
        <v/>
      </c>
      <c r="T726">
        <f>IF($AD726="","",Settings!$C$7)</f>
        <v/>
      </c>
      <c r="U726" s="7">
        <f>IF($AD726="","",SUMIFS('Per Line'!$AB$2:$AB$3001,'Per Line'!$E$2:$E$3001,$B726,'Per Line'!$AP$2:$AP$3001,0,'Per Line'!$AQ$2:$AQ$3001,0))</f>
        <v/>
      </c>
      <c r="V726" s="7">
        <f>IF($AD726="","",U726*T726)</f>
        <v/>
      </c>
      <c r="W726">
        <f>IF($AD726="","",Settings!$C$6)</f>
        <v/>
      </c>
      <c r="X726" s="7">
        <f>IF($AD726="","",SUMIFS('Per Line'!$AB$2:$AB$3001,'Per Line'!$E$2:$E$3001,$B726,'Per Line'!$AP$2:$AP$3001,1,'Per Line'!$AQ$2:$AQ$3001,0))</f>
        <v/>
      </c>
      <c r="Y726" s="7">
        <f>IF($AD726="","",X726*W726)</f>
        <v/>
      </c>
      <c r="Z726" s="7">
        <f>IF($AD726="","",Y726+V726)</f>
        <v/>
      </c>
      <c r="AA726" s="7">
        <f>IF($AD726="","",AB726-Z726)</f>
        <v/>
      </c>
      <c r="AB726" s="7">
        <f>IF($AD726="","",U726+X726+S726)</f>
        <v/>
      </c>
      <c r="AC726" s="7">
        <f>IF($AD726="","",AB726-Z726-P726)</f>
        <v/>
      </c>
      <c r="AD726" s="13">
        <f>IF(ROWS($AD$2:$AD726)&lt;=MAX('Per Line'!$AO$2:$AO$3001),MATCH(ROWS($AD$2:$AD726),'Per Line'!$AO$2:$AO$3001,0),"")</f>
        <v/>
      </c>
      <c r="AE726" s="14">
        <f>IF($AD726="","",P726-O726*AB726/100)</f>
        <v/>
      </c>
    </row>
    <row r="727">
      <c r="A727" s="12" t="n"/>
      <c r="B727">
        <f>IF($AD727="","",INDEX('Per Line'!$E$2:$E$3001,$AD727)&amp;"")</f>
        <v/>
      </c>
      <c r="C727">
        <f>IF($AD727="","",INDEX('Per Line'!$A$2:$A$3001,$AD727)&amp;"")</f>
        <v/>
      </c>
      <c r="D727">
        <f>IF($AD727="","",INDEX('Per Line'!$C$2:$C$3001,$AD727)&amp;"")</f>
        <v/>
      </c>
      <c r="E727">
        <f>IF($AD727="","",INDEX('Per Line'!$B$2:$B$3001,$AD727))</f>
        <v/>
      </c>
      <c r="F727">
        <f>IF($AD727="","",INDEX('Per Line'!$D$2:$D$3001,$AD727)&amp;"")</f>
        <v/>
      </c>
      <c r="G727" s="11">
        <f>IF($AD727="","",INDEX('Per Line'!$G$2:$G$3001,$AD727))</f>
        <v/>
      </c>
      <c r="H727">
        <f>IF($AD727="","",INDEX('Per Line'!$J$2:$J$3001,$AD727)&amp;"")</f>
        <v/>
      </c>
      <c r="I727">
        <f>IF($AD727="","",INDEX('Per Line'!$H$2:$H$3001,$AD727)&amp;"")</f>
        <v/>
      </c>
      <c r="J727">
        <f>IF($AD727="","",INDEX('Per Line'!$F$2:$F$3001,$AD727)&amp;"")</f>
        <v/>
      </c>
      <c r="K727">
        <f>IF($AD727="","",INDEX('Per Line'!$K$2:$K$3001,$AD727)&amp;"")</f>
        <v/>
      </c>
      <c r="L727">
        <f>IF($AD727="","",INDEX('Per Line'!$L$2:$L$3001,$AD727)&amp;"")</f>
        <v/>
      </c>
      <c r="M727">
        <f>IF($AD727="","",INDEX('Per Line'!$M$2:$M$3001,$AD727)&amp;"")</f>
        <v/>
      </c>
      <c r="N727">
        <f>IF($AD727="","",INDEX('Per Line'!$AC$2:$AC$3001,$AD727)&amp;"")</f>
        <v/>
      </c>
      <c r="O727">
        <f>IF($AD727="","",INDEX('Per Line'!$P$2:$P$3001,$AD727))</f>
        <v/>
      </c>
      <c r="P727" s="7">
        <f>IF($AD727="","",IF(AND(ISNUMBER(Q727),Q727&gt;0,AB727&gt;Q727),O727*Q727/100+(AB727-Q727),O727*AB727/100))</f>
        <v/>
      </c>
      <c r="Q727">
        <f>IF($AD727="","",INDEX('Per Line'!$AG$2:$AG$3001,$AD727))</f>
        <v/>
      </c>
      <c r="R727">
        <f>IF($AD727="","",IF(AND(ISNUMBER(Q727),Q727&gt;0),AB727&gt;Q727,FALSE))</f>
        <v/>
      </c>
      <c r="S727" s="7">
        <f>IF($AD727="","",SUMIFS('Per Line'!$AB$2:$AB$3001,'Per Line'!$E$2:$E$3001,$B727,'Per Line'!$AQ$2:$AQ$3001,1))</f>
        <v/>
      </c>
      <c r="T727">
        <f>IF($AD727="","",Settings!$C$7)</f>
        <v/>
      </c>
      <c r="U727" s="7">
        <f>IF($AD727="","",SUMIFS('Per Line'!$AB$2:$AB$3001,'Per Line'!$E$2:$E$3001,$B727,'Per Line'!$AP$2:$AP$3001,0,'Per Line'!$AQ$2:$AQ$3001,0))</f>
        <v/>
      </c>
      <c r="V727" s="7">
        <f>IF($AD727="","",U727*T727)</f>
        <v/>
      </c>
      <c r="W727">
        <f>IF($AD727="","",Settings!$C$6)</f>
        <v/>
      </c>
      <c r="X727" s="7">
        <f>IF($AD727="","",SUMIFS('Per Line'!$AB$2:$AB$3001,'Per Line'!$E$2:$E$3001,$B727,'Per Line'!$AP$2:$AP$3001,1,'Per Line'!$AQ$2:$AQ$3001,0))</f>
        <v/>
      </c>
      <c r="Y727" s="7">
        <f>IF($AD727="","",X727*W727)</f>
        <v/>
      </c>
      <c r="Z727" s="7">
        <f>IF($AD727="","",Y727+V727)</f>
        <v/>
      </c>
      <c r="AA727" s="7">
        <f>IF($AD727="","",AB727-Z727)</f>
        <v/>
      </c>
      <c r="AB727" s="7">
        <f>IF($AD727="","",U727+X727+S727)</f>
        <v/>
      </c>
      <c r="AC727" s="7">
        <f>IF($AD727="","",AB727-Z727-P727)</f>
        <v/>
      </c>
      <c r="AD727" s="13">
        <f>IF(ROWS($AD$2:$AD727)&lt;=MAX('Per Line'!$AO$2:$AO$3001),MATCH(ROWS($AD$2:$AD727),'Per Line'!$AO$2:$AO$3001,0),"")</f>
        <v/>
      </c>
      <c r="AE727" s="14">
        <f>IF($AD727="","",P727-O727*AB727/100)</f>
        <v/>
      </c>
    </row>
    <row r="728">
      <c r="A728" s="12" t="n"/>
      <c r="B728">
        <f>IF($AD728="","",INDEX('Per Line'!$E$2:$E$3001,$AD728)&amp;"")</f>
        <v/>
      </c>
      <c r="C728">
        <f>IF($AD728="","",INDEX('Per Line'!$A$2:$A$3001,$AD728)&amp;"")</f>
        <v/>
      </c>
      <c r="D728">
        <f>IF($AD728="","",INDEX('Per Line'!$C$2:$C$3001,$AD728)&amp;"")</f>
        <v/>
      </c>
      <c r="E728">
        <f>IF($AD728="","",INDEX('Per Line'!$B$2:$B$3001,$AD728))</f>
        <v/>
      </c>
      <c r="F728">
        <f>IF($AD728="","",INDEX('Per Line'!$D$2:$D$3001,$AD728)&amp;"")</f>
        <v/>
      </c>
      <c r="G728" s="11">
        <f>IF($AD728="","",INDEX('Per Line'!$G$2:$G$3001,$AD728))</f>
        <v/>
      </c>
      <c r="H728">
        <f>IF($AD728="","",INDEX('Per Line'!$J$2:$J$3001,$AD728)&amp;"")</f>
        <v/>
      </c>
      <c r="I728">
        <f>IF($AD728="","",INDEX('Per Line'!$H$2:$H$3001,$AD728)&amp;"")</f>
        <v/>
      </c>
      <c r="J728">
        <f>IF($AD728="","",INDEX('Per Line'!$F$2:$F$3001,$AD728)&amp;"")</f>
        <v/>
      </c>
      <c r="K728">
        <f>IF($AD728="","",INDEX('Per Line'!$K$2:$K$3001,$AD728)&amp;"")</f>
        <v/>
      </c>
      <c r="L728">
        <f>IF($AD728="","",INDEX('Per Line'!$L$2:$L$3001,$AD728)&amp;"")</f>
        <v/>
      </c>
      <c r="M728">
        <f>IF($AD728="","",INDEX('Per Line'!$M$2:$M$3001,$AD728)&amp;"")</f>
        <v/>
      </c>
      <c r="N728">
        <f>IF($AD728="","",INDEX('Per Line'!$AC$2:$AC$3001,$AD728)&amp;"")</f>
        <v/>
      </c>
      <c r="O728">
        <f>IF($AD728="","",INDEX('Per Line'!$P$2:$P$3001,$AD728))</f>
        <v/>
      </c>
      <c r="P728" s="7">
        <f>IF($AD728="","",IF(AND(ISNUMBER(Q728),Q728&gt;0,AB728&gt;Q728),O728*Q728/100+(AB728-Q728),O728*AB728/100))</f>
        <v/>
      </c>
      <c r="Q728">
        <f>IF($AD728="","",INDEX('Per Line'!$AG$2:$AG$3001,$AD728))</f>
        <v/>
      </c>
      <c r="R728">
        <f>IF($AD728="","",IF(AND(ISNUMBER(Q728),Q728&gt;0),AB728&gt;Q728,FALSE))</f>
        <v/>
      </c>
      <c r="S728" s="7">
        <f>IF($AD728="","",SUMIFS('Per Line'!$AB$2:$AB$3001,'Per Line'!$E$2:$E$3001,$B728,'Per Line'!$AQ$2:$AQ$3001,1))</f>
        <v/>
      </c>
      <c r="T728">
        <f>IF($AD728="","",Settings!$C$7)</f>
        <v/>
      </c>
      <c r="U728" s="7">
        <f>IF($AD728="","",SUMIFS('Per Line'!$AB$2:$AB$3001,'Per Line'!$E$2:$E$3001,$B728,'Per Line'!$AP$2:$AP$3001,0,'Per Line'!$AQ$2:$AQ$3001,0))</f>
        <v/>
      </c>
      <c r="V728" s="7">
        <f>IF($AD728="","",U728*T728)</f>
        <v/>
      </c>
      <c r="W728">
        <f>IF($AD728="","",Settings!$C$6)</f>
        <v/>
      </c>
      <c r="X728" s="7">
        <f>IF($AD728="","",SUMIFS('Per Line'!$AB$2:$AB$3001,'Per Line'!$E$2:$E$3001,$B728,'Per Line'!$AP$2:$AP$3001,1,'Per Line'!$AQ$2:$AQ$3001,0))</f>
        <v/>
      </c>
      <c r="Y728" s="7">
        <f>IF($AD728="","",X728*W728)</f>
        <v/>
      </c>
      <c r="Z728" s="7">
        <f>IF($AD728="","",Y728+V728)</f>
        <v/>
      </c>
      <c r="AA728" s="7">
        <f>IF($AD728="","",AB728-Z728)</f>
        <v/>
      </c>
      <c r="AB728" s="7">
        <f>IF($AD728="","",U728+X728+S728)</f>
        <v/>
      </c>
      <c r="AC728" s="7">
        <f>IF($AD728="","",AB728-Z728-P728)</f>
        <v/>
      </c>
      <c r="AD728" s="13">
        <f>IF(ROWS($AD$2:$AD728)&lt;=MAX('Per Line'!$AO$2:$AO$3001),MATCH(ROWS($AD$2:$AD728),'Per Line'!$AO$2:$AO$3001,0),"")</f>
        <v/>
      </c>
      <c r="AE728" s="14">
        <f>IF($AD728="","",P728-O728*AB728/100)</f>
        <v/>
      </c>
    </row>
    <row r="729">
      <c r="A729" s="12" t="n"/>
      <c r="B729">
        <f>IF($AD729="","",INDEX('Per Line'!$E$2:$E$3001,$AD729)&amp;"")</f>
        <v/>
      </c>
      <c r="C729">
        <f>IF($AD729="","",INDEX('Per Line'!$A$2:$A$3001,$AD729)&amp;"")</f>
        <v/>
      </c>
      <c r="D729">
        <f>IF($AD729="","",INDEX('Per Line'!$C$2:$C$3001,$AD729)&amp;"")</f>
        <v/>
      </c>
      <c r="E729">
        <f>IF($AD729="","",INDEX('Per Line'!$B$2:$B$3001,$AD729))</f>
        <v/>
      </c>
      <c r="F729">
        <f>IF($AD729="","",INDEX('Per Line'!$D$2:$D$3001,$AD729)&amp;"")</f>
        <v/>
      </c>
      <c r="G729" s="11">
        <f>IF($AD729="","",INDEX('Per Line'!$G$2:$G$3001,$AD729))</f>
        <v/>
      </c>
      <c r="H729">
        <f>IF($AD729="","",INDEX('Per Line'!$J$2:$J$3001,$AD729)&amp;"")</f>
        <v/>
      </c>
      <c r="I729">
        <f>IF($AD729="","",INDEX('Per Line'!$H$2:$H$3001,$AD729)&amp;"")</f>
        <v/>
      </c>
      <c r="J729">
        <f>IF($AD729="","",INDEX('Per Line'!$F$2:$F$3001,$AD729)&amp;"")</f>
        <v/>
      </c>
      <c r="K729">
        <f>IF($AD729="","",INDEX('Per Line'!$K$2:$K$3001,$AD729)&amp;"")</f>
        <v/>
      </c>
      <c r="L729">
        <f>IF($AD729="","",INDEX('Per Line'!$L$2:$L$3001,$AD729)&amp;"")</f>
        <v/>
      </c>
      <c r="M729">
        <f>IF($AD729="","",INDEX('Per Line'!$M$2:$M$3001,$AD729)&amp;"")</f>
        <v/>
      </c>
      <c r="N729">
        <f>IF($AD729="","",INDEX('Per Line'!$AC$2:$AC$3001,$AD729)&amp;"")</f>
        <v/>
      </c>
      <c r="O729">
        <f>IF($AD729="","",INDEX('Per Line'!$P$2:$P$3001,$AD729))</f>
        <v/>
      </c>
      <c r="P729" s="7">
        <f>IF($AD729="","",IF(AND(ISNUMBER(Q729),Q729&gt;0,AB729&gt;Q729),O729*Q729/100+(AB729-Q729),O729*AB729/100))</f>
        <v/>
      </c>
      <c r="Q729">
        <f>IF($AD729="","",INDEX('Per Line'!$AG$2:$AG$3001,$AD729))</f>
        <v/>
      </c>
      <c r="R729">
        <f>IF($AD729="","",IF(AND(ISNUMBER(Q729),Q729&gt;0),AB729&gt;Q729,FALSE))</f>
        <v/>
      </c>
      <c r="S729" s="7">
        <f>IF($AD729="","",SUMIFS('Per Line'!$AB$2:$AB$3001,'Per Line'!$E$2:$E$3001,$B729,'Per Line'!$AQ$2:$AQ$3001,1))</f>
        <v/>
      </c>
      <c r="T729">
        <f>IF($AD729="","",Settings!$C$7)</f>
        <v/>
      </c>
      <c r="U729" s="7">
        <f>IF($AD729="","",SUMIFS('Per Line'!$AB$2:$AB$3001,'Per Line'!$E$2:$E$3001,$B729,'Per Line'!$AP$2:$AP$3001,0,'Per Line'!$AQ$2:$AQ$3001,0))</f>
        <v/>
      </c>
      <c r="V729" s="7">
        <f>IF($AD729="","",U729*T729)</f>
        <v/>
      </c>
      <c r="W729">
        <f>IF($AD729="","",Settings!$C$6)</f>
        <v/>
      </c>
      <c r="X729" s="7">
        <f>IF($AD729="","",SUMIFS('Per Line'!$AB$2:$AB$3001,'Per Line'!$E$2:$E$3001,$B729,'Per Line'!$AP$2:$AP$3001,1,'Per Line'!$AQ$2:$AQ$3001,0))</f>
        <v/>
      </c>
      <c r="Y729" s="7">
        <f>IF($AD729="","",X729*W729)</f>
        <v/>
      </c>
      <c r="Z729" s="7">
        <f>IF($AD729="","",Y729+V729)</f>
        <v/>
      </c>
      <c r="AA729" s="7">
        <f>IF($AD729="","",AB729-Z729)</f>
        <v/>
      </c>
      <c r="AB729" s="7">
        <f>IF($AD729="","",U729+X729+S729)</f>
        <v/>
      </c>
      <c r="AC729" s="7">
        <f>IF($AD729="","",AB729-Z729-P729)</f>
        <v/>
      </c>
      <c r="AD729" s="13">
        <f>IF(ROWS($AD$2:$AD729)&lt;=MAX('Per Line'!$AO$2:$AO$3001),MATCH(ROWS($AD$2:$AD729),'Per Line'!$AO$2:$AO$3001,0),"")</f>
        <v/>
      </c>
      <c r="AE729" s="14">
        <f>IF($AD729="","",P729-O729*AB729/100)</f>
        <v/>
      </c>
    </row>
    <row r="730">
      <c r="A730" s="12" t="n"/>
      <c r="B730">
        <f>IF($AD730="","",INDEX('Per Line'!$E$2:$E$3001,$AD730)&amp;"")</f>
        <v/>
      </c>
      <c r="C730">
        <f>IF($AD730="","",INDEX('Per Line'!$A$2:$A$3001,$AD730)&amp;"")</f>
        <v/>
      </c>
      <c r="D730">
        <f>IF($AD730="","",INDEX('Per Line'!$C$2:$C$3001,$AD730)&amp;"")</f>
        <v/>
      </c>
      <c r="E730">
        <f>IF($AD730="","",INDEX('Per Line'!$B$2:$B$3001,$AD730))</f>
        <v/>
      </c>
      <c r="F730">
        <f>IF($AD730="","",INDEX('Per Line'!$D$2:$D$3001,$AD730)&amp;"")</f>
        <v/>
      </c>
      <c r="G730" s="11">
        <f>IF($AD730="","",INDEX('Per Line'!$G$2:$G$3001,$AD730))</f>
        <v/>
      </c>
      <c r="H730">
        <f>IF($AD730="","",INDEX('Per Line'!$J$2:$J$3001,$AD730)&amp;"")</f>
        <v/>
      </c>
      <c r="I730">
        <f>IF($AD730="","",INDEX('Per Line'!$H$2:$H$3001,$AD730)&amp;"")</f>
        <v/>
      </c>
      <c r="J730">
        <f>IF($AD730="","",INDEX('Per Line'!$F$2:$F$3001,$AD730)&amp;"")</f>
        <v/>
      </c>
      <c r="K730">
        <f>IF($AD730="","",INDEX('Per Line'!$K$2:$K$3001,$AD730)&amp;"")</f>
        <v/>
      </c>
      <c r="L730">
        <f>IF($AD730="","",INDEX('Per Line'!$L$2:$L$3001,$AD730)&amp;"")</f>
        <v/>
      </c>
      <c r="M730">
        <f>IF($AD730="","",INDEX('Per Line'!$M$2:$M$3001,$AD730)&amp;"")</f>
        <v/>
      </c>
      <c r="N730">
        <f>IF($AD730="","",INDEX('Per Line'!$AC$2:$AC$3001,$AD730)&amp;"")</f>
        <v/>
      </c>
      <c r="O730">
        <f>IF($AD730="","",INDEX('Per Line'!$P$2:$P$3001,$AD730))</f>
        <v/>
      </c>
      <c r="P730" s="7">
        <f>IF($AD730="","",IF(AND(ISNUMBER(Q730),Q730&gt;0,AB730&gt;Q730),O730*Q730/100+(AB730-Q730),O730*AB730/100))</f>
        <v/>
      </c>
      <c r="Q730">
        <f>IF($AD730="","",INDEX('Per Line'!$AG$2:$AG$3001,$AD730))</f>
        <v/>
      </c>
      <c r="R730">
        <f>IF($AD730="","",IF(AND(ISNUMBER(Q730),Q730&gt;0),AB730&gt;Q730,FALSE))</f>
        <v/>
      </c>
      <c r="S730" s="7">
        <f>IF($AD730="","",SUMIFS('Per Line'!$AB$2:$AB$3001,'Per Line'!$E$2:$E$3001,$B730,'Per Line'!$AQ$2:$AQ$3001,1))</f>
        <v/>
      </c>
      <c r="T730">
        <f>IF($AD730="","",Settings!$C$7)</f>
        <v/>
      </c>
      <c r="U730" s="7">
        <f>IF($AD730="","",SUMIFS('Per Line'!$AB$2:$AB$3001,'Per Line'!$E$2:$E$3001,$B730,'Per Line'!$AP$2:$AP$3001,0,'Per Line'!$AQ$2:$AQ$3001,0))</f>
        <v/>
      </c>
      <c r="V730" s="7">
        <f>IF($AD730="","",U730*T730)</f>
        <v/>
      </c>
      <c r="W730">
        <f>IF($AD730="","",Settings!$C$6)</f>
        <v/>
      </c>
      <c r="X730" s="7">
        <f>IF($AD730="","",SUMIFS('Per Line'!$AB$2:$AB$3001,'Per Line'!$E$2:$E$3001,$B730,'Per Line'!$AP$2:$AP$3001,1,'Per Line'!$AQ$2:$AQ$3001,0))</f>
        <v/>
      </c>
      <c r="Y730" s="7">
        <f>IF($AD730="","",X730*W730)</f>
        <v/>
      </c>
      <c r="Z730" s="7">
        <f>IF($AD730="","",Y730+V730)</f>
        <v/>
      </c>
      <c r="AA730" s="7">
        <f>IF($AD730="","",AB730-Z730)</f>
        <v/>
      </c>
      <c r="AB730" s="7">
        <f>IF($AD730="","",U730+X730+S730)</f>
        <v/>
      </c>
      <c r="AC730" s="7">
        <f>IF($AD730="","",AB730-Z730-P730)</f>
        <v/>
      </c>
      <c r="AD730" s="13">
        <f>IF(ROWS($AD$2:$AD730)&lt;=MAX('Per Line'!$AO$2:$AO$3001),MATCH(ROWS($AD$2:$AD730),'Per Line'!$AO$2:$AO$3001,0),"")</f>
        <v/>
      </c>
      <c r="AE730" s="14">
        <f>IF($AD730="","",P730-O730*AB730/100)</f>
        <v/>
      </c>
    </row>
    <row r="731">
      <c r="A731" s="12" t="n"/>
      <c r="B731">
        <f>IF($AD731="","",INDEX('Per Line'!$E$2:$E$3001,$AD731)&amp;"")</f>
        <v/>
      </c>
      <c r="C731">
        <f>IF($AD731="","",INDEX('Per Line'!$A$2:$A$3001,$AD731)&amp;"")</f>
        <v/>
      </c>
      <c r="D731">
        <f>IF($AD731="","",INDEX('Per Line'!$C$2:$C$3001,$AD731)&amp;"")</f>
        <v/>
      </c>
      <c r="E731">
        <f>IF($AD731="","",INDEX('Per Line'!$B$2:$B$3001,$AD731))</f>
        <v/>
      </c>
      <c r="F731">
        <f>IF($AD731="","",INDEX('Per Line'!$D$2:$D$3001,$AD731)&amp;"")</f>
        <v/>
      </c>
      <c r="G731" s="11">
        <f>IF($AD731="","",INDEX('Per Line'!$G$2:$G$3001,$AD731))</f>
        <v/>
      </c>
      <c r="H731">
        <f>IF($AD731="","",INDEX('Per Line'!$J$2:$J$3001,$AD731)&amp;"")</f>
        <v/>
      </c>
      <c r="I731">
        <f>IF($AD731="","",INDEX('Per Line'!$H$2:$H$3001,$AD731)&amp;"")</f>
        <v/>
      </c>
      <c r="J731">
        <f>IF($AD731="","",INDEX('Per Line'!$F$2:$F$3001,$AD731)&amp;"")</f>
        <v/>
      </c>
      <c r="K731">
        <f>IF($AD731="","",INDEX('Per Line'!$K$2:$K$3001,$AD731)&amp;"")</f>
        <v/>
      </c>
      <c r="L731">
        <f>IF($AD731="","",INDEX('Per Line'!$L$2:$L$3001,$AD731)&amp;"")</f>
        <v/>
      </c>
      <c r="M731">
        <f>IF($AD731="","",INDEX('Per Line'!$M$2:$M$3001,$AD731)&amp;"")</f>
        <v/>
      </c>
      <c r="N731">
        <f>IF($AD731="","",INDEX('Per Line'!$AC$2:$AC$3001,$AD731)&amp;"")</f>
        <v/>
      </c>
      <c r="O731">
        <f>IF($AD731="","",INDEX('Per Line'!$P$2:$P$3001,$AD731))</f>
        <v/>
      </c>
      <c r="P731" s="7">
        <f>IF($AD731="","",IF(AND(ISNUMBER(Q731),Q731&gt;0,AB731&gt;Q731),O731*Q731/100+(AB731-Q731),O731*AB731/100))</f>
        <v/>
      </c>
      <c r="Q731">
        <f>IF($AD731="","",INDEX('Per Line'!$AG$2:$AG$3001,$AD731))</f>
        <v/>
      </c>
      <c r="R731">
        <f>IF($AD731="","",IF(AND(ISNUMBER(Q731),Q731&gt;0),AB731&gt;Q731,FALSE))</f>
        <v/>
      </c>
      <c r="S731" s="7">
        <f>IF($AD731="","",SUMIFS('Per Line'!$AB$2:$AB$3001,'Per Line'!$E$2:$E$3001,$B731,'Per Line'!$AQ$2:$AQ$3001,1))</f>
        <v/>
      </c>
      <c r="T731">
        <f>IF($AD731="","",Settings!$C$7)</f>
        <v/>
      </c>
      <c r="U731" s="7">
        <f>IF($AD731="","",SUMIFS('Per Line'!$AB$2:$AB$3001,'Per Line'!$E$2:$E$3001,$B731,'Per Line'!$AP$2:$AP$3001,0,'Per Line'!$AQ$2:$AQ$3001,0))</f>
        <v/>
      </c>
      <c r="V731" s="7">
        <f>IF($AD731="","",U731*T731)</f>
        <v/>
      </c>
      <c r="W731">
        <f>IF($AD731="","",Settings!$C$6)</f>
        <v/>
      </c>
      <c r="X731" s="7">
        <f>IF($AD731="","",SUMIFS('Per Line'!$AB$2:$AB$3001,'Per Line'!$E$2:$E$3001,$B731,'Per Line'!$AP$2:$AP$3001,1,'Per Line'!$AQ$2:$AQ$3001,0))</f>
        <v/>
      </c>
      <c r="Y731" s="7">
        <f>IF($AD731="","",X731*W731)</f>
        <v/>
      </c>
      <c r="Z731" s="7">
        <f>IF($AD731="","",Y731+V731)</f>
        <v/>
      </c>
      <c r="AA731" s="7">
        <f>IF($AD731="","",AB731-Z731)</f>
        <v/>
      </c>
      <c r="AB731" s="7">
        <f>IF($AD731="","",U731+X731+S731)</f>
        <v/>
      </c>
      <c r="AC731" s="7">
        <f>IF($AD731="","",AB731-Z731-P731)</f>
        <v/>
      </c>
      <c r="AD731" s="13">
        <f>IF(ROWS($AD$2:$AD731)&lt;=MAX('Per Line'!$AO$2:$AO$3001),MATCH(ROWS($AD$2:$AD731),'Per Line'!$AO$2:$AO$3001,0),"")</f>
        <v/>
      </c>
      <c r="AE731" s="14">
        <f>IF($AD731="","",P731-O731*AB731/100)</f>
        <v/>
      </c>
    </row>
    <row r="732">
      <c r="A732" s="12" t="n"/>
      <c r="B732">
        <f>IF($AD732="","",INDEX('Per Line'!$E$2:$E$3001,$AD732)&amp;"")</f>
        <v/>
      </c>
      <c r="C732">
        <f>IF($AD732="","",INDEX('Per Line'!$A$2:$A$3001,$AD732)&amp;"")</f>
        <v/>
      </c>
      <c r="D732">
        <f>IF($AD732="","",INDEX('Per Line'!$C$2:$C$3001,$AD732)&amp;"")</f>
        <v/>
      </c>
      <c r="E732">
        <f>IF($AD732="","",INDEX('Per Line'!$B$2:$B$3001,$AD732))</f>
        <v/>
      </c>
      <c r="F732">
        <f>IF($AD732="","",INDEX('Per Line'!$D$2:$D$3001,$AD732)&amp;"")</f>
        <v/>
      </c>
      <c r="G732" s="11">
        <f>IF($AD732="","",INDEX('Per Line'!$G$2:$G$3001,$AD732))</f>
        <v/>
      </c>
      <c r="H732">
        <f>IF($AD732="","",INDEX('Per Line'!$J$2:$J$3001,$AD732)&amp;"")</f>
        <v/>
      </c>
      <c r="I732">
        <f>IF($AD732="","",INDEX('Per Line'!$H$2:$H$3001,$AD732)&amp;"")</f>
        <v/>
      </c>
      <c r="J732">
        <f>IF($AD732="","",INDEX('Per Line'!$F$2:$F$3001,$AD732)&amp;"")</f>
        <v/>
      </c>
      <c r="K732">
        <f>IF($AD732="","",INDEX('Per Line'!$K$2:$K$3001,$AD732)&amp;"")</f>
        <v/>
      </c>
      <c r="L732">
        <f>IF($AD732="","",INDEX('Per Line'!$L$2:$L$3001,$AD732)&amp;"")</f>
        <v/>
      </c>
      <c r="M732">
        <f>IF($AD732="","",INDEX('Per Line'!$M$2:$M$3001,$AD732)&amp;"")</f>
        <v/>
      </c>
      <c r="N732">
        <f>IF($AD732="","",INDEX('Per Line'!$AC$2:$AC$3001,$AD732)&amp;"")</f>
        <v/>
      </c>
      <c r="O732">
        <f>IF($AD732="","",INDEX('Per Line'!$P$2:$P$3001,$AD732))</f>
        <v/>
      </c>
      <c r="P732" s="7">
        <f>IF($AD732="","",IF(AND(ISNUMBER(Q732),Q732&gt;0,AB732&gt;Q732),O732*Q732/100+(AB732-Q732),O732*AB732/100))</f>
        <v/>
      </c>
      <c r="Q732">
        <f>IF($AD732="","",INDEX('Per Line'!$AG$2:$AG$3001,$AD732))</f>
        <v/>
      </c>
      <c r="R732">
        <f>IF($AD732="","",IF(AND(ISNUMBER(Q732),Q732&gt;0),AB732&gt;Q732,FALSE))</f>
        <v/>
      </c>
      <c r="S732" s="7">
        <f>IF($AD732="","",SUMIFS('Per Line'!$AB$2:$AB$3001,'Per Line'!$E$2:$E$3001,$B732,'Per Line'!$AQ$2:$AQ$3001,1))</f>
        <v/>
      </c>
      <c r="T732">
        <f>IF($AD732="","",Settings!$C$7)</f>
        <v/>
      </c>
      <c r="U732" s="7">
        <f>IF($AD732="","",SUMIFS('Per Line'!$AB$2:$AB$3001,'Per Line'!$E$2:$E$3001,$B732,'Per Line'!$AP$2:$AP$3001,0,'Per Line'!$AQ$2:$AQ$3001,0))</f>
        <v/>
      </c>
      <c r="V732" s="7">
        <f>IF($AD732="","",U732*T732)</f>
        <v/>
      </c>
      <c r="W732">
        <f>IF($AD732="","",Settings!$C$6)</f>
        <v/>
      </c>
      <c r="X732" s="7">
        <f>IF($AD732="","",SUMIFS('Per Line'!$AB$2:$AB$3001,'Per Line'!$E$2:$E$3001,$B732,'Per Line'!$AP$2:$AP$3001,1,'Per Line'!$AQ$2:$AQ$3001,0))</f>
        <v/>
      </c>
      <c r="Y732" s="7">
        <f>IF($AD732="","",X732*W732)</f>
        <v/>
      </c>
      <c r="Z732" s="7">
        <f>IF($AD732="","",Y732+V732)</f>
        <v/>
      </c>
      <c r="AA732" s="7">
        <f>IF($AD732="","",AB732-Z732)</f>
        <v/>
      </c>
      <c r="AB732" s="7">
        <f>IF($AD732="","",U732+X732+S732)</f>
        <v/>
      </c>
      <c r="AC732" s="7">
        <f>IF($AD732="","",AB732-Z732-P732)</f>
        <v/>
      </c>
      <c r="AD732" s="13">
        <f>IF(ROWS($AD$2:$AD732)&lt;=MAX('Per Line'!$AO$2:$AO$3001),MATCH(ROWS($AD$2:$AD732),'Per Line'!$AO$2:$AO$3001,0),"")</f>
        <v/>
      </c>
      <c r="AE732" s="14">
        <f>IF($AD732="","",P732-O732*AB732/100)</f>
        <v/>
      </c>
    </row>
    <row r="733">
      <c r="A733" s="12" t="n"/>
      <c r="B733">
        <f>IF($AD733="","",INDEX('Per Line'!$E$2:$E$3001,$AD733)&amp;"")</f>
        <v/>
      </c>
      <c r="C733">
        <f>IF($AD733="","",INDEX('Per Line'!$A$2:$A$3001,$AD733)&amp;"")</f>
        <v/>
      </c>
      <c r="D733">
        <f>IF($AD733="","",INDEX('Per Line'!$C$2:$C$3001,$AD733)&amp;"")</f>
        <v/>
      </c>
      <c r="E733">
        <f>IF($AD733="","",INDEX('Per Line'!$B$2:$B$3001,$AD733))</f>
        <v/>
      </c>
      <c r="F733">
        <f>IF($AD733="","",INDEX('Per Line'!$D$2:$D$3001,$AD733)&amp;"")</f>
        <v/>
      </c>
      <c r="G733" s="11">
        <f>IF($AD733="","",INDEX('Per Line'!$G$2:$G$3001,$AD733))</f>
        <v/>
      </c>
      <c r="H733">
        <f>IF($AD733="","",INDEX('Per Line'!$J$2:$J$3001,$AD733)&amp;"")</f>
        <v/>
      </c>
      <c r="I733">
        <f>IF($AD733="","",INDEX('Per Line'!$H$2:$H$3001,$AD733)&amp;"")</f>
        <v/>
      </c>
      <c r="J733">
        <f>IF($AD733="","",INDEX('Per Line'!$F$2:$F$3001,$AD733)&amp;"")</f>
        <v/>
      </c>
      <c r="K733">
        <f>IF($AD733="","",INDEX('Per Line'!$K$2:$K$3001,$AD733)&amp;"")</f>
        <v/>
      </c>
      <c r="L733">
        <f>IF($AD733="","",INDEX('Per Line'!$L$2:$L$3001,$AD733)&amp;"")</f>
        <v/>
      </c>
      <c r="M733">
        <f>IF($AD733="","",INDEX('Per Line'!$M$2:$M$3001,$AD733)&amp;"")</f>
        <v/>
      </c>
      <c r="N733">
        <f>IF($AD733="","",INDEX('Per Line'!$AC$2:$AC$3001,$AD733)&amp;"")</f>
        <v/>
      </c>
      <c r="O733">
        <f>IF($AD733="","",INDEX('Per Line'!$P$2:$P$3001,$AD733))</f>
        <v/>
      </c>
      <c r="P733" s="7">
        <f>IF($AD733="","",IF(AND(ISNUMBER(Q733),Q733&gt;0,AB733&gt;Q733),O733*Q733/100+(AB733-Q733),O733*AB733/100))</f>
        <v/>
      </c>
      <c r="Q733">
        <f>IF($AD733="","",INDEX('Per Line'!$AG$2:$AG$3001,$AD733))</f>
        <v/>
      </c>
      <c r="R733">
        <f>IF($AD733="","",IF(AND(ISNUMBER(Q733),Q733&gt;0),AB733&gt;Q733,FALSE))</f>
        <v/>
      </c>
      <c r="S733" s="7">
        <f>IF($AD733="","",SUMIFS('Per Line'!$AB$2:$AB$3001,'Per Line'!$E$2:$E$3001,$B733,'Per Line'!$AQ$2:$AQ$3001,1))</f>
        <v/>
      </c>
      <c r="T733">
        <f>IF($AD733="","",Settings!$C$7)</f>
        <v/>
      </c>
      <c r="U733" s="7">
        <f>IF($AD733="","",SUMIFS('Per Line'!$AB$2:$AB$3001,'Per Line'!$E$2:$E$3001,$B733,'Per Line'!$AP$2:$AP$3001,0,'Per Line'!$AQ$2:$AQ$3001,0))</f>
        <v/>
      </c>
      <c r="V733" s="7">
        <f>IF($AD733="","",U733*T733)</f>
        <v/>
      </c>
      <c r="W733">
        <f>IF($AD733="","",Settings!$C$6)</f>
        <v/>
      </c>
      <c r="X733" s="7">
        <f>IF($AD733="","",SUMIFS('Per Line'!$AB$2:$AB$3001,'Per Line'!$E$2:$E$3001,$B733,'Per Line'!$AP$2:$AP$3001,1,'Per Line'!$AQ$2:$AQ$3001,0))</f>
        <v/>
      </c>
      <c r="Y733" s="7">
        <f>IF($AD733="","",X733*W733)</f>
        <v/>
      </c>
      <c r="Z733" s="7">
        <f>IF($AD733="","",Y733+V733)</f>
        <v/>
      </c>
      <c r="AA733" s="7">
        <f>IF($AD733="","",AB733-Z733)</f>
        <v/>
      </c>
      <c r="AB733" s="7">
        <f>IF($AD733="","",U733+X733+S733)</f>
        <v/>
      </c>
      <c r="AC733" s="7">
        <f>IF($AD733="","",AB733-Z733-P733)</f>
        <v/>
      </c>
      <c r="AD733" s="13">
        <f>IF(ROWS($AD$2:$AD733)&lt;=MAX('Per Line'!$AO$2:$AO$3001),MATCH(ROWS($AD$2:$AD733),'Per Line'!$AO$2:$AO$3001,0),"")</f>
        <v/>
      </c>
      <c r="AE733" s="14">
        <f>IF($AD733="","",P733-O733*AB733/100)</f>
        <v/>
      </c>
    </row>
    <row r="734">
      <c r="A734" s="12" t="n"/>
      <c r="B734">
        <f>IF($AD734="","",INDEX('Per Line'!$E$2:$E$3001,$AD734)&amp;"")</f>
        <v/>
      </c>
      <c r="C734">
        <f>IF($AD734="","",INDEX('Per Line'!$A$2:$A$3001,$AD734)&amp;"")</f>
        <v/>
      </c>
      <c r="D734">
        <f>IF($AD734="","",INDEX('Per Line'!$C$2:$C$3001,$AD734)&amp;"")</f>
        <v/>
      </c>
      <c r="E734">
        <f>IF($AD734="","",INDEX('Per Line'!$B$2:$B$3001,$AD734))</f>
        <v/>
      </c>
      <c r="F734">
        <f>IF($AD734="","",INDEX('Per Line'!$D$2:$D$3001,$AD734)&amp;"")</f>
        <v/>
      </c>
      <c r="G734" s="11">
        <f>IF($AD734="","",INDEX('Per Line'!$G$2:$G$3001,$AD734))</f>
        <v/>
      </c>
      <c r="H734">
        <f>IF($AD734="","",INDEX('Per Line'!$J$2:$J$3001,$AD734)&amp;"")</f>
        <v/>
      </c>
      <c r="I734">
        <f>IF($AD734="","",INDEX('Per Line'!$H$2:$H$3001,$AD734)&amp;"")</f>
        <v/>
      </c>
      <c r="J734">
        <f>IF($AD734="","",INDEX('Per Line'!$F$2:$F$3001,$AD734)&amp;"")</f>
        <v/>
      </c>
      <c r="K734">
        <f>IF($AD734="","",INDEX('Per Line'!$K$2:$K$3001,$AD734)&amp;"")</f>
        <v/>
      </c>
      <c r="L734">
        <f>IF($AD734="","",INDEX('Per Line'!$L$2:$L$3001,$AD734)&amp;"")</f>
        <v/>
      </c>
      <c r="M734">
        <f>IF($AD734="","",INDEX('Per Line'!$M$2:$M$3001,$AD734)&amp;"")</f>
        <v/>
      </c>
      <c r="N734">
        <f>IF($AD734="","",INDEX('Per Line'!$AC$2:$AC$3001,$AD734)&amp;"")</f>
        <v/>
      </c>
      <c r="O734">
        <f>IF($AD734="","",INDEX('Per Line'!$P$2:$P$3001,$AD734))</f>
        <v/>
      </c>
      <c r="P734" s="7">
        <f>IF($AD734="","",IF(AND(ISNUMBER(Q734),Q734&gt;0,AB734&gt;Q734),O734*Q734/100+(AB734-Q734),O734*AB734/100))</f>
        <v/>
      </c>
      <c r="Q734">
        <f>IF($AD734="","",INDEX('Per Line'!$AG$2:$AG$3001,$AD734))</f>
        <v/>
      </c>
      <c r="R734">
        <f>IF($AD734="","",IF(AND(ISNUMBER(Q734),Q734&gt;0),AB734&gt;Q734,FALSE))</f>
        <v/>
      </c>
      <c r="S734" s="7">
        <f>IF($AD734="","",SUMIFS('Per Line'!$AB$2:$AB$3001,'Per Line'!$E$2:$E$3001,$B734,'Per Line'!$AQ$2:$AQ$3001,1))</f>
        <v/>
      </c>
      <c r="T734">
        <f>IF($AD734="","",Settings!$C$7)</f>
        <v/>
      </c>
      <c r="U734" s="7">
        <f>IF($AD734="","",SUMIFS('Per Line'!$AB$2:$AB$3001,'Per Line'!$E$2:$E$3001,$B734,'Per Line'!$AP$2:$AP$3001,0,'Per Line'!$AQ$2:$AQ$3001,0))</f>
        <v/>
      </c>
      <c r="V734" s="7">
        <f>IF($AD734="","",U734*T734)</f>
        <v/>
      </c>
      <c r="W734">
        <f>IF($AD734="","",Settings!$C$6)</f>
        <v/>
      </c>
      <c r="X734" s="7">
        <f>IF($AD734="","",SUMIFS('Per Line'!$AB$2:$AB$3001,'Per Line'!$E$2:$E$3001,$B734,'Per Line'!$AP$2:$AP$3001,1,'Per Line'!$AQ$2:$AQ$3001,0))</f>
        <v/>
      </c>
      <c r="Y734" s="7">
        <f>IF($AD734="","",X734*W734)</f>
        <v/>
      </c>
      <c r="Z734" s="7">
        <f>IF($AD734="","",Y734+V734)</f>
        <v/>
      </c>
      <c r="AA734" s="7">
        <f>IF($AD734="","",AB734-Z734)</f>
        <v/>
      </c>
      <c r="AB734" s="7">
        <f>IF($AD734="","",U734+X734+S734)</f>
        <v/>
      </c>
      <c r="AC734" s="7">
        <f>IF($AD734="","",AB734-Z734-P734)</f>
        <v/>
      </c>
      <c r="AD734" s="13">
        <f>IF(ROWS($AD$2:$AD734)&lt;=MAX('Per Line'!$AO$2:$AO$3001),MATCH(ROWS($AD$2:$AD734),'Per Line'!$AO$2:$AO$3001,0),"")</f>
        <v/>
      </c>
      <c r="AE734" s="14">
        <f>IF($AD734="","",P734-O734*AB734/100)</f>
        <v/>
      </c>
    </row>
    <row r="735">
      <c r="A735" s="12" t="n"/>
      <c r="B735">
        <f>IF($AD735="","",INDEX('Per Line'!$E$2:$E$3001,$AD735)&amp;"")</f>
        <v/>
      </c>
      <c r="C735">
        <f>IF($AD735="","",INDEX('Per Line'!$A$2:$A$3001,$AD735)&amp;"")</f>
        <v/>
      </c>
      <c r="D735">
        <f>IF($AD735="","",INDEX('Per Line'!$C$2:$C$3001,$AD735)&amp;"")</f>
        <v/>
      </c>
      <c r="E735">
        <f>IF($AD735="","",INDEX('Per Line'!$B$2:$B$3001,$AD735))</f>
        <v/>
      </c>
      <c r="F735">
        <f>IF($AD735="","",INDEX('Per Line'!$D$2:$D$3001,$AD735)&amp;"")</f>
        <v/>
      </c>
      <c r="G735" s="11">
        <f>IF($AD735="","",INDEX('Per Line'!$G$2:$G$3001,$AD735))</f>
        <v/>
      </c>
      <c r="H735">
        <f>IF($AD735="","",INDEX('Per Line'!$J$2:$J$3001,$AD735)&amp;"")</f>
        <v/>
      </c>
      <c r="I735">
        <f>IF($AD735="","",INDEX('Per Line'!$H$2:$H$3001,$AD735)&amp;"")</f>
        <v/>
      </c>
      <c r="J735">
        <f>IF($AD735="","",INDEX('Per Line'!$F$2:$F$3001,$AD735)&amp;"")</f>
        <v/>
      </c>
      <c r="K735">
        <f>IF($AD735="","",INDEX('Per Line'!$K$2:$K$3001,$AD735)&amp;"")</f>
        <v/>
      </c>
      <c r="L735">
        <f>IF($AD735="","",INDEX('Per Line'!$L$2:$L$3001,$AD735)&amp;"")</f>
        <v/>
      </c>
      <c r="M735">
        <f>IF($AD735="","",INDEX('Per Line'!$M$2:$M$3001,$AD735)&amp;"")</f>
        <v/>
      </c>
      <c r="N735">
        <f>IF($AD735="","",INDEX('Per Line'!$AC$2:$AC$3001,$AD735)&amp;"")</f>
        <v/>
      </c>
      <c r="O735">
        <f>IF($AD735="","",INDEX('Per Line'!$P$2:$P$3001,$AD735))</f>
        <v/>
      </c>
      <c r="P735" s="7">
        <f>IF($AD735="","",IF(AND(ISNUMBER(Q735),Q735&gt;0,AB735&gt;Q735),O735*Q735/100+(AB735-Q735),O735*AB735/100))</f>
        <v/>
      </c>
      <c r="Q735">
        <f>IF($AD735="","",INDEX('Per Line'!$AG$2:$AG$3001,$AD735))</f>
        <v/>
      </c>
      <c r="R735">
        <f>IF($AD735="","",IF(AND(ISNUMBER(Q735),Q735&gt;0),AB735&gt;Q735,FALSE))</f>
        <v/>
      </c>
      <c r="S735" s="7">
        <f>IF($AD735="","",SUMIFS('Per Line'!$AB$2:$AB$3001,'Per Line'!$E$2:$E$3001,$B735,'Per Line'!$AQ$2:$AQ$3001,1))</f>
        <v/>
      </c>
      <c r="T735">
        <f>IF($AD735="","",Settings!$C$7)</f>
        <v/>
      </c>
      <c r="U735" s="7">
        <f>IF($AD735="","",SUMIFS('Per Line'!$AB$2:$AB$3001,'Per Line'!$E$2:$E$3001,$B735,'Per Line'!$AP$2:$AP$3001,0,'Per Line'!$AQ$2:$AQ$3001,0))</f>
        <v/>
      </c>
      <c r="V735" s="7">
        <f>IF($AD735="","",U735*T735)</f>
        <v/>
      </c>
      <c r="W735">
        <f>IF($AD735="","",Settings!$C$6)</f>
        <v/>
      </c>
      <c r="X735" s="7">
        <f>IF($AD735="","",SUMIFS('Per Line'!$AB$2:$AB$3001,'Per Line'!$E$2:$E$3001,$B735,'Per Line'!$AP$2:$AP$3001,1,'Per Line'!$AQ$2:$AQ$3001,0))</f>
        <v/>
      </c>
      <c r="Y735" s="7">
        <f>IF($AD735="","",X735*W735)</f>
        <v/>
      </c>
      <c r="Z735" s="7">
        <f>IF($AD735="","",Y735+V735)</f>
        <v/>
      </c>
      <c r="AA735" s="7">
        <f>IF($AD735="","",AB735-Z735)</f>
        <v/>
      </c>
      <c r="AB735" s="7">
        <f>IF($AD735="","",U735+X735+S735)</f>
        <v/>
      </c>
      <c r="AC735" s="7">
        <f>IF($AD735="","",AB735-Z735-P735)</f>
        <v/>
      </c>
      <c r="AD735" s="13">
        <f>IF(ROWS($AD$2:$AD735)&lt;=MAX('Per Line'!$AO$2:$AO$3001),MATCH(ROWS($AD$2:$AD735),'Per Line'!$AO$2:$AO$3001,0),"")</f>
        <v/>
      </c>
      <c r="AE735" s="14">
        <f>IF($AD735="","",P735-O735*AB735/100)</f>
        <v/>
      </c>
    </row>
    <row r="736">
      <c r="A736" s="12" t="n"/>
      <c r="B736">
        <f>IF($AD736="","",INDEX('Per Line'!$E$2:$E$3001,$AD736)&amp;"")</f>
        <v/>
      </c>
      <c r="C736">
        <f>IF($AD736="","",INDEX('Per Line'!$A$2:$A$3001,$AD736)&amp;"")</f>
        <v/>
      </c>
      <c r="D736">
        <f>IF($AD736="","",INDEX('Per Line'!$C$2:$C$3001,$AD736)&amp;"")</f>
        <v/>
      </c>
      <c r="E736">
        <f>IF($AD736="","",INDEX('Per Line'!$B$2:$B$3001,$AD736))</f>
        <v/>
      </c>
      <c r="F736">
        <f>IF($AD736="","",INDEX('Per Line'!$D$2:$D$3001,$AD736)&amp;"")</f>
        <v/>
      </c>
      <c r="G736" s="11">
        <f>IF($AD736="","",INDEX('Per Line'!$G$2:$G$3001,$AD736))</f>
        <v/>
      </c>
      <c r="H736">
        <f>IF($AD736="","",INDEX('Per Line'!$J$2:$J$3001,$AD736)&amp;"")</f>
        <v/>
      </c>
      <c r="I736">
        <f>IF($AD736="","",INDEX('Per Line'!$H$2:$H$3001,$AD736)&amp;"")</f>
        <v/>
      </c>
      <c r="J736">
        <f>IF($AD736="","",INDEX('Per Line'!$F$2:$F$3001,$AD736)&amp;"")</f>
        <v/>
      </c>
      <c r="K736">
        <f>IF($AD736="","",INDEX('Per Line'!$K$2:$K$3001,$AD736)&amp;"")</f>
        <v/>
      </c>
      <c r="L736">
        <f>IF($AD736="","",INDEX('Per Line'!$L$2:$L$3001,$AD736)&amp;"")</f>
        <v/>
      </c>
      <c r="M736">
        <f>IF($AD736="","",INDEX('Per Line'!$M$2:$M$3001,$AD736)&amp;"")</f>
        <v/>
      </c>
      <c r="N736">
        <f>IF($AD736="","",INDEX('Per Line'!$AC$2:$AC$3001,$AD736)&amp;"")</f>
        <v/>
      </c>
      <c r="O736">
        <f>IF($AD736="","",INDEX('Per Line'!$P$2:$P$3001,$AD736))</f>
        <v/>
      </c>
      <c r="P736" s="7">
        <f>IF($AD736="","",IF(AND(ISNUMBER(Q736),Q736&gt;0,AB736&gt;Q736),O736*Q736/100+(AB736-Q736),O736*AB736/100))</f>
        <v/>
      </c>
      <c r="Q736">
        <f>IF($AD736="","",INDEX('Per Line'!$AG$2:$AG$3001,$AD736))</f>
        <v/>
      </c>
      <c r="R736">
        <f>IF($AD736="","",IF(AND(ISNUMBER(Q736),Q736&gt;0),AB736&gt;Q736,FALSE))</f>
        <v/>
      </c>
      <c r="S736" s="7">
        <f>IF($AD736="","",SUMIFS('Per Line'!$AB$2:$AB$3001,'Per Line'!$E$2:$E$3001,$B736,'Per Line'!$AQ$2:$AQ$3001,1))</f>
        <v/>
      </c>
      <c r="T736">
        <f>IF($AD736="","",Settings!$C$7)</f>
        <v/>
      </c>
      <c r="U736" s="7">
        <f>IF($AD736="","",SUMIFS('Per Line'!$AB$2:$AB$3001,'Per Line'!$E$2:$E$3001,$B736,'Per Line'!$AP$2:$AP$3001,0,'Per Line'!$AQ$2:$AQ$3001,0))</f>
        <v/>
      </c>
      <c r="V736" s="7">
        <f>IF($AD736="","",U736*T736)</f>
        <v/>
      </c>
      <c r="W736">
        <f>IF($AD736="","",Settings!$C$6)</f>
        <v/>
      </c>
      <c r="X736" s="7">
        <f>IF($AD736="","",SUMIFS('Per Line'!$AB$2:$AB$3001,'Per Line'!$E$2:$E$3001,$B736,'Per Line'!$AP$2:$AP$3001,1,'Per Line'!$AQ$2:$AQ$3001,0))</f>
        <v/>
      </c>
      <c r="Y736" s="7">
        <f>IF($AD736="","",X736*W736)</f>
        <v/>
      </c>
      <c r="Z736" s="7">
        <f>IF($AD736="","",Y736+V736)</f>
        <v/>
      </c>
      <c r="AA736" s="7">
        <f>IF($AD736="","",AB736-Z736)</f>
        <v/>
      </c>
      <c r="AB736" s="7">
        <f>IF($AD736="","",U736+X736+S736)</f>
        <v/>
      </c>
      <c r="AC736" s="7">
        <f>IF($AD736="","",AB736-Z736-P736)</f>
        <v/>
      </c>
      <c r="AD736" s="13">
        <f>IF(ROWS($AD$2:$AD736)&lt;=MAX('Per Line'!$AO$2:$AO$3001),MATCH(ROWS($AD$2:$AD736),'Per Line'!$AO$2:$AO$3001,0),"")</f>
        <v/>
      </c>
      <c r="AE736" s="14">
        <f>IF($AD736="","",P736-O736*AB736/100)</f>
        <v/>
      </c>
    </row>
    <row r="737">
      <c r="A737" s="12" t="n"/>
      <c r="B737">
        <f>IF($AD737="","",INDEX('Per Line'!$E$2:$E$3001,$AD737)&amp;"")</f>
        <v/>
      </c>
      <c r="C737">
        <f>IF($AD737="","",INDEX('Per Line'!$A$2:$A$3001,$AD737)&amp;"")</f>
        <v/>
      </c>
      <c r="D737">
        <f>IF($AD737="","",INDEX('Per Line'!$C$2:$C$3001,$AD737)&amp;"")</f>
        <v/>
      </c>
      <c r="E737">
        <f>IF($AD737="","",INDEX('Per Line'!$B$2:$B$3001,$AD737))</f>
        <v/>
      </c>
      <c r="F737">
        <f>IF($AD737="","",INDEX('Per Line'!$D$2:$D$3001,$AD737)&amp;"")</f>
        <v/>
      </c>
      <c r="G737" s="11">
        <f>IF($AD737="","",INDEX('Per Line'!$G$2:$G$3001,$AD737))</f>
        <v/>
      </c>
      <c r="H737">
        <f>IF($AD737="","",INDEX('Per Line'!$J$2:$J$3001,$AD737)&amp;"")</f>
        <v/>
      </c>
      <c r="I737">
        <f>IF($AD737="","",INDEX('Per Line'!$H$2:$H$3001,$AD737)&amp;"")</f>
        <v/>
      </c>
      <c r="J737">
        <f>IF($AD737="","",INDEX('Per Line'!$F$2:$F$3001,$AD737)&amp;"")</f>
        <v/>
      </c>
      <c r="K737">
        <f>IF($AD737="","",INDEX('Per Line'!$K$2:$K$3001,$AD737)&amp;"")</f>
        <v/>
      </c>
      <c r="L737">
        <f>IF($AD737="","",INDEX('Per Line'!$L$2:$L$3001,$AD737)&amp;"")</f>
        <v/>
      </c>
      <c r="M737">
        <f>IF($AD737="","",INDEX('Per Line'!$M$2:$M$3001,$AD737)&amp;"")</f>
        <v/>
      </c>
      <c r="N737">
        <f>IF($AD737="","",INDEX('Per Line'!$AC$2:$AC$3001,$AD737)&amp;"")</f>
        <v/>
      </c>
      <c r="O737">
        <f>IF($AD737="","",INDEX('Per Line'!$P$2:$P$3001,$AD737))</f>
        <v/>
      </c>
      <c r="P737" s="7">
        <f>IF($AD737="","",IF(AND(ISNUMBER(Q737),Q737&gt;0,AB737&gt;Q737),O737*Q737/100+(AB737-Q737),O737*AB737/100))</f>
        <v/>
      </c>
      <c r="Q737">
        <f>IF($AD737="","",INDEX('Per Line'!$AG$2:$AG$3001,$AD737))</f>
        <v/>
      </c>
      <c r="R737">
        <f>IF($AD737="","",IF(AND(ISNUMBER(Q737),Q737&gt;0),AB737&gt;Q737,FALSE))</f>
        <v/>
      </c>
      <c r="S737" s="7">
        <f>IF($AD737="","",SUMIFS('Per Line'!$AB$2:$AB$3001,'Per Line'!$E$2:$E$3001,$B737,'Per Line'!$AQ$2:$AQ$3001,1))</f>
        <v/>
      </c>
      <c r="T737">
        <f>IF($AD737="","",Settings!$C$7)</f>
        <v/>
      </c>
      <c r="U737" s="7">
        <f>IF($AD737="","",SUMIFS('Per Line'!$AB$2:$AB$3001,'Per Line'!$E$2:$E$3001,$B737,'Per Line'!$AP$2:$AP$3001,0,'Per Line'!$AQ$2:$AQ$3001,0))</f>
        <v/>
      </c>
      <c r="V737" s="7">
        <f>IF($AD737="","",U737*T737)</f>
        <v/>
      </c>
      <c r="W737">
        <f>IF($AD737="","",Settings!$C$6)</f>
        <v/>
      </c>
      <c r="X737" s="7">
        <f>IF($AD737="","",SUMIFS('Per Line'!$AB$2:$AB$3001,'Per Line'!$E$2:$E$3001,$B737,'Per Line'!$AP$2:$AP$3001,1,'Per Line'!$AQ$2:$AQ$3001,0))</f>
        <v/>
      </c>
      <c r="Y737" s="7">
        <f>IF($AD737="","",X737*W737)</f>
        <v/>
      </c>
      <c r="Z737" s="7">
        <f>IF($AD737="","",Y737+V737)</f>
        <v/>
      </c>
      <c r="AA737" s="7">
        <f>IF($AD737="","",AB737-Z737)</f>
        <v/>
      </c>
      <c r="AB737" s="7">
        <f>IF($AD737="","",U737+X737+S737)</f>
        <v/>
      </c>
      <c r="AC737" s="7">
        <f>IF($AD737="","",AB737-Z737-P737)</f>
        <v/>
      </c>
      <c r="AD737" s="13">
        <f>IF(ROWS($AD$2:$AD737)&lt;=MAX('Per Line'!$AO$2:$AO$3001),MATCH(ROWS($AD$2:$AD737),'Per Line'!$AO$2:$AO$3001,0),"")</f>
        <v/>
      </c>
      <c r="AE737" s="14">
        <f>IF($AD737="","",P737-O737*AB737/100)</f>
        <v/>
      </c>
    </row>
    <row r="738">
      <c r="A738" s="12" t="n"/>
      <c r="B738">
        <f>IF($AD738="","",INDEX('Per Line'!$E$2:$E$3001,$AD738)&amp;"")</f>
        <v/>
      </c>
      <c r="C738">
        <f>IF($AD738="","",INDEX('Per Line'!$A$2:$A$3001,$AD738)&amp;"")</f>
        <v/>
      </c>
      <c r="D738">
        <f>IF($AD738="","",INDEX('Per Line'!$C$2:$C$3001,$AD738)&amp;"")</f>
        <v/>
      </c>
      <c r="E738">
        <f>IF($AD738="","",INDEX('Per Line'!$B$2:$B$3001,$AD738))</f>
        <v/>
      </c>
      <c r="F738">
        <f>IF($AD738="","",INDEX('Per Line'!$D$2:$D$3001,$AD738)&amp;"")</f>
        <v/>
      </c>
      <c r="G738" s="11">
        <f>IF($AD738="","",INDEX('Per Line'!$G$2:$G$3001,$AD738))</f>
        <v/>
      </c>
      <c r="H738">
        <f>IF($AD738="","",INDEX('Per Line'!$J$2:$J$3001,$AD738)&amp;"")</f>
        <v/>
      </c>
      <c r="I738">
        <f>IF($AD738="","",INDEX('Per Line'!$H$2:$H$3001,$AD738)&amp;"")</f>
        <v/>
      </c>
      <c r="J738">
        <f>IF($AD738="","",INDEX('Per Line'!$F$2:$F$3001,$AD738)&amp;"")</f>
        <v/>
      </c>
      <c r="K738">
        <f>IF($AD738="","",INDEX('Per Line'!$K$2:$K$3001,$AD738)&amp;"")</f>
        <v/>
      </c>
      <c r="L738">
        <f>IF($AD738="","",INDEX('Per Line'!$L$2:$L$3001,$AD738)&amp;"")</f>
        <v/>
      </c>
      <c r="M738">
        <f>IF($AD738="","",INDEX('Per Line'!$M$2:$M$3001,$AD738)&amp;"")</f>
        <v/>
      </c>
      <c r="N738">
        <f>IF($AD738="","",INDEX('Per Line'!$AC$2:$AC$3001,$AD738)&amp;"")</f>
        <v/>
      </c>
      <c r="O738">
        <f>IF($AD738="","",INDEX('Per Line'!$P$2:$P$3001,$AD738))</f>
        <v/>
      </c>
      <c r="P738" s="7">
        <f>IF($AD738="","",IF(AND(ISNUMBER(Q738),Q738&gt;0,AB738&gt;Q738),O738*Q738/100+(AB738-Q738),O738*AB738/100))</f>
        <v/>
      </c>
      <c r="Q738">
        <f>IF($AD738="","",INDEX('Per Line'!$AG$2:$AG$3001,$AD738))</f>
        <v/>
      </c>
      <c r="R738">
        <f>IF($AD738="","",IF(AND(ISNUMBER(Q738),Q738&gt;0),AB738&gt;Q738,FALSE))</f>
        <v/>
      </c>
      <c r="S738" s="7">
        <f>IF($AD738="","",SUMIFS('Per Line'!$AB$2:$AB$3001,'Per Line'!$E$2:$E$3001,$B738,'Per Line'!$AQ$2:$AQ$3001,1))</f>
        <v/>
      </c>
      <c r="T738">
        <f>IF($AD738="","",Settings!$C$7)</f>
        <v/>
      </c>
      <c r="U738" s="7">
        <f>IF($AD738="","",SUMIFS('Per Line'!$AB$2:$AB$3001,'Per Line'!$E$2:$E$3001,$B738,'Per Line'!$AP$2:$AP$3001,0,'Per Line'!$AQ$2:$AQ$3001,0))</f>
        <v/>
      </c>
      <c r="V738" s="7">
        <f>IF($AD738="","",U738*T738)</f>
        <v/>
      </c>
      <c r="W738">
        <f>IF($AD738="","",Settings!$C$6)</f>
        <v/>
      </c>
      <c r="X738" s="7">
        <f>IF($AD738="","",SUMIFS('Per Line'!$AB$2:$AB$3001,'Per Line'!$E$2:$E$3001,$B738,'Per Line'!$AP$2:$AP$3001,1,'Per Line'!$AQ$2:$AQ$3001,0))</f>
        <v/>
      </c>
      <c r="Y738" s="7">
        <f>IF($AD738="","",X738*W738)</f>
        <v/>
      </c>
      <c r="Z738" s="7">
        <f>IF($AD738="","",Y738+V738)</f>
        <v/>
      </c>
      <c r="AA738" s="7">
        <f>IF($AD738="","",AB738-Z738)</f>
        <v/>
      </c>
      <c r="AB738" s="7">
        <f>IF($AD738="","",U738+X738+S738)</f>
        <v/>
      </c>
      <c r="AC738" s="7">
        <f>IF($AD738="","",AB738-Z738-P738)</f>
        <v/>
      </c>
      <c r="AD738" s="13">
        <f>IF(ROWS($AD$2:$AD738)&lt;=MAX('Per Line'!$AO$2:$AO$3001),MATCH(ROWS($AD$2:$AD738),'Per Line'!$AO$2:$AO$3001,0),"")</f>
        <v/>
      </c>
      <c r="AE738" s="14">
        <f>IF($AD738="","",P738-O738*AB738/100)</f>
        <v/>
      </c>
    </row>
    <row r="739">
      <c r="A739" s="12" t="n"/>
      <c r="B739">
        <f>IF($AD739="","",INDEX('Per Line'!$E$2:$E$3001,$AD739)&amp;"")</f>
        <v/>
      </c>
      <c r="C739">
        <f>IF($AD739="","",INDEX('Per Line'!$A$2:$A$3001,$AD739)&amp;"")</f>
        <v/>
      </c>
      <c r="D739">
        <f>IF($AD739="","",INDEX('Per Line'!$C$2:$C$3001,$AD739)&amp;"")</f>
        <v/>
      </c>
      <c r="E739">
        <f>IF($AD739="","",INDEX('Per Line'!$B$2:$B$3001,$AD739))</f>
        <v/>
      </c>
      <c r="F739">
        <f>IF($AD739="","",INDEX('Per Line'!$D$2:$D$3001,$AD739)&amp;"")</f>
        <v/>
      </c>
      <c r="G739" s="11">
        <f>IF($AD739="","",INDEX('Per Line'!$G$2:$G$3001,$AD739))</f>
        <v/>
      </c>
      <c r="H739">
        <f>IF($AD739="","",INDEX('Per Line'!$J$2:$J$3001,$AD739)&amp;"")</f>
        <v/>
      </c>
      <c r="I739">
        <f>IF($AD739="","",INDEX('Per Line'!$H$2:$H$3001,$AD739)&amp;"")</f>
        <v/>
      </c>
      <c r="J739">
        <f>IF($AD739="","",INDEX('Per Line'!$F$2:$F$3001,$AD739)&amp;"")</f>
        <v/>
      </c>
      <c r="K739">
        <f>IF($AD739="","",INDEX('Per Line'!$K$2:$K$3001,$AD739)&amp;"")</f>
        <v/>
      </c>
      <c r="L739">
        <f>IF($AD739="","",INDEX('Per Line'!$L$2:$L$3001,$AD739)&amp;"")</f>
        <v/>
      </c>
      <c r="M739">
        <f>IF($AD739="","",INDEX('Per Line'!$M$2:$M$3001,$AD739)&amp;"")</f>
        <v/>
      </c>
      <c r="N739">
        <f>IF($AD739="","",INDEX('Per Line'!$AC$2:$AC$3001,$AD739)&amp;"")</f>
        <v/>
      </c>
      <c r="O739">
        <f>IF($AD739="","",INDEX('Per Line'!$P$2:$P$3001,$AD739))</f>
        <v/>
      </c>
      <c r="P739" s="7">
        <f>IF($AD739="","",IF(AND(ISNUMBER(Q739),Q739&gt;0,AB739&gt;Q739),O739*Q739/100+(AB739-Q739),O739*AB739/100))</f>
        <v/>
      </c>
      <c r="Q739">
        <f>IF($AD739="","",INDEX('Per Line'!$AG$2:$AG$3001,$AD739))</f>
        <v/>
      </c>
      <c r="R739">
        <f>IF($AD739="","",IF(AND(ISNUMBER(Q739),Q739&gt;0),AB739&gt;Q739,FALSE))</f>
        <v/>
      </c>
      <c r="S739" s="7">
        <f>IF($AD739="","",SUMIFS('Per Line'!$AB$2:$AB$3001,'Per Line'!$E$2:$E$3001,$B739,'Per Line'!$AQ$2:$AQ$3001,1))</f>
        <v/>
      </c>
      <c r="T739">
        <f>IF($AD739="","",Settings!$C$7)</f>
        <v/>
      </c>
      <c r="U739" s="7">
        <f>IF($AD739="","",SUMIFS('Per Line'!$AB$2:$AB$3001,'Per Line'!$E$2:$E$3001,$B739,'Per Line'!$AP$2:$AP$3001,0,'Per Line'!$AQ$2:$AQ$3001,0))</f>
        <v/>
      </c>
      <c r="V739" s="7">
        <f>IF($AD739="","",U739*T739)</f>
        <v/>
      </c>
      <c r="W739">
        <f>IF($AD739="","",Settings!$C$6)</f>
        <v/>
      </c>
      <c r="X739" s="7">
        <f>IF($AD739="","",SUMIFS('Per Line'!$AB$2:$AB$3001,'Per Line'!$E$2:$E$3001,$B739,'Per Line'!$AP$2:$AP$3001,1,'Per Line'!$AQ$2:$AQ$3001,0))</f>
        <v/>
      </c>
      <c r="Y739" s="7">
        <f>IF($AD739="","",X739*W739)</f>
        <v/>
      </c>
      <c r="Z739" s="7">
        <f>IF($AD739="","",Y739+V739)</f>
        <v/>
      </c>
      <c r="AA739" s="7">
        <f>IF($AD739="","",AB739-Z739)</f>
        <v/>
      </c>
      <c r="AB739" s="7">
        <f>IF($AD739="","",U739+X739+S739)</f>
        <v/>
      </c>
      <c r="AC739" s="7">
        <f>IF($AD739="","",AB739-Z739-P739)</f>
        <v/>
      </c>
      <c r="AD739" s="13">
        <f>IF(ROWS($AD$2:$AD739)&lt;=MAX('Per Line'!$AO$2:$AO$3001),MATCH(ROWS($AD$2:$AD739),'Per Line'!$AO$2:$AO$3001,0),"")</f>
        <v/>
      </c>
      <c r="AE739" s="14">
        <f>IF($AD739="","",P739-O739*AB739/100)</f>
        <v/>
      </c>
    </row>
    <row r="740">
      <c r="A740" s="12" t="n"/>
      <c r="B740">
        <f>IF($AD740="","",INDEX('Per Line'!$E$2:$E$3001,$AD740)&amp;"")</f>
        <v/>
      </c>
      <c r="C740">
        <f>IF($AD740="","",INDEX('Per Line'!$A$2:$A$3001,$AD740)&amp;"")</f>
        <v/>
      </c>
      <c r="D740">
        <f>IF($AD740="","",INDEX('Per Line'!$C$2:$C$3001,$AD740)&amp;"")</f>
        <v/>
      </c>
      <c r="E740">
        <f>IF($AD740="","",INDEX('Per Line'!$B$2:$B$3001,$AD740))</f>
        <v/>
      </c>
      <c r="F740">
        <f>IF($AD740="","",INDEX('Per Line'!$D$2:$D$3001,$AD740)&amp;"")</f>
        <v/>
      </c>
      <c r="G740" s="11">
        <f>IF($AD740="","",INDEX('Per Line'!$G$2:$G$3001,$AD740))</f>
        <v/>
      </c>
      <c r="H740">
        <f>IF($AD740="","",INDEX('Per Line'!$J$2:$J$3001,$AD740)&amp;"")</f>
        <v/>
      </c>
      <c r="I740">
        <f>IF($AD740="","",INDEX('Per Line'!$H$2:$H$3001,$AD740)&amp;"")</f>
        <v/>
      </c>
      <c r="J740">
        <f>IF($AD740="","",INDEX('Per Line'!$F$2:$F$3001,$AD740)&amp;"")</f>
        <v/>
      </c>
      <c r="K740">
        <f>IF($AD740="","",INDEX('Per Line'!$K$2:$K$3001,$AD740)&amp;"")</f>
        <v/>
      </c>
      <c r="L740">
        <f>IF($AD740="","",INDEX('Per Line'!$L$2:$L$3001,$AD740)&amp;"")</f>
        <v/>
      </c>
      <c r="M740">
        <f>IF($AD740="","",INDEX('Per Line'!$M$2:$M$3001,$AD740)&amp;"")</f>
        <v/>
      </c>
      <c r="N740">
        <f>IF($AD740="","",INDEX('Per Line'!$AC$2:$AC$3001,$AD740)&amp;"")</f>
        <v/>
      </c>
      <c r="O740">
        <f>IF($AD740="","",INDEX('Per Line'!$P$2:$P$3001,$AD740))</f>
        <v/>
      </c>
      <c r="P740" s="7">
        <f>IF($AD740="","",IF(AND(ISNUMBER(Q740),Q740&gt;0,AB740&gt;Q740),O740*Q740/100+(AB740-Q740),O740*AB740/100))</f>
        <v/>
      </c>
      <c r="Q740">
        <f>IF($AD740="","",INDEX('Per Line'!$AG$2:$AG$3001,$AD740))</f>
        <v/>
      </c>
      <c r="R740">
        <f>IF($AD740="","",IF(AND(ISNUMBER(Q740),Q740&gt;0),AB740&gt;Q740,FALSE))</f>
        <v/>
      </c>
      <c r="S740" s="7">
        <f>IF($AD740="","",SUMIFS('Per Line'!$AB$2:$AB$3001,'Per Line'!$E$2:$E$3001,$B740,'Per Line'!$AQ$2:$AQ$3001,1))</f>
        <v/>
      </c>
      <c r="T740">
        <f>IF($AD740="","",Settings!$C$7)</f>
        <v/>
      </c>
      <c r="U740" s="7">
        <f>IF($AD740="","",SUMIFS('Per Line'!$AB$2:$AB$3001,'Per Line'!$E$2:$E$3001,$B740,'Per Line'!$AP$2:$AP$3001,0,'Per Line'!$AQ$2:$AQ$3001,0))</f>
        <v/>
      </c>
      <c r="V740" s="7">
        <f>IF($AD740="","",U740*T740)</f>
        <v/>
      </c>
      <c r="W740">
        <f>IF($AD740="","",Settings!$C$6)</f>
        <v/>
      </c>
      <c r="X740" s="7">
        <f>IF($AD740="","",SUMIFS('Per Line'!$AB$2:$AB$3001,'Per Line'!$E$2:$E$3001,$B740,'Per Line'!$AP$2:$AP$3001,1,'Per Line'!$AQ$2:$AQ$3001,0))</f>
        <v/>
      </c>
      <c r="Y740" s="7">
        <f>IF($AD740="","",X740*W740)</f>
        <v/>
      </c>
      <c r="Z740" s="7">
        <f>IF($AD740="","",Y740+V740)</f>
        <v/>
      </c>
      <c r="AA740" s="7">
        <f>IF($AD740="","",AB740-Z740)</f>
        <v/>
      </c>
      <c r="AB740" s="7">
        <f>IF($AD740="","",U740+X740+S740)</f>
        <v/>
      </c>
      <c r="AC740" s="7">
        <f>IF($AD740="","",AB740-Z740-P740)</f>
        <v/>
      </c>
      <c r="AD740" s="13">
        <f>IF(ROWS($AD$2:$AD740)&lt;=MAX('Per Line'!$AO$2:$AO$3001),MATCH(ROWS($AD$2:$AD740),'Per Line'!$AO$2:$AO$3001,0),"")</f>
        <v/>
      </c>
      <c r="AE740" s="14">
        <f>IF($AD740="","",P740-O740*AB740/100)</f>
        <v/>
      </c>
    </row>
    <row r="741">
      <c r="A741" s="12" t="n"/>
      <c r="B741">
        <f>IF($AD741="","",INDEX('Per Line'!$E$2:$E$3001,$AD741)&amp;"")</f>
        <v/>
      </c>
      <c r="C741">
        <f>IF($AD741="","",INDEX('Per Line'!$A$2:$A$3001,$AD741)&amp;"")</f>
        <v/>
      </c>
      <c r="D741">
        <f>IF($AD741="","",INDEX('Per Line'!$C$2:$C$3001,$AD741)&amp;"")</f>
        <v/>
      </c>
      <c r="E741">
        <f>IF($AD741="","",INDEX('Per Line'!$B$2:$B$3001,$AD741))</f>
        <v/>
      </c>
      <c r="F741">
        <f>IF($AD741="","",INDEX('Per Line'!$D$2:$D$3001,$AD741)&amp;"")</f>
        <v/>
      </c>
      <c r="G741" s="11">
        <f>IF($AD741="","",INDEX('Per Line'!$G$2:$G$3001,$AD741))</f>
        <v/>
      </c>
      <c r="H741">
        <f>IF($AD741="","",INDEX('Per Line'!$J$2:$J$3001,$AD741)&amp;"")</f>
        <v/>
      </c>
      <c r="I741">
        <f>IF($AD741="","",INDEX('Per Line'!$H$2:$H$3001,$AD741)&amp;"")</f>
        <v/>
      </c>
      <c r="J741">
        <f>IF($AD741="","",INDEX('Per Line'!$F$2:$F$3001,$AD741)&amp;"")</f>
        <v/>
      </c>
      <c r="K741">
        <f>IF($AD741="","",INDEX('Per Line'!$K$2:$K$3001,$AD741)&amp;"")</f>
        <v/>
      </c>
      <c r="L741">
        <f>IF($AD741="","",INDEX('Per Line'!$L$2:$L$3001,$AD741)&amp;"")</f>
        <v/>
      </c>
      <c r="M741">
        <f>IF($AD741="","",INDEX('Per Line'!$M$2:$M$3001,$AD741)&amp;"")</f>
        <v/>
      </c>
      <c r="N741">
        <f>IF($AD741="","",INDEX('Per Line'!$AC$2:$AC$3001,$AD741)&amp;"")</f>
        <v/>
      </c>
      <c r="O741">
        <f>IF($AD741="","",INDEX('Per Line'!$P$2:$P$3001,$AD741))</f>
        <v/>
      </c>
      <c r="P741" s="7">
        <f>IF($AD741="","",IF(AND(ISNUMBER(Q741),Q741&gt;0,AB741&gt;Q741),O741*Q741/100+(AB741-Q741),O741*AB741/100))</f>
        <v/>
      </c>
      <c r="Q741">
        <f>IF($AD741="","",INDEX('Per Line'!$AG$2:$AG$3001,$AD741))</f>
        <v/>
      </c>
      <c r="R741">
        <f>IF($AD741="","",IF(AND(ISNUMBER(Q741),Q741&gt;0),AB741&gt;Q741,FALSE))</f>
        <v/>
      </c>
      <c r="S741" s="7">
        <f>IF($AD741="","",SUMIFS('Per Line'!$AB$2:$AB$3001,'Per Line'!$E$2:$E$3001,$B741,'Per Line'!$AQ$2:$AQ$3001,1))</f>
        <v/>
      </c>
      <c r="T741">
        <f>IF($AD741="","",Settings!$C$7)</f>
        <v/>
      </c>
      <c r="U741" s="7">
        <f>IF($AD741="","",SUMIFS('Per Line'!$AB$2:$AB$3001,'Per Line'!$E$2:$E$3001,$B741,'Per Line'!$AP$2:$AP$3001,0,'Per Line'!$AQ$2:$AQ$3001,0))</f>
        <v/>
      </c>
      <c r="V741" s="7">
        <f>IF($AD741="","",U741*T741)</f>
        <v/>
      </c>
      <c r="W741">
        <f>IF($AD741="","",Settings!$C$6)</f>
        <v/>
      </c>
      <c r="X741" s="7">
        <f>IF($AD741="","",SUMIFS('Per Line'!$AB$2:$AB$3001,'Per Line'!$E$2:$E$3001,$B741,'Per Line'!$AP$2:$AP$3001,1,'Per Line'!$AQ$2:$AQ$3001,0))</f>
        <v/>
      </c>
      <c r="Y741" s="7">
        <f>IF($AD741="","",X741*W741)</f>
        <v/>
      </c>
      <c r="Z741" s="7">
        <f>IF($AD741="","",Y741+V741)</f>
        <v/>
      </c>
      <c r="AA741" s="7">
        <f>IF($AD741="","",AB741-Z741)</f>
        <v/>
      </c>
      <c r="AB741" s="7">
        <f>IF($AD741="","",U741+X741+S741)</f>
        <v/>
      </c>
      <c r="AC741" s="7">
        <f>IF($AD741="","",AB741-Z741-P741)</f>
        <v/>
      </c>
      <c r="AD741" s="13">
        <f>IF(ROWS($AD$2:$AD741)&lt;=MAX('Per Line'!$AO$2:$AO$3001),MATCH(ROWS($AD$2:$AD741),'Per Line'!$AO$2:$AO$3001,0),"")</f>
        <v/>
      </c>
      <c r="AE741" s="14">
        <f>IF($AD741="","",P741-O741*AB741/100)</f>
        <v/>
      </c>
    </row>
    <row r="742">
      <c r="A742" s="12" t="n"/>
      <c r="B742">
        <f>IF($AD742="","",INDEX('Per Line'!$E$2:$E$3001,$AD742)&amp;"")</f>
        <v/>
      </c>
      <c r="C742">
        <f>IF($AD742="","",INDEX('Per Line'!$A$2:$A$3001,$AD742)&amp;"")</f>
        <v/>
      </c>
      <c r="D742">
        <f>IF($AD742="","",INDEX('Per Line'!$C$2:$C$3001,$AD742)&amp;"")</f>
        <v/>
      </c>
      <c r="E742">
        <f>IF($AD742="","",INDEX('Per Line'!$B$2:$B$3001,$AD742))</f>
        <v/>
      </c>
      <c r="F742">
        <f>IF($AD742="","",INDEX('Per Line'!$D$2:$D$3001,$AD742)&amp;"")</f>
        <v/>
      </c>
      <c r="G742" s="11">
        <f>IF($AD742="","",INDEX('Per Line'!$G$2:$G$3001,$AD742))</f>
        <v/>
      </c>
      <c r="H742">
        <f>IF($AD742="","",INDEX('Per Line'!$J$2:$J$3001,$AD742)&amp;"")</f>
        <v/>
      </c>
      <c r="I742">
        <f>IF($AD742="","",INDEX('Per Line'!$H$2:$H$3001,$AD742)&amp;"")</f>
        <v/>
      </c>
      <c r="J742">
        <f>IF($AD742="","",INDEX('Per Line'!$F$2:$F$3001,$AD742)&amp;"")</f>
        <v/>
      </c>
      <c r="K742">
        <f>IF($AD742="","",INDEX('Per Line'!$K$2:$K$3001,$AD742)&amp;"")</f>
        <v/>
      </c>
      <c r="L742">
        <f>IF($AD742="","",INDEX('Per Line'!$L$2:$L$3001,$AD742)&amp;"")</f>
        <v/>
      </c>
      <c r="M742">
        <f>IF($AD742="","",INDEX('Per Line'!$M$2:$M$3001,$AD742)&amp;"")</f>
        <v/>
      </c>
      <c r="N742">
        <f>IF($AD742="","",INDEX('Per Line'!$AC$2:$AC$3001,$AD742)&amp;"")</f>
        <v/>
      </c>
      <c r="O742">
        <f>IF($AD742="","",INDEX('Per Line'!$P$2:$P$3001,$AD742))</f>
        <v/>
      </c>
      <c r="P742" s="7">
        <f>IF($AD742="","",IF(AND(ISNUMBER(Q742),Q742&gt;0,AB742&gt;Q742),O742*Q742/100+(AB742-Q742),O742*AB742/100))</f>
        <v/>
      </c>
      <c r="Q742">
        <f>IF($AD742="","",INDEX('Per Line'!$AG$2:$AG$3001,$AD742))</f>
        <v/>
      </c>
      <c r="R742">
        <f>IF($AD742="","",IF(AND(ISNUMBER(Q742),Q742&gt;0),AB742&gt;Q742,FALSE))</f>
        <v/>
      </c>
      <c r="S742" s="7">
        <f>IF($AD742="","",SUMIFS('Per Line'!$AB$2:$AB$3001,'Per Line'!$E$2:$E$3001,$B742,'Per Line'!$AQ$2:$AQ$3001,1))</f>
        <v/>
      </c>
      <c r="T742">
        <f>IF($AD742="","",Settings!$C$7)</f>
        <v/>
      </c>
      <c r="U742" s="7">
        <f>IF($AD742="","",SUMIFS('Per Line'!$AB$2:$AB$3001,'Per Line'!$E$2:$E$3001,$B742,'Per Line'!$AP$2:$AP$3001,0,'Per Line'!$AQ$2:$AQ$3001,0))</f>
        <v/>
      </c>
      <c r="V742" s="7">
        <f>IF($AD742="","",U742*T742)</f>
        <v/>
      </c>
      <c r="W742">
        <f>IF($AD742="","",Settings!$C$6)</f>
        <v/>
      </c>
      <c r="X742" s="7">
        <f>IF($AD742="","",SUMIFS('Per Line'!$AB$2:$AB$3001,'Per Line'!$E$2:$E$3001,$B742,'Per Line'!$AP$2:$AP$3001,1,'Per Line'!$AQ$2:$AQ$3001,0))</f>
        <v/>
      </c>
      <c r="Y742" s="7">
        <f>IF($AD742="","",X742*W742)</f>
        <v/>
      </c>
      <c r="Z742" s="7">
        <f>IF($AD742="","",Y742+V742)</f>
        <v/>
      </c>
      <c r="AA742" s="7">
        <f>IF($AD742="","",AB742-Z742)</f>
        <v/>
      </c>
      <c r="AB742" s="7">
        <f>IF($AD742="","",U742+X742+S742)</f>
        <v/>
      </c>
      <c r="AC742" s="7">
        <f>IF($AD742="","",AB742-Z742-P742)</f>
        <v/>
      </c>
      <c r="AD742" s="13">
        <f>IF(ROWS($AD$2:$AD742)&lt;=MAX('Per Line'!$AO$2:$AO$3001),MATCH(ROWS($AD$2:$AD742),'Per Line'!$AO$2:$AO$3001,0),"")</f>
        <v/>
      </c>
      <c r="AE742" s="14">
        <f>IF($AD742="","",P742-O742*AB742/100)</f>
        <v/>
      </c>
    </row>
    <row r="743">
      <c r="A743" s="12" t="n"/>
      <c r="B743">
        <f>IF($AD743="","",INDEX('Per Line'!$E$2:$E$3001,$AD743)&amp;"")</f>
        <v/>
      </c>
      <c r="C743">
        <f>IF($AD743="","",INDEX('Per Line'!$A$2:$A$3001,$AD743)&amp;"")</f>
        <v/>
      </c>
      <c r="D743">
        <f>IF($AD743="","",INDEX('Per Line'!$C$2:$C$3001,$AD743)&amp;"")</f>
        <v/>
      </c>
      <c r="E743">
        <f>IF($AD743="","",INDEX('Per Line'!$B$2:$B$3001,$AD743))</f>
        <v/>
      </c>
      <c r="F743">
        <f>IF($AD743="","",INDEX('Per Line'!$D$2:$D$3001,$AD743)&amp;"")</f>
        <v/>
      </c>
      <c r="G743" s="11">
        <f>IF($AD743="","",INDEX('Per Line'!$G$2:$G$3001,$AD743))</f>
        <v/>
      </c>
      <c r="H743">
        <f>IF($AD743="","",INDEX('Per Line'!$J$2:$J$3001,$AD743)&amp;"")</f>
        <v/>
      </c>
      <c r="I743">
        <f>IF($AD743="","",INDEX('Per Line'!$H$2:$H$3001,$AD743)&amp;"")</f>
        <v/>
      </c>
      <c r="J743">
        <f>IF($AD743="","",INDEX('Per Line'!$F$2:$F$3001,$AD743)&amp;"")</f>
        <v/>
      </c>
      <c r="K743">
        <f>IF($AD743="","",INDEX('Per Line'!$K$2:$K$3001,$AD743)&amp;"")</f>
        <v/>
      </c>
      <c r="L743">
        <f>IF($AD743="","",INDEX('Per Line'!$L$2:$L$3001,$AD743)&amp;"")</f>
        <v/>
      </c>
      <c r="M743">
        <f>IF($AD743="","",INDEX('Per Line'!$M$2:$M$3001,$AD743)&amp;"")</f>
        <v/>
      </c>
      <c r="N743">
        <f>IF($AD743="","",INDEX('Per Line'!$AC$2:$AC$3001,$AD743)&amp;"")</f>
        <v/>
      </c>
      <c r="O743">
        <f>IF($AD743="","",INDEX('Per Line'!$P$2:$P$3001,$AD743))</f>
        <v/>
      </c>
      <c r="P743" s="7">
        <f>IF($AD743="","",IF(AND(ISNUMBER(Q743),Q743&gt;0,AB743&gt;Q743),O743*Q743/100+(AB743-Q743),O743*AB743/100))</f>
        <v/>
      </c>
      <c r="Q743">
        <f>IF($AD743="","",INDEX('Per Line'!$AG$2:$AG$3001,$AD743))</f>
        <v/>
      </c>
      <c r="R743">
        <f>IF($AD743="","",IF(AND(ISNUMBER(Q743),Q743&gt;0),AB743&gt;Q743,FALSE))</f>
        <v/>
      </c>
      <c r="S743" s="7">
        <f>IF($AD743="","",SUMIFS('Per Line'!$AB$2:$AB$3001,'Per Line'!$E$2:$E$3001,$B743,'Per Line'!$AQ$2:$AQ$3001,1))</f>
        <v/>
      </c>
      <c r="T743">
        <f>IF($AD743="","",Settings!$C$7)</f>
        <v/>
      </c>
      <c r="U743" s="7">
        <f>IF($AD743="","",SUMIFS('Per Line'!$AB$2:$AB$3001,'Per Line'!$E$2:$E$3001,$B743,'Per Line'!$AP$2:$AP$3001,0,'Per Line'!$AQ$2:$AQ$3001,0))</f>
        <v/>
      </c>
      <c r="V743" s="7">
        <f>IF($AD743="","",U743*T743)</f>
        <v/>
      </c>
      <c r="W743">
        <f>IF($AD743="","",Settings!$C$6)</f>
        <v/>
      </c>
      <c r="X743" s="7">
        <f>IF($AD743="","",SUMIFS('Per Line'!$AB$2:$AB$3001,'Per Line'!$E$2:$E$3001,$B743,'Per Line'!$AP$2:$AP$3001,1,'Per Line'!$AQ$2:$AQ$3001,0))</f>
        <v/>
      </c>
      <c r="Y743" s="7">
        <f>IF($AD743="","",X743*W743)</f>
        <v/>
      </c>
      <c r="Z743" s="7">
        <f>IF($AD743="","",Y743+V743)</f>
        <v/>
      </c>
      <c r="AA743" s="7">
        <f>IF($AD743="","",AB743-Z743)</f>
        <v/>
      </c>
      <c r="AB743" s="7">
        <f>IF($AD743="","",U743+X743+S743)</f>
        <v/>
      </c>
      <c r="AC743" s="7">
        <f>IF($AD743="","",AB743-Z743-P743)</f>
        <v/>
      </c>
      <c r="AD743" s="13">
        <f>IF(ROWS($AD$2:$AD743)&lt;=MAX('Per Line'!$AO$2:$AO$3001),MATCH(ROWS($AD$2:$AD743),'Per Line'!$AO$2:$AO$3001,0),"")</f>
        <v/>
      </c>
      <c r="AE743" s="14">
        <f>IF($AD743="","",P743-O743*AB743/100)</f>
        <v/>
      </c>
    </row>
    <row r="744">
      <c r="A744" s="12" t="n"/>
      <c r="B744">
        <f>IF($AD744="","",INDEX('Per Line'!$E$2:$E$3001,$AD744)&amp;"")</f>
        <v/>
      </c>
      <c r="C744">
        <f>IF($AD744="","",INDEX('Per Line'!$A$2:$A$3001,$AD744)&amp;"")</f>
        <v/>
      </c>
      <c r="D744">
        <f>IF($AD744="","",INDEX('Per Line'!$C$2:$C$3001,$AD744)&amp;"")</f>
        <v/>
      </c>
      <c r="E744">
        <f>IF($AD744="","",INDEX('Per Line'!$B$2:$B$3001,$AD744))</f>
        <v/>
      </c>
      <c r="F744">
        <f>IF($AD744="","",INDEX('Per Line'!$D$2:$D$3001,$AD744)&amp;"")</f>
        <v/>
      </c>
      <c r="G744" s="11">
        <f>IF($AD744="","",INDEX('Per Line'!$G$2:$G$3001,$AD744))</f>
        <v/>
      </c>
      <c r="H744">
        <f>IF($AD744="","",INDEX('Per Line'!$J$2:$J$3001,$AD744)&amp;"")</f>
        <v/>
      </c>
      <c r="I744">
        <f>IF($AD744="","",INDEX('Per Line'!$H$2:$H$3001,$AD744)&amp;"")</f>
        <v/>
      </c>
      <c r="J744">
        <f>IF($AD744="","",INDEX('Per Line'!$F$2:$F$3001,$AD744)&amp;"")</f>
        <v/>
      </c>
      <c r="K744">
        <f>IF($AD744="","",INDEX('Per Line'!$K$2:$K$3001,$AD744)&amp;"")</f>
        <v/>
      </c>
      <c r="L744">
        <f>IF($AD744="","",INDEX('Per Line'!$L$2:$L$3001,$AD744)&amp;"")</f>
        <v/>
      </c>
      <c r="M744">
        <f>IF($AD744="","",INDEX('Per Line'!$M$2:$M$3001,$AD744)&amp;"")</f>
        <v/>
      </c>
      <c r="N744">
        <f>IF($AD744="","",INDEX('Per Line'!$AC$2:$AC$3001,$AD744)&amp;"")</f>
        <v/>
      </c>
      <c r="O744">
        <f>IF($AD744="","",INDEX('Per Line'!$P$2:$P$3001,$AD744))</f>
        <v/>
      </c>
      <c r="P744" s="7">
        <f>IF($AD744="","",IF(AND(ISNUMBER(Q744),Q744&gt;0,AB744&gt;Q744),O744*Q744/100+(AB744-Q744),O744*AB744/100))</f>
        <v/>
      </c>
      <c r="Q744">
        <f>IF($AD744="","",INDEX('Per Line'!$AG$2:$AG$3001,$AD744))</f>
        <v/>
      </c>
      <c r="R744">
        <f>IF($AD744="","",IF(AND(ISNUMBER(Q744),Q744&gt;0),AB744&gt;Q744,FALSE))</f>
        <v/>
      </c>
      <c r="S744" s="7">
        <f>IF($AD744="","",SUMIFS('Per Line'!$AB$2:$AB$3001,'Per Line'!$E$2:$E$3001,$B744,'Per Line'!$AQ$2:$AQ$3001,1))</f>
        <v/>
      </c>
      <c r="T744">
        <f>IF($AD744="","",Settings!$C$7)</f>
        <v/>
      </c>
      <c r="U744" s="7">
        <f>IF($AD744="","",SUMIFS('Per Line'!$AB$2:$AB$3001,'Per Line'!$E$2:$E$3001,$B744,'Per Line'!$AP$2:$AP$3001,0,'Per Line'!$AQ$2:$AQ$3001,0))</f>
        <v/>
      </c>
      <c r="V744" s="7">
        <f>IF($AD744="","",U744*T744)</f>
        <v/>
      </c>
      <c r="W744">
        <f>IF($AD744="","",Settings!$C$6)</f>
        <v/>
      </c>
      <c r="X744" s="7">
        <f>IF($AD744="","",SUMIFS('Per Line'!$AB$2:$AB$3001,'Per Line'!$E$2:$E$3001,$B744,'Per Line'!$AP$2:$AP$3001,1,'Per Line'!$AQ$2:$AQ$3001,0))</f>
        <v/>
      </c>
      <c r="Y744" s="7">
        <f>IF($AD744="","",X744*W744)</f>
        <v/>
      </c>
      <c r="Z744" s="7">
        <f>IF($AD744="","",Y744+V744)</f>
        <v/>
      </c>
      <c r="AA744" s="7">
        <f>IF($AD744="","",AB744-Z744)</f>
        <v/>
      </c>
      <c r="AB744" s="7">
        <f>IF($AD744="","",U744+X744+S744)</f>
        <v/>
      </c>
      <c r="AC744" s="7">
        <f>IF($AD744="","",AB744-Z744-P744)</f>
        <v/>
      </c>
      <c r="AD744" s="13">
        <f>IF(ROWS($AD$2:$AD744)&lt;=MAX('Per Line'!$AO$2:$AO$3001),MATCH(ROWS($AD$2:$AD744),'Per Line'!$AO$2:$AO$3001,0),"")</f>
        <v/>
      </c>
      <c r="AE744" s="14">
        <f>IF($AD744="","",P744-O744*AB744/100)</f>
        <v/>
      </c>
    </row>
    <row r="745">
      <c r="A745" s="12" t="n"/>
      <c r="B745">
        <f>IF($AD745="","",INDEX('Per Line'!$E$2:$E$3001,$AD745)&amp;"")</f>
        <v/>
      </c>
      <c r="C745">
        <f>IF($AD745="","",INDEX('Per Line'!$A$2:$A$3001,$AD745)&amp;"")</f>
        <v/>
      </c>
      <c r="D745">
        <f>IF($AD745="","",INDEX('Per Line'!$C$2:$C$3001,$AD745)&amp;"")</f>
        <v/>
      </c>
      <c r="E745">
        <f>IF($AD745="","",INDEX('Per Line'!$B$2:$B$3001,$AD745))</f>
        <v/>
      </c>
      <c r="F745">
        <f>IF($AD745="","",INDEX('Per Line'!$D$2:$D$3001,$AD745)&amp;"")</f>
        <v/>
      </c>
      <c r="G745" s="11">
        <f>IF($AD745="","",INDEX('Per Line'!$G$2:$G$3001,$AD745))</f>
        <v/>
      </c>
      <c r="H745">
        <f>IF($AD745="","",INDEX('Per Line'!$J$2:$J$3001,$AD745)&amp;"")</f>
        <v/>
      </c>
      <c r="I745">
        <f>IF($AD745="","",INDEX('Per Line'!$H$2:$H$3001,$AD745)&amp;"")</f>
        <v/>
      </c>
      <c r="J745">
        <f>IF($AD745="","",INDEX('Per Line'!$F$2:$F$3001,$AD745)&amp;"")</f>
        <v/>
      </c>
      <c r="K745">
        <f>IF($AD745="","",INDEX('Per Line'!$K$2:$K$3001,$AD745)&amp;"")</f>
        <v/>
      </c>
      <c r="L745">
        <f>IF($AD745="","",INDEX('Per Line'!$L$2:$L$3001,$AD745)&amp;"")</f>
        <v/>
      </c>
      <c r="M745">
        <f>IF($AD745="","",INDEX('Per Line'!$M$2:$M$3001,$AD745)&amp;"")</f>
        <v/>
      </c>
      <c r="N745">
        <f>IF($AD745="","",INDEX('Per Line'!$AC$2:$AC$3001,$AD745)&amp;"")</f>
        <v/>
      </c>
      <c r="O745">
        <f>IF($AD745="","",INDEX('Per Line'!$P$2:$P$3001,$AD745))</f>
        <v/>
      </c>
      <c r="P745" s="7">
        <f>IF($AD745="","",IF(AND(ISNUMBER(Q745),Q745&gt;0,AB745&gt;Q745),O745*Q745/100+(AB745-Q745),O745*AB745/100))</f>
        <v/>
      </c>
      <c r="Q745">
        <f>IF($AD745="","",INDEX('Per Line'!$AG$2:$AG$3001,$AD745))</f>
        <v/>
      </c>
      <c r="R745">
        <f>IF($AD745="","",IF(AND(ISNUMBER(Q745),Q745&gt;0),AB745&gt;Q745,FALSE))</f>
        <v/>
      </c>
      <c r="S745" s="7">
        <f>IF($AD745="","",SUMIFS('Per Line'!$AB$2:$AB$3001,'Per Line'!$E$2:$E$3001,$B745,'Per Line'!$AQ$2:$AQ$3001,1))</f>
        <v/>
      </c>
      <c r="T745">
        <f>IF($AD745="","",Settings!$C$7)</f>
        <v/>
      </c>
      <c r="U745" s="7">
        <f>IF($AD745="","",SUMIFS('Per Line'!$AB$2:$AB$3001,'Per Line'!$E$2:$E$3001,$B745,'Per Line'!$AP$2:$AP$3001,0,'Per Line'!$AQ$2:$AQ$3001,0))</f>
        <v/>
      </c>
      <c r="V745" s="7">
        <f>IF($AD745="","",U745*T745)</f>
        <v/>
      </c>
      <c r="W745">
        <f>IF($AD745="","",Settings!$C$6)</f>
        <v/>
      </c>
      <c r="X745" s="7">
        <f>IF($AD745="","",SUMIFS('Per Line'!$AB$2:$AB$3001,'Per Line'!$E$2:$E$3001,$B745,'Per Line'!$AP$2:$AP$3001,1,'Per Line'!$AQ$2:$AQ$3001,0))</f>
        <v/>
      </c>
      <c r="Y745" s="7">
        <f>IF($AD745="","",X745*W745)</f>
        <v/>
      </c>
      <c r="Z745" s="7">
        <f>IF($AD745="","",Y745+V745)</f>
        <v/>
      </c>
      <c r="AA745" s="7">
        <f>IF($AD745="","",AB745-Z745)</f>
        <v/>
      </c>
      <c r="AB745" s="7">
        <f>IF($AD745="","",U745+X745+S745)</f>
        <v/>
      </c>
      <c r="AC745" s="7">
        <f>IF($AD745="","",AB745-Z745-P745)</f>
        <v/>
      </c>
      <c r="AD745" s="13">
        <f>IF(ROWS($AD$2:$AD745)&lt;=MAX('Per Line'!$AO$2:$AO$3001),MATCH(ROWS($AD$2:$AD745),'Per Line'!$AO$2:$AO$3001,0),"")</f>
        <v/>
      </c>
      <c r="AE745" s="14">
        <f>IF($AD745="","",P745-O745*AB745/100)</f>
        <v/>
      </c>
    </row>
    <row r="746">
      <c r="A746" s="12" t="n"/>
      <c r="B746">
        <f>IF($AD746="","",INDEX('Per Line'!$E$2:$E$3001,$AD746)&amp;"")</f>
        <v/>
      </c>
      <c r="C746">
        <f>IF($AD746="","",INDEX('Per Line'!$A$2:$A$3001,$AD746)&amp;"")</f>
        <v/>
      </c>
      <c r="D746">
        <f>IF($AD746="","",INDEX('Per Line'!$C$2:$C$3001,$AD746)&amp;"")</f>
        <v/>
      </c>
      <c r="E746">
        <f>IF($AD746="","",INDEX('Per Line'!$B$2:$B$3001,$AD746))</f>
        <v/>
      </c>
      <c r="F746">
        <f>IF($AD746="","",INDEX('Per Line'!$D$2:$D$3001,$AD746)&amp;"")</f>
        <v/>
      </c>
      <c r="G746" s="11">
        <f>IF($AD746="","",INDEX('Per Line'!$G$2:$G$3001,$AD746))</f>
        <v/>
      </c>
      <c r="H746">
        <f>IF($AD746="","",INDEX('Per Line'!$J$2:$J$3001,$AD746)&amp;"")</f>
        <v/>
      </c>
      <c r="I746">
        <f>IF($AD746="","",INDEX('Per Line'!$H$2:$H$3001,$AD746)&amp;"")</f>
        <v/>
      </c>
      <c r="J746">
        <f>IF($AD746="","",INDEX('Per Line'!$F$2:$F$3001,$AD746)&amp;"")</f>
        <v/>
      </c>
      <c r="K746">
        <f>IF($AD746="","",INDEX('Per Line'!$K$2:$K$3001,$AD746)&amp;"")</f>
        <v/>
      </c>
      <c r="L746">
        <f>IF($AD746="","",INDEX('Per Line'!$L$2:$L$3001,$AD746)&amp;"")</f>
        <v/>
      </c>
      <c r="M746">
        <f>IF($AD746="","",INDEX('Per Line'!$M$2:$M$3001,$AD746)&amp;"")</f>
        <v/>
      </c>
      <c r="N746">
        <f>IF($AD746="","",INDEX('Per Line'!$AC$2:$AC$3001,$AD746)&amp;"")</f>
        <v/>
      </c>
      <c r="O746">
        <f>IF($AD746="","",INDEX('Per Line'!$P$2:$P$3001,$AD746))</f>
        <v/>
      </c>
      <c r="P746" s="7">
        <f>IF($AD746="","",IF(AND(ISNUMBER(Q746),Q746&gt;0,AB746&gt;Q746),O746*Q746/100+(AB746-Q746),O746*AB746/100))</f>
        <v/>
      </c>
      <c r="Q746">
        <f>IF($AD746="","",INDEX('Per Line'!$AG$2:$AG$3001,$AD746))</f>
        <v/>
      </c>
      <c r="R746">
        <f>IF($AD746="","",IF(AND(ISNUMBER(Q746),Q746&gt;0),AB746&gt;Q746,FALSE))</f>
        <v/>
      </c>
      <c r="S746" s="7">
        <f>IF($AD746="","",SUMIFS('Per Line'!$AB$2:$AB$3001,'Per Line'!$E$2:$E$3001,$B746,'Per Line'!$AQ$2:$AQ$3001,1))</f>
        <v/>
      </c>
      <c r="T746">
        <f>IF($AD746="","",Settings!$C$7)</f>
        <v/>
      </c>
      <c r="U746" s="7">
        <f>IF($AD746="","",SUMIFS('Per Line'!$AB$2:$AB$3001,'Per Line'!$E$2:$E$3001,$B746,'Per Line'!$AP$2:$AP$3001,0,'Per Line'!$AQ$2:$AQ$3001,0))</f>
        <v/>
      </c>
      <c r="V746" s="7">
        <f>IF($AD746="","",U746*T746)</f>
        <v/>
      </c>
      <c r="W746">
        <f>IF($AD746="","",Settings!$C$6)</f>
        <v/>
      </c>
      <c r="X746" s="7">
        <f>IF($AD746="","",SUMIFS('Per Line'!$AB$2:$AB$3001,'Per Line'!$E$2:$E$3001,$B746,'Per Line'!$AP$2:$AP$3001,1,'Per Line'!$AQ$2:$AQ$3001,0))</f>
        <v/>
      </c>
      <c r="Y746" s="7">
        <f>IF($AD746="","",X746*W746)</f>
        <v/>
      </c>
      <c r="Z746" s="7">
        <f>IF($AD746="","",Y746+V746)</f>
        <v/>
      </c>
      <c r="AA746" s="7">
        <f>IF($AD746="","",AB746-Z746)</f>
        <v/>
      </c>
      <c r="AB746" s="7">
        <f>IF($AD746="","",U746+X746+S746)</f>
        <v/>
      </c>
      <c r="AC746" s="7">
        <f>IF($AD746="","",AB746-Z746-P746)</f>
        <v/>
      </c>
      <c r="AD746" s="13">
        <f>IF(ROWS($AD$2:$AD746)&lt;=MAX('Per Line'!$AO$2:$AO$3001),MATCH(ROWS($AD$2:$AD746),'Per Line'!$AO$2:$AO$3001,0),"")</f>
        <v/>
      </c>
      <c r="AE746" s="14">
        <f>IF($AD746="","",P746-O746*AB746/100)</f>
        <v/>
      </c>
    </row>
    <row r="747">
      <c r="A747" s="12" t="n"/>
      <c r="B747">
        <f>IF($AD747="","",INDEX('Per Line'!$E$2:$E$3001,$AD747)&amp;"")</f>
        <v/>
      </c>
      <c r="C747">
        <f>IF($AD747="","",INDEX('Per Line'!$A$2:$A$3001,$AD747)&amp;"")</f>
        <v/>
      </c>
      <c r="D747">
        <f>IF($AD747="","",INDEX('Per Line'!$C$2:$C$3001,$AD747)&amp;"")</f>
        <v/>
      </c>
      <c r="E747">
        <f>IF($AD747="","",INDEX('Per Line'!$B$2:$B$3001,$AD747))</f>
        <v/>
      </c>
      <c r="F747">
        <f>IF($AD747="","",INDEX('Per Line'!$D$2:$D$3001,$AD747)&amp;"")</f>
        <v/>
      </c>
      <c r="G747" s="11">
        <f>IF($AD747="","",INDEX('Per Line'!$G$2:$G$3001,$AD747))</f>
        <v/>
      </c>
      <c r="H747">
        <f>IF($AD747="","",INDEX('Per Line'!$J$2:$J$3001,$AD747)&amp;"")</f>
        <v/>
      </c>
      <c r="I747">
        <f>IF($AD747="","",INDEX('Per Line'!$H$2:$H$3001,$AD747)&amp;"")</f>
        <v/>
      </c>
      <c r="J747">
        <f>IF($AD747="","",INDEX('Per Line'!$F$2:$F$3001,$AD747)&amp;"")</f>
        <v/>
      </c>
      <c r="K747">
        <f>IF($AD747="","",INDEX('Per Line'!$K$2:$K$3001,$AD747)&amp;"")</f>
        <v/>
      </c>
      <c r="L747">
        <f>IF($AD747="","",INDEX('Per Line'!$L$2:$L$3001,$AD747)&amp;"")</f>
        <v/>
      </c>
      <c r="M747">
        <f>IF($AD747="","",INDEX('Per Line'!$M$2:$M$3001,$AD747)&amp;"")</f>
        <v/>
      </c>
      <c r="N747">
        <f>IF($AD747="","",INDEX('Per Line'!$AC$2:$AC$3001,$AD747)&amp;"")</f>
        <v/>
      </c>
      <c r="O747">
        <f>IF($AD747="","",INDEX('Per Line'!$P$2:$P$3001,$AD747))</f>
        <v/>
      </c>
      <c r="P747" s="7">
        <f>IF($AD747="","",IF(AND(ISNUMBER(Q747),Q747&gt;0,AB747&gt;Q747),O747*Q747/100+(AB747-Q747),O747*AB747/100))</f>
        <v/>
      </c>
      <c r="Q747">
        <f>IF($AD747="","",INDEX('Per Line'!$AG$2:$AG$3001,$AD747))</f>
        <v/>
      </c>
      <c r="R747">
        <f>IF($AD747="","",IF(AND(ISNUMBER(Q747),Q747&gt;0),AB747&gt;Q747,FALSE))</f>
        <v/>
      </c>
      <c r="S747" s="7">
        <f>IF($AD747="","",SUMIFS('Per Line'!$AB$2:$AB$3001,'Per Line'!$E$2:$E$3001,$B747,'Per Line'!$AQ$2:$AQ$3001,1))</f>
        <v/>
      </c>
      <c r="T747">
        <f>IF($AD747="","",Settings!$C$7)</f>
        <v/>
      </c>
      <c r="U747" s="7">
        <f>IF($AD747="","",SUMIFS('Per Line'!$AB$2:$AB$3001,'Per Line'!$E$2:$E$3001,$B747,'Per Line'!$AP$2:$AP$3001,0,'Per Line'!$AQ$2:$AQ$3001,0))</f>
        <v/>
      </c>
      <c r="V747" s="7">
        <f>IF($AD747="","",U747*T747)</f>
        <v/>
      </c>
      <c r="W747">
        <f>IF($AD747="","",Settings!$C$6)</f>
        <v/>
      </c>
      <c r="X747" s="7">
        <f>IF($AD747="","",SUMIFS('Per Line'!$AB$2:$AB$3001,'Per Line'!$E$2:$E$3001,$B747,'Per Line'!$AP$2:$AP$3001,1,'Per Line'!$AQ$2:$AQ$3001,0))</f>
        <v/>
      </c>
      <c r="Y747" s="7">
        <f>IF($AD747="","",X747*W747)</f>
        <v/>
      </c>
      <c r="Z747" s="7">
        <f>IF($AD747="","",Y747+V747)</f>
        <v/>
      </c>
      <c r="AA747" s="7">
        <f>IF($AD747="","",AB747-Z747)</f>
        <v/>
      </c>
      <c r="AB747" s="7">
        <f>IF($AD747="","",U747+X747+S747)</f>
        <v/>
      </c>
      <c r="AC747" s="7">
        <f>IF($AD747="","",AB747-Z747-P747)</f>
        <v/>
      </c>
      <c r="AD747" s="13">
        <f>IF(ROWS($AD$2:$AD747)&lt;=MAX('Per Line'!$AO$2:$AO$3001),MATCH(ROWS($AD$2:$AD747),'Per Line'!$AO$2:$AO$3001,0),"")</f>
        <v/>
      </c>
      <c r="AE747" s="14">
        <f>IF($AD747="","",P747-O747*AB747/100)</f>
        <v/>
      </c>
    </row>
    <row r="748">
      <c r="A748" s="12" t="n"/>
      <c r="B748">
        <f>IF($AD748="","",INDEX('Per Line'!$E$2:$E$3001,$AD748)&amp;"")</f>
        <v/>
      </c>
      <c r="C748">
        <f>IF($AD748="","",INDEX('Per Line'!$A$2:$A$3001,$AD748)&amp;"")</f>
        <v/>
      </c>
      <c r="D748">
        <f>IF($AD748="","",INDEX('Per Line'!$C$2:$C$3001,$AD748)&amp;"")</f>
        <v/>
      </c>
      <c r="E748">
        <f>IF($AD748="","",INDEX('Per Line'!$B$2:$B$3001,$AD748))</f>
        <v/>
      </c>
      <c r="F748">
        <f>IF($AD748="","",INDEX('Per Line'!$D$2:$D$3001,$AD748)&amp;"")</f>
        <v/>
      </c>
      <c r="G748" s="11">
        <f>IF($AD748="","",INDEX('Per Line'!$G$2:$G$3001,$AD748))</f>
        <v/>
      </c>
      <c r="H748">
        <f>IF($AD748="","",INDEX('Per Line'!$J$2:$J$3001,$AD748)&amp;"")</f>
        <v/>
      </c>
      <c r="I748">
        <f>IF($AD748="","",INDEX('Per Line'!$H$2:$H$3001,$AD748)&amp;"")</f>
        <v/>
      </c>
      <c r="J748">
        <f>IF($AD748="","",INDEX('Per Line'!$F$2:$F$3001,$AD748)&amp;"")</f>
        <v/>
      </c>
      <c r="K748">
        <f>IF($AD748="","",INDEX('Per Line'!$K$2:$K$3001,$AD748)&amp;"")</f>
        <v/>
      </c>
      <c r="L748">
        <f>IF($AD748="","",INDEX('Per Line'!$L$2:$L$3001,$AD748)&amp;"")</f>
        <v/>
      </c>
      <c r="M748">
        <f>IF($AD748="","",INDEX('Per Line'!$M$2:$M$3001,$AD748)&amp;"")</f>
        <v/>
      </c>
      <c r="N748">
        <f>IF($AD748="","",INDEX('Per Line'!$AC$2:$AC$3001,$AD748)&amp;"")</f>
        <v/>
      </c>
      <c r="O748">
        <f>IF($AD748="","",INDEX('Per Line'!$P$2:$P$3001,$AD748))</f>
        <v/>
      </c>
      <c r="P748" s="7">
        <f>IF($AD748="","",IF(AND(ISNUMBER(Q748),Q748&gt;0,AB748&gt;Q748),O748*Q748/100+(AB748-Q748),O748*AB748/100))</f>
        <v/>
      </c>
      <c r="Q748">
        <f>IF($AD748="","",INDEX('Per Line'!$AG$2:$AG$3001,$AD748))</f>
        <v/>
      </c>
      <c r="R748">
        <f>IF($AD748="","",IF(AND(ISNUMBER(Q748),Q748&gt;0),AB748&gt;Q748,FALSE))</f>
        <v/>
      </c>
      <c r="S748" s="7">
        <f>IF($AD748="","",SUMIFS('Per Line'!$AB$2:$AB$3001,'Per Line'!$E$2:$E$3001,$B748,'Per Line'!$AQ$2:$AQ$3001,1))</f>
        <v/>
      </c>
      <c r="T748">
        <f>IF($AD748="","",Settings!$C$7)</f>
        <v/>
      </c>
      <c r="U748" s="7">
        <f>IF($AD748="","",SUMIFS('Per Line'!$AB$2:$AB$3001,'Per Line'!$E$2:$E$3001,$B748,'Per Line'!$AP$2:$AP$3001,0,'Per Line'!$AQ$2:$AQ$3001,0))</f>
        <v/>
      </c>
      <c r="V748" s="7">
        <f>IF($AD748="","",U748*T748)</f>
        <v/>
      </c>
      <c r="W748">
        <f>IF($AD748="","",Settings!$C$6)</f>
        <v/>
      </c>
      <c r="X748" s="7">
        <f>IF($AD748="","",SUMIFS('Per Line'!$AB$2:$AB$3001,'Per Line'!$E$2:$E$3001,$B748,'Per Line'!$AP$2:$AP$3001,1,'Per Line'!$AQ$2:$AQ$3001,0))</f>
        <v/>
      </c>
      <c r="Y748" s="7">
        <f>IF($AD748="","",X748*W748)</f>
        <v/>
      </c>
      <c r="Z748" s="7">
        <f>IF($AD748="","",Y748+V748)</f>
        <v/>
      </c>
      <c r="AA748" s="7">
        <f>IF($AD748="","",AB748-Z748)</f>
        <v/>
      </c>
      <c r="AB748" s="7">
        <f>IF($AD748="","",U748+X748+S748)</f>
        <v/>
      </c>
      <c r="AC748" s="7">
        <f>IF($AD748="","",AB748-Z748-P748)</f>
        <v/>
      </c>
      <c r="AD748" s="13">
        <f>IF(ROWS($AD$2:$AD748)&lt;=MAX('Per Line'!$AO$2:$AO$3001),MATCH(ROWS($AD$2:$AD748),'Per Line'!$AO$2:$AO$3001,0),"")</f>
        <v/>
      </c>
      <c r="AE748" s="14">
        <f>IF($AD748="","",P748-O748*AB748/100)</f>
        <v/>
      </c>
    </row>
    <row r="749">
      <c r="A749" s="12" t="n"/>
      <c r="B749">
        <f>IF($AD749="","",INDEX('Per Line'!$E$2:$E$3001,$AD749)&amp;"")</f>
        <v/>
      </c>
      <c r="C749">
        <f>IF($AD749="","",INDEX('Per Line'!$A$2:$A$3001,$AD749)&amp;"")</f>
        <v/>
      </c>
      <c r="D749">
        <f>IF($AD749="","",INDEX('Per Line'!$C$2:$C$3001,$AD749)&amp;"")</f>
        <v/>
      </c>
      <c r="E749">
        <f>IF($AD749="","",INDEX('Per Line'!$B$2:$B$3001,$AD749))</f>
        <v/>
      </c>
      <c r="F749">
        <f>IF($AD749="","",INDEX('Per Line'!$D$2:$D$3001,$AD749)&amp;"")</f>
        <v/>
      </c>
      <c r="G749" s="11">
        <f>IF($AD749="","",INDEX('Per Line'!$G$2:$G$3001,$AD749))</f>
        <v/>
      </c>
      <c r="H749">
        <f>IF($AD749="","",INDEX('Per Line'!$J$2:$J$3001,$AD749)&amp;"")</f>
        <v/>
      </c>
      <c r="I749">
        <f>IF($AD749="","",INDEX('Per Line'!$H$2:$H$3001,$AD749)&amp;"")</f>
        <v/>
      </c>
      <c r="J749">
        <f>IF($AD749="","",INDEX('Per Line'!$F$2:$F$3001,$AD749)&amp;"")</f>
        <v/>
      </c>
      <c r="K749">
        <f>IF($AD749="","",INDEX('Per Line'!$K$2:$K$3001,$AD749)&amp;"")</f>
        <v/>
      </c>
      <c r="L749">
        <f>IF($AD749="","",INDEX('Per Line'!$L$2:$L$3001,$AD749)&amp;"")</f>
        <v/>
      </c>
      <c r="M749">
        <f>IF($AD749="","",INDEX('Per Line'!$M$2:$M$3001,$AD749)&amp;"")</f>
        <v/>
      </c>
      <c r="N749">
        <f>IF($AD749="","",INDEX('Per Line'!$AC$2:$AC$3001,$AD749)&amp;"")</f>
        <v/>
      </c>
      <c r="O749">
        <f>IF($AD749="","",INDEX('Per Line'!$P$2:$P$3001,$AD749))</f>
        <v/>
      </c>
      <c r="P749" s="7">
        <f>IF($AD749="","",IF(AND(ISNUMBER(Q749),Q749&gt;0,AB749&gt;Q749),O749*Q749/100+(AB749-Q749),O749*AB749/100))</f>
        <v/>
      </c>
      <c r="Q749">
        <f>IF($AD749="","",INDEX('Per Line'!$AG$2:$AG$3001,$AD749))</f>
        <v/>
      </c>
      <c r="R749">
        <f>IF($AD749="","",IF(AND(ISNUMBER(Q749),Q749&gt;0),AB749&gt;Q749,FALSE))</f>
        <v/>
      </c>
      <c r="S749" s="7">
        <f>IF($AD749="","",SUMIFS('Per Line'!$AB$2:$AB$3001,'Per Line'!$E$2:$E$3001,$B749,'Per Line'!$AQ$2:$AQ$3001,1))</f>
        <v/>
      </c>
      <c r="T749">
        <f>IF($AD749="","",Settings!$C$7)</f>
        <v/>
      </c>
      <c r="U749" s="7">
        <f>IF($AD749="","",SUMIFS('Per Line'!$AB$2:$AB$3001,'Per Line'!$E$2:$E$3001,$B749,'Per Line'!$AP$2:$AP$3001,0,'Per Line'!$AQ$2:$AQ$3001,0))</f>
        <v/>
      </c>
      <c r="V749" s="7">
        <f>IF($AD749="","",U749*T749)</f>
        <v/>
      </c>
      <c r="W749">
        <f>IF($AD749="","",Settings!$C$6)</f>
        <v/>
      </c>
      <c r="X749" s="7">
        <f>IF($AD749="","",SUMIFS('Per Line'!$AB$2:$AB$3001,'Per Line'!$E$2:$E$3001,$B749,'Per Line'!$AP$2:$AP$3001,1,'Per Line'!$AQ$2:$AQ$3001,0))</f>
        <v/>
      </c>
      <c r="Y749" s="7">
        <f>IF($AD749="","",X749*W749)</f>
        <v/>
      </c>
      <c r="Z749" s="7">
        <f>IF($AD749="","",Y749+V749)</f>
        <v/>
      </c>
      <c r="AA749" s="7">
        <f>IF($AD749="","",AB749-Z749)</f>
        <v/>
      </c>
      <c r="AB749" s="7">
        <f>IF($AD749="","",U749+X749+S749)</f>
        <v/>
      </c>
      <c r="AC749" s="7">
        <f>IF($AD749="","",AB749-Z749-P749)</f>
        <v/>
      </c>
      <c r="AD749" s="13">
        <f>IF(ROWS($AD$2:$AD749)&lt;=MAX('Per Line'!$AO$2:$AO$3001),MATCH(ROWS($AD$2:$AD749),'Per Line'!$AO$2:$AO$3001,0),"")</f>
        <v/>
      </c>
      <c r="AE749" s="14">
        <f>IF($AD749="","",P749-O749*AB749/100)</f>
        <v/>
      </c>
    </row>
    <row r="750">
      <c r="A750" s="12" t="n"/>
      <c r="B750">
        <f>IF($AD750="","",INDEX('Per Line'!$E$2:$E$3001,$AD750)&amp;"")</f>
        <v/>
      </c>
      <c r="C750">
        <f>IF($AD750="","",INDEX('Per Line'!$A$2:$A$3001,$AD750)&amp;"")</f>
        <v/>
      </c>
      <c r="D750">
        <f>IF($AD750="","",INDEX('Per Line'!$C$2:$C$3001,$AD750)&amp;"")</f>
        <v/>
      </c>
      <c r="E750">
        <f>IF($AD750="","",INDEX('Per Line'!$B$2:$B$3001,$AD750))</f>
        <v/>
      </c>
      <c r="F750">
        <f>IF($AD750="","",INDEX('Per Line'!$D$2:$D$3001,$AD750)&amp;"")</f>
        <v/>
      </c>
      <c r="G750" s="11">
        <f>IF($AD750="","",INDEX('Per Line'!$G$2:$G$3001,$AD750))</f>
        <v/>
      </c>
      <c r="H750">
        <f>IF($AD750="","",INDEX('Per Line'!$J$2:$J$3001,$AD750)&amp;"")</f>
        <v/>
      </c>
      <c r="I750">
        <f>IF($AD750="","",INDEX('Per Line'!$H$2:$H$3001,$AD750)&amp;"")</f>
        <v/>
      </c>
      <c r="J750">
        <f>IF($AD750="","",INDEX('Per Line'!$F$2:$F$3001,$AD750)&amp;"")</f>
        <v/>
      </c>
      <c r="K750">
        <f>IF($AD750="","",INDEX('Per Line'!$K$2:$K$3001,$AD750)&amp;"")</f>
        <v/>
      </c>
      <c r="L750">
        <f>IF($AD750="","",INDEX('Per Line'!$L$2:$L$3001,$AD750)&amp;"")</f>
        <v/>
      </c>
      <c r="M750">
        <f>IF($AD750="","",INDEX('Per Line'!$M$2:$M$3001,$AD750)&amp;"")</f>
        <v/>
      </c>
      <c r="N750">
        <f>IF($AD750="","",INDEX('Per Line'!$AC$2:$AC$3001,$AD750)&amp;"")</f>
        <v/>
      </c>
      <c r="O750">
        <f>IF($AD750="","",INDEX('Per Line'!$P$2:$P$3001,$AD750))</f>
        <v/>
      </c>
      <c r="P750" s="7">
        <f>IF($AD750="","",IF(AND(ISNUMBER(Q750),Q750&gt;0,AB750&gt;Q750),O750*Q750/100+(AB750-Q750),O750*AB750/100))</f>
        <v/>
      </c>
      <c r="Q750">
        <f>IF($AD750="","",INDEX('Per Line'!$AG$2:$AG$3001,$AD750))</f>
        <v/>
      </c>
      <c r="R750">
        <f>IF($AD750="","",IF(AND(ISNUMBER(Q750),Q750&gt;0),AB750&gt;Q750,FALSE))</f>
        <v/>
      </c>
      <c r="S750" s="7">
        <f>IF($AD750="","",SUMIFS('Per Line'!$AB$2:$AB$3001,'Per Line'!$E$2:$E$3001,$B750,'Per Line'!$AQ$2:$AQ$3001,1))</f>
        <v/>
      </c>
      <c r="T750">
        <f>IF($AD750="","",Settings!$C$7)</f>
        <v/>
      </c>
      <c r="U750" s="7">
        <f>IF($AD750="","",SUMIFS('Per Line'!$AB$2:$AB$3001,'Per Line'!$E$2:$E$3001,$B750,'Per Line'!$AP$2:$AP$3001,0,'Per Line'!$AQ$2:$AQ$3001,0))</f>
        <v/>
      </c>
      <c r="V750" s="7">
        <f>IF($AD750="","",U750*T750)</f>
        <v/>
      </c>
      <c r="W750">
        <f>IF($AD750="","",Settings!$C$6)</f>
        <v/>
      </c>
      <c r="X750" s="7">
        <f>IF($AD750="","",SUMIFS('Per Line'!$AB$2:$AB$3001,'Per Line'!$E$2:$E$3001,$B750,'Per Line'!$AP$2:$AP$3001,1,'Per Line'!$AQ$2:$AQ$3001,0))</f>
        <v/>
      </c>
      <c r="Y750" s="7">
        <f>IF($AD750="","",X750*W750)</f>
        <v/>
      </c>
      <c r="Z750" s="7">
        <f>IF($AD750="","",Y750+V750)</f>
        <v/>
      </c>
      <c r="AA750" s="7">
        <f>IF($AD750="","",AB750-Z750)</f>
        <v/>
      </c>
      <c r="AB750" s="7">
        <f>IF($AD750="","",U750+X750+S750)</f>
        <v/>
      </c>
      <c r="AC750" s="7">
        <f>IF($AD750="","",AB750-Z750-P750)</f>
        <v/>
      </c>
      <c r="AD750" s="13">
        <f>IF(ROWS($AD$2:$AD750)&lt;=MAX('Per Line'!$AO$2:$AO$3001),MATCH(ROWS($AD$2:$AD750),'Per Line'!$AO$2:$AO$3001,0),"")</f>
        <v/>
      </c>
      <c r="AE750" s="14">
        <f>IF($AD750="","",P750-O750*AB750/100)</f>
        <v/>
      </c>
    </row>
    <row r="751">
      <c r="A751" s="12" t="n"/>
      <c r="B751">
        <f>IF($AD751="","",INDEX('Per Line'!$E$2:$E$3001,$AD751)&amp;"")</f>
        <v/>
      </c>
      <c r="C751">
        <f>IF($AD751="","",INDEX('Per Line'!$A$2:$A$3001,$AD751)&amp;"")</f>
        <v/>
      </c>
      <c r="D751">
        <f>IF($AD751="","",INDEX('Per Line'!$C$2:$C$3001,$AD751)&amp;"")</f>
        <v/>
      </c>
      <c r="E751">
        <f>IF($AD751="","",INDEX('Per Line'!$B$2:$B$3001,$AD751))</f>
        <v/>
      </c>
      <c r="F751">
        <f>IF($AD751="","",INDEX('Per Line'!$D$2:$D$3001,$AD751)&amp;"")</f>
        <v/>
      </c>
      <c r="G751" s="11">
        <f>IF($AD751="","",INDEX('Per Line'!$G$2:$G$3001,$AD751))</f>
        <v/>
      </c>
      <c r="H751">
        <f>IF($AD751="","",INDEX('Per Line'!$J$2:$J$3001,$AD751)&amp;"")</f>
        <v/>
      </c>
      <c r="I751">
        <f>IF($AD751="","",INDEX('Per Line'!$H$2:$H$3001,$AD751)&amp;"")</f>
        <v/>
      </c>
      <c r="J751">
        <f>IF($AD751="","",INDEX('Per Line'!$F$2:$F$3001,$AD751)&amp;"")</f>
        <v/>
      </c>
      <c r="K751">
        <f>IF($AD751="","",INDEX('Per Line'!$K$2:$K$3001,$AD751)&amp;"")</f>
        <v/>
      </c>
      <c r="L751">
        <f>IF($AD751="","",INDEX('Per Line'!$L$2:$L$3001,$AD751)&amp;"")</f>
        <v/>
      </c>
      <c r="M751">
        <f>IF($AD751="","",INDEX('Per Line'!$M$2:$M$3001,$AD751)&amp;"")</f>
        <v/>
      </c>
      <c r="N751">
        <f>IF($AD751="","",INDEX('Per Line'!$AC$2:$AC$3001,$AD751)&amp;"")</f>
        <v/>
      </c>
      <c r="O751">
        <f>IF($AD751="","",INDEX('Per Line'!$P$2:$P$3001,$AD751))</f>
        <v/>
      </c>
      <c r="P751" s="7">
        <f>IF($AD751="","",IF(AND(ISNUMBER(Q751),Q751&gt;0,AB751&gt;Q751),O751*Q751/100+(AB751-Q751),O751*AB751/100))</f>
        <v/>
      </c>
      <c r="Q751">
        <f>IF($AD751="","",INDEX('Per Line'!$AG$2:$AG$3001,$AD751))</f>
        <v/>
      </c>
      <c r="R751">
        <f>IF($AD751="","",IF(AND(ISNUMBER(Q751),Q751&gt;0),AB751&gt;Q751,FALSE))</f>
        <v/>
      </c>
      <c r="S751" s="7">
        <f>IF($AD751="","",SUMIFS('Per Line'!$AB$2:$AB$3001,'Per Line'!$E$2:$E$3001,$B751,'Per Line'!$AQ$2:$AQ$3001,1))</f>
        <v/>
      </c>
      <c r="T751">
        <f>IF($AD751="","",Settings!$C$7)</f>
        <v/>
      </c>
      <c r="U751" s="7">
        <f>IF($AD751="","",SUMIFS('Per Line'!$AB$2:$AB$3001,'Per Line'!$E$2:$E$3001,$B751,'Per Line'!$AP$2:$AP$3001,0,'Per Line'!$AQ$2:$AQ$3001,0))</f>
        <v/>
      </c>
      <c r="V751" s="7">
        <f>IF($AD751="","",U751*T751)</f>
        <v/>
      </c>
      <c r="W751">
        <f>IF($AD751="","",Settings!$C$6)</f>
        <v/>
      </c>
      <c r="X751" s="7">
        <f>IF($AD751="","",SUMIFS('Per Line'!$AB$2:$AB$3001,'Per Line'!$E$2:$E$3001,$B751,'Per Line'!$AP$2:$AP$3001,1,'Per Line'!$AQ$2:$AQ$3001,0))</f>
        <v/>
      </c>
      <c r="Y751" s="7">
        <f>IF($AD751="","",X751*W751)</f>
        <v/>
      </c>
      <c r="Z751" s="7">
        <f>IF($AD751="","",Y751+V751)</f>
        <v/>
      </c>
      <c r="AA751" s="7">
        <f>IF($AD751="","",AB751-Z751)</f>
        <v/>
      </c>
      <c r="AB751" s="7">
        <f>IF($AD751="","",U751+X751+S751)</f>
        <v/>
      </c>
      <c r="AC751" s="7">
        <f>IF($AD751="","",AB751-Z751-P751)</f>
        <v/>
      </c>
      <c r="AD751" s="13">
        <f>IF(ROWS($AD$2:$AD751)&lt;=MAX('Per Line'!$AO$2:$AO$3001),MATCH(ROWS($AD$2:$AD751),'Per Line'!$AO$2:$AO$3001,0),"")</f>
        <v/>
      </c>
      <c r="AE751" s="14">
        <f>IF($AD751="","",P751-O751*AB751/100)</f>
        <v/>
      </c>
    </row>
    <row r="752">
      <c r="A752" s="12" t="n"/>
      <c r="B752">
        <f>IF($AD752="","",INDEX('Per Line'!$E$2:$E$3001,$AD752)&amp;"")</f>
        <v/>
      </c>
      <c r="C752">
        <f>IF($AD752="","",INDEX('Per Line'!$A$2:$A$3001,$AD752)&amp;"")</f>
        <v/>
      </c>
      <c r="D752">
        <f>IF($AD752="","",INDEX('Per Line'!$C$2:$C$3001,$AD752)&amp;"")</f>
        <v/>
      </c>
      <c r="E752">
        <f>IF($AD752="","",INDEX('Per Line'!$B$2:$B$3001,$AD752))</f>
        <v/>
      </c>
      <c r="F752">
        <f>IF($AD752="","",INDEX('Per Line'!$D$2:$D$3001,$AD752)&amp;"")</f>
        <v/>
      </c>
      <c r="G752" s="11">
        <f>IF($AD752="","",INDEX('Per Line'!$G$2:$G$3001,$AD752))</f>
        <v/>
      </c>
      <c r="H752">
        <f>IF($AD752="","",INDEX('Per Line'!$J$2:$J$3001,$AD752)&amp;"")</f>
        <v/>
      </c>
      <c r="I752">
        <f>IF($AD752="","",INDEX('Per Line'!$H$2:$H$3001,$AD752)&amp;"")</f>
        <v/>
      </c>
      <c r="J752">
        <f>IF($AD752="","",INDEX('Per Line'!$F$2:$F$3001,$AD752)&amp;"")</f>
        <v/>
      </c>
      <c r="K752">
        <f>IF($AD752="","",INDEX('Per Line'!$K$2:$K$3001,$AD752)&amp;"")</f>
        <v/>
      </c>
      <c r="L752">
        <f>IF($AD752="","",INDEX('Per Line'!$L$2:$L$3001,$AD752)&amp;"")</f>
        <v/>
      </c>
      <c r="M752">
        <f>IF($AD752="","",INDEX('Per Line'!$M$2:$M$3001,$AD752)&amp;"")</f>
        <v/>
      </c>
      <c r="N752">
        <f>IF($AD752="","",INDEX('Per Line'!$AC$2:$AC$3001,$AD752)&amp;"")</f>
        <v/>
      </c>
      <c r="O752">
        <f>IF($AD752="","",INDEX('Per Line'!$P$2:$P$3001,$AD752))</f>
        <v/>
      </c>
      <c r="P752" s="7">
        <f>IF($AD752="","",IF(AND(ISNUMBER(Q752),Q752&gt;0,AB752&gt;Q752),O752*Q752/100+(AB752-Q752),O752*AB752/100))</f>
        <v/>
      </c>
      <c r="Q752">
        <f>IF($AD752="","",INDEX('Per Line'!$AG$2:$AG$3001,$AD752))</f>
        <v/>
      </c>
      <c r="R752">
        <f>IF($AD752="","",IF(AND(ISNUMBER(Q752),Q752&gt;0),AB752&gt;Q752,FALSE))</f>
        <v/>
      </c>
      <c r="S752" s="7">
        <f>IF($AD752="","",SUMIFS('Per Line'!$AB$2:$AB$3001,'Per Line'!$E$2:$E$3001,$B752,'Per Line'!$AQ$2:$AQ$3001,1))</f>
        <v/>
      </c>
      <c r="T752">
        <f>IF($AD752="","",Settings!$C$7)</f>
        <v/>
      </c>
      <c r="U752" s="7">
        <f>IF($AD752="","",SUMIFS('Per Line'!$AB$2:$AB$3001,'Per Line'!$E$2:$E$3001,$B752,'Per Line'!$AP$2:$AP$3001,0,'Per Line'!$AQ$2:$AQ$3001,0))</f>
        <v/>
      </c>
      <c r="V752" s="7">
        <f>IF($AD752="","",U752*T752)</f>
        <v/>
      </c>
      <c r="W752">
        <f>IF($AD752="","",Settings!$C$6)</f>
        <v/>
      </c>
      <c r="X752" s="7">
        <f>IF($AD752="","",SUMIFS('Per Line'!$AB$2:$AB$3001,'Per Line'!$E$2:$E$3001,$B752,'Per Line'!$AP$2:$AP$3001,1,'Per Line'!$AQ$2:$AQ$3001,0))</f>
        <v/>
      </c>
      <c r="Y752" s="7">
        <f>IF($AD752="","",X752*W752)</f>
        <v/>
      </c>
      <c r="Z752" s="7">
        <f>IF($AD752="","",Y752+V752)</f>
        <v/>
      </c>
      <c r="AA752" s="7">
        <f>IF($AD752="","",AB752-Z752)</f>
        <v/>
      </c>
      <c r="AB752" s="7">
        <f>IF($AD752="","",U752+X752+S752)</f>
        <v/>
      </c>
      <c r="AC752" s="7">
        <f>IF($AD752="","",AB752-Z752-P752)</f>
        <v/>
      </c>
      <c r="AD752" s="13">
        <f>IF(ROWS($AD$2:$AD752)&lt;=MAX('Per Line'!$AO$2:$AO$3001),MATCH(ROWS($AD$2:$AD752),'Per Line'!$AO$2:$AO$3001,0),"")</f>
        <v/>
      </c>
      <c r="AE752" s="14">
        <f>IF($AD752="","",P752-O752*AB752/100)</f>
        <v/>
      </c>
    </row>
    <row r="753">
      <c r="A753" s="12" t="n"/>
      <c r="B753">
        <f>IF($AD753="","",INDEX('Per Line'!$E$2:$E$3001,$AD753)&amp;"")</f>
        <v/>
      </c>
      <c r="C753">
        <f>IF($AD753="","",INDEX('Per Line'!$A$2:$A$3001,$AD753)&amp;"")</f>
        <v/>
      </c>
      <c r="D753">
        <f>IF($AD753="","",INDEX('Per Line'!$C$2:$C$3001,$AD753)&amp;"")</f>
        <v/>
      </c>
      <c r="E753">
        <f>IF($AD753="","",INDEX('Per Line'!$B$2:$B$3001,$AD753))</f>
        <v/>
      </c>
      <c r="F753">
        <f>IF($AD753="","",INDEX('Per Line'!$D$2:$D$3001,$AD753)&amp;"")</f>
        <v/>
      </c>
      <c r="G753" s="11">
        <f>IF($AD753="","",INDEX('Per Line'!$G$2:$G$3001,$AD753))</f>
        <v/>
      </c>
      <c r="H753">
        <f>IF($AD753="","",INDEX('Per Line'!$J$2:$J$3001,$AD753)&amp;"")</f>
        <v/>
      </c>
      <c r="I753">
        <f>IF($AD753="","",INDEX('Per Line'!$H$2:$H$3001,$AD753)&amp;"")</f>
        <v/>
      </c>
      <c r="J753">
        <f>IF($AD753="","",INDEX('Per Line'!$F$2:$F$3001,$AD753)&amp;"")</f>
        <v/>
      </c>
      <c r="K753">
        <f>IF($AD753="","",INDEX('Per Line'!$K$2:$K$3001,$AD753)&amp;"")</f>
        <v/>
      </c>
      <c r="L753">
        <f>IF($AD753="","",INDEX('Per Line'!$L$2:$L$3001,$AD753)&amp;"")</f>
        <v/>
      </c>
      <c r="M753">
        <f>IF($AD753="","",INDEX('Per Line'!$M$2:$M$3001,$AD753)&amp;"")</f>
        <v/>
      </c>
      <c r="N753">
        <f>IF($AD753="","",INDEX('Per Line'!$AC$2:$AC$3001,$AD753)&amp;"")</f>
        <v/>
      </c>
      <c r="O753">
        <f>IF($AD753="","",INDEX('Per Line'!$P$2:$P$3001,$AD753))</f>
        <v/>
      </c>
      <c r="P753" s="7">
        <f>IF($AD753="","",IF(AND(ISNUMBER(Q753),Q753&gt;0,AB753&gt;Q753),O753*Q753/100+(AB753-Q753),O753*AB753/100))</f>
        <v/>
      </c>
      <c r="Q753">
        <f>IF($AD753="","",INDEX('Per Line'!$AG$2:$AG$3001,$AD753))</f>
        <v/>
      </c>
      <c r="R753">
        <f>IF($AD753="","",IF(AND(ISNUMBER(Q753),Q753&gt;0),AB753&gt;Q753,FALSE))</f>
        <v/>
      </c>
      <c r="S753" s="7">
        <f>IF($AD753="","",SUMIFS('Per Line'!$AB$2:$AB$3001,'Per Line'!$E$2:$E$3001,$B753,'Per Line'!$AQ$2:$AQ$3001,1))</f>
        <v/>
      </c>
      <c r="T753">
        <f>IF($AD753="","",Settings!$C$7)</f>
        <v/>
      </c>
      <c r="U753" s="7">
        <f>IF($AD753="","",SUMIFS('Per Line'!$AB$2:$AB$3001,'Per Line'!$E$2:$E$3001,$B753,'Per Line'!$AP$2:$AP$3001,0,'Per Line'!$AQ$2:$AQ$3001,0))</f>
        <v/>
      </c>
      <c r="V753" s="7">
        <f>IF($AD753="","",U753*T753)</f>
        <v/>
      </c>
      <c r="W753">
        <f>IF($AD753="","",Settings!$C$6)</f>
        <v/>
      </c>
      <c r="X753" s="7">
        <f>IF($AD753="","",SUMIFS('Per Line'!$AB$2:$AB$3001,'Per Line'!$E$2:$E$3001,$B753,'Per Line'!$AP$2:$AP$3001,1,'Per Line'!$AQ$2:$AQ$3001,0))</f>
        <v/>
      </c>
      <c r="Y753" s="7">
        <f>IF($AD753="","",X753*W753)</f>
        <v/>
      </c>
      <c r="Z753" s="7">
        <f>IF($AD753="","",Y753+V753)</f>
        <v/>
      </c>
      <c r="AA753" s="7">
        <f>IF($AD753="","",AB753-Z753)</f>
        <v/>
      </c>
      <c r="AB753" s="7">
        <f>IF($AD753="","",U753+X753+S753)</f>
        <v/>
      </c>
      <c r="AC753" s="7">
        <f>IF($AD753="","",AB753-Z753-P753)</f>
        <v/>
      </c>
      <c r="AD753" s="13">
        <f>IF(ROWS($AD$2:$AD753)&lt;=MAX('Per Line'!$AO$2:$AO$3001),MATCH(ROWS($AD$2:$AD753),'Per Line'!$AO$2:$AO$3001,0),"")</f>
        <v/>
      </c>
      <c r="AE753" s="14">
        <f>IF($AD753="","",P753-O753*AB753/100)</f>
        <v/>
      </c>
    </row>
    <row r="754">
      <c r="A754" s="12" t="n"/>
      <c r="B754">
        <f>IF($AD754="","",INDEX('Per Line'!$E$2:$E$3001,$AD754)&amp;"")</f>
        <v/>
      </c>
      <c r="C754">
        <f>IF($AD754="","",INDEX('Per Line'!$A$2:$A$3001,$AD754)&amp;"")</f>
        <v/>
      </c>
      <c r="D754">
        <f>IF($AD754="","",INDEX('Per Line'!$C$2:$C$3001,$AD754)&amp;"")</f>
        <v/>
      </c>
      <c r="E754">
        <f>IF($AD754="","",INDEX('Per Line'!$B$2:$B$3001,$AD754))</f>
        <v/>
      </c>
      <c r="F754">
        <f>IF($AD754="","",INDEX('Per Line'!$D$2:$D$3001,$AD754)&amp;"")</f>
        <v/>
      </c>
      <c r="G754" s="11">
        <f>IF($AD754="","",INDEX('Per Line'!$G$2:$G$3001,$AD754))</f>
        <v/>
      </c>
      <c r="H754">
        <f>IF($AD754="","",INDEX('Per Line'!$J$2:$J$3001,$AD754)&amp;"")</f>
        <v/>
      </c>
      <c r="I754">
        <f>IF($AD754="","",INDEX('Per Line'!$H$2:$H$3001,$AD754)&amp;"")</f>
        <v/>
      </c>
      <c r="J754">
        <f>IF($AD754="","",INDEX('Per Line'!$F$2:$F$3001,$AD754)&amp;"")</f>
        <v/>
      </c>
      <c r="K754">
        <f>IF($AD754="","",INDEX('Per Line'!$K$2:$K$3001,$AD754)&amp;"")</f>
        <v/>
      </c>
      <c r="L754">
        <f>IF($AD754="","",INDEX('Per Line'!$L$2:$L$3001,$AD754)&amp;"")</f>
        <v/>
      </c>
      <c r="M754">
        <f>IF($AD754="","",INDEX('Per Line'!$M$2:$M$3001,$AD754)&amp;"")</f>
        <v/>
      </c>
      <c r="N754">
        <f>IF($AD754="","",INDEX('Per Line'!$AC$2:$AC$3001,$AD754)&amp;"")</f>
        <v/>
      </c>
      <c r="O754">
        <f>IF($AD754="","",INDEX('Per Line'!$P$2:$P$3001,$AD754))</f>
        <v/>
      </c>
      <c r="P754" s="7">
        <f>IF($AD754="","",IF(AND(ISNUMBER(Q754),Q754&gt;0,AB754&gt;Q754),O754*Q754/100+(AB754-Q754),O754*AB754/100))</f>
        <v/>
      </c>
      <c r="Q754">
        <f>IF($AD754="","",INDEX('Per Line'!$AG$2:$AG$3001,$AD754))</f>
        <v/>
      </c>
      <c r="R754">
        <f>IF($AD754="","",IF(AND(ISNUMBER(Q754),Q754&gt;0),AB754&gt;Q754,FALSE))</f>
        <v/>
      </c>
      <c r="S754" s="7">
        <f>IF($AD754="","",SUMIFS('Per Line'!$AB$2:$AB$3001,'Per Line'!$E$2:$E$3001,$B754,'Per Line'!$AQ$2:$AQ$3001,1))</f>
        <v/>
      </c>
      <c r="T754">
        <f>IF($AD754="","",Settings!$C$7)</f>
        <v/>
      </c>
      <c r="U754" s="7">
        <f>IF($AD754="","",SUMIFS('Per Line'!$AB$2:$AB$3001,'Per Line'!$E$2:$E$3001,$B754,'Per Line'!$AP$2:$AP$3001,0,'Per Line'!$AQ$2:$AQ$3001,0))</f>
        <v/>
      </c>
      <c r="V754" s="7">
        <f>IF($AD754="","",U754*T754)</f>
        <v/>
      </c>
      <c r="W754">
        <f>IF($AD754="","",Settings!$C$6)</f>
        <v/>
      </c>
      <c r="X754" s="7">
        <f>IF($AD754="","",SUMIFS('Per Line'!$AB$2:$AB$3001,'Per Line'!$E$2:$E$3001,$B754,'Per Line'!$AP$2:$AP$3001,1,'Per Line'!$AQ$2:$AQ$3001,0))</f>
        <v/>
      </c>
      <c r="Y754" s="7">
        <f>IF($AD754="","",X754*W754)</f>
        <v/>
      </c>
      <c r="Z754" s="7">
        <f>IF($AD754="","",Y754+V754)</f>
        <v/>
      </c>
      <c r="AA754" s="7">
        <f>IF($AD754="","",AB754-Z754)</f>
        <v/>
      </c>
      <c r="AB754" s="7">
        <f>IF($AD754="","",U754+X754+S754)</f>
        <v/>
      </c>
      <c r="AC754" s="7">
        <f>IF($AD754="","",AB754-Z754-P754)</f>
        <v/>
      </c>
      <c r="AD754" s="13">
        <f>IF(ROWS($AD$2:$AD754)&lt;=MAX('Per Line'!$AO$2:$AO$3001),MATCH(ROWS($AD$2:$AD754),'Per Line'!$AO$2:$AO$3001,0),"")</f>
        <v/>
      </c>
      <c r="AE754" s="14">
        <f>IF($AD754="","",P754-O754*AB754/100)</f>
        <v/>
      </c>
    </row>
    <row r="755">
      <c r="A755" s="12" t="n"/>
      <c r="B755">
        <f>IF($AD755="","",INDEX('Per Line'!$E$2:$E$3001,$AD755)&amp;"")</f>
        <v/>
      </c>
      <c r="C755">
        <f>IF($AD755="","",INDEX('Per Line'!$A$2:$A$3001,$AD755)&amp;"")</f>
        <v/>
      </c>
      <c r="D755">
        <f>IF($AD755="","",INDEX('Per Line'!$C$2:$C$3001,$AD755)&amp;"")</f>
        <v/>
      </c>
      <c r="E755">
        <f>IF($AD755="","",INDEX('Per Line'!$B$2:$B$3001,$AD755))</f>
        <v/>
      </c>
      <c r="F755">
        <f>IF($AD755="","",INDEX('Per Line'!$D$2:$D$3001,$AD755)&amp;"")</f>
        <v/>
      </c>
      <c r="G755" s="11">
        <f>IF($AD755="","",INDEX('Per Line'!$G$2:$G$3001,$AD755))</f>
        <v/>
      </c>
      <c r="H755">
        <f>IF($AD755="","",INDEX('Per Line'!$J$2:$J$3001,$AD755)&amp;"")</f>
        <v/>
      </c>
      <c r="I755">
        <f>IF($AD755="","",INDEX('Per Line'!$H$2:$H$3001,$AD755)&amp;"")</f>
        <v/>
      </c>
      <c r="J755">
        <f>IF($AD755="","",INDEX('Per Line'!$F$2:$F$3001,$AD755)&amp;"")</f>
        <v/>
      </c>
      <c r="K755">
        <f>IF($AD755="","",INDEX('Per Line'!$K$2:$K$3001,$AD755)&amp;"")</f>
        <v/>
      </c>
      <c r="L755">
        <f>IF($AD755="","",INDEX('Per Line'!$L$2:$L$3001,$AD755)&amp;"")</f>
        <v/>
      </c>
      <c r="M755">
        <f>IF($AD755="","",INDEX('Per Line'!$M$2:$M$3001,$AD755)&amp;"")</f>
        <v/>
      </c>
      <c r="N755">
        <f>IF($AD755="","",INDEX('Per Line'!$AC$2:$AC$3001,$AD755)&amp;"")</f>
        <v/>
      </c>
      <c r="O755">
        <f>IF($AD755="","",INDEX('Per Line'!$P$2:$P$3001,$AD755))</f>
        <v/>
      </c>
      <c r="P755" s="7">
        <f>IF($AD755="","",IF(AND(ISNUMBER(Q755),Q755&gt;0,AB755&gt;Q755),O755*Q755/100+(AB755-Q755),O755*AB755/100))</f>
        <v/>
      </c>
      <c r="Q755">
        <f>IF($AD755="","",INDEX('Per Line'!$AG$2:$AG$3001,$AD755))</f>
        <v/>
      </c>
      <c r="R755">
        <f>IF($AD755="","",IF(AND(ISNUMBER(Q755),Q755&gt;0),AB755&gt;Q755,FALSE))</f>
        <v/>
      </c>
      <c r="S755" s="7">
        <f>IF($AD755="","",SUMIFS('Per Line'!$AB$2:$AB$3001,'Per Line'!$E$2:$E$3001,$B755,'Per Line'!$AQ$2:$AQ$3001,1))</f>
        <v/>
      </c>
      <c r="T755">
        <f>IF($AD755="","",Settings!$C$7)</f>
        <v/>
      </c>
      <c r="U755" s="7">
        <f>IF($AD755="","",SUMIFS('Per Line'!$AB$2:$AB$3001,'Per Line'!$E$2:$E$3001,$B755,'Per Line'!$AP$2:$AP$3001,0,'Per Line'!$AQ$2:$AQ$3001,0))</f>
        <v/>
      </c>
      <c r="V755" s="7">
        <f>IF($AD755="","",U755*T755)</f>
        <v/>
      </c>
      <c r="W755">
        <f>IF($AD755="","",Settings!$C$6)</f>
        <v/>
      </c>
      <c r="X755" s="7">
        <f>IF($AD755="","",SUMIFS('Per Line'!$AB$2:$AB$3001,'Per Line'!$E$2:$E$3001,$B755,'Per Line'!$AP$2:$AP$3001,1,'Per Line'!$AQ$2:$AQ$3001,0))</f>
        <v/>
      </c>
      <c r="Y755" s="7">
        <f>IF($AD755="","",X755*W755)</f>
        <v/>
      </c>
      <c r="Z755" s="7">
        <f>IF($AD755="","",Y755+V755)</f>
        <v/>
      </c>
      <c r="AA755" s="7">
        <f>IF($AD755="","",AB755-Z755)</f>
        <v/>
      </c>
      <c r="AB755" s="7">
        <f>IF($AD755="","",U755+X755+S755)</f>
        <v/>
      </c>
      <c r="AC755" s="7">
        <f>IF($AD755="","",AB755-Z755-P755)</f>
        <v/>
      </c>
      <c r="AD755" s="13">
        <f>IF(ROWS($AD$2:$AD755)&lt;=MAX('Per Line'!$AO$2:$AO$3001),MATCH(ROWS($AD$2:$AD755),'Per Line'!$AO$2:$AO$3001,0),"")</f>
        <v/>
      </c>
      <c r="AE755" s="14">
        <f>IF($AD755="","",P755-O755*AB755/100)</f>
        <v/>
      </c>
    </row>
    <row r="756">
      <c r="A756" s="12" t="n"/>
      <c r="B756">
        <f>IF($AD756="","",INDEX('Per Line'!$E$2:$E$3001,$AD756)&amp;"")</f>
        <v/>
      </c>
      <c r="C756">
        <f>IF($AD756="","",INDEX('Per Line'!$A$2:$A$3001,$AD756)&amp;"")</f>
        <v/>
      </c>
      <c r="D756">
        <f>IF($AD756="","",INDEX('Per Line'!$C$2:$C$3001,$AD756)&amp;"")</f>
        <v/>
      </c>
      <c r="E756">
        <f>IF($AD756="","",INDEX('Per Line'!$B$2:$B$3001,$AD756))</f>
        <v/>
      </c>
      <c r="F756">
        <f>IF($AD756="","",INDEX('Per Line'!$D$2:$D$3001,$AD756)&amp;"")</f>
        <v/>
      </c>
      <c r="G756" s="11">
        <f>IF($AD756="","",INDEX('Per Line'!$G$2:$G$3001,$AD756))</f>
        <v/>
      </c>
      <c r="H756">
        <f>IF($AD756="","",INDEX('Per Line'!$J$2:$J$3001,$AD756)&amp;"")</f>
        <v/>
      </c>
      <c r="I756">
        <f>IF($AD756="","",INDEX('Per Line'!$H$2:$H$3001,$AD756)&amp;"")</f>
        <v/>
      </c>
      <c r="J756">
        <f>IF($AD756="","",INDEX('Per Line'!$F$2:$F$3001,$AD756)&amp;"")</f>
        <v/>
      </c>
      <c r="K756">
        <f>IF($AD756="","",INDEX('Per Line'!$K$2:$K$3001,$AD756)&amp;"")</f>
        <v/>
      </c>
      <c r="L756">
        <f>IF($AD756="","",INDEX('Per Line'!$L$2:$L$3001,$AD756)&amp;"")</f>
        <v/>
      </c>
      <c r="M756">
        <f>IF($AD756="","",INDEX('Per Line'!$M$2:$M$3001,$AD756)&amp;"")</f>
        <v/>
      </c>
      <c r="N756">
        <f>IF($AD756="","",INDEX('Per Line'!$AC$2:$AC$3001,$AD756)&amp;"")</f>
        <v/>
      </c>
      <c r="O756">
        <f>IF($AD756="","",INDEX('Per Line'!$P$2:$P$3001,$AD756))</f>
        <v/>
      </c>
      <c r="P756" s="7">
        <f>IF($AD756="","",IF(AND(ISNUMBER(Q756),Q756&gt;0,AB756&gt;Q756),O756*Q756/100+(AB756-Q756),O756*AB756/100))</f>
        <v/>
      </c>
      <c r="Q756">
        <f>IF($AD756="","",INDEX('Per Line'!$AG$2:$AG$3001,$AD756))</f>
        <v/>
      </c>
      <c r="R756">
        <f>IF($AD756="","",IF(AND(ISNUMBER(Q756),Q756&gt;0),AB756&gt;Q756,FALSE))</f>
        <v/>
      </c>
      <c r="S756" s="7">
        <f>IF($AD756="","",SUMIFS('Per Line'!$AB$2:$AB$3001,'Per Line'!$E$2:$E$3001,$B756,'Per Line'!$AQ$2:$AQ$3001,1))</f>
        <v/>
      </c>
      <c r="T756">
        <f>IF($AD756="","",Settings!$C$7)</f>
        <v/>
      </c>
      <c r="U756" s="7">
        <f>IF($AD756="","",SUMIFS('Per Line'!$AB$2:$AB$3001,'Per Line'!$E$2:$E$3001,$B756,'Per Line'!$AP$2:$AP$3001,0,'Per Line'!$AQ$2:$AQ$3001,0))</f>
        <v/>
      </c>
      <c r="V756" s="7">
        <f>IF($AD756="","",U756*T756)</f>
        <v/>
      </c>
      <c r="W756">
        <f>IF($AD756="","",Settings!$C$6)</f>
        <v/>
      </c>
      <c r="X756" s="7">
        <f>IF($AD756="","",SUMIFS('Per Line'!$AB$2:$AB$3001,'Per Line'!$E$2:$E$3001,$B756,'Per Line'!$AP$2:$AP$3001,1,'Per Line'!$AQ$2:$AQ$3001,0))</f>
        <v/>
      </c>
      <c r="Y756" s="7">
        <f>IF($AD756="","",X756*W756)</f>
        <v/>
      </c>
      <c r="Z756" s="7">
        <f>IF($AD756="","",Y756+V756)</f>
        <v/>
      </c>
      <c r="AA756" s="7">
        <f>IF($AD756="","",AB756-Z756)</f>
        <v/>
      </c>
      <c r="AB756" s="7">
        <f>IF($AD756="","",U756+X756+S756)</f>
        <v/>
      </c>
      <c r="AC756" s="7">
        <f>IF($AD756="","",AB756-Z756-P756)</f>
        <v/>
      </c>
      <c r="AD756" s="13">
        <f>IF(ROWS($AD$2:$AD756)&lt;=MAX('Per Line'!$AO$2:$AO$3001),MATCH(ROWS($AD$2:$AD756),'Per Line'!$AO$2:$AO$3001,0),"")</f>
        <v/>
      </c>
      <c r="AE756" s="14">
        <f>IF($AD756="","",P756-O756*AB756/100)</f>
        <v/>
      </c>
    </row>
    <row r="757">
      <c r="A757" s="12" t="n"/>
      <c r="B757">
        <f>IF($AD757="","",INDEX('Per Line'!$E$2:$E$3001,$AD757)&amp;"")</f>
        <v/>
      </c>
      <c r="C757">
        <f>IF($AD757="","",INDEX('Per Line'!$A$2:$A$3001,$AD757)&amp;"")</f>
        <v/>
      </c>
      <c r="D757">
        <f>IF($AD757="","",INDEX('Per Line'!$C$2:$C$3001,$AD757)&amp;"")</f>
        <v/>
      </c>
      <c r="E757">
        <f>IF($AD757="","",INDEX('Per Line'!$B$2:$B$3001,$AD757))</f>
        <v/>
      </c>
      <c r="F757">
        <f>IF($AD757="","",INDEX('Per Line'!$D$2:$D$3001,$AD757)&amp;"")</f>
        <v/>
      </c>
      <c r="G757" s="11">
        <f>IF($AD757="","",INDEX('Per Line'!$G$2:$G$3001,$AD757))</f>
        <v/>
      </c>
      <c r="H757">
        <f>IF($AD757="","",INDEX('Per Line'!$J$2:$J$3001,$AD757)&amp;"")</f>
        <v/>
      </c>
      <c r="I757">
        <f>IF($AD757="","",INDEX('Per Line'!$H$2:$H$3001,$AD757)&amp;"")</f>
        <v/>
      </c>
      <c r="J757">
        <f>IF($AD757="","",INDEX('Per Line'!$F$2:$F$3001,$AD757)&amp;"")</f>
        <v/>
      </c>
      <c r="K757">
        <f>IF($AD757="","",INDEX('Per Line'!$K$2:$K$3001,$AD757)&amp;"")</f>
        <v/>
      </c>
      <c r="L757">
        <f>IF($AD757="","",INDEX('Per Line'!$L$2:$L$3001,$AD757)&amp;"")</f>
        <v/>
      </c>
      <c r="M757">
        <f>IF($AD757="","",INDEX('Per Line'!$M$2:$M$3001,$AD757)&amp;"")</f>
        <v/>
      </c>
      <c r="N757">
        <f>IF($AD757="","",INDEX('Per Line'!$AC$2:$AC$3001,$AD757)&amp;"")</f>
        <v/>
      </c>
      <c r="O757">
        <f>IF($AD757="","",INDEX('Per Line'!$P$2:$P$3001,$AD757))</f>
        <v/>
      </c>
      <c r="P757" s="7">
        <f>IF($AD757="","",IF(AND(ISNUMBER(Q757),Q757&gt;0,AB757&gt;Q757),O757*Q757/100+(AB757-Q757),O757*AB757/100))</f>
        <v/>
      </c>
      <c r="Q757">
        <f>IF($AD757="","",INDEX('Per Line'!$AG$2:$AG$3001,$AD757))</f>
        <v/>
      </c>
      <c r="R757">
        <f>IF($AD757="","",IF(AND(ISNUMBER(Q757),Q757&gt;0),AB757&gt;Q757,FALSE))</f>
        <v/>
      </c>
      <c r="S757" s="7">
        <f>IF($AD757="","",SUMIFS('Per Line'!$AB$2:$AB$3001,'Per Line'!$E$2:$E$3001,$B757,'Per Line'!$AQ$2:$AQ$3001,1))</f>
        <v/>
      </c>
      <c r="T757">
        <f>IF($AD757="","",Settings!$C$7)</f>
        <v/>
      </c>
      <c r="U757" s="7">
        <f>IF($AD757="","",SUMIFS('Per Line'!$AB$2:$AB$3001,'Per Line'!$E$2:$E$3001,$B757,'Per Line'!$AP$2:$AP$3001,0,'Per Line'!$AQ$2:$AQ$3001,0))</f>
        <v/>
      </c>
      <c r="V757" s="7">
        <f>IF($AD757="","",U757*T757)</f>
        <v/>
      </c>
      <c r="W757">
        <f>IF($AD757="","",Settings!$C$6)</f>
        <v/>
      </c>
      <c r="X757" s="7">
        <f>IF($AD757="","",SUMIFS('Per Line'!$AB$2:$AB$3001,'Per Line'!$E$2:$E$3001,$B757,'Per Line'!$AP$2:$AP$3001,1,'Per Line'!$AQ$2:$AQ$3001,0))</f>
        <v/>
      </c>
      <c r="Y757" s="7">
        <f>IF($AD757="","",X757*W757)</f>
        <v/>
      </c>
      <c r="Z757" s="7">
        <f>IF($AD757="","",Y757+V757)</f>
        <v/>
      </c>
      <c r="AA757" s="7">
        <f>IF($AD757="","",AB757-Z757)</f>
        <v/>
      </c>
      <c r="AB757" s="7">
        <f>IF($AD757="","",U757+X757+S757)</f>
        <v/>
      </c>
      <c r="AC757" s="7">
        <f>IF($AD757="","",AB757-Z757-P757)</f>
        <v/>
      </c>
      <c r="AD757" s="13">
        <f>IF(ROWS($AD$2:$AD757)&lt;=MAX('Per Line'!$AO$2:$AO$3001),MATCH(ROWS($AD$2:$AD757),'Per Line'!$AO$2:$AO$3001,0),"")</f>
        <v/>
      </c>
      <c r="AE757" s="14">
        <f>IF($AD757="","",P757-O757*AB757/100)</f>
        <v/>
      </c>
    </row>
    <row r="758">
      <c r="A758" s="12" t="n"/>
      <c r="B758">
        <f>IF($AD758="","",INDEX('Per Line'!$E$2:$E$3001,$AD758)&amp;"")</f>
        <v/>
      </c>
      <c r="C758">
        <f>IF($AD758="","",INDEX('Per Line'!$A$2:$A$3001,$AD758)&amp;"")</f>
        <v/>
      </c>
      <c r="D758">
        <f>IF($AD758="","",INDEX('Per Line'!$C$2:$C$3001,$AD758)&amp;"")</f>
        <v/>
      </c>
      <c r="E758">
        <f>IF($AD758="","",INDEX('Per Line'!$B$2:$B$3001,$AD758))</f>
        <v/>
      </c>
      <c r="F758">
        <f>IF($AD758="","",INDEX('Per Line'!$D$2:$D$3001,$AD758)&amp;"")</f>
        <v/>
      </c>
      <c r="G758" s="11">
        <f>IF($AD758="","",INDEX('Per Line'!$G$2:$G$3001,$AD758))</f>
        <v/>
      </c>
      <c r="H758">
        <f>IF($AD758="","",INDEX('Per Line'!$J$2:$J$3001,$AD758)&amp;"")</f>
        <v/>
      </c>
      <c r="I758">
        <f>IF($AD758="","",INDEX('Per Line'!$H$2:$H$3001,$AD758)&amp;"")</f>
        <v/>
      </c>
      <c r="J758">
        <f>IF($AD758="","",INDEX('Per Line'!$F$2:$F$3001,$AD758)&amp;"")</f>
        <v/>
      </c>
      <c r="K758">
        <f>IF($AD758="","",INDEX('Per Line'!$K$2:$K$3001,$AD758)&amp;"")</f>
        <v/>
      </c>
      <c r="L758">
        <f>IF($AD758="","",INDEX('Per Line'!$L$2:$L$3001,$AD758)&amp;"")</f>
        <v/>
      </c>
      <c r="M758">
        <f>IF($AD758="","",INDEX('Per Line'!$M$2:$M$3001,$AD758)&amp;"")</f>
        <v/>
      </c>
      <c r="N758">
        <f>IF($AD758="","",INDEX('Per Line'!$AC$2:$AC$3001,$AD758)&amp;"")</f>
        <v/>
      </c>
      <c r="O758">
        <f>IF($AD758="","",INDEX('Per Line'!$P$2:$P$3001,$AD758))</f>
        <v/>
      </c>
      <c r="P758" s="7">
        <f>IF($AD758="","",IF(AND(ISNUMBER(Q758),Q758&gt;0,AB758&gt;Q758),O758*Q758/100+(AB758-Q758),O758*AB758/100))</f>
        <v/>
      </c>
      <c r="Q758">
        <f>IF($AD758="","",INDEX('Per Line'!$AG$2:$AG$3001,$AD758))</f>
        <v/>
      </c>
      <c r="R758">
        <f>IF($AD758="","",IF(AND(ISNUMBER(Q758),Q758&gt;0),AB758&gt;Q758,FALSE))</f>
        <v/>
      </c>
      <c r="S758" s="7">
        <f>IF($AD758="","",SUMIFS('Per Line'!$AB$2:$AB$3001,'Per Line'!$E$2:$E$3001,$B758,'Per Line'!$AQ$2:$AQ$3001,1))</f>
        <v/>
      </c>
      <c r="T758">
        <f>IF($AD758="","",Settings!$C$7)</f>
        <v/>
      </c>
      <c r="U758" s="7">
        <f>IF($AD758="","",SUMIFS('Per Line'!$AB$2:$AB$3001,'Per Line'!$E$2:$E$3001,$B758,'Per Line'!$AP$2:$AP$3001,0,'Per Line'!$AQ$2:$AQ$3001,0))</f>
        <v/>
      </c>
      <c r="V758" s="7">
        <f>IF($AD758="","",U758*T758)</f>
        <v/>
      </c>
      <c r="W758">
        <f>IF($AD758="","",Settings!$C$6)</f>
        <v/>
      </c>
      <c r="X758" s="7">
        <f>IF($AD758="","",SUMIFS('Per Line'!$AB$2:$AB$3001,'Per Line'!$E$2:$E$3001,$B758,'Per Line'!$AP$2:$AP$3001,1,'Per Line'!$AQ$2:$AQ$3001,0))</f>
        <v/>
      </c>
      <c r="Y758" s="7">
        <f>IF($AD758="","",X758*W758)</f>
        <v/>
      </c>
      <c r="Z758" s="7">
        <f>IF($AD758="","",Y758+V758)</f>
        <v/>
      </c>
      <c r="AA758" s="7">
        <f>IF($AD758="","",AB758-Z758)</f>
        <v/>
      </c>
      <c r="AB758" s="7">
        <f>IF($AD758="","",U758+X758+S758)</f>
        <v/>
      </c>
      <c r="AC758" s="7">
        <f>IF($AD758="","",AB758-Z758-P758)</f>
        <v/>
      </c>
      <c r="AD758" s="13">
        <f>IF(ROWS($AD$2:$AD758)&lt;=MAX('Per Line'!$AO$2:$AO$3001),MATCH(ROWS($AD$2:$AD758),'Per Line'!$AO$2:$AO$3001,0),"")</f>
        <v/>
      </c>
      <c r="AE758" s="14">
        <f>IF($AD758="","",P758-O758*AB758/100)</f>
        <v/>
      </c>
    </row>
    <row r="759">
      <c r="A759" s="12" t="n"/>
      <c r="B759">
        <f>IF($AD759="","",INDEX('Per Line'!$E$2:$E$3001,$AD759)&amp;"")</f>
        <v/>
      </c>
      <c r="C759">
        <f>IF($AD759="","",INDEX('Per Line'!$A$2:$A$3001,$AD759)&amp;"")</f>
        <v/>
      </c>
      <c r="D759">
        <f>IF($AD759="","",INDEX('Per Line'!$C$2:$C$3001,$AD759)&amp;"")</f>
        <v/>
      </c>
      <c r="E759">
        <f>IF($AD759="","",INDEX('Per Line'!$B$2:$B$3001,$AD759))</f>
        <v/>
      </c>
      <c r="F759">
        <f>IF($AD759="","",INDEX('Per Line'!$D$2:$D$3001,$AD759)&amp;"")</f>
        <v/>
      </c>
      <c r="G759" s="11">
        <f>IF($AD759="","",INDEX('Per Line'!$G$2:$G$3001,$AD759))</f>
        <v/>
      </c>
      <c r="H759">
        <f>IF($AD759="","",INDEX('Per Line'!$J$2:$J$3001,$AD759)&amp;"")</f>
        <v/>
      </c>
      <c r="I759">
        <f>IF($AD759="","",INDEX('Per Line'!$H$2:$H$3001,$AD759)&amp;"")</f>
        <v/>
      </c>
      <c r="J759">
        <f>IF($AD759="","",INDEX('Per Line'!$F$2:$F$3001,$AD759)&amp;"")</f>
        <v/>
      </c>
      <c r="K759">
        <f>IF($AD759="","",INDEX('Per Line'!$K$2:$K$3001,$AD759)&amp;"")</f>
        <v/>
      </c>
      <c r="L759">
        <f>IF($AD759="","",INDEX('Per Line'!$L$2:$L$3001,$AD759)&amp;"")</f>
        <v/>
      </c>
      <c r="M759">
        <f>IF($AD759="","",INDEX('Per Line'!$M$2:$M$3001,$AD759)&amp;"")</f>
        <v/>
      </c>
      <c r="N759">
        <f>IF($AD759="","",INDEX('Per Line'!$AC$2:$AC$3001,$AD759)&amp;"")</f>
        <v/>
      </c>
      <c r="O759">
        <f>IF($AD759="","",INDEX('Per Line'!$P$2:$P$3001,$AD759))</f>
        <v/>
      </c>
      <c r="P759" s="7">
        <f>IF($AD759="","",IF(AND(ISNUMBER(Q759),Q759&gt;0,AB759&gt;Q759),O759*Q759/100+(AB759-Q759),O759*AB759/100))</f>
        <v/>
      </c>
      <c r="Q759">
        <f>IF($AD759="","",INDEX('Per Line'!$AG$2:$AG$3001,$AD759))</f>
        <v/>
      </c>
      <c r="R759">
        <f>IF($AD759="","",IF(AND(ISNUMBER(Q759),Q759&gt;0),AB759&gt;Q759,FALSE))</f>
        <v/>
      </c>
      <c r="S759" s="7">
        <f>IF($AD759="","",SUMIFS('Per Line'!$AB$2:$AB$3001,'Per Line'!$E$2:$E$3001,$B759,'Per Line'!$AQ$2:$AQ$3001,1))</f>
        <v/>
      </c>
      <c r="T759">
        <f>IF($AD759="","",Settings!$C$7)</f>
        <v/>
      </c>
      <c r="U759" s="7">
        <f>IF($AD759="","",SUMIFS('Per Line'!$AB$2:$AB$3001,'Per Line'!$E$2:$E$3001,$B759,'Per Line'!$AP$2:$AP$3001,0,'Per Line'!$AQ$2:$AQ$3001,0))</f>
        <v/>
      </c>
      <c r="V759" s="7">
        <f>IF($AD759="","",U759*T759)</f>
        <v/>
      </c>
      <c r="W759">
        <f>IF($AD759="","",Settings!$C$6)</f>
        <v/>
      </c>
      <c r="X759" s="7">
        <f>IF($AD759="","",SUMIFS('Per Line'!$AB$2:$AB$3001,'Per Line'!$E$2:$E$3001,$B759,'Per Line'!$AP$2:$AP$3001,1,'Per Line'!$AQ$2:$AQ$3001,0))</f>
        <v/>
      </c>
      <c r="Y759" s="7">
        <f>IF($AD759="","",X759*W759)</f>
        <v/>
      </c>
      <c r="Z759" s="7">
        <f>IF($AD759="","",Y759+V759)</f>
        <v/>
      </c>
      <c r="AA759" s="7">
        <f>IF($AD759="","",AB759-Z759)</f>
        <v/>
      </c>
      <c r="AB759" s="7">
        <f>IF($AD759="","",U759+X759+S759)</f>
        <v/>
      </c>
      <c r="AC759" s="7">
        <f>IF($AD759="","",AB759-Z759-P759)</f>
        <v/>
      </c>
      <c r="AD759" s="13">
        <f>IF(ROWS($AD$2:$AD759)&lt;=MAX('Per Line'!$AO$2:$AO$3001),MATCH(ROWS($AD$2:$AD759),'Per Line'!$AO$2:$AO$3001,0),"")</f>
        <v/>
      </c>
      <c r="AE759" s="14">
        <f>IF($AD759="","",P759-O759*AB759/100)</f>
        <v/>
      </c>
    </row>
    <row r="760">
      <c r="A760" s="12" t="n"/>
      <c r="B760">
        <f>IF($AD760="","",INDEX('Per Line'!$E$2:$E$3001,$AD760)&amp;"")</f>
        <v/>
      </c>
      <c r="C760">
        <f>IF($AD760="","",INDEX('Per Line'!$A$2:$A$3001,$AD760)&amp;"")</f>
        <v/>
      </c>
      <c r="D760">
        <f>IF($AD760="","",INDEX('Per Line'!$C$2:$C$3001,$AD760)&amp;"")</f>
        <v/>
      </c>
      <c r="E760">
        <f>IF($AD760="","",INDEX('Per Line'!$B$2:$B$3001,$AD760))</f>
        <v/>
      </c>
      <c r="F760">
        <f>IF($AD760="","",INDEX('Per Line'!$D$2:$D$3001,$AD760)&amp;"")</f>
        <v/>
      </c>
      <c r="G760" s="11">
        <f>IF($AD760="","",INDEX('Per Line'!$G$2:$G$3001,$AD760))</f>
        <v/>
      </c>
      <c r="H760">
        <f>IF($AD760="","",INDEX('Per Line'!$J$2:$J$3001,$AD760)&amp;"")</f>
        <v/>
      </c>
      <c r="I760">
        <f>IF($AD760="","",INDEX('Per Line'!$H$2:$H$3001,$AD760)&amp;"")</f>
        <v/>
      </c>
      <c r="J760">
        <f>IF($AD760="","",INDEX('Per Line'!$F$2:$F$3001,$AD760)&amp;"")</f>
        <v/>
      </c>
      <c r="K760">
        <f>IF($AD760="","",INDEX('Per Line'!$K$2:$K$3001,$AD760)&amp;"")</f>
        <v/>
      </c>
      <c r="L760">
        <f>IF($AD760="","",INDEX('Per Line'!$L$2:$L$3001,$AD760)&amp;"")</f>
        <v/>
      </c>
      <c r="M760">
        <f>IF($AD760="","",INDEX('Per Line'!$M$2:$M$3001,$AD760)&amp;"")</f>
        <v/>
      </c>
      <c r="N760">
        <f>IF($AD760="","",INDEX('Per Line'!$AC$2:$AC$3001,$AD760)&amp;"")</f>
        <v/>
      </c>
      <c r="O760">
        <f>IF($AD760="","",INDEX('Per Line'!$P$2:$P$3001,$AD760))</f>
        <v/>
      </c>
      <c r="P760" s="7">
        <f>IF($AD760="","",IF(AND(ISNUMBER(Q760),Q760&gt;0,AB760&gt;Q760),O760*Q760/100+(AB760-Q760),O760*AB760/100))</f>
        <v/>
      </c>
      <c r="Q760">
        <f>IF($AD760="","",INDEX('Per Line'!$AG$2:$AG$3001,$AD760))</f>
        <v/>
      </c>
      <c r="R760">
        <f>IF($AD760="","",IF(AND(ISNUMBER(Q760),Q760&gt;0),AB760&gt;Q760,FALSE))</f>
        <v/>
      </c>
      <c r="S760" s="7">
        <f>IF($AD760="","",SUMIFS('Per Line'!$AB$2:$AB$3001,'Per Line'!$E$2:$E$3001,$B760,'Per Line'!$AQ$2:$AQ$3001,1))</f>
        <v/>
      </c>
      <c r="T760">
        <f>IF($AD760="","",Settings!$C$7)</f>
        <v/>
      </c>
      <c r="U760" s="7">
        <f>IF($AD760="","",SUMIFS('Per Line'!$AB$2:$AB$3001,'Per Line'!$E$2:$E$3001,$B760,'Per Line'!$AP$2:$AP$3001,0,'Per Line'!$AQ$2:$AQ$3001,0))</f>
        <v/>
      </c>
      <c r="V760" s="7">
        <f>IF($AD760="","",U760*T760)</f>
        <v/>
      </c>
      <c r="W760">
        <f>IF($AD760="","",Settings!$C$6)</f>
        <v/>
      </c>
      <c r="X760" s="7">
        <f>IF($AD760="","",SUMIFS('Per Line'!$AB$2:$AB$3001,'Per Line'!$E$2:$E$3001,$B760,'Per Line'!$AP$2:$AP$3001,1,'Per Line'!$AQ$2:$AQ$3001,0))</f>
        <v/>
      </c>
      <c r="Y760" s="7">
        <f>IF($AD760="","",X760*W760)</f>
        <v/>
      </c>
      <c r="Z760" s="7">
        <f>IF($AD760="","",Y760+V760)</f>
        <v/>
      </c>
      <c r="AA760" s="7">
        <f>IF($AD760="","",AB760-Z760)</f>
        <v/>
      </c>
      <c r="AB760" s="7">
        <f>IF($AD760="","",U760+X760+S760)</f>
        <v/>
      </c>
      <c r="AC760" s="7">
        <f>IF($AD760="","",AB760-Z760-P760)</f>
        <v/>
      </c>
      <c r="AD760" s="13">
        <f>IF(ROWS($AD$2:$AD760)&lt;=MAX('Per Line'!$AO$2:$AO$3001),MATCH(ROWS($AD$2:$AD760),'Per Line'!$AO$2:$AO$3001,0),"")</f>
        <v/>
      </c>
      <c r="AE760" s="14">
        <f>IF($AD760="","",P760-O760*AB760/100)</f>
        <v/>
      </c>
    </row>
    <row r="761">
      <c r="A761" s="12" t="n"/>
      <c r="B761">
        <f>IF($AD761="","",INDEX('Per Line'!$E$2:$E$3001,$AD761)&amp;"")</f>
        <v/>
      </c>
      <c r="C761">
        <f>IF($AD761="","",INDEX('Per Line'!$A$2:$A$3001,$AD761)&amp;"")</f>
        <v/>
      </c>
      <c r="D761">
        <f>IF($AD761="","",INDEX('Per Line'!$C$2:$C$3001,$AD761)&amp;"")</f>
        <v/>
      </c>
      <c r="E761">
        <f>IF($AD761="","",INDEX('Per Line'!$B$2:$B$3001,$AD761))</f>
        <v/>
      </c>
      <c r="F761">
        <f>IF($AD761="","",INDEX('Per Line'!$D$2:$D$3001,$AD761)&amp;"")</f>
        <v/>
      </c>
      <c r="G761" s="11">
        <f>IF($AD761="","",INDEX('Per Line'!$G$2:$G$3001,$AD761))</f>
        <v/>
      </c>
      <c r="H761">
        <f>IF($AD761="","",INDEX('Per Line'!$J$2:$J$3001,$AD761)&amp;"")</f>
        <v/>
      </c>
      <c r="I761">
        <f>IF($AD761="","",INDEX('Per Line'!$H$2:$H$3001,$AD761)&amp;"")</f>
        <v/>
      </c>
      <c r="J761">
        <f>IF($AD761="","",INDEX('Per Line'!$F$2:$F$3001,$AD761)&amp;"")</f>
        <v/>
      </c>
      <c r="K761">
        <f>IF($AD761="","",INDEX('Per Line'!$K$2:$K$3001,$AD761)&amp;"")</f>
        <v/>
      </c>
      <c r="L761">
        <f>IF($AD761="","",INDEX('Per Line'!$L$2:$L$3001,$AD761)&amp;"")</f>
        <v/>
      </c>
      <c r="M761">
        <f>IF($AD761="","",INDEX('Per Line'!$M$2:$M$3001,$AD761)&amp;"")</f>
        <v/>
      </c>
      <c r="N761">
        <f>IF($AD761="","",INDEX('Per Line'!$AC$2:$AC$3001,$AD761)&amp;"")</f>
        <v/>
      </c>
      <c r="O761">
        <f>IF($AD761="","",INDEX('Per Line'!$P$2:$P$3001,$AD761))</f>
        <v/>
      </c>
      <c r="P761" s="7">
        <f>IF($AD761="","",IF(AND(ISNUMBER(Q761),Q761&gt;0,AB761&gt;Q761),O761*Q761/100+(AB761-Q761),O761*AB761/100))</f>
        <v/>
      </c>
      <c r="Q761">
        <f>IF($AD761="","",INDEX('Per Line'!$AG$2:$AG$3001,$AD761))</f>
        <v/>
      </c>
      <c r="R761">
        <f>IF($AD761="","",IF(AND(ISNUMBER(Q761),Q761&gt;0),AB761&gt;Q761,FALSE))</f>
        <v/>
      </c>
      <c r="S761" s="7">
        <f>IF($AD761="","",SUMIFS('Per Line'!$AB$2:$AB$3001,'Per Line'!$E$2:$E$3001,$B761,'Per Line'!$AQ$2:$AQ$3001,1))</f>
        <v/>
      </c>
      <c r="T761">
        <f>IF($AD761="","",Settings!$C$7)</f>
        <v/>
      </c>
      <c r="U761" s="7">
        <f>IF($AD761="","",SUMIFS('Per Line'!$AB$2:$AB$3001,'Per Line'!$E$2:$E$3001,$B761,'Per Line'!$AP$2:$AP$3001,0,'Per Line'!$AQ$2:$AQ$3001,0))</f>
        <v/>
      </c>
      <c r="V761" s="7">
        <f>IF($AD761="","",U761*T761)</f>
        <v/>
      </c>
      <c r="W761">
        <f>IF($AD761="","",Settings!$C$6)</f>
        <v/>
      </c>
      <c r="X761" s="7">
        <f>IF($AD761="","",SUMIFS('Per Line'!$AB$2:$AB$3001,'Per Line'!$E$2:$E$3001,$B761,'Per Line'!$AP$2:$AP$3001,1,'Per Line'!$AQ$2:$AQ$3001,0))</f>
        <v/>
      </c>
      <c r="Y761" s="7">
        <f>IF($AD761="","",X761*W761)</f>
        <v/>
      </c>
      <c r="Z761" s="7">
        <f>IF($AD761="","",Y761+V761)</f>
        <v/>
      </c>
      <c r="AA761" s="7">
        <f>IF($AD761="","",AB761-Z761)</f>
        <v/>
      </c>
      <c r="AB761" s="7">
        <f>IF($AD761="","",U761+X761+S761)</f>
        <v/>
      </c>
      <c r="AC761" s="7">
        <f>IF($AD761="","",AB761-Z761-P761)</f>
        <v/>
      </c>
      <c r="AD761" s="13">
        <f>IF(ROWS($AD$2:$AD761)&lt;=MAX('Per Line'!$AO$2:$AO$3001),MATCH(ROWS($AD$2:$AD761),'Per Line'!$AO$2:$AO$3001,0),"")</f>
        <v/>
      </c>
      <c r="AE761" s="14">
        <f>IF($AD761="","",P761-O761*AB761/100)</f>
        <v/>
      </c>
    </row>
    <row r="762">
      <c r="A762" s="12" t="n"/>
      <c r="B762">
        <f>IF($AD762="","",INDEX('Per Line'!$E$2:$E$3001,$AD762)&amp;"")</f>
        <v/>
      </c>
      <c r="C762">
        <f>IF($AD762="","",INDEX('Per Line'!$A$2:$A$3001,$AD762)&amp;"")</f>
        <v/>
      </c>
      <c r="D762">
        <f>IF($AD762="","",INDEX('Per Line'!$C$2:$C$3001,$AD762)&amp;"")</f>
        <v/>
      </c>
      <c r="E762">
        <f>IF($AD762="","",INDEX('Per Line'!$B$2:$B$3001,$AD762))</f>
        <v/>
      </c>
      <c r="F762">
        <f>IF($AD762="","",INDEX('Per Line'!$D$2:$D$3001,$AD762)&amp;"")</f>
        <v/>
      </c>
      <c r="G762" s="11">
        <f>IF($AD762="","",INDEX('Per Line'!$G$2:$G$3001,$AD762))</f>
        <v/>
      </c>
      <c r="H762">
        <f>IF($AD762="","",INDEX('Per Line'!$J$2:$J$3001,$AD762)&amp;"")</f>
        <v/>
      </c>
      <c r="I762">
        <f>IF($AD762="","",INDEX('Per Line'!$H$2:$H$3001,$AD762)&amp;"")</f>
        <v/>
      </c>
      <c r="J762">
        <f>IF($AD762="","",INDEX('Per Line'!$F$2:$F$3001,$AD762)&amp;"")</f>
        <v/>
      </c>
      <c r="K762">
        <f>IF($AD762="","",INDEX('Per Line'!$K$2:$K$3001,$AD762)&amp;"")</f>
        <v/>
      </c>
      <c r="L762">
        <f>IF($AD762="","",INDEX('Per Line'!$L$2:$L$3001,$AD762)&amp;"")</f>
        <v/>
      </c>
      <c r="M762">
        <f>IF($AD762="","",INDEX('Per Line'!$M$2:$M$3001,$AD762)&amp;"")</f>
        <v/>
      </c>
      <c r="N762">
        <f>IF($AD762="","",INDEX('Per Line'!$AC$2:$AC$3001,$AD762)&amp;"")</f>
        <v/>
      </c>
      <c r="O762">
        <f>IF($AD762="","",INDEX('Per Line'!$P$2:$P$3001,$AD762))</f>
        <v/>
      </c>
      <c r="P762" s="7">
        <f>IF($AD762="","",IF(AND(ISNUMBER(Q762),Q762&gt;0,AB762&gt;Q762),O762*Q762/100+(AB762-Q762),O762*AB762/100))</f>
        <v/>
      </c>
      <c r="Q762">
        <f>IF($AD762="","",INDEX('Per Line'!$AG$2:$AG$3001,$AD762))</f>
        <v/>
      </c>
      <c r="R762">
        <f>IF($AD762="","",IF(AND(ISNUMBER(Q762),Q762&gt;0),AB762&gt;Q762,FALSE))</f>
        <v/>
      </c>
      <c r="S762" s="7">
        <f>IF($AD762="","",SUMIFS('Per Line'!$AB$2:$AB$3001,'Per Line'!$E$2:$E$3001,$B762,'Per Line'!$AQ$2:$AQ$3001,1))</f>
        <v/>
      </c>
      <c r="T762">
        <f>IF($AD762="","",Settings!$C$7)</f>
        <v/>
      </c>
      <c r="U762" s="7">
        <f>IF($AD762="","",SUMIFS('Per Line'!$AB$2:$AB$3001,'Per Line'!$E$2:$E$3001,$B762,'Per Line'!$AP$2:$AP$3001,0,'Per Line'!$AQ$2:$AQ$3001,0))</f>
        <v/>
      </c>
      <c r="V762" s="7">
        <f>IF($AD762="","",U762*T762)</f>
        <v/>
      </c>
      <c r="W762">
        <f>IF($AD762="","",Settings!$C$6)</f>
        <v/>
      </c>
      <c r="X762" s="7">
        <f>IF($AD762="","",SUMIFS('Per Line'!$AB$2:$AB$3001,'Per Line'!$E$2:$E$3001,$B762,'Per Line'!$AP$2:$AP$3001,1,'Per Line'!$AQ$2:$AQ$3001,0))</f>
        <v/>
      </c>
      <c r="Y762" s="7">
        <f>IF($AD762="","",X762*W762)</f>
        <v/>
      </c>
      <c r="Z762" s="7">
        <f>IF($AD762="","",Y762+V762)</f>
        <v/>
      </c>
      <c r="AA762" s="7">
        <f>IF($AD762="","",AB762-Z762)</f>
        <v/>
      </c>
      <c r="AB762" s="7">
        <f>IF($AD762="","",U762+X762+S762)</f>
        <v/>
      </c>
      <c r="AC762" s="7">
        <f>IF($AD762="","",AB762-Z762-P762)</f>
        <v/>
      </c>
      <c r="AD762" s="13">
        <f>IF(ROWS($AD$2:$AD762)&lt;=MAX('Per Line'!$AO$2:$AO$3001),MATCH(ROWS($AD$2:$AD762),'Per Line'!$AO$2:$AO$3001,0),"")</f>
        <v/>
      </c>
      <c r="AE762" s="14">
        <f>IF($AD762="","",P762-O762*AB762/100)</f>
        <v/>
      </c>
    </row>
    <row r="763">
      <c r="A763" s="12" t="n"/>
      <c r="B763">
        <f>IF($AD763="","",INDEX('Per Line'!$E$2:$E$3001,$AD763)&amp;"")</f>
        <v/>
      </c>
      <c r="C763">
        <f>IF($AD763="","",INDEX('Per Line'!$A$2:$A$3001,$AD763)&amp;"")</f>
        <v/>
      </c>
      <c r="D763">
        <f>IF($AD763="","",INDEX('Per Line'!$C$2:$C$3001,$AD763)&amp;"")</f>
        <v/>
      </c>
      <c r="E763">
        <f>IF($AD763="","",INDEX('Per Line'!$B$2:$B$3001,$AD763))</f>
        <v/>
      </c>
      <c r="F763">
        <f>IF($AD763="","",INDEX('Per Line'!$D$2:$D$3001,$AD763)&amp;"")</f>
        <v/>
      </c>
      <c r="G763" s="11">
        <f>IF($AD763="","",INDEX('Per Line'!$G$2:$G$3001,$AD763))</f>
        <v/>
      </c>
      <c r="H763">
        <f>IF($AD763="","",INDEX('Per Line'!$J$2:$J$3001,$AD763)&amp;"")</f>
        <v/>
      </c>
      <c r="I763">
        <f>IF($AD763="","",INDEX('Per Line'!$H$2:$H$3001,$AD763)&amp;"")</f>
        <v/>
      </c>
      <c r="J763">
        <f>IF($AD763="","",INDEX('Per Line'!$F$2:$F$3001,$AD763)&amp;"")</f>
        <v/>
      </c>
      <c r="K763">
        <f>IF($AD763="","",INDEX('Per Line'!$K$2:$K$3001,$AD763)&amp;"")</f>
        <v/>
      </c>
      <c r="L763">
        <f>IF($AD763="","",INDEX('Per Line'!$L$2:$L$3001,$AD763)&amp;"")</f>
        <v/>
      </c>
      <c r="M763">
        <f>IF($AD763="","",INDEX('Per Line'!$M$2:$M$3001,$AD763)&amp;"")</f>
        <v/>
      </c>
      <c r="N763">
        <f>IF($AD763="","",INDEX('Per Line'!$AC$2:$AC$3001,$AD763)&amp;"")</f>
        <v/>
      </c>
      <c r="O763">
        <f>IF($AD763="","",INDEX('Per Line'!$P$2:$P$3001,$AD763))</f>
        <v/>
      </c>
      <c r="P763" s="7">
        <f>IF($AD763="","",IF(AND(ISNUMBER(Q763),Q763&gt;0,AB763&gt;Q763),O763*Q763/100+(AB763-Q763),O763*AB763/100))</f>
        <v/>
      </c>
      <c r="Q763">
        <f>IF($AD763="","",INDEX('Per Line'!$AG$2:$AG$3001,$AD763))</f>
        <v/>
      </c>
      <c r="R763">
        <f>IF($AD763="","",IF(AND(ISNUMBER(Q763),Q763&gt;0),AB763&gt;Q763,FALSE))</f>
        <v/>
      </c>
      <c r="S763" s="7">
        <f>IF($AD763="","",SUMIFS('Per Line'!$AB$2:$AB$3001,'Per Line'!$E$2:$E$3001,$B763,'Per Line'!$AQ$2:$AQ$3001,1))</f>
        <v/>
      </c>
      <c r="T763">
        <f>IF($AD763="","",Settings!$C$7)</f>
        <v/>
      </c>
      <c r="U763" s="7">
        <f>IF($AD763="","",SUMIFS('Per Line'!$AB$2:$AB$3001,'Per Line'!$E$2:$E$3001,$B763,'Per Line'!$AP$2:$AP$3001,0,'Per Line'!$AQ$2:$AQ$3001,0))</f>
        <v/>
      </c>
      <c r="V763" s="7">
        <f>IF($AD763="","",U763*T763)</f>
        <v/>
      </c>
      <c r="W763">
        <f>IF($AD763="","",Settings!$C$6)</f>
        <v/>
      </c>
      <c r="X763" s="7">
        <f>IF($AD763="","",SUMIFS('Per Line'!$AB$2:$AB$3001,'Per Line'!$E$2:$E$3001,$B763,'Per Line'!$AP$2:$AP$3001,1,'Per Line'!$AQ$2:$AQ$3001,0))</f>
        <v/>
      </c>
      <c r="Y763" s="7">
        <f>IF($AD763="","",X763*W763)</f>
        <v/>
      </c>
      <c r="Z763" s="7">
        <f>IF($AD763="","",Y763+V763)</f>
        <v/>
      </c>
      <c r="AA763" s="7">
        <f>IF($AD763="","",AB763-Z763)</f>
        <v/>
      </c>
      <c r="AB763" s="7">
        <f>IF($AD763="","",U763+X763+S763)</f>
        <v/>
      </c>
      <c r="AC763" s="7">
        <f>IF($AD763="","",AB763-Z763-P763)</f>
        <v/>
      </c>
      <c r="AD763" s="13">
        <f>IF(ROWS($AD$2:$AD763)&lt;=MAX('Per Line'!$AO$2:$AO$3001),MATCH(ROWS($AD$2:$AD763),'Per Line'!$AO$2:$AO$3001,0),"")</f>
        <v/>
      </c>
      <c r="AE763" s="14">
        <f>IF($AD763="","",P763-O763*AB763/100)</f>
        <v/>
      </c>
    </row>
    <row r="764">
      <c r="A764" s="12" t="n"/>
      <c r="B764">
        <f>IF($AD764="","",INDEX('Per Line'!$E$2:$E$3001,$AD764)&amp;"")</f>
        <v/>
      </c>
      <c r="C764">
        <f>IF($AD764="","",INDEX('Per Line'!$A$2:$A$3001,$AD764)&amp;"")</f>
        <v/>
      </c>
      <c r="D764">
        <f>IF($AD764="","",INDEX('Per Line'!$C$2:$C$3001,$AD764)&amp;"")</f>
        <v/>
      </c>
      <c r="E764">
        <f>IF($AD764="","",INDEX('Per Line'!$B$2:$B$3001,$AD764))</f>
        <v/>
      </c>
      <c r="F764">
        <f>IF($AD764="","",INDEX('Per Line'!$D$2:$D$3001,$AD764)&amp;"")</f>
        <v/>
      </c>
      <c r="G764" s="11">
        <f>IF($AD764="","",INDEX('Per Line'!$G$2:$G$3001,$AD764))</f>
        <v/>
      </c>
      <c r="H764">
        <f>IF($AD764="","",INDEX('Per Line'!$J$2:$J$3001,$AD764)&amp;"")</f>
        <v/>
      </c>
      <c r="I764">
        <f>IF($AD764="","",INDEX('Per Line'!$H$2:$H$3001,$AD764)&amp;"")</f>
        <v/>
      </c>
      <c r="J764">
        <f>IF($AD764="","",INDEX('Per Line'!$F$2:$F$3001,$AD764)&amp;"")</f>
        <v/>
      </c>
      <c r="K764">
        <f>IF($AD764="","",INDEX('Per Line'!$K$2:$K$3001,$AD764)&amp;"")</f>
        <v/>
      </c>
      <c r="L764">
        <f>IF($AD764="","",INDEX('Per Line'!$L$2:$L$3001,$AD764)&amp;"")</f>
        <v/>
      </c>
      <c r="M764">
        <f>IF($AD764="","",INDEX('Per Line'!$M$2:$M$3001,$AD764)&amp;"")</f>
        <v/>
      </c>
      <c r="N764">
        <f>IF($AD764="","",INDEX('Per Line'!$AC$2:$AC$3001,$AD764)&amp;"")</f>
        <v/>
      </c>
      <c r="O764">
        <f>IF($AD764="","",INDEX('Per Line'!$P$2:$P$3001,$AD764))</f>
        <v/>
      </c>
      <c r="P764" s="7">
        <f>IF($AD764="","",IF(AND(ISNUMBER(Q764),Q764&gt;0,AB764&gt;Q764),O764*Q764/100+(AB764-Q764),O764*AB764/100))</f>
        <v/>
      </c>
      <c r="Q764">
        <f>IF($AD764="","",INDEX('Per Line'!$AG$2:$AG$3001,$AD764))</f>
        <v/>
      </c>
      <c r="R764">
        <f>IF($AD764="","",IF(AND(ISNUMBER(Q764),Q764&gt;0),AB764&gt;Q764,FALSE))</f>
        <v/>
      </c>
      <c r="S764" s="7">
        <f>IF($AD764="","",SUMIFS('Per Line'!$AB$2:$AB$3001,'Per Line'!$E$2:$E$3001,$B764,'Per Line'!$AQ$2:$AQ$3001,1))</f>
        <v/>
      </c>
      <c r="T764">
        <f>IF($AD764="","",Settings!$C$7)</f>
        <v/>
      </c>
      <c r="U764" s="7">
        <f>IF($AD764="","",SUMIFS('Per Line'!$AB$2:$AB$3001,'Per Line'!$E$2:$E$3001,$B764,'Per Line'!$AP$2:$AP$3001,0,'Per Line'!$AQ$2:$AQ$3001,0))</f>
        <v/>
      </c>
      <c r="V764" s="7">
        <f>IF($AD764="","",U764*T764)</f>
        <v/>
      </c>
      <c r="W764">
        <f>IF($AD764="","",Settings!$C$6)</f>
        <v/>
      </c>
      <c r="X764" s="7">
        <f>IF($AD764="","",SUMIFS('Per Line'!$AB$2:$AB$3001,'Per Line'!$E$2:$E$3001,$B764,'Per Line'!$AP$2:$AP$3001,1,'Per Line'!$AQ$2:$AQ$3001,0))</f>
        <v/>
      </c>
      <c r="Y764" s="7">
        <f>IF($AD764="","",X764*W764)</f>
        <v/>
      </c>
      <c r="Z764" s="7">
        <f>IF($AD764="","",Y764+V764)</f>
        <v/>
      </c>
      <c r="AA764" s="7">
        <f>IF($AD764="","",AB764-Z764)</f>
        <v/>
      </c>
      <c r="AB764" s="7">
        <f>IF($AD764="","",U764+X764+S764)</f>
        <v/>
      </c>
      <c r="AC764" s="7">
        <f>IF($AD764="","",AB764-Z764-P764)</f>
        <v/>
      </c>
      <c r="AD764" s="13">
        <f>IF(ROWS($AD$2:$AD764)&lt;=MAX('Per Line'!$AO$2:$AO$3001),MATCH(ROWS($AD$2:$AD764),'Per Line'!$AO$2:$AO$3001,0),"")</f>
        <v/>
      </c>
      <c r="AE764" s="14">
        <f>IF($AD764="","",P764-O764*AB764/100)</f>
        <v/>
      </c>
    </row>
    <row r="765">
      <c r="A765" s="12" t="n"/>
      <c r="B765">
        <f>IF($AD765="","",INDEX('Per Line'!$E$2:$E$3001,$AD765)&amp;"")</f>
        <v/>
      </c>
      <c r="C765">
        <f>IF($AD765="","",INDEX('Per Line'!$A$2:$A$3001,$AD765)&amp;"")</f>
        <v/>
      </c>
      <c r="D765">
        <f>IF($AD765="","",INDEX('Per Line'!$C$2:$C$3001,$AD765)&amp;"")</f>
        <v/>
      </c>
      <c r="E765">
        <f>IF($AD765="","",INDEX('Per Line'!$B$2:$B$3001,$AD765))</f>
        <v/>
      </c>
      <c r="F765">
        <f>IF($AD765="","",INDEX('Per Line'!$D$2:$D$3001,$AD765)&amp;"")</f>
        <v/>
      </c>
      <c r="G765" s="11">
        <f>IF($AD765="","",INDEX('Per Line'!$G$2:$G$3001,$AD765))</f>
        <v/>
      </c>
      <c r="H765">
        <f>IF($AD765="","",INDEX('Per Line'!$J$2:$J$3001,$AD765)&amp;"")</f>
        <v/>
      </c>
      <c r="I765">
        <f>IF($AD765="","",INDEX('Per Line'!$H$2:$H$3001,$AD765)&amp;"")</f>
        <v/>
      </c>
      <c r="J765">
        <f>IF($AD765="","",INDEX('Per Line'!$F$2:$F$3001,$AD765)&amp;"")</f>
        <v/>
      </c>
      <c r="K765">
        <f>IF($AD765="","",INDEX('Per Line'!$K$2:$K$3001,$AD765)&amp;"")</f>
        <v/>
      </c>
      <c r="L765">
        <f>IF($AD765="","",INDEX('Per Line'!$L$2:$L$3001,$AD765)&amp;"")</f>
        <v/>
      </c>
      <c r="M765">
        <f>IF($AD765="","",INDEX('Per Line'!$M$2:$M$3001,$AD765)&amp;"")</f>
        <v/>
      </c>
      <c r="N765">
        <f>IF($AD765="","",INDEX('Per Line'!$AC$2:$AC$3001,$AD765)&amp;"")</f>
        <v/>
      </c>
      <c r="O765">
        <f>IF($AD765="","",INDEX('Per Line'!$P$2:$P$3001,$AD765))</f>
        <v/>
      </c>
      <c r="P765" s="7">
        <f>IF($AD765="","",IF(AND(ISNUMBER(Q765),Q765&gt;0,AB765&gt;Q765),O765*Q765/100+(AB765-Q765),O765*AB765/100))</f>
        <v/>
      </c>
      <c r="Q765">
        <f>IF($AD765="","",INDEX('Per Line'!$AG$2:$AG$3001,$AD765))</f>
        <v/>
      </c>
      <c r="R765">
        <f>IF($AD765="","",IF(AND(ISNUMBER(Q765),Q765&gt;0),AB765&gt;Q765,FALSE))</f>
        <v/>
      </c>
      <c r="S765" s="7">
        <f>IF($AD765="","",SUMIFS('Per Line'!$AB$2:$AB$3001,'Per Line'!$E$2:$E$3001,$B765,'Per Line'!$AQ$2:$AQ$3001,1))</f>
        <v/>
      </c>
      <c r="T765">
        <f>IF($AD765="","",Settings!$C$7)</f>
        <v/>
      </c>
      <c r="U765" s="7">
        <f>IF($AD765="","",SUMIFS('Per Line'!$AB$2:$AB$3001,'Per Line'!$E$2:$E$3001,$B765,'Per Line'!$AP$2:$AP$3001,0,'Per Line'!$AQ$2:$AQ$3001,0))</f>
        <v/>
      </c>
      <c r="V765" s="7">
        <f>IF($AD765="","",U765*T765)</f>
        <v/>
      </c>
      <c r="W765">
        <f>IF($AD765="","",Settings!$C$6)</f>
        <v/>
      </c>
      <c r="X765" s="7">
        <f>IF($AD765="","",SUMIFS('Per Line'!$AB$2:$AB$3001,'Per Line'!$E$2:$E$3001,$B765,'Per Line'!$AP$2:$AP$3001,1,'Per Line'!$AQ$2:$AQ$3001,0))</f>
        <v/>
      </c>
      <c r="Y765" s="7">
        <f>IF($AD765="","",X765*W765)</f>
        <v/>
      </c>
      <c r="Z765" s="7">
        <f>IF($AD765="","",Y765+V765)</f>
        <v/>
      </c>
      <c r="AA765" s="7">
        <f>IF($AD765="","",AB765-Z765)</f>
        <v/>
      </c>
      <c r="AB765" s="7">
        <f>IF($AD765="","",U765+X765+S765)</f>
        <v/>
      </c>
      <c r="AC765" s="7">
        <f>IF($AD765="","",AB765-Z765-P765)</f>
        <v/>
      </c>
      <c r="AD765" s="13">
        <f>IF(ROWS($AD$2:$AD765)&lt;=MAX('Per Line'!$AO$2:$AO$3001),MATCH(ROWS($AD$2:$AD765),'Per Line'!$AO$2:$AO$3001,0),"")</f>
        <v/>
      </c>
      <c r="AE765" s="14">
        <f>IF($AD765="","",P765-O765*AB765/100)</f>
        <v/>
      </c>
    </row>
    <row r="766">
      <c r="A766" s="12" t="n"/>
      <c r="B766">
        <f>IF($AD766="","",INDEX('Per Line'!$E$2:$E$3001,$AD766)&amp;"")</f>
        <v/>
      </c>
      <c r="C766">
        <f>IF($AD766="","",INDEX('Per Line'!$A$2:$A$3001,$AD766)&amp;"")</f>
        <v/>
      </c>
      <c r="D766">
        <f>IF($AD766="","",INDEX('Per Line'!$C$2:$C$3001,$AD766)&amp;"")</f>
        <v/>
      </c>
      <c r="E766">
        <f>IF($AD766="","",INDEX('Per Line'!$B$2:$B$3001,$AD766))</f>
        <v/>
      </c>
      <c r="F766">
        <f>IF($AD766="","",INDEX('Per Line'!$D$2:$D$3001,$AD766)&amp;"")</f>
        <v/>
      </c>
      <c r="G766" s="11">
        <f>IF($AD766="","",INDEX('Per Line'!$G$2:$G$3001,$AD766))</f>
        <v/>
      </c>
      <c r="H766">
        <f>IF($AD766="","",INDEX('Per Line'!$J$2:$J$3001,$AD766)&amp;"")</f>
        <v/>
      </c>
      <c r="I766">
        <f>IF($AD766="","",INDEX('Per Line'!$H$2:$H$3001,$AD766)&amp;"")</f>
        <v/>
      </c>
      <c r="J766">
        <f>IF($AD766="","",INDEX('Per Line'!$F$2:$F$3001,$AD766)&amp;"")</f>
        <v/>
      </c>
      <c r="K766">
        <f>IF($AD766="","",INDEX('Per Line'!$K$2:$K$3001,$AD766)&amp;"")</f>
        <v/>
      </c>
      <c r="L766">
        <f>IF($AD766="","",INDEX('Per Line'!$L$2:$L$3001,$AD766)&amp;"")</f>
        <v/>
      </c>
      <c r="M766">
        <f>IF($AD766="","",INDEX('Per Line'!$M$2:$M$3001,$AD766)&amp;"")</f>
        <v/>
      </c>
      <c r="N766">
        <f>IF($AD766="","",INDEX('Per Line'!$AC$2:$AC$3001,$AD766)&amp;"")</f>
        <v/>
      </c>
      <c r="O766">
        <f>IF($AD766="","",INDEX('Per Line'!$P$2:$P$3001,$AD766))</f>
        <v/>
      </c>
      <c r="P766" s="7">
        <f>IF($AD766="","",IF(AND(ISNUMBER(Q766),Q766&gt;0,AB766&gt;Q766),O766*Q766/100+(AB766-Q766),O766*AB766/100))</f>
        <v/>
      </c>
      <c r="Q766">
        <f>IF($AD766="","",INDEX('Per Line'!$AG$2:$AG$3001,$AD766))</f>
        <v/>
      </c>
      <c r="R766">
        <f>IF($AD766="","",IF(AND(ISNUMBER(Q766),Q766&gt;0),AB766&gt;Q766,FALSE))</f>
        <v/>
      </c>
      <c r="S766" s="7">
        <f>IF($AD766="","",SUMIFS('Per Line'!$AB$2:$AB$3001,'Per Line'!$E$2:$E$3001,$B766,'Per Line'!$AQ$2:$AQ$3001,1))</f>
        <v/>
      </c>
      <c r="T766">
        <f>IF($AD766="","",Settings!$C$7)</f>
        <v/>
      </c>
      <c r="U766" s="7">
        <f>IF($AD766="","",SUMIFS('Per Line'!$AB$2:$AB$3001,'Per Line'!$E$2:$E$3001,$B766,'Per Line'!$AP$2:$AP$3001,0,'Per Line'!$AQ$2:$AQ$3001,0))</f>
        <v/>
      </c>
      <c r="V766" s="7">
        <f>IF($AD766="","",U766*T766)</f>
        <v/>
      </c>
      <c r="W766">
        <f>IF($AD766="","",Settings!$C$6)</f>
        <v/>
      </c>
      <c r="X766" s="7">
        <f>IF($AD766="","",SUMIFS('Per Line'!$AB$2:$AB$3001,'Per Line'!$E$2:$E$3001,$B766,'Per Line'!$AP$2:$AP$3001,1,'Per Line'!$AQ$2:$AQ$3001,0))</f>
        <v/>
      </c>
      <c r="Y766" s="7">
        <f>IF($AD766="","",X766*W766)</f>
        <v/>
      </c>
      <c r="Z766" s="7">
        <f>IF($AD766="","",Y766+V766)</f>
        <v/>
      </c>
      <c r="AA766" s="7">
        <f>IF($AD766="","",AB766-Z766)</f>
        <v/>
      </c>
      <c r="AB766" s="7">
        <f>IF($AD766="","",U766+X766+S766)</f>
        <v/>
      </c>
      <c r="AC766" s="7">
        <f>IF($AD766="","",AB766-Z766-P766)</f>
        <v/>
      </c>
      <c r="AD766" s="13">
        <f>IF(ROWS($AD$2:$AD766)&lt;=MAX('Per Line'!$AO$2:$AO$3001),MATCH(ROWS($AD$2:$AD766),'Per Line'!$AO$2:$AO$3001,0),"")</f>
        <v/>
      </c>
      <c r="AE766" s="14">
        <f>IF($AD766="","",P766-O766*AB766/100)</f>
        <v/>
      </c>
    </row>
    <row r="767">
      <c r="A767" s="12" t="n"/>
      <c r="B767">
        <f>IF($AD767="","",INDEX('Per Line'!$E$2:$E$3001,$AD767)&amp;"")</f>
        <v/>
      </c>
      <c r="C767">
        <f>IF($AD767="","",INDEX('Per Line'!$A$2:$A$3001,$AD767)&amp;"")</f>
        <v/>
      </c>
      <c r="D767">
        <f>IF($AD767="","",INDEX('Per Line'!$C$2:$C$3001,$AD767)&amp;"")</f>
        <v/>
      </c>
      <c r="E767">
        <f>IF($AD767="","",INDEX('Per Line'!$B$2:$B$3001,$AD767))</f>
        <v/>
      </c>
      <c r="F767">
        <f>IF($AD767="","",INDEX('Per Line'!$D$2:$D$3001,$AD767)&amp;"")</f>
        <v/>
      </c>
      <c r="G767" s="11">
        <f>IF($AD767="","",INDEX('Per Line'!$G$2:$G$3001,$AD767))</f>
        <v/>
      </c>
      <c r="H767">
        <f>IF($AD767="","",INDEX('Per Line'!$J$2:$J$3001,$AD767)&amp;"")</f>
        <v/>
      </c>
      <c r="I767">
        <f>IF($AD767="","",INDEX('Per Line'!$H$2:$H$3001,$AD767)&amp;"")</f>
        <v/>
      </c>
      <c r="J767">
        <f>IF($AD767="","",INDEX('Per Line'!$F$2:$F$3001,$AD767)&amp;"")</f>
        <v/>
      </c>
      <c r="K767">
        <f>IF($AD767="","",INDEX('Per Line'!$K$2:$K$3001,$AD767)&amp;"")</f>
        <v/>
      </c>
      <c r="L767">
        <f>IF($AD767="","",INDEX('Per Line'!$L$2:$L$3001,$AD767)&amp;"")</f>
        <v/>
      </c>
      <c r="M767">
        <f>IF($AD767="","",INDEX('Per Line'!$M$2:$M$3001,$AD767)&amp;"")</f>
        <v/>
      </c>
      <c r="N767">
        <f>IF($AD767="","",INDEX('Per Line'!$AC$2:$AC$3001,$AD767)&amp;"")</f>
        <v/>
      </c>
      <c r="O767">
        <f>IF($AD767="","",INDEX('Per Line'!$P$2:$P$3001,$AD767))</f>
        <v/>
      </c>
      <c r="P767" s="7">
        <f>IF($AD767="","",IF(AND(ISNUMBER(Q767),Q767&gt;0,AB767&gt;Q767),O767*Q767/100+(AB767-Q767),O767*AB767/100))</f>
        <v/>
      </c>
      <c r="Q767">
        <f>IF($AD767="","",INDEX('Per Line'!$AG$2:$AG$3001,$AD767))</f>
        <v/>
      </c>
      <c r="R767">
        <f>IF($AD767="","",IF(AND(ISNUMBER(Q767),Q767&gt;0),AB767&gt;Q767,FALSE))</f>
        <v/>
      </c>
      <c r="S767" s="7">
        <f>IF($AD767="","",SUMIFS('Per Line'!$AB$2:$AB$3001,'Per Line'!$E$2:$E$3001,$B767,'Per Line'!$AQ$2:$AQ$3001,1))</f>
        <v/>
      </c>
      <c r="T767">
        <f>IF($AD767="","",Settings!$C$7)</f>
        <v/>
      </c>
      <c r="U767" s="7">
        <f>IF($AD767="","",SUMIFS('Per Line'!$AB$2:$AB$3001,'Per Line'!$E$2:$E$3001,$B767,'Per Line'!$AP$2:$AP$3001,0,'Per Line'!$AQ$2:$AQ$3001,0))</f>
        <v/>
      </c>
      <c r="V767" s="7">
        <f>IF($AD767="","",U767*T767)</f>
        <v/>
      </c>
      <c r="W767">
        <f>IF($AD767="","",Settings!$C$6)</f>
        <v/>
      </c>
      <c r="X767" s="7">
        <f>IF($AD767="","",SUMIFS('Per Line'!$AB$2:$AB$3001,'Per Line'!$E$2:$E$3001,$B767,'Per Line'!$AP$2:$AP$3001,1,'Per Line'!$AQ$2:$AQ$3001,0))</f>
        <v/>
      </c>
      <c r="Y767" s="7">
        <f>IF($AD767="","",X767*W767)</f>
        <v/>
      </c>
      <c r="Z767" s="7">
        <f>IF($AD767="","",Y767+V767)</f>
        <v/>
      </c>
      <c r="AA767" s="7">
        <f>IF($AD767="","",AB767-Z767)</f>
        <v/>
      </c>
      <c r="AB767" s="7">
        <f>IF($AD767="","",U767+X767+S767)</f>
        <v/>
      </c>
      <c r="AC767" s="7">
        <f>IF($AD767="","",AB767-Z767-P767)</f>
        <v/>
      </c>
      <c r="AD767" s="13">
        <f>IF(ROWS($AD$2:$AD767)&lt;=MAX('Per Line'!$AO$2:$AO$3001),MATCH(ROWS($AD$2:$AD767),'Per Line'!$AO$2:$AO$3001,0),"")</f>
        <v/>
      </c>
      <c r="AE767" s="14">
        <f>IF($AD767="","",P767-O767*AB767/100)</f>
        <v/>
      </c>
    </row>
    <row r="768">
      <c r="A768" s="12" t="n"/>
      <c r="B768">
        <f>IF($AD768="","",INDEX('Per Line'!$E$2:$E$3001,$AD768)&amp;"")</f>
        <v/>
      </c>
      <c r="C768">
        <f>IF($AD768="","",INDEX('Per Line'!$A$2:$A$3001,$AD768)&amp;"")</f>
        <v/>
      </c>
      <c r="D768">
        <f>IF($AD768="","",INDEX('Per Line'!$C$2:$C$3001,$AD768)&amp;"")</f>
        <v/>
      </c>
      <c r="E768">
        <f>IF($AD768="","",INDEX('Per Line'!$B$2:$B$3001,$AD768))</f>
        <v/>
      </c>
      <c r="F768">
        <f>IF($AD768="","",INDEX('Per Line'!$D$2:$D$3001,$AD768)&amp;"")</f>
        <v/>
      </c>
      <c r="G768" s="11">
        <f>IF($AD768="","",INDEX('Per Line'!$G$2:$G$3001,$AD768))</f>
        <v/>
      </c>
      <c r="H768">
        <f>IF($AD768="","",INDEX('Per Line'!$J$2:$J$3001,$AD768)&amp;"")</f>
        <v/>
      </c>
      <c r="I768">
        <f>IF($AD768="","",INDEX('Per Line'!$H$2:$H$3001,$AD768)&amp;"")</f>
        <v/>
      </c>
      <c r="J768">
        <f>IF($AD768="","",INDEX('Per Line'!$F$2:$F$3001,$AD768)&amp;"")</f>
        <v/>
      </c>
      <c r="K768">
        <f>IF($AD768="","",INDEX('Per Line'!$K$2:$K$3001,$AD768)&amp;"")</f>
        <v/>
      </c>
      <c r="L768">
        <f>IF($AD768="","",INDEX('Per Line'!$L$2:$L$3001,$AD768)&amp;"")</f>
        <v/>
      </c>
      <c r="M768">
        <f>IF($AD768="","",INDEX('Per Line'!$M$2:$M$3001,$AD768)&amp;"")</f>
        <v/>
      </c>
      <c r="N768">
        <f>IF($AD768="","",INDEX('Per Line'!$AC$2:$AC$3001,$AD768)&amp;"")</f>
        <v/>
      </c>
      <c r="O768">
        <f>IF($AD768="","",INDEX('Per Line'!$P$2:$P$3001,$AD768))</f>
        <v/>
      </c>
      <c r="P768" s="7">
        <f>IF($AD768="","",IF(AND(ISNUMBER(Q768),Q768&gt;0,AB768&gt;Q768),O768*Q768/100+(AB768-Q768),O768*AB768/100))</f>
        <v/>
      </c>
      <c r="Q768">
        <f>IF($AD768="","",INDEX('Per Line'!$AG$2:$AG$3001,$AD768))</f>
        <v/>
      </c>
      <c r="R768">
        <f>IF($AD768="","",IF(AND(ISNUMBER(Q768),Q768&gt;0),AB768&gt;Q768,FALSE))</f>
        <v/>
      </c>
      <c r="S768" s="7">
        <f>IF($AD768="","",SUMIFS('Per Line'!$AB$2:$AB$3001,'Per Line'!$E$2:$E$3001,$B768,'Per Line'!$AQ$2:$AQ$3001,1))</f>
        <v/>
      </c>
      <c r="T768">
        <f>IF($AD768="","",Settings!$C$7)</f>
        <v/>
      </c>
      <c r="U768" s="7">
        <f>IF($AD768="","",SUMIFS('Per Line'!$AB$2:$AB$3001,'Per Line'!$E$2:$E$3001,$B768,'Per Line'!$AP$2:$AP$3001,0,'Per Line'!$AQ$2:$AQ$3001,0))</f>
        <v/>
      </c>
      <c r="V768" s="7">
        <f>IF($AD768="","",U768*T768)</f>
        <v/>
      </c>
      <c r="W768">
        <f>IF($AD768="","",Settings!$C$6)</f>
        <v/>
      </c>
      <c r="X768" s="7">
        <f>IF($AD768="","",SUMIFS('Per Line'!$AB$2:$AB$3001,'Per Line'!$E$2:$E$3001,$B768,'Per Line'!$AP$2:$AP$3001,1,'Per Line'!$AQ$2:$AQ$3001,0))</f>
        <v/>
      </c>
      <c r="Y768" s="7">
        <f>IF($AD768="","",X768*W768)</f>
        <v/>
      </c>
      <c r="Z768" s="7">
        <f>IF($AD768="","",Y768+V768)</f>
        <v/>
      </c>
      <c r="AA768" s="7">
        <f>IF($AD768="","",AB768-Z768)</f>
        <v/>
      </c>
      <c r="AB768" s="7">
        <f>IF($AD768="","",U768+X768+S768)</f>
        <v/>
      </c>
      <c r="AC768" s="7">
        <f>IF($AD768="","",AB768-Z768-P768)</f>
        <v/>
      </c>
      <c r="AD768" s="13">
        <f>IF(ROWS($AD$2:$AD768)&lt;=MAX('Per Line'!$AO$2:$AO$3001),MATCH(ROWS($AD$2:$AD768),'Per Line'!$AO$2:$AO$3001,0),"")</f>
        <v/>
      </c>
      <c r="AE768" s="14">
        <f>IF($AD768="","",P768-O768*AB768/100)</f>
        <v/>
      </c>
    </row>
    <row r="769">
      <c r="A769" s="12" t="n"/>
      <c r="B769">
        <f>IF($AD769="","",INDEX('Per Line'!$E$2:$E$3001,$AD769)&amp;"")</f>
        <v/>
      </c>
      <c r="C769">
        <f>IF($AD769="","",INDEX('Per Line'!$A$2:$A$3001,$AD769)&amp;"")</f>
        <v/>
      </c>
      <c r="D769">
        <f>IF($AD769="","",INDEX('Per Line'!$C$2:$C$3001,$AD769)&amp;"")</f>
        <v/>
      </c>
      <c r="E769">
        <f>IF($AD769="","",INDEX('Per Line'!$B$2:$B$3001,$AD769))</f>
        <v/>
      </c>
      <c r="F769">
        <f>IF($AD769="","",INDEX('Per Line'!$D$2:$D$3001,$AD769)&amp;"")</f>
        <v/>
      </c>
      <c r="G769" s="11">
        <f>IF($AD769="","",INDEX('Per Line'!$G$2:$G$3001,$AD769))</f>
        <v/>
      </c>
      <c r="H769">
        <f>IF($AD769="","",INDEX('Per Line'!$J$2:$J$3001,$AD769)&amp;"")</f>
        <v/>
      </c>
      <c r="I769">
        <f>IF($AD769="","",INDEX('Per Line'!$H$2:$H$3001,$AD769)&amp;"")</f>
        <v/>
      </c>
      <c r="J769">
        <f>IF($AD769="","",INDEX('Per Line'!$F$2:$F$3001,$AD769)&amp;"")</f>
        <v/>
      </c>
      <c r="K769">
        <f>IF($AD769="","",INDEX('Per Line'!$K$2:$K$3001,$AD769)&amp;"")</f>
        <v/>
      </c>
      <c r="L769">
        <f>IF($AD769="","",INDEX('Per Line'!$L$2:$L$3001,$AD769)&amp;"")</f>
        <v/>
      </c>
      <c r="M769">
        <f>IF($AD769="","",INDEX('Per Line'!$M$2:$M$3001,$AD769)&amp;"")</f>
        <v/>
      </c>
      <c r="N769">
        <f>IF($AD769="","",INDEX('Per Line'!$AC$2:$AC$3001,$AD769)&amp;"")</f>
        <v/>
      </c>
      <c r="O769">
        <f>IF($AD769="","",INDEX('Per Line'!$P$2:$P$3001,$AD769))</f>
        <v/>
      </c>
      <c r="P769" s="7">
        <f>IF($AD769="","",IF(AND(ISNUMBER(Q769),Q769&gt;0,AB769&gt;Q769),O769*Q769/100+(AB769-Q769),O769*AB769/100))</f>
        <v/>
      </c>
      <c r="Q769">
        <f>IF($AD769="","",INDEX('Per Line'!$AG$2:$AG$3001,$AD769))</f>
        <v/>
      </c>
      <c r="R769">
        <f>IF($AD769="","",IF(AND(ISNUMBER(Q769),Q769&gt;0),AB769&gt;Q769,FALSE))</f>
        <v/>
      </c>
      <c r="S769" s="7">
        <f>IF($AD769="","",SUMIFS('Per Line'!$AB$2:$AB$3001,'Per Line'!$E$2:$E$3001,$B769,'Per Line'!$AQ$2:$AQ$3001,1))</f>
        <v/>
      </c>
      <c r="T769">
        <f>IF($AD769="","",Settings!$C$7)</f>
        <v/>
      </c>
      <c r="U769" s="7">
        <f>IF($AD769="","",SUMIFS('Per Line'!$AB$2:$AB$3001,'Per Line'!$E$2:$E$3001,$B769,'Per Line'!$AP$2:$AP$3001,0,'Per Line'!$AQ$2:$AQ$3001,0))</f>
        <v/>
      </c>
      <c r="V769" s="7">
        <f>IF($AD769="","",U769*T769)</f>
        <v/>
      </c>
      <c r="W769">
        <f>IF($AD769="","",Settings!$C$6)</f>
        <v/>
      </c>
      <c r="X769" s="7">
        <f>IF($AD769="","",SUMIFS('Per Line'!$AB$2:$AB$3001,'Per Line'!$E$2:$E$3001,$B769,'Per Line'!$AP$2:$AP$3001,1,'Per Line'!$AQ$2:$AQ$3001,0))</f>
        <v/>
      </c>
      <c r="Y769" s="7">
        <f>IF($AD769="","",X769*W769)</f>
        <v/>
      </c>
      <c r="Z769" s="7">
        <f>IF($AD769="","",Y769+V769)</f>
        <v/>
      </c>
      <c r="AA769" s="7">
        <f>IF($AD769="","",AB769-Z769)</f>
        <v/>
      </c>
      <c r="AB769" s="7">
        <f>IF($AD769="","",U769+X769+S769)</f>
        <v/>
      </c>
      <c r="AC769" s="7">
        <f>IF($AD769="","",AB769-Z769-P769)</f>
        <v/>
      </c>
      <c r="AD769" s="13">
        <f>IF(ROWS($AD$2:$AD769)&lt;=MAX('Per Line'!$AO$2:$AO$3001),MATCH(ROWS($AD$2:$AD769),'Per Line'!$AO$2:$AO$3001,0),"")</f>
        <v/>
      </c>
      <c r="AE769" s="14">
        <f>IF($AD769="","",P769-O769*AB769/100)</f>
        <v/>
      </c>
    </row>
    <row r="770">
      <c r="A770" s="12" t="n"/>
      <c r="B770">
        <f>IF($AD770="","",INDEX('Per Line'!$E$2:$E$3001,$AD770)&amp;"")</f>
        <v/>
      </c>
      <c r="C770">
        <f>IF($AD770="","",INDEX('Per Line'!$A$2:$A$3001,$AD770)&amp;"")</f>
        <v/>
      </c>
      <c r="D770">
        <f>IF($AD770="","",INDEX('Per Line'!$C$2:$C$3001,$AD770)&amp;"")</f>
        <v/>
      </c>
      <c r="E770">
        <f>IF($AD770="","",INDEX('Per Line'!$B$2:$B$3001,$AD770))</f>
        <v/>
      </c>
      <c r="F770">
        <f>IF($AD770="","",INDEX('Per Line'!$D$2:$D$3001,$AD770)&amp;"")</f>
        <v/>
      </c>
      <c r="G770" s="11">
        <f>IF($AD770="","",INDEX('Per Line'!$G$2:$G$3001,$AD770))</f>
        <v/>
      </c>
      <c r="H770">
        <f>IF($AD770="","",INDEX('Per Line'!$J$2:$J$3001,$AD770)&amp;"")</f>
        <v/>
      </c>
      <c r="I770">
        <f>IF($AD770="","",INDEX('Per Line'!$H$2:$H$3001,$AD770)&amp;"")</f>
        <v/>
      </c>
      <c r="J770">
        <f>IF($AD770="","",INDEX('Per Line'!$F$2:$F$3001,$AD770)&amp;"")</f>
        <v/>
      </c>
      <c r="K770">
        <f>IF($AD770="","",INDEX('Per Line'!$K$2:$K$3001,$AD770)&amp;"")</f>
        <v/>
      </c>
      <c r="L770">
        <f>IF($AD770="","",INDEX('Per Line'!$L$2:$L$3001,$AD770)&amp;"")</f>
        <v/>
      </c>
      <c r="M770">
        <f>IF($AD770="","",INDEX('Per Line'!$M$2:$M$3001,$AD770)&amp;"")</f>
        <v/>
      </c>
      <c r="N770">
        <f>IF($AD770="","",INDEX('Per Line'!$AC$2:$AC$3001,$AD770)&amp;"")</f>
        <v/>
      </c>
      <c r="O770">
        <f>IF($AD770="","",INDEX('Per Line'!$P$2:$P$3001,$AD770))</f>
        <v/>
      </c>
      <c r="P770" s="7">
        <f>IF($AD770="","",IF(AND(ISNUMBER(Q770),Q770&gt;0,AB770&gt;Q770),O770*Q770/100+(AB770-Q770),O770*AB770/100))</f>
        <v/>
      </c>
      <c r="Q770">
        <f>IF($AD770="","",INDEX('Per Line'!$AG$2:$AG$3001,$AD770))</f>
        <v/>
      </c>
      <c r="R770">
        <f>IF($AD770="","",IF(AND(ISNUMBER(Q770),Q770&gt;0),AB770&gt;Q770,FALSE))</f>
        <v/>
      </c>
      <c r="S770" s="7">
        <f>IF($AD770="","",SUMIFS('Per Line'!$AB$2:$AB$3001,'Per Line'!$E$2:$E$3001,$B770,'Per Line'!$AQ$2:$AQ$3001,1))</f>
        <v/>
      </c>
      <c r="T770">
        <f>IF($AD770="","",Settings!$C$7)</f>
        <v/>
      </c>
      <c r="U770" s="7">
        <f>IF($AD770="","",SUMIFS('Per Line'!$AB$2:$AB$3001,'Per Line'!$E$2:$E$3001,$B770,'Per Line'!$AP$2:$AP$3001,0,'Per Line'!$AQ$2:$AQ$3001,0))</f>
        <v/>
      </c>
      <c r="V770" s="7">
        <f>IF($AD770="","",U770*T770)</f>
        <v/>
      </c>
      <c r="W770">
        <f>IF($AD770="","",Settings!$C$6)</f>
        <v/>
      </c>
      <c r="X770" s="7">
        <f>IF($AD770="","",SUMIFS('Per Line'!$AB$2:$AB$3001,'Per Line'!$E$2:$E$3001,$B770,'Per Line'!$AP$2:$AP$3001,1,'Per Line'!$AQ$2:$AQ$3001,0))</f>
        <v/>
      </c>
      <c r="Y770" s="7">
        <f>IF($AD770="","",X770*W770)</f>
        <v/>
      </c>
      <c r="Z770" s="7">
        <f>IF($AD770="","",Y770+V770)</f>
        <v/>
      </c>
      <c r="AA770" s="7">
        <f>IF($AD770="","",AB770-Z770)</f>
        <v/>
      </c>
      <c r="AB770" s="7">
        <f>IF($AD770="","",U770+X770+S770)</f>
        <v/>
      </c>
      <c r="AC770" s="7">
        <f>IF($AD770="","",AB770-Z770-P770)</f>
        <v/>
      </c>
      <c r="AD770" s="13">
        <f>IF(ROWS($AD$2:$AD770)&lt;=MAX('Per Line'!$AO$2:$AO$3001),MATCH(ROWS($AD$2:$AD770),'Per Line'!$AO$2:$AO$3001,0),"")</f>
        <v/>
      </c>
      <c r="AE770" s="14">
        <f>IF($AD770="","",P770-O770*AB770/100)</f>
        <v/>
      </c>
    </row>
    <row r="771">
      <c r="A771" s="12" t="n"/>
      <c r="B771">
        <f>IF($AD771="","",INDEX('Per Line'!$E$2:$E$3001,$AD771)&amp;"")</f>
        <v/>
      </c>
      <c r="C771">
        <f>IF($AD771="","",INDEX('Per Line'!$A$2:$A$3001,$AD771)&amp;"")</f>
        <v/>
      </c>
      <c r="D771">
        <f>IF($AD771="","",INDEX('Per Line'!$C$2:$C$3001,$AD771)&amp;"")</f>
        <v/>
      </c>
      <c r="E771">
        <f>IF($AD771="","",INDEX('Per Line'!$B$2:$B$3001,$AD771))</f>
        <v/>
      </c>
      <c r="F771">
        <f>IF($AD771="","",INDEX('Per Line'!$D$2:$D$3001,$AD771)&amp;"")</f>
        <v/>
      </c>
      <c r="G771" s="11">
        <f>IF($AD771="","",INDEX('Per Line'!$G$2:$G$3001,$AD771))</f>
        <v/>
      </c>
      <c r="H771">
        <f>IF($AD771="","",INDEX('Per Line'!$J$2:$J$3001,$AD771)&amp;"")</f>
        <v/>
      </c>
      <c r="I771">
        <f>IF($AD771="","",INDEX('Per Line'!$H$2:$H$3001,$AD771)&amp;"")</f>
        <v/>
      </c>
      <c r="J771">
        <f>IF($AD771="","",INDEX('Per Line'!$F$2:$F$3001,$AD771)&amp;"")</f>
        <v/>
      </c>
      <c r="K771">
        <f>IF($AD771="","",INDEX('Per Line'!$K$2:$K$3001,$AD771)&amp;"")</f>
        <v/>
      </c>
      <c r="L771">
        <f>IF($AD771="","",INDEX('Per Line'!$L$2:$L$3001,$AD771)&amp;"")</f>
        <v/>
      </c>
      <c r="M771">
        <f>IF($AD771="","",INDEX('Per Line'!$M$2:$M$3001,$AD771)&amp;"")</f>
        <v/>
      </c>
      <c r="N771">
        <f>IF($AD771="","",INDEX('Per Line'!$AC$2:$AC$3001,$AD771)&amp;"")</f>
        <v/>
      </c>
      <c r="O771">
        <f>IF($AD771="","",INDEX('Per Line'!$P$2:$P$3001,$AD771))</f>
        <v/>
      </c>
      <c r="P771" s="7">
        <f>IF($AD771="","",IF(AND(ISNUMBER(Q771),Q771&gt;0,AB771&gt;Q771),O771*Q771/100+(AB771-Q771),O771*AB771/100))</f>
        <v/>
      </c>
      <c r="Q771">
        <f>IF($AD771="","",INDEX('Per Line'!$AG$2:$AG$3001,$AD771))</f>
        <v/>
      </c>
      <c r="R771">
        <f>IF($AD771="","",IF(AND(ISNUMBER(Q771),Q771&gt;0),AB771&gt;Q771,FALSE))</f>
        <v/>
      </c>
      <c r="S771" s="7">
        <f>IF($AD771="","",SUMIFS('Per Line'!$AB$2:$AB$3001,'Per Line'!$E$2:$E$3001,$B771,'Per Line'!$AQ$2:$AQ$3001,1))</f>
        <v/>
      </c>
      <c r="T771">
        <f>IF($AD771="","",Settings!$C$7)</f>
        <v/>
      </c>
      <c r="U771" s="7">
        <f>IF($AD771="","",SUMIFS('Per Line'!$AB$2:$AB$3001,'Per Line'!$E$2:$E$3001,$B771,'Per Line'!$AP$2:$AP$3001,0,'Per Line'!$AQ$2:$AQ$3001,0))</f>
        <v/>
      </c>
      <c r="V771" s="7">
        <f>IF($AD771="","",U771*T771)</f>
        <v/>
      </c>
      <c r="W771">
        <f>IF($AD771="","",Settings!$C$6)</f>
        <v/>
      </c>
      <c r="X771" s="7">
        <f>IF($AD771="","",SUMIFS('Per Line'!$AB$2:$AB$3001,'Per Line'!$E$2:$E$3001,$B771,'Per Line'!$AP$2:$AP$3001,1,'Per Line'!$AQ$2:$AQ$3001,0))</f>
        <v/>
      </c>
      <c r="Y771" s="7">
        <f>IF($AD771="","",X771*W771)</f>
        <v/>
      </c>
      <c r="Z771" s="7">
        <f>IF($AD771="","",Y771+V771)</f>
        <v/>
      </c>
      <c r="AA771" s="7">
        <f>IF($AD771="","",AB771-Z771)</f>
        <v/>
      </c>
      <c r="AB771" s="7">
        <f>IF($AD771="","",U771+X771+S771)</f>
        <v/>
      </c>
      <c r="AC771" s="7">
        <f>IF($AD771="","",AB771-Z771-P771)</f>
        <v/>
      </c>
      <c r="AD771" s="13">
        <f>IF(ROWS($AD$2:$AD771)&lt;=MAX('Per Line'!$AO$2:$AO$3001),MATCH(ROWS($AD$2:$AD771),'Per Line'!$AO$2:$AO$3001,0),"")</f>
        <v/>
      </c>
      <c r="AE771" s="14">
        <f>IF($AD771="","",P771-O771*AB771/100)</f>
        <v/>
      </c>
    </row>
    <row r="772">
      <c r="A772" s="12" t="n"/>
      <c r="B772">
        <f>IF($AD772="","",INDEX('Per Line'!$E$2:$E$3001,$AD772)&amp;"")</f>
        <v/>
      </c>
      <c r="C772">
        <f>IF($AD772="","",INDEX('Per Line'!$A$2:$A$3001,$AD772)&amp;"")</f>
        <v/>
      </c>
      <c r="D772">
        <f>IF($AD772="","",INDEX('Per Line'!$C$2:$C$3001,$AD772)&amp;"")</f>
        <v/>
      </c>
      <c r="E772">
        <f>IF($AD772="","",INDEX('Per Line'!$B$2:$B$3001,$AD772))</f>
        <v/>
      </c>
      <c r="F772">
        <f>IF($AD772="","",INDEX('Per Line'!$D$2:$D$3001,$AD772)&amp;"")</f>
        <v/>
      </c>
      <c r="G772" s="11">
        <f>IF($AD772="","",INDEX('Per Line'!$G$2:$G$3001,$AD772))</f>
        <v/>
      </c>
      <c r="H772">
        <f>IF($AD772="","",INDEX('Per Line'!$J$2:$J$3001,$AD772)&amp;"")</f>
        <v/>
      </c>
      <c r="I772">
        <f>IF($AD772="","",INDEX('Per Line'!$H$2:$H$3001,$AD772)&amp;"")</f>
        <v/>
      </c>
      <c r="J772">
        <f>IF($AD772="","",INDEX('Per Line'!$F$2:$F$3001,$AD772)&amp;"")</f>
        <v/>
      </c>
      <c r="K772">
        <f>IF($AD772="","",INDEX('Per Line'!$K$2:$K$3001,$AD772)&amp;"")</f>
        <v/>
      </c>
      <c r="L772">
        <f>IF($AD772="","",INDEX('Per Line'!$L$2:$L$3001,$AD772)&amp;"")</f>
        <v/>
      </c>
      <c r="M772">
        <f>IF($AD772="","",INDEX('Per Line'!$M$2:$M$3001,$AD772)&amp;"")</f>
        <v/>
      </c>
      <c r="N772">
        <f>IF($AD772="","",INDEX('Per Line'!$AC$2:$AC$3001,$AD772)&amp;"")</f>
        <v/>
      </c>
      <c r="O772">
        <f>IF($AD772="","",INDEX('Per Line'!$P$2:$P$3001,$AD772))</f>
        <v/>
      </c>
      <c r="P772" s="7">
        <f>IF($AD772="","",IF(AND(ISNUMBER(Q772),Q772&gt;0,AB772&gt;Q772),O772*Q772/100+(AB772-Q772),O772*AB772/100))</f>
        <v/>
      </c>
      <c r="Q772">
        <f>IF($AD772="","",INDEX('Per Line'!$AG$2:$AG$3001,$AD772))</f>
        <v/>
      </c>
      <c r="R772">
        <f>IF($AD772="","",IF(AND(ISNUMBER(Q772),Q772&gt;0),AB772&gt;Q772,FALSE))</f>
        <v/>
      </c>
      <c r="S772" s="7">
        <f>IF($AD772="","",SUMIFS('Per Line'!$AB$2:$AB$3001,'Per Line'!$E$2:$E$3001,$B772,'Per Line'!$AQ$2:$AQ$3001,1))</f>
        <v/>
      </c>
      <c r="T772">
        <f>IF($AD772="","",Settings!$C$7)</f>
        <v/>
      </c>
      <c r="U772" s="7">
        <f>IF($AD772="","",SUMIFS('Per Line'!$AB$2:$AB$3001,'Per Line'!$E$2:$E$3001,$B772,'Per Line'!$AP$2:$AP$3001,0,'Per Line'!$AQ$2:$AQ$3001,0))</f>
        <v/>
      </c>
      <c r="V772" s="7">
        <f>IF($AD772="","",U772*T772)</f>
        <v/>
      </c>
      <c r="W772">
        <f>IF($AD772="","",Settings!$C$6)</f>
        <v/>
      </c>
      <c r="X772" s="7">
        <f>IF($AD772="","",SUMIFS('Per Line'!$AB$2:$AB$3001,'Per Line'!$E$2:$E$3001,$B772,'Per Line'!$AP$2:$AP$3001,1,'Per Line'!$AQ$2:$AQ$3001,0))</f>
        <v/>
      </c>
      <c r="Y772" s="7">
        <f>IF($AD772="","",X772*W772)</f>
        <v/>
      </c>
      <c r="Z772" s="7">
        <f>IF($AD772="","",Y772+V772)</f>
        <v/>
      </c>
      <c r="AA772" s="7">
        <f>IF($AD772="","",AB772-Z772)</f>
        <v/>
      </c>
      <c r="AB772" s="7">
        <f>IF($AD772="","",U772+X772+S772)</f>
        <v/>
      </c>
      <c r="AC772" s="7">
        <f>IF($AD772="","",AB772-Z772-P772)</f>
        <v/>
      </c>
      <c r="AD772" s="13">
        <f>IF(ROWS($AD$2:$AD772)&lt;=MAX('Per Line'!$AO$2:$AO$3001),MATCH(ROWS($AD$2:$AD772),'Per Line'!$AO$2:$AO$3001,0),"")</f>
        <v/>
      </c>
      <c r="AE772" s="14">
        <f>IF($AD772="","",P772-O772*AB772/100)</f>
        <v/>
      </c>
    </row>
    <row r="773">
      <c r="A773" s="12" t="n"/>
      <c r="B773">
        <f>IF($AD773="","",INDEX('Per Line'!$E$2:$E$3001,$AD773)&amp;"")</f>
        <v/>
      </c>
      <c r="C773">
        <f>IF($AD773="","",INDEX('Per Line'!$A$2:$A$3001,$AD773)&amp;"")</f>
        <v/>
      </c>
      <c r="D773">
        <f>IF($AD773="","",INDEX('Per Line'!$C$2:$C$3001,$AD773)&amp;"")</f>
        <v/>
      </c>
      <c r="E773">
        <f>IF($AD773="","",INDEX('Per Line'!$B$2:$B$3001,$AD773))</f>
        <v/>
      </c>
      <c r="F773">
        <f>IF($AD773="","",INDEX('Per Line'!$D$2:$D$3001,$AD773)&amp;"")</f>
        <v/>
      </c>
      <c r="G773" s="11">
        <f>IF($AD773="","",INDEX('Per Line'!$G$2:$G$3001,$AD773))</f>
        <v/>
      </c>
      <c r="H773">
        <f>IF($AD773="","",INDEX('Per Line'!$J$2:$J$3001,$AD773)&amp;"")</f>
        <v/>
      </c>
      <c r="I773">
        <f>IF($AD773="","",INDEX('Per Line'!$H$2:$H$3001,$AD773)&amp;"")</f>
        <v/>
      </c>
      <c r="J773">
        <f>IF($AD773="","",INDEX('Per Line'!$F$2:$F$3001,$AD773)&amp;"")</f>
        <v/>
      </c>
      <c r="K773">
        <f>IF($AD773="","",INDEX('Per Line'!$K$2:$K$3001,$AD773)&amp;"")</f>
        <v/>
      </c>
      <c r="L773">
        <f>IF($AD773="","",INDEX('Per Line'!$L$2:$L$3001,$AD773)&amp;"")</f>
        <v/>
      </c>
      <c r="M773">
        <f>IF($AD773="","",INDEX('Per Line'!$M$2:$M$3001,$AD773)&amp;"")</f>
        <v/>
      </c>
      <c r="N773">
        <f>IF($AD773="","",INDEX('Per Line'!$AC$2:$AC$3001,$AD773)&amp;"")</f>
        <v/>
      </c>
      <c r="O773">
        <f>IF($AD773="","",INDEX('Per Line'!$P$2:$P$3001,$AD773))</f>
        <v/>
      </c>
      <c r="P773" s="7">
        <f>IF($AD773="","",IF(AND(ISNUMBER(Q773),Q773&gt;0,AB773&gt;Q773),O773*Q773/100+(AB773-Q773),O773*AB773/100))</f>
        <v/>
      </c>
      <c r="Q773">
        <f>IF($AD773="","",INDEX('Per Line'!$AG$2:$AG$3001,$AD773))</f>
        <v/>
      </c>
      <c r="R773">
        <f>IF($AD773="","",IF(AND(ISNUMBER(Q773),Q773&gt;0),AB773&gt;Q773,FALSE))</f>
        <v/>
      </c>
      <c r="S773" s="7">
        <f>IF($AD773="","",SUMIFS('Per Line'!$AB$2:$AB$3001,'Per Line'!$E$2:$E$3001,$B773,'Per Line'!$AQ$2:$AQ$3001,1))</f>
        <v/>
      </c>
      <c r="T773">
        <f>IF($AD773="","",Settings!$C$7)</f>
        <v/>
      </c>
      <c r="U773" s="7">
        <f>IF($AD773="","",SUMIFS('Per Line'!$AB$2:$AB$3001,'Per Line'!$E$2:$E$3001,$B773,'Per Line'!$AP$2:$AP$3001,0,'Per Line'!$AQ$2:$AQ$3001,0))</f>
        <v/>
      </c>
      <c r="V773" s="7">
        <f>IF($AD773="","",U773*T773)</f>
        <v/>
      </c>
      <c r="W773">
        <f>IF($AD773="","",Settings!$C$6)</f>
        <v/>
      </c>
      <c r="X773" s="7">
        <f>IF($AD773="","",SUMIFS('Per Line'!$AB$2:$AB$3001,'Per Line'!$E$2:$E$3001,$B773,'Per Line'!$AP$2:$AP$3001,1,'Per Line'!$AQ$2:$AQ$3001,0))</f>
        <v/>
      </c>
      <c r="Y773" s="7">
        <f>IF($AD773="","",X773*W773)</f>
        <v/>
      </c>
      <c r="Z773" s="7">
        <f>IF($AD773="","",Y773+V773)</f>
        <v/>
      </c>
      <c r="AA773" s="7">
        <f>IF($AD773="","",AB773-Z773)</f>
        <v/>
      </c>
      <c r="AB773" s="7">
        <f>IF($AD773="","",U773+X773+S773)</f>
        <v/>
      </c>
      <c r="AC773" s="7">
        <f>IF($AD773="","",AB773-Z773-P773)</f>
        <v/>
      </c>
      <c r="AD773" s="13">
        <f>IF(ROWS($AD$2:$AD773)&lt;=MAX('Per Line'!$AO$2:$AO$3001),MATCH(ROWS($AD$2:$AD773),'Per Line'!$AO$2:$AO$3001,0),"")</f>
        <v/>
      </c>
      <c r="AE773" s="14">
        <f>IF($AD773="","",P773-O773*AB773/100)</f>
        <v/>
      </c>
    </row>
    <row r="774">
      <c r="A774" s="12" t="n"/>
      <c r="B774">
        <f>IF($AD774="","",INDEX('Per Line'!$E$2:$E$3001,$AD774)&amp;"")</f>
        <v/>
      </c>
      <c r="C774">
        <f>IF($AD774="","",INDEX('Per Line'!$A$2:$A$3001,$AD774)&amp;"")</f>
        <v/>
      </c>
      <c r="D774">
        <f>IF($AD774="","",INDEX('Per Line'!$C$2:$C$3001,$AD774)&amp;"")</f>
        <v/>
      </c>
      <c r="E774">
        <f>IF($AD774="","",INDEX('Per Line'!$B$2:$B$3001,$AD774))</f>
        <v/>
      </c>
      <c r="F774">
        <f>IF($AD774="","",INDEX('Per Line'!$D$2:$D$3001,$AD774)&amp;"")</f>
        <v/>
      </c>
      <c r="G774" s="11">
        <f>IF($AD774="","",INDEX('Per Line'!$G$2:$G$3001,$AD774))</f>
        <v/>
      </c>
      <c r="H774">
        <f>IF($AD774="","",INDEX('Per Line'!$J$2:$J$3001,$AD774)&amp;"")</f>
        <v/>
      </c>
      <c r="I774">
        <f>IF($AD774="","",INDEX('Per Line'!$H$2:$H$3001,$AD774)&amp;"")</f>
        <v/>
      </c>
      <c r="J774">
        <f>IF($AD774="","",INDEX('Per Line'!$F$2:$F$3001,$AD774)&amp;"")</f>
        <v/>
      </c>
      <c r="K774">
        <f>IF($AD774="","",INDEX('Per Line'!$K$2:$K$3001,$AD774)&amp;"")</f>
        <v/>
      </c>
      <c r="L774">
        <f>IF($AD774="","",INDEX('Per Line'!$L$2:$L$3001,$AD774)&amp;"")</f>
        <v/>
      </c>
      <c r="M774">
        <f>IF($AD774="","",INDEX('Per Line'!$M$2:$M$3001,$AD774)&amp;"")</f>
        <v/>
      </c>
      <c r="N774">
        <f>IF($AD774="","",INDEX('Per Line'!$AC$2:$AC$3001,$AD774)&amp;"")</f>
        <v/>
      </c>
      <c r="O774">
        <f>IF($AD774="","",INDEX('Per Line'!$P$2:$P$3001,$AD774))</f>
        <v/>
      </c>
      <c r="P774" s="7">
        <f>IF($AD774="","",IF(AND(ISNUMBER(Q774),Q774&gt;0,AB774&gt;Q774),O774*Q774/100+(AB774-Q774),O774*AB774/100))</f>
        <v/>
      </c>
      <c r="Q774">
        <f>IF($AD774="","",INDEX('Per Line'!$AG$2:$AG$3001,$AD774))</f>
        <v/>
      </c>
      <c r="R774">
        <f>IF($AD774="","",IF(AND(ISNUMBER(Q774),Q774&gt;0),AB774&gt;Q774,FALSE))</f>
        <v/>
      </c>
      <c r="S774" s="7">
        <f>IF($AD774="","",SUMIFS('Per Line'!$AB$2:$AB$3001,'Per Line'!$E$2:$E$3001,$B774,'Per Line'!$AQ$2:$AQ$3001,1))</f>
        <v/>
      </c>
      <c r="T774">
        <f>IF($AD774="","",Settings!$C$7)</f>
        <v/>
      </c>
      <c r="U774" s="7">
        <f>IF($AD774="","",SUMIFS('Per Line'!$AB$2:$AB$3001,'Per Line'!$E$2:$E$3001,$B774,'Per Line'!$AP$2:$AP$3001,0,'Per Line'!$AQ$2:$AQ$3001,0))</f>
        <v/>
      </c>
      <c r="V774" s="7">
        <f>IF($AD774="","",U774*T774)</f>
        <v/>
      </c>
      <c r="W774">
        <f>IF($AD774="","",Settings!$C$6)</f>
        <v/>
      </c>
      <c r="X774" s="7">
        <f>IF($AD774="","",SUMIFS('Per Line'!$AB$2:$AB$3001,'Per Line'!$E$2:$E$3001,$B774,'Per Line'!$AP$2:$AP$3001,1,'Per Line'!$AQ$2:$AQ$3001,0))</f>
        <v/>
      </c>
      <c r="Y774" s="7">
        <f>IF($AD774="","",X774*W774)</f>
        <v/>
      </c>
      <c r="Z774" s="7">
        <f>IF($AD774="","",Y774+V774)</f>
        <v/>
      </c>
      <c r="AA774" s="7">
        <f>IF($AD774="","",AB774-Z774)</f>
        <v/>
      </c>
      <c r="AB774" s="7">
        <f>IF($AD774="","",U774+X774+S774)</f>
        <v/>
      </c>
      <c r="AC774" s="7">
        <f>IF($AD774="","",AB774-Z774-P774)</f>
        <v/>
      </c>
      <c r="AD774" s="13">
        <f>IF(ROWS($AD$2:$AD774)&lt;=MAX('Per Line'!$AO$2:$AO$3001),MATCH(ROWS($AD$2:$AD774),'Per Line'!$AO$2:$AO$3001,0),"")</f>
        <v/>
      </c>
      <c r="AE774" s="14">
        <f>IF($AD774="","",P774-O774*AB774/100)</f>
        <v/>
      </c>
    </row>
    <row r="775">
      <c r="A775" s="12" t="n"/>
      <c r="B775">
        <f>IF($AD775="","",INDEX('Per Line'!$E$2:$E$3001,$AD775)&amp;"")</f>
        <v/>
      </c>
      <c r="C775">
        <f>IF($AD775="","",INDEX('Per Line'!$A$2:$A$3001,$AD775)&amp;"")</f>
        <v/>
      </c>
      <c r="D775">
        <f>IF($AD775="","",INDEX('Per Line'!$C$2:$C$3001,$AD775)&amp;"")</f>
        <v/>
      </c>
      <c r="E775">
        <f>IF($AD775="","",INDEX('Per Line'!$B$2:$B$3001,$AD775))</f>
        <v/>
      </c>
      <c r="F775">
        <f>IF($AD775="","",INDEX('Per Line'!$D$2:$D$3001,$AD775)&amp;"")</f>
        <v/>
      </c>
      <c r="G775" s="11">
        <f>IF($AD775="","",INDEX('Per Line'!$G$2:$G$3001,$AD775))</f>
        <v/>
      </c>
      <c r="H775">
        <f>IF($AD775="","",INDEX('Per Line'!$J$2:$J$3001,$AD775)&amp;"")</f>
        <v/>
      </c>
      <c r="I775">
        <f>IF($AD775="","",INDEX('Per Line'!$H$2:$H$3001,$AD775)&amp;"")</f>
        <v/>
      </c>
      <c r="J775">
        <f>IF($AD775="","",INDEX('Per Line'!$F$2:$F$3001,$AD775)&amp;"")</f>
        <v/>
      </c>
      <c r="K775">
        <f>IF($AD775="","",INDEX('Per Line'!$K$2:$K$3001,$AD775)&amp;"")</f>
        <v/>
      </c>
      <c r="L775">
        <f>IF($AD775="","",INDEX('Per Line'!$L$2:$L$3001,$AD775)&amp;"")</f>
        <v/>
      </c>
      <c r="M775">
        <f>IF($AD775="","",INDEX('Per Line'!$M$2:$M$3001,$AD775)&amp;"")</f>
        <v/>
      </c>
      <c r="N775">
        <f>IF($AD775="","",INDEX('Per Line'!$AC$2:$AC$3001,$AD775)&amp;"")</f>
        <v/>
      </c>
      <c r="O775">
        <f>IF($AD775="","",INDEX('Per Line'!$P$2:$P$3001,$AD775))</f>
        <v/>
      </c>
      <c r="P775" s="7">
        <f>IF($AD775="","",IF(AND(ISNUMBER(Q775),Q775&gt;0,AB775&gt;Q775),O775*Q775/100+(AB775-Q775),O775*AB775/100))</f>
        <v/>
      </c>
      <c r="Q775">
        <f>IF($AD775="","",INDEX('Per Line'!$AG$2:$AG$3001,$AD775))</f>
        <v/>
      </c>
      <c r="R775">
        <f>IF($AD775="","",IF(AND(ISNUMBER(Q775),Q775&gt;0),AB775&gt;Q775,FALSE))</f>
        <v/>
      </c>
      <c r="S775" s="7">
        <f>IF($AD775="","",SUMIFS('Per Line'!$AB$2:$AB$3001,'Per Line'!$E$2:$E$3001,$B775,'Per Line'!$AQ$2:$AQ$3001,1))</f>
        <v/>
      </c>
      <c r="T775">
        <f>IF($AD775="","",Settings!$C$7)</f>
        <v/>
      </c>
      <c r="U775" s="7">
        <f>IF($AD775="","",SUMIFS('Per Line'!$AB$2:$AB$3001,'Per Line'!$E$2:$E$3001,$B775,'Per Line'!$AP$2:$AP$3001,0,'Per Line'!$AQ$2:$AQ$3001,0))</f>
        <v/>
      </c>
      <c r="V775" s="7">
        <f>IF($AD775="","",U775*T775)</f>
        <v/>
      </c>
      <c r="W775">
        <f>IF($AD775="","",Settings!$C$6)</f>
        <v/>
      </c>
      <c r="X775" s="7">
        <f>IF($AD775="","",SUMIFS('Per Line'!$AB$2:$AB$3001,'Per Line'!$E$2:$E$3001,$B775,'Per Line'!$AP$2:$AP$3001,1,'Per Line'!$AQ$2:$AQ$3001,0))</f>
        <v/>
      </c>
      <c r="Y775" s="7">
        <f>IF($AD775="","",X775*W775)</f>
        <v/>
      </c>
      <c r="Z775" s="7">
        <f>IF($AD775="","",Y775+V775)</f>
        <v/>
      </c>
      <c r="AA775" s="7">
        <f>IF($AD775="","",AB775-Z775)</f>
        <v/>
      </c>
      <c r="AB775" s="7">
        <f>IF($AD775="","",U775+X775+S775)</f>
        <v/>
      </c>
      <c r="AC775" s="7">
        <f>IF($AD775="","",AB775-Z775-P775)</f>
        <v/>
      </c>
      <c r="AD775" s="13">
        <f>IF(ROWS($AD$2:$AD775)&lt;=MAX('Per Line'!$AO$2:$AO$3001),MATCH(ROWS($AD$2:$AD775),'Per Line'!$AO$2:$AO$3001,0),"")</f>
        <v/>
      </c>
      <c r="AE775" s="14">
        <f>IF($AD775="","",P775-O775*AB775/100)</f>
        <v/>
      </c>
    </row>
    <row r="776">
      <c r="A776" s="12" t="n"/>
      <c r="B776">
        <f>IF($AD776="","",INDEX('Per Line'!$E$2:$E$3001,$AD776)&amp;"")</f>
        <v/>
      </c>
      <c r="C776">
        <f>IF($AD776="","",INDEX('Per Line'!$A$2:$A$3001,$AD776)&amp;"")</f>
        <v/>
      </c>
      <c r="D776">
        <f>IF($AD776="","",INDEX('Per Line'!$C$2:$C$3001,$AD776)&amp;"")</f>
        <v/>
      </c>
      <c r="E776">
        <f>IF($AD776="","",INDEX('Per Line'!$B$2:$B$3001,$AD776))</f>
        <v/>
      </c>
      <c r="F776">
        <f>IF($AD776="","",INDEX('Per Line'!$D$2:$D$3001,$AD776)&amp;"")</f>
        <v/>
      </c>
      <c r="G776" s="11">
        <f>IF($AD776="","",INDEX('Per Line'!$G$2:$G$3001,$AD776))</f>
        <v/>
      </c>
      <c r="H776">
        <f>IF($AD776="","",INDEX('Per Line'!$J$2:$J$3001,$AD776)&amp;"")</f>
        <v/>
      </c>
      <c r="I776">
        <f>IF($AD776="","",INDEX('Per Line'!$H$2:$H$3001,$AD776)&amp;"")</f>
        <v/>
      </c>
      <c r="J776">
        <f>IF($AD776="","",INDEX('Per Line'!$F$2:$F$3001,$AD776)&amp;"")</f>
        <v/>
      </c>
      <c r="K776">
        <f>IF($AD776="","",INDEX('Per Line'!$K$2:$K$3001,$AD776)&amp;"")</f>
        <v/>
      </c>
      <c r="L776">
        <f>IF($AD776="","",INDEX('Per Line'!$L$2:$L$3001,$AD776)&amp;"")</f>
        <v/>
      </c>
      <c r="M776">
        <f>IF($AD776="","",INDEX('Per Line'!$M$2:$M$3001,$AD776)&amp;"")</f>
        <v/>
      </c>
      <c r="N776">
        <f>IF($AD776="","",INDEX('Per Line'!$AC$2:$AC$3001,$AD776)&amp;"")</f>
        <v/>
      </c>
      <c r="O776">
        <f>IF($AD776="","",INDEX('Per Line'!$P$2:$P$3001,$AD776))</f>
        <v/>
      </c>
      <c r="P776" s="7">
        <f>IF($AD776="","",IF(AND(ISNUMBER(Q776),Q776&gt;0,AB776&gt;Q776),O776*Q776/100+(AB776-Q776),O776*AB776/100))</f>
        <v/>
      </c>
      <c r="Q776">
        <f>IF($AD776="","",INDEX('Per Line'!$AG$2:$AG$3001,$AD776))</f>
        <v/>
      </c>
      <c r="R776">
        <f>IF($AD776="","",IF(AND(ISNUMBER(Q776),Q776&gt;0),AB776&gt;Q776,FALSE))</f>
        <v/>
      </c>
      <c r="S776" s="7">
        <f>IF($AD776="","",SUMIFS('Per Line'!$AB$2:$AB$3001,'Per Line'!$E$2:$E$3001,$B776,'Per Line'!$AQ$2:$AQ$3001,1))</f>
        <v/>
      </c>
      <c r="T776">
        <f>IF($AD776="","",Settings!$C$7)</f>
        <v/>
      </c>
      <c r="U776" s="7">
        <f>IF($AD776="","",SUMIFS('Per Line'!$AB$2:$AB$3001,'Per Line'!$E$2:$E$3001,$B776,'Per Line'!$AP$2:$AP$3001,0,'Per Line'!$AQ$2:$AQ$3001,0))</f>
        <v/>
      </c>
      <c r="V776" s="7">
        <f>IF($AD776="","",U776*T776)</f>
        <v/>
      </c>
      <c r="W776">
        <f>IF($AD776="","",Settings!$C$6)</f>
        <v/>
      </c>
      <c r="X776" s="7">
        <f>IF($AD776="","",SUMIFS('Per Line'!$AB$2:$AB$3001,'Per Line'!$E$2:$E$3001,$B776,'Per Line'!$AP$2:$AP$3001,1,'Per Line'!$AQ$2:$AQ$3001,0))</f>
        <v/>
      </c>
      <c r="Y776" s="7">
        <f>IF($AD776="","",X776*W776)</f>
        <v/>
      </c>
      <c r="Z776" s="7">
        <f>IF($AD776="","",Y776+V776)</f>
        <v/>
      </c>
      <c r="AA776" s="7">
        <f>IF($AD776="","",AB776-Z776)</f>
        <v/>
      </c>
      <c r="AB776" s="7">
        <f>IF($AD776="","",U776+X776+S776)</f>
        <v/>
      </c>
      <c r="AC776" s="7">
        <f>IF($AD776="","",AB776-Z776-P776)</f>
        <v/>
      </c>
      <c r="AD776" s="13">
        <f>IF(ROWS($AD$2:$AD776)&lt;=MAX('Per Line'!$AO$2:$AO$3001),MATCH(ROWS($AD$2:$AD776),'Per Line'!$AO$2:$AO$3001,0),"")</f>
        <v/>
      </c>
      <c r="AE776" s="14">
        <f>IF($AD776="","",P776-O776*AB776/100)</f>
        <v/>
      </c>
    </row>
    <row r="777">
      <c r="A777" s="12" t="n"/>
      <c r="B777">
        <f>IF($AD777="","",INDEX('Per Line'!$E$2:$E$3001,$AD777)&amp;"")</f>
        <v/>
      </c>
      <c r="C777">
        <f>IF($AD777="","",INDEX('Per Line'!$A$2:$A$3001,$AD777)&amp;"")</f>
        <v/>
      </c>
      <c r="D777">
        <f>IF($AD777="","",INDEX('Per Line'!$C$2:$C$3001,$AD777)&amp;"")</f>
        <v/>
      </c>
      <c r="E777">
        <f>IF($AD777="","",INDEX('Per Line'!$B$2:$B$3001,$AD777))</f>
        <v/>
      </c>
      <c r="F777">
        <f>IF($AD777="","",INDEX('Per Line'!$D$2:$D$3001,$AD777)&amp;"")</f>
        <v/>
      </c>
      <c r="G777" s="11">
        <f>IF($AD777="","",INDEX('Per Line'!$G$2:$G$3001,$AD777))</f>
        <v/>
      </c>
      <c r="H777">
        <f>IF($AD777="","",INDEX('Per Line'!$J$2:$J$3001,$AD777)&amp;"")</f>
        <v/>
      </c>
      <c r="I777">
        <f>IF($AD777="","",INDEX('Per Line'!$H$2:$H$3001,$AD777)&amp;"")</f>
        <v/>
      </c>
      <c r="J777">
        <f>IF($AD777="","",INDEX('Per Line'!$F$2:$F$3001,$AD777)&amp;"")</f>
        <v/>
      </c>
      <c r="K777">
        <f>IF($AD777="","",INDEX('Per Line'!$K$2:$K$3001,$AD777)&amp;"")</f>
        <v/>
      </c>
      <c r="L777">
        <f>IF($AD777="","",INDEX('Per Line'!$L$2:$L$3001,$AD777)&amp;"")</f>
        <v/>
      </c>
      <c r="M777">
        <f>IF($AD777="","",INDEX('Per Line'!$M$2:$M$3001,$AD777)&amp;"")</f>
        <v/>
      </c>
      <c r="N777">
        <f>IF($AD777="","",INDEX('Per Line'!$AC$2:$AC$3001,$AD777)&amp;"")</f>
        <v/>
      </c>
      <c r="O777">
        <f>IF($AD777="","",INDEX('Per Line'!$P$2:$P$3001,$AD777))</f>
        <v/>
      </c>
      <c r="P777" s="7">
        <f>IF($AD777="","",IF(AND(ISNUMBER(Q777),Q777&gt;0,AB777&gt;Q777),O777*Q777/100+(AB777-Q777),O777*AB777/100))</f>
        <v/>
      </c>
      <c r="Q777">
        <f>IF($AD777="","",INDEX('Per Line'!$AG$2:$AG$3001,$AD777))</f>
        <v/>
      </c>
      <c r="R777">
        <f>IF($AD777="","",IF(AND(ISNUMBER(Q777),Q777&gt;0),AB777&gt;Q777,FALSE))</f>
        <v/>
      </c>
      <c r="S777" s="7">
        <f>IF($AD777="","",SUMIFS('Per Line'!$AB$2:$AB$3001,'Per Line'!$E$2:$E$3001,$B777,'Per Line'!$AQ$2:$AQ$3001,1))</f>
        <v/>
      </c>
      <c r="T777">
        <f>IF($AD777="","",Settings!$C$7)</f>
        <v/>
      </c>
      <c r="U777" s="7">
        <f>IF($AD777="","",SUMIFS('Per Line'!$AB$2:$AB$3001,'Per Line'!$E$2:$E$3001,$B777,'Per Line'!$AP$2:$AP$3001,0,'Per Line'!$AQ$2:$AQ$3001,0))</f>
        <v/>
      </c>
      <c r="V777" s="7">
        <f>IF($AD777="","",U777*T777)</f>
        <v/>
      </c>
      <c r="W777">
        <f>IF($AD777="","",Settings!$C$6)</f>
        <v/>
      </c>
      <c r="X777" s="7">
        <f>IF($AD777="","",SUMIFS('Per Line'!$AB$2:$AB$3001,'Per Line'!$E$2:$E$3001,$B777,'Per Line'!$AP$2:$AP$3001,1,'Per Line'!$AQ$2:$AQ$3001,0))</f>
        <v/>
      </c>
      <c r="Y777" s="7">
        <f>IF($AD777="","",X777*W777)</f>
        <v/>
      </c>
      <c r="Z777" s="7">
        <f>IF($AD777="","",Y777+V777)</f>
        <v/>
      </c>
      <c r="AA777" s="7">
        <f>IF($AD777="","",AB777-Z777)</f>
        <v/>
      </c>
      <c r="AB777" s="7">
        <f>IF($AD777="","",U777+X777+S777)</f>
        <v/>
      </c>
      <c r="AC777" s="7">
        <f>IF($AD777="","",AB777-Z777-P777)</f>
        <v/>
      </c>
      <c r="AD777" s="13">
        <f>IF(ROWS($AD$2:$AD777)&lt;=MAX('Per Line'!$AO$2:$AO$3001),MATCH(ROWS($AD$2:$AD777),'Per Line'!$AO$2:$AO$3001,0),"")</f>
        <v/>
      </c>
      <c r="AE777" s="14">
        <f>IF($AD777="","",P777-O777*AB777/100)</f>
        <v/>
      </c>
    </row>
    <row r="778">
      <c r="A778" s="12" t="n"/>
      <c r="B778">
        <f>IF($AD778="","",INDEX('Per Line'!$E$2:$E$3001,$AD778)&amp;"")</f>
        <v/>
      </c>
      <c r="C778">
        <f>IF($AD778="","",INDEX('Per Line'!$A$2:$A$3001,$AD778)&amp;"")</f>
        <v/>
      </c>
      <c r="D778">
        <f>IF($AD778="","",INDEX('Per Line'!$C$2:$C$3001,$AD778)&amp;"")</f>
        <v/>
      </c>
      <c r="E778">
        <f>IF($AD778="","",INDEX('Per Line'!$B$2:$B$3001,$AD778))</f>
        <v/>
      </c>
      <c r="F778">
        <f>IF($AD778="","",INDEX('Per Line'!$D$2:$D$3001,$AD778)&amp;"")</f>
        <v/>
      </c>
      <c r="G778" s="11">
        <f>IF($AD778="","",INDEX('Per Line'!$G$2:$G$3001,$AD778))</f>
        <v/>
      </c>
      <c r="H778">
        <f>IF($AD778="","",INDEX('Per Line'!$J$2:$J$3001,$AD778)&amp;"")</f>
        <v/>
      </c>
      <c r="I778">
        <f>IF($AD778="","",INDEX('Per Line'!$H$2:$H$3001,$AD778)&amp;"")</f>
        <v/>
      </c>
      <c r="J778">
        <f>IF($AD778="","",INDEX('Per Line'!$F$2:$F$3001,$AD778)&amp;"")</f>
        <v/>
      </c>
      <c r="K778">
        <f>IF($AD778="","",INDEX('Per Line'!$K$2:$K$3001,$AD778)&amp;"")</f>
        <v/>
      </c>
      <c r="L778">
        <f>IF($AD778="","",INDEX('Per Line'!$L$2:$L$3001,$AD778)&amp;"")</f>
        <v/>
      </c>
      <c r="M778">
        <f>IF($AD778="","",INDEX('Per Line'!$M$2:$M$3001,$AD778)&amp;"")</f>
        <v/>
      </c>
      <c r="N778">
        <f>IF($AD778="","",INDEX('Per Line'!$AC$2:$AC$3001,$AD778)&amp;"")</f>
        <v/>
      </c>
      <c r="O778">
        <f>IF($AD778="","",INDEX('Per Line'!$P$2:$P$3001,$AD778))</f>
        <v/>
      </c>
      <c r="P778" s="7">
        <f>IF($AD778="","",IF(AND(ISNUMBER(Q778),Q778&gt;0,AB778&gt;Q778),O778*Q778/100+(AB778-Q778),O778*AB778/100))</f>
        <v/>
      </c>
      <c r="Q778">
        <f>IF($AD778="","",INDEX('Per Line'!$AG$2:$AG$3001,$AD778))</f>
        <v/>
      </c>
      <c r="R778">
        <f>IF($AD778="","",IF(AND(ISNUMBER(Q778),Q778&gt;0),AB778&gt;Q778,FALSE))</f>
        <v/>
      </c>
      <c r="S778" s="7">
        <f>IF($AD778="","",SUMIFS('Per Line'!$AB$2:$AB$3001,'Per Line'!$E$2:$E$3001,$B778,'Per Line'!$AQ$2:$AQ$3001,1))</f>
        <v/>
      </c>
      <c r="T778">
        <f>IF($AD778="","",Settings!$C$7)</f>
        <v/>
      </c>
      <c r="U778" s="7">
        <f>IF($AD778="","",SUMIFS('Per Line'!$AB$2:$AB$3001,'Per Line'!$E$2:$E$3001,$B778,'Per Line'!$AP$2:$AP$3001,0,'Per Line'!$AQ$2:$AQ$3001,0))</f>
        <v/>
      </c>
      <c r="V778" s="7">
        <f>IF($AD778="","",U778*T778)</f>
        <v/>
      </c>
      <c r="W778">
        <f>IF($AD778="","",Settings!$C$6)</f>
        <v/>
      </c>
      <c r="X778" s="7">
        <f>IF($AD778="","",SUMIFS('Per Line'!$AB$2:$AB$3001,'Per Line'!$E$2:$E$3001,$B778,'Per Line'!$AP$2:$AP$3001,1,'Per Line'!$AQ$2:$AQ$3001,0))</f>
        <v/>
      </c>
      <c r="Y778" s="7">
        <f>IF($AD778="","",X778*W778)</f>
        <v/>
      </c>
      <c r="Z778" s="7">
        <f>IF($AD778="","",Y778+V778)</f>
        <v/>
      </c>
      <c r="AA778" s="7">
        <f>IF($AD778="","",AB778-Z778)</f>
        <v/>
      </c>
      <c r="AB778" s="7">
        <f>IF($AD778="","",U778+X778+S778)</f>
        <v/>
      </c>
      <c r="AC778" s="7">
        <f>IF($AD778="","",AB778-Z778-P778)</f>
        <v/>
      </c>
      <c r="AD778" s="13">
        <f>IF(ROWS($AD$2:$AD778)&lt;=MAX('Per Line'!$AO$2:$AO$3001),MATCH(ROWS($AD$2:$AD778),'Per Line'!$AO$2:$AO$3001,0),"")</f>
        <v/>
      </c>
      <c r="AE778" s="14">
        <f>IF($AD778="","",P778-O778*AB778/100)</f>
        <v/>
      </c>
    </row>
    <row r="779">
      <c r="A779" s="12" t="n"/>
      <c r="B779">
        <f>IF($AD779="","",INDEX('Per Line'!$E$2:$E$3001,$AD779)&amp;"")</f>
        <v/>
      </c>
      <c r="C779">
        <f>IF($AD779="","",INDEX('Per Line'!$A$2:$A$3001,$AD779)&amp;"")</f>
        <v/>
      </c>
      <c r="D779">
        <f>IF($AD779="","",INDEX('Per Line'!$C$2:$C$3001,$AD779)&amp;"")</f>
        <v/>
      </c>
      <c r="E779">
        <f>IF($AD779="","",INDEX('Per Line'!$B$2:$B$3001,$AD779))</f>
        <v/>
      </c>
      <c r="F779">
        <f>IF($AD779="","",INDEX('Per Line'!$D$2:$D$3001,$AD779)&amp;"")</f>
        <v/>
      </c>
      <c r="G779" s="11">
        <f>IF($AD779="","",INDEX('Per Line'!$G$2:$G$3001,$AD779))</f>
        <v/>
      </c>
      <c r="H779">
        <f>IF($AD779="","",INDEX('Per Line'!$J$2:$J$3001,$AD779)&amp;"")</f>
        <v/>
      </c>
      <c r="I779">
        <f>IF($AD779="","",INDEX('Per Line'!$H$2:$H$3001,$AD779)&amp;"")</f>
        <v/>
      </c>
      <c r="J779">
        <f>IF($AD779="","",INDEX('Per Line'!$F$2:$F$3001,$AD779)&amp;"")</f>
        <v/>
      </c>
      <c r="K779">
        <f>IF($AD779="","",INDEX('Per Line'!$K$2:$K$3001,$AD779)&amp;"")</f>
        <v/>
      </c>
      <c r="L779">
        <f>IF($AD779="","",INDEX('Per Line'!$L$2:$L$3001,$AD779)&amp;"")</f>
        <v/>
      </c>
      <c r="M779">
        <f>IF($AD779="","",INDEX('Per Line'!$M$2:$M$3001,$AD779)&amp;"")</f>
        <v/>
      </c>
      <c r="N779">
        <f>IF($AD779="","",INDEX('Per Line'!$AC$2:$AC$3001,$AD779)&amp;"")</f>
        <v/>
      </c>
      <c r="O779">
        <f>IF($AD779="","",INDEX('Per Line'!$P$2:$P$3001,$AD779))</f>
        <v/>
      </c>
      <c r="P779" s="7">
        <f>IF($AD779="","",IF(AND(ISNUMBER(Q779),Q779&gt;0,AB779&gt;Q779),O779*Q779/100+(AB779-Q779),O779*AB779/100))</f>
        <v/>
      </c>
      <c r="Q779">
        <f>IF($AD779="","",INDEX('Per Line'!$AG$2:$AG$3001,$AD779))</f>
        <v/>
      </c>
      <c r="R779">
        <f>IF($AD779="","",IF(AND(ISNUMBER(Q779),Q779&gt;0),AB779&gt;Q779,FALSE))</f>
        <v/>
      </c>
      <c r="S779" s="7">
        <f>IF($AD779="","",SUMIFS('Per Line'!$AB$2:$AB$3001,'Per Line'!$E$2:$E$3001,$B779,'Per Line'!$AQ$2:$AQ$3001,1))</f>
        <v/>
      </c>
      <c r="T779">
        <f>IF($AD779="","",Settings!$C$7)</f>
        <v/>
      </c>
      <c r="U779" s="7">
        <f>IF($AD779="","",SUMIFS('Per Line'!$AB$2:$AB$3001,'Per Line'!$E$2:$E$3001,$B779,'Per Line'!$AP$2:$AP$3001,0,'Per Line'!$AQ$2:$AQ$3001,0))</f>
        <v/>
      </c>
      <c r="V779" s="7">
        <f>IF($AD779="","",U779*T779)</f>
        <v/>
      </c>
      <c r="W779">
        <f>IF($AD779="","",Settings!$C$6)</f>
        <v/>
      </c>
      <c r="X779" s="7">
        <f>IF($AD779="","",SUMIFS('Per Line'!$AB$2:$AB$3001,'Per Line'!$E$2:$E$3001,$B779,'Per Line'!$AP$2:$AP$3001,1,'Per Line'!$AQ$2:$AQ$3001,0))</f>
        <v/>
      </c>
      <c r="Y779" s="7">
        <f>IF($AD779="","",X779*W779)</f>
        <v/>
      </c>
      <c r="Z779" s="7">
        <f>IF($AD779="","",Y779+V779)</f>
        <v/>
      </c>
      <c r="AA779" s="7">
        <f>IF($AD779="","",AB779-Z779)</f>
        <v/>
      </c>
      <c r="AB779" s="7">
        <f>IF($AD779="","",U779+X779+S779)</f>
        <v/>
      </c>
      <c r="AC779" s="7">
        <f>IF($AD779="","",AB779-Z779-P779)</f>
        <v/>
      </c>
      <c r="AD779" s="13">
        <f>IF(ROWS($AD$2:$AD779)&lt;=MAX('Per Line'!$AO$2:$AO$3001),MATCH(ROWS($AD$2:$AD779),'Per Line'!$AO$2:$AO$3001,0),"")</f>
        <v/>
      </c>
      <c r="AE779" s="14">
        <f>IF($AD779="","",P779-O779*AB779/100)</f>
        <v/>
      </c>
    </row>
    <row r="780">
      <c r="A780" s="12" t="n"/>
      <c r="B780">
        <f>IF($AD780="","",INDEX('Per Line'!$E$2:$E$3001,$AD780)&amp;"")</f>
        <v/>
      </c>
      <c r="C780">
        <f>IF($AD780="","",INDEX('Per Line'!$A$2:$A$3001,$AD780)&amp;"")</f>
        <v/>
      </c>
      <c r="D780">
        <f>IF($AD780="","",INDEX('Per Line'!$C$2:$C$3001,$AD780)&amp;"")</f>
        <v/>
      </c>
      <c r="E780">
        <f>IF($AD780="","",INDEX('Per Line'!$B$2:$B$3001,$AD780))</f>
        <v/>
      </c>
      <c r="F780">
        <f>IF($AD780="","",INDEX('Per Line'!$D$2:$D$3001,$AD780)&amp;"")</f>
        <v/>
      </c>
      <c r="G780" s="11">
        <f>IF($AD780="","",INDEX('Per Line'!$G$2:$G$3001,$AD780))</f>
        <v/>
      </c>
      <c r="H780">
        <f>IF($AD780="","",INDEX('Per Line'!$J$2:$J$3001,$AD780)&amp;"")</f>
        <v/>
      </c>
      <c r="I780">
        <f>IF($AD780="","",INDEX('Per Line'!$H$2:$H$3001,$AD780)&amp;"")</f>
        <v/>
      </c>
      <c r="J780">
        <f>IF($AD780="","",INDEX('Per Line'!$F$2:$F$3001,$AD780)&amp;"")</f>
        <v/>
      </c>
      <c r="K780">
        <f>IF($AD780="","",INDEX('Per Line'!$K$2:$K$3001,$AD780)&amp;"")</f>
        <v/>
      </c>
      <c r="L780">
        <f>IF($AD780="","",INDEX('Per Line'!$L$2:$L$3001,$AD780)&amp;"")</f>
        <v/>
      </c>
      <c r="M780">
        <f>IF($AD780="","",INDEX('Per Line'!$M$2:$M$3001,$AD780)&amp;"")</f>
        <v/>
      </c>
      <c r="N780">
        <f>IF($AD780="","",INDEX('Per Line'!$AC$2:$AC$3001,$AD780)&amp;"")</f>
        <v/>
      </c>
      <c r="O780">
        <f>IF($AD780="","",INDEX('Per Line'!$P$2:$P$3001,$AD780))</f>
        <v/>
      </c>
      <c r="P780" s="7">
        <f>IF($AD780="","",IF(AND(ISNUMBER(Q780),Q780&gt;0,AB780&gt;Q780),O780*Q780/100+(AB780-Q780),O780*AB780/100))</f>
        <v/>
      </c>
      <c r="Q780">
        <f>IF($AD780="","",INDEX('Per Line'!$AG$2:$AG$3001,$AD780))</f>
        <v/>
      </c>
      <c r="R780">
        <f>IF($AD780="","",IF(AND(ISNUMBER(Q780),Q780&gt;0),AB780&gt;Q780,FALSE))</f>
        <v/>
      </c>
      <c r="S780" s="7">
        <f>IF($AD780="","",SUMIFS('Per Line'!$AB$2:$AB$3001,'Per Line'!$E$2:$E$3001,$B780,'Per Line'!$AQ$2:$AQ$3001,1))</f>
        <v/>
      </c>
      <c r="T780">
        <f>IF($AD780="","",Settings!$C$7)</f>
        <v/>
      </c>
      <c r="U780" s="7">
        <f>IF($AD780="","",SUMIFS('Per Line'!$AB$2:$AB$3001,'Per Line'!$E$2:$E$3001,$B780,'Per Line'!$AP$2:$AP$3001,0,'Per Line'!$AQ$2:$AQ$3001,0))</f>
        <v/>
      </c>
      <c r="V780" s="7">
        <f>IF($AD780="","",U780*T780)</f>
        <v/>
      </c>
      <c r="W780">
        <f>IF($AD780="","",Settings!$C$6)</f>
        <v/>
      </c>
      <c r="X780" s="7">
        <f>IF($AD780="","",SUMIFS('Per Line'!$AB$2:$AB$3001,'Per Line'!$E$2:$E$3001,$B780,'Per Line'!$AP$2:$AP$3001,1,'Per Line'!$AQ$2:$AQ$3001,0))</f>
        <v/>
      </c>
      <c r="Y780" s="7">
        <f>IF($AD780="","",X780*W780)</f>
        <v/>
      </c>
      <c r="Z780" s="7">
        <f>IF($AD780="","",Y780+V780)</f>
        <v/>
      </c>
      <c r="AA780" s="7">
        <f>IF($AD780="","",AB780-Z780)</f>
        <v/>
      </c>
      <c r="AB780" s="7">
        <f>IF($AD780="","",U780+X780+S780)</f>
        <v/>
      </c>
      <c r="AC780" s="7">
        <f>IF($AD780="","",AB780-Z780-P780)</f>
        <v/>
      </c>
      <c r="AD780" s="13">
        <f>IF(ROWS($AD$2:$AD780)&lt;=MAX('Per Line'!$AO$2:$AO$3001),MATCH(ROWS($AD$2:$AD780),'Per Line'!$AO$2:$AO$3001,0),"")</f>
        <v/>
      </c>
      <c r="AE780" s="14">
        <f>IF($AD780="","",P780-O780*AB780/100)</f>
        <v/>
      </c>
    </row>
    <row r="781">
      <c r="A781" s="12" t="n"/>
      <c r="B781">
        <f>IF($AD781="","",INDEX('Per Line'!$E$2:$E$3001,$AD781)&amp;"")</f>
        <v/>
      </c>
      <c r="C781">
        <f>IF($AD781="","",INDEX('Per Line'!$A$2:$A$3001,$AD781)&amp;"")</f>
        <v/>
      </c>
      <c r="D781">
        <f>IF($AD781="","",INDEX('Per Line'!$C$2:$C$3001,$AD781)&amp;"")</f>
        <v/>
      </c>
      <c r="E781">
        <f>IF($AD781="","",INDEX('Per Line'!$B$2:$B$3001,$AD781))</f>
        <v/>
      </c>
      <c r="F781">
        <f>IF($AD781="","",INDEX('Per Line'!$D$2:$D$3001,$AD781)&amp;"")</f>
        <v/>
      </c>
      <c r="G781" s="11">
        <f>IF($AD781="","",INDEX('Per Line'!$G$2:$G$3001,$AD781))</f>
        <v/>
      </c>
      <c r="H781">
        <f>IF($AD781="","",INDEX('Per Line'!$J$2:$J$3001,$AD781)&amp;"")</f>
        <v/>
      </c>
      <c r="I781">
        <f>IF($AD781="","",INDEX('Per Line'!$H$2:$H$3001,$AD781)&amp;"")</f>
        <v/>
      </c>
      <c r="J781">
        <f>IF($AD781="","",INDEX('Per Line'!$F$2:$F$3001,$AD781)&amp;"")</f>
        <v/>
      </c>
      <c r="K781">
        <f>IF($AD781="","",INDEX('Per Line'!$K$2:$K$3001,$AD781)&amp;"")</f>
        <v/>
      </c>
      <c r="L781">
        <f>IF($AD781="","",INDEX('Per Line'!$L$2:$L$3001,$AD781)&amp;"")</f>
        <v/>
      </c>
      <c r="M781">
        <f>IF($AD781="","",INDEX('Per Line'!$M$2:$M$3001,$AD781)&amp;"")</f>
        <v/>
      </c>
      <c r="N781">
        <f>IF($AD781="","",INDEX('Per Line'!$AC$2:$AC$3001,$AD781)&amp;"")</f>
        <v/>
      </c>
      <c r="O781">
        <f>IF($AD781="","",INDEX('Per Line'!$P$2:$P$3001,$AD781))</f>
        <v/>
      </c>
      <c r="P781" s="7">
        <f>IF($AD781="","",IF(AND(ISNUMBER(Q781),Q781&gt;0,AB781&gt;Q781),O781*Q781/100+(AB781-Q781),O781*AB781/100))</f>
        <v/>
      </c>
      <c r="Q781">
        <f>IF($AD781="","",INDEX('Per Line'!$AG$2:$AG$3001,$AD781))</f>
        <v/>
      </c>
      <c r="R781">
        <f>IF($AD781="","",IF(AND(ISNUMBER(Q781),Q781&gt;0),AB781&gt;Q781,FALSE))</f>
        <v/>
      </c>
      <c r="S781" s="7">
        <f>IF($AD781="","",SUMIFS('Per Line'!$AB$2:$AB$3001,'Per Line'!$E$2:$E$3001,$B781,'Per Line'!$AQ$2:$AQ$3001,1))</f>
        <v/>
      </c>
      <c r="T781">
        <f>IF($AD781="","",Settings!$C$7)</f>
        <v/>
      </c>
      <c r="U781" s="7">
        <f>IF($AD781="","",SUMIFS('Per Line'!$AB$2:$AB$3001,'Per Line'!$E$2:$E$3001,$B781,'Per Line'!$AP$2:$AP$3001,0,'Per Line'!$AQ$2:$AQ$3001,0))</f>
        <v/>
      </c>
      <c r="V781" s="7">
        <f>IF($AD781="","",U781*T781)</f>
        <v/>
      </c>
      <c r="W781">
        <f>IF($AD781="","",Settings!$C$6)</f>
        <v/>
      </c>
      <c r="X781" s="7">
        <f>IF($AD781="","",SUMIFS('Per Line'!$AB$2:$AB$3001,'Per Line'!$E$2:$E$3001,$B781,'Per Line'!$AP$2:$AP$3001,1,'Per Line'!$AQ$2:$AQ$3001,0))</f>
        <v/>
      </c>
      <c r="Y781" s="7">
        <f>IF($AD781="","",X781*W781)</f>
        <v/>
      </c>
      <c r="Z781" s="7">
        <f>IF($AD781="","",Y781+V781)</f>
        <v/>
      </c>
      <c r="AA781" s="7">
        <f>IF($AD781="","",AB781-Z781)</f>
        <v/>
      </c>
      <c r="AB781" s="7">
        <f>IF($AD781="","",U781+X781+S781)</f>
        <v/>
      </c>
      <c r="AC781" s="7">
        <f>IF($AD781="","",AB781-Z781-P781)</f>
        <v/>
      </c>
      <c r="AD781" s="13">
        <f>IF(ROWS($AD$2:$AD781)&lt;=MAX('Per Line'!$AO$2:$AO$3001),MATCH(ROWS($AD$2:$AD781),'Per Line'!$AO$2:$AO$3001,0),"")</f>
        <v/>
      </c>
      <c r="AE781" s="14">
        <f>IF($AD781="","",P781-O781*AB781/100)</f>
        <v/>
      </c>
    </row>
    <row r="782">
      <c r="A782" s="12" t="n"/>
      <c r="B782">
        <f>IF($AD782="","",INDEX('Per Line'!$E$2:$E$3001,$AD782)&amp;"")</f>
        <v/>
      </c>
      <c r="C782">
        <f>IF($AD782="","",INDEX('Per Line'!$A$2:$A$3001,$AD782)&amp;"")</f>
        <v/>
      </c>
      <c r="D782">
        <f>IF($AD782="","",INDEX('Per Line'!$C$2:$C$3001,$AD782)&amp;"")</f>
        <v/>
      </c>
      <c r="E782">
        <f>IF($AD782="","",INDEX('Per Line'!$B$2:$B$3001,$AD782))</f>
        <v/>
      </c>
      <c r="F782">
        <f>IF($AD782="","",INDEX('Per Line'!$D$2:$D$3001,$AD782)&amp;"")</f>
        <v/>
      </c>
      <c r="G782" s="11">
        <f>IF($AD782="","",INDEX('Per Line'!$G$2:$G$3001,$AD782))</f>
        <v/>
      </c>
      <c r="H782">
        <f>IF($AD782="","",INDEX('Per Line'!$J$2:$J$3001,$AD782)&amp;"")</f>
        <v/>
      </c>
      <c r="I782">
        <f>IF($AD782="","",INDEX('Per Line'!$H$2:$H$3001,$AD782)&amp;"")</f>
        <v/>
      </c>
      <c r="J782">
        <f>IF($AD782="","",INDEX('Per Line'!$F$2:$F$3001,$AD782)&amp;"")</f>
        <v/>
      </c>
      <c r="K782">
        <f>IF($AD782="","",INDEX('Per Line'!$K$2:$K$3001,$AD782)&amp;"")</f>
        <v/>
      </c>
      <c r="L782">
        <f>IF($AD782="","",INDEX('Per Line'!$L$2:$L$3001,$AD782)&amp;"")</f>
        <v/>
      </c>
      <c r="M782">
        <f>IF($AD782="","",INDEX('Per Line'!$M$2:$M$3001,$AD782)&amp;"")</f>
        <v/>
      </c>
      <c r="N782">
        <f>IF($AD782="","",INDEX('Per Line'!$AC$2:$AC$3001,$AD782)&amp;"")</f>
        <v/>
      </c>
      <c r="O782">
        <f>IF($AD782="","",INDEX('Per Line'!$P$2:$P$3001,$AD782))</f>
        <v/>
      </c>
      <c r="P782" s="7">
        <f>IF($AD782="","",IF(AND(ISNUMBER(Q782),Q782&gt;0,AB782&gt;Q782),O782*Q782/100+(AB782-Q782),O782*AB782/100))</f>
        <v/>
      </c>
      <c r="Q782">
        <f>IF($AD782="","",INDEX('Per Line'!$AG$2:$AG$3001,$AD782))</f>
        <v/>
      </c>
      <c r="R782">
        <f>IF($AD782="","",IF(AND(ISNUMBER(Q782),Q782&gt;0),AB782&gt;Q782,FALSE))</f>
        <v/>
      </c>
      <c r="S782" s="7">
        <f>IF($AD782="","",SUMIFS('Per Line'!$AB$2:$AB$3001,'Per Line'!$E$2:$E$3001,$B782,'Per Line'!$AQ$2:$AQ$3001,1))</f>
        <v/>
      </c>
      <c r="T782">
        <f>IF($AD782="","",Settings!$C$7)</f>
        <v/>
      </c>
      <c r="U782" s="7">
        <f>IF($AD782="","",SUMIFS('Per Line'!$AB$2:$AB$3001,'Per Line'!$E$2:$E$3001,$B782,'Per Line'!$AP$2:$AP$3001,0,'Per Line'!$AQ$2:$AQ$3001,0))</f>
        <v/>
      </c>
      <c r="V782" s="7">
        <f>IF($AD782="","",U782*T782)</f>
        <v/>
      </c>
      <c r="W782">
        <f>IF($AD782="","",Settings!$C$6)</f>
        <v/>
      </c>
      <c r="X782" s="7">
        <f>IF($AD782="","",SUMIFS('Per Line'!$AB$2:$AB$3001,'Per Line'!$E$2:$E$3001,$B782,'Per Line'!$AP$2:$AP$3001,1,'Per Line'!$AQ$2:$AQ$3001,0))</f>
        <v/>
      </c>
      <c r="Y782" s="7">
        <f>IF($AD782="","",X782*W782)</f>
        <v/>
      </c>
      <c r="Z782" s="7">
        <f>IF($AD782="","",Y782+V782)</f>
        <v/>
      </c>
      <c r="AA782" s="7">
        <f>IF($AD782="","",AB782-Z782)</f>
        <v/>
      </c>
      <c r="AB782" s="7">
        <f>IF($AD782="","",U782+X782+S782)</f>
        <v/>
      </c>
      <c r="AC782" s="7">
        <f>IF($AD782="","",AB782-Z782-P782)</f>
        <v/>
      </c>
      <c r="AD782" s="13">
        <f>IF(ROWS($AD$2:$AD782)&lt;=MAX('Per Line'!$AO$2:$AO$3001),MATCH(ROWS($AD$2:$AD782),'Per Line'!$AO$2:$AO$3001,0),"")</f>
        <v/>
      </c>
      <c r="AE782" s="14">
        <f>IF($AD782="","",P782-O782*AB782/100)</f>
        <v/>
      </c>
    </row>
    <row r="783">
      <c r="A783" s="12" t="n"/>
      <c r="B783">
        <f>IF($AD783="","",INDEX('Per Line'!$E$2:$E$3001,$AD783)&amp;"")</f>
        <v/>
      </c>
      <c r="C783">
        <f>IF($AD783="","",INDEX('Per Line'!$A$2:$A$3001,$AD783)&amp;"")</f>
        <v/>
      </c>
      <c r="D783">
        <f>IF($AD783="","",INDEX('Per Line'!$C$2:$C$3001,$AD783)&amp;"")</f>
        <v/>
      </c>
      <c r="E783">
        <f>IF($AD783="","",INDEX('Per Line'!$B$2:$B$3001,$AD783))</f>
        <v/>
      </c>
      <c r="F783">
        <f>IF($AD783="","",INDEX('Per Line'!$D$2:$D$3001,$AD783)&amp;"")</f>
        <v/>
      </c>
      <c r="G783" s="11">
        <f>IF($AD783="","",INDEX('Per Line'!$G$2:$G$3001,$AD783))</f>
        <v/>
      </c>
      <c r="H783">
        <f>IF($AD783="","",INDEX('Per Line'!$J$2:$J$3001,$AD783)&amp;"")</f>
        <v/>
      </c>
      <c r="I783">
        <f>IF($AD783="","",INDEX('Per Line'!$H$2:$H$3001,$AD783)&amp;"")</f>
        <v/>
      </c>
      <c r="J783">
        <f>IF($AD783="","",INDEX('Per Line'!$F$2:$F$3001,$AD783)&amp;"")</f>
        <v/>
      </c>
      <c r="K783">
        <f>IF($AD783="","",INDEX('Per Line'!$K$2:$K$3001,$AD783)&amp;"")</f>
        <v/>
      </c>
      <c r="L783">
        <f>IF($AD783="","",INDEX('Per Line'!$L$2:$L$3001,$AD783)&amp;"")</f>
        <v/>
      </c>
      <c r="M783">
        <f>IF($AD783="","",INDEX('Per Line'!$M$2:$M$3001,$AD783)&amp;"")</f>
        <v/>
      </c>
      <c r="N783">
        <f>IF($AD783="","",INDEX('Per Line'!$AC$2:$AC$3001,$AD783)&amp;"")</f>
        <v/>
      </c>
      <c r="O783">
        <f>IF($AD783="","",INDEX('Per Line'!$P$2:$P$3001,$AD783))</f>
        <v/>
      </c>
      <c r="P783" s="7">
        <f>IF($AD783="","",IF(AND(ISNUMBER(Q783),Q783&gt;0,AB783&gt;Q783),O783*Q783/100+(AB783-Q783),O783*AB783/100))</f>
        <v/>
      </c>
      <c r="Q783">
        <f>IF($AD783="","",INDEX('Per Line'!$AG$2:$AG$3001,$AD783))</f>
        <v/>
      </c>
      <c r="R783">
        <f>IF($AD783="","",IF(AND(ISNUMBER(Q783),Q783&gt;0),AB783&gt;Q783,FALSE))</f>
        <v/>
      </c>
      <c r="S783" s="7">
        <f>IF($AD783="","",SUMIFS('Per Line'!$AB$2:$AB$3001,'Per Line'!$E$2:$E$3001,$B783,'Per Line'!$AQ$2:$AQ$3001,1))</f>
        <v/>
      </c>
      <c r="T783">
        <f>IF($AD783="","",Settings!$C$7)</f>
        <v/>
      </c>
      <c r="U783" s="7">
        <f>IF($AD783="","",SUMIFS('Per Line'!$AB$2:$AB$3001,'Per Line'!$E$2:$E$3001,$B783,'Per Line'!$AP$2:$AP$3001,0,'Per Line'!$AQ$2:$AQ$3001,0))</f>
        <v/>
      </c>
      <c r="V783" s="7">
        <f>IF($AD783="","",U783*T783)</f>
        <v/>
      </c>
      <c r="W783">
        <f>IF($AD783="","",Settings!$C$6)</f>
        <v/>
      </c>
      <c r="X783" s="7">
        <f>IF($AD783="","",SUMIFS('Per Line'!$AB$2:$AB$3001,'Per Line'!$E$2:$E$3001,$B783,'Per Line'!$AP$2:$AP$3001,1,'Per Line'!$AQ$2:$AQ$3001,0))</f>
        <v/>
      </c>
      <c r="Y783" s="7">
        <f>IF($AD783="","",X783*W783)</f>
        <v/>
      </c>
      <c r="Z783" s="7">
        <f>IF($AD783="","",Y783+V783)</f>
        <v/>
      </c>
      <c r="AA783" s="7">
        <f>IF($AD783="","",AB783-Z783)</f>
        <v/>
      </c>
      <c r="AB783" s="7">
        <f>IF($AD783="","",U783+X783+S783)</f>
        <v/>
      </c>
      <c r="AC783" s="7">
        <f>IF($AD783="","",AB783-Z783-P783)</f>
        <v/>
      </c>
      <c r="AD783" s="13">
        <f>IF(ROWS($AD$2:$AD783)&lt;=MAX('Per Line'!$AO$2:$AO$3001),MATCH(ROWS($AD$2:$AD783),'Per Line'!$AO$2:$AO$3001,0),"")</f>
        <v/>
      </c>
      <c r="AE783" s="14">
        <f>IF($AD783="","",P783-O783*AB783/100)</f>
        <v/>
      </c>
    </row>
    <row r="784">
      <c r="A784" s="12" t="n"/>
      <c r="B784">
        <f>IF($AD784="","",INDEX('Per Line'!$E$2:$E$3001,$AD784)&amp;"")</f>
        <v/>
      </c>
      <c r="C784">
        <f>IF($AD784="","",INDEX('Per Line'!$A$2:$A$3001,$AD784)&amp;"")</f>
        <v/>
      </c>
      <c r="D784">
        <f>IF($AD784="","",INDEX('Per Line'!$C$2:$C$3001,$AD784)&amp;"")</f>
        <v/>
      </c>
      <c r="E784">
        <f>IF($AD784="","",INDEX('Per Line'!$B$2:$B$3001,$AD784))</f>
        <v/>
      </c>
      <c r="F784">
        <f>IF($AD784="","",INDEX('Per Line'!$D$2:$D$3001,$AD784)&amp;"")</f>
        <v/>
      </c>
      <c r="G784" s="11">
        <f>IF($AD784="","",INDEX('Per Line'!$G$2:$G$3001,$AD784))</f>
        <v/>
      </c>
      <c r="H784">
        <f>IF($AD784="","",INDEX('Per Line'!$J$2:$J$3001,$AD784)&amp;"")</f>
        <v/>
      </c>
      <c r="I784">
        <f>IF($AD784="","",INDEX('Per Line'!$H$2:$H$3001,$AD784)&amp;"")</f>
        <v/>
      </c>
      <c r="J784">
        <f>IF($AD784="","",INDEX('Per Line'!$F$2:$F$3001,$AD784)&amp;"")</f>
        <v/>
      </c>
      <c r="K784">
        <f>IF($AD784="","",INDEX('Per Line'!$K$2:$K$3001,$AD784)&amp;"")</f>
        <v/>
      </c>
      <c r="L784">
        <f>IF($AD784="","",INDEX('Per Line'!$L$2:$L$3001,$AD784)&amp;"")</f>
        <v/>
      </c>
      <c r="M784">
        <f>IF($AD784="","",INDEX('Per Line'!$M$2:$M$3001,$AD784)&amp;"")</f>
        <v/>
      </c>
      <c r="N784">
        <f>IF($AD784="","",INDEX('Per Line'!$AC$2:$AC$3001,$AD784)&amp;"")</f>
        <v/>
      </c>
      <c r="O784">
        <f>IF($AD784="","",INDEX('Per Line'!$P$2:$P$3001,$AD784))</f>
        <v/>
      </c>
      <c r="P784" s="7">
        <f>IF($AD784="","",IF(AND(ISNUMBER(Q784),Q784&gt;0,AB784&gt;Q784),O784*Q784/100+(AB784-Q784),O784*AB784/100))</f>
        <v/>
      </c>
      <c r="Q784">
        <f>IF($AD784="","",INDEX('Per Line'!$AG$2:$AG$3001,$AD784))</f>
        <v/>
      </c>
      <c r="R784">
        <f>IF($AD784="","",IF(AND(ISNUMBER(Q784),Q784&gt;0),AB784&gt;Q784,FALSE))</f>
        <v/>
      </c>
      <c r="S784" s="7">
        <f>IF($AD784="","",SUMIFS('Per Line'!$AB$2:$AB$3001,'Per Line'!$E$2:$E$3001,$B784,'Per Line'!$AQ$2:$AQ$3001,1))</f>
        <v/>
      </c>
      <c r="T784">
        <f>IF($AD784="","",Settings!$C$7)</f>
        <v/>
      </c>
      <c r="U784" s="7">
        <f>IF($AD784="","",SUMIFS('Per Line'!$AB$2:$AB$3001,'Per Line'!$E$2:$E$3001,$B784,'Per Line'!$AP$2:$AP$3001,0,'Per Line'!$AQ$2:$AQ$3001,0))</f>
        <v/>
      </c>
      <c r="V784" s="7">
        <f>IF($AD784="","",U784*T784)</f>
        <v/>
      </c>
      <c r="W784">
        <f>IF($AD784="","",Settings!$C$6)</f>
        <v/>
      </c>
      <c r="X784" s="7">
        <f>IF($AD784="","",SUMIFS('Per Line'!$AB$2:$AB$3001,'Per Line'!$E$2:$E$3001,$B784,'Per Line'!$AP$2:$AP$3001,1,'Per Line'!$AQ$2:$AQ$3001,0))</f>
        <v/>
      </c>
      <c r="Y784" s="7">
        <f>IF($AD784="","",X784*W784)</f>
        <v/>
      </c>
      <c r="Z784" s="7">
        <f>IF($AD784="","",Y784+V784)</f>
        <v/>
      </c>
      <c r="AA784" s="7">
        <f>IF($AD784="","",AB784-Z784)</f>
        <v/>
      </c>
      <c r="AB784" s="7">
        <f>IF($AD784="","",U784+X784+S784)</f>
        <v/>
      </c>
      <c r="AC784" s="7">
        <f>IF($AD784="","",AB784-Z784-P784)</f>
        <v/>
      </c>
      <c r="AD784" s="13">
        <f>IF(ROWS($AD$2:$AD784)&lt;=MAX('Per Line'!$AO$2:$AO$3001),MATCH(ROWS($AD$2:$AD784),'Per Line'!$AO$2:$AO$3001,0),"")</f>
        <v/>
      </c>
      <c r="AE784" s="14">
        <f>IF($AD784="","",P784-O784*AB784/100)</f>
        <v/>
      </c>
    </row>
    <row r="785">
      <c r="A785" s="12" t="n"/>
      <c r="B785">
        <f>IF($AD785="","",INDEX('Per Line'!$E$2:$E$3001,$AD785)&amp;"")</f>
        <v/>
      </c>
      <c r="C785">
        <f>IF($AD785="","",INDEX('Per Line'!$A$2:$A$3001,$AD785)&amp;"")</f>
        <v/>
      </c>
      <c r="D785">
        <f>IF($AD785="","",INDEX('Per Line'!$C$2:$C$3001,$AD785)&amp;"")</f>
        <v/>
      </c>
      <c r="E785">
        <f>IF($AD785="","",INDEX('Per Line'!$B$2:$B$3001,$AD785))</f>
        <v/>
      </c>
      <c r="F785">
        <f>IF($AD785="","",INDEX('Per Line'!$D$2:$D$3001,$AD785)&amp;"")</f>
        <v/>
      </c>
      <c r="G785" s="11">
        <f>IF($AD785="","",INDEX('Per Line'!$G$2:$G$3001,$AD785))</f>
        <v/>
      </c>
      <c r="H785">
        <f>IF($AD785="","",INDEX('Per Line'!$J$2:$J$3001,$AD785)&amp;"")</f>
        <v/>
      </c>
      <c r="I785">
        <f>IF($AD785="","",INDEX('Per Line'!$H$2:$H$3001,$AD785)&amp;"")</f>
        <v/>
      </c>
      <c r="J785">
        <f>IF($AD785="","",INDEX('Per Line'!$F$2:$F$3001,$AD785)&amp;"")</f>
        <v/>
      </c>
      <c r="K785">
        <f>IF($AD785="","",INDEX('Per Line'!$K$2:$K$3001,$AD785)&amp;"")</f>
        <v/>
      </c>
      <c r="L785">
        <f>IF($AD785="","",INDEX('Per Line'!$L$2:$L$3001,$AD785)&amp;"")</f>
        <v/>
      </c>
      <c r="M785">
        <f>IF($AD785="","",INDEX('Per Line'!$M$2:$M$3001,$AD785)&amp;"")</f>
        <v/>
      </c>
      <c r="N785">
        <f>IF($AD785="","",INDEX('Per Line'!$AC$2:$AC$3001,$AD785)&amp;"")</f>
        <v/>
      </c>
      <c r="O785">
        <f>IF($AD785="","",INDEX('Per Line'!$P$2:$P$3001,$AD785))</f>
        <v/>
      </c>
      <c r="P785" s="7">
        <f>IF($AD785="","",IF(AND(ISNUMBER(Q785),Q785&gt;0,AB785&gt;Q785),O785*Q785/100+(AB785-Q785),O785*AB785/100))</f>
        <v/>
      </c>
      <c r="Q785">
        <f>IF($AD785="","",INDEX('Per Line'!$AG$2:$AG$3001,$AD785))</f>
        <v/>
      </c>
      <c r="R785">
        <f>IF($AD785="","",IF(AND(ISNUMBER(Q785),Q785&gt;0),AB785&gt;Q785,FALSE))</f>
        <v/>
      </c>
      <c r="S785" s="7">
        <f>IF($AD785="","",SUMIFS('Per Line'!$AB$2:$AB$3001,'Per Line'!$E$2:$E$3001,$B785,'Per Line'!$AQ$2:$AQ$3001,1))</f>
        <v/>
      </c>
      <c r="T785">
        <f>IF($AD785="","",Settings!$C$7)</f>
        <v/>
      </c>
      <c r="U785" s="7">
        <f>IF($AD785="","",SUMIFS('Per Line'!$AB$2:$AB$3001,'Per Line'!$E$2:$E$3001,$B785,'Per Line'!$AP$2:$AP$3001,0,'Per Line'!$AQ$2:$AQ$3001,0))</f>
        <v/>
      </c>
      <c r="V785" s="7">
        <f>IF($AD785="","",U785*T785)</f>
        <v/>
      </c>
      <c r="W785">
        <f>IF($AD785="","",Settings!$C$6)</f>
        <v/>
      </c>
      <c r="X785" s="7">
        <f>IF($AD785="","",SUMIFS('Per Line'!$AB$2:$AB$3001,'Per Line'!$E$2:$E$3001,$B785,'Per Line'!$AP$2:$AP$3001,1,'Per Line'!$AQ$2:$AQ$3001,0))</f>
        <v/>
      </c>
      <c r="Y785" s="7">
        <f>IF($AD785="","",X785*W785)</f>
        <v/>
      </c>
      <c r="Z785" s="7">
        <f>IF($AD785="","",Y785+V785)</f>
        <v/>
      </c>
      <c r="AA785" s="7">
        <f>IF($AD785="","",AB785-Z785)</f>
        <v/>
      </c>
      <c r="AB785" s="7">
        <f>IF($AD785="","",U785+X785+S785)</f>
        <v/>
      </c>
      <c r="AC785" s="7">
        <f>IF($AD785="","",AB785-Z785-P785)</f>
        <v/>
      </c>
      <c r="AD785" s="13">
        <f>IF(ROWS($AD$2:$AD785)&lt;=MAX('Per Line'!$AO$2:$AO$3001),MATCH(ROWS($AD$2:$AD785),'Per Line'!$AO$2:$AO$3001,0),"")</f>
        <v/>
      </c>
      <c r="AE785" s="14">
        <f>IF($AD785="","",P785-O785*AB785/100)</f>
        <v/>
      </c>
    </row>
    <row r="786">
      <c r="A786" s="12" t="n"/>
      <c r="B786">
        <f>IF($AD786="","",INDEX('Per Line'!$E$2:$E$3001,$AD786)&amp;"")</f>
        <v/>
      </c>
      <c r="C786">
        <f>IF($AD786="","",INDEX('Per Line'!$A$2:$A$3001,$AD786)&amp;"")</f>
        <v/>
      </c>
      <c r="D786">
        <f>IF($AD786="","",INDEX('Per Line'!$C$2:$C$3001,$AD786)&amp;"")</f>
        <v/>
      </c>
      <c r="E786">
        <f>IF($AD786="","",INDEX('Per Line'!$B$2:$B$3001,$AD786))</f>
        <v/>
      </c>
      <c r="F786">
        <f>IF($AD786="","",INDEX('Per Line'!$D$2:$D$3001,$AD786)&amp;"")</f>
        <v/>
      </c>
      <c r="G786" s="11">
        <f>IF($AD786="","",INDEX('Per Line'!$G$2:$G$3001,$AD786))</f>
        <v/>
      </c>
      <c r="H786">
        <f>IF($AD786="","",INDEX('Per Line'!$J$2:$J$3001,$AD786)&amp;"")</f>
        <v/>
      </c>
      <c r="I786">
        <f>IF($AD786="","",INDEX('Per Line'!$H$2:$H$3001,$AD786)&amp;"")</f>
        <v/>
      </c>
      <c r="J786">
        <f>IF($AD786="","",INDEX('Per Line'!$F$2:$F$3001,$AD786)&amp;"")</f>
        <v/>
      </c>
      <c r="K786">
        <f>IF($AD786="","",INDEX('Per Line'!$K$2:$K$3001,$AD786)&amp;"")</f>
        <v/>
      </c>
      <c r="L786">
        <f>IF($AD786="","",INDEX('Per Line'!$L$2:$L$3001,$AD786)&amp;"")</f>
        <v/>
      </c>
      <c r="M786">
        <f>IF($AD786="","",INDEX('Per Line'!$M$2:$M$3001,$AD786)&amp;"")</f>
        <v/>
      </c>
      <c r="N786">
        <f>IF($AD786="","",INDEX('Per Line'!$AC$2:$AC$3001,$AD786)&amp;"")</f>
        <v/>
      </c>
      <c r="O786">
        <f>IF($AD786="","",INDEX('Per Line'!$P$2:$P$3001,$AD786))</f>
        <v/>
      </c>
      <c r="P786" s="7">
        <f>IF($AD786="","",IF(AND(ISNUMBER(Q786),Q786&gt;0,AB786&gt;Q786),O786*Q786/100+(AB786-Q786),O786*AB786/100))</f>
        <v/>
      </c>
      <c r="Q786">
        <f>IF($AD786="","",INDEX('Per Line'!$AG$2:$AG$3001,$AD786))</f>
        <v/>
      </c>
      <c r="R786">
        <f>IF($AD786="","",IF(AND(ISNUMBER(Q786),Q786&gt;0),AB786&gt;Q786,FALSE))</f>
        <v/>
      </c>
      <c r="S786" s="7">
        <f>IF($AD786="","",SUMIFS('Per Line'!$AB$2:$AB$3001,'Per Line'!$E$2:$E$3001,$B786,'Per Line'!$AQ$2:$AQ$3001,1))</f>
        <v/>
      </c>
      <c r="T786">
        <f>IF($AD786="","",Settings!$C$7)</f>
        <v/>
      </c>
      <c r="U786" s="7">
        <f>IF($AD786="","",SUMIFS('Per Line'!$AB$2:$AB$3001,'Per Line'!$E$2:$E$3001,$B786,'Per Line'!$AP$2:$AP$3001,0,'Per Line'!$AQ$2:$AQ$3001,0))</f>
        <v/>
      </c>
      <c r="V786" s="7">
        <f>IF($AD786="","",U786*T786)</f>
        <v/>
      </c>
      <c r="W786">
        <f>IF($AD786="","",Settings!$C$6)</f>
        <v/>
      </c>
      <c r="X786" s="7">
        <f>IF($AD786="","",SUMIFS('Per Line'!$AB$2:$AB$3001,'Per Line'!$E$2:$E$3001,$B786,'Per Line'!$AP$2:$AP$3001,1,'Per Line'!$AQ$2:$AQ$3001,0))</f>
        <v/>
      </c>
      <c r="Y786" s="7">
        <f>IF($AD786="","",X786*W786)</f>
        <v/>
      </c>
      <c r="Z786" s="7">
        <f>IF($AD786="","",Y786+V786)</f>
        <v/>
      </c>
      <c r="AA786" s="7">
        <f>IF($AD786="","",AB786-Z786)</f>
        <v/>
      </c>
      <c r="AB786" s="7">
        <f>IF($AD786="","",U786+X786+S786)</f>
        <v/>
      </c>
      <c r="AC786" s="7">
        <f>IF($AD786="","",AB786-Z786-P786)</f>
        <v/>
      </c>
      <c r="AD786" s="13">
        <f>IF(ROWS($AD$2:$AD786)&lt;=MAX('Per Line'!$AO$2:$AO$3001),MATCH(ROWS($AD$2:$AD786),'Per Line'!$AO$2:$AO$3001,0),"")</f>
        <v/>
      </c>
      <c r="AE786" s="14">
        <f>IF($AD786="","",P786-O786*AB786/100)</f>
        <v/>
      </c>
    </row>
    <row r="787">
      <c r="A787" s="12" t="n"/>
      <c r="B787">
        <f>IF($AD787="","",INDEX('Per Line'!$E$2:$E$3001,$AD787)&amp;"")</f>
        <v/>
      </c>
      <c r="C787">
        <f>IF($AD787="","",INDEX('Per Line'!$A$2:$A$3001,$AD787)&amp;"")</f>
        <v/>
      </c>
      <c r="D787">
        <f>IF($AD787="","",INDEX('Per Line'!$C$2:$C$3001,$AD787)&amp;"")</f>
        <v/>
      </c>
      <c r="E787">
        <f>IF($AD787="","",INDEX('Per Line'!$B$2:$B$3001,$AD787))</f>
        <v/>
      </c>
      <c r="F787">
        <f>IF($AD787="","",INDEX('Per Line'!$D$2:$D$3001,$AD787)&amp;"")</f>
        <v/>
      </c>
      <c r="G787" s="11">
        <f>IF($AD787="","",INDEX('Per Line'!$G$2:$G$3001,$AD787))</f>
        <v/>
      </c>
      <c r="H787">
        <f>IF($AD787="","",INDEX('Per Line'!$J$2:$J$3001,$AD787)&amp;"")</f>
        <v/>
      </c>
      <c r="I787">
        <f>IF($AD787="","",INDEX('Per Line'!$H$2:$H$3001,$AD787)&amp;"")</f>
        <v/>
      </c>
      <c r="J787">
        <f>IF($AD787="","",INDEX('Per Line'!$F$2:$F$3001,$AD787)&amp;"")</f>
        <v/>
      </c>
      <c r="K787">
        <f>IF($AD787="","",INDEX('Per Line'!$K$2:$K$3001,$AD787)&amp;"")</f>
        <v/>
      </c>
      <c r="L787">
        <f>IF($AD787="","",INDEX('Per Line'!$L$2:$L$3001,$AD787)&amp;"")</f>
        <v/>
      </c>
      <c r="M787">
        <f>IF($AD787="","",INDEX('Per Line'!$M$2:$M$3001,$AD787)&amp;"")</f>
        <v/>
      </c>
      <c r="N787">
        <f>IF($AD787="","",INDEX('Per Line'!$AC$2:$AC$3001,$AD787)&amp;"")</f>
        <v/>
      </c>
      <c r="O787">
        <f>IF($AD787="","",INDEX('Per Line'!$P$2:$P$3001,$AD787))</f>
        <v/>
      </c>
      <c r="P787" s="7">
        <f>IF($AD787="","",IF(AND(ISNUMBER(Q787),Q787&gt;0,AB787&gt;Q787),O787*Q787/100+(AB787-Q787),O787*AB787/100))</f>
        <v/>
      </c>
      <c r="Q787">
        <f>IF($AD787="","",INDEX('Per Line'!$AG$2:$AG$3001,$AD787))</f>
        <v/>
      </c>
      <c r="R787">
        <f>IF($AD787="","",IF(AND(ISNUMBER(Q787),Q787&gt;0),AB787&gt;Q787,FALSE))</f>
        <v/>
      </c>
      <c r="S787" s="7">
        <f>IF($AD787="","",SUMIFS('Per Line'!$AB$2:$AB$3001,'Per Line'!$E$2:$E$3001,$B787,'Per Line'!$AQ$2:$AQ$3001,1))</f>
        <v/>
      </c>
      <c r="T787">
        <f>IF($AD787="","",Settings!$C$7)</f>
        <v/>
      </c>
      <c r="U787" s="7">
        <f>IF($AD787="","",SUMIFS('Per Line'!$AB$2:$AB$3001,'Per Line'!$E$2:$E$3001,$B787,'Per Line'!$AP$2:$AP$3001,0,'Per Line'!$AQ$2:$AQ$3001,0))</f>
        <v/>
      </c>
      <c r="V787" s="7">
        <f>IF($AD787="","",U787*T787)</f>
        <v/>
      </c>
      <c r="W787">
        <f>IF($AD787="","",Settings!$C$6)</f>
        <v/>
      </c>
      <c r="X787" s="7">
        <f>IF($AD787="","",SUMIFS('Per Line'!$AB$2:$AB$3001,'Per Line'!$E$2:$E$3001,$B787,'Per Line'!$AP$2:$AP$3001,1,'Per Line'!$AQ$2:$AQ$3001,0))</f>
        <v/>
      </c>
      <c r="Y787" s="7">
        <f>IF($AD787="","",X787*W787)</f>
        <v/>
      </c>
      <c r="Z787" s="7">
        <f>IF($AD787="","",Y787+V787)</f>
        <v/>
      </c>
      <c r="AA787" s="7">
        <f>IF($AD787="","",AB787-Z787)</f>
        <v/>
      </c>
      <c r="AB787" s="7">
        <f>IF($AD787="","",U787+X787+S787)</f>
        <v/>
      </c>
      <c r="AC787" s="7">
        <f>IF($AD787="","",AB787-Z787-P787)</f>
        <v/>
      </c>
      <c r="AD787" s="13">
        <f>IF(ROWS($AD$2:$AD787)&lt;=MAX('Per Line'!$AO$2:$AO$3001),MATCH(ROWS($AD$2:$AD787),'Per Line'!$AO$2:$AO$3001,0),"")</f>
        <v/>
      </c>
      <c r="AE787" s="14">
        <f>IF($AD787="","",P787-O787*AB787/100)</f>
        <v/>
      </c>
    </row>
    <row r="788">
      <c r="A788" s="12" t="n"/>
      <c r="B788">
        <f>IF($AD788="","",INDEX('Per Line'!$E$2:$E$3001,$AD788)&amp;"")</f>
        <v/>
      </c>
      <c r="C788">
        <f>IF($AD788="","",INDEX('Per Line'!$A$2:$A$3001,$AD788)&amp;"")</f>
        <v/>
      </c>
      <c r="D788">
        <f>IF($AD788="","",INDEX('Per Line'!$C$2:$C$3001,$AD788)&amp;"")</f>
        <v/>
      </c>
      <c r="E788">
        <f>IF($AD788="","",INDEX('Per Line'!$B$2:$B$3001,$AD788))</f>
        <v/>
      </c>
      <c r="F788">
        <f>IF($AD788="","",INDEX('Per Line'!$D$2:$D$3001,$AD788)&amp;"")</f>
        <v/>
      </c>
      <c r="G788" s="11">
        <f>IF($AD788="","",INDEX('Per Line'!$G$2:$G$3001,$AD788))</f>
        <v/>
      </c>
      <c r="H788">
        <f>IF($AD788="","",INDEX('Per Line'!$J$2:$J$3001,$AD788)&amp;"")</f>
        <v/>
      </c>
      <c r="I788">
        <f>IF($AD788="","",INDEX('Per Line'!$H$2:$H$3001,$AD788)&amp;"")</f>
        <v/>
      </c>
      <c r="J788">
        <f>IF($AD788="","",INDEX('Per Line'!$F$2:$F$3001,$AD788)&amp;"")</f>
        <v/>
      </c>
      <c r="K788">
        <f>IF($AD788="","",INDEX('Per Line'!$K$2:$K$3001,$AD788)&amp;"")</f>
        <v/>
      </c>
      <c r="L788">
        <f>IF($AD788="","",INDEX('Per Line'!$L$2:$L$3001,$AD788)&amp;"")</f>
        <v/>
      </c>
      <c r="M788">
        <f>IF($AD788="","",INDEX('Per Line'!$M$2:$M$3001,$AD788)&amp;"")</f>
        <v/>
      </c>
      <c r="N788">
        <f>IF($AD788="","",INDEX('Per Line'!$AC$2:$AC$3001,$AD788)&amp;"")</f>
        <v/>
      </c>
      <c r="O788">
        <f>IF($AD788="","",INDEX('Per Line'!$P$2:$P$3001,$AD788))</f>
        <v/>
      </c>
      <c r="P788" s="7">
        <f>IF($AD788="","",IF(AND(ISNUMBER(Q788),Q788&gt;0,AB788&gt;Q788),O788*Q788/100+(AB788-Q788),O788*AB788/100))</f>
        <v/>
      </c>
      <c r="Q788">
        <f>IF($AD788="","",INDEX('Per Line'!$AG$2:$AG$3001,$AD788))</f>
        <v/>
      </c>
      <c r="R788">
        <f>IF($AD788="","",IF(AND(ISNUMBER(Q788),Q788&gt;0),AB788&gt;Q788,FALSE))</f>
        <v/>
      </c>
      <c r="S788" s="7">
        <f>IF($AD788="","",SUMIFS('Per Line'!$AB$2:$AB$3001,'Per Line'!$E$2:$E$3001,$B788,'Per Line'!$AQ$2:$AQ$3001,1))</f>
        <v/>
      </c>
      <c r="T788">
        <f>IF($AD788="","",Settings!$C$7)</f>
        <v/>
      </c>
      <c r="U788" s="7">
        <f>IF($AD788="","",SUMIFS('Per Line'!$AB$2:$AB$3001,'Per Line'!$E$2:$E$3001,$B788,'Per Line'!$AP$2:$AP$3001,0,'Per Line'!$AQ$2:$AQ$3001,0))</f>
        <v/>
      </c>
      <c r="V788" s="7">
        <f>IF($AD788="","",U788*T788)</f>
        <v/>
      </c>
      <c r="W788">
        <f>IF($AD788="","",Settings!$C$6)</f>
        <v/>
      </c>
      <c r="X788" s="7">
        <f>IF($AD788="","",SUMIFS('Per Line'!$AB$2:$AB$3001,'Per Line'!$E$2:$E$3001,$B788,'Per Line'!$AP$2:$AP$3001,1,'Per Line'!$AQ$2:$AQ$3001,0))</f>
        <v/>
      </c>
      <c r="Y788" s="7">
        <f>IF($AD788="","",X788*W788)</f>
        <v/>
      </c>
      <c r="Z788" s="7">
        <f>IF($AD788="","",Y788+V788)</f>
        <v/>
      </c>
      <c r="AA788" s="7">
        <f>IF($AD788="","",AB788-Z788)</f>
        <v/>
      </c>
      <c r="AB788" s="7">
        <f>IF($AD788="","",U788+X788+S788)</f>
        <v/>
      </c>
      <c r="AC788" s="7">
        <f>IF($AD788="","",AB788-Z788-P788)</f>
        <v/>
      </c>
      <c r="AD788" s="13">
        <f>IF(ROWS($AD$2:$AD788)&lt;=MAX('Per Line'!$AO$2:$AO$3001),MATCH(ROWS($AD$2:$AD788),'Per Line'!$AO$2:$AO$3001,0),"")</f>
        <v/>
      </c>
      <c r="AE788" s="14">
        <f>IF($AD788="","",P788-O788*AB788/100)</f>
        <v/>
      </c>
    </row>
    <row r="789">
      <c r="A789" s="12" t="n"/>
      <c r="B789">
        <f>IF($AD789="","",INDEX('Per Line'!$E$2:$E$3001,$AD789)&amp;"")</f>
        <v/>
      </c>
      <c r="C789">
        <f>IF($AD789="","",INDEX('Per Line'!$A$2:$A$3001,$AD789)&amp;"")</f>
        <v/>
      </c>
      <c r="D789">
        <f>IF($AD789="","",INDEX('Per Line'!$C$2:$C$3001,$AD789)&amp;"")</f>
        <v/>
      </c>
      <c r="E789">
        <f>IF($AD789="","",INDEX('Per Line'!$B$2:$B$3001,$AD789))</f>
        <v/>
      </c>
      <c r="F789">
        <f>IF($AD789="","",INDEX('Per Line'!$D$2:$D$3001,$AD789)&amp;"")</f>
        <v/>
      </c>
      <c r="G789" s="11">
        <f>IF($AD789="","",INDEX('Per Line'!$G$2:$G$3001,$AD789))</f>
        <v/>
      </c>
      <c r="H789">
        <f>IF($AD789="","",INDEX('Per Line'!$J$2:$J$3001,$AD789)&amp;"")</f>
        <v/>
      </c>
      <c r="I789">
        <f>IF($AD789="","",INDEX('Per Line'!$H$2:$H$3001,$AD789)&amp;"")</f>
        <v/>
      </c>
      <c r="J789">
        <f>IF($AD789="","",INDEX('Per Line'!$F$2:$F$3001,$AD789)&amp;"")</f>
        <v/>
      </c>
      <c r="K789">
        <f>IF($AD789="","",INDEX('Per Line'!$K$2:$K$3001,$AD789)&amp;"")</f>
        <v/>
      </c>
      <c r="L789">
        <f>IF($AD789="","",INDEX('Per Line'!$L$2:$L$3001,$AD789)&amp;"")</f>
        <v/>
      </c>
      <c r="M789">
        <f>IF($AD789="","",INDEX('Per Line'!$M$2:$M$3001,$AD789)&amp;"")</f>
        <v/>
      </c>
      <c r="N789">
        <f>IF($AD789="","",INDEX('Per Line'!$AC$2:$AC$3001,$AD789)&amp;"")</f>
        <v/>
      </c>
      <c r="O789">
        <f>IF($AD789="","",INDEX('Per Line'!$P$2:$P$3001,$AD789))</f>
        <v/>
      </c>
      <c r="P789" s="7">
        <f>IF($AD789="","",IF(AND(ISNUMBER(Q789),Q789&gt;0,AB789&gt;Q789),O789*Q789/100+(AB789-Q789),O789*AB789/100))</f>
        <v/>
      </c>
      <c r="Q789">
        <f>IF($AD789="","",INDEX('Per Line'!$AG$2:$AG$3001,$AD789))</f>
        <v/>
      </c>
      <c r="R789">
        <f>IF($AD789="","",IF(AND(ISNUMBER(Q789),Q789&gt;0),AB789&gt;Q789,FALSE))</f>
        <v/>
      </c>
      <c r="S789" s="7">
        <f>IF($AD789="","",SUMIFS('Per Line'!$AB$2:$AB$3001,'Per Line'!$E$2:$E$3001,$B789,'Per Line'!$AQ$2:$AQ$3001,1))</f>
        <v/>
      </c>
      <c r="T789">
        <f>IF($AD789="","",Settings!$C$7)</f>
        <v/>
      </c>
      <c r="U789" s="7">
        <f>IF($AD789="","",SUMIFS('Per Line'!$AB$2:$AB$3001,'Per Line'!$E$2:$E$3001,$B789,'Per Line'!$AP$2:$AP$3001,0,'Per Line'!$AQ$2:$AQ$3001,0))</f>
        <v/>
      </c>
      <c r="V789" s="7">
        <f>IF($AD789="","",U789*T789)</f>
        <v/>
      </c>
      <c r="W789">
        <f>IF($AD789="","",Settings!$C$6)</f>
        <v/>
      </c>
      <c r="X789" s="7">
        <f>IF($AD789="","",SUMIFS('Per Line'!$AB$2:$AB$3001,'Per Line'!$E$2:$E$3001,$B789,'Per Line'!$AP$2:$AP$3001,1,'Per Line'!$AQ$2:$AQ$3001,0))</f>
        <v/>
      </c>
      <c r="Y789" s="7">
        <f>IF($AD789="","",X789*W789)</f>
        <v/>
      </c>
      <c r="Z789" s="7">
        <f>IF($AD789="","",Y789+V789)</f>
        <v/>
      </c>
      <c r="AA789" s="7">
        <f>IF($AD789="","",AB789-Z789)</f>
        <v/>
      </c>
      <c r="AB789" s="7">
        <f>IF($AD789="","",U789+X789+S789)</f>
        <v/>
      </c>
      <c r="AC789" s="7">
        <f>IF($AD789="","",AB789-Z789-P789)</f>
        <v/>
      </c>
      <c r="AD789" s="13">
        <f>IF(ROWS($AD$2:$AD789)&lt;=MAX('Per Line'!$AO$2:$AO$3001),MATCH(ROWS($AD$2:$AD789),'Per Line'!$AO$2:$AO$3001,0),"")</f>
        <v/>
      </c>
      <c r="AE789" s="14">
        <f>IF($AD789="","",P789-O789*AB789/100)</f>
        <v/>
      </c>
    </row>
    <row r="790">
      <c r="A790" s="12" t="n"/>
      <c r="B790">
        <f>IF($AD790="","",INDEX('Per Line'!$E$2:$E$3001,$AD790)&amp;"")</f>
        <v/>
      </c>
      <c r="C790">
        <f>IF($AD790="","",INDEX('Per Line'!$A$2:$A$3001,$AD790)&amp;"")</f>
        <v/>
      </c>
      <c r="D790">
        <f>IF($AD790="","",INDEX('Per Line'!$C$2:$C$3001,$AD790)&amp;"")</f>
        <v/>
      </c>
      <c r="E790">
        <f>IF($AD790="","",INDEX('Per Line'!$B$2:$B$3001,$AD790))</f>
        <v/>
      </c>
      <c r="F790">
        <f>IF($AD790="","",INDEX('Per Line'!$D$2:$D$3001,$AD790)&amp;"")</f>
        <v/>
      </c>
      <c r="G790" s="11">
        <f>IF($AD790="","",INDEX('Per Line'!$G$2:$G$3001,$AD790))</f>
        <v/>
      </c>
      <c r="H790">
        <f>IF($AD790="","",INDEX('Per Line'!$J$2:$J$3001,$AD790)&amp;"")</f>
        <v/>
      </c>
      <c r="I790">
        <f>IF($AD790="","",INDEX('Per Line'!$H$2:$H$3001,$AD790)&amp;"")</f>
        <v/>
      </c>
      <c r="J790">
        <f>IF($AD790="","",INDEX('Per Line'!$F$2:$F$3001,$AD790)&amp;"")</f>
        <v/>
      </c>
      <c r="K790">
        <f>IF($AD790="","",INDEX('Per Line'!$K$2:$K$3001,$AD790)&amp;"")</f>
        <v/>
      </c>
      <c r="L790">
        <f>IF($AD790="","",INDEX('Per Line'!$L$2:$L$3001,$AD790)&amp;"")</f>
        <v/>
      </c>
      <c r="M790">
        <f>IF($AD790="","",INDEX('Per Line'!$M$2:$M$3001,$AD790)&amp;"")</f>
        <v/>
      </c>
      <c r="N790">
        <f>IF($AD790="","",INDEX('Per Line'!$AC$2:$AC$3001,$AD790)&amp;"")</f>
        <v/>
      </c>
      <c r="O790">
        <f>IF($AD790="","",INDEX('Per Line'!$P$2:$P$3001,$AD790))</f>
        <v/>
      </c>
      <c r="P790" s="7">
        <f>IF($AD790="","",IF(AND(ISNUMBER(Q790),Q790&gt;0,AB790&gt;Q790),O790*Q790/100+(AB790-Q790),O790*AB790/100))</f>
        <v/>
      </c>
      <c r="Q790">
        <f>IF($AD790="","",INDEX('Per Line'!$AG$2:$AG$3001,$AD790))</f>
        <v/>
      </c>
      <c r="R790">
        <f>IF($AD790="","",IF(AND(ISNUMBER(Q790),Q790&gt;0),AB790&gt;Q790,FALSE))</f>
        <v/>
      </c>
      <c r="S790" s="7">
        <f>IF($AD790="","",SUMIFS('Per Line'!$AB$2:$AB$3001,'Per Line'!$E$2:$E$3001,$B790,'Per Line'!$AQ$2:$AQ$3001,1))</f>
        <v/>
      </c>
      <c r="T790">
        <f>IF($AD790="","",Settings!$C$7)</f>
        <v/>
      </c>
      <c r="U790" s="7">
        <f>IF($AD790="","",SUMIFS('Per Line'!$AB$2:$AB$3001,'Per Line'!$E$2:$E$3001,$B790,'Per Line'!$AP$2:$AP$3001,0,'Per Line'!$AQ$2:$AQ$3001,0))</f>
        <v/>
      </c>
      <c r="V790" s="7">
        <f>IF($AD790="","",U790*T790)</f>
        <v/>
      </c>
      <c r="W790">
        <f>IF($AD790="","",Settings!$C$6)</f>
        <v/>
      </c>
      <c r="X790" s="7">
        <f>IF($AD790="","",SUMIFS('Per Line'!$AB$2:$AB$3001,'Per Line'!$E$2:$E$3001,$B790,'Per Line'!$AP$2:$AP$3001,1,'Per Line'!$AQ$2:$AQ$3001,0))</f>
        <v/>
      </c>
      <c r="Y790" s="7">
        <f>IF($AD790="","",X790*W790)</f>
        <v/>
      </c>
      <c r="Z790" s="7">
        <f>IF($AD790="","",Y790+V790)</f>
        <v/>
      </c>
      <c r="AA790" s="7">
        <f>IF($AD790="","",AB790-Z790)</f>
        <v/>
      </c>
      <c r="AB790" s="7">
        <f>IF($AD790="","",U790+X790+S790)</f>
        <v/>
      </c>
      <c r="AC790" s="7">
        <f>IF($AD790="","",AB790-Z790-P790)</f>
        <v/>
      </c>
      <c r="AD790" s="13">
        <f>IF(ROWS($AD$2:$AD790)&lt;=MAX('Per Line'!$AO$2:$AO$3001),MATCH(ROWS($AD$2:$AD790),'Per Line'!$AO$2:$AO$3001,0),"")</f>
        <v/>
      </c>
      <c r="AE790" s="14">
        <f>IF($AD790="","",P790-O790*AB790/100)</f>
        <v/>
      </c>
    </row>
    <row r="791">
      <c r="A791" s="12" t="n"/>
      <c r="B791">
        <f>IF($AD791="","",INDEX('Per Line'!$E$2:$E$3001,$AD791)&amp;"")</f>
        <v/>
      </c>
      <c r="C791">
        <f>IF($AD791="","",INDEX('Per Line'!$A$2:$A$3001,$AD791)&amp;"")</f>
        <v/>
      </c>
      <c r="D791">
        <f>IF($AD791="","",INDEX('Per Line'!$C$2:$C$3001,$AD791)&amp;"")</f>
        <v/>
      </c>
      <c r="E791">
        <f>IF($AD791="","",INDEX('Per Line'!$B$2:$B$3001,$AD791))</f>
        <v/>
      </c>
      <c r="F791">
        <f>IF($AD791="","",INDEX('Per Line'!$D$2:$D$3001,$AD791)&amp;"")</f>
        <v/>
      </c>
      <c r="G791" s="11">
        <f>IF($AD791="","",INDEX('Per Line'!$G$2:$G$3001,$AD791))</f>
        <v/>
      </c>
      <c r="H791">
        <f>IF($AD791="","",INDEX('Per Line'!$J$2:$J$3001,$AD791)&amp;"")</f>
        <v/>
      </c>
      <c r="I791">
        <f>IF($AD791="","",INDEX('Per Line'!$H$2:$H$3001,$AD791)&amp;"")</f>
        <v/>
      </c>
      <c r="J791">
        <f>IF($AD791="","",INDEX('Per Line'!$F$2:$F$3001,$AD791)&amp;"")</f>
        <v/>
      </c>
      <c r="K791">
        <f>IF($AD791="","",INDEX('Per Line'!$K$2:$K$3001,$AD791)&amp;"")</f>
        <v/>
      </c>
      <c r="L791">
        <f>IF($AD791="","",INDEX('Per Line'!$L$2:$L$3001,$AD791)&amp;"")</f>
        <v/>
      </c>
      <c r="M791">
        <f>IF($AD791="","",INDEX('Per Line'!$M$2:$M$3001,$AD791)&amp;"")</f>
        <v/>
      </c>
      <c r="N791">
        <f>IF($AD791="","",INDEX('Per Line'!$AC$2:$AC$3001,$AD791)&amp;"")</f>
        <v/>
      </c>
      <c r="O791">
        <f>IF($AD791="","",INDEX('Per Line'!$P$2:$P$3001,$AD791))</f>
        <v/>
      </c>
      <c r="P791" s="7">
        <f>IF($AD791="","",IF(AND(ISNUMBER(Q791),Q791&gt;0,AB791&gt;Q791),O791*Q791/100+(AB791-Q791),O791*AB791/100))</f>
        <v/>
      </c>
      <c r="Q791">
        <f>IF($AD791="","",INDEX('Per Line'!$AG$2:$AG$3001,$AD791))</f>
        <v/>
      </c>
      <c r="R791">
        <f>IF($AD791="","",IF(AND(ISNUMBER(Q791),Q791&gt;0),AB791&gt;Q791,FALSE))</f>
        <v/>
      </c>
      <c r="S791" s="7">
        <f>IF($AD791="","",SUMIFS('Per Line'!$AB$2:$AB$3001,'Per Line'!$E$2:$E$3001,$B791,'Per Line'!$AQ$2:$AQ$3001,1))</f>
        <v/>
      </c>
      <c r="T791">
        <f>IF($AD791="","",Settings!$C$7)</f>
        <v/>
      </c>
      <c r="U791" s="7">
        <f>IF($AD791="","",SUMIFS('Per Line'!$AB$2:$AB$3001,'Per Line'!$E$2:$E$3001,$B791,'Per Line'!$AP$2:$AP$3001,0,'Per Line'!$AQ$2:$AQ$3001,0))</f>
        <v/>
      </c>
      <c r="V791" s="7">
        <f>IF($AD791="","",U791*T791)</f>
        <v/>
      </c>
      <c r="W791">
        <f>IF($AD791="","",Settings!$C$6)</f>
        <v/>
      </c>
      <c r="X791" s="7">
        <f>IF($AD791="","",SUMIFS('Per Line'!$AB$2:$AB$3001,'Per Line'!$E$2:$E$3001,$B791,'Per Line'!$AP$2:$AP$3001,1,'Per Line'!$AQ$2:$AQ$3001,0))</f>
        <v/>
      </c>
      <c r="Y791" s="7">
        <f>IF($AD791="","",X791*W791)</f>
        <v/>
      </c>
      <c r="Z791" s="7">
        <f>IF($AD791="","",Y791+V791)</f>
        <v/>
      </c>
      <c r="AA791" s="7">
        <f>IF($AD791="","",AB791-Z791)</f>
        <v/>
      </c>
      <c r="AB791" s="7">
        <f>IF($AD791="","",U791+X791+S791)</f>
        <v/>
      </c>
      <c r="AC791" s="7">
        <f>IF($AD791="","",AB791-Z791-P791)</f>
        <v/>
      </c>
      <c r="AD791" s="13">
        <f>IF(ROWS($AD$2:$AD791)&lt;=MAX('Per Line'!$AO$2:$AO$3001),MATCH(ROWS($AD$2:$AD791),'Per Line'!$AO$2:$AO$3001,0),"")</f>
        <v/>
      </c>
      <c r="AE791" s="14">
        <f>IF($AD791="","",P791-O791*AB791/100)</f>
        <v/>
      </c>
    </row>
    <row r="792">
      <c r="A792" s="12" t="n"/>
      <c r="B792">
        <f>IF($AD792="","",INDEX('Per Line'!$E$2:$E$3001,$AD792)&amp;"")</f>
        <v/>
      </c>
      <c r="C792">
        <f>IF($AD792="","",INDEX('Per Line'!$A$2:$A$3001,$AD792)&amp;"")</f>
        <v/>
      </c>
      <c r="D792">
        <f>IF($AD792="","",INDEX('Per Line'!$C$2:$C$3001,$AD792)&amp;"")</f>
        <v/>
      </c>
      <c r="E792">
        <f>IF($AD792="","",INDEX('Per Line'!$B$2:$B$3001,$AD792))</f>
        <v/>
      </c>
      <c r="F792">
        <f>IF($AD792="","",INDEX('Per Line'!$D$2:$D$3001,$AD792)&amp;"")</f>
        <v/>
      </c>
      <c r="G792" s="11">
        <f>IF($AD792="","",INDEX('Per Line'!$G$2:$G$3001,$AD792))</f>
        <v/>
      </c>
      <c r="H792">
        <f>IF($AD792="","",INDEX('Per Line'!$J$2:$J$3001,$AD792)&amp;"")</f>
        <v/>
      </c>
      <c r="I792">
        <f>IF($AD792="","",INDEX('Per Line'!$H$2:$H$3001,$AD792)&amp;"")</f>
        <v/>
      </c>
      <c r="J792">
        <f>IF($AD792="","",INDEX('Per Line'!$F$2:$F$3001,$AD792)&amp;"")</f>
        <v/>
      </c>
      <c r="K792">
        <f>IF($AD792="","",INDEX('Per Line'!$K$2:$K$3001,$AD792)&amp;"")</f>
        <v/>
      </c>
      <c r="L792">
        <f>IF($AD792="","",INDEX('Per Line'!$L$2:$L$3001,$AD792)&amp;"")</f>
        <v/>
      </c>
      <c r="M792">
        <f>IF($AD792="","",INDEX('Per Line'!$M$2:$M$3001,$AD792)&amp;"")</f>
        <v/>
      </c>
      <c r="N792">
        <f>IF($AD792="","",INDEX('Per Line'!$AC$2:$AC$3001,$AD792)&amp;"")</f>
        <v/>
      </c>
      <c r="O792">
        <f>IF($AD792="","",INDEX('Per Line'!$P$2:$P$3001,$AD792))</f>
        <v/>
      </c>
      <c r="P792" s="7">
        <f>IF($AD792="","",IF(AND(ISNUMBER(Q792),Q792&gt;0,AB792&gt;Q792),O792*Q792/100+(AB792-Q792),O792*AB792/100))</f>
        <v/>
      </c>
      <c r="Q792">
        <f>IF($AD792="","",INDEX('Per Line'!$AG$2:$AG$3001,$AD792))</f>
        <v/>
      </c>
      <c r="R792">
        <f>IF($AD792="","",IF(AND(ISNUMBER(Q792),Q792&gt;0),AB792&gt;Q792,FALSE))</f>
        <v/>
      </c>
      <c r="S792" s="7">
        <f>IF($AD792="","",SUMIFS('Per Line'!$AB$2:$AB$3001,'Per Line'!$E$2:$E$3001,$B792,'Per Line'!$AQ$2:$AQ$3001,1))</f>
        <v/>
      </c>
      <c r="T792">
        <f>IF($AD792="","",Settings!$C$7)</f>
        <v/>
      </c>
      <c r="U792" s="7">
        <f>IF($AD792="","",SUMIFS('Per Line'!$AB$2:$AB$3001,'Per Line'!$E$2:$E$3001,$B792,'Per Line'!$AP$2:$AP$3001,0,'Per Line'!$AQ$2:$AQ$3001,0))</f>
        <v/>
      </c>
      <c r="V792" s="7">
        <f>IF($AD792="","",U792*T792)</f>
        <v/>
      </c>
      <c r="W792">
        <f>IF($AD792="","",Settings!$C$6)</f>
        <v/>
      </c>
      <c r="X792" s="7">
        <f>IF($AD792="","",SUMIFS('Per Line'!$AB$2:$AB$3001,'Per Line'!$E$2:$E$3001,$B792,'Per Line'!$AP$2:$AP$3001,1,'Per Line'!$AQ$2:$AQ$3001,0))</f>
        <v/>
      </c>
      <c r="Y792" s="7">
        <f>IF($AD792="","",X792*W792)</f>
        <v/>
      </c>
      <c r="Z792" s="7">
        <f>IF($AD792="","",Y792+V792)</f>
        <v/>
      </c>
      <c r="AA792" s="7">
        <f>IF($AD792="","",AB792-Z792)</f>
        <v/>
      </c>
      <c r="AB792" s="7">
        <f>IF($AD792="","",U792+X792+S792)</f>
        <v/>
      </c>
      <c r="AC792" s="7">
        <f>IF($AD792="","",AB792-Z792-P792)</f>
        <v/>
      </c>
      <c r="AD792" s="13">
        <f>IF(ROWS($AD$2:$AD792)&lt;=MAX('Per Line'!$AO$2:$AO$3001),MATCH(ROWS($AD$2:$AD792),'Per Line'!$AO$2:$AO$3001,0),"")</f>
        <v/>
      </c>
      <c r="AE792" s="14">
        <f>IF($AD792="","",P792-O792*AB792/100)</f>
        <v/>
      </c>
    </row>
    <row r="793">
      <c r="A793" s="12" t="n"/>
      <c r="B793">
        <f>IF($AD793="","",INDEX('Per Line'!$E$2:$E$3001,$AD793)&amp;"")</f>
        <v/>
      </c>
      <c r="C793">
        <f>IF($AD793="","",INDEX('Per Line'!$A$2:$A$3001,$AD793)&amp;"")</f>
        <v/>
      </c>
      <c r="D793">
        <f>IF($AD793="","",INDEX('Per Line'!$C$2:$C$3001,$AD793)&amp;"")</f>
        <v/>
      </c>
      <c r="E793">
        <f>IF($AD793="","",INDEX('Per Line'!$B$2:$B$3001,$AD793))</f>
        <v/>
      </c>
      <c r="F793">
        <f>IF($AD793="","",INDEX('Per Line'!$D$2:$D$3001,$AD793)&amp;"")</f>
        <v/>
      </c>
      <c r="G793" s="11">
        <f>IF($AD793="","",INDEX('Per Line'!$G$2:$G$3001,$AD793))</f>
        <v/>
      </c>
      <c r="H793">
        <f>IF($AD793="","",INDEX('Per Line'!$J$2:$J$3001,$AD793)&amp;"")</f>
        <v/>
      </c>
      <c r="I793">
        <f>IF($AD793="","",INDEX('Per Line'!$H$2:$H$3001,$AD793)&amp;"")</f>
        <v/>
      </c>
      <c r="J793">
        <f>IF($AD793="","",INDEX('Per Line'!$F$2:$F$3001,$AD793)&amp;"")</f>
        <v/>
      </c>
      <c r="K793">
        <f>IF($AD793="","",INDEX('Per Line'!$K$2:$K$3001,$AD793)&amp;"")</f>
        <v/>
      </c>
      <c r="L793">
        <f>IF($AD793="","",INDEX('Per Line'!$L$2:$L$3001,$AD793)&amp;"")</f>
        <v/>
      </c>
      <c r="M793">
        <f>IF($AD793="","",INDEX('Per Line'!$M$2:$M$3001,$AD793)&amp;"")</f>
        <v/>
      </c>
      <c r="N793">
        <f>IF($AD793="","",INDEX('Per Line'!$AC$2:$AC$3001,$AD793)&amp;"")</f>
        <v/>
      </c>
      <c r="O793">
        <f>IF($AD793="","",INDEX('Per Line'!$P$2:$P$3001,$AD793))</f>
        <v/>
      </c>
      <c r="P793" s="7">
        <f>IF($AD793="","",IF(AND(ISNUMBER(Q793),Q793&gt;0,AB793&gt;Q793),O793*Q793/100+(AB793-Q793),O793*AB793/100))</f>
        <v/>
      </c>
      <c r="Q793">
        <f>IF($AD793="","",INDEX('Per Line'!$AG$2:$AG$3001,$AD793))</f>
        <v/>
      </c>
      <c r="R793">
        <f>IF($AD793="","",IF(AND(ISNUMBER(Q793),Q793&gt;0),AB793&gt;Q793,FALSE))</f>
        <v/>
      </c>
      <c r="S793" s="7">
        <f>IF($AD793="","",SUMIFS('Per Line'!$AB$2:$AB$3001,'Per Line'!$E$2:$E$3001,$B793,'Per Line'!$AQ$2:$AQ$3001,1))</f>
        <v/>
      </c>
      <c r="T793">
        <f>IF($AD793="","",Settings!$C$7)</f>
        <v/>
      </c>
      <c r="U793" s="7">
        <f>IF($AD793="","",SUMIFS('Per Line'!$AB$2:$AB$3001,'Per Line'!$E$2:$E$3001,$B793,'Per Line'!$AP$2:$AP$3001,0,'Per Line'!$AQ$2:$AQ$3001,0))</f>
        <v/>
      </c>
      <c r="V793" s="7">
        <f>IF($AD793="","",U793*T793)</f>
        <v/>
      </c>
      <c r="W793">
        <f>IF($AD793="","",Settings!$C$6)</f>
        <v/>
      </c>
      <c r="X793" s="7">
        <f>IF($AD793="","",SUMIFS('Per Line'!$AB$2:$AB$3001,'Per Line'!$E$2:$E$3001,$B793,'Per Line'!$AP$2:$AP$3001,1,'Per Line'!$AQ$2:$AQ$3001,0))</f>
        <v/>
      </c>
      <c r="Y793" s="7">
        <f>IF($AD793="","",X793*W793)</f>
        <v/>
      </c>
      <c r="Z793" s="7">
        <f>IF($AD793="","",Y793+V793)</f>
        <v/>
      </c>
      <c r="AA793" s="7">
        <f>IF($AD793="","",AB793-Z793)</f>
        <v/>
      </c>
      <c r="AB793" s="7">
        <f>IF($AD793="","",U793+X793+S793)</f>
        <v/>
      </c>
      <c r="AC793" s="7">
        <f>IF($AD793="","",AB793-Z793-P793)</f>
        <v/>
      </c>
      <c r="AD793" s="13">
        <f>IF(ROWS($AD$2:$AD793)&lt;=MAX('Per Line'!$AO$2:$AO$3001),MATCH(ROWS($AD$2:$AD793),'Per Line'!$AO$2:$AO$3001,0),"")</f>
        <v/>
      </c>
      <c r="AE793" s="14">
        <f>IF($AD793="","",P793-O793*AB793/100)</f>
        <v/>
      </c>
    </row>
    <row r="794">
      <c r="A794" s="12" t="n"/>
      <c r="B794">
        <f>IF($AD794="","",INDEX('Per Line'!$E$2:$E$3001,$AD794)&amp;"")</f>
        <v/>
      </c>
      <c r="C794">
        <f>IF($AD794="","",INDEX('Per Line'!$A$2:$A$3001,$AD794)&amp;"")</f>
        <v/>
      </c>
      <c r="D794">
        <f>IF($AD794="","",INDEX('Per Line'!$C$2:$C$3001,$AD794)&amp;"")</f>
        <v/>
      </c>
      <c r="E794">
        <f>IF($AD794="","",INDEX('Per Line'!$B$2:$B$3001,$AD794))</f>
        <v/>
      </c>
      <c r="F794">
        <f>IF($AD794="","",INDEX('Per Line'!$D$2:$D$3001,$AD794)&amp;"")</f>
        <v/>
      </c>
      <c r="G794" s="11">
        <f>IF($AD794="","",INDEX('Per Line'!$G$2:$G$3001,$AD794))</f>
        <v/>
      </c>
      <c r="H794">
        <f>IF($AD794="","",INDEX('Per Line'!$J$2:$J$3001,$AD794)&amp;"")</f>
        <v/>
      </c>
      <c r="I794">
        <f>IF($AD794="","",INDEX('Per Line'!$H$2:$H$3001,$AD794)&amp;"")</f>
        <v/>
      </c>
      <c r="J794">
        <f>IF($AD794="","",INDEX('Per Line'!$F$2:$F$3001,$AD794)&amp;"")</f>
        <v/>
      </c>
      <c r="K794">
        <f>IF($AD794="","",INDEX('Per Line'!$K$2:$K$3001,$AD794)&amp;"")</f>
        <v/>
      </c>
      <c r="L794">
        <f>IF($AD794="","",INDEX('Per Line'!$L$2:$L$3001,$AD794)&amp;"")</f>
        <v/>
      </c>
      <c r="M794">
        <f>IF($AD794="","",INDEX('Per Line'!$M$2:$M$3001,$AD794)&amp;"")</f>
        <v/>
      </c>
      <c r="N794">
        <f>IF($AD794="","",INDEX('Per Line'!$AC$2:$AC$3001,$AD794)&amp;"")</f>
        <v/>
      </c>
      <c r="O794">
        <f>IF($AD794="","",INDEX('Per Line'!$P$2:$P$3001,$AD794))</f>
        <v/>
      </c>
      <c r="P794" s="7">
        <f>IF($AD794="","",IF(AND(ISNUMBER(Q794),Q794&gt;0,AB794&gt;Q794),O794*Q794/100+(AB794-Q794),O794*AB794/100))</f>
        <v/>
      </c>
      <c r="Q794">
        <f>IF($AD794="","",INDEX('Per Line'!$AG$2:$AG$3001,$AD794))</f>
        <v/>
      </c>
      <c r="R794">
        <f>IF($AD794="","",IF(AND(ISNUMBER(Q794),Q794&gt;0),AB794&gt;Q794,FALSE))</f>
        <v/>
      </c>
      <c r="S794" s="7">
        <f>IF($AD794="","",SUMIFS('Per Line'!$AB$2:$AB$3001,'Per Line'!$E$2:$E$3001,$B794,'Per Line'!$AQ$2:$AQ$3001,1))</f>
        <v/>
      </c>
      <c r="T794">
        <f>IF($AD794="","",Settings!$C$7)</f>
        <v/>
      </c>
      <c r="U794" s="7">
        <f>IF($AD794="","",SUMIFS('Per Line'!$AB$2:$AB$3001,'Per Line'!$E$2:$E$3001,$B794,'Per Line'!$AP$2:$AP$3001,0,'Per Line'!$AQ$2:$AQ$3001,0))</f>
        <v/>
      </c>
      <c r="V794" s="7">
        <f>IF($AD794="","",U794*T794)</f>
        <v/>
      </c>
      <c r="W794">
        <f>IF($AD794="","",Settings!$C$6)</f>
        <v/>
      </c>
      <c r="X794" s="7">
        <f>IF($AD794="","",SUMIFS('Per Line'!$AB$2:$AB$3001,'Per Line'!$E$2:$E$3001,$B794,'Per Line'!$AP$2:$AP$3001,1,'Per Line'!$AQ$2:$AQ$3001,0))</f>
        <v/>
      </c>
      <c r="Y794" s="7">
        <f>IF($AD794="","",X794*W794)</f>
        <v/>
      </c>
      <c r="Z794" s="7">
        <f>IF($AD794="","",Y794+V794)</f>
        <v/>
      </c>
      <c r="AA794" s="7">
        <f>IF($AD794="","",AB794-Z794)</f>
        <v/>
      </c>
      <c r="AB794" s="7">
        <f>IF($AD794="","",U794+X794+S794)</f>
        <v/>
      </c>
      <c r="AC794" s="7">
        <f>IF($AD794="","",AB794-Z794-P794)</f>
        <v/>
      </c>
      <c r="AD794" s="13">
        <f>IF(ROWS($AD$2:$AD794)&lt;=MAX('Per Line'!$AO$2:$AO$3001),MATCH(ROWS($AD$2:$AD794),'Per Line'!$AO$2:$AO$3001,0),"")</f>
        <v/>
      </c>
      <c r="AE794" s="14">
        <f>IF($AD794="","",P794-O794*AB794/100)</f>
        <v/>
      </c>
    </row>
    <row r="795">
      <c r="A795" s="12" t="n"/>
      <c r="B795">
        <f>IF($AD795="","",INDEX('Per Line'!$E$2:$E$3001,$AD795)&amp;"")</f>
        <v/>
      </c>
      <c r="C795">
        <f>IF($AD795="","",INDEX('Per Line'!$A$2:$A$3001,$AD795)&amp;"")</f>
        <v/>
      </c>
      <c r="D795">
        <f>IF($AD795="","",INDEX('Per Line'!$C$2:$C$3001,$AD795)&amp;"")</f>
        <v/>
      </c>
      <c r="E795">
        <f>IF($AD795="","",INDEX('Per Line'!$B$2:$B$3001,$AD795))</f>
        <v/>
      </c>
      <c r="F795">
        <f>IF($AD795="","",INDEX('Per Line'!$D$2:$D$3001,$AD795)&amp;"")</f>
        <v/>
      </c>
      <c r="G795" s="11">
        <f>IF($AD795="","",INDEX('Per Line'!$G$2:$G$3001,$AD795))</f>
        <v/>
      </c>
      <c r="H795">
        <f>IF($AD795="","",INDEX('Per Line'!$J$2:$J$3001,$AD795)&amp;"")</f>
        <v/>
      </c>
      <c r="I795">
        <f>IF($AD795="","",INDEX('Per Line'!$H$2:$H$3001,$AD795)&amp;"")</f>
        <v/>
      </c>
      <c r="J795">
        <f>IF($AD795="","",INDEX('Per Line'!$F$2:$F$3001,$AD795)&amp;"")</f>
        <v/>
      </c>
      <c r="K795">
        <f>IF($AD795="","",INDEX('Per Line'!$K$2:$K$3001,$AD795)&amp;"")</f>
        <v/>
      </c>
      <c r="L795">
        <f>IF($AD795="","",INDEX('Per Line'!$L$2:$L$3001,$AD795)&amp;"")</f>
        <v/>
      </c>
      <c r="M795">
        <f>IF($AD795="","",INDEX('Per Line'!$M$2:$M$3001,$AD795)&amp;"")</f>
        <v/>
      </c>
      <c r="N795">
        <f>IF($AD795="","",INDEX('Per Line'!$AC$2:$AC$3001,$AD795)&amp;"")</f>
        <v/>
      </c>
      <c r="O795">
        <f>IF($AD795="","",INDEX('Per Line'!$P$2:$P$3001,$AD795))</f>
        <v/>
      </c>
      <c r="P795" s="7">
        <f>IF($AD795="","",IF(AND(ISNUMBER(Q795),Q795&gt;0,AB795&gt;Q795),O795*Q795/100+(AB795-Q795),O795*AB795/100))</f>
        <v/>
      </c>
      <c r="Q795">
        <f>IF($AD795="","",INDEX('Per Line'!$AG$2:$AG$3001,$AD795))</f>
        <v/>
      </c>
      <c r="R795">
        <f>IF($AD795="","",IF(AND(ISNUMBER(Q795),Q795&gt;0),AB795&gt;Q795,FALSE))</f>
        <v/>
      </c>
      <c r="S795" s="7">
        <f>IF($AD795="","",SUMIFS('Per Line'!$AB$2:$AB$3001,'Per Line'!$E$2:$E$3001,$B795,'Per Line'!$AQ$2:$AQ$3001,1))</f>
        <v/>
      </c>
      <c r="T795">
        <f>IF($AD795="","",Settings!$C$7)</f>
        <v/>
      </c>
      <c r="U795" s="7">
        <f>IF($AD795="","",SUMIFS('Per Line'!$AB$2:$AB$3001,'Per Line'!$E$2:$E$3001,$B795,'Per Line'!$AP$2:$AP$3001,0,'Per Line'!$AQ$2:$AQ$3001,0))</f>
        <v/>
      </c>
      <c r="V795" s="7">
        <f>IF($AD795="","",U795*T795)</f>
        <v/>
      </c>
      <c r="W795">
        <f>IF($AD795="","",Settings!$C$6)</f>
        <v/>
      </c>
      <c r="X795" s="7">
        <f>IF($AD795="","",SUMIFS('Per Line'!$AB$2:$AB$3001,'Per Line'!$E$2:$E$3001,$B795,'Per Line'!$AP$2:$AP$3001,1,'Per Line'!$AQ$2:$AQ$3001,0))</f>
        <v/>
      </c>
      <c r="Y795" s="7">
        <f>IF($AD795="","",X795*W795)</f>
        <v/>
      </c>
      <c r="Z795" s="7">
        <f>IF($AD795="","",Y795+V795)</f>
        <v/>
      </c>
      <c r="AA795" s="7">
        <f>IF($AD795="","",AB795-Z795)</f>
        <v/>
      </c>
      <c r="AB795" s="7">
        <f>IF($AD795="","",U795+X795+S795)</f>
        <v/>
      </c>
      <c r="AC795" s="7">
        <f>IF($AD795="","",AB795-Z795-P795)</f>
        <v/>
      </c>
      <c r="AD795" s="13">
        <f>IF(ROWS($AD$2:$AD795)&lt;=MAX('Per Line'!$AO$2:$AO$3001),MATCH(ROWS($AD$2:$AD795),'Per Line'!$AO$2:$AO$3001,0),"")</f>
        <v/>
      </c>
      <c r="AE795" s="14">
        <f>IF($AD795="","",P795-O795*AB795/100)</f>
        <v/>
      </c>
    </row>
    <row r="796">
      <c r="A796" s="12" t="n"/>
      <c r="B796">
        <f>IF($AD796="","",INDEX('Per Line'!$E$2:$E$3001,$AD796)&amp;"")</f>
        <v/>
      </c>
      <c r="C796">
        <f>IF($AD796="","",INDEX('Per Line'!$A$2:$A$3001,$AD796)&amp;"")</f>
        <v/>
      </c>
      <c r="D796">
        <f>IF($AD796="","",INDEX('Per Line'!$C$2:$C$3001,$AD796)&amp;"")</f>
        <v/>
      </c>
      <c r="E796">
        <f>IF($AD796="","",INDEX('Per Line'!$B$2:$B$3001,$AD796))</f>
        <v/>
      </c>
      <c r="F796">
        <f>IF($AD796="","",INDEX('Per Line'!$D$2:$D$3001,$AD796)&amp;"")</f>
        <v/>
      </c>
      <c r="G796" s="11">
        <f>IF($AD796="","",INDEX('Per Line'!$G$2:$G$3001,$AD796))</f>
        <v/>
      </c>
      <c r="H796">
        <f>IF($AD796="","",INDEX('Per Line'!$J$2:$J$3001,$AD796)&amp;"")</f>
        <v/>
      </c>
      <c r="I796">
        <f>IF($AD796="","",INDEX('Per Line'!$H$2:$H$3001,$AD796)&amp;"")</f>
        <v/>
      </c>
      <c r="J796">
        <f>IF($AD796="","",INDEX('Per Line'!$F$2:$F$3001,$AD796)&amp;"")</f>
        <v/>
      </c>
      <c r="K796">
        <f>IF($AD796="","",INDEX('Per Line'!$K$2:$K$3001,$AD796)&amp;"")</f>
        <v/>
      </c>
      <c r="L796">
        <f>IF($AD796="","",INDEX('Per Line'!$L$2:$L$3001,$AD796)&amp;"")</f>
        <v/>
      </c>
      <c r="M796">
        <f>IF($AD796="","",INDEX('Per Line'!$M$2:$M$3001,$AD796)&amp;"")</f>
        <v/>
      </c>
      <c r="N796">
        <f>IF($AD796="","",INDEX('Per Line'!$AC$2:$AC$3001,$AD796)&amp;"")</f>
        <v/>
      </c>
      <c r="O796">
        <f>IF($AD796="","",INDEX('Per Line'!$P$2:$P$3001,$AD796))</f>
        <v/>
      </c>
      <c r="P796" s="7">
        <f>IF($AD796="","",IF(AND(ISNUMBER(Q796),Q796&gt;0,AB796&gt;Q796),O796*Q796/100+(AB796-Q796),O796*AB796/100))</f>
        <v/>
      </c>
      <c r="Q796">
        <f>IF($AD796="","",INDEX('Per Line'!$AG$2:$AG$3001,$AD796))</f>
        <v/>
      </c>
      <c r="R796">
        <f>IF($AD796="","",IF(AND(ISNUMBER(Q796),Q796&gt;0),AB796&gt;Q796,FALSE))</f>
        <v/>
      </c>
      <c r="S796" s="7">
        <f>IF($AD796="","",SUMIFS('Per Line'!$AB$2:$AB$3001,'Per Line'!$E$2:$E$3001,$B796,'Per Line'!$AQ$2:$AQ$3001,1))</f>
        <v/>
      </c>
      <c r="T796">
        <f>IF($AD796="","",Settings!$C$7)</f>
        <v/>
      </c>
      <c r="U796" s="7">
        <f>IF($AD796="","",SUMIFS('Per Line'!$AB$2:$AB$3001,'Per Line'!$E$2:$E$3001,$B796,'Per Line'!$AP$2:$AP$3001,0,'Per Line'!$AQ$2:$AQ$3001,0))</f>
        <v/>
      </c>
      <c r="V796" s="7">
        <f>IF($AD796="","",U796*T796)</f>
        <v/>
      </c>
      <c r="W796">
        <f>IF($AD796="","",Settings!$C$6)</f>
        <v/>
      </c>
      <c r="X796" s="7">
        <f>IF($AD796="","",SUMIFS('Per Line'!$AB$2:$AB$3001,'Per Line'!$E$2:$E$3001,$B796,'Per Line'!$AP$2:$AP$3001,1,'Per Line'!$AQ$2:$AQ$3001,0))</f>
        <v/>
      </c>
      <c r="Y796" s="7">
        <f>IF($AD796="","",X796*W796)</f>
        <v/>
      </c>
      <c r="Z796" s="7">
        <f>IF($AD796="","",Y796+V796)</f>
        <v/>
      </c>
      <c r="AA796" s="7">
        <f>IF($AD796="","",AB796-Z796)</f>
        <v/>
      </c>
      <c r="AB796" s="7">
        <f>IF($AD796="","",U796+X796+S796)</f>
        <v/>
      </c>
      <c r="AC796" s="7">
        <f>IF($AD796="","",AB796-Z796-P796)</f>
        <v/>
      </c>
      <c r="AD796" s="13">
        <f>IF(ROWS($AD$2:$AD796)&lt;=MAX('Per Line'!$AO$2:$AO$3001),MATCH(ROWS($AD$2:$AD796),'Per Line'!$AO$2:$AO$3001,0),"")</f>
        <v/>
      </c>
      <c r="AE796" s="14">
        <f>IF($AD796="","",P796-O796*AB796/100)</f>
        <v/>
      </c>
    </row>
    <row r="797">
      <c r="A797" s="12" t="n"/>
      <c r="B797">
        <f>IF($AD797="","",INDEX('Per Line'!$E$2:$E$3001,$AD797)&amp;"")</f>
        <v/>
      </c>
      <c r="C797">
        <f>IF($AD797="","",INDEX('Per Line'!$A$2:$A$3001,$AD797)&amp;"")</f>
        <v/>
      </c>
      <c r="D797">
        <f>IF($AD797="","",INDEX('Per Line'!$C$2:$C$3001,$AD797)&amp;"")</f>
        <v/>
      </c>
      <c r="E797">
        <f>IF($AD797="","",INDEX('Per Line'!$B$2:$B$3001,$AD797))</f>
        <v/>
      </c>
      <c r="F797">
        <f>IF($AD797="","",INDEX('Per Line'!$D$2:$D$3001,$AD797)&amp;"")</f>
        <v/>
      </c>
      <c r="G797" s="11">
        <f>IF($AD797="","",INDEX('Per Line'!$G$2:$G$3001,$AD797))</f>
        <v/>
      </c>
      <c r="H797">
        <f>IF($AD797="","",INDEX('Per Line'!$J$2:$J$3001,$AD797)&amp;"")</f>
        <v/>
      </c>
      <c r="I797">
        <f>IF($AD797="","",INDEX('Per Line'!$H$2:$H$3001,$AD797)&amp;"")</f>
        <v/>
      </c>
      <c r="J797">
        <f>IF($AD797="","",INDEX('Per Line'!$F$2:$F$3001,$AD797)&amp;"")</f>
        <v/>
      </c>
      <c r="K797">
        <f>IF($AD797="","",INDEX('Per Line'!$K$2:$K$3001,$AD797)&amp;"")</f>
        <v/>
      </c>
      <c r="L797">
        <f>IF($AD797="","",INDEX('Per Line'!$L$2:$L$3001,$AD797)&amp;"")</f>
        <v/>
      </c>
      <c r="M797">
        <f>IF($AD797="","",INDEX('Per Line'!$M$2:$M$3001,$AD797)&amp;"")</f>
        <v/>
      </c>
      <c r="N797">
        <f>IF($AD797="","",INDEX('Per Line'!$AC$2:$AC$3001,$AD797)&amp;"")</f>
        <v/>
      </c>
      <c r="O797">
        <f>IF($AD797="","",INDEX('Per Line'!$P$2:$P$3001,$AD797))</f>
        <v/>
      </c>
      <c r="P797" s="7">
        <f>IF($AD797="","",IF(AND(ISNUMBER(Q797),Q797&gt;0,AB797&gt;Q797),O797*Q797/100+(AB797-Q797),O797*AB797/100))</f>
        <v/>
      </c>
      <c r="Q797">
        <f>IF($AD797="","",INDEX('Per Line'!$AG$2:$AG$3001,$AD797))</f>
        <v/>
      </c>
      <c r="R797">
        <f>IF($AD797="","",IF(AND(ISNUMBER(Q797),Q797&gt;0),AB797&gt;Q797,FALSE))</f>
        <v/>
      </c>
      <c r="S797" s="7">
        <f>IF($AD797="","",SUMIFS('Per Line'!$AB$2:$AB$3001,'Per Line'!$E$2:$E$3001,$B797,'Per Line'!$AQ$2:$AQ$3001,1))</f>
        <v/>
      </c>
      <c r="T797">
        <f>IF($AD797="","",Settings!$C$7)</f>
        <v/>
      </c>
      <c r="U797" s="7">
        <f>IF($AD797="","",SUMIFS('Per Line'!$AB$2:$AB$3001,'Per Line'!$E$2:$E$3001,$B797,'Per Line'!$AP$2:$AP$3001,0,'Per Line'!$AQ$2:$AQ$3001,0))</f>
        <v/>
      </c>
      <c r="V797" s="7">
        <f>IF($AD797="","",U797*T797)</f>
        <v/>
      </c>
      <c r="W797">
        <f>IF($AD797="","",Settings!$C$6)</f>
        <v/>
      </c>
      <c r="X797" s="7">
        <f>IF($AD797="","",SUMIFS('Per Line'!$AB$2:$AB$3001,'Per Line'!$E$2:$E$3001,$B797,'Per Line'!$AP$2:$AP$3001,1,'Per Line'!$AQ$2:$AQ$3001,0))</f>
        <v/>
      </c>
      <c r="Y797" s="7">
        <f>IF($AD797="","",X797*W797)</f>
        <v/>
      </c>
      <c r="Z797" s="7">
        <f>IF($AD797="","",Y797+V797)</f>
        <v/>
      </c>
      <c r="AA797" s="7">
        <f>IF($AD797="","",AB797-Z797)</f>
        <v/>
      </c>
      <c r="AB797" s="7">
        <f>IF($AD797="","",U797+X797+S797)</f>
        <v/>
      </c>
      <c r="AC797" s="7">
        <f>IF($AD797="","",AB797-Z797-P797)</f>
        <v/>
      </c>
      <c r="AD797" s="13">
        <f>IF(ROWS($AD$2:$AD797)&lt;=MAX('Per Line'!$AO$2:$AO$3001),MATCH(ROWS($AD$2:$AD797),'Per Line'!$AO$2:$AO$3001,0),"")</f>
        <v/>
      </c>
      <c r="AE797" s="14">
        <f>IF($AD797="","",P797-O797*AB797/100)</f>
        <v/>
      </c>
    </row>
    <row r="798">
      <c r="A798" s="12" t="n"/>
      <c r="B798">
        <f>IF($AD798="","",INDEX('Per Line'!$E$2:$E$3001,$AD798)&amp;"")</f>
        <v/>
      </c>
      <c r="C798">
        <f>IF($AD798="","",INDEX('Per Line'!$A$2:$A$3001,$AD798)&amp;"")</f>
        <v/>
      </c>
      <c r="D798">
        <f>IF($AD798="","",INDEX('Per Line'!$C$2:$C$3001,$AD798)&amp;"")</f>
        <v/>
      </c>
      <c r="E798">
        <f>IF($AD798="","",INDEX('Per Line'!$B$2:$B$3001,$AD798))</f>
        <v/>
      </c>
      <c r="F798">
        <f>IF($AD798="","",INDEX('Per Line'!$D$2:$D$3001,$AD798)&amp;"")</f>
        <v/>
      </c>
      <c r="G798" s="11">
        <f>IF($AD798="","",INDEX('Per Line'!$G$2:$G$3001,$AD798))</f>
        <v/>
      </c>
      <c r="H798">
        <f>IF($AD798="","",INDEX('Per Line'!$J$2:$J$3001,$AD798)&amp;"")</f>
        <v/>
      </c>
      <c r="I798">
        <f>IF($AD798="","",INDEX('Per Line'!$H$2:$H$3001,$AD798)&amp;"")</f>
        <v/>
      </c>
      <c r="J798">
        <f>IF($AD798="","",INDEX('Per Line'!$F$2:$F$3001,$AD798)&amp;"")</f>
        <v/>
      </c>
      <c r="K798">
        <f>IF($AD798="","",INDEX('Per Line'!$K$2:$K$3001,$AD798)&amp;"")</f>
        <v/>
      </c>
      <c r="L798">
        <f>IF($AD798="","",INDEX('Per Line'!$L$2:$L$3001,$AD798)&amp;"")</f>
        <v/>
      </c>
      <c r="M798">
        <f>IF($AD798="","",INDEX('Per Line'!$M$2:$M$3001,$AD798)&amp;"")</f>
        <v/>
      </c>
      <c r="N798">
        <f>IF($AD798="","",INDEX('Per Line'!$AC$2:$AC$3001,$AD798)&amp;"")</f>
        <v/>
      </c>
      <c r="O798">
        <f>IF($AD798="","",INDEX('Per Line'!$P$2:$P$3001,$AD798))</f>
        <v/>
      </c>
      <c r="P798" s="7">
        <f>IF($AD798="","",IF(AND(ISNUMBER(Q798),Q798&gt;0,AB798&gt;Q798),O798*Q798/100+(AB798-Q798),O798*AB798/100))</f>
        <v/>
      </c>
      <c r="Q798">
        <f>IF($AD798="","",INDEX('Per Line'!$AG$2:$AG$3001,$AD798))</f>
        <v/>
      </c>
      <c r="R798">
        <f>IF($AD798="","",IF(AND(ISNUMBER(Q798),Q798&gt;0),AB798&gt;Q798,FALSE))</f>
        <v/>
      </c>
      <c r="S798" s="7">
        <f>IF($AD798="","",SUMIFS('Per Line'!$AB$2:$AB$3001,'Per Line'!$E$2:$E$3001,$B798,'Per Line'!$AQ$2:$AQ$3001,1))</f>
        <v/>
      </c>
      <c r="T798">
        <f>IF($AD798="","",Settings!$C$7)</f>
        <v/>
      </c>
      <c r="U798" s="7">
        <f>IF($AD798="","",SUMIFS('Per Line'!$AB$2:$AB$3001,'Per Line'!$E$2:$E$3001,$B798,'Per Line'!$AP$2:$AP$3001,0,'Per Line'!$AQ$2:$AQ$3001,0))</f>
        <v/>
      </c>
      <c r="V798" s="7">
        <f>IF($AD798="","",U798*T798)</f>
        <v/>
      </c>
      <c r="W798">
        <f>IF($AD798="","",Settings!$C$6)</f>
        <v/>
      </c>
      <c r="X798" s="7">
        <f>IF($AD798="","",SUMIFS('Per Line'!$AB$2:$AB$3001,'Per Line'!$E$2:$E$3001,$B798,'Per Line'!$AP$2:$AP$3001,1,'Per Line'!$AQ$2:$AQ$3001,0))</f>
        <v/>
      </c>
      <c r="Y798" s="7">
        <f>IF($AD798="","",X798*W798)</f>
        <v/>
      </c>
      <c r="Z798" s="7">
        <f>IF($AD798="","",Y798+V798)</f>
        <v/>
      </c>
      <c r="AA798" s="7">
        <f>IF($AD798="","",AB798-Z798)</f>
        <v/>
      </c>
      <c r="AB798" s="7">
        <f>IF($AD798="","",U798+X798+S798)</f>
        <v/>
      </c>
      <c r="AC798" s="7">
        <f>IF($AD798="","",AB798-Z798-P798)</f>
        <v/>
      </c>
      <c r="AD798" s="13">
        <f>IF(ROWS($AD$2:$AD798)&lt;=MAX('Per Line'!$AO$2:$AO$3001),MATCH(ROWS($AD$2:$AD798),'Per Line'!$AO$2:$AO$3001,0),"")</f>
        <v/>
      </c>
      <c r="AE798" s="14">
        <f>IF($AD798="","",P798-O798*AB798/100)</f>
        <v/>
      </c>
    </row>
    <row r="799">
      <c r="A799" s="12" t="n"/>
      <c r="B799">
        <f>IF($AD799="","",INDEX('Per Line'!$E$2:$E$3001,$AD799)&amp;"")</f>
        <v/>
      </c>
      <c r="C799">
        <f>IF($AD799="","",INDEX('Per Line'!$A$2:$A$3001,$AD799)&amp;"")</f>
        <v/>
      </c>
      <c r="D799">
        <f>IF($AD799="","",INDEX('Per Line'!$C$2:$C$3001,$AD799)&amp;"")</f>
        <v/>
      </c>
      <c r="E799">
        <f>IF($AD799="","",INDEX('Per Line'!$B$2:$B$3001,$AD799))</f>
        <v/>
      </c>
      <c r="F799">
        <f>IF($AD799="","",INDEX('Per Line'!$D$2:$D$3001,$AD799)&amp;"")</f>
        <v/>
      </c>
      <c r="G799" s="11">
        <f>IF($AD799="","",INDEX('Per Line'!$G$2:$G$3001,$AD799))</f>
        <v/>
      </c>
      <c r="H799">
        <f>IF($AD799="","",INDEX('Per Line'!$J$2:$J$3001,$AD799)&amp;"")</f>
        <v/>
      </c>
      <c r="I799">
        <f>IF($AD799="","",INDEX('Per Line'!$H$2:$H$3001,$AD799)&amp;"")</f>
        <v/>
      </c>
      <c r="J799">
        <f>IF($AD799="","",INDEX('Per Line'!$F$2:$F$3001,$AD799)&amp;"")</f>
        <v/>
      </c>
      <c r="K799">
        <f>IF($AD799="","",INDEX('Per Line'!$K$2:$K$3001,$AD799)&amp;"")</f>
        <v/>
      </c>
      <c r="L799">
        <f>IF($AD799="","",INDEX('Per Line'!$L$2:$L$3001,$AD799)&amp;"")</f>
        <v/>
      </c>
      <c r="M799">
        <f>IF($AD799="","",INDEX('Per Line'!$M$2:$M$3001,$AD799)&amp;"")</f>
        <v/>
      </c>
      <c r="N799">
        <f>IF($AD799="","",INDEX('Per Line'!$AC$2:$AC$3001,$AD799)&amp;"")</f>
        <v/>
      </c>
      <c r="O799">
        <f>IF($AD799="","",INDEX('Per Line'!$P$2:$P$3001,$AD799))</f>
        <v/>
      </c>
      <c r="P799" s="7">
        <f>IF($AD799="","",IF(AND(ISNUMBER(Q799),Q799&gt;0,AB799&gt;Q799),O799*Q799/100+(AB799-Q799),O799*AB799/100))</f>
        <v/>
      </c>
      <c r="Q799">
        <f>IF($AD799="","",INDEX('Per Line'!$AG$2:$AG$3001,$AD799))</f>
        <v/>
      </c>
      <c r="R799">
        <f>IF($AD799="","",IF(AND(ISNUMBER(Q799),Q799&gt;0),AB799&gt;Q799,FALSE))</f>
        <v/>
      </c>
      <c r="S799" s="7">
        <f>IF($AD799="","",SUMIFS('Per Line'!$AB$2:$AB$3001,'Per Line'!$E$2:$E$3001,$B799,'Per Line'!$AQ$2:$AQ$3001,1))</f>
        <v/>
      </c>
      <c r="T799">
        <f>IF($AD799="","",Settings!$C$7)</f>
        <v/>
      </c>
      <c r="U799" s="7">
        <f>IF($AD799="","",SUMIFS('Per Line'!$AB$2:$AB$3001,'Per Line'!$E$2:$E$3001,$B799,'Per Line'!$AP$2:$AP$3001,0,'Per Line'!$AQ$2:$AQ$3001,0))</f>
        <v/>
      </c>
      <c r="V799" s="7">
        <f>IF($AD799="","",U799*T799)</f>
        <v/>
      </c>
      <c r="W799">
        <f>IF($AD799="","",Settings!$C$6)</f>
        <v/>
      </c>
      <c r="X799" s="7">
        <f>IF($AD799="","",SUMIFS('Per Line'!$AB$2:$AB$3001,'Per Line'!$E$2:$E$3001,$B799,'Per Line'!$AP$2:$AP$3001,1,'Per Line'!$AQ$2:$AQ$3001,0))</f>
        <v/>
      </c>
      <c r="Y799" s="7">
        <f>IF($AD799="","",X799*W799)</f>
        <v/>
      </c>
      <c r="Z799" s="7">
        <f>IF($AD799="","",Y799+V799)</f>
        <v/>
      </c>
      <c r="AA799" s="7">
        <f>IF($AD799="","",AB799-Z799)</f>
        <v/>
      </c>
      <c r="AB799" s="7">
        <f>IF($AD799="","",U799+X799+S799)</f>
        <v/>
      </c>
      <c r="AC799" s="7">
        <f>IF($AD799="","",AB799-Z799-P799)</f>
        <v/>
      </c>
      <c r="AD799" s="13">
        <f>IF(ROWS($AD$2:$AD799)&lt;=MAX('Per Line'!$AO$2:$AO$3001),MATCH(ROWS($AD$2:$AD799),'Per Line'!$AO$2:$AO$3001,0),"")</f>
        <v/>
      </c>
      <c r="AE799" s="14">
        <f>IF($AD799="","",P799-O799*AB799/100)</f>
        <v/>
      </c>
    </row>
    <row r="800">
      <c r="A800" s="12" t="n"/>
      <c r="B800">
        <f>IF($AD800="","",INDEX('Per Line'!$E$2:$E$3001,$AD800)&amp;"")</f>
        <v/>
      </c>
      <c r="C800">
        <f>IF($AD800="","",INDEX('Per Line'!$A$2:$A$3001,$AD800)&amp;"")</f>
        <v/>
      </c>
      <c r="D800">
        <f>IF($AD800="","",INDEX('Per Line'!$C$2:$C$3001,$AD800)&amp;"")</f>
        <v/>
      </c>
      <c r="E800">
        <f>IF($AD800="","",INDEX('Per Line'!$B$2:$B$3001,$AD800))</f>
        <v/>
      </c>
      <c r="F800">
        <f>IF($AD800="","",INDEX('Per Line'!$D$2:$D$3001,$AD800)&amp;"")</f>
        <v/>
      </c>
      <c r="G800" s="11">
        <f>IF($AD800="","",INDEX('Per Line'!$G$2:$G$3001,$AD800))</f>
        <v/>
      </c>
      <c r="H800">
        <f>IF($AD800="","",INDEX('Per Line'!$J$2:$J$3001,$AD800)&amp;"")</f>
        <v/>
      </c>
      <c r="I800">
        <f>IF($AD800="","",INDEX('Per Line'!$H$2:$H$3001,$AD800)&amp;"")</f>
        <v/>
      </c>
      <c r="J800">
        <f>IF($AD800="","",INDEX('Per Line'!$F$2:$F$3001,$AD800)&amp;"")</f>
        <v/>
      </c>
      <c r="K800">
        <f>IF($AD800="","",INDEX('Per Line'!$K$2:$K$3001,$AD800)&amp;"")</f>
        <v/>
      </c>
      <c r="L800">
        <f>IF($AD800="","",INDEX('Per Line'!$L$2:$L$3001,$AD800)&amp;"")</f>
        <v/>
      </c>
      <c r="M800">
        <f>IF($AD800="","",INDEX('Per Line'!$M$2:$M$3001,$AD800)&amp;"")</f>
        <v/>
      </c>
      <c r="N800">
        <f>IF($AD800="","",INDEX('Per Line'!$AC$2:$AC$3001,$AD800)&amp;"")</f>
        <v/>
      </c>
      <c r="O800">
        <f>IF($AD800="","",INDEX('Per Line'!$P$2:$P$3001,$AD800))</f>
        <v/>
      </c>
      <c r="P800" s="7">
        <f>IF($AD800="","",IF(AND(ISNUMBER(Q800),Q800&gt;0,AB800&gt;Q800),O800*Q800/100+(AB800-Q800),O800*AB800/100))</f>
        <v/>
      </c>
      <c r="Q800">
        <f>IF($AD800="","",INDEX('Per Line'!$AG$2:$AG$3001,$AD800))</f>
        <v/>
      </c>
      <c r="R800">
        <f>IF($AD800="","",IF(AND(ISNUMBER(Q800),Q800&gt;0),AB800&gt;Q800,FALSE))</f>
        <v/>
      </c>
      <c r="S800" s="7">
        <f>IF($AD800="","",SUMIFS('Per Line'!$AB$2:$AB$3001,'Per Line'!$E$2:$E$3001,$B800,'Per Line'!$AQ$2:$AQ$3001,1))</f>
        <v/>
      </c>
      <c r="T800">
        <f>IF($AD800="","",Settings!$C$7)</f>
        <v/>
      </c>
      <c r="U800" s="7">
        <f>IF($AD800="","",SUMIFS('Per Line'!$AB$2:$AB$3001,'Per Line'!$E$2:$E$3001,$B800,'Per Line'!$AP$2:$AP$3001,0,'Per Line'!$AQ$2:$AQ$3001,0))</f>
        <v/>
      </c>
      <c r="V800" s="7">
        <f>IF($AD800="","",U800*T800)</f>
        <v/>
      </c>
      <c r="W800">
        <f>IF($AD800="","",Settings!$C$6)</f>
        <v/>
      </c>
      <c r="X800" s="7">
        <f>IF($AD800="","",SUMIFS('Per Line'!$AB$2:$AB$3001,'Per Line'!$E$2:$E$3001,$B800,'Per Line'!$AP$2:$AP$3001,1,'Per Line'!$AQ$2:$AQ$3001,0))</f>
        <v/>
      </c>
      <c r="Y800" s="7">
        <f>IF($AD800="","",X800*W800)</f>
        <v/>
      </c>
      <c r="Z800" s="7">
        <f>IF($AD800="","",Y800+V800)</f>
        <v/>
      </c>
      <c r="AA800" s="7">
        <f>IF($AD800="","",AB800-Z800)</f>
        <v/>
      </c>
      <c r="AB800" s="7">
        <f>IF($AD800="","",U800+X800+S800)</f>
        <v/>
      </c>
      <c r="AC800" s="7">
        <f>IF($AD800="","",AB800-Z800-P800)</f>
        <v/>
      </c>
      <c r="AD800" s="13">
        <f>IF(ROWS($AD$2:$AD800)&lt;=MAX('Per Line'!$AO$2:$AO$3001),MATCH(ROWS($AD$2:$AD800),'Per Line'!$AO$2:$AO$3001,0),"")</f>
        <v/>
      </c>
      <c r="AE800" s="14">
        <f>IF($AD800="","",P800-O800*AB800/100)</f>
        <v/>
      </c>
    </row>
    <row r="801">
      <c r="A801" s="12" t="n"/>
      <c r="B801">
        <f>IF($AD801="","",INDEX('Per Line'!$E$2:$E$3001,$AD801)&amp;"")</f>
        <v/>
      </c>
      <c r="C801">
        <f>IF($AD801="","",INDEX('Per Line'!$A$2:$A$3001,$AD801)&amp;"")</f>
        <v/>
      </c>
      <c r="D801">
        <f>IF($AD801="","",INDEX('Per Line'!$C$2:$C$3001,$AD801)&amp;"")</f>
        <v/>
      </c>
      <c r="E801">
        <f>IF($AD801="","",INDEX('Per Line'!$B$2:$B$3001,$AD801))</f>
        <v/>
      </c>
      <c r="F801">
        <f>IF($AD801="","",INDEX('Per Line'!$D$2:$D$3001,$AD801)&amp;"")</f>
        <v/>
      </c>
      <c r="G801" s="11">
        <f>IF($AD801="","",INDEX('Per Line'!$G$2:$G$3001,$AD801))</f>
        <v/>
      </c>
      <c r="H801">
        <f>IF($AD801="","",INDEX('Per Line'!$J$2:$J$3001,$AD801)&amp;"")</f>
        <v/>
      </c>
      <c r="I801">
        <f>IF($AD801="","",INDEX('Per Line'!$H$2:$H$3001,$AD801)&amp;"")</f>
        <v/>
      </c>
      <c r="J801">
        <f>IF($AD801="","",INDEX('Per Line'!$F$2:$F$3001,$AD801)&amp;"")</f>
        <v/>
      </c>
      <c r="K801">
        <f>IF($AD801="","",INDEX('Per Line'!$K$2:$K$3001,$AD801)&amp;"")</f>
        <v/>
      </c>
      <c r="L801">
        <f>IF($AD801="","",INDEX('Per Line'!$L$2:$L$3001,$AD801)&amp;"")</f>
        <v/>
      </c>
      <c r="M801">
        <f>IF($AD801="","",INDEX('Per Line'!$M$2:$M$3001,$AD801)&amp;"")</f>
        <v/>
      </c>
      <c r="N801">
        <f>IF($AD801="","",INDEX('Per Line'!$AC$2:$AC$3001,$AD801)&amp;"")</f>
        <v/>
      </c>
      <c r="O801">
        <f>IF($AD801="","",INDEX('Per Line'!$P$2:$P$3001,$AD801))</f>
        <v/>
      </c>
      <c r="P801" s="7">
        <f>IF($AD801="","",IF(AND(ISNUMBER(Q801),Q801&gt;0,AB801&gt;Q801),O801*Q801/100+(AB801-Q801),O801*AB801/100))</f>
        <v/>
      </c>
      <c r="Q801">
        <f>IF($AD801="","",INDEX('Per Line'!$AG$2:$AG$3001,$AD801))</f>
        <v/>
      </c>
      <c r="R801">
        <f>IF($AD801="","",IF(AND(ISNUMBER(Q801),Q801&gt;0),AB801&gt;Q801,FALSE))</f>
        <v/>
      </c>
      <c r="S801" s="7">
        <f>IF($AD801="","",SUMIFS('Per Line'!$AB$2:$AB$3001,'Per Line'!$E$2:$E$3001,$B801,'Per Line'!$AQ$2:$AQ$3001,1))</f>
        <v/>
      </c>
      <c r="T801">
        <f>IF($AD801="","",Settings!$C$7)</f>
        <v/>
      </c>
      <c r="U801" s="7">
        <f>IF($AD801="","",SUMIFS('Per Line'!$AB$2:$AB$3001,'Per Line'!$E$2:$E$3001,$B801,'Per Line'!$AP$2:$AP$3001,0,'Per Line'!$AQ$2:$AQ$3001,0))</f>
        <v/>
      </c>
      <c r="V801" s="7">
        <f>IF($AD801="","",U801*T801)</f>
        <v/>
      </c>
      <c r="W801">
        <f>IF($AD801="","",Settings!$C$6)</f>
        <v/>
      </c>
      <c r="X801" s="7">
        <f>IF($AD801="","",SUMIFS('Per Line'!$AB$2:$AB$3001,'Per Line'!$E$2:$E$3001,$B801,'Per Line'!$AP$2:$AP$3001,1,'Per Line'!$AQ$2:$AQ$3001,0))</f>
        <v/>
      </c>
      <c r="Y801" s="7">
        <f>IF($AD801="","",X801*W801)</f>
        <v/>
      </c>
      <c r="Z801" s="7">
        <f>IF($AD801="","",Y801+V801)</f>
        <v/>
      </c>
      <c r="AA801" s="7">
        <f>IF($AD801="","",AB801-Z801)</f>
        <v/>
      </c>
      <c r="AB801" s="7">
        <f>IF($AD801="","",U801+X801+S801)</f>
        <v/>
      </c>
      <c r="AC801" s="7">
        <f>IF($AD801="","",AB801-Z801-P801)</f>
        <v/>
      </c>
      <c r="AD801" s="13">
        <f>IF(ROWS($AD$2:$AD801)&lt;=MAX('Per Line'!$AO$2:$AO$3001),MATCH(ROWS($AD$2:$AD801),'Per Line'!$AO$2:$AO$3001,0),"")</f>
        <v/>
      </c>
      <c r="AE801" s="14">
        <f>IF($AD801="","",P801-O801*AB801/100)</f>
        <v/>
      </c>
    </row>
    <row r="802">
      <c r="A802" s="12" t="n"/>
      <c r="B802">
        <f>IF($AD802="","",INDEX('Per Line'!$E$2:$E$3001,$AD802)&amp;"")</f>
        <v/>
      </c>
      <c r="C802">
        <f>IF($AD802="","",INDEX('Per Line'!$A$2:$A$3001,$AD802)&amp;"")</f>
        <v/>
      </c>
      <c r="D802">
        <f>IF($AD802="","",INDEX('Per Line'!$C$2:$C$3001,$AD802)&amp;"")</f>
        <v/>
      </c>
      <c r="E802">
        <f>IF($AD802="","",INDEX('Per Line'!$B$2:$B$3001,$AD802))</f>
        <v/>
      </c>
      <c r="F802">
        <f>IF($AD802="","",INDEX('Per Line'!$D$2:$D$3001,$AD802)&amp;"")</f>
        <v/>
      </c>
      <c r="G802" s="11">
        <f>IF($AD802="","",INDEX('Per Line'!$G$2:$G$3001,$AD802))</f>
        <v/>
      </c>
      <c r="H802">
        <f>IF($AD802="","",INDEX('Per Line'!$J$2:$J$3001,$AD802)&amp;"")</f>
        <v/>
      </c>
      <c r="I802">
        <f>IF($AD802="","",INDEX('Per Line'!$H$2:$H$3001,$AD802)&amp;"")</f>
        <v/>
      </c>
      <c r="J802">
        <f>IF($AD802="","",INDEX('Per Line'!$F$2:$F$3001,$AD802)&amp;"")</f>
        <v/>
      </c>
      <c r="K802">
        <f>IF($AD802="","",INDEX('Per Line'!$K$2:$K$3001,$AD802)&amp;"")</f>
        <v/>
      </c>
      <c r="L802">
        <f>IF($AD802="","",INDEX('Per Line'!$L$2:$L$3001,$AD802)&amp;"")</f>
        <v/>
      </c>
      <c r="M802">
        <f>IF($AD802="","",INDEX('Per Line'!$M$2:$M$3001,$AD802)&amp;"")</f>
        <v/>
      </c>
      <c r="N802">
        <f>IF($AD802="","",INDEX('Per Line'!$AC$2:$AC$3001,$AD802)&amp;"")</f>
        <v/>
      </c>
      <c r="O802">
        <f>IF($AD802="","",INDEX('Per Line'!$P$2:$P$3001,$AD802))</f>
        <v/>
      </c>
      <c r="P802" s="7">
        <f>IF($AD802="","",IF(AND(ISNUMBER(Q802),Q802&gt;0,AB802&gt;Q802),O802*Q802/100+(AB802-Q802),O802*AB802/100))</f>
        <v/>
      </c>
      <c r="Q802">
        <f>IF($AD802="","",INDEX('Per Line'!$AG$2:$AG$3001,$AD802))</f>
        <v/>
      </c>
      <c r="R802">
        <f>IF($AD802="","",IF(AND(ISNUMBER(Q802),Q802&gt;0),AB802&gt;Q802,FALSE))</f>
        <v/>
      </c>
      <c r="S802" s="7">
        <f>IF($AD802="","",SUMIFS('Per Line'!$AB$2:$AB$3001,'Per Line'!$E$2:$E$3001,$B802,'Per Line'!$AQ$2:$AQ$3001,1))</f>
        <v/>
      </c>
      <c r="T802">
        <f>IF($AD802="","",Settings!$C$7)</f>
        <v/>
      </c>
      <c r="U802" s="7">
        <f>IF($AD802="","",SUMIFS('Per Line'!$AB$2:$AB$3001,'Per Line'!$E$2:$E$3001,$B802,'Per Line'!$AP$2:$AP$3001,0,'Per Line'!$AQ$2:$AQ$3001,0))</f>
        <v/>
      </c>
      <c r="V802" s="7">
        <f>IF($AD802="","",U802*T802)</f>
        <v/>
      </c>
      <c r="W802">
        <f>IF($AD802="","",Settings!$C$6)</f>
        <v/>
      </c>
      <c r="X802" s="7">
        <f>IF($AD802="","",SUMIFS('Per Line'!$AB$2:$AB$3001,'Per Line'!$E$2:$E$3001,$B802,'Per Line'!$AP$2:$AP$3001,1,'Per Line'!$AQ$2:$AQ$3001,0))</f>
        <v/>
      </c>
      <c r="Y802" s="7">
        <f>IF($AD802="","",X802*W802)</f>
        <v/>
      </c>
      <c r="Z802" s="7">
        <f>IF($AD802="","",Y802+V802)</f>
        <v/>
      </c>
      <c r="AA802" s="7">
        <f>IF($AD802="","",AB802-Z802)</f>
        <v/>
      </c>
      <c r="AB802" s="7">
        <f>IF($AD802="","",U802+X802+S802)</f>
        <v/>
      </c>
      <c r="AC802" s="7">
        <f>IF($AD802="","",AB802-Z802-P802)</f>
        <v/>
      </c>
      <c r="AD802" s="13">
        <f>IF(ROWS($AD$2:$AD802)&lt;=MAX('Per Line'!$AO$2:$AO$3001),MATCH(ROWS($AD$2:$AD802),'Per Line'!$AO$2:$AO$3001,0),"")</f>
        <v/>
      </c>
      <c r="AE802" s="14">
        <f>IF($AD802="","",P802-O802*AB802/100)</f>
        <v/>
      </c>
    </row>
    <row r="803">
      <c r="A803" s="12" t="n"/>
      <c r="B803">
        <f>IF($AD803="","",INDEX('Per Line'!$E$2:$E$3001,$AD803)&amp;"")</f>
        <v/>
      </c>
      <c r="C803">
        <f>IF($AD803="","",INDEX('Per Line'!$A$2:$A$3001,$AD803)&amp;"")</f>
        <v/>
      </c>
      <c r="D803">
        <f>IF($AD803="","",INDEX('Per Line'!$C$2:$C$3001,$AD803)&amp;"")</f>
        <v/>
      </c>
      <c r="E803">
        <f>IF($AD803="","",INDEX('Per Line'!$B$2:$B$3001,$AD803))</f>
        <v/>
      </c>
      <c r="F803">
        <f>IF($AD803="","",INDEX('Per Line'!$D$2:$D$3001,$AD803)&amp;"")</f>
        <v/>
      </c>
      <c r="G803" s="11">
        <f>IF($AD803="","",INDEX('Per Line'!$G$2:$G$3001,$AD803))</f>
        <v/>
      </c>
      <c r="H803">
        <f>IF($AD803="","",INDEX('Per Line'!$J$2:$J$3001,$AD803)&amp;"")</f>
        <v/>
      </c>
      <c r="I803">
        <f>IF($AD803="","",INDEX('Per Line'!$H$2:$H$3001,$AD803)&amp;"")</f>
        <v/>
      </c>
      <c r="J803">
        <f>IF($AD803="","",INDEX('Per Line'!$F$2:$F$3001,$AD803)&amp;"")</f>
        <v/>
      </c>
      <c r="K803">
        <f>IF($AD803="","",INDEX('Per Line'!$K$2:$K$3001,$AD803)&amp;"")</f>
        <v/>
      </c>
      <c r="L803">
        <f>IF($AD803="","",INDEX('Per Line'!$L$2:$L$3001,$AD803)&amp;"")</f>
        <v/>
      </c>
      <c r="M803">
        <f>IF($AD803="","",INDEX('Per Line'!$M$2:$M$3001,$AD803)&amp;"")</f>
        <v/>
      </c>
      <c r="N803">
        <f>IF($AD803="","",INDEX('Per Line'!$AC$2:$AC$3001,$AD803)&amp;"")</f>
        <v/>
      </c>
      <c r="O803">
        <f>IF($AD803="","",INDEX('Per Line'!$P$2:$P$3001,$AD803))</f>
        <v/>
      </c>
      <c r="P803" s="7">
        <f>IF($AD803="","",IF(AND(ISNUMBER(Q803),Q803&gt;0,AB803&gt;Q803),O803*Q803/100+(AB803-Q803),O803*AB803/100))</f>
        <v/>
      </c>
      <c r="Q803">
        <f>IF($AD803="","",INDEX('Per Line'!$AG$2:$AG$3001,$AD803))</f>
        <v/>
      </c>
      <c r="R803">
        <f>IF($AD803="","",IF(AND(ISNUMBER(Q803),Q803&gt;0),AB803&gt;Q803,FALSE))</f>
        <v/>
      </c>
      <c r="S803" s="7">
        <f>IF($AD803="","",SUMIFS('Per Line'!$AB$2:$AB$3001,'Per Line'!$E$2:$E$3001,$B803,'Per Line'!$AQ$2:$AQ$3001,1))</f>
        <v/>
      </c>
      <c r="T803">
        <f>IF($AD803="","",Settings!$C$7)</f>
        <v/>
      </c>
      <c r="U803" s="7">
        <f>IF($AD803="","",SUMIFS('Per Line'!$AB$2:$AB$3001,'Per Line'!$E$2:$E$3001,$B803,'Per Line'!$AP$2:$AP$3001,0,'Per Line'!$AQ$2:$AQ$3001,0))</f>
        <v/>
      </c>
      <c r="V803" s="7">
        <f>IF($AD803="","",U803*T803)</f>
        <v/>
      </c>
      <c r="W803">
        <f>IF($AD803="","",Settings!$C$6)</f>
        <v/>
      </c>
      <c r="X803" s="7">
        <f>IF($AD803="","",SUMIFS('Per Line'!$AB$2:$AB$3001,'Per Line'!$E$2:$E$3001,$B803,'Per Line'!$AP$2:$AP$3001,1,'Per Line'!$AQ$2:$AQ$3001,0))</f>
        <v/>
      </c>
      <c r="Y803" s="7">
        <f>IF($AD803="","",X803*W803)</f>
        <v/>
      </c>
      <c r="Z803" s="7">
        <f>IF($AD803="","",Y803+V803)</f>
        <v/>
      </c>
      <c r="AA803" s="7">
        <f>IF($AD803="","",AB803-Z803)</f>
        <v/>
      </c>
      <c r="AB803" s="7">
        <f>IF($AD803="","",U803+X803+S803)</f>
        <v/>
      </c>
      <c r="AC803" s="7">
        <f>IF($AD803="","",AB803-Z803-P803)</f>
        <v/>
      </c>
      <c r="AD803" s="13">
        <f>IF(ROWS($AD$2:$AD803)&lt;=MAX('Per Line'!$AO$2:$AO$3001),MATCH(ROWS($AD$2:$AD803),'Per Line'!$AO$2:$AO$3001,0),"")</f>
        <v/>
      </c>
      <c r="AE803" s="14">
        <f>IF($AD803="","",P803-O803*AB803/100)</f>
        <v/>
      </c>
    </row>
    <row r="804">
      <c r="A804" s="12" t="n"/>
      <c r="B804">
        <f>IF($AD804="","",INDEX('Per Line'!$E$2:$E$3001,$AD804)&amp;"")</f>
        <v/>
      </c>
      <c r="C804">
        <f>IF($AD804="","",INDEX('Per Line'!$A$2:$A$3001,$AD804)&amp;"")</f>
        <v/>
      </c>
      <c r="D804">
        <f>IF($AD804="","",INDEX('Per Line'!$C$2:$C$3001,$AD804)&amp;"")</f>
        <v/>
      </c>
      <c r="E804">
        <f>IF($AD804="","",INDEX('Per Line'!$B$2:$B$3001,$AD804))</f>
        <v/>
      </c>
      <c r="F804">
        <f>IF($AD804="","",INDEX('Per Line'!$D$2:$D$3001,$AD804)&amp;"")</f>
        <v/>
      </c>
      <c r="G804" s="11">
        <f>IF($AD804="","",INDEX('Per Line'!$G$2:$G$3001,$AD804))</f>
        <v/>
      </c>
      <c r="H804">
        <f>IF($AD804="","",INDEX('Per Line'!$J$2:$J$3001,$AD804)&amp;"")</f>
        <v/>
      </c>
      <c r="I804">
        <f>IF($AD804="","",INDEX('Per Line'!$H$2:$H$3001,$AD804)&amp;"")</f>
        <v/>
      </c>
      <c r="J804">
        <f>IF($AD804="","",INDEX('Per Line'!$F$2:$F$3001,$AD804)&amp;"")</f>
        <v/>
      </c>
      <c r="K804">
        <f>IF($AD804="","",INDEX('Per Line'!$K$2:$K$3001,$AD804)&amp;"")</f>
        <v/>
      </c>
      <c r="L804">
        <f>IF($AD804="","",INDEX('Per Line'!$L$2:$L$3001,$AD804)&amp;"")</f>
        <v/>
      </c>
      <c r="M804">
        <f>IF($AD804="","",INDEX('Per Line'!$M$2:$M$3001,$AD804)&amp;"")</f>
        <v/>
      </c>
      <c r="N804">
        <f>IF($AD804="","",INDEX('Per Line'!$AC$2:$AC$3001,$AD804)&amp;"")</f>
        <v/>
      </c>
      <c r="O804">
        <f>IF($AD804="","",INDEX('Per Line'!$P$2:$P$3001,$AD804))</f>
        <v/>
      </c>
      <c r="P804" s="7">
        <f>IF($AD804="","",IF(AND(ISNUMBER(Q804),Q804&gt;0,AB804&gt;Q804),O804*Q804/100+(AB804-Q804),O804*AB804/100))</f>
        <v/>
      </c>
      <c r="Q804">
        <f>IF($AD804="","",INDEX('Per Line'!$AG$2:$AG$3001,$AD804))</f>
        <v/>
      </c>
      <c r="R804">
        <f>IF($AD804="","",IF(AND(ISNUMBER(Q804),Q804&gt;0),AB804&gt;Q804,FALSE))</f>
        <v/>
      </c>
      <c r="S804" s="7">
        <f>IF($AD804="","",SUMIFS('Per Line'!$AB$2:$AB$3001,'Per Line'!$E$2:$E$3001,$B804,'Per Line'!$AQ$2:$AQ$3001,1))</f>
        <v/>
      </c>
      <c r="T804">
        <f>IF($AD804="","",Settings!$C$7)</f>
        <v/>
      </c>
      <c r="U804" s="7">
        <f>IF($AD804="","",SUMIFS('Per Line'!$AB$2:$AB$3001,'Per Line'!$E$2:$E$3001,$B804,'Per Line'!$AP$2:$AP$3001,0,'Per Line'!$AQ$2:$AQ$3001,0))</f>
        <v/>
      </c>
      <c r="V804" s="7">
        <f>IF($AD804="","",U804*T804)</f>
        <v/>
      </c>
      <c r="W804">
        <f>IF($AD804="","",Settings!$C$6)</f>
        <v/>
      </c>
      <c r="X804" s="7">
        <f>IF($AD804="","",SUMIFS('Per Line'!$AB$2:$AB$3001,'Per Line'!$E$2:$E$3001,$B804,'Per Line'!$AP$2:$AP$3001,1,'Per Line'!$AQ$2:$AQ$3001,0))</f>
        <v/>
      </c>
      <c r="Y804" s="7">
        <f>IF($AD804="","",X804*W804)</f>
        <v/>
      </c>
      <c r="Z804" s="7">
        <f>IF($AD804="","",Y804+V804)</f>
        <v/>
      </c>
      <c r="AA804" s="7">
        <f>IF($AD804="","",AB804-Z804)</f>
        <v/>
      </c>
      <c r="AB804" s="7">
        <f>IF($AD804="","",U804+X804+S804)</f>
        <v/>
      </c>
      <c r="AC804" s="7">
        <f>IF($AD804="","",AB804-Z804-P804)</f>
        <v/>
      </c>
      <c r="AD804" s="13">
        <f>IF(ROWS($AD$2:$AD804)&lt;=MAX('Per Line'!$AO$2:$AO$3001),MATCH(ROWS($AD$2:$AD804),'Per Line'!$AO$2:$AO$3001,0),"")</f>
        <v/>
      </c>
      <c r="AE804" s="14">
        <f>IF($AD804="","",P804-O804*AB804/100)</f>
        <v/>
      </c>
    </row>
    <row r="805">
      <c r="A805" s="12" t="n"/>
      <c r="B805">
        <f>IF($AD805="","",INDEX('Per Line'!$E$2:$E$3001,$AD805)&amp;"")</f>
        <v/>
      </c>
      <c r="C805">
        <f>IF($AD805="","",INDEX('Per Line'!$A$2:$A$3001,$AD805)&amp;"")</f>
        <v/>
      </c>
      <c r="D805">
        <f>IF($AD805="","",INDEX('Per Line'!$C$2:$C$3001,$AD805)&amp;"")</f>
        <v/>
      </c>
      <c r="E805">
        <f>IF($AD805="","",INDEX('Per Line'!$B$2:$B$3001,$AD805))</f>
        <v/>
      </c>
      <c r="F805">
        <f>IF($AD805="","",INDEX('Per Line'!$D$2:$D$3001,$AD805)&amp;"")</f>
        <v/>
      </c>
      <c r="G805" s="11">
        <f>IF($AD805="","",INDEX('Per Line'!$G$2:$G$3001,$AD805))</f>
        <v/>
      </c>
      <c r="H805">
        <f>IF($AD805="","",INDEX('Per Line'!$J$2:$J$3001,$AD805)&amp;"")</f>
        <v/>
      </c>
      <c r="I805">
        <f>IF($AD805="","",INDEX('Per Line'!$H$2:$H$3001,$AD805)&amp;"")</f>
        <v/>
      </c>
      <c r="J805">
        <f>IF($AD805="","",INDEX('Per Line'!$F$2:$F$3001,$AD805)&amp;"")</f>
        <v/>
      </c>
      <c r="K805">
        <f>IF($AD805="","",INDEX('Per Line'!$K$2:$K$3001,$AD805)&amp;"")</f>
        <v/>
      </c>
      <c r="L805">
        <f>IF($AD805="","",INDEX('Per Line'!$L$2:$L$3001,$AD805)&amp;"")</f>
        <v/>
      </c>
      <c r="M805">
        <f>IF($AD805="","",INDEX('Per Line'!$M$2:$M$3001,$AD805)&amp;"")</f>
        <v/>
      </c>
      <c r="N805">
        <f>IF($AD805="","",INDEX('Per Line'!$AC$2:$AC$3001,$AD805)&amp;"")</f>
        <v/>
      </c>
      <c r="O805">
        <f>IF($AD805="","",INDEX('Per Line'!$P$2:$P$3001,$AD805))</f>
        <v/>
      </c>
      <c r="P805" s="7">
        <f>IF($AD805="","",IF(AND(ISNUMBER(Q805),Q805&gt;0,AB805&gt;Q805),O805*Q805/100+(AB805-Q805),O805*AB805/100))</f>
        <v/>
      </c>
      <c r="Q805">
        <f>IF($AD805="","",INDEX('Per Line'!$AG$2:$AG$3001,$AD805))</f>
        <v/>
      </c>
      <c r="R805">
        <f>IF($AD805="","",IF(AND(ISNUMBER(Q805),Q805&gt;0),AB805&gt;Q805,FALSE))</f>
        <v/>
      </c>
      <c r="S805" s="7">
        <f>IF($AD805="","",SUMIFS('Per Line'!$AB$2:$AB$3001,'Per Line'!$E$2:$E$3001,$B805,'Per Line'!$AQ$2:$AQ$3001,1))</f>
        <v/>
      </c>
      <c r="T805">
        <f>IF($AD805="","",Settings!$C$7)</f>
        <v/>
      </c>
      <c r="U805" s="7">
        <f>IF($AD805="","",SUMIFS('Per Line'!$AB$2:$AB$3001,'Per Line'!$E$2:$E$3001,$B805,'Per Line'!$AP$2:$AP$3001,0,'Per Line'!$AQ$2:$AQ$3001,0))</f>
        <v/>
      </c>
      <c r="V805" s="7">
        <f>IF($AD805="","",U805*T805)</f>
        <v/>
      </c>
      <c r="W805">
        <f>IF($AD805="","",Settings!$C$6)</f>
        <v/>
      </c>
      <c r="X805" s="7">
        <f>IF($AD805="","",SUMIFS('Per Line'!$AB$2:$AB$3001,'Per Line'!$E$2:$E$3001,$B805,'Per Line'!$AP$2:$AP$3001,1,'Per Line'!$AQ$2:$AQ$3001,0))</f>
        <v/>
      </c>
      <c r="Y805" s="7">
        <f>IF($AD805="","",X805*W805)</f>
        <v/>
      </c>
      <c r="Z805" s="7">
        <f>IF($AD805="","",Y805+V805)</f>
        <v/>
      </c>
      <c r="AA805" s="7">
        <f>IF($AD805="","",AB805-Z805)</f>
        <v/>
      </c>
      <c r="AB805" s="7">
        <f>IF($AD805="","",U805+X805+S805)</f>
        <v/>
      </c>
      <c r="AC805" s="7">
        <f>IF($AD805="","",AB805-Z805-P805)</f>
        <v/>
      </c>
      <c r="AD805" s="13">
        <f>IF(ROWS($AD$2:$AD805)&lt;=MAX('Per Line'!$AO$2:$AO$3001),MATCH(ROWS($AD$2:$AD805),'Per Line'!$AO$2:$AO$3001,0),"")</f>
        <v/>
      </c>
      <c r="AE805" s="14">
        <f>IF($AD805="","",P805-O805*AB805/100)</f>
        <v/>
      </c>
    </row>
    <row r="806">
      <c r="A806" s="12" t="n"/>
      <c r="B806">
        <f>IF($AD806="","",INDEX('Per Line'!$E$2:$E$3001,$AD806)&amp;"")</f>
        <v/>
      </c>
      <c r="C806">
        <f>IF($AD806="","",INDEX('Per Line'!$A$2:$A$3001,$AD806)&amp;"")</f>
        <v/>
      </c>
      <c r="D806">
        <f>IF($AD806="","",INDEX('Per Line'!$C$2:$C$3001,$AD806)&amp;"")</f>
        <v/>
      </c>
      <c r="E806">
        <f>IF($AD806="","",INDEX('Per Line'!$B$2:$B$3001,$AD806))</f>
        <v/>
      </c>
      <c r="F806">
        <f>IF($AD806="","",INDEX('Per Line'!$D$2:$D$3001,$AD806)&amp;"")</f>
        <v/>
      </c>
      <c r="G806" s="11">
        <f>IF($AD806="","",INDEX('Per Line'!$G$2:$G$3001,$AD806))</f>
        <v/>
      </c>
      <c r="H806">
        <f>IF($AD806="","",INDEX('Per Line'!$J$2:$J$3001,$AD806)&amp;"")</f>
        <v/>
      </c>
      <c r="I806">
        <f>IF($AD806="","",INDEX('Per Line'!$H$2:$H$3001,$AD806)&amp;"")</f>
        <v/>
      </c>
      <c r="J806">
        <f>IF($AD806="","",INDEX('Per Line'!$F$2:$F$3001,$AD806)&amp;"")</f>
        <v/>
      </c>
      <c r="K806">
        <f>IF($AD806="","",INDEX('Per Line'!$K$2:$K$3001,$AD806)&amp;"")</f>
        <v/>
      </c>
      <c r="L806">
        <f>IF($AD806="","",INDEX('Per Line'!$L$2:$L$3001,$AD806)&amp;"")</f>
        <v/>
      </c>
      <c r="M806">
        <f>IF($AD806="","",INDEX('Per Line'!$M$2:$M$3001,$AD806)&amp;"")</f>
        <v/>
      </c>
      <c r="N806">
        <f>IF($AD806="","",INDEX('Per Line'!$AC$2:$AC$3001,$AD806)&amp;"")</f>
        <v/>
      </c>
      <c r="O806">
        <f>IF($AD806="","",INDEX('Per Line'!$P$2:$P$3001,$AD806))</f>
        <v/>
      </c>
      <c r="P806" s="7">
        <f>IF($AD806="","",IF(AND(ISNUMBER(Q806),Q806&gt;0,AB806&gt;Q806),O806*Q806/100+(AB806-Q806),O806*AB806/100))</f>
        <v/>
      </c>
      <c r="Q806">
        <f>IF($AD806="","",INDEX('Per Line'!$AG$2:$AG$3001,$AD806))</f>
        <v/>
      </c>
      <c r="R806">
        <f>IF($AD806="","",IF(AND(ISNUMBER(Q806),Q806&gt;0),AB806&gt;Q806,FALSE))</f>
        <v/>
      </c>
      <c r="S806" s="7">
        <f>IF($AD806="","",SUMIFS('Per Line'!$AB$2:$AB$3001,'Per Line'!$E$2:$E$3001,$B806,'Per Line'!$AQ$2:$AQ$3001,1))</f>
        <v/>
      </c>
      <c r="T806">
        <f>IF($AD806="","",Settings!$C$7)</f>
        <v/>
      </c>
      <c r="U806" s="7">
        <f>IF($AD806="","",SUMIFS('Per Line'!$AB$2:$AB$3001,'Per Line'!$E$2:$E$3001,$B806,'Per Line'!$AP$2:$AP$3001,0,'Per Line'!$AQ$2:$AQ$3001,0))</f>
        <v/>
      </c>
      <c r="V806" s="7">
        <f>IF($AD806="","",U806*T806)</f>
        <v/>
      </c>
      <c r="W806">
        <f>IF($AD806="","",Settings!$C$6)</f>
        <v/>
      </c>
      <c r="X806" s="7">
        <f>IF($AD806="","",SUMIFS('Per Line'!$AB$2:$AB$3001,'Per Line'!$E$2:$E$3001,$B806,'Per Line'!$AP$2:$AP$3001,1,'Per Line'!$AQ$2:$AQ$3001,0))</f>
        <v/>
      </c>
      <c r="Y806" s="7">
        <f>IF($AD806="","",X806*W806)</f>
        <v/>
      </c>
      <c r="Z806" s="7">
        <f>IF($AD806="","",Y806+V806)</f>
        <v/>
      </c>
      <c r="AA806" s="7">
        <f>IF($AD806="","",AB806-Z806)</f>
        <v/>
      </c>
      <c r="AB806" s="7">
        <f>IF($AD806="","",U806+X806+S806)</f>
        <v/>
      </c>
      <c r="AC806" s="7">
        <f>IF($AD806="","",AB806-Z806-P806)</f>
        <v/>
      </c>
      <c r="AD806" s="13">
        <f>IF(ROWS($AD$2:$AD806)&lt;=MAX('Per Line'!$AO$2:$AO$3001),MATCH(ROWS($AD$2:$AD806),'Per Line'!$AO$2:$AO$3001,0),"")</f>
        <v/>
      </c>
      <c r="AE806" s="14">
        <f>IF($AD806="","",P806-O806*AB806/100)</f>
        <v/>
      </c>
    </row>
    <row r="807">
      <c r="A807" s="12" t="n"/>
      <c r="B807">
        <f>IF($AD807="","",INDEX('Per Line'!$E$2:$E$3001,$AD807)&amp;"")</f>
        <v/>
      </c>
      <c r="C807">
        <f>IF($AD807="","",INDEX('Per Line'!$A$2:$A$3001,$AD807)&amp;"")</f>
        <v/>
      </c>
      <c r="D807">
        <f>IF($AD807="","",INDEX('Per Line'!$C$2:$C$3001,$AD807)&amp;"")</f>
        <v/>
      </c>
      <c r="E807">
        <f>IF($AD807="","",INDEX('Per Line'!$B$2:$B$3001,$AD807))</f>
        <v/>
      </c>
      <c r="F807">
        <f>IF($AD807="","",INDEX('Per Line'!$D$2:$D$3001,$AD807)&amp;"")</f>
        <v/>
      </c>
      <c r="G807" s="11">
        <f>IF($AD807="","",INDEX('Per Line'!$G$2:$G$3001,$AD807))</f>
        <v/>
      </c>
      <c r="H807">
        <f>IF($AD807="","",INDEX('Per Line'!$J$2:$J$3001,$AD807)&amp;"")</f>
        <v/>
      </c>
      <c r="I807">
        <f>IF($AD807="","",INDEX('Per Line'!$H$2:$H$3001,$AD807)&amp;"")</f>
        <v/>
      </c>
      <c r="J807">
        <f>IF($AD807="","",INDEX('Per Line'!$F$2:$F$3001,$AD807)&amp;"")</f>
        <v/>
      </c>
      <c r="K807">
        <f>IF($AD807="","",INDEX('Per Line'!$K$2:$K$3001,$AD807)&amp;"")</f>
        <v/>
      </c>
      <c r="L807">
        <f>IF($AD807="","",INDEX('Per Line'!$L$2:$L$3001,$AD807)&amp;"")</f>
        <v/>
      </c>
      <c r="M807">
        <f>IF($AD807="","",INDEX('Per Line'!$M$2:$M$3001,$AD807)&amp;"")</f>
        <v/>
      </c>
      <c r="N807">
        <f>IF($AD807="","",INDEX('Per Line'!$AC$2:$AC$3001,$AD807)&amp;"")</f>
        <v/>
      </c>
      <c r="O807">
        <f>IF($AD807="","",INDEX('Per Line'!$P$2:$P$3001,$AD807))</f>
        <v/>
      </c>
      <c r="P807" s="7">
        <f>IF($AD807="","",IF(AND(ISNUMBER(Q807),Q807&gt;0,AB807&gt;Q807),O807*Q807/100+(AB807-Q807),O807*AB807/100))</f>
        <v/>
      </c>
      <c r="Q807">
        <f>IF($AD807="","",INDEX('Per Line'!$AG$2:$AG$3001,$AD807))</f>
        <v/>
      </c>
      <c r="R807">
        <f>IF($AD807="","",IF(AND(ISNUMBER(Q807),Q807&gt;0),AB807&gt;Q807,FALSE))</f>
        <v/>
      </c>
      <c r="S807" s="7">
        <f>IF($AD807="","",SUMIFS('Per Line'!$AB$2:$AB$3001,'Per Line'!$E$2:$E$3001,$B807,'Per Line'!$AQ$2:$AQ$3001,1))</f>
        <v/>
      </c>
      <c r="T807">
        <f>IF($AD807="","",Settings!$C$7)</f>
        <v/>
      </c>
      <c r="U807" s="7">
        <f>IF($AD807="","",SUMIFS('Per Line'!$AB$2:$AB$3001,'Per Line'!$E$2:$E$3001,$B807,'Per Line'!$AP$2:$AP$3001,0,'Per Line'!$AQ$2:$AQ$3001,0))</f>
        <v/>
      </c>
      <c r="V807" s="7">
        <f>IF($AD807="","",U807*T807)</f>
        <v/>
      </c>
      <c r="W807">
        <f>IF($AD807="","",Settings!$C$6)</f>
        <v/>
      </c>
      <c r="X807" s="7">
        <f>IF($AD807="","",SUMIFS('Per Line'!$AB$2:$AB$3001,'Per Line'!$E$2:$E$3001,$B807,'Per Line'!$AP$2:$AP$3001,1,'Per Line'!$AQ$2:$AQ$3001,0))</f>
        <v/>
      </c>
      <c r="Y807" s="7">
        <f>IF($AD807="","",X807*W807)</f>
        <v/>
      </c>
      <c r="Z807" s="7">
        <f>IF($AD807="","",Y807+V807)</f>
        <v/>
      </c>
      <c r="AA807" s="7">
        <f>IF($AD807="","",AB807-Z807)</f>
        <v/>
      </c>
      <c r="AB807" s="7">
        <f>IF($AD807="","",U807+X807+S807)</f>
        <v/>
      </c>
      <c r="AC807" s="7">
        <f>IF($AD807="","",AB807-Z807-P807)</f>
        <v/>
      </c>
      <c r="AD807" s="13">
        <f>IF(ROWS($AD$2:$AD807)&lt;=MAX('Per Line'!$AO$2:$AO$3001),MATCH(ROWS($AD$2:$AD807),'Per Line'!$AO$2:$AO$3001,0),"")</f>
        <v/>
      </c>
      <c r="AE807" s="14">
        <f>IF($AD807="","",P807-O807*AB807/100)</f>
        <v/>
      </c>
    </row>
    <row r="808">
      <c r="A808" s="12" t="n"/>
      <c r="B808">
        <f>IF($AD808="","",INDEX('Per Line'!$E$2:$E$3001,$AD808)&amp;"")</f>
        <v/>
      </c>
      <c r="C808">
        <f>IF($AD808="","",INDEX('Per Line'!$A$2:$A$3001,$AD808)&amp;"")</f>
        <v/>
      </c>
      <c r="D808">
        <f>IF($AD808="","",INDEX('Per Line'!$C$2:$C$3001,$AD808)&amp;"")</f>
        <v/>
      </c>
      <c r="E808">
        <f>IF($AD808="","",INDEX('Per Line'!$B$2:$B$3001,$AD808))</f>
        <v/>
      </c>
      <c r="F808">
        <f>IF($AD808="","",INDEX('Per Line'!$D$2:$D$3001,$AD808)&amp;"")</f>
        <v/>
      </c>
      <c r="G808" s="11">
        <f>IF($AD808="","",INDEX('Per Line'!$G$2:$G$3001,$AD808))</f>
        <v/>
      </c>
      <c r="H808">
        <f>IF($AD808="","",INDEX('Per Line'!$J$2:$J$3001,$AD808)&amp;"")</f>
        <v/>
      </c>
      <c r="I808">
        <f>IF($AD808="","",INDEX('Per Line'!$H$2:$H$3001,$AD808)&amp;"")</f>
        <v/>
      </c>
      <c r="J808">
        <f>IF($AD808="","",INDEX('Per Line'!$F$2:$F$3001,$AD808)&amp;"")</f>
        <v/>
      </c>
      <c r="K808">
        <f>IF($AD808="","",INDEX('Per Line'!$K$2:$K$3001,$AD808)&amp;"")</f>
        <v/>
      </c>
      <c r="L808">
        <f>IF($AD808="","",INDEX('Per Line'!$L$2:$L$3001,$AD808)&amp;"")</f>
        <v/>
      </c>
      <c r="M808">
        <f>IF($AD808="","",INDEX('Per Line'!$M$2:$M$3001,$AD808)&amp;"")</f>
        <v/>
      </c>
      <c r="N808">
        <f>IF($AD808="","",INDEX('Per Line'!$AC$2:$AC$3001,$AD808)&amp;"")</f>
        <v/>
      </c>
      <c r="O808">
        <f>IF($AD808="","",INDEX('Per Line'!$P$2:$P$3001,$AD808))</f>
        <v/>
      </c>
      <c r="P808" s="7">
        <f>IF($AD808="","",IF(AND(ISNUMBER(Q808),Q808&gt;0,AB808&gt;Q808),O808*Q808/100+(AB808-Q808),O808*AB808/100))</f>
        <v/>
      </c>
      <c r="Q808">
        <f>IF($AD808="","",INDEX('Per Line'!$AG$2:$AG$3001,$AD808))</f>
        <v/>
      </c>
      <c r="R808">
        <f>IF($AD808="","",IF(AND(ISNUMBER(Q808),Q808&gt;0),AB808&gt;Q808,FALSE))</f>
        <v/>
      </c>
      <c r="S808" s="7">
        <f>IF($AD808="","",SUMIFS('Per Line'!$AB$2:$AB$3001,'Per Line'!$E$2:$E$3001,$B808,'Per Line'!$AQ$2:$AQ$3001,1))</f>
        <v/>
      </c>
      <c r="T808">
        <f>IF($AD808="","",Settings!$C$7)</f>
        <v/>
      </c>
      <c r="U808" s="7">
        <f>IF($AD808="","",SUMIFS('Per Line'!$AB$2:$AB$3001,'Per Line'!$E$2:$E$3001,$B808,'Per Line'!$AP$2:$AP$3001,0,'Per Line'!$AQ$2:$AQ$3001,0))</f>
        <v/>
      </c>
      <c r="V808" s="7">
        <f>IF($AD808="","",U808*T808)</f>
        <v/>
      </c>
      <c r="W808">
        <f>IF($AD808="","",Settings!$C$6)</f>
        <v/>
      </c>
      <c r="X808" s="7">
        <f>IF($AD808="","",SUMIFS('Per Line'!$AB$2:$AB$3001,'Per Line'!$E$2:$E$3001,$B808,'Per Line'!$AP$2:$AP$3001,1,'Per Line'!$AQ$2:$AQ$3001,0))</f>
        <v/>
      </c>
      <c r="Y808" s="7">
        <f>IF($AD808="","",X808*W808)</f>
        <v/>
      </c>
      <c r="Z808" s="7">
        <f>IF($AD808="","",Y808+V808)</f>
        <v/>
      </c>
      <c r="AA808" s="7">
        <f>IF($AD808="","",AB808-Z808)</f>
        <v/>
      </c>
      <c r="AB808" s="7">
        <f>IF($AD808="","",U808+X808+S808)</f>
        <v/>
      </c>
      <c r="AC808" s="7">
        <f>IF($AD808="","",AB808-Z808-P808)</f>
        <v/>
      </c>
      <c r="AD808" s="13">
        <f>IF(ROWS($AD$2:$AD808)&lt;=MAX('Per Line'!$AO$2:$AO$3001),MATCH(ROWS($AD$2:$AD808),'Per Line'!$AO$2:$AO$3001,0),"")</f>
        <v/>
      </c>
      <c r="AE808" s="14">
        <f>IF($AD808="","",P808-O808*AB808/100)</f>
        <v/>
      </c>
    </row>
    <row r="809">
      <c r="A809" s="12" t="n"/>
      <c r="B809">
        <f>IF($AD809="","",INDEX('Per Line'!$E$2:$E$3001,$AD809)&amp;"")</f>
        <v/>
      </c>
      <c r="C809">
        <f>IF($AD809="","",INDEX('Per Line'!$A$2:$A$3001,$AD809)&amp;"")</f>
        <v/>
      </c>
      <c r="D809">
        <f>IF($AD809="","",INDEX('Per Line'!$C$2:$C$3001,$AD809)&amp;"")</f>
        <v/>
      </c>
      <c r="E809">
        <f>IF($AD809="","",INDEX('Per Line'!$B$2:$B$3001,$AD809))</f>
        <v/>
      </c>
      <c r="F809">
        <f>IF($AD809="","",INDEX('Per Line'!$D$2:$D$3001,$AD809)&amp;"")</f>
        <v/>
      </c>
      <c r="G809" s="11">
        <f>IF($AD809="","",INDEX('Per Line'!$G$2:$G$3001,$AD809))</f>
        <v/>
      </c>
      <c r="H809">
        <f>IF($AD809="","",INDEX('Per Line'!$J$2:$J$3001,$AD809)&amp;"")</f>
        <v/>
      </c>
      <c r="I809">
        <f>IF($AD809="","",INDEX('Per Line'!$H$2:$H$3001,$AD809)&amp;"")</f>
        <v/>
      </c>
      <c r="J809">
        <f>IF($AD809="","",INDEX('Per Line'!$F$2:$F$3001,$AD809)&amp;"")</f>
        <v/>
      </c>
      <c r="K809">
        <f>IF($AD809="","",INDEX('Per Line'!$K$2:$K$3001,$AD809)&amp;"")</f>
        <v/>
      </c>
      <c r="L809">
        <f>IF($AD809="","",INDEX('Per Line'!$L$2:$L$3001,$AD809)&amp;"")</f>
        <v/>
      </c>
      <c r="M809">
        <f>IF($AD809="","",INDEX('Per Line'!$M$2:$M$3001,$AD809)&amp;"")</f>
        <v/>
      </c>
      <c r="N809">
        <f>IF($AD809="","",INDEX('Per Line'!$AC$2:$AC$3001,$AD809)&amp;"")</f>
        <v/>
      </c>
      <c r="O809">
        <f>IF($AD809="","",INDEX('Per Line'!$P$2:$P$3001,$AD809))</f>
        <v/>
      </c>
      <c r="P809" s="7">
        <f>IF($AD809="","",IF(AND(ISNUMBER(Q809),Q809&gt;0,AB809&gt;Q809),O809*Q809/100+(AB809-Q809),O809*AB809/100))</f>
        <v/>
      </c>
      <c r="Q809">
        <f>IF($AD809="","",INDEX('Per Line'!$AG$2:$AG$3001,$AD809))</f>
        <v/>
      </c>
      <c r="R809">
        <f>IF($AD809="","",IF(AND(ISNUMBER(Q809),Q809&gt;0),AB809&gt;Q809,FALSE))</f>
        <v/>
      </c>
      <c r="S809" s="7">
        <f>IF($AD809="","",SUMIFS('Per Line'!$AB$2:$AB$3001,'Per Line'!$E$2:$E$3001,$B809,'Per Line'!$AQ$2:$AQ$3001,1))</f>
        <v/>
      </c>
      <c r="T809">
        <f>IF($AD809="","",Settings!$C$7)</f>
        <v/>
      </c>
      <c r="U809" s="7">
        <f>IF($AD809="","",SUMIFS('Per Line'!$AB$2:$AB$3001,'Per Line'!$E$2:$E$3001,$B809,'Per Line'!$AP$2:$AP$3001,0,'Per Line'!$AQ$2:$AQ$3001,0))</f>
        <v/>
      </c>
      <c r="V809" s="7">
        <f>IF($AD809="","",U809*T809)</f>
        <v/>
      </c>
      <c r="W809">
        <f>IF($AD809="","",Settings!$C$6)</f>
        <v/>
      </c>
      <c r="X809" s="7">
        <f>IF($AD809="","",SUMIFS('Per Line'!$AB$2:$AB$3001,'Per Line'!$E$2:$E$3001,$B809,'Per Line'!$AP$2:$AP$3001,1,'Per Line'!$AQ$2:$AQ$3001,0))</f>
        <v/>
      </c>
      <c r="Y809" s="7">
        <f>IF($AD809="","",X809*W809)</f>
        <v/>
      </c>
      <c r="Z809" s="7">
        <f>IF($AD809="","",Y809+V809)</f>
        <v/>
      </c>
      <c r="AA809" s="7">
        <f>IF($AD809="","",AB809-Z809)</f>
        <v/>
      </c>
      <c r="AB809" s="7">
        <f>IF($AD809="","",U809+X809+S809)</f>
        <v/>
      </c>
      <c r="AC809" s="7">
        <f>IF($AD809="","",AB809-Z809-P809)</f>
        <v/>
      </c>
      <c r="AD809" s="13">
        <f>IF(ROWS($AD$2:$AD809)&lt;=MAX('Per Line'!$AO$2:$AO$3001),MATCH(ROWS($AD$2:$AD809),'Per Line'!$AO$2:$AO$3001,0),"")</f>
        <v/>
      </c>
      <c r="AE809" s="14">
        <f>IF($AD809="","",P809-O809*AB809/100)</f>
        <v/>
      </c>
    </row>
    <row r="810">
      <c r="A810" s="12" t="n"/>
      <c r="B810">
        <f>IF($AD810="","",INDEX('Per Line'!$E$2:$E$3001,$AD810)&amp;"")</f>
        <v/>
      </c>
      <c r="C810">
        <f>IF($AD810="","",INDEX('Per Line'!$A$2:$A$3001,$AD810)&amp;"")</f>
        <v/>
      </c>
      <c r="D810">
        <f>IF($AD810="","",INDEX('Per Line'!$C$2:$C$3001,$AD810)&amp;"")</f>
        <v/>
      </c>
      <c r="E810">
        <f>IF($AD810="","",INDEX('Per Line'!$B$2:$B$3001,$AD810))</f>
        <v/>
      </c>
      <c r="F810">
        <f>IF($AD810="","",INDEX('Per Line'!$D$2:$D$3001,$AD810)&amp;"")</f>
        <v/>
      </c>
      <c r="G810" s="11">
        <f>IF($AD810="","",INDEX('Per Line'!$G$2:$G$3001,$AD810))</f>
        <v/>
      </c>
      <c r="H810">
        <f>IF($AD810="","",INDEX('Per Line'!$J$2:$J$3001,$AD810)&amp;"")</f>
        <v/>
      </c>
      <c r="I810">
        <f>IF($AD810="","",INDEX('Per Line'!$H$2:$H$3001,$AD810)&amp;"")</f>
        <v/>
      </c>
      <c r="J810">
        <f>IF($AD810="","",INDEX('Per Line'!$F$2:$F$3001,$AD810)&amp;"")</f>
        <v/>
      </c>
      <c r="K810">
        <f>IF($AD810="","",INDEX('Per Line'!$K$2:$K$3001,$AD810)&amp;"")</f>
        <v/>
      </c>
      <c r="L810">
        <f>IF($AD810="","",INDEX('Per Line'!$L$2:$L$3001,$AD810)&amp;"")</f>
        <v/>
      </c>
      <c r="M810">
        <f>IF($AD810="","",INDEX('Per Line'!$M$2:$M$3001,$AD810)&amp;"")</f>
        <v/>
      </c>
      <c r="N810">
        <f>IF($AD810="","",INDEX('Per Line'!$AC$2:$AC$3001,$AD810)&amp;"")</f>
        <v/>
      </c>
      <c r="O810">
        <f>IF($AD810="","",INDEX('Per Line'!$P$2:$P$3001,$AD810))</f>
        <v/>
      </c>
      <c r="P810" s="7">
        <f>IF($AD810="","",IF(AND(ISNUMBER(Q810),Q810&gt;0,AB810&gt;Q810),O810*Q810/100+(AB810-Q810),O810*AB810/100))</f>
        <v/>
      </c>
      <c r="Q810">
        <f>IF($AD810="","",INDEX('Per Line'!$AG$2:$AG$3001,$AD810))</f>
        <v/>
      </c>
      <c r="R810">
        <f>IF($AD810="","",IF(AND(ISNUMBER(Q810),Q810&gt;0),AB810&gt;Q810,FALSE))</f>
        <v/>
      </c>
      <c r="S810" s="7">
        <f>IF($AD810="","",SUMIFS('Per Line'!$AB$2:$AB$3001,'Per Line'!$E$2:$E$3001,$B810,'Per Line'!$AQ$2:$AQ$3001,1))</f>
        <v/>
      </c>
      <c r="T810">
        <f>IF($AD810="","",Settings!$C$7)</f>
        <v/>
      </c>
      <c r="U810" s="7">
        <f>IF($AD810="","",SUMIFS('Per Line'!$AB$2:$AB$3001,'Per Line'!$E$2:$E$3001,$B810,'Per Line'!$AP$2:$AP$3001,0,'Per Line'!$AQ$2:$AQ$3001,0))</f>
        <v/>
      </c>
      <c r="V810" s="7">
        <f>IF($AD810="","",U810*T810)</f>
        <v/>
      </c>
      <c r="W810">
        <f>IF($AD810="","",Settings!$C$6)</f>
        <v/>
      </c>
      <c r="X810" s="7">
        <f>IF($AD810="","",SUMIFS('Per Line'!$AB$2:$AB$3001,'Per Line'!$E$2:$E$3001,$B810,'Per Line'!$AP$2:$AP$3001,1,'Per Line'!$AQ$2:$AQ$3001,0))</f>
        <v/>
      </c>
      <c r="Y810" s="7">
        <f>IF($AD810="","",X810*W810)</f>
        <v/>
      </c>
      <c r="Z810" s="7">
        <f>IF($AD810="","",Y810+V810)</f>
        <v/>
      </c>
      <c r="AA810" s="7">
        <f>IF($AD810="","",AB810-Z810)</f>
        <v/>
      </c>
      <c r="AB810" s="7">
        <f>IF($AD810="","",U810+X810+S810)</f>
        <v/>
      </c>
      <c r="AC810" s="7">
        <f>IF($AD810="","",AB810-Z810-P810)</f>
        <v/>
      </c>
      <c r="AD810" s="13">
        <f>IF(ROWS($AD$2:$AD810)&lt;=MAX('Per Line'!$AO$2:$AO$3001),MATCH(ROWS($AD$2:$AD810),'Per Line'!$AO$2:$AO$3001,0),"")</f>
        <v/>
      </c>
      <c r="AE810" s="14">
        <f>IF($AD810="","",P810-O810*AB810/100)</f>
        <v/>
      </c>
    </row>
    <row r="811">
      <c r="A811" s="12" t="n"/>
      <c r="B811">
        <f>IF($AD811="","",INDEX('Per Line'!$E$2:$E$3001,$AD811)&amp;"")</f>
        <v/>
      </c>
      <c r="C811">
        <f>IF($AD811="","",INDEX('Per Line'!$A$2:$A$3001,$AD811)&amp;"")</f>
        <v/>
      </c>
      <c r="D811">
        <f>IF($AD811="","",INDEX('Per Line'!$C$2:$C$3001,$AD811)&amp;"")</f>
        <v/>
      </c>
      <c r="E811">
        <f>IF($AD811="","",INDEX('Per Line'!$B$2:$B$3001,$AD811))</f>
        <v/>
      </c>
      <c r="F811">
        <f>IF($AD811="","",INDEX('Per Line'!$D$2:$D$3001,$AD811)&amp;"")</f>
        <v/>
      </c>
      <c r="G811" s="11">
        <f>IF($AD811="","",INDEX('Per Line'!$G$2:$G$3001,$AD811))</f>
        <v/>
      </c>
      <c r="H811">
        <f>IF($AD811="","",INDEX('Per Line'!$J$2:$J$3001,$AD811)&amp;"")</f>
        <v/>
      </c>
      <c r="I811">
        <f>IF($AD811="","",INDEX('Per Line'!$H$2:$H$3001,$AD811)&amp;"")</f>
        <v/>
      </c>
      <c r="J811">
        <f>IF($AD811="","",INDEX('Per Line'!$F$2:$F$3001,$AD811)&amp;"")</f>
        <v/>
      </c>
      <c r="K811">
        <f>IF($AD811="","",INDEX('Per Line'!$K$2:$K$3001,$AD811)&amp;"")</f>
        <v/>
      </c>
      <c r="L811">
        <f>IF($AD811="","",INDEX('Per Line'!$L$2:$L$3001,$AD811)&amp;"")</f>
        <v/>
      </c>
      <c r="M811">
        <f>IF($AD811="","",INDEX('Per Line'!$M$2:$M$3001,$AD811)&amp;"")</f>
        <v/>
      </c>
      <c r="N811">
        <f>IF($AD811="","",INDEX('Per Line'!$AC$2:$AC$3001,$AD811)&amp;"")</f>
        <v/>
      </c>
      <c r="O811">
        <f>IF($AD811="","",INDEX('Per Line'!$P$2:$P$3001,$AD811))</f>
        <v/>
      </c>
      <c r="P811" s="7">
        <f>IF($AD811="","",IF(AND(ISNUMBER(Q811),Q811&gt;0,AB811&gt;Q811),O811*Q811/100+(AB811-Q811),O811*AB811/100))</f>
        <v/>
      </c>
      <c r="Q811">
        <f>IF($AD811="","",INDEX('Per Line'!$AG$2:$AG$3001,$AD811))</f>
        <v/>
      </c>
      <c r="R811">
        <f>IF($AD811="","",IF(AND(ISNUMBER(Q811),Q811&gt;0),AB811&gt;Q811,FALSE))</f>
        <v/>
      </c>
      <c r="S811" s="7">
        <f>IF($AD811="","",SUMIFS('Per Line'!$AB$2:$AB$3001,'Per Line'!$E$2:$E$3001,$B811,'Per Line'!$AQ$2:$AQ$3001,1))</f>
        <v/>
      </c>
      <c r="T811">
        <f>IF($AD811="","",Settings!$C$7)</f>
        <v/>
      </c>
      <c r="U811" s="7">
        <f>IF($AD811="","",SUMIFS('Per Line'!$AB$2:$AB$3001,'Per Line'!$E$2:$E$3001,$B811,'Per Line'!$AP$2:$AP$3001,0,'Per Line'!$AQ$2:$AQ$3001,0))</f>
        <v/>
      </c>
      <c r="V811" s="7">
        <f>IF($AD811="","",U811*T811)</f>
        <v/>
      </c>
      <c r="W811">
        <f>IF($AD811="","",Settings!$C$6)</f>
        <v/>
      </c>
      <c r="X811" s="7">
        <f>IF($AD811="","",SUMIFS('Per Line'!$AB$2:$AB$3001,'Per Line'!$E$2:$E$3001,$B811,'Per Line'!$AP$2:$AP$3001,1,'Per Line'!$AQ$2:$AQ$3001,0))</f>
        <v/>
      </c>
      <c r="Y811" s="7">
        <f>IF($AD811="","",X811*W811)</f>
        <v/>
      </c>
      <c r="Z811" s="7">
        <f>IF($AD811="","",Y811+V811)</f>
        <v/>
      </c>
      <c r="AA811" s="7">
        <f>IF($AD811="","",AB811-Z811)</f>
        <v/>
      </c>
      <c r="AB811" s="7">
        <f>IF($AD811="","",U811+X811+S811)</f>
        <v/>
      </c>
      <c r="AC811" s="7">
        <f>IF($AD811="","",AB811-Z811-P811)</f>
        <v/>
      </c>
      <c r="AD811" s="13">
        <f>IF(ROWS($AD$2:$AD811)&lt;=MAX('Per Line'!$AO$2:$AO$3001),MATCH(ROWS($AD$2:$AD811),'Per Line'!$AO$2:$AO$3001,0),"")</f>
        <v/>
      </c>
      <c r="AE811" s="14">
        <f>IF($AD811="","",P811-O811*AB811/100)</f>
        <v/>
      </c>
    </row>
    <row r="812">
      <c r="A812" s="12" t="n"/>
      <c r="B812">
        <f>IF($AD812="","",INDEX('Per Line'!$E$2:$E$3001,$AD812)&amp;"")</f>
        <v/>
      </c>
      <c r="C812">
        <f>IF($AD812="","",INDEX('Per Line'!$A$2:$A$3001,$AD812)&amp;"")</f>
        <v/>
      </c>
      <c r="D812">
        <f>IF($AD812="","",INDEX('Per Line'!$C$2:$C$3001,$AD812)&amp;"")</f>
        <v/>
      </c>
      <c r="E812">
        <f>IF($AD812="","",INDEX('Per Line'!$B$2:$B$3001,$AD812))</f>
        <v/>
      </c>
      <c r="F812">
        <f>IF($AD812="","",INDEX('Per Line'!$D$2:$D$3001,$AD812)&amp;"")</f>
        <v/>
      </c>
      <c r="G812" s="11">
        <f>IF($AD812="","",INDEX('Per Line'!$G$2:$G$3001,$AD812))</f>
        <v/>
      </c>
      <c r="H812">
        <f>IF($AD812="","",INDEX('Per Line'!$J$2:$J$3001,$AD812)&amp;"")</f>
        <v/>
      </c>
      <c r="I812">
        <f>IF($AD812="","",INDEX('Per Line'!$H$2:$H$3001,$AD812)&amp;"")</f>
        <v/>
      </c>
      <c r="J812">
        <f>IF($AD812="","",INDEX('Per Line'!$F$2:$F$3001,$AD812)&amp;"")</f>
        <v/>
      </c>
      <c r="K812">
        <f>IF($AD812="","",INDEX('Per Line'!$K$2:$K$3001,$AD812)&amp;"")</f>
        <v/>
      </c>
      <c r="L812">
        <f>IF($AD812="","",INDEX('Per Line'!$L$2:$L$3001,$AD812)&amp;"")</f>
        <v/>
      </c>
      <c r="M812">
        <f>IF($AD812="","",INDEX('Per Line'!$M$2:$M$3001,$AD812)&amp;"")</f>
        <v/>
      </c>
      <c r="N812">
        <f>IF($AD812="","",INDEX('Per Line'!$AC$2:$AC$3001,$AD812)&amp;"")</f>
        <v/>
      </c>
      <c r="O812">
        <f>IF($AD812="","",INDEX('Per Line'!$P$2:$P$3001,$AD812))</f>
        <v/>
      </c>
      <c r="P812" s="7">
        <f>IF($AD812="","",IF(AND(ISNUMBER(Q812),Q812&gt;0,AB812&gt;Q812),O812*Q812/100+(AB812-Q812),O812*AB812/100))</f>
        <v/>
      </c>
      <c r="Q812">
        <f>IF($AD812="","",INDEX('Per Line'!$AG$2:$AG$3001,$AD812))</f>
        <v/>
      </c>
      <c r="R812">
        <f>IF($AD812="","",IF(AND(ISNUMBER(Q812),Q812&gt;0),AB812&gt;Q812,FALSE))</f>
        <v/>
      </c>
      <c r="S812" s="7">
        <f>IF($AD812="","",SUMIFS('Per Line'!$AB$2:$AB$3001,'Per Line'!$E$2:$E$3001,$B812,'Per Line'!$AQ$2:$AQ$3001,1))</f>
        <v/>
      </c>
      <c r="T812">
        <f>IF($AD812="","",Settings!$C$7)</f>
        <v/>
      </c>
      <c r="U812" s="7">
        <f>IF($AD812="","",SUMIFS('Per Line'!$AB$2:$AB$3001,'Per Line'!$E$2:$E$3001,$B812,'Per Line'!$AP$2:$AP$3001,0,'Per Line'!$AQ$2:$AQ$3001,0))</f>
        <v/>
      </c>
      <c r="V812" s="7">
        <f>IF($AD812="","",U812*T812)</f>
        <v/>
      </c>
      <c r="W812">
        <f>IF($AD812="","",Settings!$C$6)</f>
        <v/>
      </c>
      <c r="X812" s="7">
        <f>IF($AD812="","",SUMIFS('Per Line'!$AB$2:$AB$3001,'Per Line'!$E$2:$E$3001,$B812,'Per Line'!$AP$2:$AP$3001,1,'Per Line'!$AQ$2:$AQ$3001,0))</f>
        <v/>
      </c>
      <c r="Y812" s="7">
        <f>IF($AD812="","",X812*W812)</f>
        <v/>
      </c>
      <c r="Z812" s="7">
        <f>IF($AD812="","",Y812+V812)</f>
        <v/>
      </c>
      <c r="AA812" s="7">
        <f>IF($AD812="","",AB812-Z812)</f>
        <v/>
      </c>
      <c r="AB812" s="7">
        <f>IF($AD812="","",U812+X812+S812)</f>
        <v/>
      </c>
      <c r="AC812" s="7">
        <f>IF($AD812="","",AB812-Z812-P812)</f>
        <v/>
      </c>
      <c r="AD812" s="13">
        <f>IF(ROWS($AD$2:$AD812)&lt;=MAX('Per Line'!$AO$2:$AO$3001),MATCH(ROWS($AD$2:$AD812),'Per Line'!$AO$2:$AO$3001,0),"")</f>
        <v/>
      </c>
      <c r="AE812" s="14">
        <f>IF($AD812="","",P812-O812*AB812/100)</f>
        <v/>
      </c>
    </row>
    <row r="813">
      <c r="A813" s="12" t="n"/>
      <c r="B813">
        <f>IF($AD813="","",INDEX('Per Line'!$E$2:$E$3001,$AD813)&amp;"")</f>
        <v/>
      </c>
      <c r="C813">
        <f>IF($AD813="","",INDEX('Per Line'!$A$2:$A$3001,$AD813)&amp;"")</f>
        <v/>
      </c>
      <c r="D813">
        <f>IF($AD813="","",INDEX('Per Line'!$C$2:$C$3001,$AD813)&amp;"")</f>
        <v/>
      </c>
      <c r="E813">
        <f>IF($AD813="","",INDEX('Per Line'!$B$2:$B$3001,$AD813))</f>
        <v/>
      </c>
      <c r="F813">
        <f>IF($AD813="","",INDEX('Per Line'!$D$2:$D$3001,$AD813)&amp;"")</f>
        <v/>
      </c>
      <c r="G813" s="11">
        <f>IF($AD813="","",INDEX('Per Line'!$G$2:$G$3001,$AD813))</f>
        <v/>
      </c>
      <c r="H813">
        <f>IF($AD813="","",INDEX('Per Line'!$J$2:$J$3001,$AD813)&amp;"")</f>
        <v/>
      </c>
      <c r="I813">
        <f>IF($AD813="","",INDEX('Per Line'!$H$2:$H$3001,$AD813)&amp;"")</f>
        <v/>
      </c>
      <c r="J813">
        <f>IF($AD813="","",INDEX('Per Line'!$F$2:$F$3001,$AD813)&amp;"")</f>
        <v/>
      </c>
      <c r="K813">
        <f>IF($AD813="","",INDEX('Per Line'!$K$2:$K$3001,$AD813)&amp;"")</f>
        <v/>
      </c>
      <c r="L813">
        <f>IF($AD813="","",INDEX('Per Line'!$L$2:$L$3001,$AD813)&amp;"")</f>
        <v/>
      </c>
      <c r="M813">
        <f>IF($AD813="","",INDEX('Per Line'!$M$2:$M$3001,$AD813)&amp;"")</f>
        <v/>
      </c>
      <c r="N813">
        <f>IF($AD813="","",INDEX('Per Line'!$AC$2:$AC$3001,$AD813)&amp;"")</f>
        <v/>
      </c>
      <c r="O813">
        <f>IF($AD813="","",INDEX('Per Line'!$P$2:$P$3001,$AD813))</f>
        <v/>
      </c>
      <c r="P813" s="7">
        <f>IF($AD813="","",IF(AND(ISNUMBER(Q813),Q813&gt;0,AB813&gt;Q813),O813*Q813/100+(AB813-Q813),O813*AB813/100))</f>
        <v/>
      </c>
      <c r="Q813">
        <f>IF($AD813="","",INDEX('Per Line'!$AG$2:$AG$3001,$AD813))</f>
        <v/>
      </c>
      <c r="R813">
        <f>IF($AD813="","",IF(AND(ISNUMBER(Q813),Q813&gt;0),AB813&gt;Q813,FALSE))</f>
        <v/>
      </c>
      <c r="S813" s="7">
        <f>IF($AD813="","",SUMIFS('Per Line'!$AB$2:$AB$3001,'Per Line'!$E$2:$E$3001,$B813,'Per Line'!$AQ$2:$AQ$3001,1))</f>
        <v/>
      </c>
      <c r="T813">
        <f>IF($AD813="","",Settings!$C$7)</f>
        <v/>
      </c>
      <c r="U813" s="7">
        <f>IF($AD813="","",SUMIFS('Per Line'!$AB$2:$AB$3001,'Per Line'!$E$2:$E$3001,$B813,'Per Line'!$AP$2:$AP$3001,0,'Per Line'!$AQ$2:$AQ$3001,0))</f>
        <v/>
      </c>
      <c r="V813" s="7">
        <f>IF($AD813="","",U813*T813)</f>
        <v/>
      </c>
      <c r="W813">
        <f>IF($AD813="","",Settings!$C$6)</f>
        <v/>
      </c>
      <c r="X813" s="7">
        <f>IF($AD813="","",SUMIFS('Per Line'!$AB$2:$AB$3001,'Per Line'!$E$2:$E$3001,$B813,'Per Line'!$AP$2:$AP$3001,1,'Per Line'!$AQ$2:$AQ$3001,0))</f>
        <v/>
      </c>
      <c r="Y813" s="7">
        <f>IF($AD813="","",X813*W813)</f>
        <v/>
      </c>
      <c r="Z813" s="7">
        <f>IF($AD813="","",Y813+V813)</f>
        <v/>
      </c>
      <c r="AA813" s="7">
        <f>IF($AD813="","",AB813-Z813)</f>
        <v/>
      </c>
      <c r="AB813" s="7">
        <f>IF($AD813="","",U813+X813+S813)</f>
        <v/>
      </c>
      <c r="AC813" s="7">
        <f>IF($AD813="","",AB813-Z813-P813)</f>
        <v/>
      </c>
      <c r="AD813" s="13">
        <f>IF(ROWS($AD$2:$AD813)&lt;=MAX('Per Line'!$AO$2:$AO$3001),MATCH(ROWS($AD$2:$AD813),'Per Line'!$AO$2:$AO$3001,0),"")</f>
        <v/>
      </c>
      <c r="AE813" s="14">
        <f>IF($AD813="","",P813-O813*AB813/100)</f>
        <v/>
      </c>
    </row>
    <row r="814">
      <c r="A814" s="12" t="n"/>
      <c r="B814">
        <f>IF($AD814="","",INDEX('Per Line'!$E$2:$E$3001,$AD814)&amp;"")</f>
        <v/>
      </c>
      <c r="C814">
        <f>IF($AD814="","",INDEX('Per Line'!$A$2:$A$3001,$AD814)&amp;"")</f>
        <v/>
      </c>
      <c r="D814">
        <f>IF($AD814="","",INDEX('Per Line'!$C$2:$C$3001,$AD814)&amp;"")</f>
        <v/>
      </c>
      <c r="E814">
        <f>IF($AD814="","",INDEX('Per Line'!$B$2:$B$3001,$AD814))</f>
        <v/>
      </c>
      <c r="F814">
        <f>IF($AD814="","",INDEX('Per Line'!$D$2:$D$3001,$AD814)&amp;"")</f>
        <v/>
      </c>
      <c r="G814" s="11">
        <f>IF($AD814="","",INDEX('Per Line'!$G$2:$G$3001,$AD814))</f>
        <v/>
      </c>
      <c r="H814">
        <f>IF($AD814="","",INDEX('Per Line'!$J$2:$J$3001,$AD814)&amp;"")</f>
        <v/>
      </c>
      <c r="I814">
        <f>IF($AD814="","",INDEX('Per Line'!$H$2:$H$3001,$AD814)&amp;"")</f>
        <v/>
      </c>
      <c r="J814">
        <f>IF($AD814="","",INDEX('Per Line'!$F$2:$F$3001,$AD814)&amp;"")</f>
        <v/>
      </c>
      <c r="K814">
        <f>IF($AD814="","",INDEX('Per Line'!$K$2:$K$3001,$AD814)&amp;"")</f>
        <v/>
      </c>
      <c r="L814">
        <f>IF($AD814="","",INDEX('Per Line'!$L$2:$L$3001,$AD814)&amp;"")</f>
        <v/>
      </c>
      <c r="M814">
        <f>IF($AD814="","",INDEX('Per Line'!$M$2:$M$3001,$AD814)&amp;"")</f>
        <v/>
      </c>
      <c r="N814">
        <f>IF($AD814="","",INDEX('Per Line'!$AC$2:$AC$3001,$AD814)&amp;"")</f>
        <v/>
      </c>
      <c r="O814">
        <f>IF($AD814="","",INDEX('Per Line'!$P$2:$P$3001,$AD814))</f>
        <v/>
      </c>
      <c r="P814" s="7">
        <f>IF($AD814="","",IF(AND(ISNUMBER(Q814),Q814&gt;0,AB814&gt;Q814),O814*Q814/100+(AB814-Q814),O814*AB814/100))</f>
        <v/>
      </c>
      <c r="Q814">
        <f>IF($AD814="","",INDEX('Per Line'!$AG$2:$AG$3001,$AD814))</f>
        <v/>
      </c>
      <c r="R814">
        <f>IF($AD814="","",IF(AND(ISNUMBER(Q814),Q814&gt;0),AB814&gt;Q814,FALSE))</f>
        <v/>
      </c>
      <c r="S814" s="7">
        <f>IF($AD814="","",SUMIFS('Per Line'!$AB$2:$AB$3001,'Per Line'!$E$2:$E$3001,$B814,'Per Line'!$AQ$2:$AQ$3001,1))</f>
        <v/>
      </c>
      <c r="T814">
        <f>IF($AD814="","",Settings!$C$7)</f>
        <v/>
      </c>
      <c r="U814" s="7">
        <f>IF($AD814="","",SUMIFS('Per Line'!$AB$2:$AB$3001,'Per Line'!$E$2:$E$3001,$B814,'Per Line'!$AP$2:$AP$3001,0,'Per Line'!$AQ$2:$AQ$3001,0))</f>
        <v/>
      </c>
      <c r="V814" s="7">
        <f>IF($AD814="","",U814*T814)</f>
        <v/>
      </c>
      <c r="W814">
        <f>IF($AD814="","",Settings!$C$6)</f>
        <v/>
      </c>
      <c r="X814" s="7">
        <f>IF($AD814="","",SUMIFS('Per Line'!$AB$2:$AB$3001,'Per Line'!$E$2:$E$3001,$B814,'Per Line'!$AP$2:$AP$3001,1,'Per Line'!$AQ$2:$AQ$3001,0))</f>
        <v/>
      </c>
      <c r="Y814" s="7">
        <f>IF($AD814="","",X814*W814)</f>
        <v/>
      </c>
      <c r="Z814" s="7">
        <f>IF($AD814="","",Y814+V814)</f>
        <v/>
      </c>
      <c r="AA814" s="7">
        <f>IF($AD814="","",AB814-Z814)</f>
        <v/>
      </c>
      <c r="AB814" s="7">
        <f>IF($AD814="","",U814+X814+S814)</f>
        <v/>
      </c>
      <c r="AC814" s="7">
        <f>IF($AD814="","",AB814-Z814-P814)</f>
        <v/>
      </c>
      <c r="AD814" s="13">
        <f>IF(ROWS($AD$2:$AD814)&lt;=MAX('Per Line'!$AO$2:$AO$3001),MATCH(ROWS($AD$2:$AD814),'Per Line'!$AO$2:$AO$3001,0),"")</f>
        <v/>
      </c>
      <c r="AE814" s="14">
        <f>IF($AD814="","",P814-O814*AB814/100)</f>
        <v/>
      </c>
    </row>
    <row r="815">
      <c r="A815" s="12" t="n"/>
      <c r="B815">
        <f>IF($AD815="","",INDEX('Per Line'!$E$2:$E$3001,$AD815)&amp;"")</f>
        <v/>
      </c>
      <c r="C815">
        <f>IF($AD815="","",INDEX('Per Line'!$A$2:$A$3001,$AD815)&amp;"")</f>
        <v/>
      </c>
      <c r="D815">
        <f>IF($AD815="","",INDEX('Per Line'!$C$2:$C$3001,$AD815)&amp;"")</f>
        <v/>
      </c>
      <c r="E815">
        <f>IF($AD815="","",INDEX('Per Line'!$B$2:$B$3001,$AD815))</f>
        <v/>
      </c>
      <c r="F815">
        <f>IF($AD815="","",INDEX('Per Line'!$D$2:$D$3001,$AD815)&amp;"")</f>
        <v/>
      </c>
      <c r="G815" s="11">
        <f>IF($AD815="","",INDEX('Per Line'!$G$2:$G$3001,$AD815))</f>
        <v/>
      </c>
      <c r="H815">
        <f>IF($AD815="","",INDEX('Per Line'!$J$2:$J$3001,$AD815)&amp;"")</f>
        <v/>
      </c>
      <c r="I815">
        <f>IF($AD815="","",INDEX('Per Line'!$H$2:$H$3001,$AD815)&amp;"")</f>
        <v/>
      </c>
      <c r="J815">
        <f>IF($AD815="","",INDEX('Per Line'!$F$2:$F$3001,$AD815)&amp;"")</f>
        <v/>
      </c>
      <c r="K815">
        <f>IF($AD815="","",INDEX('Per Line'!$K$2:$K$3001,$AD815)&amp;"")</f>
        <v/>
      </c>
      <c r="L815">
        <f>IF($AD815="","",INDEX('Per Line'!$L$2:$L$3001,$AD815)&amp;"")</f>
        <v/>
      </c>
      <c r="M815">
        <f>IF($AD815="","",INDEX('Per Line'!$M$2:$M$3001,$AD815)&amp;"")</f>
        <v/>
      </c>
      <c r="N815">
        <f>IF($AD815="","",INDEX('Per Line'!$AC$2:$AC$3001,$AD815)&amp;"")</f>
        <v/>
      </c>
      <c r="O815">
        <f>IF($AD815="","",INDEX('Per Line'!$P$2:$P$3001,$AD815))</f>
        <v/>
      </c>
      <c r="P815" s="7">
        <f>IF($AD815="","",IF(AND(ISNUMBER(Q815),Q815&gt;0,AB815&gt;Q815),O815*Q815/100+(AB815-Q815),O815*AB815/100))</f>
        <v/>
      </c>
      <c r="Q815">
        <f>IF($AD815="","",INDEX('Per Line'!$AG$2:$AG$3001,$AD815))</f>
        <v/>
      </c>
      <c r="R815">
        <f>IF($AD815="","",IF(AND(ISNUMBER(Q815),Q815&gt;0),AB815&gt;Q815,FALSE))</f>
        <v/>
      </c>
      <c r="S815" s="7">
        <f>IF($AD815="","",SUMIFS('Per Line'!$AB$2:$AB$3001,'Per Line'!$E$2:$E$3001,$B815,'Per Line'!$AQ$2:$AQ$3001,1))</f>
        <v/>
      </c>
      <c r="T815">
        <f>IF($AD815="","",Settings!$C$7)</f>
        <v/>
      </c>
      <c r="U815" s="7">
        <f>IF($AD815="","",SUMIFS('Per Line'!$AB$2:$AB$3001,'Per Line'!$E$2:$E$3001,$B815,'Per Line'!$AP$2:$AP$3001,0,'Per Line'!$AQ$2:$AQ$3001,0))</f>
        <v/>
      </c>
      <c r="V815" s="7">
        <f>IF($AD815="","",U815*T815)</f>
        <v/>
      </c>
      <c r="W815">
        <f>IF($AD815="","",Settings!$C$6)</f>
        <v/>
      </c>
      <c r="X815" s="7">
        <f>IF($AD815="","",SUMIFS('Per Line'!$AB$2:$AB$3001,'Per Line'!$E$2:$E$3001,$B815,'Per Line'!$AP$2:$AP$3001,1,'Per Line'!$AQ$2:$AQ$3001,0))</f>
        <v/>
      </c>
      <c r="Y815" s="7">
        <f>IF($AD815="","",X815*W815)</f>
        <v/>
      </c>
      <c r="Z815" s="7">
        <f>IF($AD815="","",Y815+V815)</f>
        <v/>
      </c>
      <c r="AA815" s="7">
        <f>IF($AD815="","",AB815-Z815)</f>
        <v/>
      </c>
      <c r="AB815" s="7">
        <f>IF($AD815="","",U815+X815+S815)</f>
        <v/>
      </c>
      <c r="AC815" s="7">
        <f>IF($AD815="","",AB815-Z815-P815)</f>
        <v/>
      </c>
      <c r="AD815" s="13">
        <f>IF(ROWS($AD$2:$AD815)&lt;=MAX('Per Line'!$AO$2:$AO$3001),MATCH(ROWS($AD$2:$AD815),'Per Line'!$AO$2:$AO$3001,0),"")</f>
        <v/>
      </c>
      <c r="AE815" s="14">
        <f>IF($AD815="","",P815-O815*AB815/100)</f>
        <v/>
      </c>
    </row>
    <row r="816">
      <c r="A816" s="12" t="n"/>
      <c r="B816">
        <f>IF($AD816="","",INDEX('Per Line'!$E$2:$E$3001,$AD816)&amp;"")</f>
        <v/>
      </c>
      <c r="C816">
        <f>IF($AD816="","",INDEX('Per Line'!$A$2:$A$3001,$AD816)&amp;"")</f>
        <v/>
      </c>
      <c r="D816">
        <f>IF($AD816="","",INDEX('Per Line'!$C$2:$C$3001,$AD816)&amp;"")</f>
        <v/>
      </c>
      <c r="E816">
        <f>IF($AD816="","",INDEX('Per Line'!$B$2:$B$3001,$AD816))</f>
        <v/>
      </c>
      <c r="F816">
        <f>IF($AD816="","",INDEX('Per Line'!$D$2:$D$3001,$AD816)&amp;"")</f>
        <v/>
      </c>
      <c r="G816" s="11">
        <f>IF($AD816="","",INDEX('Per Line'!$G$2:$G$3001,$AD816))</f>
        <v/>
      </c>
      <c r="H816">
        <f>IF($AD816="","",INDEX('Per Line'!$J$2:$J$3001,$AD816)&amp;"")</f>
        <v/>
      </c>
      <c r="I816">
        <f>IF($AD816="","",INDEX('Per Line'!$H$2:$H$3001,$AD816)&amp;"")</f>
        <v/>
      </c>
      <c r="J816">
        <f>IF($AD816="","",INDEX('Per Line'!$F$2:$F$3001,$AD816)&amp;"")</f>
        <v/>
      </c>
      <c r="K816">
        <f>IF($AD816="","",INDEX('Per Line'!$K$2:$K$3001,$AD816)&amp;"")</f>
        <v/>
      </c>
      <c r="L816">
        <f>IF($AD816="","",INDEX('Per Line'!$L$2:$L$3001,$AD816)&amp;"")</f>
        <v/>
      </c>
      <c r="M816">
        <f>IF($AD816="","",INDEX('Per Line'!$M$2:$M$3001,$AD816)&amp;"")</f>
        <v/>
      </c>
      <c r="N816">
        <f>IF($AD816="","",INDEX('Per Line'!$AC$2:$AC$3001,$AD816)&amp;"")</f>
        <v/>
      </c>
      <c r="O816">
        <f>IF($AD816="","",INDEX('Per Line'!$P$2:$P$3001,$AD816))</f>
        <v/>
      </c>
      <c r="P816" s="7">
        <f>IF($AD816="","",IF(AND(ISNUMBER(Q816),Q816&gt;0,AB816&gt;Q816),O816*Q816/100+(AB816-Q816),O816*AB816/100))</f>
        <v/>
      </c>
      <c r="Q816">
        <f>IF($AD816="","",INDEX('Per Line'!$AG$2:$AG$3001,$AD816))</f>
        <v/>
      </c>
      <c r="R816">
        <f>IF($AD816="","",IF(AND(ISNUMBER(Q816),Q816&gt;0),AB816&gt;Q816,FALSE))</f>
        <v/>
      </c>
      <c r="S816" s="7">
        <f>IF($AD816="","",SUMIFS('Per Line'!$AB$2:$AB$3001,'Per Line'!$E$2:$E$3001,$B816,'Per Line'!$AQ$2:$AQ$3001,1))</f>
        <v/>
      </c>
      <c r="T816">
        <f>IF($AD816="","",Settings!$C$7)</f>
        <v/>
      </c>
      <c r="U816" s="7">
        <f>IF($AD816="","",SUMIFS('Per Line'!$AB$2:$AB$3001,'Per Line'!$E$2:$E$3001,$B816,'Per Line'!$AP$2:$AP$3001,0,'Per Line'!$AQ$2:$AQ$3001,0))</f>
        <v/>
      </c>
      <c r="V816" s="7">
        <f>IF($AD816="","",U816*T816)</f>
        <v/>
      </c>
      <c r="W816">
        <f>IF($AD816="","",Settings!$C$6)</f>
        <v/>
      </c>
      <c r="X816" s="7">
        <f>IF($AD816="","",SUMIFS('Per Line'!$AB$2:$AB$3001,'Per Line'!$E$2:$E$3001,$B816,'Per Line'!$AP$2:$AP$3001,1,'Per Line'!$AQ$2:$AQ$3001,0))</f>
        <v/>
      </c>
      <c r="Y816" s="7">
        <f>IF($AD816="","",X816*W816)</f>
        <v/>
      </c>
      <c r="Z816" s="7">
        <f>IF($AD816="","",Y816+V816)</f>
        <v/>
      </c>
      <c r="AA816" s="7">
        <f>IF($AD816="","",AB816-Z816)</f>
        <v/>
      </c>
      <c r="AB816" s="7">
        <f>IF($AD816="","",U816+X816+S816)</f>
        <v/>
      </c>
      <c r="AC816" s="7">
        <f>IF($AD816="","",AB816-Z816-P816)</f>
        <v/>
      </c>
      <c r="AD816" s="13">
        <f>IF(ROWS($AD$2:$AD816)&lt;=MAX('Per Line'!$AO$2:$AO$3001),MATCH(ROWS($AD$2:$AD816),'Per Line'!$AO$2:$AO$3001,0),"")</f>
        <v/>
      </c>
      <c r="AE816" s="14">
        <f>IF($AD816="","",P816-O816*AB816/100)</f>
        <v/>
      </c>
    </row>
    <row r="817">
      <c r="A817" s="12" t="n"/>
      <c r="B817">
        <f>IF($AD817="","",INDEX('Per Line'!$E$2:$E$3001,$AD817)&amp;"")</f>
        <v/>
      </c>
      <c r="C817">
        <f>IF($AD817="","",INDEX('Per Line'!$A$2:$A$3001,$AD817)&amp;"")</f>
        <v/>
      </c>
      <c r="D817">
        <f>IF($AD817="","",INDEX('Per Line'!$C$2:$C$3001,$AD817)&amp;"")</f>
        <v/>
      </c>
      <c r="E817">
        <f>IF($AD817="","",INDEX('Per Line'!$B$2:$B$3001,$AD817))</f>
        <v/>
      </c>
      <c r="F817">
        <f>IF($AD817="","",INDEX('Per Line'!$D$2:$D$3001,$AD817)&amp;"")</f>
        <v/>
      </c>
      <c r="G817" s="11">
        <f>IF($AD817="","",INDEX('Per Line'!$G$2:$G$3001,$AD817))</f>
        <v/>
      </c>
      <c r="H817">
        <f>IF($AD817="","",INDEX('Per Line'!$J$2:$J$3001,$AD817)&amp;"")</f>
        <v/>
      </c>
      <c r="I817">
        <f>IF($AD817="","",INDEX('Per Line'!$H$2:$H$3001,$AD817)&amp;"")</f>
        <v/>
      </c>
      <c r="J817">
        <f>IF($AD817="","",INDEX('Per Line'!$F$2:$F$3001,$AD817)&amp;"")</f>
        <v/>
      </c>
      <c r="K817">
        <f>IF($AD817="","",INDEX('Per Line'!$K$2:$K$3001,$AD817)&amp;"")</f>
        <v/>
      </c>
      <c r="L817">
        <f>IF($AD817="","",INDEX('Per Line'!$L$2:$L$3001,$AD817)&amp;"")</f>
        <v/>
      </c>
      <c r="M817">
        <f>IF($AD817="","",INDEX('Per Line'!$M$2:$M$3001,$AD817)&amp;"")</f>
        <v/>
      </c>
      <c r="N817">
        <f>IF($AD817="","",INDEX('Per Line'!$AC$2:$AC$3001,$AD817)&amp;"")</f>
        <v/>
      </c>
      <c r="O817">
        <f>IF($AD817="","",INDEX('Per Line'!$P$2:$P$3001,$AD817))</f>
        <v/>
      </c>
      <c r="P817" s="7">
        <f>IF($AD817="","",IF(AND(ISNUMBER(Q817),Q817&gt;0,AB817&gt;Q817),O817*Q817/100+(AB817-Q817),O817*AB817/100))</f>
        <v/>
      </c>
      <c r="Q817">
        <f>IF($AD817="","",INDEX('Per Line'!$AG$2:$AG$3001,$AD817))</f>
        <v/>
      </c>
      <c r="R817">
        <f>IF($AD817="","",IF(AND(ISNUMBER(Q817),Q817&gt;0),AB817&gt;Q817,FALSE))</f>
        <v/>
      </c>
      <c r="S817" s="7">
        <f>IF($AD817="","",SUMIFS('Per Line'!$AB$2:$AB$3001,'Per Line'!$E$2:$E$3001,$B817,'Per Line'!$AQ$2:$AQ$3001,1))</f>
        <v/>
      </c>
      <c r="T817">
        <f>IF($AD817="","",Settings!$C$7)</f>
        <v/>
      </c>
      <c r="U817" s="7">
        <f>IF($AD817="","",SUMIFS('Per Line'!$AB$2:$AB$3001,'Per Line'!$E$2:$E$3001,$B817,'Per Line'!$AP$2:$AP$3001,0,'Per Line'!$AQ$2:$AQ$3001,0))</f>
        <v/>
      </c>
      <c r="V817" s="7">
        <f>IF($AD817="","",U817*T817)</f>
        <v/>
      </c>
      <c r="W817">
        <f>IF($AD817="","",Settings!$C$6)</f>
        <v/>
      </c>
      <c r="X817" s="7">
        <f>IF($AD817="","",SUMIFS('Per Line'!$AB$2:$AB$3001,'Per Line'!$E$2:$E$3001,$B817,'Per Line'!$AP$2:$AP$3001,1,'Per Line'!$AQ$2:$AQ$3001,0))</f>
        <v/>
      </c>
      <c r="Y817" s="7">
        <f>IF($AD817="","",X817*W817)</f>
        <v/>
      </c>
      <c r="Z817" s="7">
        <f>IF($AD817="","",Y817+V817)</f>
        <v/>
      </c>
      <c r="AA817" s="7">
        <f>IF($AD817="","",AB817-Z817)</f>
        <v/>
      </c>
      <c r="AB817" s="7">
        <f>IF($AD817="","",U817+X817+S817)</f>
        <v/>
      </c>
      <c r="AC817" s="7">
        <f>IF($AD817="","",AB817-Z817-P817)</f>
        <v/>
      </c>
      <c r="AD817" s="13">
        <f>IF(ROWS($AD$2:$AD817)&lt;=MAX('Per Line'!$AO$2:$AO$3001),MATCH(ROWS($AD$2:$AD817),'Per Line'!$AO$2:$AO$3001,0),"")</f>
        <v/>
      </c>
      <c r="AE817" s="14">
        <f>IF($AD817="","",P817-O817*AB817/100)</f>
        <v/>
      </c>
    </row>
    <row r="818">
      <c r="A818" s="12" t="n"/>
      <c r="B818">
        <f>IF($AD818="","",INDEX('Per Line'!$E$2:$E$3001,$AD818)&amp;"")</f>
        <v/>
      </c>
      <c r="C818">
        <f>IF($AD818="","",INDEX('Per Line'!$A$2:$A$3001,$AD818)&amp;"")</f>
        <v/>
      </c>
      <c r="D818">
        <f>IF($AD818="","",INDEX('Per Line'!$C$2:$C$3001,$AD818)&amp;"")</f>
        <v/>
      </c>
      <c r="E818">
        <f>IF($AD818="","",INDEX('Per Line'!$B$2:$B$3001,$AD818))</f>
        <v/>
      </c>
      <c r="F818">
        <f>IF($AD818="","",INDEX('Per Line'!$D$2:$D$3001,$AD818)&amp;"")</f>
        <v/>
      </c>
      <c r="G818" s="11">
        <f>IF($AD818="","",INDEX('Per Line'!$G$2:$G$3001,$AD818))</f>
        <v/>
      </c>
      <c r="H818">
        <f>IF($AD818="","",INDEX('Per Line'!$J$2:$J$3001,$AD818)&amp;"")</f>
        <v/>
      </c>
      <c r="I818">
        <f>IF($AD818="","",INDEX('Per Line'!$H$2:$H$3001,$AD818)&amp;"")</f>
        <v/>
      </c>
      <c r="J818">
        <f>IF($AD818="","",INDEX('Per Line'!$F$2:$F$3001,$AD818)&amp;"")</f>
        <v/>
      </c>
      <c r="K818">
        <f>IF($AD818="","",INDEX('Per Line'!$K$2:$K$3001,$AD818)&amp;"")</f>
        <v/>
      </c>
      <c r="L818">
        <f>IF($AD818="","",INDEX('Per Line'!$L$2:$L$3001,$AD818)&amp;"")</f>
        <v/>
      </c>
      <c r="M818">
        <f>IF($AD818="","",INDEX('Per Line'!$M$2:$M$3001,$AD818)&amp;"")</f>
        <v/>
      </c>
      <c r="N818">
        <f>IF($AD818="","",INDEX('Per Line'!$AC$2:$AC$3001,$AD818)&amp;"")</f>
        <v/>
      </c>
      <c r="O818">
        <f>IF($AD818="","",INDEX('Per Line'!$P$2:$P$3001,$AD818))</f>
        <v/>
      </c>
      <c r="P818" s="7">
        <f>IF($AD818="","",IF(AND(ISNUMBER(Q818),Q818&gt;0,AB818&gt;Q818),O818*Q818/100+(AB818-Q818),O818*AB818/100))</f>
        <v/>
      </c>
      <c r="Q818">
        <f>IF($AD818="","",INDEX('Per Line'!$AG$2:$AG$3001,$AD818))</f>
        <v/>
      </c>
      <c r="R818">
        <f>IF($AD818="","",IF(AND(ISNUMBER(Q818),Q818&gt;0),AB818&gt;Q818,FALSE))</f>
        <v/>
      </c>
      <c r="S818" s="7">
        <f>IF($AD818="","",SUMIFS('Per Line'!$AB$2:$AB$3001,'Per Line'!$E$2:$E$3001,$B818,'Per Line'!$AQ$2:$AQ$3001,1))</f>
        <v/>
      </c>
      <c r="T818">
        <f>IF($AD818="","",Settings!$C$7)</f>
        <v/>
      </c>
      <c r="U818" s="7">
        <f>IF($AD818="","",SUMIFS('Per Line'!$AB$2:$AB$3001,'Per Line'!$E$2:$E$3001,$B818,'Per Line'!$AP$2:$AP$3001,0,'Per Line'!$AQ$2:$AQ$3001,0))</f>
        <v/>
      </c>
      <c r="V818" s="7">
        <f>IF($AD818="","",U818*T818)</f>
        <v/>
      </c>
      <c r="W818">
        <f>IF($AD818="","",Settings!$C$6)</f>
        <v/>
      </c>
      <c r="X818" s="7">
        <f>IF($AD818="","",SUMIFS('Per Line'!$AB$2:$AB$3001,'Per Line'!$E$2:$E$3001,$B818,'Per Line'!$AP$2:$AP$3001,1,'Per Line'!$AQ$2:$AQ$3001,0))</f>
        <v/>
      </c>
      <c r="Y818" s="7">
        <f>IF($AD818="","",X818*W818)</f>
        <v/>
      </c>
      <c r="Z818" s="7">
        <f>IF($AD818="","",Y818+V818)</f>
        <v/>
      </c>
      <c r="AA818" s="7">
        <f>IF($AD818="","",AB818-Z818)</f>
        <v/>
      </c>
      <c r="AB818" s="7">
        <f>IF($AD818="","",U818+X818+S818)</f>
        <v/>
      </c>
      <c r="AC818" s="7">
        <f>IF($AD818="","",AB818-Z818-P818)</f>
        <v/>
      </c>
      <c r="AD818" s="13">
        <f>IF(ROWS($AD$2:$AD818)&lt;=MAX('Per Line'!$AO$2:$AO$3001),MATCH(ROWS($AD$2:$AD818),'Per Line'!$AO$2:$AO$3001,0),"")</f>
        <v/>
      </c>
      <c r="AE818" s="14">
        <f>IF($AD818="","",P818-O818*AB818/100)</f>
        <v/>
      </c>
    </row>
    <row r="819">
      <c r="A819" s="12" t="n"/>
      <c r="B819">
        <f>IF($AD819="","",INDEX('Per Line'!$E$2:$E$3001,$AD819)&amp;"")</f>
        <v/>
      </c>
      <c r="C819">
        <f>IF($AD819="","",INDEX('Per Line'!$A$2:$A$3001,$AD819)&amp;"")</f>
        <v/>
      </c>
      <c r="D819">
        <f>IF($AD819="","",INDEX('Per Line'!$C$2:$C$3001,$AD819)&amp;"")</f>
        <v/>
      </c>
      <c r="E819">
        <f>IF($AD819="","",INDEX('Per Line'!$B$2:$B$3001,$AD819))</f>
        <v/>
      </c>
      <c r="F819">
        <f>IF($AD819="","",INDEX('Per Line'!$D$2:$D$3001,$AD819)&amp;"")</f>
        <v/>
      </c>
      <c r="G819" s="11">
        <f>IF($AD819="","",INDEX('Per Line'!$G$2:$G$3001,$AD819))</f>
        <v/>
      </c>
      <c r="H819">
        <f>IF($AD819="","",INDEX('Per Line'!$J$2:$J$3001,$AD819)&amp;"")</f>
        <v/>
      </c>
      <c r="I819">
        <f>IF($AD819="","",INDEX('Per Line'!$H$2:$H$3001,$AD819)&amp;"")</f>
        <v/>
      </c>
      <c r="J819">
        <f>IF($AD819="","",INDEX('Per Line'!$F$2:$F$3001,$AD819)&amp;"")</f>
        <v/>
      </c>
      <c r="K819">
        <f>IF($AD819="","",INDEX('Per Line'!$K$2:$K$3001,$AD819)&amp;"")</f>
        <v/>
      </c>
      <c r="L819">
        <f>IF($AD819="","",INDEX('Per Line'!$L$2:$L$3001,$AD819)&amp;"")</f>
        <v/>
      </c>
      <c r="M819">
        <f>IF($AD819="","",INDEX('Per Line'!$M$2:$M$3001,$AD819)&amp;"")</f>
        <v/>
      </c>
      <c r="N819">
        <f>IF($AD819="","",INDEX('Per Line'!$AC$2:$AC$3001,$AD819)&amp;"")</f>
        <v/>
      </c>
      <c r="O819">
        <f>IF($AD819="","",INDEX('Per Line'!$P$2:$P$3001,$AD819))</f>
        <v/>
      </c>
      <c r="P819" s="7">
        <f>IF($AD819="","",IF(AND(ISNUMBER(Q819),Q819&gt;0,AB819&gt;Q819),O819*Q819/100+(AB819-Q819),O819*AB819/100))</f>
        <v/>
      </c>
      <c r="Q819">
        <f>IF($AD819="","",INDEX('Per Line'!$AG$2:$AG$3001,$AD819))</f>
        <v/>
      </c>
      <c r="R819">
        <f>IF($AD819="","",IF(AND(ISNUMBER(Q819),Q819&gt;0),AB819&gt;Q819,FALSE))</f>
        <v/>
      </c>
      <c r="S819" s="7">
        <f>IF($AD819="","",SUMIFS('Per Line'!$AB$2:$AB$3001,'Per Line'!$E$2:$E$3001,$B819,'Per Line'!$AQ$2:$AQ$3001,1))</f>
        <v/>
      </c>
      <c r="T819">
        <f>IF($AD819="","",Settings!$C$7)</f>
        <v/>
      </c>
      <c r="U819" s="7">
        <f>IF($AD819="","",SUMIFS('Per Line'!$AB$2:$AB$3001,'Per Line'!$E$2:$E$3001,$B819,'Per Line'!$AP$2:$AP$3001,0,'Per Line'!$AQ$2:$AQ$3001,0))</f>
        <v/>
      </c>
      <c r="V819" s="7">
        <f>IF($AD819="","",U819*T819)</f>
        <v/>
      </c>
      <c r="W819">
        <f>IF($AD819="","",Settings!$C$6)</f>
        <v/>
      </c>
      <c r="X819" s="7">
        <f>IF($AD819="","",SUMIFS('Per Line'!$AB$2:$AB$3001,'Per Line'!$E$2:$E$3001,$B819,'Per Line'!$AP$2:$AP$3001,1,'Per Line'!$AQ$2:$AQ$3001,0))</f>
        <v/>
      </c>
      <c r="Y819" s="7">
        <f>IF($AD819="","",X819*W819)</f>
        <v/>
      </c>
      <c r="Z819" s="7">
        <f>IF($AD819="","",Y819+V819)</f>
        <v/>
      </c>
      <c r="AA819" s="7">
        <f>IF($AD819="","",AB819-Z819)</f>
        <v/>
      </c>
      <c r="AB819" s="7">
        <f>IF($AD819="","",U819+X819+S819)</f>
        <v/>
      </c>
      <c r="AC819" s="7">
        <f>IF($AD819="","",AB819-Z819-P819)</f>
        <v/>
      </c>
      <c r="AD819" s="13">
        <f>IF(ROWS($AD$2:$AD819)&lt;=MAX('Per Line'!$AO$2:$AO$3001),MATCH(ROWS($AD$2:$AD819),'Per Line'!$AO$2:$AO$3001,0),"")</f>
        <v/>
      </c>
      <c r="AE819" s="14">
        <f>IF($AD819="","",P819-O819*AB819/100)</f>
        <v/>
      </c>
    </row>
    <row r="820">
      <c r="A820" s="12" t="n"/>
      <c r="B820">
        <f>IF($AD820="","",INDEX('Per Line'!$E$2:$E$3001,$AD820)&amp;"")</f>
        <v/>
      </c>
      <c r="C820">
        <f>IF($AD820="","",INDEX('Per Line'!$A$2:$A$3001,$AD820)&amp;"")</f>
        <v/>
      </c>
      <c r="D820">
        <f>IF($AD820="","",INDEX('Per Line'!$C$2:$C$3001,$AD820)&amp;"")</f>
        <v/>
      </c>
      <c r="E820">
        <f>IF($AD820="","",INDEX('Per Line'!$B$2:$B$3001,$AD820))</f>
        <v/>
      </c>
      <c r="F820">
        <f>IF($AD820="","",INDEX('Per Line'!$D$2:$D$3001,$AD820)&amp;"")</f>
        <v/>
      </c>
      <c r="G820" s="11">
        <f>IF($AD820="","",INDEX('Per Line'!$G$2:$G$3001,$AD820))</f>
        <v/>
      </c>
      <c r="H820">
        <f>IF($AD820="","",INDEX('Per Line'!$J$2:$J$3001,$AD820)&amp;"")</f>
        <v/>
      </c>
      <c r="I820">
        <f>IF($AD820="","",INDEX('Per Line'!$H$2:$H$3001,$AD820)&amp;"")</f>
        <v/>
      </c>
      <c r="J820">
        <f>IF($AD820="","",INDEX('Per Line'!$F$2:$F$3001,$AD820)&amp;"")</f>
        <v/>
      </c>
      <c r="K820">
        <f>IF($AD820="","",INDEX('Per Line'!$K$2:$K$3001,$AD820)&amp;"")</f>
        <v/>
      </c>
      <c r="L820">
        <f>IF($AD820="","",INDEX('Per Line'!$L$2:$L$3001,$AD820)&amp;"")</f>
        <v/>
      </c>
      <c r="M820">
        <f>IF($AD820="","",INDEX('Per Line'!$M$2:$M$3001,$AD820)&amp;"")</f>
        <v/>
      </c>
      <c r="N820">
        <f>IF($AD820="","",INDEX('Per Line'!$AC$2:$AC$3001,$AD820)&amp;"")</f>
        <v/>
      </c>
      <c r="O820">
        <f>IF($AD820="","",INDEX('Per Line'!$P$2:$P$3001,$AD820))</f>
        <v/>
      </c>
      <c r="P820" s="7">
        <f>IF($AD820="","",IF(AND(ISNUMBER(Q820),Q820&gt;0,AB820&gt;Q820),O820*Q820/100+(AB820-Q820),O820*AB820/100))</f>
        <v/>
      </c>
      <c r="Q820">
        <f>IF($AD820="","",INDEX('Per Line'!$AG$2:$AG$3001,$AD820))</f>
        <v/>
      </c>
      <c r="R820">
        <f>IF($AD820="","",IF(AND(ISNUMBER(Q820),Q820&gt;0),AB820&gt;Q820,FALSE))</f>
        <v/>
      </c>
      <c r="S820" s="7">
        <f>IF($AD820="","",SUMIFS('Per Line'!$AB$2:$AB$3001,'Per Line'!$E$2:$E$3001,$B820,'Per Line'!$AQ$2:$AQ$3001,1))</f>
        <v/>
      </c>
      <c r="T820">
        <f>IF($AD820="","",Settings!$C$7)</f>
        <v/>
      </c>
      <c r="U820" s="7">
        <f>IF($AD820="","",SUMIFS('Per Line'!$AB$2:$AB$3001,'Per Line'!$E$2:$E$3001,$B820,'Per Line'!$AP$2:$AP$3001,0,'Per Line'!$AQ$2:$AQ$3001,0))</f>
        <v/>
      </c>
      <c r="V820" s="7">
        <f>IF($AD820="","",U820*T820)</f>
        <v/>
      </c>
      <c r="W820">
        <f>IF($AD820="","",Settings!$C$6)</f>
        <v/>
      </c>
      <c r="X820" s="7">
        <f>IF($AD820="","",SUMIFS('Per Line'!$AB$2:$AB$3001,'Per Line'!$E$2:$E$3001,$B820,'Per Line'!$AP$2:$AP$3001,1,'Per Line'!$AQ$2:$AQ$3001,0))</f>
        <v/>
      </c>
      <c r="Y820" s="7">
        <f>IF($AD820="","",X820*W820)</f>
        <v/>
      </c>
      <c r="Z820" s="7">
        <f>IF($AD820="","",Y820+V820)</f>
        <v/>
      </c>
      <c r="AA820" s="7">
        <f>IF($AD820="","",AB820-Z820)</f>
        <v/>
      </c>
      <c r="AB820" s="7">
        <f>IF($AD820="","",U820+X820+S820)</f>
        <v/>
      </c>
      <c r="AC820" s="7">
        <f>IF($AD820="","",AB820-Z820-P820)</f>
        <v/>
      </c>
      <c r="AD820" s="13">
        <f>IF(ROWS($AD$2:$AD820)&lt;=MAX('Per Line'!$AO$2:$AO$3001),MATCH(ROWS($AD$2:$AD820),'Per Line'!$AO$2:$AO$3001,0),"")</f>
        <v/>
      </c>
      <c r="AE820" s="14">
        <f>IF($AD820="","",P820-O820*AB820/100)</f>
        <v/>
      </c>
    </row>
    <row r="821">
      <c r="A821" s="12" t="n"/>
      <c r="B821">
        <f>IF($AD821="","",INDEX('Per Line'!$E$2:$E$3001,$AD821)&amp;"")</f>
        <v/>
      </c>
      <c r="C821">
        <f>IF($AD821="","",INDEX('Per Line'!$A$2:$A$3001,$AD821)&amp;"")</f>
        <v/>
      </c>
      <c r="D821">
        <f>IF($AD821="","",INDEX('Per Line'!$C$2:$C$3001,$AD821)&amp;"")</f>
        <v/>
      </c>
      <c r="E821">
        <f>IF($AD821="","",INDEX('Per Line'!$B$2:$B$3001,$AD821))</f>
        <v/>
      </c>
      <c r="F821">
        <f>IF($AD821="","",INDEX('Per Line'!$D$2:$D$3001,$AD821)&amp;"")</f>
        <v/>
      </c>
      <c r="G821" s="11">
        <f>IF($AD821="","",INDEX('Per Line'!$G$2:$G$3001,$AD821))</f>
        <v/>
      </c>
      <c r="H821">
        <f>IF($AD821="","",INDEX('Per Line'!$J$2:$J$3001,$AD821)&amp;"")</f>
        <v/>
      </c>
      <c r="I821">
        <f>IF($AD821="","",INDEX('Per Line'!$H$2:$H$3001,$AD821)&amp;"")</f>
        <v/>
      </c>
      <c r="J821">
        <f>IF($AD821="","",INDEX('Per Line'!$F$2:$F$3001,$AD821)&amp;"")</f>
        <v/>
      </c>
      <c r="K821">
        <f>IF($AD821="","",INDEX('Per Line'!$K$2:$K$3001,$AD821)&amp;"")</f>
        <v/>
      </c>
      <c r="L821">
        <f>IF($AD821="","",INDEX('Per Line'!$L$2:$L$3001,$AD821)&amp;"")</f>
        <v/>
      </c>
      <c r="M821">
        <f>IF($AD821="","",INDEX('Per Line'!$M$2:$M$3001,$AD821)&amp;"")</f>
        <v/>
      </c>
      <c r="N821">
        <f>IF($AD821="","",INDEX('Per Line'!$AC$2:$AC$3001,$AD821)&amp;"")</f>
        <v/>
      </c>
      <c r="O821">
        <f>IF($AD821="","",INDEX('Per Line'!$P$2:$P$3001,$AD821))</f>
        <v/>
      </c>
      <c r="P821" s="7">
        <f>IF($AD821="","",IF(AND(ISNUMBER(Q821),Q821&gt;0,AB821&gt;Q821),O821*Q821/100+(AB821-Q821),O821*AB821/100))</f>
        <v/>
      </c>
      <c r="Q821">
        <f>IF($AD821="","",INDEX('Per Line'!$AG$2:$AG$3001,$AD821))</f>
        <v/>
      </c>
      <c r="R821">
        <f>IF($AD821="","",IF(AND(ISNUMBER(Q821),Q821&gt;0),AB821&gt;Q821,FALSE))</f>
        <v/>
      </c>
      <c r="S821" s="7">
        <f>IF($AD821="","",SUMIFS('Per Line'!$AB$2:$AB$3001,'Per Line'!$E$2:$E$3001,$B821,'Per Line'!$AQ$2:$AQ$3001,1))</f>
        <v/>
      </c>
      <c r="T821">
        <f>IF($AD821="","",Settings!$C$7)</f>
        <v/>
      </c>
      <c r="U821" s="7">
        <f>IF($AD821="","",SUMIFS('Per Line'!$AB$2:$AB$3001,'Per Line'!$E$2:$E$3001,$B821,'Per Line'!$AP$2:$AP$3001,0,'Per Line'!$AQ$2:$AQ$3001,0))</f>
        <v/>
      </c>
      <c r="V821" s="7">
        <f>IF($AD821="","",U821*T821)</f>
        <v/>
      </c>
      <c r="W821">
        <f>IF($AD821="","",Settings!$C$6)</f>
        <v/>
      </c>
      <c r="X821" s="7">
        <f>IF($AD821="","",SUMIFS('Per Line'!$AB$2:$AB$3001,'Per Line'!$E$2:$E$3001,$B821,'Per Line'!$AP$2:$AP$3001,1,'Per Line'!$AQ$2:$AQ$3001,0))</f>
        <v/>
      </c>
      <c r="Y821" s="7">
        <f>IF($AD821="","",X821*W821)</f>
        <v/>
      </c>
      <c r="Z821" s="7">
        <f>IF($AD821="","",Y821+V821)</f>
        <v/>
      </c>
      <c r="AA821" s="7">
        <f>IF($AD821="","",AB821-Z821)</f>
        <v/>
      </c>
      <c r="AB821" s="7">
        <f>IF($AD821="","",U821+X821+S821)</f>
        <v/>
      </c>
      <c r="AC821" s="7">
        <f>IF($AD821="","",AB821-Z821-P821)</f>
        <v/>
      </c>
      <c r="AD821" s="13">
        <f>IF(ROWS($AD$2:$AD821)&lt;=MAX('Per Line'!$AO$2:$AO$3001),MATCH(ROWS($AD$2:$AD821),'Per Line'!$AO$2:$AO$3001,0),"")</f>
        <v/>
      </c>
      <c r="AE821" s="14">
        <f>IF($AD821="","",P821-O821*AB821/100)</f>
        <v/>
      </c>
    </row>
    <row r="822">
      <c r="A822" s="12" t="n"/>
      <c r="B822">
        <f>IF($AD822="","",INDEX('Per Line'!$E$2:$E$3001,$AD822)&amp;"")</f>
        <v/>
      </c>
      <c r="C822">
        <f>IF($AD822="","",INDEX('Per Line'!$A$2:$A$3001,$AD822)&amp;"")</f>
        <v/>
      </c>
      <c r="D822">
        <f>IF($AD822="","",INDEX('Per Line'!$C$2:$C$3001,$AD822)&amp;"")</f>
        <v/>
      </c>
      <c r="E822">
        <f>IF($AD822="","",INDEX('Per Line'!$B$2:$B$3001,$AD822))</f>
        <v/>
      </c>
      <c r="F822">
        <f>IF($AD822="","",INDEX('Per Line'!$D$2:$D$3001,$AD822)&amp;"")</f>
        <v/>
      </c>
      <c r="G822" s="11">
        <f>IF($AD822="","",INDEX('Per Line'!$G$2:$G$3001,$AD822))</f>
        <v/>
      </c>
      <c r="H822">
        <f>IF($AD822="","",INDEX('Per Line'!$J$2:$J$3001,$AD822)&amp;"")</f>
        <v/>
      </c>
      <c r="I822">
        <f>IF($AD822="","",INDEX('Per Line'!$H$2:$H$3001,$AD822)&amp;"")</f>
        <v/>
      </c>
      <c r="J822">
        <f>IF($AD822="","",INDEX('Per Line'!$F$2:$F$3001,$AD822)&amp;"")</f>
        <v/>
      </c>
      <c r="K822">
        <f>IF($AD822="","",INDEX('Per Line'!$K$2:$K$3001,$AD822)&amp;"")</f>
        <v/>
      </c>
      <c r="L822">
        <f>IF($AD822="","",INDEX('Per Line'!$L$2:$L$3001,$AD822)&amp;"")</f>
        <v/>
      </c>
      <c r="M822">
        <f>IF($AD822="","",INDEX('Per Line'!$M$2:$M$3001,$AD822)&amp;"")</f>
        <v/>
      </c>
      <c r="N822">
        <f>IF($AD822="","",INDEX('Per Line'!$AC$2:$AC$3001,$AD822)&amp;"")</f>
        <v/>
      </c>
      <c r="O822">
        <f>IF($AD822="","",INDEX('Per Line'!$P$2:$P$3001,$AD822))</f>
        <v/>
      </c>
      <c r="P822" s="7">
        <f>IF($AD822="","",IF(AND(ISNUMBER(Q822),Q822&gt;0,AB822&gt;Q822),O822*Q822/100+(AB822-Q822),O822*AB822/100))</f>
        <v/>
      </c>
      <c r="Q822">
        <f>IF($AD822="","",INDEX('Per Line'!$AG$2:$AG$3001,$AD822))</f>
        <v/>
      </c>
      <c r="R822">
        <f>IF($AD822="","",IF(AND(ISNUMBER(Q822),Q822&gt;0),AB822&gt;Q822,FALSE))</f>
        <v/>
      </c>
      <c r="S822" s="7">
        <f>IF($AD822="","",SUMIFS('Per Line'!$AB$2:$AB$3001,'Per Line'!$E$2:$E$3001,$B822,'Per Line'!$AQ$2:$AQ$3001,1))</f>
        <v/>
      </c>
      <c r="T822">
        <f>IF($AD822="","",Settings!$C$7)</f>
        <v/>
      </c>
      <c r="U822" s="7">
        <f>IF($AD822="","",SUMIFS('Per Line'!$AB$2:$AB$3001,'Per Line'!$E$2:$E$3001,$B822,'Per Line'!$AP$2:$AP$3001,0,'Per Line'!$AQ$2:$AQ$3001,0))</f>
        <v/>
      </c>
      <c r="V822" s="7">
        <f>IF($AD822="","",U822*T822)</f>
        <v/>
      </c>
      <c r="W822">
        <f>IF($AD822="","",Settings!$C$6)</f>
        <v/>
      </c>
      <c r="X822" s="7">
        <f>IF($AD822="","",SUMIFS('Per Line'!$AB$2:$AB$3001,'Per Line'!$E$2:$E$3001,$B822,'Per Line'!$AP$2:$AP$3001,1,'Per Line'!$AQ$2:$AQ$3001,0))</f>
        <v/>
      </c>
      <c r="Y822" s="7">
        <f>IF($AD822="","",X822*W822)</f>
        <v/>
      </c>
      <c r="Z822" s="7">
        <f>IF($AD822="","",Y822+V822)</f>
        <v/>
      </c>
      <c r="AA822" s="7">
        <f>IF($AD822="","",AB822-Z822)</f>
        <v/>
      </c>
      <c r="AB822" s="7">
        <f>IF($AD822="","",U822+X822+S822)</f>
        <v/>
      </c>
      <c r="AC822" s="7">
        <f>IF($AD822="","",AB822-Z822-P822)</f>
        <v/>
      </c>
      <c r="AD822" s="13">
        <f>IF(ROWS($AD$2:$AD822)&lt;=MAX('Per Line'!$AO$2:$AO$3001),MATCH(ROWS($AD$2:$AD822),'Per Line'!$AO$2:$AO$3001,0),"")</f>
        <v/>
      </c>
      <c r="AE822" s="14">
        <f>IF($AD822="","",P822-O822*AB822/100)</f>
        <v/>
      </c>
    </row>
    <row r="823">
      <c r="A823" s="12" t="n"/>
      <c r="B823">
        <f>IF($AD823="","",INDEX('Per Line'!$E$2:$E$3001,$AD823)&amp;"")</f>
        <v/>
      </c>
      <c r="C823">
        <f>IF($AD823="","",INDEX('Per Line'!$A$2:$A$3001,$AD823)&amp;"")</f>
        <v/>
      </c>
      <c r="D823">
        <f>IF($AD823="","",INDEX('Per Line'!$C$2:$C$3001,$AD823)&amp;"")</f>
        <v/>
      </c>
      <c r="E823">
        <f>IF($AD823="","",INDEX('Per Line'!$B$2:$B$3001,$AD823))</f>
        <v/>
      </c>
      <c r="F823">
        <f>IF($AD823="","",INDEX('Per Line'!$D$2:$D$3001,$AD823)&amp;"")</f>
        <v/>
      </c>
      <c r="G823" s="11">
        <f>IF($AD823="","",INDEX('Per Line'!$G$2:$G$3001,$AD823))</f>
        <v/>
      </c>
      <c r="H823">
        <f>IF($AD823="","",INDEX('Per Line'!$J$2:$J$3001,$AD823)&amp;"")</f>
        <v/>
      </c>
      <c r="I823">
        <f>IF($AD823="","",INDEX('Per Line'!$H$2:$H$3001,$AD823)&amp;"")</f>
        <v/>
      </c>
      <c r="J823">
        <f>IF($AD823="","",INDEX('Per Line'!$F$2:$F$3001,$AD823)&amp;"")</f>
        <v/>
      </c>
      <c r="K823">
        <f>IF($AD823="","",INDEX('Per Line'!$K$2:$K$3001,$AD823)&amp;"")</f>
        <v/>
      </c>
      <c r="L823">
        <f>IF($AD823="","",INDEX('Per Line'!$L$2:$L$3001,$AD823)&amp;"")</f>
        <v/>
      </c>
      <c r="M823">
        <f>IF($AD823="","",INDEX('Per Line'!$M$2:$M$3001,$AD823)&amp;"")</f>
        <v/>
      </c>
      <c r="N823">
        <f>IF($AD823="","",INDEX('Per Line'!$AC$2:$AC$3001,$AD823)&amp;"")</f>
        <v/>
      </c>
      <c r="O823">
        <f>IF($AD823="","",INDEX('Per Line'!$P$2:$P$3001,$AD823))</f>
        <v/>
      </c>
      <c r="P823" s="7">
        <f>IF($AD823="","",IF(AND(ISNUMBER(Q823),Q823&gt;0,AB823&gt;Q823),O823*Q823/100+(AB823-Q823),O823*AB823/100))</f>
        <v/>
      </c>
      <c r="Q823">
        <f>IF($AD823="","",INDEX('Per Line'!$AG$2:$AG$3001,$AD823))</f>
        <v/>
      </c>
      <c r="R823">
        <f>IF($AD823="","",IF(AND(ISNUMBER(Q823),Q823&gt;0),AB823&gt;Q823,FALSE))</f>
        <v/>
      </c>
      <c r="S823" s="7">
        <f>IF($AD823="","",SUMIFS('Per Line'!$AB$2:$AB$3001,'Per Line'!$E$2:$E$3001,$B823,'Per Line'!$AQ$2:$AQ$3001,1))</f>
        <v/>
      </c>
      <c r="T823">
        <f>IF($AD823="","",Settings!$C$7)</f>
        <v/>
      </c>
      <c r="U823" s="7">
        <f>IF($AD823="","",SUMIFS('Per Line'!$AB$2:$AB$3001,'Per Line'!$E$2:$E$3001,$B823,'Per Line'!$AP$2:$AP$3001,0,'Per Line'!$AQ$2:$AQ$3001,0))</f>
        <v/>
      </c>
      <c r="V823" s="7">
        <f>IF($AD823="","",U823*T823)</f>
        <v/>
      </c>
      <c r="W823">
        <f>IF($AD823="","",Settings!$C$6)</f>
        <v/>
      </c>
      <c r="X823" s="7">
        <f>IF($AD823="","",SUMIFS('Per Line'!$AB$2:$AB$3001,'Per Line'!$E$2:$E$3001,$B823,'Per Line'!$AP$2:$AP$3001,1,'Per Line'!$AQ$2:$AQ$3001,0))</f>
        <v/>
      </c>
      <c r="Y823" s="7">
        <f>IF($AD823="","",X823*W823)</f>
        <v/>
      </c>
      <c r="Z823" s="7">
        <f>IF($AD823="","",Y823+V823)</f>
        <v/>
      </c>
      <c r="AA823" s="7">
        <f>IF($AD823="","",AB823-Z823)</f>
        <v/>
      </c>
      <c r="AB823" s="7">
        <f>IF($AD823="","",U823+X823+S823)</f>
        <v/>
      </c>
      <c r="AC823" s="7">
        <f>IF($AD823="","",AB823-Z823-P823)</f>
        <v/>
      </c>
      <c r="AD823" s="13">
        <f>IF(ROWS($AD$2:$AD823)&lt;=MAX('Per Line'!$AO$2:$AO$3001),MATCH(ROWS($AD$2:$AD823),'Per Line'!$AO$2:$AO$3001,0),"")</f>
        <v/>
      </c>
      <c r="AE823" s="14">
        <f>IF($AD823="","",P823-O823*AB823/100)</f>
        <v/>
      </c>
    </row>
    <row r="824">
      <c r="A824" s="12" t="n"/>
      <c r="B824">
        <f>IF($AD824="","",INDEX('Per Line'!$E$2:$E$3001,$AD824)&amp;"")</f>
        <v/>
      </c>
      <c r="C824">
        <f>IF($AD824="","",INDEX('Per Line'!$A$2:$A$3001,$AD824)&amp;"")</f>
        <v/>
      </c>
      <c r="D824">
        <f>IF($AD824="","",INDEX('Per Line'!$C$2:$C$3001,$AD824)&amp;"")</f>
        <v/>
      </c>
      <c r="E824">
        <f>IF($AD824="","",INDEX('Per Line'!$B$2:$B$3001,$AD824))</f>
        <v/>
      </c>
      <c r="F824">
        <f>IF($AD824="","",INDEX('Per Line'!$D$2:$D$3001,$AD824)&amp;"")</f>
        <v/>
      </c>
      <c r="G824" s="11">
        <f>IF($AD824="","",INDEX('Per Line'!$G$2:$G$3001,$AD824))</f>
        <v/>
      </c>
      <c r="H824">
        <f>IF($AD824="","",INDEX('Per Line'!$J$2:$J$3001,$AD824)&amp;"")</f>
        <v/>
      </c>
      <c r="I824">
        <f>IF($AD824="","",INDEX('Per Line'!$H$2:$H$3001,$AD824)&amp;"")</f>
        <v/>
      </c>
      <c r="J824">
        <f>IF($AD824="","",INDEX('Per Line'!$F$2:$F$3001,$AD824)&amp;"")</f>
        <v/>
      </c>
      <c r="K824">
        <f>IF($AD824="","",INDEX('Per Line'!$K$2:$K$3001,$AD824)&amp;"")</f>
        <v/>
      </c>
      <c r="L824">
        <f>IF($AD824="","",INDEX('Per Line'!$L$2:$L$3001,$AD824)&amp;"")</f>
        <v/>
      </c>
      <c r="M824">
        <f>IF($AD824="","",INDEX('Per Line'!$M$2:$M$3001,$AD824)&amp;"")</f>
        <v/>
      </c>
      <c r="N824">
        <f>IF($AD824="","",INDEX('Per Line'!$AC$2:$AC$3001,$AD824)&amp;"")</f>
        <v/>
      </c>
      <c r="O824">
        <f>IF($AD824="","",INDEX('Per Line'!$P$2:$P$3001,$AD824))</f>
        <v/>
      </c>
      <c r="P824" s="7">
        <f>IF($AD824="","",IF(AND(ISNUMBER(Q824),Q824&gt;0,AB824&gt;Q824),O824*Q824/100+(AB824-Q824),O824*AB824/100))</f>
        <v/>
      </c>
      <c r="Q824">
        <f>IF($AD824="","",INDEX('Per Line'!$AG$2:$AG$3001,$AD824))</f>
        <v/>
      </c>
      <c r="R824">
        <f>IF($AD824="","",IF(AND(ISNUMBER(Q824),Q824&gt;0),AB824&gt;Q824,FALSE))</f>
        <v/>
      </c>
      <c r="S824" s="7">
        <f>IF($AD824="","",SUMIFS('Per Line'!$AB$2:$AB$3001,'Per Line'!$E$2:$E$3001,$B824,'Per Line'!$AQ$2:$AQ$3001,1))</f>
        <v/>
      </c>
      <c r="T824">
        <f>IF($AD824="","",Settings!$C$7)</f>
        <v/>
      </c>
      <c r="U824" s="7">
        <f>IF($AD824="","",SUMIFS('Per Line'!$AB$2:$AB$3001,'Per Line'!$E$2:$E$3001,$B824,'Per Line'!$AP$2:$AP$3001,0,'Per Line'!$AQ$2:$AQ$3001,0))</f>
        <v/>
      </c>
      <c r="V824" s="7">
        <f>IF($AD824="","",U824*T824)</f>
        <v/>
      </c>
      <c r="W824">
        <f>IF($AD824="","",Settings!$C$6)</f>
        <v/>
      </c>
      <c r="X824" s="7">
        <f>IF($AD824="","",SUMIFS('Per Line'!$AB$2:$AB$3001,'Per Line'!$E$2:$E$3001,$B824,'Per Line'!$AP$2:$AP$3001,1,'Per Line'!$AQ$2:$AQ$3001,0))</f>
        <v/>
      </c>
      <c r="Y824" s="7">
        <f>IF($AD824="","",X824*W824)</f>
        <v/>
      </c>
      <c r="Z824" s="7">
        <f>IF($AD824="","",Y824+V824)</f>
        <v/>
      </c>
      <c r="AA824" s="7">
        <f>IF($AD824="","",AB824-Z824)</f>
        <v/>
      </c>
      <c r="AB824" s="7">
        <f>IF($AD824="","",U824+X824+S824)</f>
        <v/>
      </c>
      <c r="AC824" s="7">
        <f>IF($AD824="","",AB824-Z824-P824)</f>
        <v/>
      </c>
      <c r="AD824" s="13">
        <f>IF(ROWS($AD$2:$AD824)&lt;=MAX('Per Line'!$AO$2:$AO$3001),MATCH(ROWS($AD$2:$AD824),'Per Line'!$AO$2:$AO$3001,0),"")</f>
        <v/>
      </c>
      <c r="AE824" s="14">
        <f>IF($AD824="","",P824-O824*AB824/100)</f>
        <v/>
      </c>
    </row>
    <row r="825">
      <c r="A825" s="12" t="n"/>
      <c r="B825">
        <f>IF($AD825="","",INDEX('Per Line'!$E$2:$E$3001,$AD825)&amp;"")</f>
        <v/>
      </c>
      <c r="C825">
        <f>IF($AD825="","",INDEX('Per Line'!$A$2:$A$3001,$AD825)&amp;"")</f>
        <v/>
      </c>
      <c r="D825">
        <f>IF($AD825="","",INDEX('Per Line'!$C$2:$C$3001,$AD825)&amp;"")</f>
        <v/>
      </c>
      <c r="E825">
        <f>IF($AD825="","",INDEX('Per Line'!$B$2:$B$3001,$AD825))</f>
        <v/>
      </c>
      <c r="F825">
        <f>IF($AD825="","",INDEX('Per Line'!$D$2:$D$3001,$AD825)&amp;"")</f>
        <v/>
      </c>
      <c r="G825" s="11">
        <f>IF($AD825="","",INDEX('Per Line'!$G$2:$G$3001,$AD825))</f>
        <v/>
      </c>
      <c r="H825">
        <f>IF($AD825="","",INDEX('Per Line'!$J$2:$J$3001,$AD825)&amp;"")</f>
        <v/>
      </c>
      <c r="I825">
        <f>IF($AD825="","",INDEX('Per Line'!$H$2:$H$3001,$AD825)&amp;"")</f>
        <v/>
      </c>
      <c r="J825">
        <f>IF($AD825="","",INDEX('Per Line'!$F$2:$F$3001,$AD825)&amp;"")</f>
        <v/>
      </c>
      <c r="K825">
        <f>IF($AD825="","",INDEX('Per Line'!$K$2:$K$3001,$AD825)&amp;"")</f>
        <v/>
      </c>
      <c r="L825">
        <f>IF($AD825="","",INDEX('Per Line'!$L$2:$L$3001,$AD825)&amp;"")</f>
        <v/>
      </c>
      <c r="M825">
        <f>IF($AD825="","",INDEX('Per Line'!$M$2:$M$3001,$AD825)&amp;"")</f>
        <v/>
      </c>
      <c r="N825">
        <f>IF($AD825="","",INDEX('Per Line'!$AC$2:$AC$3001,$AD825)&amp;"")</f>
        <v/>
      </c>
      <c r="O825">
        <f>IF($AD825="","",INDEX('Per Line'!$P$2:$P$3001,$AD825))</f>
        <v/>
      </c>
      <c r="P825" s="7">
        <f>IF($AD825="","",IF(AND(ISNUMBER(Q825),Q825&gt;0,AB825&gt;Q825),O825*Q825/100+(AB825-Q825),O825*AB825/100))</f>
        <v/>
      </c>
      <c r="Q825">
        <f>IF($AD825="","",INDEX('Per Line'!$AG$2:$AG$3001,$AD825))</f>
        <v/>
      </c>
      <c r="R825">
        <f>IF($AD825="","",IF(AND(ISNUMBER(Q825),Q825&gt;0),AB825&gt;Q825,FALSE))</f>
        <v/>
      </c>
      <c r="S825" s="7">
        <f>IF($AD825="","",SUMIFS('Per Line'!$AB$2:$AB$3001,'Per Line'!$E$2:$E$3001,$B825,'Per Line'!$AQ$2:$AQ$3001,1))</f>
        <v/>
      </c>
      <c r="T825">
        <f>IF($AD825="","",Settings!$C$7)</f>
        <v/>
      </c>
      <c r="U825" s="7">
        <f>IF($AD825="","",SUMIFS('Per Line'!$AB$2:$AB$3001,'Per Line'!$E$2:$E$3001,$B825,'Per Line'!$AP$2:$AP$3001,0,'Per Line'!$AQ$2:$AQ$3001,0))</f>
        <v/>
      </c>
      <c r="V825" s="7">
        <f>IF($AD825="","",U825*T825)</f>
        <v/>
      </c>
      <c r="W825">
        <f>IF($AD825="","",Settings!$C$6)</f>
        <v/>
      </c>
      <c r="X825" s="7">
        <f>IF($AD825="","",SUMIFS('Per Line'!$AB$2:$AB$3001,'Per Line'!$E$2:$E$3001,$B825,'Per Line'!$AP$2:$AP$3001,1,'Per Line'!$AQ$2:$AQ$3001,0))</f>
        <v/>
      </c>
      <c r="Y825" s="7">
        <f>IF($AD825="","",X825*W825)</f>
        <v/>
      </c>
      <c r="Z825" s="7">
        <f>IF($AD825="","",Y825+V825)</f>
        <v/>
      </c>
      <c r="AA825" s="7">
        <f>IF($AD825="","",AB825-Z825)</f>
        <v/>
      </c>
      <c r="AB825" s="7">
        <f>IF($AD825="","",U825+X825+S825)</f>
        <v/>
      </c>
      <c r="AC825" s="7">
        <f>IF($AD825="","",AB825-Z825-P825)</f>
        <v/>
      </c>
      <c r="AD825" s="13">
        <f>IF(ROWS($AD$2:$AD825)&lt;=MAX('Per Line'!$AO$2:$AO$3001),MATCH(ROWS($AD$2:$AD825),'Per Line'!$AO$2:$AO$3001,0),"")</f>
        <v/>
      </c>
      <c r="AE825" s="14">
        <f>IF($AD825="","",P825-O825*AB825/100)</f>
        <v/>
      </c>
    </row>
    <row r="826">
      <c r="A826" s="12" t="n"/>
      <c r="B826">
        <f>IF($AD826="","",INDEX('Per Line'!$E$2:$E$3001,$AD826)&amp;"")</f>
        <v/>
      </c>
      <c r="C826">
        <f>IF($AD826="","",INDEX('Per Line'!$A$2:$A$3001,$AD826)&amp;"")</f>
        <v/>
      </c>
      <c r="D826">
        <f>IF($AD826="","",INDEX('Per Line'!$C$2:$C$3001,$AD826)&amp;"")</f>
        <v/>
      </c>
      <c r="E826">
        <f>IF($AD826="","",INDEX('Per Line'!$B$2:$B$3001,$AD826))</f>
        <v/>
      </c>
      <c r="F826">
        <f>IF($AD826="","",INDEX('Per Line'!$D$2:$D$3001,$AD826)&amp;"")</f>
        <v/>
      </c>
      <c r="G826" s="11">
        <f>IF($AD826="","",INDEX('Per Line'!$G$2:$G$3001,$AD826))</f>
        <v/>
      </c>
      <c r="H826">
        <f>IF($AD826="","",INDEX('Per Line'!$J$2:$J$3001,$AD826)&amp;"")</f>
        <v/>
      </c>
      <c r="I826">
        <f>IF($AD826="","",INDEX('Per Line'!$H$2:$H$3001,$AD826)&amp;"")</f>
        <v/>
      </c>
      <c r="J826">
        <f>IF($AD826="","",INDEX('Per Line'!$F$2:$F$3001,$AD826)&amp;"")</f>
        <v/>
      </c>
      <c r="K826">
        <f>IF($AD826="","",INDEX('Per Line'!$K$2:$K$3001,$AD826)&amp;"")</f>
        <v/>
      </c>
      <c r="L826">
        <f>IF($AD826="","",INDEX('Per Line'!$L$2:$L$3001,$AD826)&amp;"")</f>
        <v/>
      </c>
      <c r="M826">
        <f>IF($AD826="","",INDEX('Per Line'!$M$2:$M$3001,$AD826)&amp;"")</f>
        <v/>
      </c>
      <c r="N826">
        <f>IF($AD826="","",INDEX('Per Line'!$AC$2:$AC$3001,$AD826)&amp;"")</f>
        <v/>
      </c>
      <c r="O826">
        <f>IF($AD826="","",INDEX('Per Line'!$P$2:$P$3001,$AD826))</f>
        <v/>
      </c>
      <c r="P826" s="7">
        <f>IF($AD826="","",IF(AND(ISNUMBER(Q826),Q826&gt;0,AB826&gt;Q826),O826*Q826/100+(AB826-Q826),O826*AB826/100))</f>
        <v/>
      </c>
      <c r="Q826">
        <f>IF($AD826="","",INDEX('Per Line'!$AG$2:$AG$3001,$AD826))</f>
        <v/>
      </c>
      <c r="R826">
        <f>IF($AD826="","",IF(AND(ISNUMBER(Q826),Q826&gt;0),AB826&gt;Q826,FALSE))</f>
        <v/>
      </c>
      <c r="S826" s="7">
        <f>IF($AD826="","",SUMIFS('Per Line'!$AB$2:$AB$3001,'Per Line'!$E$2:$E$3001,$B826,'Per Line'!$AQ$2:$AQ$3001,1))</f>
        <v/>
      </c>
      <c r="T826">
        <f>IF($AD826="","",Settings!$C$7)</f>
        <v/>
      </c>
      <c r="U826" s="7">
        <f>IF($AD826="","",SUMIFS('Per Line'!$AB$2:$AB$3001,'Per Line'!$E$2:$E$3001,$B826,'Per Line'!$AP$2:$AP$3001,0,'Per Line'!$AQ$2:$AQ$3001,0))</f>
        <v/>
      </c>
      <c r="V826" s="7">
        <f>IF($AD826="","",U826*T826)</f>
        <v/>
      </c>
      <c r="W826">
        <f>IF($AD826="","",Settings!$C$6)</f>
        <v/>
      </c>
      <c r="X826" s="7">
        <f>IF($AD826="","",SUMIFS('Per Line'!$AB$2:$AB$3001,'Per Line'!$E$2:$E$3001,$B826,'Per Line'!$AP$2:$AP$3001,1,'Per Line'!$AQ$2:$AQ$3001,0))</f>
        <v/>
      </c>
      <c r="Y826" s="7">
        <f>IF($AD826="","",X826*W826)</f>
        <v/>
      </c>
      <c r="Z826" s="7">
        <f>IF($AD826="","",Y826+V826)</f>
        <v/>
      </c>
      <c r="AA826" s="7">
        <f>IF($AD826="","",AB826-Z826)</f>
        <v/>
      </c>
      <c r="AB826" s="7">
        <f>IF($AD826="","",U826+X826+S826)</f>
        <v/>
      </c>
      <c r="AC826" s="7">
        <f>IF($AD826="","",AB826-Z826-P826)</f>
        <v/>
      </c>
      <c r="AD826" s="13">
        <f>IF(ROWS($AD$2:$AD826)&lt;=MAX('Per Line'!$AO$2:$AO$3001),MATCH(ROWS($AD$2:$AD826),'Per Line'!$AO$2:$AO$3001,0),"")</f>
        <v/>
      </c>
      <c r="AE826" s="14">
        <f>IF($AD826="","",P826-O826*AB826/100)</f>
        <v/>
      </c>
    </row>
    <row r="827">
      <c r="A827" s="12" t="n"/>
      <c r="B827">
        <f>IF($AD827="","",INDEX('Per Line'!$E$2:$E$3001,$AD827)&amp;"")</f>
        <v/>
      </c>
      <c r="C827">
        <f>IF($AD827="","",INDEX('Per Line'!$A$2:$A$3001,$AD827)&amp;"")</f>
        <v/>
      </c>
      <c r="D827">
        <f>IF($AD827="","",INDEX('Per Line'!$C$2:$C$3001,$AD827)&amp;"")</f>
        <v/>
      </c>
      <c r="E827">
        <f>IF($AD827="","",INDEX('Per Line'!$B$2:$B$3001,$AD827))</f>
        <v/>
      </c>
      <c r="F827">
        <f>IF($AD827="","",INDEX('Per Line'!$D$2:$D$3001,$AD827)&amp;"")</f>
        <v/>
      </c>
      <c r="G827" s="11">
        <f>IF($AD827="","",INDEX('Per Line'!$G$2:$G$3001,$AD827))</f>
        <v/>
      </c>
      <c r="H827">
        <f>IF($AD827="","",INDEX('Per Line'!$J$2:$J$3001,$AD827)&amp;"")</f>
        <v/>
      </c>
      <c r="I827">
        <f>IF($AD827="","",INDEX('Per Line'!$H$2:$H$3001,$AD827)&amp;"")</f>
        <v/>
      </c>
      <c r="J827">
        <f>IF($AD827="","",INDEX('Per Line'!$F$2:$F$3001,$AD827)&amp;"")</f>
        <v/>
      </c>
      <c r="K827">
        <f>IF($AD827="","",INDEX('Per Line'!$K$2:$K$3001,$AD827)&amp;"")</f>
        <v/>
      </c>
      <c r="L827">
        <f>IF($AD827="","",INDEX('Per Line'!$L$2:$L$3001,$AD827)&amp;"")</f>
        <v/>
      </c>
      <c r="M827">
        <f>IF($AD827="","",INDEX('Per Line'!$M$2:$M$3001,$AD827)&amp;"")</f>
        <v/>
      </c>
      <c r="N827">
        <f>IF($AD827="","",INDEX('Per Line'!$AC$2:$AC$3001,$AD827)&amp;"")</f>
        <v/>
      </c>
      <c r="O827">
        <f>IF($AD827="","",INDEX('Per Line'!$P$2:$P$3001,$AD827))</f>
        <v/>
      </c>
      <c r="P827" s="7">
        <f>IF($AD827="","",IF(AND(ISNUMBER(Q827),Q827&gt;0,AB827&gt;Q827),O827*Q827/100+(AB827-Q827),O827*AB827/100))</f>
        <v/>
      </c>
      <c r="Q827">
        <f>IF($AD827="","",INDEX('Per Line'!$AG$2:$AG$3001,$AD827))</f>
        <v/>
      </c>
      <c r="R827">
        <f>IF($AD827="","",IF(AND(ISNUMBER(Q827),Q827&gt;0),AB827&gt;Q827,FALSE))</f>
        <v/>
      </c>
      <c r="S827" s="7">
        <f>IF($AD827="","",SUMIFS('Per Line'!$AB$2:$AB$3001,'Per Line'!$E$2:$E$3001,$B827,'Per Line'!$AQ$2:$AQ$3001,1))</f>
        <v/>
      </c>
      <c r="T827">
        <f>IF($AD827="","",Settings!$C$7)</f>
        <v/>
      </c>
      <c r="U827" s="7">
        <f>IF($AD827="","",SUMIFS('Per Line'!$AB$2:$AB$3001,'Per Line'!$E$2:$E$3001,$B827,'Per Line'!$AP$2:$AP$3001,0,'Per Line'!$AQ$2:$AQ$3001,0))</f>
        <v/>
      </c>
      <c r="V827" s="7">
        <f>IF($AD827="","",U827*T827)</f>
        <v/>
      </c>
      <c r="W827">
        <f>IF($AD827="","",Settings!$C$6)</f>
        <v/>
      </c>
      <c r="X827" s="7">
        <f>IF($AD827="","",SUMIFS('Per Line'!$AB$2:$AB$3001,'Per Line'!$E$2:$E$3001,$B827,'Per Line'!$AP$2:$AP$3001,1,'Per Line'!$AQ$2:$AQ$3001,0))</f>
        <v/>
      </c>
      <c r="Y827" s="7">
        <f>IF($AD827="","",X827*W827)</f>
        <v/>
      </c>
      <c r="Z827" s="7">
        <f>IF($AD827="","",Y827+V827)</f>
        <v/>
      </c>
      <c r="AA827" s="7">
        <f>IF($AD827="","",AB827-Z827)</f>
        <v/>
      </c>
      <c r="AB827" s="7">
        <f>IF($AD827="","",U827+X827+S827)</f>
        <v/>
      </c>
      <c r="AC827" s="7">
        <f>IF($AD827="","",AB827-Z827-P827)</f>
        <v/>
      </c>
      <c r="AD827" s="13">
        <f>IF(ROWS($AD$2:$AD827)&lt;=MAX('Per Line'!$AO$2:$AO$3001),MATCH(ROWS($AD$2:$AD827),'Per Line'!$AO$2:$AO$3001,0),"")</f>
        <v/>
      </c>
      <c r="AE827" s="14">
        <f>IF($AD827="","",P827-O827*AB827/100)</f>
        <v/>
      </c>
    </row>
    <row r="828">
      <c r="A828" s="12" t="n"/>
      <c r="B828">
        <f>IF($AD828="","",INDEX('Per Line'!$E$2:$E$3001,$AD828)&amp;"")</f>
        <v/>
      </c>
      <c r="C828">
        <f>IF($AD828="","",INDEX('Per Line'!$A$2:$A$3001,$AD828)&amp;"")</f>
        <v/>
      </c>
      <c r="D828">
        <f>IF($AD828="","",INDEX('Per Line'!$C$2:$C$3001,$AD828)&amp;"")</f>
        <v/>
      </c>
      <c r="E828">
        <f>IF($AD828="","",INDEX('Per Line'!$B$2:$B$3001,$AD828))</f>
        <v/>
      </c>
      <c r="F828">
        <f>IF($AD828="","",INDEX('Per Line'!$D$2:$D$3001,$AD828)&amp;"")</f>
        <v/>
      </c>
      <c r="G828" s="11">
        <f>IF($AD828="","",INDEX('Per Line'!$G$2:$G$3001,$AD828))</f>
        <v/>
      </c>
      <c r="H828">
        <f>IF($AD828="","",INDEX('Per Line'!$J$2:$J$3001,$AD828)&amp;"")</f>
        <v/>
      </c>
      <c r="I828">
        <f>IF($AD828="","",INDEX('Per Line'!$H$2:$H$3001,$AD828)&amp;"")</f>
        <v/>
      </c>
      <c r="J828">
        <f>IF($AD828="","",INDEX('Per Line'!$F$2:$F$3001,$AD828)&amp;"")</f>
        <v/>
      </c>
      <c r="K828">
        <f>IF($AD828="","",INDEX('Per Line'!$K$2:$K$3001,$AD828)&amp;"")</f>
        <v/>
      </c>
      <c r="L828">
        <f>IF($AD828="","",INDEX('Per Line'!$L$2:$L$3001,$AD828)&amp;"")</f>
        <v/>
      </c>
      <c r="M828">
        <f>IF($AD828="","",INDEX('Per Line'!$M$2:$M$3001,$AD828)&amp;"")</f>
        <v/>
      </c>
      <c r="N828">
        <f>IF($AD828="","",INDEX('Per Line'!$AC$2:$AC$3001,$AD828)&amp;"")</f>
        <v/>
      </c>
      <c r="O828">
        <f>IF($AD828="","",INDEX('Per Line'!$P$2:$P$3001,$AD828))</f>
        <v/>
      </c>
      <c r="P828" s="7">
        <f>IF($AD828="","",IF(AND(ISNUMBER(Q828),Q828&gt;0,AB828&gt;Q828),O828*Q828/100+(AB828-Q828),O828*AB828/100))</f>
        <v/>
      </c>
      <c r="Q828">
        <f>IF($AD828="","",INDEX('Per Line'!$AG$2:$AG$3001,$AD828))</f>
        <v/>
      </c>
      <c r="R828">
        <f>IF($AD828="","",IF(AND(ISNUMBER(Q828),Q828&gt;0),AB828&gt;Q828,FALSE))</f>
        <v/>
      </c>
      <c r="S828" s="7">
        <f>IF($AD828="","",SUMIFS('Per Line'!$AB$2:$AB$3001,'Per Line'!$E$2:$E$3001,$B828,'Per Line'!$AQ$2:$AQ$3001,1))</f>
        <v/>
      </c>
      <c r="T828">
        <f>IF($AD828="","",Settings!$C$7)</f>
        <v/>
      </c>
      <c r="U828" s="7">
        <f>IF($AD828="","",SUMIFS('Per Line'!$AB$2:$AB$3001,'Per Line'!$E$2:$E$3001,$B828,'Per Line'!$AP$2:$AP$3001,0,'Per Line'!$AQ$2:$AQ$3001,0))</f>
        <v/>
      </c>
      <c r="V828" s="7">
        <f>IF($AD828="","",U828*T828)</f>
        <v/>
      </c>
      <c r="W828">
        <f>IF($AD828="","",Settings!$C$6)</f>
        <v/>
      </c>
      <c r="X828" s="7">
        <f>IF($AD828="","",SUMIFS('Per Line'!$AB$2:$AB$3001,'Per Line'!$E$2:$E$3001,$B828,'Per Line'!$AP$2:$AP$3001,1,'Per Line'!$AQ$2:$AQ$3001,0))</f>
        <v/>
      </c>
      <c r="Y828" s="7">
        <f>IF($AD828="","",X828*W828)</f>
        <v/>
      </c>
      <c r="Z828" s="7">
        <f>IF($AD828="","",Y828+V828)</f>
        <v/>
      </c>
      <c r="AA828" s="7">
        <f>IF($AD828="","",AB828-Z828)</f>
        <v/>
      </c>
      <c r="AB828" s="7">
        <f>IF($AD828="","",U828+X828+S828)</f>
        <v/>
      </c>
      <c r="AC828" s="7">
        <f>IF($AD828="","",AB828-Z828-P828)</f>
        <v/>
      </c>
      <c r="AD828" s="13">
        <f>IF(ROWS($AD$2:$AD828)&lt;=MAX('Per Line'!$AO$2:$AO$3001),MATCH(ROWS($AD$2:$AD828),'Per Line'!$AO$2:$AO$3001,0),"")</f>
        <v/>
      </c>
      <c r="AE828" s="14">
        <f>IF($AD828="","",P828-O828*AB828/100)</f>
        <v/>
      </c>
    </row>
    <row r="829">
      <c r="A829" s="12" t="n"/>
      <c r="B829">
        <f>IF($AD829="","",INDEX('Per Line'!$E$2:$E$3001,$AD829)&amp;"")</f>
        <v/>
      </c>
      <c r="C829">
        <f>IF($AD829="","",INDEX('Per Line'!$A$2:$A$3001,$AD829)&amp;"")</f>
        <v/>
      </c>
      <c r="D829">
        <f>IF($AD829="","",INDEX('Per Line'!$C$2:$C$3001,$AD829)&amp;"")</f>
        <v/>
      </c>
      <c r="E829">
        <f>IF($AD829="","",INDEX('Per Line'!$B$2:$B$3001,$AD829))</f>
        <v/>
      </c>
      <c r="F829">
        <f>IF($AD829="","",INDEX('Per Line'!$D$2:$D$3001,$AD829)&amp;"")</f>
        <v/>
      </c>
      <c r="G829" s="11">
        <f>IF($AD829="","",INDEX('Per Line'!$G$2:$G$3001,$AD829))</f>
        <v/>
      </c>
      <c r="H829">
        <f>IF($AD829="","",INDEX('Per Line'!$J$2:$J$3001,$AD829)&amp;"")</f>
        <v/>
      </c>
      <c r="I829">
        <f>IF($AD829="","",INDEX('Per Line'!$H$2:$H$3001,$AD829)&amp;"")</f>
        <v/>
      </c>
      <c r="J829">
        <f>IF($AD829="","",INDEX('Per Line'!$F$2:$F$3001,$AD829)&amp;"")</f>
        <v/>
      </c>
      <c r="K829">
        <f>IF($AD829="","",INDEX('Per Line'!$K$2:$K$3001,$AD829)&amp;"")</f>
        <v/>
      </c>
      <c r="L829">
        <f>IF($AD829="","",INDEX('Per Line'!$L$2:$L$3001,$AD829)&amp;"")</f>
        <v/>
      </c>
      <c r="M829">
        <f>IF($AD829="","",INDEX('Per Line'!$M$2:$M$3001,$AD829)&amp;"")</f>
        <v/>
      </c>
      <c r="N829">
        <f>IF($AD829="","",INDEX('Per Line'!$AC$2:$AC$3001,$AD829)&amp;"")</f>
        <v/>
      </c>
      <c r="O829">
        <f>IF($AD829="","",INDEX('Per Line'!$P$2:$P$3001,$AD829))</f>
        <v/>
      </c>
      <c r="P829" s="7">
        <f>IF($AD829="","",IF(AND(ISNUMBER(Q829),Q829&gt;0,AB829&gt;Q829),O829*Q829/100+(AB829-Q829),O829*AB829/100))</f>
        <v/>
      </c>
      <c r="Q829">
        <f>IF($AD829="","",INDEX('Per Line'!$AG$2:$AG$3001,$AD829))</f>
        <v/>
      </c>
      <c r="R829">
        <f>IF($AD829="","",IF(AND(ISNUMBER(Q829),Q829&gt;0),AB829&gt;Q829,FALSE))</f>
        <v/>
      </c>
      <c r="S829" s="7">
        <f>IF($AD829="","",SUMIFS('Per Line'!$AB$2:$AB$3001,'Per Line'!$E$2:$E$3001,$B829,'Per Line'!$AQ$2:$AQ$3001,1))</f>
        <v/>
      </c>
      <c r="T829">
        <f>IF($AD829="","",Settings!$C$7)</f>
        <v/>
      </c>
      <c r="U829" s="7">
        <f>IF($AD829="","",SUMIFS('Per Line'!$AB$2:$AB$3001,'Per Line'!$E$2:$E$3001,$B829,'Per Line'!$AP$2:$AP$3001,0,'Per Line'!$AQ$2:$AQ$3001,0))</f>
        <v/>
      </c>
      <c r="V829" s="7">
        <f>IF($AD829="","",U829*T829)</f>
        <v/>
      </c>
      <c r="W829">
        <f>IF($AD829="","",Settings!$C$6)</f>
        <v/>
      </c>
      <c r="X829" s="7">
        <f>IF($AD829="","",SUMIFS('Per Line'!$AB$2:$AB$3001,'Per Line'!$E$2:$E$3001,$B829,'Per Line'!$AP$2:$AP$3001,1,'Per Line'!$AQ$2:$AQ$3001,0))</f>
        <v/>
      </c>
      <c r="Y829" s="7">
        <f>IF($AD829="","",X829*W829)</f>
        <v/>
      </c>
      <c r="Z829" s="7">
        <f>IF($AD829="","",Y829+V829)</f>
        <v/>
      </c>
      <c r="AA829" s="7">
        <f>IF($AD829="","",AB829-Z829)</f>
        <v/>
      </c>
      <c r="AB829" s="7">
        <f>IF($AD829="","",U829+X829+S829)</f>
        <v/>
      </c>
      <c r="AC829" s="7">
        <f>IF($AD829="","",AB829-Z829-P829)</f>
        <v/>
      </c>
      <c r="AD829" s="13">
        <f>IF(ROWS($AD$2:$AD829)&lt;=MAX('Per Line'!$AO$2:$AO$3001),MATCH(ROWS($AD$2:$AD829),'Per Line'!$AO$2:$AO$3001,0),"")</f>
        <v/>
      </c>
      <c r="AE829" s="14">
        <f>IF($AD829="","",P829-O829*AB829/100)</f>
        <v/>
      </c>
    </row>
    <row r="830">
      <c r="A830" s="12" t="n"/>
      <c r="B830">
        <f>IF($AD830="","",INDEX('Per Line'!$E$2:$E$3001,$AD830)&amp;"")</f>
        <v/>
      </c>
      <c r="C830">
        <f>IF($AD830="","",INDEX('Per Line'!$A$2:$A$3001,$AD830)&amp;"")</f>
        <v/>
      </c>
      <c r="D830">
        <f>IF($AD830="","",INDEX('Per Line'!$C$2:$C$3001,$AD830)&amp;"")</f>
        <v/>
      </c>
      <c r="E830">
        <f>IF($AD830="","",INDEX('Per Line'!$B$2:$B$3001,$AD830))</f>
        <v/>
      </c>
      <c r="F830">
        <f>IF($AD830="","",INDEX('Per Line'!$D$2:$D$3001,$AD830)&amp;"")</f>
        <v/>
      </c>
      <c r="G830" s="11">
        <f>IF($AD830="","",INDEX('Per Line'!$G$2:$G$3001,$AD830))</f>
        <v/>
      </c>
      <c r="H830">
        <f>IF($AD830="","",INDEX('Per Line'!$J$2:$J$3001,$AD830)&amp;"")</f>
        <v/>
      </c>
      <c r="I830">
        <f>IF($AD830="","",INDEX('Per Line'!$H$2:$H$3001,$AD830)&amp;"")</f>
        <v/>
      </c>
      <c r="J830">
        <f>IF($AD830="","",INDEX('Per Line'!$F$2:$F$3001,$AD830)&amp;"")</f>
        <v/>
      </c>
      <c r="K830">
        <f>IF($AD830="","",INDEX('Per Line'!$K$2:$K$3001,$AD830)&amp;"")</f>
        <v/>
      </c>
      <c r="L830">
        <f>IF($AD830="","",INDEX('Per Line'!$L$2:$L$3001,$AD830)&amp;"")</f>
        <v/>
      </c>
      <c r="M830">
        <f>IF($AD830="","",INDEX('Per Line'!$M$2:$M$3001,$AD830)&amp;"")</f>
        <v/>
      </c>
      <c r="N830">
        <f>IF($AD830="","",INDEX('Per Line'!$AC$2:$AC$3001,$AD830)&amp;"")</f>
        <v/>
      </c>
      <c r="O830">
        <f>IF($AD830="","",INDEX('Per Line'!$P$2:$P$3001,$AD830))</f>
        <v/>
      </c>
      <c r="P830" s="7">
        <f>IF($AD830="","",IF(AND(ISNUMBER(Q830),Q830&gt;0,AB830&gt;Q830),O830*Q830/100+(AB830-Q830),O830*AB830/100))</f>
        <v/>
      </c>
      <c r="Q830">
        <f>IF($AD830="","",INDEX('Per Line'!$AG$2:$AG$3001,$AD830))</f>
        <v/>
      </c>
      <c r="R830">
        <f>IF($AD830="","",IF(AND(ISNUMBER(Q830),Q830&gt;0),AB830&gt;Q830,FALSE))</f>
        <v/>
      </c>
      <c r="S830" s="7">
        <f>IF($AD830="","",SUMIFS('Per Line'!$AB$2:$AB$3001,'Per Line'!$E$2:$E$3001,$B830,'Per Line'!$AQ$2:$AQ$3001,1))</f>
        <v/>
      </c>
      <c r="T830">
        <f>IF($AD830="","",Settings!$C$7)</f>
        <v/>
      </c>
      <c r="U830" s="7">
        <f>IF($AD830="","",SUMIFS('Per Line'!$AB$2:$AB$3001,'Per Line'!$E$2:$E$3001,$B830,'Per Line'!$AP$2:$AP$3001,0,'Per Line'!$AQ$2:$AQ$3001,0))</f>
        <v/>
      </c>
      <c r="V830" s="7">
        <f>IF($AD830="","",U830*T830)</f>
        <v/>
      </c>
      <c r="W830">
        <f>IF($AD830="","",Settings!$C$6)</f>
        <v/>
      </c>
      <c r="X830" s="7">
        <f>IF($AD830="","",SUMIFS('Per Line'!$AB$2:$AB$3001,'Per Line'!$E$2:$E$3001,$B830,'Per Line'!$AP$2:$AP$3001,1,'Per Line'!$AQ$2:$AQ$3001,0))</f>
        <v/>
      </c>
      <c r="Y830" s="7">
        <f>IF($AD830="","",X830*W830)</f>
        <v/>
      </c>
      <c r="Z830" s="7">
        <f>IF($AD830="","",Y830+V830)</f>
        <v/>
      </c>
      <c r="AA830" s="7">
        <f>IF($AD830="","",AB830-Z830)</f>
        <v/>
      </c>
      <c r="AB830" s="7">
        <f>IF($AD830="","",U830+X830+S830)</f>
        <v/>
      </c>
      <c r="AC830" s="7">
        <f>IF($AD830="","",AB830-Z830-P830)</f>
        <v/>
      </c>
      <c r="AD830" s="13">
        <f>IF(ROWS($AD$2:$AD830)&lt;=MAX('Per Line'!$AO$2:$AO$3001),MATCH(ROWS($AD$2:$AD830),'Per Line'!$AO$2:$AO$3001,0),"")</f>
        <v/>
      </c>
      <c r="AE830" s="14">
        <f>IF($AD830="","",P830-O830*AB830/100)</f>
        <v/>
      </c>
    </row>
    <row r="831">
      <c r="A831" s="12" t="n"/>
      <c r="B831">
        <f>IF($AD831="","",INDEX('Per Line'!$E$2:$E$3001,$AD831)&amp;"")</f>
        <v/>
      </c>
      <c r="C831">
        <f>IF($AD831="","",INDEX('Per Line'!$A$2:$A$3001,$AD831)&amp;"")</f>
        <v/>
      </c>
      <c r="D831">
        <f>IF($AD831="","",INDEX('Per Line'!$C$2:$C$3001,$AD831)&amp;"")</f>
        <v/>
      </c>
      <c r="E831">
        <f>IF($AD831="","",INDEX('Per Line'!$B$2:$B$3001,$AD831))</f>
        <v/>
      </c>
      <c r="F831">
        <f>IF($AD831="","",INDEX('Per Line'!$D$2:$D$3001,$AD831)&amp;"")</f>
        <v/>
      </c>
      <c r="G831" s="11">
        <f>IF($AD831="","",INDEX('Per Line'!$G$2:$G$3001,$AD831))</f>
        <v/>
      </c>
      <c r="H831">
        <f>IF($AD831="","",INDEX('Per Line'!$J$2:$J$3001,$AD831)&amp;"")</f>
        <v/>
      </c>
      <c r="I831">
        <f>IF($AD831="","",INDEX('Per Line'!$H$2:$H$3001,$AD831)&amp;"")</f>
        <v/>
      </c>
      <c r="J831">
        <f>IF($AD831="","",INDEX('Per Line'!$F$2:$F$3001,$AD831)&amp;"")</f>
        <v/>
      </c>
      <c r="K831">
        <f>IF($AD831="","",INDEX('Per Line'!$K$2:$K$3001,$AD831)&amp;"")</f>
        <v/>
      </c>
      <c r="L831">
        <f>IF($AD831="","",INDEX('Per Line'!$L$2:$L$3001,$AD831)&amp;"")</f>
        <v/>
      </c>
      <c r="M831">
        <f>IF($AD831="","",INDEX('Per Line'!$M$2:$M$3001,$AD831)&amp;"")</f>
        <v/>
      </c>
      <c r="N831">
        <f>IF($AD831="","",INDEX('Per Line'!$AC$2:$AC$3001,$AD831)&amp;"")</f>
        <v/>
      </c>
      <c r="O831">
        <f>IF($AD831="","",INDEX('Per Line'!$P$2:$P$3001,$AD831))</f>
        <v/>
      </c>
      <c r="P831" s="7">
        <f>IF($AD831="","",IF(AND(ISNUMBER(Q831),Q831&gt;0,AB831&gt;Q831),O831*Q831/100+(AB831-Q831),O831*AB831/100))</f>
        <v/>
      </c>
      <c r="Q831">
        <f>IF($AD831="","",INDEX('Per Line'!$AG$2:$AG$3001,$AD831))</f>
        <v/>
      </c>
      <c r="R831">
        <f>IF($AD831="","",IF(AND(ISNUMBER(Q831),Q831&gt;0),AB831&gt;Q831,FALSE))</f>
        <v/>
      </c>
      <c r="S831" s="7">
        <f>IF($AD831="","",SUMIFS('Per Line'!$AB$2:$AB$3001,'Per Line'!$E$2:$E$3001,$B831,'Per Line'!$AQ$2:$AQ$3001,1))</f>
        <v/>
      </c>
      <c r="T831">
        <f>IF($AD831="","",Settings!$C$7)</f>
        <v/>
      </c>
      <c r="U831" s="7">
        <f>IF($AD831="","",SUMIFS('Per Line'!$AB$2:$AB$3001,'Per Line'!$E$2:$E$3001,$B831,'Per Line'!$AP$2:$AP$3001,0,'Per Line'!$AQ$2:$AQ$3001,0))</f>
        <v/>
      </c>
      <c r="V831" s="7">
        <f>IF($AD831="","",U831*T831)</f>
        <v/>
      </c>
      <c r="W831">
        <f>IF($AD831="","",Settings!$C$6)</f>
        <v/>
      </c>
      <c r="X831" s="7">
        <f>IF($AD831="","",SUMIFS('Per Line'!$AB$2:$AB$3001,'Per Line'!$E$2:$E$3001,$B831,'Per Line'!$AP$2:$AP$3001,1,'Per Line'!$AQ$2:$AQ$3001,0))</f>
        <v/>
      </c>
      <c r="Y831" s="7">
        <f>IF($AD831="","",X831*W831)</f>
        <v/>
      </c>
      <c r="Z831" s="7">
        <f>IF($AD831="","",Y831+V831)</f>
        <v/>
      </c>
      <c r="AA831" s="7">
        <f>IF($AD831="","",AB831-Z831)</f>
        <v/>
      </c>
      <c r="AB831" s="7">
        <f>IF($AD831="","",U831+X831+S831)</f>
        <v/>
      </c>
      <c r="AC831" s="7">
        <f>IF($AD831="","",AB831-Z831-P831)</f>
        <v/>
      </c>
      <c r="AD831" s="13">
        <f>IF(ROWS($AD$2:$AD831)&lt;=MAX('Per Line'!$AO$2:$AO$3001),MATCH(ROWS($AD$2:$AD831),'Per Line'!$AO$2:$AO$3001,0),"")</f>
        <v/>
      </c>
      <c r="AE831" s="14">
        <f>IF($AD831="","",P831-O831*AB831/100)</f>
        <v/>
      </c>
    </row>
    <row r="832">
      <c r="A832" s="12" t="n"/>
      <c r="B832">
        <f>IF($AD832="","",INDEX('Per Line'!$E$2:$E$3001,$AD832)&amp;"")</f>
        <v/>
      </c>
      <c r="C832">
        <f>IF($AD832="","",INDEX('Per Line'!$A$2:$A$3001,$AD832)&amp;"")</f>
        <v/>
      </c>
      <c r="D832">
        <f>IF($AD832="","",INDEX('Per Line'!$C$2:$C$3001,$AD832)&amp;"")</f>
        <v/>
      </c>
      <c r="E832">
        <f>IF($AD832="","",INDEX('Per Line'!$B$2:$B$3001,$AD832))</f>
        <v/>
      </c>
      <c r="F832">
        <f>IF($AD832="","",INDEX('Per Line'!$D$2:$D$3001,$AD832)&amp;"")</f>
        <v/>
      </c>
      <c r="G832" s="11">
        <f>IF($AD832="","",INDEX('Per Line'!$G$2:$G$3001,$AD832))</f>
        <v/>
      </c>
      <c r="H832">
        <f>IF($AD832="","",INDEX('Per Line'!$J$2:$J$3001,$AD832)&amp;"")</f>
        <v/>
      </c>
      <c r="I832">
        <f>IF($AD832="","",INDEX('Per Line'!$H$2:$H$3001,$AD832)&amp;"")</f>
        <v/>
      </c>
      <c r="J832">
        <f>IF($AD832="","",INDEX('Per Line'!$F$2:$F$3001,$AD832)&amp;"")</f>
        <v/>
      </c>
      <c r="K832">
        <f>IF($AD832="","",INDEX('Per Line'!$K$2:$K$3001,$AD832)&amp;"")</f>
        <v/>
      </c>
      <c r="L832">
        <f>IF($AD832="","",INDEX('Per Line'!$L$2:$L$3001,$AD832)&amp;"")</f>
        <v/>
      </c>
      <c r="M832">
        <f>IF($AD832="","",INDEX('Per Line'!$M$2:$M$3001,$AD832)&amp;"")</f>
        <v/>
      </c>
      <c r="N832">
        <f>IF($AD832="","",INDEX('Per Line'!$AC$2:$AC$3001,$AD832)&amp;"")</f>
        <v/>
      </c>
      <c r="O832">
        <f>IF($AD832="","",INDEX('Per Line'!$P$2:$P$3001,$AD832))</f>
        <v/>
      </c>
      <c r="P832" s="7">
        <f>IF($AD832="","",IF(AND(ISNUMBER(Q832),Q832&gt;0,AB832&gt;Q832),O832*Q832/100+(AB832-Q832),O832*AB832/100))</f>
        <v/>
      </c>
      <c r="Q832">
        <f>IF($AD832="","",INDEX('Per Line'!$AG$2:$AG$3001,$AD832))</f>
        <v/>
      </c>
      <c r="R832">
        <f>IF($AD832="","",IF(AND(ISNUMBER(Q832),Q832&gt;0),AB832&gt;Q832,FALSE))</f>
        <v/>
      </c>
      <c r="S832" s="7">
        <f>IF($AD832="","",SUMIFS('Per Line'!$AB$2:$AB$3001,'Per Line'!$E$2:$E$3001,$B832,'Per Line'!$AQ$2:$AQ$3001,1))</f>
        <v/>
      </c>
      <c r="T832">
        <f>IF($AD832="","",Settings!$C$7)</f>
        <v/>
      </c>
      <c r="U832" s="7">
        <f>IF($AD832="","",SUMIFS('Per Line'!$AB$2:$AB$3001,'Per Line'!$E$2:$E$3001,$B832,'Per Line'!$AP$2:$AP$3001,0,'Per Line'!$AQ$2:$AQ$3001,0))</f>
        <v/>
      </c>
      <c r="V832" s="7">
        <f>IF($AD832="","",U832*T832)</f>
        <v/>
      </c>
      <c r="W832">
        <f>IF($AD832="","",Settings!$C$6)</f>
        <v/>
      </c>
      <c r="X832" s="7">
        <f>IF($AD832="","",SUMIFS('Per Line'!$AB$2:$AB$3001,'Per Line'!$E$2:$E$3001,$B832,'Per Line'!$AP$2:$AP$3001,1,'Per Line'!$AQ$2:$AQ$3001,0))</f>
        <v/>
      </c>
      <c r="Y832" s="7">
        <f>IF($AD832="","",X832*W832)</f>
        <v/>
      </c>
      <c r="Z832" s="7">
        <f>IF($AD832="","",Y832+V832)</f>
        <v/>
      </c>
      <c r="AA832" s="7">
        <f>IF($AD832="","",AB832-Z832)</f>
        <v/>
      </c>
      <c r="AB832" s="7">
        <f>IF($AD832="","",U832+X832+S832)</f>
        <v/>
      </c>
      <c r="AC832" s="7">
        <f>IF($AD832="","",AB832-Z832-P832)</f>
        <v/>
      </c>
      <c r="AD832" s="13">
        <f>IF(ROWS($AD$2:$AD832)&lt;=MAX('Per Line'!$AO$2:$AO$3001),MATCH(ROWS($AD$2:$AD832),'Per Line'!$AO$2:$AO$3001,0),"")</f>
        <v/>
      </c>
      <c r="AE832" s="14">
        <f>IF($AD832="","",P832-O832*AB832/100)</f>
        <v/>
      </c>
    </row>
    <row r="833">
      <c r="A833" s="12" t="n"/>
      <c r="B833">
        <f>IF($AD833="","",INDEX('Per Line'!$E$2:$E$3001,$AD833)&amp;"")</f>
        <v/>
      </c>
      <c r="C833">
        <f>IF($AD833="","",INDEX('Per Line'!$A$2:$A$3001,$AD833)&amp;"")</f>
        <v/>
      </c>
      <c r="D833">
        <f>IF($AD833="","",INDEX('Per Line'!$C$2:$C$3001,$AD833)&amp;"")</f>
        <v/>
      </c>
      <c r="E833">
        <f>IF($AD833="","",INDEX('Per Line'!$B$2:$B$3001,$AD833))</f>
        <v/>
      </c>
      <c r="F833">
        <f>IF($AD833="","",INDEX('Per Line'!$D$2:$D$3001,$AD833)&amp;"")</f>
        <v/>
      </c>
      <c r="G833" s="11">
        <f>IF($AD833="","",INDEX('Per Line'!$G$2:$G$3001,$AD833))</f>
        <v/>
      </c>
      <c r="H833">
        <f>IF($AD833="","",INDEX('Per Line'!$J$2:$J$3001,$AD833)&amp;"")</f>
        <v/>
      </c>
      <c r="I833">
        <f>IF($AD833="","",INDEX('Per Line'!$H$2:$H$3001,$AD833)&amp;"")</f>
        <v/>
      </c>
      <c r="J833">
        <f>IF($AD833="","",INDEX('Per Line'!$F$2:$F$3001,$AD833)&amp;"")</f>
        <v/>
      </c>
      <c r="K833">
        <f>IF($AD833="","",INDEX('Per Line'!$K$2:$K$3001,$AD833)&amp;"")</f>
        <v/>
      </c>
      <c r="L833">
        <f>IF($AD833="","",INDEX('Per Line'!$L$2:$L$3001,$AD833)&amp;"")</f>
        <v/>
      </c>
      <c r="M833">
        <f>IF($AD833="","",INDEX('Per Line'!$M$2:$M$3001,$AD833)&amp;"")</f>
        <v/>
      </c>
      <c r="N833">
        <f>IF($AD833="","",INDEX('Per Line'!$AC$2:$AC$3001,$AD833)&amp;"")</f>
        <v/>
      </c>
      <c r="O833">
        <f>IF($AD833="","",INDEX('Per Line'!$P$2:$P$3001,$AD833))</f>
        <v/>
      </c>
      <c r="P833" s="7">
        <f>IF($AD833="","",IF(AND(ISNUMBER(Q833),Q833&gt;0,AB833&gt;Q833),O833*Q833/100+(AB833-Q833),O833*AB833/100))</f>
        <v/>
      </c>
      <c r="Q833">
        <f>IF($AD833="","",INDEX('Per Line'!$AG$2:$AG$3001,$AD833))</f>
        <v/>
      </c>
      <c r="R833">
        <f>IF($AD833="","",IF(AND(ISNUMBER(Q833),Q833&gt;0),AB833&gt;Q833,FALSE))</f>
        <v/>
      </c>
      <c r="S833" s="7">
        <f>IF($AD833="","",SUMIFS('Per Line'!$AB$2:$AB$3001,'Per Line'!$E$2:$E$3001,$B833,'Per Line'!$AQ$2:$AQ$3001,1))</f>
        <v/>
      </c>
      <c r="T833">
        <f>IF($AD833="","",Settings!$C$7)</f>
        <v/>
      </c>
      <c r="U833" s="7">
        <f>IF($AD833="","",SUMIFS('Per Line'!$AB$2:$AB$3001,'Per Line'!$E$2:$E$3001,$B833,'Per Line'!$AP$2:$AP$3001,0,'Per Line'!$AQ$2:$AQ$3001,0))</f>
        <v/>
      </c>
      <c r="V833" s="7">
        <f>IF($AD833="","",U833*T833)</f>
        <v/>
      </c>
      <c r="W833">
        <f>IF($AD833="","",Settings!$C$6)</f>
        <v/>
      </c>
      <c r="X833" s="7">
        <f>IF($AD833="","",SUMIFS('Per Line'!$AB$2:$AB$3001,'Per Line'!$E$2:$E$3001,$B833,'Per Line'!$AP$2:$AP$3001,1,'Per Line'!$AQ$2:$AQ$3001,0))</f>
        <v/>
      </c>
      <c r="Y833" s="7">
        <f>IF($AD833="","",X833*W833)</f>
        <v/>
      </c>
      <c r="Z833" s="7">
        <f>IF($AD833="","",Y833+V833)</f>
        <v/>
      </c>
      <c r="AA833" s="7">
        <f>IF($AD833="","",AB833-Z833)</f>
        <v/>
      </c>
      <c r="AB833" s="7">
        <f>IF($AD833="","",U833+X833+S833)</f>
        <v/>
      </c>
      <c r="AC833" s="7">
        <f>IF($AD833="","",AB833-Z833-P833)</f>
        <v/>
      </c>
      <c r="AD833" s="13">
        <f>IF(ROWS($AD$2:$AD833)&lt;=MAX('Per Line'!$AO$2:$AO$3001),MATCH(ROWS($AD$2:$AD833),'Per Line'!$AO$2:$AO$3001,0),"")</f>
        <v/>
      </c>
      <c r="AE833" s="14">
        <f>IF($AD833="","",P833-O833*AB833/100)</f>
        <v/>
      </c>
    </row>
    <row r="834">
      <c r="A834" s="12" t="n"/>
      <c r="B834">
        <f>IF($AD834="","",INDEX('Per Line'!$E$2:$E$3001,$AD834)&amp;"")</f>
        <v/>
      </c>
      <c r="C834">
        <f>IF($AD834="","",INDEX('Per Line'!$A$2:$A$3001,$AD834)&amp;"")</f>
        <v/>
      </c>
      <c r="D834">
        <f>IF($AD834="","",INDEX('Per Line'!$C$2:$C$3001,$AD834)&amp;"")</f>
        <v/>
      </c>
      <c r="E834">
        <f>IF($AD834="","",INDEX('Per Line'!$B$2:$B$3001,$AD834))</f>
        <v/>
      </c>
      <c r="F834">
        <f>IF($AD834="","",INDEX('Per Line'!$D$2:$D$3001,$AD834)&amp;"")</f>
        <v/>
      </c>
      <c r="G834" s="11">
        <f>IF($AD834="","",INDEX('Per Line'!$G$2:$G$3001,$AD834))</f>
        <v/>
      </c>
      <c r="H834">
        <f>IF($AD834="","",INDEX('Per Line'!$J$2:$J$3001,$AD834)&amp;"")</f>
        <v/>
      </c>
      <c r="I834">
        <f>IF($AD834="","",INDEX('Per Line'!$H$2:$H$3001,$AD834)&amp;"")</f>
        <v/>
      </c>
      <c r="J834">
        <f>IF($AD834="","",INDEX('Per Line'!$F$2:$F$3001,$AD834)&amp;"")</f>
        <v/>
      </c>
      <c r="K834">
        <f>IF($AD834="","",INDEX('Per Line'!$K$2:$K$3001,$AD834)&amp;"")</f>
        <v/>
      </c>
      <c r="L834">
        <f>IF($AD834="","",INDEX('Per Line'!$L$2:$L$3001,$AD834)&amp;"")</f>
        <v/>
      </c>
      <c r="M834">
        <f>IF($AD834="","",INDEX('Per Line'!$M$2:$M$3001,$AD834)&amp;"")</f>
        <v/>
      </c>
      <c r="N834">
        <f>IF($AD834="","",INDEX('Per Line'!$AC$2:$AC$3001,$AD834)&amp;"")</f>
        <v/>
      </c>
      <c r="O834">
        <f>IF($AD834="","",INDEX('Per Line'!$P$2:$P$3001,$AD834))</f>
        <v/>
      </c>
      <c r="P834" s="7">
        <f>IF($AD834="","",IF(AND(ISNUMBER(Q834),Q834&gt;0,AB834&gt;Q834),O834*Q834/100+(AB834-Q834),O834*AB834/100))</f>
        <v/>
      </c>
      <c r="Q834">
        <f>IF($AD834="","",INDEX('Per Line'!$AG$2:$AG$3001,$AD834))</f>
        <v/>
      </c>
      <c r="R834">
        <f>IF($AD834="","",IF(AND(ISNUMBER(Q834),Q834&gt;0),AB834&gt;Q834,FALSE))</f>
        <v/>
      </c>
      <c r="S834" s="7">
        <f>IF($AD834="","",SUMIFS('Per Line'!$AB$2:$AB$3001,'Per Line'!$E$2:$E$3001,$B834,'Per Line'!$AQ$2:$AQ$3001,1))</f>
        <v/>
      </c>
      <c r="T834">
        <f>IF($AD834="","",Settings!$C$7)</f>
        <v/>
      </c>
      <c r="U834" s="7">
        <f>IF($AD834="","",SUMIFS('Per Line'!$AB$2:$AB$3001,'Per Line'!$E$2:$E$3001,$B834,'Per Line'!$AP$2:$AP$3001,0,'Per Line'!$AQ$2:$AQ$3001,0))</f>
        <v/>
      </c>
      <c r="V834" s="7">
        <f>IF($AD834="","",U834*T834)</f>
        <v/>
      </c>
      <c r="W834">
        <f>IF($AD834="","",Settings!$C$6)</f>
        <v/>
      </c>
      <c r="X834" s="7">
        <f>IF($AD834="","",SUMIFS('Per Line'!$AB$2:$AB$3001,'Per Line'!$E$2:$E$3001,$B834,'Per Line'!$AP$2:$AP$3001,1,'Per Line'!$AQ$2:$AQ$3001,0))</f>
        <v/>
      </c>
      <c r="Y834" s="7">
        <f>IF($AD834="","",X834*W834)</f>
        <v/>
      </c>
      <c r="Z834" s="7">
        <f>IF($AD834="","",Y834+V834)</f>
        <v/>
      </c>
      <c r="AA834" s="7">
        <f>IF($AD834="","",AB834-Z834)</f>
        <v/>
      </c>
      <c r="AB834" s="7">
        <f>IF($AD834="","",U834+X834+S834)</f>
        <v/>
      </c>
      <c r="AC834" s="7">
        <f>IF($AD834="","",AB834-Z834-P834)</f>
        <v/>
      </c>
      <c r="AD834" s="13">
        <f>IF(ROWS($AD$2:$AD834)&lt;=MAX('Per Line'!$AO$2:$AO$3001),MATCH(ROWS($AD$2:$AD834),'Per Line'!$AO$2:$AO$3001,0),"")</f>
        <v/>
      </c>
      <c r="AE834" s="14">
        <f>IF($AD834="","",P834-O834*AB834/100)</f>
        <v/>
      </c>
    </row>
    <row r="835">
      <c r="A835" s="12" t="n"/>
      <c r="B835">
        <f>IF($AD835="","",INDEX('Per Line'!$E$2:$E$3001,$AD835)&amp;"")</f>
        <v/>
      </c>
      <c r="C835">
        <f>IF($AD835="","",INDEX('Per Line'!$A$2:$A$3001,$AD835)&amp;"")</f>
        <v/>
      </c>
      <c r="D835">
        <f>IF($AD835="","",INDEX('Per Line'!$C$2:$C$3001,$AD835)&amp;"")</f>
        <v/>
      </c>
      <c r="E835">
        <f>IF($AD835="","",INDEX('Per Line'!$B$2:$B$3001,$AD835))</f>
        <v/>
      </c>
      <c r="F835">
        <f>IF($AD835="","",INDEX('Per Line'!$D$2:$D$3001,$AD835)&amp;"")</f>
        <v/>
      </c>
      <c r="G835" s="11">
        <f>IF($AD835="","",INDEX('Per Line'!$G$2:$G$3001,$AD835))</f>
        <v/>
      </c>
      <c r="H835">
        <f>IF($AD835="","",INDEX('Per Line'!$J$2:$J$3001,$AD835)&amp;"")</f>
        <v/>
      </c>
      <c r="I835">
        <f>IF($AD835="","",INDEX('Per Line'!$H$2:$H$3001,$AD835)&amp;"")</f>
        <v/>
      </c>
      <c r="J835">
        <f>IF($AD835="","",INDEX('Per Line'!$F$2:$F$3001,$AD835)&amp;"")</f>
        <v/>
      </c>
      <c r="K835">
        <f>IF($AD835="","",INDEX('Per Line'!$K$2:$K$3001,$AD835)&amp;"")</f>
        <v/>
      </c>
      <c r="L835">
        <f>IF($AD835="","",INDEX('Per Line'!$L$2:$L$3001,$AD835)&amp;"")</f>
        <v/>
      </c>
      <c r="M835">
        <f>IF($AD835="","",INDEX('Per Line'!$M$2:$M$3001,$AD835)&amp;"")</f>
        <v/>
      </c>
      <c r="N835">
        <f>IF($AD835="","",INDEX('Per Line'!$AC$2:$AC$3001,$AD835)&amp;"")</f>
        <v/>
      </c>
      <c r="O835">
        <f>IF($AD835="","",INDEX('Per Line'!$P$2:$P$3001,$AD835))</f>
        <v/>
      </c>
      <c r="P835" s="7">
        <f>IF($AD835="","",IF(AND(ISNUMBER(Q835),Q835&gt;0,AB835&gt;Q835),O835*Q835/100+(AB835-Q835),O835*AB835/100))</f>
        <v/>
      </c>
      <c r="Q835">
        <f>IF($AD835="","",INDEX('Per Line'!$AG$2:$AG$3001,$AD835))</f>
        <v/>
      </c>
      <c r="R835">
        <f>IF($AD835="","",IF(AND(ISNUMBER(Q835),Q835&gt;0),AB835&gt;Q835,FALSE))</f>
        <v/>
      </c>
      <c r="S835" s="7">
        <f>IF($AD835="","",SUMIFS('Per Line'!$AB$2:$AB$3001,'Per Line'!$E$2:$E$3001,$B835,'Per Line'!$AQ$2:$AQ$3001,1))</f>
        <v/>
      </c>
      <c r="T835">
        <f>IF($AD835="","",Settings!$C$7)</f>
        <v/>
      </c>
      <c r="U835" s="7">
        <f>IF($AD835="","",SUMIFS('Per Line'!$AB$2:$AB$3001,'Per Line'!$E$2:$E$3001,$B835,'Per Line'!$AP$2:$AP$3001,0,'Per Line'!$AQ$2:$AQ$3001,0))</f>
        <v/>
      </c>
      <c r="V835" s="7">
        <f>IF($AD835="","",U835*T835)</f>
        <v/>
      </c>
      <c r="W835">
        <f>IF($AD835="","",Settings!$C$6)</f>
        <v/>
      </c>
      <c r="X835" s="7">
        <f>IF($AD835="","",SUMIFS('Per Line'!$AB$2:$AB$3001,'Per Line'!$E$2:$E$3001,$B835,'Per Line'!$AP$2:$AP$3001,1,'Per Line'!$AQ$2:$AQ$3001,0))</f>
        <v/>
      </c>
      <c r="Y835" s="7">
        <f>IF($AD835="","",X835*W835)</f>
        <v/>
      </c>
      <c r="Z835" s="7">
        <f>IF($AD835="","",Y835+V835)</f>
        <v/>
      </c>
      <c r="AA835" s="7">
        <f>IF($AD835="","",AB835-Z835)</f>
        <v/>
      </c>
      <c r="AB835" s="7">
        <f>IF($AD835="","",U835+X835+S835)</f>
        <v/>
      </c>
      <c r="AC835" s="7">
        <f>IF($AD835="","",AB835-Z835-P835)</f>
        <v/>
      </c>
      <c r="AD835" s="13">
        <f>IF(ROWS($AD$2:$AD835)&lt;=MAX('Per Line'!$AO$2:$AO$3001),MATCH(ROWS($AD$2:$AD835),'Per Line'!$AO$2:$AO$3001,0),"")</f>
        <v/>
      </c>
      <c r="AE835" s="14">
        <f>IF($AD835="","",P835-O835*AB835/100)</f>
        <v/>
      </c>
    </row>
    <row r="836">
      <c r="A836" s="12" t="n"/>
      <c r="B836">
        <f>IF($AD836="","",INDEX('Per Line'!$E$2:$E$3001,$AD836)&amp;"")</f>
        <v/>
      </c>
      <c r="C836">
        <f>IF($AD836="","",INDEX('Per Line'!$A$2:$A$3001,$AD836)&amp;"")</f>
        <v/>
      </c>
      <c r="D836">
        <f>IF($AD836="","",INDEX('Per Line'!$C$2:$C$3001,$AD836)&amp;"")</f>
        <v/>
      </c>
      <c r="E836">
        <f>IF($AD836="","",INDEX('Per Line'!$B$2:$B$3001,$AD836))</f>
        <v/>
      </c>
      <c r="F836">
        <f>IF($AD836="","",INDEX('Per Line'!$D$2:$D$3001,$AD836)&amp;"")</f>
        <v/>
      </c>
      <c r="G836" s="11">
        <f>IF($AD836="","",INDEX('Per Line'!$G$2:$G$3001,$AD836))</f>
        <v/>
      </c>
      <c r="H836">
        <f>IF($AD836="","",INDEX('Per Line'!$J$2:$J$3001,$AD836)&amp;"")</f>
        <v/>
      </c>
      <c r="I836">
        <f>IF($AD836="","",INDEX('Per Line'!$H$2:$H$3001,$AD836)&amp;"")</f>
        <v/>
      </c>
      <c r="J836">
        <f>IF($AD836="","",INDEX('Per Line'!$F$2:$F$3001,$AD836)&amp;"")</f>
        <v/>
      </c>
      <c r="K836">
        <f>IF($AD836="","",INDEX('Per Line'!$K$2:$K$3001,$AD836)&amp;"")</f>
        <v/>
      </c>
      <c r="L836">
        <f>IF($AD836="","",INDEX('Per Line'!$L$2:$L$3001,$AD836)&amp;"")</f>
        <v/>
      </c>
      <c r="M836">
        <f>IF($AD836="","",INDEX('Per Line'!$M$2:$M$3001,$AD836)&amp;"")</f>
        <v/>
      </c>
      <c r="N836">
        <f>IF($AD836="","",INDEX('Per Line'!$AC$2:$AC$3001,$AD836)&amp;"")</f>
        <v/>
      </c>
      <c r="O836">
        <f>IF($AD836="","",INDEX('Per Line'!$P$2:$P$3001,$AD836))</f>
        <v/>
      </c>
      <c r="P836" s="7">
        <f>IF($AD836="","",IF(AND(ISNUMBER(Q836),Q836&gt;0,AB836&gt;Q836),O836*Q836/100+(AB836-Q836),O836*AB836/100))</f>
        <v/>
      </c>
      <c r="Q836">
        <f>IF($AD836="","",INDEX('Per Line'!$AG$2:$AG$3001,$AD836))</f>
        <v/>
      </c>
      <c r="R836">
        <f>IF($AD836="","",IF(AND(ISNUMBER(Q836),Q836&gt;0),AB836&gt;Q836,FALSE))</f>
        <v/>
      </c>
      <c r="S836" s="7">
        <f>IF($AD836="","",SUMIFS('Per Line'!$AB$2:$AB$3001,'Per Line'!$E$2:$E$3001,$B836,'Per Line'!$AQ$2:$AQ$3001,1))</f>
        <v/>
      </c>
      <c r="T836">
        <f>IF($AD836="","",Settings!$C$7)</f>
        <v/>
      </c>
      <c r="U836" s="7">
        <f>IF($AD836="","",SUMIFS('Per Line'!$AB$2:$AB$3001,'Per Line'!$E$2:$E$3001,$B836,'Per Line'!$AP$2:$AP$3001,0,'Per Line'!$AQ$2:$AQ$3001,0))</f>
        <v/>
      </c>
      <c r="V836" s="7">
        <f>IF($AD836="","",U836*T836)</f>
        <v/>
      </c>
      <c r="W836">
        <f>IF($AD836="","",Settings!$C$6)</f>
        <v/>
      </c>
      <c r="X836" s="7">
        <f>IF($AD836="","",SUMIFS('Per Line'!$AB$2:$AB$3001,'Per Line'!$E$2:$E$3001,$B836,'Per Line'!$AP$2:$AP$3001,1,'Per Line'!$AQ$2:$AQ$3001,0))</f>
        <v/>
      </c>
      <c r="Y836" s="7">
        <f>IF($AD836="","",X836*W836)</f>
        <v/>
      </c>
      <c r="Z836" s="7">
        <f>IF($AD836="","",Y836+V836)</f>
        <v/>
      </c>
      <c r="AA836" s="7">
        <f>IF($AD836="","",AB836-Z836)</f>
        <v/>
      </c>
      <c r="AB836" s="7">
        <f>IF($AD836="","",U836+X836+S836)</f>
        <v/>
      </c>
      <c r="AC836" s="7">
        <f>IF($AD836="","",AB836-Z836-P836)</f>
        <v/>
      </c>
      <c r="AD836" s="13">
        <f>IF(ROWS($AD$2:$AD836)&lt;=MAX('Per Line'!$AO$2:$AO$3001),MATCH(ROWS($AD$2:$AD836),'Per Line'!$AO$2:$AO$3001,0),"")</f>
        <v/>
      </c>
      <c r="AE836" s="14">
        <f>IF($AD836="","",P836-O836*AB836/100)</f>
        <v/>
      </c>
    </row>
    <row r="837">
      <c r="A837" s="12" t="n"/>
      <c r="B837">
        <f>IF($AD837="","",INDEX('Per Line'!$E$2:$E$3001,$AD837)&amp;"")</f>
        <v/>
      </c>
      <c r="C837">
        <f>IF($AD837="","",INDEX('Per Line'!$A$2:$A$3001,$AD837)&amp;"")</f>
        <v/>
      </c>
      <c r="D837">
        <f>IF($AD837="","",INDEX('Per Line'!$C$2:$C$3001,$AD837)&amp;"")</f>
        <v/>
      </c>
      <c r="E837">
        <f>IF($AD837="","",INDEX('Per Line'!$B$2:$B$3001,$AD837))</f>
        <v/>
      </c>
      <c r="F837">
        <f>IF($AD837="","",INDEX('Per Line'!$D$2:$D$3001,$AD837)&amp;"")</f>
        <v/>
      </c>
      <c r="G837" s="11">
        <f>IF($AD837="","",INDEX('Per Line'!$G$2:$G$3001,$AD837))</f>
        <v/>
      </c>
      <c r="H837">
        <f>IF($AD837="","",INDEX('Per Line'!$J$2:$J$3001,$AD837)&amp;"")</f>
        <v/>
      </c>
      <c r="I837">
        <f>IF($AD837="","",INDEX('Per Line'!$H$2:$H$3001,$AD837)&amp;"")</f>
        <v/>
      </c>
      <c r="J837">
        <f>IF($AD837="","",INDEX('Per Line'!$F$2:$F$3001,$AD837)&amp;"")</f>
        <v/>
      </c>
      <c r="K837">
        <f>IF($AD837="","",INDEX('Per Line'!$K$2:$K$3001,$AD837)&amp;"")</f>
        <v/>
      </c>
      <c r="L837">
        <f>IF($AD837="","",INDEX('Per Line'!$L$2:$L$3001,$AD837)&amp;"")</f>
        <v/>
      </c>
      <c r="M837">
        <f>IF($AD837="","",INDEX('Per Line'!$M$2:$M$3001,$AD837)&amp;"")</f>
        <v/>
      </c>
      <c r="N837">
        <f>IF($AD837="","",INDEX('Per Line'!$AC$2:$AC$3001,$AD837)&amp;"")</f>
        <v/>
      </c>
      <c r="O837">
        <f>IF($AD837="","",INDEX('Per Line'!$P$2:$P$3001,$AD837))</f>
        <v/>
      </c>
      <c r="P837" s="7">
        <f>IF($AD837="","",IF(AND(ISNUMBER(Q837),Q837&gt;0,AB837&gt;Q837),O837*Q837/100+(AB837-Q837),O837*AB837/100))</f>
        <v/>
      </c>
      <c r="Q837">
        <f>IF($AD837="","",INDEX('Per Line'!$AG$2:$AG$3001,$AD837))</f>
        <v/>
      </c>
      <c r="R837">
        <f>IF($AD837="","",IF(AND(ISNUMBER(Q837),Q837&gt;0),AB837&gt;Q837,FALSE))</f>
        <v/>
      </c>
      <c r="S837" s="7">
        <f>IF($AD837="","",SUMIFS('Per Line'!$AB$2:$AB$3001,'Per Line'!$E$2:$E$3001,$B837,'Per Line'!$AQ$2:$AQ$3001,1))</f>
        <v/>
      </c>
      <c r="T837">
        <f>IF($AD837="","",Settings!$C$7)</f>
        <v/>
      </c>
      <c r="U837" s="7">
        <f>IF($AD837="","",SUMIFS('Per Line'!$AB$2:$AB$3001,'Per Line'!$E$2:$E$3001,$B837,'Per Line'!$AP$2:$AP$3001,0,'Per Line'!$AQ$2:$AQ$3001,0))</f>
        <v/>
      </c>
      <c r="V837" s="7">
        <f>IF($AD837="","",U837*T837)</f>
        <v/>
      </c>
      <c r="W837">
        <f>IF($AD837="","",Settings!$C$6)</f>
        <v/>
      </c>
      <c r="X837" s="7">
        <f>IF($AD837="","",SUMIFS('Per Line'!$AB$2:$AB$3001,'Per Line'!$E$2:$E$3001,$B837,'Per Line'!$AP$2:$AP$3001,1,'Per Line'!$AQ$2:$AQ$3001,0))</f>
        <v/>
      </c>
      <c r="Y837" s="7">
        <f>IF($AD837="","",X837*W837)</f>
        <v/>
      </c>
      <c r="Z837" s="7">
        <f>IF($AD837="","",Y837+V837)</f>
        <v/>
      </c>
      <c r="AA837" s="7">
        <f>IF($AD837="","",AB837-Z837)</f>
        <v/>
      </c>
      <c r="AB837" s="7">
        <f>IF($AD837="","",U837+X837+S837)</f>
        <v/>
      </c>
      <c r="AC837" s="7">
        <f>IF($AD837="","",AB837-Z837-P837)</f>
        <v/>
      </c>
      <c r="AD837" s="13">
        <f>IF(ROWS($AD$2:$AD837)&lt;=MAX('Per Line'!$AO$2:$AO$3001),MATCH(ROWS($AD$2:$AD837),'Per Line'!$AO$2:$AO$3001,0),"")</f>
        <v/>
      </c>
      <c r="AE837" s="14">
        <f>IF($AD837="","",P837-O837*AB837/100)</f>
        <v/>
      </c>
    </row>
    <row r="838">
      <c r="A838" s="12" t="n"/>
      <c r="B838">
        <f>IF($AD838="","",INDEX('Per Line'!$E$2:$E$3001,$AD838)&amp;"")</f>
        <v/>
      </c>
      <c r="C838">
        <f>IF($AD838="","",INDEX('Per Line'!$A$2:$A$3001,$AD838)&amp;"")</f>
        <v/>
      </c>
      <c r="D838">
        <f>IF($AD838="","",INDEX('Per Line'!$C$2:$C$3001,$AD838)&amp;"")</f>
        <v/>
      </c>
      <c r="E838">
        <f>IF($AD838="","",INDEX('Per Line'!$B$2:$B$3001,$AD838))</f>
        <v/>
      </c>
      <c r="F838">
        <f>IF($AD838="","",INDEX('Per Line'!$D$2:$D$3001,$AD838)&amp;"")</f>
        <v/>
      </c>
      <c r="G838" s="11">
        <f>IF($AD838="","",INDEX('Per Line'!$G$2:$G$3001,$AD838))</f>
        <v/>
      </c>
      <c r="H838">
        <f>IF($AD838="","",INDEX('Per Line'!$J$2:$J$3001,$AD838)&amp;"")</f>
        <v/>
      </c>
      <c r="I838">
        <f>IF($AD838="","",INDEX('Per Line'!$H$2:$H$3001,$AD838)&amp;"")</f>
        <v/>
      </c>
      <c r="J838">
        <f>IF($AD838="","",INDEX('Per Line'!$F$2:$F$3001,$AD838)&amp;"")</f>
        <v/>
      </c>
      <c r="K838">
        <f>IF($AD838="","",INDEX('Per Line'!$K$2:$K$3001,$AD838)&amp;"")</f>
        <v/>
      </c>
      <c r="L838">
        <f>IF($AD838="","",INDEX('Per Line'!$L$2:$L$3001,$AD838)&amp;"")</f>
        <v/>
      </c>
      <c r="M838">
        <f>IF($AD838="","",INDEX('Per Line'!$M$2:$M$3001,$AD838)&amp;"")</f>
        <v/>
      </c>
      <c r="N838">
        <f>IF($AD838="","",INDEX('Per Line'!$AC$2:$AC$3001,$AD838)&amp;"")</f>
        <v/>
      </c>
      <c r="O838">
        <f>IF($AD838="","",INDEX('Per Line'!$P$2:$P$3001,$AD838))</f>
        <v/>
      </c>
      <c r="P838" s="7">
        <f>IF($AD838="","",IF(AND(ISNUMBER(Q838),Q838&gt;0,AB838&gt;Q838),O838*Q838/100+(AB838-Q838),O838*AB838/100))</f>
        <v/>
      </c>
      <c r="Q838">
        <f>IF($AD838="","",INDEX('Per Line'!$AG$2:$AG$3001,$AD838))</f>
        <v/>
      </c>
      <c r="R838">
        <f>IF($AD838="","",IF(AND(ISNUMBER(Q838),Q838&gt;0),AB838&gt;Q838,FALSE))</f>
        <v/>
      </c>
      <c r="S838" s="7">
        <f>IF($AD838="","",SUMIFS('Per Line'!$AB$2:$AB$3001,'Per Line'!$E$2:$E$3001,$B838,'Per Line'!$AQ$2:$AQ$3001,1))</f>
        <v/>
      </c>
      <c r="T838">
        <f>IF($AD838="","",Settings!$C$7)</f>
        <v/>
      </c>
      <c r="U838" s="7">
        <f>IF($AD838="","",SUMIFS('Per Line'!$AB$2:$AB$3001,'Per Line'!$E$2:$E$3001,$B838,'Per Line'!$AP$2:$AP$3001,0,'Per Line'!$AQ$2:$AQ$3001,0))</f>
        <v/>
      </c>
      <c r="V838" s="7">
        <f>IF($AD838="","",U838*T838)</f>
        <v/>
      </c>
      <c r="W838">
        <f>IF($AD838="","",Settings!$C$6)</f>
        <v/>
      </c>
      <c r="X838" s="7">
        <f>IF($AD838="","",SUMIFS('Per Line'!$AB$2:$AB$3001,'Per Line'!$E$2:$E$3001,$B838,'Per Line'!$AP$2:$AP$3001,1,'Per Line'!$AQ$2:$AQ$3001,0))</f>
        <v/>
      </c>
      <c r="Y838" s="7">
        <f>IF($AD838="","",X838*W838)</f>
        <v/>
      </c>
      <c r="Z838" s="7">
        <f>IF($AD838="","",Y838+V838)</f>
        <v/>
      </c>
      <c r="AA838" s="7">
        <f>IF($AD838="","",AB838-Z838)</f>
        <v/>
      </c>
      <c r="AB838" s="7">
        <f>IF($AD838="","",U838+X838+S838)</f>
        <v/>
      </c>
      <c r="AC838" s="7">
        <f>IF($AD838="","",AB838-Z838-P838)</f>
        <v/>
      </c>
      <c r="AD838" s="13">
        <f>IF(ROWS($AD$2:$AD838)&lt;=MAX('Per Line'!$AO$2:$AO$3001),MATCH(ROWS($AD$2:$AD838),'Per Line'!$AO$2:$AO$3001,0),"")</f>
        <v/>
      </c>
      <c r="AE838" s="14">
        <f>IF($AD838="","",P838-O838*AB838/100)</f>
        <v/>
      </c>
    </row>
    <row r="839">
      <c r="A839" s="12" t="n"/>
      <c r="B839">
        <f>IF($AD839="","",INDEX('Per Line'!$E$2:$E$3001,$AD839)&amp;"")</f>
        <v/>
      </c>
      <c r="C839">
        <f>IF($AD839="","",INDEX('Per Line'!$A$2:$A$3001,$AD839)&amp;"")</f>
        <v/>
      </c>
      <c r="D839">
        <f>IF($AD839="","",INDEX('Per Line'!$C$2:$C$3001,$AD839)&amp;"")</f>
        <v/>
      </c>
      <c r="E839">
        <f>IF($AD839="","",INDEX('Per Line'!$B$2:$B$3001,$AD839))</f>
        <v/>
      </c>
      <c r="F839">
        <f>IF($AD839="","",INDEX('Per Line'!$D$2:$D$3001,$AD839)&amp;"")</f>
        <v/>
      </c>
      <c r="G839" s="11">
        <f>IF($AD839="","",INDEX('Per Line'!$G$2:$G$3001,$AD839))</f>
        <v/>
      </c>
      <c r="H839">
        <f>IF($AD839="","",INDEX('Per Line'!$J$2:$J$3001,$AD839)&amp;"")</f>
        <v/>
      </c>
      <c r="I839">
        <f>IF($AD839="","",INDEX('Per Line'!$H$2:$H$3001,$AD839)&amp;"")</f>
        <v/>
      </c>
      <c r="J839">
        <f>IF($AD839="","",INDEX('Per Line'!$F$2:$F$3001,$AD839)&amp;"")</f>
        <v/>
      </c>
      <c r="K839">
        <f>IF($AD839="","",INDEX('Per Line'!$K$2:$K$3001,$AD839)&amp;"")</f>
        <v/>
      </c>
      <c r="L839">
        <f>IF($AD839="","",INDEX('Per Line'!$L$2:$L$3001,$AD839)&amp;"")</f>
        <v/>
      </c>
      <c r="M839">
        <f>IF($AD839="","",INDEX('Per Line'!$M$2:$M$3001,$AD839)&amp;"")</f>
        <v/>
      </c>
      <c r="N839">
        <f>IF($AD839="","",INDEX('Per Line'!$AC$2:$AC$3001,$AD839)&amp;"")</f>
        <v/>
      </c>
      <c r="O839">
        <f>IF($AD839="","",INDEX('Per Line'!$P$2:$P$3001,$AD839))</f>
        <v/>
      </c>
      <c r="P839" s="7">
        <f>IF($AD839="","",IF(AND(ISNUMBER(Q839),Q839&gt;0,AB839&gt;Q839),O839*Q839/100+(AB839-Q839),O839*AB839/100))</f>
        <v/>
      </c>
      <c r="Q839">
        <f>IF($AD839="","",INDEX('Per Line'!$AG$2:$AG$3001,$AD839))</f>
        <v/>
      </c>
      <c r="R839">
        <f>IF($AD839="","",IF(AND(ISNUMBER(Q839),Q839&gt;0),AB839&gt;Q839,FALSE))</f>
        <v/>
      </c>
      <c r="S839" s="7">
        <f>IF($AD839="","",SUMIFS('Per Line'!$AB$2:$AB$3001,'Per Line'!$E$2:$E$3001,$B839,'Per Line'!$AQ$2:$AQ$3001,1))</f>
        <v/>
      </c>
      <c r="T839">
        <f>IF($AD839="","",Settings!$C$7)</f>
        <v/>
      </c>
      <c r="U839" s="7">
        <f>IF($AD839="","",SUMIFS('Per Line'!$AB$2:$AB$3001,'Per Line'!$E$2:$E$3001,$B839,'Per Line'!$AP$2:$AP$3001,0,'Per Line'!$AQ$2:$AQ$3001,0))</f>
        <v/>
      </c>
      <c r="V839" s="7">
        <f>IF($AD839="","",U839*T839)</f>
        <v/>
      </c>
      <c r="W839">
        <f>IF($AD839="","",Settings!$C$6)</f>
        <v/>
      </c>
      <c r="X839" s="7">
        <f>IF($AD839="","",SUMIFS('Per Line'!$AB$2:$AB$3001,'Per Line'!$E$2:$E$3001,$B839,'Per Line'!$AP$2:$AP$3001,1,'Per Line'!$AQ$2:$AQ$3001,0))</f>
        <v/>
      </c>
      <c r="Y839" s="7">
        <f>IF($AD839="","",X839*W839)</f>
        <v/>
      </c>
      <c r="Z839" s="7">
        <f>IF($AD839="","",Y839+V839)</f>
        <v/>
      </c>
      <c r="AA839" s="7">
        <f>IF($AD839="","",AB839-Z839)</f>
        <v/>
      </c>
      <c r="AB839" s="7">
        <f>IF($AD839="","",U839+X839+S839)</f>
        <v/>
      </c>
      <c r="AC839" s="7">
        <f>IF($AD839="","",AB839-Z839-P839)</f>
        <v/>
      </c>
      <c r="AD839" s="13">
        <f>IF(ROWS($AD$2:$AD839)&lt;=MAX('Per Line'!$AO$2:$AO$3001),MATCH(ROWS($AD$2:$AD839),'Per Line'!$AO$2:$AO$3001,0),"")</f>
        <v/>
      </c>
      <c r="AE839" s="14">
        <f>IF($AD839="","",P839-O839*AB839/100)</f>
        <v/>
      </c>
    </row>
    <row r="840">
      <c r="A840" s="12" t="n"/>
      <c r="B840">
        <f>IF($AD840="","",INDEX('Per Line'!$E$2:$E$3001,$AD840)&amp;"")</f>
        <v/>
      </c>
      <c r="C840">
        <f>IF($AD840="","",INDEX('Per Line'!$A$2:$A$3001,$AD840)&amp;"")</f>
        <v/>
      </c>
      <c r="D840">
        <f>IF($AD840="","",INDEX('Per Line'!$C$2:$C$3001,$AD840)&amp;"")</f>
        <v/>
      </c>
      <c r="E840">
        <f>IF($AD840="","",INDEX('Per Line'!$B$2:$B$3001,$AD840))</f>
        <v/>
      </c>
      <c r="F840">
        <f>IF($AD840="","",INDEX('Per Line'!$D$2:$D$3001,$AD840)&amp;"")</f>
        <v/>
      </c>
      <c r="G840" s="11">
        <f>IF($AD840="","",INDEX('Per Line'!$G$2:$G$3001,$AD840))</f>
        <v/>
      </c>
      <c r="H840">
        <f>IF($AD840="","",INDEX('Per Line'!$J$2:$J$3001,$AD840)&amp;"")</f>
        <v/>
      </c>
      <c r="I840">
        <f>IF($AD840="","",INDEX('Per Line'!$H$2:$H$3001,$AD840)&amp;"")</f>
        <v/>
      </c>
      <c r="J840">
        <f>IF($AD840="","",INDEX('Per Line'!$F$2:$F$3001,$AD840)&amp;"")</f>
        <v/>
      </c>
      <c r="K840">
        <f>IF($AD840="","",INDEX('Per Line'!$K$2:$K$3001,$AD840)&amp;"")</f>
        <v/>
      </c>
      <c r="L840">
        <f>IF($AD840="","",INDEX('Per Line'!$L$2:$L$3001,$AD840)&amp;"")</f>
        <v/>
      </c>
      <c r="M840">
        <f>IF($AD840="","",INDEX('Per Line'!$M$2:$M$3001,$AD840)&amp;"")</f>
        <v/>
      </c>
      <c r="N840">
        <f>IF($AD840="","",INDEX('Per Line'!$AC$2:$AC$3001,$AD840)&amp;"")</f>
        <v/>
      </c>
      <c r="O840">
        <f>IF($AD840="","",INDEX('Per Line'!$P$2:$P$3001,$AD840))</f>
        <v/>
      </c>
      <c r="P840" s="7">
        <f>IF($AD840="","",IF(AND(ISNUMBER(Q840),Q840&gt;0,AB840&gt;Q840),O840*Q840/100+(AB840-Q840),O840*AB840/100))</f>
        <v/>
      </c>
      <c r="Q840">
        <f>IF($AD840="","",INDEX('Per Line'!$AG$2:$AG$3001,$AD840))</f>
        <v/>
      </c>
      <c r="R840">
        <f>IF($AD840="","",IF(AND(ISNUMBER(Q840),Q840&gt;0),AB840&gt;Q840,FALSE))</f>
        <v/>
      </c>
      <c r="S840" s="7">
        <f>IF($AD840="","",SUMIFS('Per Line'!$AB$2:$AB$3001,'Per Line'!$E$2:$E$3001,$B840,'Per Line'!$AQ$2:$AQ$3001,1))</f>
        <v/>
      </c>
      <c r="T840">
        <f>IF($AD840="","",Settings!$C$7)</f>
        <v/>
      </c>
      <c r="U840" s="7">
        <f>IF($AD840="","",SUMIFS('Per Line'!$AB$2:$AB$3001,'Per Line'!$E$2:$E$3001,$B840,'Per Line'!$AP$2:$AP$3001,0,'Per Line'!$AQ$2:$AQ$3001,0))</f>
        <v/>
      </c>
      <c r="V840" s="7">
        <f>IF($AD840="","",U840*T840)</f>
        <v/>
      </c>
      <c r="W840">
        <f>IF($AD840="","",Settings!$C$6)</f>
        <v/>
      </c>
      <c r="X840" s="7">
        <f>IF($AD840="","",SUMIFS('Per Line'!$AB$2:$AB$3001,'Per Line'!$E$2:$E$3001,$B840,'Per Line'!$AP$2:$AP$3001,1,'Per Line'!$AQ$2:$AQ$3001,0))</f>
        <v/>
      </c>
      <c r="Y840" s="7">
        <f>IF($AD840="","",X840*W840)</f>
        <v/>
      </c>
      <c r="Z840" s="7">
        <f>IF($AD840="","",Y840+V840)</f>
        <v/>
      </c>
      <c r="AA840" s="7">
        <f>IF($AD840="","",AB840-Z840)</f>
        <v/>
      </c>
      <c r="AB840" s="7">
        <f>IF($AD840="","",U840+X840+S840)</f>
        <v/>
      </c>
      <c r="AC840" s="7">
        <f>IF($AD840="","",AB840-Z840-P840)</f>
        <v/>
      </c>
      <c r="AD840" s="13">
        <f>IF(ROWS($AD$2:$AD840)&lt;=MAX('Per Line'!$AO$2:$AO$3001),MATCH(ROWS($AD$2:$AD840),'Per Line'!$AO$2:$AO$3001,0),"")</f>
        <v/>
      </c>
      <c r="AE840" s="14">
        <f>IF($AD840="","",P840-O840*AB840/100)</f>
        <v/>
      </c>
    </row>
    <row r="841">
      <c r="A841" s="12" t="n"/>
      <c r="B841">
        <f>IF($AD841="","",INDEX('Per Line'!$E$2:$E$3001,$AD841)&amp;"")</f>
        <v/>
      </c>
      <c r="C841">
        <f>IF($AD841="","",INDEX('Per Line'!$A$2:$A$3001,$AD841)&amp;"")</f>
        <v/>
      </c>
      <c r="D841">
        <f>IF($AD841="","",INDEX('Per Line'!$C$2:$C$3001,$AD841)&amp;"")</f>
        <v/>
      </c>
      <c r="E841">
        <f>IF($AD841="","",INDEX('Per Line'!$B$2:$B$3001,$AD841))</f>
        <v/>
      </c>
      <c r="F841">
        <f>IF($AD841="","",INDEX('Per Line'!$D$2:$D$3001,$AD841)&amp;"")</f>
        <v/>
      </c>
      <c r="G841" s="11">
        <f>IF($AD841="","",INDEX('Per Line'!$G$2:$G$3001,$AD841))</f>
        <v/>
      </c>
      <c r="H841">
        <f>IF($AD841="","",INDEX('Per Line'!$J$2:$J$3001,$AD841)&amp;"")</f>
        <v/>
      </c>
      <c r="I841">
        <f>IF($AD841="","",INDEX('Per Line'!$H$2:$H$3001,$AD841)&amp;"")</f>
        <v/>
      </c>
      <c r="J841">
        <f>IF($AD841="","",INDEX('Per Line'!$F$2:$F$3001,$AD841)&amp;"")</f>
        <v/>
      </c>
      <c r="K841">
        <f>IF($AD841="","",INDEX('Per Line'!$K$2:$K$3001,$AD841)&amp;"")</f>
        <v/>
      </c>
      <c r="L841">
        <f>IF($AD841="","",INDEX('Per Line'!$L$2:$L$3001,$AD841)&amp;"")</f>
        <v/>
      </c>
      <c r="M841">
        <f>IF($AD841="","",INDEX('Per Line'!$M$2:$M$3001,$AD841)&amp;"")</f>
        <v/>
      </c>
      <c r="N841">
        <f>IF($AD841="","",INDEX('Per Line'!$AC$2:$AC$3001,$AD841)&amp;"")</f>
        <v/>
      </c>
      <c r="O841">
        <f>IF($AD841="","",INDEX('Per Line'!$P$2:$P$3001,$AD841))</f>
        <v/>
      </c>
      <c r="P841" s="7">
        <f>IF($AD841="","",IF(AND(ISNUMBER(Q841),Q841&gt;0,AB841&gt;Q841),O841*Q841/100+(AB841-Q841),O841*AB841/100))</f>
        <v/>
      </c>
      <c r="Q841">
        <f>IF($AD841="","",INDEX('Per Line'!$AG$2:$AG$3001,$AD841))</f>
        <v/>
      </c>
      <c r="R841">
        <f>IF($AD841="","",IF(AND(ISNUMBER(Q841),Q841&gt;0),AB841&gt;Q841,FALSE))</f>
        <v/>
      </c>
      <c r="S841" s="7">
        <f>IF($AD841="","",SUMIFS('Per Line'!$AB$2:$AB$3001,'Per Line'!$E$2:$E$3001,$B841,'Per Line'!$AQ$2:$AQ$3001,1))</f>
        <v/>
      </c>
      <c r="T841">
        <f>IF($AD841="","",Settings!$C$7)</f>
        <v/>
      </c>
      <c r="U841" s="7">
        <f>IF($AD841="","",SUMIFS('Per Line'!$AB$2:$AB$3001,'Per Line'!$E$2:$E$3001,$B841,'Per Line'!$AP$2:$AP$3001,0,'Per Line'!$AQ$2:$AQ$3001,0))</f>
        <v/>
      </c>
      <c r="V841" s="7">
        <f>IF($AD841="","",U841*T841)</f>
        <v/>
      </c>
      <c r="W841">
        <f>IF($AD841="","",Settings!$C$6)</f>
        <v/>
      </c>
      <c r="X841" s="7">
        <f>IF($AD841="","",SUMIFS('Per Line'!$AB$2:$AB$3001,'Per Line'!$E$2:$E$3001,$B841,'Per Line'!$AP$2:$AP$3001,1,'Per Line'!$AQ$2:$AQ$3001,0))</f>
        <v/>
      </c>
      <c r="Y841" s="7">
        <f>IF($AD841="","",X841*W841)</f>
        <v/>
      </c>
      <c r="Z841" s="7">
        <f>IF($AD841="","",Y841+V841)</f>
        <v/>
      </c>
      <c r="AA841" s="7">
        <f>IF($AD841="","",AB841-Z841)</f>
        <v/>
      </c>
      <c r="AB841" s="7">
        <f>IF($AD841="","",U841+X841+S841)</f>
        <v/>
      </c>
      <c r="AC841" s="7">
        <f>IF($AD841="","",AB841-Z841-P841)</f>
        <v/>
      </c>
      <c r="AD841" s="13">
        <f>IF(ROWS($AD$2:$AD841)&lt;=MAX('Per Line'!$AO$2:$AO$3001),MATCH(ROWS($AD$2:$AD841),'Per Line'!$AO$2:$AO$3001,0),"")</f>
        <v/>
      </c>
      <c r="AE841" s="14">
        <f>IF($AD841="","",P841-O841*AB841/100)</f>
        <v/>
      </c>
    </row>
    <row r="842">
      <c r="A842" s="12" t="n"/>
      <c r="B842">
        <f>IF($AD842="","",INDEX('Per Line'!$E$2:$E$3001,$AD842)&amp;"")</f>
        <v/>
      </c>
      <c r="C842">
        <f>IF($AD842="","",INDEX('Per Line'!$A$2:$A$3001,$AD842)&amp;"")</f>
        <v/>
      </c>
      <c r="D842">
        <f>IF($AD842="","",INDEX('Per Line'!$C$2:$C$3001,$AD842)&amp;"")</f>
        <v/>
      </c>
      <c r="E842">
        <f>IF($AD842="","",INDEX('Per Line'!$B$2:$B$3001,$AD842))</f>
        <v/>
      </c>
      <c r="F842">
        <f>IF($AD842="","",INDEX('Per Line'!$D$2:$D$3001,$AD842)&amp;"")</f>
        <v/>
      </c>
      <c r="G842" s="11">
        <f>IF($AD842="","",INDEX('Per Line'!$G$2:$G$3001,$AD842))</f>
        <v/>
      </c>
      <c r="H842">
        <f>IF($AD842="","",INDEX('Per Line'!$J$2:$J$3001,$AD842)&amp;"")</f>
        <v/>
      </c>
      <c r="I842">
        <f>IF($AD842="","",INDEX('Per Line'!$H$2:$H$3001,$AD842)&amp;"")</f>
        <v/>
      </c>
      <c r="J842">
        <f>IF($AD842="","",INDEX('Per Line'!$F$2:$F$3001,$AD842)&amp;"")</f>
        <v/>
      </c>
      <c r="K842">
        <f>IF($AD842="","",INDEX('Per Line'!$K$2:$K$3001,$AD842)&amp;"")</f>
        <v/>
      </c>
      <c r="L842">
        <f>IF($AD842="","",INDEX('Per Line'!$L$2:$L$3001,$AD842)&amp;"")</f>
        <v/>
      </c>
      <c r="M842">
        <f>IF($AD842="","",INDEX('Per Line'!$M$2:$M$3001,$AD842)&amp;"")</f>
        <v/>
      </c>
      <c r="N842">
        <f>IF($AD842="","",INDEX('Per Line'!$AC$2:$AC$3001,$AD842)&amp;"")</f>
        <v/>
      </c>
      <c r="O842">
        <f>IF($AD842="","",INDEX('Per Line'!$P$2:$P$3001,$AD842))</f>
        <v/>
      </c>
      <c r="P842" s="7">
        <f>IF($AD842="","",IF(AND(ISNUMBER(Q842),Q842&gt;0,AB842&gt;Q842),O842*Q842/100+(AB842-Q842),O842*AB842/100))</f>
        <v/>
      </c>
      <c r="Q842">
        <f>IF($AD842="","",INDEX('Per Line'!$AG$2:$AG$3001,$AD842))</f>
        <v/>
      </c>
      <c r="R842">
        <f>IF($AD842="","",IF(AND(ISNUMBER(Q842),Q842&gt;0),AB842&gt;Q842,FALSE))</f>
        <v/>
      </c>
      <c r="S842" s="7">
        <f>IF($AD842="","",SUMIFS('Per Line'!$AB$2:$AB$3001,'Per Line'!$E$2:$E$3001,$B842,'Per Line'!$AQ$2:$AQ$3001,1))</f>
        <v/>
      </c>
      <c r="T842">
        <f>IF($AD842="","",Settings!$C$7)</f>
        <v/>
      </c>
      <c r="U842" s="7">
        <f>IF($AD842="","",SUMIFS('Per Line'!$AB$2:$AB$3001,'Per Line'!$E$2:$E$3001,$B842,'Per Line'!$AP$2:$AP$3001,0,'Per Line'!$AQ$2:$AQ$3001,0))</f>
        <v/>
      </c>
      <c r="V842" s="7">
        <f>IF($AD842="","",U842*T842)</f>
        <v/>
      </c>
      <c r="W842">
        <f>IF($AD842="","",Settings!$C$6)</f>
        <v/>
      </c>
      <c r="X842" s="7">
        <f>IF($AD842="","",SUMIFS('Per Line'!$AB$2:$AB$3001,'Per Line'!$E$2:$E$3001,$B842,'Per Line'!$AP$2:$AP$3001,1,'Per Line'!$AQ$2:$AQ$3001,0))</f>
        <v/>
      </c>
      <c r="Y842" s="7">
        <f>IF($AD842="","",X842*W842)</f>
        <v/>
      </c>
      <c r="Z842" s="7">
        <f>IF($AD842="","",Y842+V842)</f>
        <v/>
      </c>
      <c r="AA842" s="7">
        <f>IF($AD842="","",AB842-Z842)</f>
        <v/>
      </c>
      <c r="AB842" s="7">
        <f>IF($AD842="","",U842+X842+S842)</f>
        <v/>
      </c>
      <c r="AC842" s="7">
        <f>IF($AD842="","",AB842-Z842-P842)</f>
        <v/>
      </c>
      <c r="AD842" s="13">
        <f>IF(ROWS($AD$2:$AD842)&lt;=MAX('Per Line'!$AO$2:$AO$3001),MATCH(ROWS($AD$2:$AD842),'Per Line'!$AO$2:$AO$3001,0),"")</f>
        <v/>
      </c>
      <c r="AE842" s="14">
        <f>IF($AD842="","",P842-O842*AB842/100)</f>
        <v/>
      </c>
    </row>
    <row r="843">
      <c r="A843" s="12" t="n"/>
      <c r="B843">
        <f>IF($AD843="","",INDEX('Per Line'!$E$2:$E$3001,$AD843)&amp;"")</f>
        <v/>
      </c>
      <c r="C843">
        <f>IF($AD843="","",INDEX('Per Line'!$A$2:$A$3001,$AD843)&amp;"")</f>
        <v/>
      </c>
      <c r="D843">
        <f>IF($AD843="","",INDEX('Per Line'!$C$2:$C$3001,$AD843)&amp;"")</f>
        <v/>
      </c>
      <c r="E843">
        <f>IF($AD843="","",INDEX('Per Line'!$B$2:$B$3001,$AD843))</f>
        <v/>
      </c>
      <c r="F843">
        <f>IF($AD843="","",INDEX('Per Line'!$D$2:$D$3001,$AD843)&amp;"")</f>
        <v/>
      </c>
      <c r="G843" s="11">
        <f>IF($AD843="","",INDEX('Per Line'!$G$2:$G$3001,$AD843))</f>
        <v/>
      </c>
      <c r="H843">
        <f>IF($AD843="","",INDEX('Per Line'!$J$2:$J$3001,$AD843)&amp;"")</f>
        <v/>
      </c>
      <c r="I843">
        <f>IF($AD843="","",INDEX('Per Line'!$H$2:$H$3001,$AD843)&amp;"")</f>
        <v/>
      </c>
      <c r="J843">
        <f>IF($AD843="","",INDEX('Per Line'!$F$2:$F$3001,$AD843)&amp;"")</f>
        <v/>
      </c>
      <c r="K843">
        <f>IF($AD843="","",INDEX('Per Line'!$K$2:$K$3001,$AD843)&amp;"")</f>
        <v/>
      </c>
      <c r="L843">
        <f>IF($AD843="","",INDEX('Per Line'!$L$2:$L$3001,$AD843)&amp;"")</f>
        <v/>
      </c>
      <c r="M843">
        <f>IF($AD843="","",INDEX('Per Line'!$M$2:$M$3001,$AD843)&amp;"")</f>
        <v/>
      </c>
      <c r="N843">
        <f>IF($AD843="","",INDEX('Per Line'!$AC$2:$AC$3001,$AD843)&amp;"")</f>
        <v/>
      </c>
      <c r="O843">
        <f>IF($AD843="","",INDEX('Per Line'!$P$2:$P$3001,$AD843))</f>
        <v/>
      </c>
      <c r="P843" s="7">
        <f>IF($AD843="","",IF(AND(ISNUMBER(Q843),Q843&gt;0,AB843&gt;Q843),O843*Q843/100+(AB843-Q843),O843*AB843/100))</f>
        <v/>
      </c>
      <c r="Q843">
        <f>IF($AD843="","",INDEX('Per Line'!$AG$2:$AG$3001,$AD843))</f>
        <v/>
      </c>
      <c r="R843">
        <f>IF($AD843="","",IF(AND(ISNUMBER(Q843),Q843&gt;0),AB843&gt;Q843,FALSE))</f>
        <v/>
      </c>
      <c r="S843" s="7">
        <f>IF($AD843="","",SUMIFS('Per Line'!$AB$2:$AB$3001,'Per Line'!$E$2:$E$3001,$B843,'Per Line'!$AQ$2:$AQ$3001,1))</f>
        <v/>
      </c>
      <c r="T843">
        <f>IF($AD843="","",Settings!$C$7)</f>
        <v/>
      </c>
      <c r="U843" s="7">
        <f>IF($AD843="","",SUMIFS('Per Line'!$AB$2:$AB$3001,'Per Line'!$E$2:$E$3001,$B843,'Per Line'!$AP$2:$AP$3001,0,'Per Line'!$AQ$2:$AQ$3001,0))</f>
        <v/>
      </c>
      <c r="V843" s="7">
        <f>IF($AD843="","",U843*T843)</f>
        <v/>
      </c>
      <c r="W843">
        <f>IF($AD843="","",Settings!$C$6)</f>
        <v/>
      </c>
      <c r="X843" s="7">
        <f>IF($AD843="","",SUMIFS('Per Line'!$AB$2:$AB$3001,'Per Line'!$E$2:$E$3001,$B843,'Per Line'!$AP$2:$AP$3001,1,'Per Line'!$AQ$2:$AQ$3001,0))</f>
        <v/>
      </c>
      <c r="Y843" s="7">
        <f>IF($AD843="","",X843*W843)</f>
        <v/>
      </c>
      <c r="Z843" s="7">
        <f>IF($AD843="","",Y843+V843)</f>
        <v/>
      </c>
      <c r="AA843" s="7">
        <f>IF($AD843="","",AB843-Z843)</f>
        <v/>
      </c>
      <c r="AB843" s="7">
        <f>IF($AD843="","",U843+X843+S843)</f>
        <v/>
      </c>
      <c r="AC843" s="7">
        <f>IF($AD843="","",AB843-Z843-P843)</f>
        <v/>
      </c>
      <c r="AD843" s="13">
        <f>IF(ROWS($AD$2:$AD843)&lt;=MAX('Per Line'!$AO$2:$AO$3001),MATCH(ROWS($AD$2:$AD843),'Per Line'!$AO$2:$AO$3001,0),"")</f>
        <v/>
      </c>
      <c r="AE843" s="14">
        <f>IF($AD843="","",P843-O843*AB843/100)</f>
        <v/>
      </c>
    </row>
    <row r="844">
      <c r="A844" s="12" t="n"/>
      <c r="B844">
        <f>IF($AD844="","",INDEX('Per Line'!$E$2:$E$3001,$AD844)&amp;"")</f>
        <v/>
      </c>
      <c r="C844">
        <f>IF($AD844="","",INDEX('Per Line'!$A$2:$A$3001,$AD844)&amp;"")</f>
        <v/>
      </c>
      <c r="D844">
        <f>IF($AD844="","",INDEX('Per Line'!$C$2:$C$3001,$AD844)&amp;"")</f>
        <v/>
      </c>
      <c r="E844">
        <f>IF($AD844="","",INDEX('Per Line'!$B$2:$B$3001,$AD844))</f>
        <v/>
      </c>
      <c r="F844">
        <f>IF($AD844="","",INDEX('Per Line'!$D$2:$D$3001,$AD844)&amp;"")</f>
        <v/>
      </c>
      <c r="G844" s="11">
        <f>IF($AD844="","",INDEX('Per Line'!$G$2:$G$3001,$AD844))</f>
        <v/>
      </c>
      <c r="H844">
        <f>IF($AD844="","",INDEX('Per Line'!$J$2:$J$3001,$AD844)&amp;"")</f>
        <v/>
      </c>
      <c r="I844">
        <f>IF($AD844="","",INDEX('Per Line'!$H$2:$H$3001,$AD844)&amp;"")</f>
        <v/>
      </c>
      <c r="J844">
        <f>IF($AD844="","",INDEX('Per Line'!$F$2:$F$3001,$AD844)&amp;"")</f>
        <v/>
      </c>
      <c r="K844">
        <f>IF($AD844="","",INDEX('Per Line'!$K$2:$K$3001,$AD844)&amp;"")</f>
        <v/>
      </c>
      <c r="L844">
        <f>IF($AD844="","",INDEX('Per Line'!$L$2:$L$3001,$AD844)&amp;"")</f>
        <v/>
      </c>
      <c r="M844">
        <f>IF($AD844="","",INDEX('Per Line'!$M$2:$M$3001,$AD844)&amp;"")</f>
        <v/>
      </c>
      <c r="N844">
        <f>IF($AD844="","",INDEX('Per Line'!$AC$2:$AC$3001,$AD844)&amp;"")</f>
        <v/>
      </c>
      <c r="O844">
        <f>IF($AD844="","",INDEX('Per Line'!$P$2:$P$3001,$AD844))</f>
        <v/>
      </c>
      <c r="P844" s="7">
        <f>IF($AD844="","",IF(AND(ISNUMBER(Q844),Q844&gt;0,AB844&gt;Q844),O844*Q844/100+(AB844-Q844),O844*AB844/100))</f>
        <v/>
      </c>
      <c r="Q844">
        <f>IF($AD844="","",INDEX('Per Line'!$AG$2:$AG$3001,$AD844))</f>
        <v/>
      </c>
      <c r="R844">
        <f>IF($AD844="","",IF(AND(ISNUMBER(Q844),Q844&gt;0),AB844&gt;Q844,FALSE))</f>
        <v/>
      </c>
      <c r="S844" s="7">
        <f>IF($AD844="","",SUMIFS('Per Line'!$AB$2:$AB$3001,'Per Line'!$E$2:$E$3001,$B844,'Per Line'!$AQ$2:$AQ$3001,1))</f>
        <v/>
      </c>
      <c r="T844">
        <f>IF($AD844="","",Settings!$C$7)</f>
        <v/>
      </c>
      <c r="U844" s="7">
        <f>IF($AD844="","",SUMIFS('Per Line'!$AB$2:$AB$3001,'Per Line'!$E$2:$E$3001,$B844,'Per Line'!$AP$2:$AP$3001,0,'Per Line'!$AQ$2:$AQ$3001,0))</f>
        <v/>
      </c>
      <c r="V844" s="7">
        <f>IF($AD844="","",U844*T844)</f>
        <v/>
      </c>
      <c r="W844">
        <f>IF($AD844="","",Settings!$C$6)</f>
        <v/>
      </c>
      <c r="X844" s="7">
        <f>IF($AD844="","",SUMIFS('Per Line'!$AB$2:$AB$3001,'Per Line'!$E$2:$E$3001,$B844,'Per Line'!$AP$2:$AP$3001,1,'Per Line'!$AQ$2:$AQ$3001,0))</f>
        <v/>
      </c>
      <c r="Y844" s="7">
        <f>IF($AD844="","",X844*W844)</f>
        <v/>
      </c>
      <c r="Z844" s="7">
        <f>IF($AD844="","",Y844+V844)</f>
        <v/>
      </c>
      <c r="AA844" s="7">
        <f>IF($AD844="","",AB844-Z844)</f>
        <v/>
      </c>
      <c r="AB844" s="7">
        <f>IF($AD844="","",U844+X844+S844)</f>
        <v/>
      </c>
      <c r="AC844" s="7">
        <f>IF($AD844="","",AB844-Z844-P844)</f>
        <v/>
      </c>
      <c r="AD844" s="13">
        <f>IF(ROWS($AD$2:$AD844)&lt;=MAX('Per Line'!$AO$2:$AO$3001),MATCH(ROWS($AD$2:$AD844),'Per Line'!$AO$2:$AO$3001,0),"")</f>
        <v/>
      </c>
      <c r="AE844" s="14">
        <f>IF($AD844="","",P844-O844*AB844/100)</f>
        <v/>
      </c>
    </row>
    <row r="845">
      <c r="A845" s="12" t="n"/>
      <c r="B845">
        <f>IF($AD845="","",INDEX('Per Line'!$E$2:$E$3001,$AD845)&amp;"")</f>
        <v/>
      </c>
      <c r="C845">
        <f>IF($AD845="","",INDEX('Per Line'!$A$2:$A$3001,$AD845)&amp;"")</f>
        <v/>
      </c>
      <c r="D845">
        <f>IF($AD845="","",INDEX('Per Line'!$C$2:$C$3001,$AD845)&amp;"")</f>
        <v/>
      </c>
      <c r="E845">
        <f>IF($AD845="","",INDEX('Per Line'!$B$2:$B$3001,$AD845))</f>
        <v/>
      </c>
      <c r="F845">
        <f>IF($AD845="","",INDEX('Per Line'!$D$2:$D$3001,$AD845)&amp;"")</f>
        <v/>
      </c>
      <c r="G845" s="11">
        <f>IF($AD845="","",INDEX('Per Line'!$G$2:$G$3001,$AD845))</f>
        <v/>
      </c>
      <c r="H845">
        <f>IF($AD845="","",INDEX('Per Line'!$J$2:$J$3001,$AD845)&amp;"")</f>
        <v/>
      </c>
      <c r="I845">
        <f>IF($AD845="","",INDEX('Per Line'!$H$2:$H$3001,$AD845)&amp;"")</f>
        <v/>
      </c>
      <c r="J845">
        <f>IF($AD845="","",INDEX('Per Line'!$F$2:$F$3001,$AD845)&amp;"")</f>
        <v/>
      </c>
      <c r="K845">
        <f>IF($AD845="","",INDEX('Per Line'!$K$2:$K$3001,$AD845)&amp;"")</f>
        <v/>
      </c>
      <c r="L845">
        <f>IF($AD845="","",INDEX('Per Line'!$L$2:$L$3001,$AD845)&amp;"")</f>
        <v/>
      </c>
      <c r="M845">
        <f>IF($AD845="","",INDEX('Per Line'!$M$2:$M$3001,$AD845)&amp;"")</f>
        <v/>
      </c>
      <c r="N845">
        <f>IF($AD845="","",INDEX('Per Line'!$AC$2:$AC$3001,$AD845)&amp;"")</f>
        <v/>
      </c>
      <c r="O845">
        <f>IF($AD845="","",INDEX('Per Line'!$P$2:$P$3001,$AD845))</f>
        <v/>
      </c>
      <c r="P845" s="7">
        <f>IF($AD845="","",IF(AND(ISNUMBER(Q845),Q845&gt;0,AB845&gt;Q845),O845*Q845/100+(AB845-Q845),O845*AB845/100))</f>
        <v/>
      </c>
      <c r="Q845">
        <f>IF($AD845="","",INDEX('Per Line'!$AG$2:$AG$3001,$AD845))</f>
        <v/>
      </c>
      <c r="R845">
        <f>IF($AD845="","",IF(AND(ISNUMBER(Q845),Q845&gt;0),AB845&gt;Q845,FALSE))</f>
        <v/>
      </c>
      <c r="S845" s="7">
        <f>IF($AD845="","",SUMIFS('Per Line'!$AB$2:$AB$3001,'Per Line'!$E$2:$E$3001,$B845,'Per Line'!$AQ$2:$AQ$3001,1))</f>
        <v/>
      </c>
      <c r="T845">
        <f>IF($AD845="","",Settings!$C$7)</f>
        <v/>
      </c>
      <c r="U845" s="7">
        <f>IF($AD845="","",SUMIFS('Per Line'!$AB$2:$AB$3001,'Per Line'!$E$2:$E$3001,$B845,'Per Line'!$AP$2:$AP$3001,0,'Per Line'!$AQ$2:$AQ$3001,0))</f>
        <v/>
      </c>
      <c r="V845" s="7">
        <f>IF($AD845="","",U845*T845)</f>
        <v/>
      </c>
      <c r="W845">
        <f>IF($AD845="","",Settings!$C$6)</f>
        <v/>
      </c>
      <c r="X845" s="7">
        <f>IF($AD845="","",SUMIFS('Per Line'!$AB$2:$AB$3001,'Per Line'!$E$2:$E$3001,$B845,'Per Line'!$AP$2:$AP$3001,1,'Per Line'!$AQ$2:$AQ$3001,0))</f>
        <v/>
      </c>
      <c r="Y845" s="7">
        <f>IF($AD845="","",X845*W845)</f>
        <v/>
      </c>
      <c r="Z845" s="7">
        <f>IF($AD845="","",Y845+V845)</f>
        <v/>
      </c>
      <c r="AA845" s="7">
        <f>IF($AD845="","",AB845-Z845)</f>
        <v/>
      </c>
      <c r="AB845" s="7">
        <f>IF($AD845="","",U845+X845+S845)</f>
        <v/>
      </c>
      <c r="AC845" s="7">
        <f>IF($AD845="","",AB845-Z845-P845)</f>
        <v/>
      </c>
      <c r="AD845" s="13">
        <f>IF(ROWS($AD$2:$AD845)&lt;=MAX('Per Line'!$AO$2:$AO$3001),MATCH(ROWS($AD$2:$AD845),'Per Line'!$AO$2:$AO$3001,0),"")</f>
        <v/>
      </c>
      <c r="AE845" s="14">
        <f>IF($AD845="","",P845-O845*AB845/100)</f>
        <v/>
      </c>
    </row>
    <row r="846">
      <c r="A846" s="12" t="n"/>
      <c r="B846">
        <f>IF($AD846="","",INDEX('Per Line'!$E$2:$E$3001,$AD846)&amp;"")</f>
        <v/>
      </c>
      <c r="C846">
        <f>IF($AD846="","",INDEX('Per Line'!$A$2:$A$3001,$AD846)&amp;"")</f>
        <v/>
      </c>
      <c r="D846">
        <f>IF($AD846="","",INDEX('Per Line'!$C$2:$C$3001,$AD846)&amp;"")</f>
        <v/>
      </c>
      <c r="E846">
        <f>IF($AD846="","",INDEX('Per Line'!$B$2:$B$3001,$AD846))</f>
        <v/>
      </c>
      <c r="F846">
        <f>IF($AD846="","",INDEX('Per Line'!$D$2:$D$3001,$AD846)&amp;"")</f>
        <v/>
      </c>
      <c r="G846" s="11">
        <f>IF($AD846="","",INDEX('Per Line'!$G$2:$G$3001,$AD846))</f>
        <v/>
      </c>
      <c r="H846">
        <f>IF($AD846="","",INDEX('Per Line'!$J$2:$J$3001,$AD846)&amp;"")</f>
        <v/>
      </c>
      <c r="I846">
        <f>IF($AD846="","",INDEX('Per Line'!$H$2:$H$3001,$AD846)&amp;"")</f>
        <v/>
      </c>
      <c r="J846">
        <f>IF($AD846="","",INDEX('Per Line'!$F$2:$F$3001,$AD846)&amp;"")</f>
        <v/>
      </c>
      <c r="K846">
        <f>IF($AD846="","",INDEX('Per Line'!$K$2:$K$3001,$AD846)&amp;"")</f>
        <v/>
      </c>
      <c r="L846">
        <f>IF($AD846="","",INDEX('Per Line'!$L$2:$L$3001,$AD846)&amp;"")</f>
        <v/>
      </c>
      <c r="M846">
        <f>IF($AD846="","",INDEX('Per Line'!$M$2:$M$3001,$AD846)&amp;"")</f>
        <v/>
      </c>
      <c r="N846">
        <f>IF($AD846="","",INDEX('Per Line'!$AC$2:$AC$3001,$AD846)&amp;"")</f>
        <v/>
      </c>
      <c r="O846">
        <f>IF($AD846="","",INDEX('Per Line'!$P$2:$P$3001,$AD846))</f>
        <v/>
      </c>
      <c r="P846" s="7">
        <f>IF($AD846="","",IF(AND(ISNUMBER(Q846),Q846&gt;0,AB846&gt;Q846),O846*Q846/100+(AB846-Q846),O846*AB846/100))</f>
        <v/>
      </c>
      <c r="Q846">
        <f>IF($AD846="","",INDEX('Per Line'!$AG$2:$AG$3001,$AD846))</f>
        <v/>
      </c>
      <c r="R846">
        <f>IF($AD846="","",IF(AND(ISNUMBER(Q846),Q846&gt;0),AB846&gt;Q846,FALSE))</f>
        <v/>
      </c>
      <c r="S846" s="7">
        <f>IF($AD846="","",SUMIFS('Per Line'!$AB$2:$AB$3001,'Per Line'!$E$2:$E$3001,$B846,'Per Line'!$AQ$2:$AQ$3001,1))</f>
        <v/>
      </c>
      <c r="T846">
        <f>IF($AD846="","",Settings!$C$7)</f>
        <v/>
      </c>
      <c r="U846" s="7">
        <f>IF($AD846="","",SUMIFS('Per Line'!$AB$2:$AB$3001,'Per Line'!$E$2:$E$3001,$B846,'Per Line'!$AP$2:$AP$3001,0,'Per Line'!$AQ$2:$AQ$3001,0))</f>
        <v/>
      </c>
      <c r="V846" s="7">
        <f>IF($AD846="","",U846*T846)</f>
        <v/>
      </c>
      <c r="W846">
        <f>IF($AD846="","",Settings!$C$6)</f>
        <v/>
      </c>
      <c r="X846" s="7">
        <f>IF($AD846="","",SUMIFS('Per Line'!$AB$2:$AB$3001,'Per Line'!$E$2:$E$3001,$B846,'Per Line'!$AP$2:$AP$3001,1,'Per Line'!$AQ$2:$AQ$3001,0))</f>
        <v/>
      </c>
      <c r="Y846" s="7">
        <f>IF($AD846="","",X846*W846)</f>
        <v/>
      </c>
      <c r="Z846" s="7">
        <f>IF($AD846="","",Y846+V846)</f>
        <v/>
      </c>
      <c r="AA846" s="7">
        <f>IF($AD846="","",AB846-Z846)</f>
        <v/>
      </c>
      <c r="AB846" s="7">
        <f>IF($AD846="","",U846+X846+S846)</f>
        <v/>
      </c>
      <c r="AC846" s="7">
        <f>IF($AD846="","",AB846-Z846-P846)</f>
        <v/>
      </c>
      <c r="AD846" s="13">
        <f>IF(ROWS($AD$2:$AD846)&lt;=MAX('Per Line'!$AO$2:$AO$3001),MATCH(ROWS($AD$2:$AD846),'Per Line'!$AO$2:$AO$3001,0),"")</f>
        <v/>
      </c>
      <c r="AE846" s="14">
        <f>IF($AD846="","",P846-O846*AB846/100)</f>
        <v/>
      </c>
    </row>
    <row r="847">
      <c r="A847" s="12" t="n"/>
      <c r="B847">
        <f>IF($AD847="","",INDEX('Per Line'!$E$2:$E$3001,$AD847)&amp;"")</f>
        <v/>
      </c>
      <c r="C847">
        <f>IF($AD847="","",INDEX('Per Line'!$A$2:$A$3001,$AD847)&amp;"")</f>
        <v/>
      </c>
      <c r="D847">
        <f>IF($AD847="","",INDEX('Per Line'!$C$2:$C$3001,$AD847)&amp;"")</f>
        <v/>
      </c>
      <c r="E847">
        <f>IF($AD847="","",INDEX('Per Line'!$B$2:$B$3001,$AD847))</f>
        <v/>
      </c>
      <c r="F847">
        <f>IF($AD847="","",INDEX('Per Line'!$D$2:$D$3001,$AD847)&amp;"")</f>
        <v/>
      </c>
      <c r="G847" s="11">
        <f>IF($AD847="","",INDEX('Per Line'!$G$2:$G$3001,$AD847))</f>
        <v/>
      </c>
      <c r="H847">
        <f>IF($AD847="","",INDEX('Per Line'!$J$2:$J$3001,$AD847)&amp;"")</f>
        <v/>
      </c>
      <c r="I847">
        <f>IF($AD847="","",INDEX('Per Line'!$H$2:$H$3001,$AD847)&amp;"")</f>
        <v/>
      </c>
      <c r="J847">
        <f>IF($AD847="","",INDEX('Per Line'!$F$2:$F$3001,$AD847)&amp;"")</f>
        <v/>
      </c>
      <c r="K847">
        <f>IF($AD847="","",INDEX('Per Line'!$K$2:$K$3001,$AD847)&amp;"")</f>
        <v/>
      </c>
      <c r="L847">
        <f>IF($AD847="","",INDEX('Per Line'!$L$2:$L$3001,$AD847)&amp;"")</f>
        <v/>
      </c>
      <c r="M847">
        <f>IF($AD847="","",INDEX('Per Line'!$M$2:$M$3001,$AD847)&amp;"")</f>
        <v/>
      </c>
      <c r="N847">
        <f>IF($AD847="","",INDEX('Per Line'!$AC$2:$AC$3001,$AD847)&amp;"")</f>
        <v/>
      </c>
      <c r="O847">
        <f>IF($AD847="","",INDEX('Per Line'!$P$2:$P$3001,$AD847))</f>
        <v/>
      </c>
      <c r="P847" s="7">
        <f>IF($AD847="","",IF(AND(ISNUMBER(Q847),Q847&gt;0,AB847&gt;Q847),O847*Q847/100+(AB847-Q847),O847*AB847/100))</f>
        <v/>
      </c>
      <c r="Q847">
        <f>IF($AD847="","",INDEX('Per Line'!$AG$2:$AG$3001,$AD847))</f>
        <v/>
      </c>
      <c r="R847">
        <f>IF($AD847="","",IF(AND(ISNUMBER(Q847),Q847&gt;0),AB847&gt;Q847,FALSE))</f>
        <v/>
      </c>
      <c r="S847" s="7">
        <f>IF($AD847="","",SUMIFS('Per Line'!$AB$2:$AB$3001,'Per Line'!$E$2:$E$3001,$B847,'Per Line'!$AQ$2:$AQ$3001,1))</f>
        <v/>
      </c>
      <c r="T847">
        <f>IF($AD847="","",Settings!$C$7)</f>
        <v/>
      </c>
      <c r="U847" s="7">
        <f>IF($AD847="","",SUMIFS('Per Line'!$AB$2:$AB$3001,'Per Line'!$E$2:$E$3001,$B847,'Per Line'!$AP$2:$AP$3001,0,'Per Line'!$AQ$2:$AQ$3001,0))</f>
        <v/>
      </c>
      <c r="V847" s="7">
        <f>IF($AD847="","",U847*T847)</f>
        <v/>
      </c>
      <c r="W847">
        <f>IF($AD847="","",Settings!$C$6)</f>
        <v/>
      </c>
      <c r="X847" s="7">
        <f>IF($AD847="","",SUMIFS('Per Line'!$AB$2:$AB$3001,'Per Line'!$E$2:$E$3001,$B847,'Per Line'!$AP$2:$AP$3001,1,'Per Line'!$AQ$2:$AQ$3001,0))</f>
        <v/>
      </c>
      <c r="Y847" s="7">
        <f>IF($AD847="","",X847*W847)</f>
        <v/>
      </c>
      <c r="Z847" s="7">
        <f>IF($AD847="","",Y847+V847)</f>
        <v/>
      </c>
      <c r="AA847" s="7">
        <f>IF($AD847="","",AB847-Z847)</f>
        <v/>
      </c>
      <c r="AB847" s="7">
        <f>IF($AD847="","",U847+X847+S847)</f>
        <v/>
      </c>
      <c r="AC847" s="7">
        <f>IF($AD847="","",AB847-Z847-P847)</f>
        <v/>
      </c>
      <c r="AD847" s="13">
        <f>IF(ROWS($AD$2:$AD847)&lt;=MAX('Per Line'!$AO$2:$AO$3001),MATCH(ROWS($AD$2:$AD847),'Per Line'!$AO$2:$AO$3001,0),"")</f>
        <v/>
      </c>
      <c r="AE847" s="14">
        <f>IF($AD847="","",P847-O847*AB847/100)</f>
        <v/>
      </c>
    </row>
    <row r="848">
      <c r="A848" s="12" t="n"/>
      <c r="B848">
        <f>IF($AD848="","",INDEX('Per Line'!$E$2:$E$3001,$AD848)&amp;"")</f>
        <v/>
      </c>
      <c r="C848">
        <f>IF($AD848="","",INDEX('Per Line'!$A$2:$A$3001,$AD848)&amp;"")</f>
        <v/>
      </c>
      <c r="D848">
        <f>IF($AD848="","",INDEX('Per Line'!$C$2:$C$3001,$AD848)&amp;"")</f>
        <v/>
      </c>
      <c r="E848">
        <f>IF($AD848="","",INDEX('Per Line'!$B$2:$B$3001,$AD848))</f>
        <v/>
      </c>
      <c r="F848">
        <f>IF($AD848="","",INDEX('Per Line'!$D$2:$D$3001,$AD848)&amp;"")</f>
        <v/>
      </c>
      <c r="G848" s="11">
        <f>IF($AD848="","",INDEX('Per Line'!$G$2:$G$3001,$AD848))</f>
        <v/>
      </c>
      <c r="H848">
        <f>IF($AD848="","",INDEX('Per Line'!$J$2:$J$3001,$AD848)&amp;"")</f>
        <v/>
      </c>
      <c r="I848">
        <f>IF($AD848="","",INDEX('Per Line'!$H$2:$H$3001,$AD848)&amp;"")</f>
        <v/>
      </c>
      <c r="J848">
        <f>IF($AD848="","",INDEX('Per Line'!$F$2:$F$3001,$AD848)&amp;"")</f>
        <v/>
      </c>
      <c r="K848">
        <f>IF($AD848="","",INDEX('Per Line'!$K$2:$K$3001,$AD848)&amp;"")</f>
        <v/>
      </c>
      <c r="L848">
        <f>IF($AD848="","",INDEX('Per Line'!$L$2:$L$3001,$AD848)&amp;"")</f>
        <v/>
      </c>
      <c r="M848">
        <f>IF($AD848="","",INDEX('Per Line'!$M$2:$M$3001,$AD848)&amp;"")</f>
        <v/>
      </c>
      <c r="N848">
        <f>IF($AD848="","",INDEX('Per Line'!$AC$2:$AC$3001,$AD848)&amp;"")</f>
        <v/>
      </c>
      <c r="O848">
        <f>IF($AD848="","",INDEX('Per Line'!$P$2:$P$3001,$AD848))</f>
        <v/>
      </c>
      <c r="P848" s="7">
        <f>IF($AD848="","",IF(AND(ISNUMBER(Q848),Q848&gt;0,AB848&gt;Q848),O848*Q848/100+(AB848-Q848),O848*AB848/100))</f>
        <v/>
      </c>
      <c r="Q848">
        <f>IF($AD848="","",INDEX('Per Line'!$AG$2:$AG$3001,$AD848))</f>
        <v/>
      </c>
      <c r="R848">
        <f>IF($AD848="","",IF(AND(ISNUMBER(Q848),Q848&gt;0),AB848&gt;Q848,FALSE))</f>
        <v/>
      </c>
      <c r="S848" s="7">
        <f>IF($AD848="","",SUMIFS('Per Line'!$AB$2:$AB$3001,'Per Line'!$E$2:$E$3001,$B848,'Per Line'!$AQ$2:$AQ$3001,1))</f>
        <v/>
      </c>
      <c r="T848">
        <f>IF($AD848="","",Settings!$C$7)</f>
        <v/>
      </c>
      <c r="U848" s="7">
        <f>IF($AD848="","",SUMIFS('Per Line'!$AB$2:$AB$3001,'Per Line'!$E$2:$E$3001,$B848,'Per Line'!$AP$2:$AP$3001,0,'Per Line'!$AQ$2:$AQ$3001,0))</f>
        <v/>
      </c>
      <c r="V848" s="7">
        <f>IF($AD848="","",U848*T848)</f>
        <v/>
      </c>
      <c r="W848">
        <f>IF($AD848="","",Settings!$C$6)</f>
        <v/>
      </c>
      <c r="X848" s="7">
        <f>IF($AD848="","",SUMIFS('Per Line'!$AB$2:$AB$3001,'Per Line'!$E$2:$E$3001,$B848,'Per Line'!$AP$2:$AP$3001,1,'Per Line'!$AQ$2:$AQ$3001,0))</f>
        <v/>
      </c>
      <c r="Y848" s="7">
        <f>IF($AD848="","",X848*W848)</f>
        <v/>
      </c>
      <c r="Z848" s="7">
        <f>IF($AD848="","",Y848+V848)</f>
        <v/>
      </c>
      <c r="AA848" s="7">
        <f>IF($AD848="","",AB848-Z848)</f>
        <v/>
      </c>
      <c r="AB848" s="7">
        <f>IF($AD848="","",U848+X848+S848)</f>
        <v/>
      </c>
      <c r="AC848" s="7">
        <f>IF($AD848="","",AB848-Z848-P848)</f>
        <v/>
      </c>
      <c r="AD848" s="13">
        <f>IF(ROWS($AD$2:$AD848)&lt;=MAX('Per Line'!$AO$2:$AO$3001),MATCH(ROWS($AD$2:$AD848),'Per Line'!$AO$2:$AO$3001,0),"")</f>
        <v/>
      </c>
      <c r="AE848" s="14">
        <f>IF($AD848="","",P848-O848*AB848/100)</f>
        <v/>
      </c>
    </row>
    <row r="849">
      <c r="A849" s="12" t="n"/>
      <c r="B849">
        <f>IF($AD849="","",INDEX('Per Line'!$E$2:$E$3001,$AD849)&amp;"")</f>
        <v/>
      </c>
      <c r="C849">
        <f>IF($AD849="","",INDEX('Per Line'!$A$2:$A$3001,$AD849)&amp;"")</f>
        <v/>
      </c>
      <c r="D849">
        <f>IF($AD849="","",INDEX('Per Line'!$C$2:$C$3001,$AD849)&amp;"")</f>
        <v/>
      </c>
      <c r="E849">
        <f>IF($AD849="","",INDEX('Per Line'!$B$2:$B$3001,$AD849))</f>
        <v/>
      </c>
      <c r="F849">
        <f>IF($AD849="","",INDEX('Per Line'!$D$2:$D$3001,$AD849)&amp;"")</f>
        <v/>
      </c>
      <c r="G849" s="11">
        <f>IF($AD849="","",INDEX('Per Line'!$G$2:$G$3001,$AD849))</f>
        <v/>
      </c>
      <c r="H849">
        <f>IF($AD849="","",INDEX('Per Line'!$J$2:$J$3001,$AD849)&amp;"")</f>
        <v/>
      </c>
      <c r="I849">
        <f>IF($AD849="","",INDEX('Per Line'!$H$2:$H$3001,$AD849)&amp;"")</f>
        <v/>
      </c>
      <c r="J849">
        <f>IF($AD849="","",INDEX('Per Line'!$F$2:$F$3001,$AD849)&amp;"")</f>
        <v/>
      </c>
      <c r="K849">
        <f>IF($AD849="","",INDEX('Per Line'!$K$2:$K$3001,$AD849)&amp;"")</f>
        <v/>
      </c>
      <c r="L849">
        <f>IF($AD849="","",INDEX('Per Line'!$L$2:$L$3001,$AD849)&amp;"")</f>
        <v/>
      </c>
      <c r="M849">
        <f>IF($AD849="","",INDEX('Per Line'!$M$2:$M$3001,$AD849)&amp;"")</f>
        <v/>
      </c>
      <c r="N849">
        <f>IF($AD849="","",INDEX('Per Line'!$AC$2:$AC$3001,$AD849)&amp;"")</f>
        <v/>
      </c>
      <c r="O849">
        <f>IF($AD849="","",INDEX('Per Line'!$P$2:$P$3001,$AD849))</f>
        <v/>
      </c>
      <c r="P849" s="7">
        <f>IF($AD849="","",IF(AND(ISNUMBER(Q849),Q849&gt;0,AB849&gt;Q849),O849*Q849/100+(AB849-Q849),O849*AB849/100))</f>
        <v/>
      </c>
      <c r="Q849">
        <f>IF($AD849="","",INDEX('Per Line'!$AG$2:$AG$3001,$AD849))</f>
        <v/>
      </c>
      <c r="R849">
        <f>IF($AD849="","",IF(AND(ISNUMBER(Q849),Q849&gt;0),AB849&gt;Q849,FALSE))</f>
        <v/>
      </c>
      <c r="S849" s="7">
        <f>IF($AD849="","",SUMIFS('Per Line'!$AB$2:$AB$3001,'Per Line'!$E$2:$E$3001,$B849,'Per Line'!$AQ$2:$AQ$3001,1))</f>
        <v/>
      </c>
      <c r="T849">
        <f>IF($AD849="","",Settings!$C$7)</f>
        <v/>
      </c>
      <c r="U849" s="7">
        <f>IF($AD849="","",SUMIFS('Per Line'!$AB$2:$AB$3001,'Per Line'!$E$2:$E$3001,$B849,'Per Line'!$AP$2:$AP$3001,0,'Per Line'!$AQ$2:$AQ$3001,0))</f>
        <v/>
      </c>
      <c r="V849" s="7">
        <f>IF($AD849="","",U849*T849)</f>
        <v/>
      </c>
      <c r="W849">
        <f>IF($AD849="","",Settings!$C$6)</f>
        <v/>
      </c>
      <c r="X849" s="7">
        <f>IF($AD849="","",SUMIFS('Per Line'!$AB$2:$AB$3001,'Per Line'!$E$2:$E$3001,$B849,'Per Line'!$AP$2:$AP$3001,1,'Per Line'!$AQ$2:$AQ$3001,0))</f>
        <v/>
      </c>
      <c r="Y849" s="7">
        <f>IF($AD849="","",X849*W849)</f>
        <v/>
      </c>
      <c r="Z849" s="7">
        <f>IF($AD849="","",Y849+V849)</f>
        <v/>
      </c>
      <c r="AA849" s="7">
        <f>IF($AD849="","",AB849-Z849)</f>
        <v/>
      </c>
      <c r="AB849" s="7">
        <f>IF($AD849="","",U849+X849+S849)</f>
        <v/>
      </c>
      <c r="AC849" s="7">
        <f>IF($AD849="","",AB849-Z849-P849)</f>
        <v/>
      </c>
      <c r="AD849" s="13">
        <f>IF(ROWS($AD$2:$AD849)&lt;=MAX('Per Line'!$AO$2:$AO$3001),MATCH(ROWS($AD$2:$AD849),'Per Line'!$AO$2:$AO$3001,0),"")</f>
        <v/>
      </c>
      <c r="AE849" s="14">
        <f>IF($AD849="","",P849-O849*AB849/100)</f>
        <v/>
      </c>
    </row>
    <row r="850">
      <c r="A850" s="12" t="n"/>
      <c r="B850">
        <f>IF($AD850="","",INDEX('Per Line'!$E$2:$E$3001,$AD850)&amp;"")</f>
        <v/>
      </c>
      <c r="C850">
        <f>IF($AD850="","",INDEX('Per Line'!$A$2:$A$3001,$AD850)&amp;"")</f>
        <v/>
      </c>
      <c r="D850">
        <f>IF($AD850="","",INDEX('Per Line'!$C$2:$C$3001,$AD850)&amp;"")</f>
        <v/>
      </c>
      <c r="E850">
        <f>IF($AD850="","",INDEX('Per Line'!$B$2:$B$3001,$AD850))</f>
        <v/>
      </c>
      <c r="F850">
        <f>IF($AD850="","",INDEX('Per Line'!$D$2:$D$3001,$AD850)&amp;"")</f>
        <v/>
      </c>
      <c r="G850" s="11">
        <f>IF($AD850="","",INDEX('Per Line'!$G$2:$G$3001,$AD850))</f>
        <v/>
      </c>
      <c r="H850">
        <f>IF($AD850="","",INDEX('Per Line'!$J$2:$J$3001,$AD850)&amp;"")</f>
        <v/>
      </c>
      <c r="I850">
        <f>IF($AD850="","",INDEX('Per Line'!$H$2:$H$3001,$AD850)&amp;"")</f>
        <v/>
      </c>
      <c r="J850">
        <f>IF($AD850="","",INDEX('Per Line'!$F$2:$F$3001,$AD850)&amp;"")</f>
        <v/>
      </c>
      <c r="K850">
        <f>IF($AD850="","",INDEX('Per Line'!$K$2:$K$3001,$AD850)&amp;"")</f>
        <v/>
      </c>
      <c r="L850">
        <f>IF($AD850="","",INDEX('Per Line'!$L$2:$L$3001,$AD850)&amp;"")</f>
        <v/>
      </c>
      <c r="M850">
        <f>IF($AD850="","",INDEX('Per Line'!$M$2:$M$3001,$AD850)&amp;"")</f>
        <v/>
      </c>
      <c r="N850">
        <f>IF($AD850="","",INDEX('Per Line'!$AC$2:$AC$3001,$AD850)&amp;"")</f>
        <v/>
      </c>
      <c r="O850">
        <f>IF($AD850="","",INDEX('Per Line'!$P$2:$P$3001,$AD850))</f>
        <v/>
      </c>
      <c r="P850" s="7">
        <f>IF($AD850="","",IF(AND(ISNUMBER(Q850),Q850&gt;0,AB850&gt;Q850),O850*Q850/100+(AB850-Q850),O850*AB850/100))</f>
        <v/>
      </c>
      <c r="Q850">
        <f>IF($AD850="","",INDEX('Per Line'!$AG$2:$AG$3001,$AD850))</f>
        <v/>
      </c>
      <c r="R850">
        <f>IF($AD850="","",IF(AND(ISNUMBER(Q850),Q850&gt;0),AB850&gt;Q850,FALSE))</f>
        <v/>
      </c>
      <c r="S850" s="7">
        <f>IF($AD850="","",SUMIFS('Per Line'!$AB$2:$AB$3001,'Per Line'!$E$2:$E$3001,$B850,'Per Line'!$AQ$2:$AQ$3001,1))</f>
        <v/>
      </c>
      <c r="T850">
        <f>IF($AD850="","",Settings!$C$7)</f>
        <v/>
      </c>
      <c r="U850" s="7">
        <f>IF($AD850="","",SUMIFS('Per Line'!$AB$2:$AB$3001,'Per Line'!$E$2:$E$3001,$B850,'Per Line'!$AP$2:$AP$3001,0,'Per Line'!$AQ$2:$AQ$3001,0))</f>
        <v/>
      </c>
      <c r="V850" s="7">
        <f>IF($AD850="","",U850*T850)</f>
        <v/>
      </c>
      <c r="W850">
        <f>IF($AD850="","",Settings!$C$6)</f>
        <v/>
      </c>
      <c r="X850" s="7">
        <f>IF($AD850="","",SUMIFS('Per Line'!$AB$2:$AB$3001,'Per Line'!$E$2:$E$3001,$B850,'Per Line'!$AP$2:$AP$3001,1,'Per Line'!$AQ$2:$AQ$3001,0))</f>
        <v/>
      </c>
      <c r="Y850" s="7">
        <f>IF($AD850="","",X850*W850)</f>
        <v/>
      </c>
      <c r="Z850" s="7">
        <f>IF($AD850="","",Y850+V850)</f>
        <v/>
      </c>
      <c r="AA850" s="7">
        <f>IF($AD850="","",AB850-Z850)</f>
        <v/>
      </c>
      <c r="AB850" s="7">
        <f>IF($AD850="","",U850+X850+S850)</f>
        <v/>
      </c>
      <c r="AC850" s="7">
        <f>IF($AD850="","",AB850-Z850-P850)</f>
        <v/>
      </c>
      <c r="AD850" s="13">
        <f>IF(ROWS($AD$2:$AD850)&lt;=MAX('Per Line'!$AO$2:$AO$3001),MATCH(ROWS($AD$2:$AD850),'Per Line'!$AO$2:$AO$3001,0),"")</f>
        <v/>
      </c>
      <c r="AE850" s="14">
        <f>IF($AD850="","",P850-O850*AB850/100)</f>
        <v/>
      </c>
    </row>
    <row r="851">
      <c r="A851" s="12" t="n"/>
      <c r="B851">
        <f>IF($AD851="","",INDEX('Per Line'!$E$2:$E$3001,$AD851)&amp;"")</f>
        <v/>
      </c>
      <c r="C851">
        <f>IF($AD851="","",INDEX('Per Line'!$A$2:$A$3001,$AD851)&amp;"")</f>
        <v/>
      </c>
      <c r="D851">
        <f>IF($AD851="","",INDEX('Per Line'!$C$2:$C$3001,$AD851)&amp;"")</f>
        <v/>
      </c>
      <c r="E851">
        <f>IF($AD851="","",INDEX('Per Line'!$B$2:$B$3001,$AD851))</f>
        <v/>
      </c>
      <c r="F851">
        <f>IF($AD851="","",INDEX('Per Line'!$D$2:$D$3001,$AD851)&amp;"")</f>
        <v/>
      </c>
      <c r="G851" s="11">
        <f>IF($AD851="","",INDEX('Per Line'!$G$2:$G$3001,$AD851))</f>
        <v/>
      </c>
      <c r="H851">
        <f>IF($AD851="","",INDEX('Per Line'!$J$2:$J$3001,$AD851)&amp;"")</f>
        <v/>
      </c>
      <c r="I851">
        <f>IF($AD851="","",INDEX('Per Line'!$H$2:$H$3001,$AD851)&amp;"")</f>
        <v/>
      </c>
      <c r="J851">
        <f>IF($AD851="","",INDEX('Per Line'!$F$2:$F$3001,$AD851)&amp;"")</f>
        <v/>
      </c>
      <c r="K851">
        <f>IF($AD851="","",INDEX('Per Line'!$K$2:$K$3001,$AD851)&amp;"")</f>
        <v/>
      </c>
      <c r="L851">
        <f>IF($AD851="","",INDEX('Per Line'!$L$2:$L$3001,$AD851)&amp;"")</f>
        <v/>
      </c>
      <c r="M851">
        <f>IF($AD851="","",INDEX('Per Line'!$M$2:$M$3001,$AD851)&amp;"")</f>
        <v/>
      </c>
      <c r="N851">
        <f>IF($AD851="","",INDEX('Per Line'!$AC$2:$AC$3001,$AD851)&amp;"")</f>
        <v/>
      </c>
      <c r="O851">
        <f>IF($AD851="","",INDEX('Per Line'!$P$2:$P$3001,$AD851))</f>
        <v/>
      </c>
      <c r="P851" s="7">
        <f>IF($AD851="","",IF(AND(ISNUMBER(Q851),Q851&gt;0,AB851&gt;Q851),O851*Q851/100+(AB851-Q851),O851*AB851/100))</f>
        <v/>
      </c>
      <c r="Q851">
        <f>IF($AD851="","",INDEX('Per Line'!$AG$2:$AG$3001,$AD851))</f>
        <v/>
      </c>
      <c r="R851">
        <f>IF($AD851="","",IF(AND(ISNUMBER(Q851),Q851&gt;0),AB851&gt;Q851,FALSE))</f>
        <v/>
      </c>
      <c r="S851" s="7">
        <f>IF($AD851="","",SUMIFS('Per Line'!$AB$2:$AB$3001,'Per Line'!$E$2:$E$3001,$B851,'Per Line'!$AQ$2:$AQ$3001,1))</f>
        <v/>
      </c>
      <c r="T851">
        <f>IF($AD851="","",Settings!$C$7)</f>
        <v/>
      </c>
      <c r="U851" s="7">
        <f>IF($AD851="","",SUMIFS('Per Line'!$AB$2:$AB$3001,'Per Line'!$E$2:$E$3001,$B851,'Per Line'!$AP$2:$AP$3001,0,'Per Line'!$AQ$2:$AQ$3001,0))</f>
        <v/>
      </c>
      <c r="V851" s="7">
        <f>IF($AD851="","",U851*T851)</f>
        <v/>
      </c>
      <c r="W851">
        <f>IF($AD851="","",Settings!$C$6)</f>
        <v/>
      </c>
      <c r="X851" s="7">
        <f>IF($AD851="","",SUMIFS('Per Line'!$AB$2:$AB$3001,'Per Line'!$E$2:$E$3001,$B851,'Per Line'!$AP$2:$AP$3001,1,'Per Line'!$AQ$2:$AQ$3001,0))</f>
        <v/>
      </c>
      <c r="Y851" s="7">
        <f>IF($AD851="","",X851*W851)</f>
        <v/>
      </c>
      <c r="Z851" s="7">
        <f>IF($AD851="","",Y851+V851)</f>
        <v/>
      </c>
      <c r="AA851" s="7">
        <f>IF($AD851="","",AB851-Z851)</f>
        <v/>
      </c>
      <c r="AB851" s="7">
        <f>IF($AD851="","",U851+X851+S851)</f>
        <v/>
      </c>
      <c r="AC851" s="7">
        <f>IF($AD851="","",AB851-Z851-P851)</f>
        <v/>
      </c>
      <c r="AD851" s="13">
        <f>IF(ROWS($AD$2:$AD851)&lt;=MAX('Per Line'!$AO$2:$AO$3001),MATCH(ROWS($AD$2:$AD851),'Per Line'!$AO$2:$AO$3001,0),"")</f>
        <v/>
      </c>
      <c r="AE851" s="14">
        <f>IF($AD851="","",P851-O851*AB851/100)</f>
        <v/>
      </c>
    </row>
    <row r="852">
      <c r="A852" s="12" t="n"/>
      <c r="B852">
        <f>IF($AD852="","",INDEX('Per Line'!$E$2:$E$3001,$AD852)&amp;"")</f>
        <v/>
      </c>
      <c r="C852">
        <f>IF($AD852="","",INDEX('Per Line'!$A$2:$A$3001,$AD852)&amp;"")</f>
        <v/>
      </c>
      <c r="D852">
        <f>IF($AD852="","",INDEX('Per Line'!$C$2:$C$3001,$AD852)&amp;"")</f>
        <v/>
      </c>
      <c r="E852">
        <f>IF($AD852="","",INDEX('Per Line'!$B$2:$B$3001,$AD852))</f>
        <v/>
      </c>
      <c r="F852">
        <f>IF($AD852="","",INDEX('Per Line'!$D$2:$D$3001,$AD852)&amp;"")</f>
        <v/>
      </c>
      <c r="G852" s="11">
        <f>IF($AD852="","",INDEX('Per Line'!$G$2:$G$3001,$AD852))</f>
        <v/>
      </c>
      <c r="H852">
        <f>IF($AD852="","",INDEX('Per Line'!$J$2:$J$3001,$AD852)&amp;"")</f>
        <v/>
      </c>
      <c r="I852">
        <f>IF($AD852="","",INDEX('Per Line'!$H$2:$H$3001,$AD852)&amp;"")</f>
        <v/>
      </c>
      <c r="J852">
        <f>IF($AD852="","",INDEX('Per Line'!$F$2:$F$3001,$AD852)&amp;"")</f>
        <v/>
      </c>
      <c r="K852">
        <f>IF($AD852="","",INDEX('Per Line'!$K$2:$K$3001,$AD852)&amp;"")</f>
        <v/>
      </c>
      <c r="L852">
        <f>IF($AD852="","",INDEX('Per Line'!$L$2:$L$3001,$AD852)&amp;"")</f>
        <v/>
      </c>
      <c r="M852">
        <f>IF($AD852="","",INDEX('Per Line'!$M$2:$M$3001,$AD852)&amp;"")</f>
        <v/>
      </c>
      <c r="N852">
        <f>IF($AD852="","",INDEX('Per Line'!$AC$2:$AC$3001,$AD852)&amp;"")</f>
        <v/>
      </c>
      <c r="O852">
        <f>IF($AD852="","",INDEX('Per Line'!$P$2:$P$3001,$AD852))</f>
        <v/>
      </c>
      <c r="P852" s="7">
        <f>IF($AD852="","",IF(AND(ISNUMBER(Q852),Q852&gt;0,AB852&gt;Q852),O852*Q852/100+(AB852-Q852),O852*AB852/100))</f>
        <v/>
      </c>
      <c r="Q852">
        <f>IF($AD852="","",INDEX('Per Line'!$AG$2:$AG$3001,$AD852))</f>
        <v/>
      </c>
      <c r="R852">
        <f>IF($AD852="","",IF(AND(ISNUMBER(Q852),Q852&gt;0),AB852&gt;Q852,FALSE))</f>
        <v/>
      </c>
      <c r="S852" s="7">
        <f>IF($AD852="","",SUMIFS('Per Line'!$AB$2:$AB$3001,'Per Line'!$E$2:$E$3001,$B852,'Per Line'!$AQ$2:$AQ$3001,1))</f>
        <v/>
      </c>
      <c r="T852">
        <f>IF($AD852="","",Settings!$C$7)</f>
        <v/>
      </c>
      <c r="U852" s="7">
        <f>IF($AD852="","",SUMIFS('Per Line'!$AB$2:$AB$3001,'Per Line'!$E$2:$E$3001,$B852,'Per Line'!$AP$2:$AP$3001,0,'Per Line'!$AQ$2:$AQ$3001,0))</f>
        <v/>
      </c>
      <c r="V852" s="7">
        <f>IF($AD852="","",U852*T852)</f>
        <v/>
      </c>
      <c r="W852">
        <f>IF($AD852="","",Settings!$C$6)</f>
        <v/>
      </c>
      <c r="X852" s="7">
        <f>IF($AD852="","",SUMIFS('Per Line'!$AB$2:$AB$3001,'Per Line'!$E$2:$E$3001,$B852,'Per Line'!$AP$2:$AP$3001,1,'Per Line'!$AQ$2:$AQ$3001,0))</f>
        <v/>
      </c>
      <c r="Y852" s="7">
        <f>IF($AD852="","",X852*W852)</f>
        <v/>
      </c>
      <c r="Z852" s="7">
        <f>IF($AD852="","",Y852+V852)</f>
        <v/>
      </c>
      <c r="AA852" s="7">
        <f>IF($AD852="","",AB852-Z852)</f>
        <v/>
      </c>
      <c r="AB852" s="7">
        <f>IF($AD852="","",U852+X852+S852)</f>
        <v/>
      </c>
      <c r="AC852" s="7">
        <f>IF($AD852="","",AB852-Z852-P852)</f>
        <v/>
      </c>
      <c r="AD852" s="13">
        <f>IF(ROWS($AD$2:$AD852)&lt;=MAX('Per Line'!$AO$2:$AO$3001),MATCH(ROWS($AD$2:$AD852),'Per Line'!$AO$2:$AO$3001,0),"")</f>
        <v/>
      </c>
      <c r="AE852" s="14">
        <f>IF($AD852="","",P852-O852*AB852/100)</f>
        <v/>
      </c>
    </row>
    <row r="853">
      <c r="A853" s="12" t="n"/>
      <c r="B853">
        <f>IF($AD853="","",INDEX('Per Line'!$E$2:$E$3001,$AD853)&amp;"")</f>
        <v/>
      </c>
      <c r="C853">
        <f>IF($AD853="","",INDEX('Per Line'!$A$2:$A$3001,$AD853)&amp;"")</f>
        <v/>
      </c>
      <c r="D853">
        <f>IF($AD853="","",INDEX('Per Line'!$C$2:$C$3001,$AD853)&amp;"")</f>
        <v/>
      </c>
      <c r="E853">
        <f>IF($AD853="","",INDEX('Per Line'!$B$2:$B$3001,$AD853))</f>
        <v/>
      </c>
      <c r="F853">
        <f>IF($AD853="","",INDEX('Per Line'!$D$2:$D$3001,$AD853)&amp;"")</f>
        <v/>
      </c>
      <c r="G853" s="11">
        <f>IF($AD853="","",INDEX('Per Line'!$G$2:$G$3001,$AD853))</f>
        <v/>
      </c>
      <c r="H853">
        <f>IF($AD853="","",INDEX('Per Line'!$J$2:$J$3001,$AD853)&amp;"")</f>
        <v/>
      </c>
      <c r="I853">
        <f>IF($AD853="","",INDEX('Per Line'!$H$2:$H$3001,$AD853)&amp;"")</f>
        <v/>
      </c>
      <c r="J853">
        <f>IF($AD853="","",INDEX('Per Line'!$F$2:$F$3001,$AD853)&amp;"")</f>
        <v/>
      </c>
      <c r="K853">
        <f>IF($AD853="","",INDEX('Per Line'!$K$2:$K$3001,$AD853)&amp;"")</f>
        <v/>
      </c>
      <c r="L853">
        <f>IF($AD853="","",INDEX('Per Line'!$L$2:$L$3001,$AD853)&amp;"")</f>
        <v/>
      </c>
      <c r="M853">
        <f>IF($AD853="","",INDEX('Per Line'!$M$2:$M$3001,$AD853)&amp;"")</f>
        <v/>
      </c>
      <c r="N853">
        <f>IF($AD853="","",INDEX('Per Line'!$AC$2:$AC$3001,$AD853)&amp;"")</f>
        <v/>
      </c>
      <c r="O853">
        <f>IF($AD853="","",INDEX('Per Line'!$P$2:$P$3001,$AD853))</f>
        <v/>
      </c>
      <c r="P853" s="7">
        <f>IF($AD853="","",IF(AND(ISNUMBER(Q853),Q853&gt;0,AB853&gt;Q853),O853*Q853/100+(AB853-Q853),O853*AB853/100))</f>
        <v/>
      </c>
      <c r="Q853">
        <f>IF($AD853="","",INDEX('Per Line'!$AG$2:$AG$3001,$AD853))</f>
        <v/>
      </c>
      <c r="R853">
        <f>IF($AD853="","",IF(AND(ISNUMBER(Q853),Q853&gt;0),AB853&gt;Q853,FALSE))</f>
        <v/>
      </c>
      <c r="S853" s="7">
        <f>IF($AD853="","",SUMIFS('Per Line'!$AB$2:$AB$3001,'Per Line'!$E$2:$E$3001,$B853,'Per Line'!$AQ$2:$AQ$3001,1))</f>
        <v/>
      </c>
      <c r="T853">
        <f>IF($AD853="","",Settings!$C$7)</f>
        <v/>
      </c>
      <c r="U853" s="7">
        <f>IF($AD853="","",SUMIFS('Per Line'!$AB$2:$AB$3001,'Per Line'!$E$2:$E$3001,$B853,'Per Line'!$AP$2:$AP$3001,0,'Per Line'!$AQ$2:$AQ$3001,0))</f>
        <v/>
      </c>
      <c r="V853" s="7">
        <f>IF($AD853="","",U853*T853)</f>
        <v/>
      </c>
      <c r="W853">
        <f>IF($AD853="","",Settings!$C$6)</f>
        <v/>
      </c>
      <c r="X853" s="7">
        <f>IF($AD853="","",SUMIFS('Per Line'!$AB$2:$AB$3001,'Per Line'!$E$2:$E$3001,$B853,'Per Line'!$AP$2:$AP$3001,1,'Per Line'!$AQ$2:$AQ$3001,0))</f>
        <v/>
      </c>
      <c r="Y853" s="7">
        <f>IF($AD853="","",X853*W853)</f>
        <v/>
      </c>
      <c r="Z853" s="7">
        <f>IF($AD853="","",Y853+V853)</f>
        <v/>
      </c>
      <c r="AA853" s="7">
        <f>IF($AD853="","",AB853-Z853)</f>
        <v/>
      </c>
      <c r="AB853" s="7">
        <f>IF($AD853="","",U853+X853+S853)</f>
        <v/>
      </c>
      <c r="AC853" s="7">
        <f>IF($AD853="","",AB853-Z853-P853)</f>
        <v/>
      </c>
      <c r="AD853" s="13">
        <f>IF(ROWS($AD$2:$AD853)&lt;=MAX('Per Line'!$AO$2:$AO$3001),MATCH(ROWS($AD$2:$AD853),'Per Line'!$AO$2:$AO$3001,0),"")</f>
        <v/>
      </c>
      <c r="AE853" s="14">
        <f>IF($AD853="","",P853-O853*AB853/100)</f>
        <v/>
      </c>
    </row>
    <row r="854">
      <c r="A854" s="12" t="n"/>
      <c r="B854">
        <f>IF($AD854="","",INDEX('Per Line'!$E$2:$E$3001,$AD854)&amp;"")</f>
        <v/>
      </c>
      <c r="C854">
        <f>IF($AD854="","",INDEX('Per Line'!$A$2:$A$3001,$AD854)&amp;"")</f>
        <v/>
      </c>
      <c r="D854">
        <f>IF($AD854="","",INDEX('Per Line'!$C$2:$C$3001,$AD854)&amp;"")</f>
        <v/>
      </c>
      <c r="E854">
        <f>IF($AD854="","",INDEX('Per Line'!$B$2:$B$3001,$AD854))</f>
        <v/>
      </c>
      <c r="F854">
        <f>IF($AD854="","",INDEX('Per Line'!$D$2:$D$3001,$AD854)&amp;"")</f>
        <v/>
      </c>
      <c r="G854" s="11">
        <f>IF($AD854="","",INDEX('Per Line'!$G$2:$G$3001,$AD854))</f>
        <v/>
      </c>
      <c r="H854">
        <f>IF($AD854="","",INDEX('Per Line'!$J$2:$J$3001,$AD854)&amp;"")</f>
        <v/>
      </c>
      <c r="I854">
        <f>IF($AD854="","",INDEX('Per Line'!$H$2:$H$3001,$AD854)&amp;"")</f>
        <v/>
      </c>
      <c r="J854">
        <f>IF($AD854="","",INDEX('Per Line'!$F$2:$F$3001,$AD854)&amp;"")</f>
        <v/>
      </c>
      <c r="K854">
        <f>IF($AD854="","",INDEX('Per Line'!$K$2:$K$3001,$AD854)&amp;"")</f>
        <v/>
      </c>
      <c r="L854">
        <f>IF($AD854="","",INDEX('Per Line'!$L$2:$L$3001,$AD854)&amp;"")</f>
        <v/>
      </c>
      <c r="M854">
        <f>IF($AD854="","",INDEX('Per Line'!$M$2:$M$3001,$AD854)&amp;"")</f>
        <v/>
      </c>
      <c r="N854">
        <f>IF($AD854="","",INDEX('Per Line'!$AC$2:$AC$3001,$AD854)&amp;"")</f>
        <v/>
      </c>
      <c r="O854">
        <f>IF($AD854="","",INDEX('Per Line'!$P$2:$P$3001,$AD854))</f>
        <v/>
      </c>
      <c r="P854" s="7">
        <f>IF($AD854="","",IF(AND(ISNUMBER(Q854),Q854&gt;0,AB854&gt;Q854),O854*Q854/100+(AB854-Q854),O854*AB854/100))</f>
        <v/>
      </c>
      <c r="Q854">
        <f>IF($AD854="","",INDEX('Per Line'!$AG$2:$AG$3001,$AD854))</f>
        <v/>
      </c>
      <c r="R854">
        <f>IF($AD854="","",IF(AND(ISNUMBER(Q854),Q854&gt;0),AB854&gt;Q854,FALSE))</f>
        <v/>
      </c>
      <c r="S854" s="7">
        <f>IF($AD854="","",SUMIFS('Per Line'!$AB$2:$AB$3001,'Per Line'!$E$2:$E$3001,$B854,'Per Line'!$AQ$2:$AQ$3001,1))</f>
        <v/>
      </c>
      <c r="T854">
        <f>IF($AD854="","",Settings!$C$7)</f>
        <v/>
      </c>
      <c r="U854" s="7">
        <f>IF($AD854="","",SUMIFS('Per Line'!$AB$2:$AB$3001,'Per Line'!$E$2:$E$3001,$B854,'Per Line'!$AP$2:$AP$3001,0,'Per Line'!$AQ$2:$AQ$3001,0))</f>
        <v/>
      </c>
      <c r="V854" s="7">
        <f>IF($AD854="","",U854*T854)</f>
        <v/>
      </c>
      <c r="W854">
        <f>IF($AD854="","",Settings!$C$6)</f>
        <v/>
      </c>
      <c r="X854" s="7">
        <f>IF($AD854="","",SUMIFS('Per Line'!$AB$2:$AB$3001,'Per Line'!$E$2:$E$3001,$B854,'Per Line'!$AP$2:$AP$3001,1,'Per Line'!$AQ$2:$AQ$3001,0))</f>
        <v/>
      </c>
      <c r="Y854" s="7">
        <f>IF($AD854="","",X854*W854)</f>
        <v/>
      </c>
      <c r="Z854" s="7">
        <f>IF($AD854="","",Y854+V854)</f>
        <v/>
      </c>
      <c r="AA854" s="7">
        <f>IF($AD854="","",AB854-Z854)</f>
        <v/>
      </c>
      <c r="AB854" s="7">
        <f>IF($AD854="","",U854+X854+S854)</f>
        <v/>
      </c>
      <c r="AC854" s="7">
        <f>IF($AD854="","",AB854-Z854-P854)</f>
        <v/>
      </c>
      <c r="AD854" s="13">
        <f>IF(ROWS($AD$2:$AD854)&lt;=MAX('Per Line'!$AO$2:$AO$3001),MATCH(ROWS($AD$2:$AD854),'Per Line'!$AO$2:$AO$3001,0),"")</f>
        <v/>
      </c>
      <c r="AE854" s="14">
        <f>IF($AD854="","",P854-O854*AB854/100)</f>
        <v/>
      </c>
    </row>
    <row r="855">
      <c r="A855" s="12" t="n"/>
      <c r="B855">
        <f>IF($AD855="","",INDEX('Per Line'!$E$2:$E$3001,$AD855)&amp;"")</f>
        <v/>
      </c>
      <c r="C855">
        <f>IF($AD855="","",INDEX('Per Line'!$A$2:$A$3001,$AD855)&amp;"")</f>
        <v/>
      </c>
      <c r="D855">
        <f>IF($AD855="","",INDEX('Per Line'!$C$2:$C$3001,$AD855)&amp;"")</f>
        <v/>
      </c>
      <c r="E855">
        <f>IF($AD855="","",INDEX('Per Line'!$B$2:$B$3001,$AD855))</f>
        <v/>
      </c>
      <c r="F855">
        <f>IF($AD855="","",INDEX('Per Line'!$D$2:$D$3001,$AD855)&amp;"")</f>
        <v/>
      </c>
      <c r="G855" s="11">
        <f>IF($AD855="","",INDEX('Per Line'!$G$2:$G$3001,$AD855))</f>
        <v/>
      </c>
      <c r="H855">
        <f>IF($AD855="","",INDEX('Per Line'!$J$2:$J$3001,$AD855)&amp;"")</f>
        <v/>
      </c>
      <c r="I855">
        <f>IF($AD855="","",INDEX('Per Line'!$H$2:$H$3001,$AD855)&amp;"")</f>
        <v/>
      </c>
      <c r="J855">
        <f>IF($AD855="","",INDEX('Per Line'!$F$2:$F$3001,$AD855)&amp;"")</f>
        <v/>
      </c>
      <c r="K855">
        <f>IF($AD855="","",INDEX('Per Line'!$K$2:$K$3001,$AD855)&amp;"")</f>
        <v/>
      </c>
      <c r="L855">
        <f>IF($AD855="","",INDEX('Per Line'!$L$2:$L$3001,$AD855)&amp;"")</f>
        <v/>
      </c>
      <c r="M855">
        <f>IF($AD855="","",INDEX('Per Line'!$M$2:$M$3001,$AD855)&amp;"")</f>
        <v/>
      </c>
      <c r="N855">
        <f>IF($AD855="","",INDEX('Per Line'!$AC$2:$AC$3001,$AD855)&amp;"")</f>
        <v/>
      </c>
      <c r="O855">
        <f>IF($AD855="","",INDEX('Per Line'!$P$2:$P$3001,$AD855))</f>
        <v/>
      </c>
      <c r="P855" s="7">
        <f>IF($AD855="","",IF(AND(ISNUMBER(Q855),Q855&gt;0,AB855&gt;Q855),O855*Q855/100+(AB855-Q855),O855*AB855/100))</f>
        <v/>
      </c>
      <c r="Q855">
        <f>IF($AD855="","",INDEX('Per Line'!$AG$2:$AG$3001,$AD855))</f>
        <v/>
      </c>
      <c r="R855">
        <f>IF($AD855="","",IF(AND(ISNUMBER(Q855),Q855&gt;0),AB855&gt;Q855,FALSE))</f>
        <v/>
      </c>
      <c r="S855" s="7">
        <f>IF($AD855="","",SUMIFS('Per Line'!$AB$2:$AB$3001,'Per Line'!$E$2:$E$3001,$B855,'Per Line'!$AQ$2:$AQ$3001,1))</f>
        <v/>
      </c>
      <c r="T855">
        <f>IF($AD855="","",Settings!$C$7)</f>
        <v/>
      </c>
      <c r="U855" s="7">
        <f>IF($AD855="","",SUMIFS('Per Line'!$AB$2:$AB$3001,'Per Line'!$E$2:$E$3001,$B855,'Per Line'!$AP$2:$AP$3001,0,'Per Line'!$AQ$2:$AQ$3001,0))</f>
        <v/>
      </c>
      <c r="V855" s="7">
        <f>IF($AD855="","",U855*T855)</f>
        <v/>
      </c>
      <c r="W855">
        <f>IF($AD855="","",Settings!$C$6)</f>
        <v/>
      </c>
      <c r="X855" s="7">
        <f>IF($AD855="","",SUMIFS('Per Line'!$AB$2:$AB$3001,'Per Line'!$E$2:$E$3001,$B855,'Per Line'!$AP$2:$AP$3001,1,'Per Line'!$AQ$2:$AQ$3001,0))</f>
        <v/>
      </c>
      <c r="Y855" s="7">
        <f>IF($AD855="","",X855*W855)</f>
        <v/>
      </c>
      <c r="Z855" s="7">
        <f>IF($AD855="","",Y855+V855)</f>
        <v/>
      </c>
      <c r="AA855" s="7">
        <f>IF($AD855="","",AB855-Z855)</f>
        <v/>
      </c>
      <c r="AB855" s="7">
        <f>IF($AD855="","",U855+X855+S855)</f>
        <v/>
      </c>
      <c r="AC855" s="7">
        <f>IF($AD855="","",AB855-Z855-P855)</f>
        <v/>
      </c>
      <c r="AD855" s="13">
        <f>IF(ROWS($AD$2:$AD855)&lt;=MAX('Per Line'!$AO$2:$AO$3001),MATCH(ROWS($AD$2:$AD855),'Per Line'!$AO$2:$AO$3001,0),"")</f>
        <v/>
      </c>
      <c r="AE855" s="14">
        <f>IF($AD855="","",P855-O855*AB855/100)</f>
        <v/>
      </c>
    </row>
    <row r="856">
      <c r="A856" s="12" t="n"/>
      <c r="B856">
        <f>IF($AD856="","",INDEX('Per Line'!$E$2:$E$3001,$AD856)&amp;"")</f>
        <v/>
      </c>
      <c r="C856">
        <f>IF($AD856="","",INDEX('Per Line'!$A$2:$A$3001,$AD856)&amp;"")</f>
        <v/>
      </c>
      <c r="D856">
        <f>IF($AD856="","",INDEX('Per Line'!$C$2:$C$3001,$AD856)&amp;"")</f>
        <v/>
      </c>
      <c r="E856">
        <f>IF($AD856="","",INDEX('Per Line'!$B$2:$B$3001,$AD856))</f>
        <v/>
      </c>
      <c r="F856">
        <f>IF($AD856="","",INDEX('Per Line'!$D$2:$D$3001,$AD856)&amp;"")</f>
        <v/>
      </c>
      <c r="G856" s="11">
        <f>IF($AD856="","",INDEX('Per Line'!$G$2:$G$3001,$AD856))</f>
        <v/>
      </c>
      <c r="H856">
        <f>IF($AD856="","",INDEX('Per Line'!$J$2:$J$3001,$AD856)&amp;"")</f>
        <v/>
      </c>
      <c r="I856">
        <f>IF($AD856="","",INDEX('Per Line'!$H$2:$H$3001,$AD856)&amp;"")</f>
        <v/>
      </c>
      <c r="J856">
        <f>IF($AD856="","",INDEX('Per Line'!$F$2:$F$3001,$AD856)&amp;"")</f>
        <v/>
      </c>
      <c r="K856">
        <f>IF($AD856="","",INDEX('Per Line'!$K$2:$K$3001,$AD856)&amp;"")</f>
        <v/>
      </c>
      <c r="L856">
        <f>IF($AD856="","",INDEX('Per Line'!$L$2:$L$3001,$AD856)&amp;"")</f>
        <v/>
      </c>
      <c r="M856">
        <f>IF($AD856="","",INDEX('Per Line'!$M$2:$M$3001,$AD856)&amp;"")</f>
        <v/>
      </c>
      <c r="N856">
        <f>IF($AD856="","",INDEX('Per Line'!$AC$2:$AC$3001,$AD856)&amp;"")</f>
        <v/>
      </c>
      <c r="O856">
        <f>IF($AD856="","",INDEX('Per Line'!$P$2:$P$3001,$AD856))</f>
        <v/>
      </c>
      <c r="P856" s="7">
        <f>IF($AD856="","",IF(AND(ISNUMBER(Q856),Q856&gt;0,AB856&gt;Q856),O856*Q856/100+(AB856-Q856),O856*AB856/100))</f>
        <v/>
      </c>
      <c r="Q856">
        <f>IF($AD856="","",INDEX('Per Line'!$AG$2:$AG$3001,$AD856))</f>
        <v/>
      </c>
      <c r="R856">
        <f>IF($AD856="","",IF(AND(ISNUMBER(Q856),Q856&gt;0),AB856&gt;Q856,FALSE))</f>
        <v/>
      </c>
      <c r="S856" s="7">
        <f>IF($AD856="","",SUMIFS('Per Line'!$AB$2:$AB$3001,'Per Line'!$E$2:$E$3001,$B856,'Per Line'!$AQ$2:$AQ$3001,1))</f>
        <v/>
      </c>
      <c r="T856">
        <f>IF($AD856="","",Settings!$C$7)</f>
        <v/>
      </c>
      <c r="U856" s="7">
        <f>IF($AD856="","",SUMIFS('Per Line'!$AB$2:$AB$3001,'Per Line'!$E$2:$E$3001,$B856,'Per Line'!$AP$2:$AP$3001,0,'Per Line'!$AQ$2:$AQ$3001,0))</f>
        <v/>
      </c>
      <c r="V856" s="7">
        <f>IF($AD856="","",U856*T856)</f>
        <v/>
      </c>
      <c r="W856">
        <f>IF($AD856="","",Settings!$C$6)</f>
        <v/>
      </c>
      <c r="X856" s="7">
        <f>IF($AD856="","",SUMIFS('Per Line'!$AB$2:$AB$3001,'Per Line'!$E$2:$E$3001,$B856,'Per Line'!$AP$2:$AP$3001,1,'Per Line'!$AQ$2:$AQ$3001,0))</f>
        <v/>
      </c>
      <c r="Y856" s="7">
        <f>IF($AD856="","",X856*W856)</f>
        <v/>
      </c>
      <c r="Z856" s="7">
        <f>IF($AD856="","",Y856+V856)</f>
        <v/>
      </c>
      <c r="AA856" s="7">
        <f>IF($AD856="","",AB856-Z856)</f>
        <v/>
      </c>
      <c r="AB856" s="7">
        <f>IF($AD856="","",U856+X856+S856)</f>
        <v/>
      </c>
      <c r="AC856" s="7">
        <f>IF($AD856="","",AB856-Z856-P856)</f>
        <v/>
      </c>
      <c r="AD856" s="13">
        <f>IF(ROWS($AD$2:$AD856)&lt;=MAX('Per Line'!$AO$2:$AO$3001),MATCH(ROWS($AD$2:$AD856),'Per Line'!$AO$2:$AO$3001,0),"")</f>
        <v/>
      </c>
      <c r="AE856" s="14">
        <f>IF($AD856="","",P856-O856*AB856/100)</f>
        <v/>
      </c>
    </row>
    <row r="857">
      <c r="A857" s="12" t="n"/>
      <c r="B857">
        <f>IF($AD857="","",INDEX('Per Line'!$E$2:$E$3001,$AD857)&amp;"")</f>
        <v/>
      </c>
      <c r="C857">
        <f>IF($AD857="","",INDEX('Per Line'!$A$2:$A$3001,$AD857)&amp;"")</f>
        <v/>
      </c>
      <c r="D857">
        <f>IF($AD857="","",INDEX('Per Line'!$C$2:$C$3001,$AD857)&amp;"")</f>
        <v/>
      </c>
      <c r="E857">
        <f>IF($AD857="","",INDEX('Per Line'!$B$2:$B$3001,$AD857))</f>
        <v/>
      </c>
      <c r="F857">
        <f>IF($AD857="","",INDEX('Per Line'!$D$2:$D$3001,$AD857)&amp;"")</f>
        <v/>
      </c>
      <c r="G857" s="11">
        <f>IF($AD857="","",INDEX('Per Line'!$G$2:$G$3001,$AD857))</f>
        <v/>
      </c>
      <c r="H857">
        <f>IF($AD857="","",INDEX('Per Line'!$J$2:$J$3001,$AD857)&amp;"")</f>
        <v/>
      </c>
      <c r="I857">
        <f>IF($AD857="","",INDEX('Per Line'!$H$2:$H$3001,$AD857)&amp;"")</f>
        <v/>
      </c>
      <c r="J857">
        <f>IF($AD857="","",INDEX('Per Line'!$F$2:$F$3001,$AD857)&amp;"")</f>
        <v/>
      </c>
      <c r="K857">
        <f>IF($AD857="","",INDEX('Per Line'!$K$2:$K$3001,$AD857)&amp;"")</f>
        <v/>
      </c>
      <c r="L857">
        <f>IF($AD857="","",INDEX('Per Line'!$L$2:$L$3001,$AD857)&amp;"")</f>
        <v/>
      </c>
      <c r="M857">
        <f>IF($AD857="","",INDEX('Per Line'!$M$2:$M$3001,$AD857)&amp;"")</f>
        <v/>
      </c>
      <c r="N857">
        <f>IF($AD857="","",INDEX('Per Line'!$AC$2:$AC$3001,$AD857)&amp;"")</f>
        <v/>
      </c>
      <c r="O857">
        <f>IF($AD857="","",INDEX('Per Line'!$P$2:$P$3001,$AD857))</f>
        <v/>
      </c>
      <c r="P857" s="7">
        <f>IF($AD857="","",IF(AND(ISNUMBER(Q857),Q857&gt;0,AB857&gt;Q857),O857*Q857/100+(AB857-Q857),O857*AB857/100))</f>
        <v/>
      </c>
      <c r="Q857">
        <f>IF($AD857="","",INDEX('Per Line'!$AG$2:$AG$3001,$AD857))</f>
        <v/>
      </c>
      <c r="R857">
        <f>IF($AD857="","",IF(AND(ISNUMBER(Q857),Q857&gt;0),AB857&gt;Q857,FALSE))</f>
        <v/>
      </c>
      <c r="S857" s="7">
        <f>IF($AD857="","",SUMIFS('Per Line'!$AB$2:$AB$3001,'Per Line'!$E$2:$E$3001,$B857,'Per Line'!$AQ$2:$AQ$3001,1))</f>
        <v/>
      </c>
      <c r="T857">
        <f>IF($AD857="","",Settings!$C$7)</f>
        <v/>
      </c>
      <c r="U857" s="7">
        <f>IF($AD857="","",SUMIFS('Per Line'!$AB$2:$AB$3001,'Per Line'!$E$2:$E$3001,$B857,'Per Line'!$AP$2:$AP$3001,0,'Per Line'!$AQ$2:$AQ$3001,0))</f>
        <v/>
      </c>
      <c r="V857" s="7">
        <f>IF($AD857="","",U857*T857)</f>
        <v/>
      </c>
      <c r="W857">
        <f>IF($AD857="","",Settings!$C$6)</f>
        <v/>
      </c>
      <c r="X857" s="7">
        <f>IF($AD857="","",SUMIFS('Per Line'!$AB$2:$AB$3001,'Per Line'!$E$2:$E$3001,$B857,'Per Line'!$AP$2:$AP$3001,1,'Per Line'!$AQ$2:$AQ$3001,0))</f>
        <v/>
      </c>
      <c r="Y857" s="7">
        <f>IF($AD857="","",X857*W857)</f>
        <v/>
      </c>
      <c r="Z857" s="7">
        <f>IF($AD857="","",Y857+V857)</f>
        <v/>
      </c>
      <c r="AA857" s="7">
        <f>IF($AD857="","",AB857-Z857)</f>
        <v/>
      </c>
      <c r="AB857" s="7">
        <f>IF($AD857="","",U857+X857+S857)</f>
        <v/>
      </c>
      <c r="AC857" s="7">
        <f>IF($AD857="","",AB857-Z857-P857)</f>
        <v/>
      </c>
      <c r="AD857" s="13">
        <f>IF(ROWS($AD$2:$AD857)&lt;=MAX('Per Line'!$AO$2:$AO$3001),MATCH(ROWS($AD$2:$AD857),'Per Line'!$AO$2:$AO$3001,0),"")</f>
        <v/>
      </c>
      <c r="AE857" s="14">
        <f>IF($AD857="","",P857-O857*AB857/100)</f>
        <v/>
      </c>
    </row>
    <row r="858">
      <c r="A858" s="12" t="n"/>
      <c r="B858">
        <f>IF($AD858="","",INDEX('Per Line'!$E$2:$E$3001,$AD858)&amp;"")</f>
        <v/>
      </c>
      <c r="C858">
        <f>IF($AD858="","",INDEX('Per Line'!$A$2:$A$3001,$AD858)&amp;"")</f>
        <v/>
      </c>
      <c r="D858">
        <f>IF($AD858="","",INDEX('Per Line'!$C$2:$C$3001,$AD858)&amp;"")</f>
        <v/>
      </c>
      <c r="E858">
        <f>IF($AD858="","",INDEX('Per Line'!$B$2:$B$3001,$AD858))</f>
        <v/>
      </c>
      <c r="F858">
        <f>IF($AD858="","",INDEX('Per Line'!$D$2:$D$3001,$AD858)&amp;"")</f>
        <v/>
      </c>
      <c r="G858" s="11">
        <f>IF($AD858="","",INDEX('Per Line'!$G$2:$G$3001,$AD858))</f>
        <v/>
      </c>
      <c r="H858">
        <f>IF($AD858="","",INDEX('Per Line'!$J$2:$J$3001,$AD858)&amp;"")</f>
        <v/>
      </c>
      <c r="I858">
        <f>IF($AD858="","",INDEX('Per Line'!$H$2:$H$3001,$AD858)&amp;"")</f>
        <v/>
      </c>
      <c r="J858">
        <f>IF($AD858="","",INDEX('Per Line'!$F$2:$F$3001,$AD858)&amp;"")</f>
        <v/>
      </c>
      <c r="K858">
        <f>IF($AD858="","",INDEX('Per Line'!$K$2:$K$3001,$AD858)&amp;"")</f>
        <v/>
      </c>
      <c r="L858">
        <f>IF($AD858="","",INDEX('Per Line'!$L$2:$L$3001,$AD858)&amp;"")</f>
        <v/>
      </c>
      <c r="M858">
        <f>IF($AD858="","",INDEX('Per Line'!$M$2:$M$3001,$AD858)&amp;"")</f>
        <v/>
      </c>
      <c r="N858">
        <f>IF($AD858="","",INDEX('Per Line'!$AC$2:$AC$3001,$AD858)&amp;"")</f>
        <v/>
      </c>
      <c r="O858">
        <f>IF($AD858="","",INDEX('Per Line'!$P$2:$P$3001,$AD858))</f>
        <v/>
      </c>
      <c r="P858" s="7">
        <f>IF($AD858="","",IF(AND(ISNUMBER(Q858),Q858&gt;0,AB858&gt;Q858),O858*Q858/100+(AB858-Q858),O858*AB858/100))</f>
        <v/>
      </c>
      <c r="Q858">
        <f>IF($AD858="","",INDEX('Per Line'!$AG$2:$AG$3001,$AD858))</f>
        <v/>
      </c>
      <c r="R858">
        <f>IF($AD858="","",IF(AND(ISNUMBER(Q858),Q858&gt;0),AB858&gt;Q858,FALSE))</f>
        <v/>
      </c>
      <c r="S858" s="7">
        <f>IF($AD858="","",SUMIFS('Per Line'!$AB$2:$AB$3001,'Per Line'!$E$2:$E$3001,$B858,'Per Line'!$AQ$2:$AQ$3001,1))</f>
        <v/>
      </c>
      <c r="T858">
        <f>IF($AD858="","",Settings!$C$7)</f>
        <v/>
      </c>
      <c r="U858" s="7">
        <f>IF($AD858="","",SUMIFS('Per Line'!$AB$2:$AB$3001,'Per Line'!$E$2:$E$3001,$B858,'Per Line'!$AP$2:$AP$3001,0,'Per Line'!$AQ$2:$AQ$3001,0))</f>
        <v/>
      </c>
      <c r="V858" s="7">
        <f>IF($AD858="","",U858*T858)</f>
        <v/>
      </c>
      <c r="W858">
        <f>IF($AD858="","",Settings!$C$6)</f>
        <v/>
      </c>
      <c r="X858" s="7">
        <f>IF($AD858="","",SUMIFS('Per Line'!$AB$2:$AB$3001,'Per Line'!$E$2:$E$3001,$B858,'Per Line'!$AP$2:$AP$3001,1,'Per Line'!$AQ$2:$AQ$3001,0))</f>
        <v/>
      </c>
      <c r="Y858" s="7">
        <f>IF($AD858="","",X858*W858)</f>
        <v/>
      </c>
      <c r="Z858" s="7">
        <f>IF($AD858="","",Y858+V858)</f>
        <v/>
      </c>
      <c r="AA858" s="7">
        <f>IF($AD858="","",AB858-Z858)</f>
        <v/>
      </c>
      <c r="AB858" s="7">
        <f>IF($AD858="","",U858+X858+S858)</f>
        <v/>
      </c>
      <c r="AC858" s="7">
        <f>IF($AD858="","",AB858-Z858-P858)</f>
        <v/>
      </c>
      <c r="AD858" s="13">
        <f>IF(ROWS($AD$2:$AD858)&lt;=MAX('Per Line'!$AO$2:$AO$3001),MATCH(ROWS($AD$2:$AD858),'Per Line'!$AO$2:$AO$3001,0),"")</f>
        <v/>
      </c>
      <c r="AE858" s="14">
        <f>IF($AD858="","",P858-O858*AB858/100)</f>
        <v/>
      </c>
    </row>
    <row r="859">
      <c r="A859" s="12" t="n"/>
      <c r="B859">
        <f>IF($AD859="","",INDEX('Per Line'!$E$2:$E$3001,$AD859)&amp;"")</f>
        <v/>
      </c>
      <c r="C859">
        <f>IF($AD859="","",INDEX('Per Line'!$A$2:$A$3001,$AD859)&amp;"")</f>
        <v/>
      </c>
      <c r="D859">
        <f>IF($AD859="","",INDEX('Per Line'!$C$2:$C$3001,$AD859)&amp;"")</f>
        <v/>
      </c>
      <c r="E859">
        <f>IF($AD859="","",INDEX('Per Line'!$B$2:$B$3001,$AD859))</f>
        <v/>
      </c>
      <c r="F859">
        <f>IF($AD859="","",INDEX('Per Line'!$D$2:$D$3001,$AD859)&amp;"")</f>
        <v/>
      </c>
      <c r="G859" s="11">
        <f>IF($AD859="","",INDEX('Per Line'!$G$2:$G$3001,$AD859))</f>
        <v/>
      </c>
      <c r="H859">
        <f>IF($AD859="","",INDEX('Per Line'!$J$2:$J$3001,$AD859)&amp;"")</f>
        <v/>
      </c>
      <c r="I859">
        <f>IF($AD859="","",INDEX('Per Line'!$H$2:$H$3001,$AD859)&amp;"")</f>
        <v/>
      </c>
      <c r="J859">
        <f>IF($AD859="","",INDEX('Per Line'!$F$2:$F$3001,$AD859)&amp;"")</f>
        <v/>
      </c>
      <c r="K859">
        <f>IF($AD859="","",INDEX('Per Line'!$K$2:$K$3001,$AD859)&amp;"")</f>
        <v/>
      </c>
      <c r="L859">
        <f>IF($AD859="","",INDEX('Per Line'!$L$2:$L$3001,$AD859)&amp;"")</f>
        <v/>
      </c>
      <c r="M859">
        <f>IF($AD859="","",INDEX('Per Line'!$M$2:$M$3001,$AD859)&amp;"")</f>
        <v/>
      </c>
      <c r="N859">
        <f>IF($AD859="","",INDEX('Per Line'!$AC$2:$AC$3001,$AD859)&amp;"")</f>
        <v/>
      </c>
      <c r="O859">
        <f>IF($AD859="","",INDEX('Per Line'!$P$2:$P$3001,$AD859))</f>
        <v/>
      </c>
      <c r="P859" s="7">
        <f>IF($AD859="","",IF(AND(ISNUMBER(Q859),Q859&gt;0,AB859&gt;Q859),O859*Q859/100+(AB859-Q859),O859*AB859/100))</f>
        <v/>
      </c>
      <c r="Q859">
        <f>IF($AD859="","",INDEX('Per Line'!$AG$2:$AG$3001,$AD859))</f>
        <v/>
      </c>
      <c r="R859">
        <f>IF($AD859="","",IF(AND(ISNUMBER(Q859),Q859&gt;0),AB859&gt;Q859,FALSE))</f>
        <v/>
      </c>
      <c r="S859" s="7">
        <f>IF($AD859="","",SUMIFS('Per Line'!$AB$2:$AB$3001,'Per Line'!$E$2:$E$3001,$B859,'Per Line'!$AQ$2:$AQ$3001,1))</f>
        <v/>
      </c>
      <c r="T859">
        <f>IF($AD859="","",Settings!$C$7)</f>
        <v/>
      </c>
      <c r="U859" s="7">
        <f>IF($AD859="","",SUMIFS('Per Line'!$AB$2:$AB$3001,'Per Line'!$E$2:$E$3001,$B859,'Per Line'!$AP$2:$AP$3001,0,'Per Line'!$AQ$2:$AQ$3001,0))</f>
        <v/>
      </c>
      <c r="V859" s="7">
        <f>IF($AD859="","",U859*T859)</f>
        <v/>
      </c>
      <c r="W859">
        <f>IF($AD859="","",Settings!$C$6)</f>
        <v/>
      </c>
      <c r="X859" s="7">
        <f>IF($AD859="","",SUMIFS('Per Line'!$AB$2:$AB$3001,'Per Line'!$E$2:$E$3001,$B859,'Per Line'!$AP$2:$AP$3001,1,'Per Line'!$AQ$2:$AQ$3001,0))</f>
        <v/>
      </c>
      <c r="Y859" s="7">
        <f>IF($AD859="","",X859*W859)</f>
        <v/>
      </c>
      <c r="Z859" s="7">
        <f>IF($AD859="","",Y859+V859)</f>
        <v/>
      </c>
      <c r="AA859" s="7">
        <f>IF($AD859="","",AB859-Z859)</f>
        <v/>
      </c>
      <c r="AB859" s="7">
        <f>IF($AD859="","",U859+X859+S859)</f>
        <v/>
      </c>
      <c r="AC859" s="7">
        <f>IF($AD859="","",AB859-Z859-P859)</f>
        <v/>
      </c>
      <c r="AD859" s="13">
        <f>IF(ROWS($AD$2:$AD859)&lt;=MAX('Per Line'!$AO$2:$AO$3001),MATCH(ROWS($AD$2:$AD859),'Per Line'!$AO$2:$AO$3001,0),"")</f>
        <v/>
      </c>
      <c r="AE859" s="14">
        <f>IF($AD859="","",P859-O859*AB859/100)</f>
        <v/>
      </c>
    </row>
    <row r="860">
      <c r="A860" s="12" t="n"/>
      <c r="B860">
        <f>IF($AD860="","",INDEX('Per Line'!$E$2:$E$3001,$AD860)&amp;"")</f>
        <v/>
      </c>
      <c r="C860">
        <f>IF($AD860="","",INDEX('Per Line'!$A$2:$A$3001,$AD860)&amp;"")</f>
        <v/>
      </c>
      <c r="D860">
        <f>IF($AD860="","",INDEX('Per Line'!$C$2:$C$3001,$AD860)&amp;"")</f>
        <v/>
      </c>
      <c r="E860">
        <f>IF($AD860="","",INDEX('Per Line'!$B$2:$B$3001,$AD860))</f>
        <v/>
      </c>
      <c r="F860">
        <f>IF($AD860="","",INDEX('Per Line'!$D$2:$D$3001,$AD860)&amp;"")</f>
        <v/>
      </c>
      <c r="G860" s="11">
        <f>IF($AD860="","",INDEX('Per Line'!$G$2:$G$3001,$AD860))</f>
        <v/>
      </c>
      <c r="H860">
        <f>IF($AD860="","",INDEX('Per Line'!$J$2:$J$3001,$AD860)&amp;"")</f>
        <v/>
      </c>
      <c r="I860">
        <f>IF($AD860="","",INDEX('Per Line'!$H$2:$H$3001,$AD860)&amp;"")</f>
        <v/>
      </c>
      <c r="J860">
        <f>IF($AD860="","",INDEX('Per Line'!$F$2:$F$3001,$AD860)&amp;"")</f>
        <v/>
      </c>
      <c r="K860">
        <f>IF($AD860="","",INDEX('Per Line'!$K$2:$K$3001,$AD860)&amp;"")</f>
        <v/>
      </c>
      <c r="L860">
        <f>IF($AD860="","",INDEX('Per Line'!$L$2:$L$3001,$AD860)&amp;"")</f>
        <v/>
      </c>
      <c r="M860">
        <f>IF($AD860="","",INDEX('Per Line'!$M$2:$M$3001,$AD860)&amp;"")</f>
        <v/>
      </c>
      <c r="N860">
        <f>IF($AD860="","",INDEX('Per Line'!$AC$2:$AC$3001,$AD860)&amp;"")</f>
        <v/>
      </c>
      <c r="O860">
        <f>IF($AD860="","",INDEX('Per Line'!$P$2:$P$3001,$AD860))</f>
        <v/>
      </c>
      <c r="P860" s="7">
        <f>IF($AD860="","",IF(AND(ISNUMBER(Q860),Q860&gt;0,AB860&gt;Q860),O860*Q860/100+(AB860-Q860),O860*AB860/100))</f>
        <v/>
      </c>
      <c r="Q860">
        <f>IF($AD860="","",INDEX('Per Line'!$AG$2:$AG$3001,$AD860))</f>
        <v/>
      </c>
      <c r="R860">
        <f>IF($AD860="","",IF(AND(ISNUMBER(Q860),Q860&gt;0),AB860&gt;Q860,FALSE))</f>
        <v/>
      </c>
      <c r="S860" s="7">
        <f>IF($AD860="","",SUMIFS('Per Line'!$AB$2:$AB$3001,'Per Line'!$E$2:$E$3001,$B860,'Per Line'!$AQ$2:$AQ$3001,1))</f>
        <v/>
      </c>
      <c r="T860">
        <f>IF($AD860="","",Settings!$C$7)</f>
        <v/>
      </c>
      <c r="U860" s="7">
        <f>IF($AD860="","",SUMIFS('Per Line'!$AB$2:$AB$3001,'Per Line'!$E$2:$E$3001,$B860,'Per Line'!$AP$2:$AP$3001,0,'Per Line'!$AQ$2:$AQ$3001,0))</f>
        <v/>
      </c>
      <c r="V860" s="7">
        <f>IF($AD860="","",U860*T860)</f>
        <v/>
      </c>
      <c r="W860">
        <f>IF($AD860="","",Settings!$C$6)</f>
        <v/>
      </c>
      <c r="X860" s="7">
        <f>IF($AD860="","",SUMIFS('Per Line'!$AB$2:$AB$3001,'Per Line'!$E$2:$E$3001,$B860,'Per Line'!$AP$2:$AP$3001,1,'Per Line'!$AQ$2:$AQ$3001,0))</f>
        <v/>
      </c>
      <c r="Y860" s="7">
        <f>IF($AD860="","",X860*W860)</f>
        <v/>
      </c>
      <c r="Z860" s="7">
        <f>IF($AD860="","",Y860+V860)</f>
        <v/>
      </c>
      <c r="AA860" s="7">
        <f>IF($AD860="","",AB860-Z860)</f>
        <v/>
      </c>
      <c r="AB860" s="7">
        <f>IF($AD860="","",U860+X860+S860)</f>
        <v/>
      </c>
      <c r="AC860" s="7">
        <f>IF($AD860="","",AB860-Z860-P860)</f>
        <v/>
      </c>
      <c r="AD860" s="13">
        <f>IF(ROWS($AD$2:$AD860)&lt;=MAX('Per Line'!$AO$2:$AO$3001),MATCH(ROWS($AD$2:$AD860),'Per Line'!$AO$2:$AO$3001,0),"")</f>
        <v/>
      </c>
      <c r="AE860" s="14">
        <f>IF($AD860="","",P860-O860*AB860/100)</f>
        <v/>
      </c>
    </row>
    <row r="861">
      <c r="A861" s="12" t="n"/>
      <c r="B861">
        <f>IF($AD861="","",INDEX('Per Line'!$E$2:$E$3001,$AD861)&amp;"")</f>
        <v/>
      </c>
      <c r="C861">
        <f>IF($AD861="","",INDEX('Per Line'!$A$2:$A$3001,$AD861)&amp;"")</f>
        <v/>
      </c>
      <c r="D861">
        <f>IF($AD861="","",INDEX('Per Line'!$C$2:$C$3001,$AD861)&amp;"")</f>
        <v/>
      </c>
      <c r="E861">
        <f>IF($AD861="","",INDEX('Per Line'!$B$2:$B$3001,$AD861))</f>
        <v/>
      </c>
      <c r="F861">
        <f>IF($AD861="","",INDEX('Per Line'!$D$2:$D$3001,$AD861)&amp;"")</f>
        <v/>
      </c>
      <c r="G861" s="11">
        <f>IF($AD861="","",INDEX('Per Line'!$G$2:$G$3001,$AD861))</f>
        <v/>
      </c>
      <c r="H861">
        <f>IF($AD861="","",INDEX('Per Line'!$J$2:$J$3001,$AD861)&amp;"")</f>
        <v/>
      </c>
      <c r="I861">
        <f>IF($AD861="","",INDEX('Per Line'!$H$2:$H$3001,$AD861)&amp;"")</f>
        <v/>
      </c>
      <c r="J861">
        <f>IF($AD861="","",INDEX('Per Line'!$F$2:$F$3001,$AD861)&amp;"")</f>
        <v/>
      </c>
      <c r="K861">
        <f>IF($AD861="","",INDEX('Per Line'!$K$2:$K$3001,$AD861)&amp;"")</f>
        <v/>
      </c>
      <c r="L861">
        <f>IF($AD861="","",INDEX('Per Line'!$L$2:$L$3001,$AD861)&amp;"")</f>
        <v/>
      </c>
      <c r="M861">
        <f>IF($AD861="","",INDEX('Per Line'!$M$2:$M$3001,$AD861)&amp;"")</f>
        <v/>
      </c>
      <c r="N861">
        <f>IF($AD861="","",INDEX('Per Line'!$AC$2:$AC$3001,$AD861)&amp;"")</f>
        <v/>
      </c>
      <c r="O861">
        <f>IF($AD861="","",INDEX('Per Line'!$P$2:$P$3001,$AD861))</f>
        <v/>
      </c>
      <c r="P861" s="7">
        <f>IF($AD861="","",IF(AND(ISNUMBER(Q861),Q861&gt;0,AB861&gt;Q861),O861*Q861/100+(AB861-Q861),O861*AB861/100))</f>
        <v/>
      </c>
      <c r="Q861">
        <f>IF($AD861="","",INDEX('Per Line'!$AG$2:$AG$3001,$AD861))</f>
        <v/>
      </c>
      <c r="R861">
        <f>IF($AD861="","",IF(AND(ISNUMBER(Q861),Q861&gt;0),AB861&gt;Q861,FALSE))</f>
        <v/>
      </c>
      <c r="S861" s="7">
        <f>IF($AD861="","",SUMIFS('Per Line'!$AB$2:$AB$3001,'Per Line'!$E$2:$E$3001,$B861,'Per Line'!$AQ$2:$AQ$3001,1))</f>
        <v/>
      </c>
      <c r="T861">
        <f>IF($AD861="","",Settings!$C$7)</f>
        <v/>
      </c>
      <c r="U861" s="7">
        <f>IF($AD861="","",SUMIFS('Per Line'!$AB$2:$AB$3001,'Per Line'!$E$2:$E$3001,$B861,'Per Line'!$AP$2:$AP$3001,0,'Per Line'!$AQ$2:$AQ$3001,0))</f>
        <v/>
      </c>
      <c r="V861" s="7">
        <f>IF($AD861="","",U861*T861)</f>
        <v/>
      </c>
      <c r="W861">
        <f>IF($AD861="","",Settings!$C$6)</f>
        <v/>
      </c>
      <c r="X861" s="7">
        <f>IF($AD861="","",SUMIFS('Per Line'!$AB$2:$AB$3001,'Per Line'!$E$2:$E$3001,$B861,'Per Line'!$AP$2:$AP$3001,1,'Per Line'!$AQ$2:$AQ$3001,0))</f>
        <v/>
      </c>
      <c r="Y861" s="7">
        <f>IF($AD861="","",X861*W861)</f>
        <v/>
      </c>
      <c r="Z861" s="7">
        <f>IF($AD861="","",Y861+V861)</f>
        <v/>
      </c>
      <c r="AA861" s="7">
        <f>IF($AD861="","",AB861-Z861)</f>
        <v/>
      </c>
      <c r="AB861" s="7">
        <f>IF($AD861="","",U861+X861+S861)</f>
        <v/>
      </c>
      <c r="AC861" s="7">
        <f>IF($AD861="","",AB861-Z861-P861)</f>
        <v/>
      </c>
      <c r="AD861" s="13">
        <f>IF(ROWS($AD$2:$AD861)&lt;=MAX('Per Line'!$AO$2:$AO$3001),MATCH(ROWS($AD$2:$AD861),'Per Line'!$AO$2:$AO$3001,0),"")</f>
        <v/>
      </c>
      <c r="AE861" s="14">
        <f>IF($AD861="","",P861-O861*AB861/100)</f>
        <v/>
      </c>
    </row>
    <row r="862">
      <c r="A862" s="12" t="n"/>
      <c r="B862">
        <f>IF($AD862="","",INDEX('Per Line'!$E$2:$E$3001,$AD862)&amp;"")</f>
        <v/>
      </c>
      <c r="C862">
        <f>IF($AD862="","",INDEX('Per Line'!$A$2:$A$3001,$AD862)&amp;"")</f>
        <v/>
      </c>
      <c r="D862">
        <f>IF($AD862="","",INDEX('Per Line'!$C$2:$C$3001,$AD862)&amp;"")</f>
        <v/>
      </c>
      <c r="E862">
        <f>IF($AD862="","",INDEX('Per Line'!$B$2:$B$3001,$AD862))</f>
        <v/>
      </c>
      <c r="F862">
        <f>IF($AD862="","",INDEX('Per Line'!$D$2:$D$3001,$AD862)&amp;"")</f>
        <v/>
      </c>
      <c r="G862" s="11">
        <f>IF($AD862="","",INDEX('Per Line'!$G$2:$G$3001,$AD862))</f>
        <v/>
      </c>
      <c r="H862">
        <f>IF($AD862="","",INDEX('Per Line'!$J$2:$J$3001,$AD862)&amp;"")</f>
        <v/>
      </c>
      <c r="I862">
        <f>IF($AD862="","",INDEX('Per Line'!$H$2:$H$3001,$AD862)&amp;"")</f>
        <v/>
      </c>
      <c r="J862">
        <f>IF($AD862="","",INDEX('Per Line'!$F$2:$F$3001,$AD862)&amp;"")</f>
        <v/>
      </c>
      <c r="K862">
        <f>IF($AD862="","",INDEX('Per Line'!$K$2:$K$3001,$AD862)&amp;"")</f>
        <v/>
      </c>
      <c r="L862">
        <f>IF($AD862="","",INDEX('Per Line'!$L$2:$L$3001,$AD862)&amp;"")</f>
        <v/>
      </c>
      <c r="M862">
        <f>IF($AD862="","",INDEX('Per Line'!$M$2:$M$3001,$AD862)&amp;"")</f>
        <v/>
      </c>
      <c r="N862">
        <f>IF($AD862="","",INDEX('Per Line'!$AC$2:$AC$3001,$AD862)&amp;"")</f>
        <v/>
      </c>
      <c r="O862">
        <f>IF($AD862="","",INDEX('Per Line'!$P$2:$P$3001,$AD862))</f>
        <v/>
      </c>
      <c r="P862" s="7">
        <f>IF($AD862="","",IF(AND(ISNUMBER(Q862),Q862&gt;0,AB862&gt;Q862),O862*Q862/100+(AB862-Q862),O862*AB862/100))</f>
        <v/>
      </c>
      <c r="Q862">
        <f>IF($AD862="","",INDEX('Per Line'!$AG$2:$AG$3001,$AD862))</f>
        <v/>
      </c>
      <c r="R862">
        <f>IF($AD862="","",IF(AND(ISNUMBER(Q862),Q862&gt;0),AB862&gt;Q862,FALSE))</f>
        <v/>
      </c>
      <c r="S862" s="7">
        <f>IF($AD862="","",SUMIFS('Per Line'!$AB$2:$AB$3001,'Per Line'!$E$2:$E$3001,$B862,'Per Line'!$AQ$2:$AQ$3001,1))</f>
        <v/>
      </c>
      <c r="T862">
        <f>IF($AD862="","",Settings!$C$7)</f>
        <v/>
      </c>
      <c r="U862" s="7">
        <f>IF($AD862="","",SUMIFS('Per Line'!$AB$2:$AB$3001,'Per Line'!$E$2:$E$3001,$B862,'Per Line'!$AP$2:$AP$3001,0,'Per Line'!$AQ$2:$AQ$3001,0))</f>
        <v/>
      </c>
      <c r="V862" s="7">
        <f>IF($AD862="","",U862*T862)</f>
        <v/>
      </c>
      <c r="W862">
        <f>IF($AD862="","",Settings!$C$6)</f>
        <v/>
      </c>
      <c r="X862" s="7">
        <f>IF($AD862="","",SUMIFS('Per Line'!$AB$2:$AB$3001,'Per Line'!$E$2:$E$3001,$B862,'Per Line'!$AP$2:$AP$3001,1,'Per Line'!$AQ$2:$AQ$3001,0))</f>
        <v/>
      </c>
      <c r="Y862" s="7">
        <f>IF($AD862="","",X862*W862)</f>
        <v/>
      </c>
      <c r="Z862" s="7">
        <f>IF($AD862="","",Y862+V862)</f>
        <v/>
      </c>
      <c r="AA862" s="7">
        <f>IF($AD862="","",AB862-Z862)</f>
        <v/>
      </c>
      <c r="AB862" s="7">
        <f>IF($AD862="","",U862+X862+S862)</f>
        <v/>
      </c>
      <c r="AC862" s="7">
        <f>IF($AD862="","",AB862-Z862-P862)</f>
        <v/>
      </c>
      <c r="AD862" s="13">
        <f>IF(ROWS($AD$2:$AD862)&lt;=MAX('Per Line'!$AO$2:$AO$3001),MATCH(ROWS($AD$2:$AD862),'Per Line'!$AO$2:$AO$3001,0),"")</f>
        <v/>
      </c>
      <c r="AE862" s="14">
        <f>IF($AD862="","",P862-O862*AB862/100)</f>
        <v/>
      </c>
    </row>
    <row r="863">
      <c r="A863" s="12" t="n"/>
      <c r="B863">
        <f>IF($AD863="","",INDEX('Per Line'!$E$2:$E$3001,$AD863)&amp;"")</f>
        <v/>
      </c>
      <c r="C863">
        <f>IF($AD863="","",INDEX('Per Line'!$A$2:$A$3001,$AD863)&amp;"")</f>
        <v/>
      </c>
      <c r="D863">
        <f>IF($AD863="","",INDEX('Per Line'!$C$2:$C$3001,$AD863)&amp;"")</f>
        <v/>
      </c>
      <c r="E863">
        <f>IF($AD863="","",INDEX('Per Line'!$B$2:$B$3001,$AD863))</f>
        <v/>
      </c>
      <c r="F863">
        <f>IF($AD863="","",INDEX('Per Line'!$D$2:$D$3001,$AD863)&amp;"")</f>
        <v/>
      </c>
      <c r="G863" s="11">
        <f>IF($AD863="","",INDEX('Per Line'!$G$2:$G$3001,$AD863))</f>
        <v/>
      </c>
      <c r="H863">
        <f>IF($AD863="","",INDEX('Per Line'!$J$2:$J$3001,$AD863)&amp;"")</f>
        <v/>
      </c>
      <c r="I863">
        <f>IF($AD863="","",INDEX('Per Line'!$H$2:$H$3001,$AD863)&amp;"")</f>
        <v/>
      </c>
      <c r="J863">
        <f>IF($AD863="","",INDEX('Per Line'!$F$2:$F$3001,$AD863)&amp;"")</f>
        <v/>
      </c>
      <c r="K863">
        <f>IF($AD863="","",INDEX('Per Line'!$K$2:$K$3001,$AD863)&amp;"")</f>
        <v/>
      </c>
      <c r="L863">
        <f>IF($AD863="","",INDEX('Per Line'!$L$2:$L$3001,$AD863)&amp;"")</f>
        <v/>
      </c>
      <c r="M863">
        <f>IF($AD863="","",INDEX('Per Line'!$M$2:$M$3001,$AD863)&amp;"")</f>
        <v/>
      </c>
      <c r="N863">
        <f>IF($AD863="","",INDEX('Per Line'!$AC$2:$AC$3001,$AD863)&amp;"")</f>
        <v/>
      </c>
      <c r="O863">
        <f>IF($AD863="","",INDEX('Per Line'!$P$2:$P$3001,$AD863))</f>
        <v/>
      </c>
      <c r="P863" s="7">
        <f>IF($AD863="","",IF(AND(ISNUMBER(Q863),Q863&gt;0,AB863&gt;Q863),O863*Q863/100+(AB863-Q863),O863*AB863/100))</f>
        <v/>
      </c>
      <c r="Q863">
        <f>IF($AD863="","",INDEX('Per Line'!$AG$2:$AG$3001,$AD863))</f>
        <v/>
      </c>
      <c r="R863">
        <f>IF($AD863="","",IF(AND(ISNUMBER(Q863),Q863&gt;0),AB863&gt;Q863,FALSE))</f>
        <v/>
      </c>
      <c r="S863" s="7">
        <f>IF($AD863="","",SUMIFS('Per Line'!$AB$2:$AB$3001,'Per Line'!$E$2:$E$3001,$B863,'Per Line'!$AQ$2:$AQ$3001,1))</f>
        <v/>
      </c>
      <c r="T863">
        <f>IF($AD863="","",Settings!$C$7)</f>
        <v/>
      </c>
      <c r="U863" s="7">
        <f>IF($AD863="","",SUMIFS('Per Line'!$AB$2:$AB$3001,'Per Line'!$E$2:$E$3001,$B863,'Per Line'!$AP$2:$AP$3001,0,'Per Line'!$AQ$2:$AQ$3001,0))</f>
        <v/>
      </c>
      <c r="V863" s="7">
        <f>IF($AD863="","",U863*T863)</f>
        <v/>
      </c>
      <c r="W863">
        <f>IF($AD863="","",Settings!$C$6)</f>
        <v/>
      </c>
      <c r="X863" s="7">
        <f>IF($AD863="","",SUMIFS('Per Line'!$AB$2:$AB$3001,'Per Line'!$E$2:$E$3001,$B863,'Per Line'!$AP$2:$AP$3001,1,'Per Line'!$AQ$2:$AQ$3001,0))</f>
        <v/>
      </c>
      <c r="Y863" s="7">
        <f>IF($AD863="","",X863*W863)</f>
        <v/>
      </c>
      <c r="Z863" s="7">
        <f>IF($AD863="","",Y863+V863)</f>
        <v/>
      </c>
      <c r="AA863" s="7">
        <f>IF($AD863="","",AB863-Z863)</f>
        <v/>
      </c>
      <c r="AB863" s="7">
        <f>IF($AD863="","",U863+X863+S863)</f>
        <v/>
      </c>
      <c r="AC863" s="7">
        <f>IF($AD863="","",AB863-Z863-P863)</f>
        <v/>
      </c>
      <c r="AD863" s="13">
        <f>IF(ROWS($AD$2:$AD863)&lt;=MAX('Per Line'!$AO$2:$AO$3001),MATCH(ROWS($AD$2:$AD863),'Per Line'!$AO$2:$AO$3001,0),"")</f>
        <v/>
      </c>
      <c r="AE863" s="14">
        <f>IF($AD863="","",P863-O863*AB863/100)</f>
        <v/>
      </c>
    </row>
    <row r="864">
      <c r="A864" s="12" t="n"/>
      <c r="B864">
        <f>IF($AD864="","",INDEX('Per Line'!$E$2:$E$3001,$AD864)&amp;"")</f>
        <v/>
      </c>
      <c r="C864">
        <f>IF($AD864="","",INDEX('Per Line'!$A$2:$A$3001,$AD864)&amp;"")</f>
        <v/>
      </c>
      <c r="D864">
        <f>IF($AD864="","",INDEX('Per Line'!$C$2:$C$3001,$AD864)&amp;"")</f>
        <v/>
      </c>
      <c r="E864">
        <f>IF($AD864="","",INDEX('Per Line'!$B$2:$B$3001,$AD864))</f>
        <v/>
      </c>
      <c r="F864">
        <f>IF($AD864="","",INDEX('Per Line'!$D$2:$D$3001,$AD864)&amp;"")</f>
        <v/>
      </c>
      <c r="G864" s="11">
        <f>IF($AD864="","",INDEX('Per Line'!$G$2:$G$3001,$AD864))</f>
        <v/>
      </c>
      <c r="H864">
        <f>IF($AD864="","",INDEX('Per Line'!$J$2:$J$3001,$AD864)&amp;"")</f>
        <v/>
      </c>
      <c r="I864">
        <f>IF($AD864="","",INDEX('Per Line'!$H$2:$H$3001,$AD864)&amp;"")</f>
        <v/>
      </c>
      <c r="J864">
        <f>IF($AD864="","",INDEX('Per Line'!$F$2:$F$3001,$AD864)&amp;"")</f>
        <v/>
      </c>
      <c r="K864">
        <f>IF($AD864="","",INDEX('Per Line'!$K$2:$K$3001,$AD864)&amp;"")</f>
        <v/>
      </c>
      <c r="L864">
        <f>IF($AD864="","",INDEX('Per Line'!$L$2:$L$3001,$AD864)&amp;"")</f>
        <v/>
      </c>
      <c r="M864">
        <f>IF($AD864="","",INDEX('Per Line'!$M$2:$M$3001,$AD864)&amp;"")</f>
        <v/>
      </c>
      <c r="N864">
        <f>IF($AD864="","",INDEX('Per Line'!$AC$2:$AC$3001,$AD864)&amp;"")</f>
        <v/>
      </c>
      <c r="O864">
        <f>IF($AD864="","",INDEX('Per Line'!$P$2:$P$3001,$AD864))</f>
        <v/>
      </c>
      <c r="P864" s="7">
        <f>IF($AD864="","",IF(AND(ISNUMBER(Q864),Q864&gt;0,AB864&gt;Q864),O864*Q864/100+(AB864-Q864),O864*AB864/100))</f>
        <v/>
      </c>
      <c r="Q864">
        <f>IF($AD864="","",INDEX('Per Line'!$AG$2:$AG$3001,$AD864))</f>
        <v/>
      </c>
      <c r="R864">
        <f>IF($AD864="","",IF(AND(ISNUMBER(Q864),Q864&gt;0),AB864&gt;Q864,FALSE))</f>
        <v/>
      </c>
      <c r="S864" s="7">
        <f>IF($AD864="","",SUMIFS('Per Line'!$AB$2:$AB$3001,'Per Line'!$E$2:$E$3001,$B864,'Per Line'!$AQ$2:$AQ$3001,1))</f>
        <v/>
      </c>
      <c r="T864">
        <f>IF($AD864="","",Settings!$C$7)</f>
        <v/>
      </c>
      <c r="U864" s="7">
        <f>IF($AD864="","",SUMIFS('Per Line'!$AB$2:$AB$3001,'Per Line'!$E$2:$E$3001,$B864,'Per Line'!$AP$2:$AP$3001,0,'Per Line'!$AQ$2:$AQ$3001,0))</f>
        <v/>
      </c>
      <c r="V864" s="7">
        <f>IF($AD864="","",U864*T864)</f>
        <v/>
      </c>
      <c r="W864">
        <f>IF($AD864="","",Settings!$C$6)</f>
        <v/>
      </c>
      <c r="X864" s="7">
        <f>IF($AD864="","",SUMIFS('Per Line'!$AB$2:$AB$3001,'Per Line'!$E$2:$E$3001,$B864,'Per Line'!$AP$2:$AP$3001,1,'Per Line'!$AQ$2:$AQ$3001,0))</f>
        <v/>
      </c>
      <c r="Y864" s="7">
        <f>IF($AD864="","",X864*W864)</f>
        <v/>
      </c>
      <c r="Z864" s="7">
        <f>IF($AD864="","",Y864+V864)</f>
        <v/>
      </c>
      <c r="AA864" s="7">
        <f>IF($AD864="","",AB864-Z864)</f>
        <v/>
      </c>
      <c r="AB864" s="7">
        <f>IF($AD864="","",U864+X864+S864)</f>
        <v/>
      </c>
      <c r="AC864" s="7">
        <f>IF($AD864="","",AB864-Z864-P864)</f>
        <v/>
      </c>
      <c r="AD864" s="13">
        <f>IF(ROWS($AD$2:$AD864)&lt;=MAX('Per Line'!$AO$2:$AO$3001),MATCH(ROWS($AD$2:$AD864),'Per Line'!$AO$2:$AO$3001,0),"")</f>
        <v/>
      </c>
      <c r="AE864" s="14">
        <f>IF($AD864="","",P864-O864*AB864/100)</f>
        <v/>
      </c>
    </row>
    <row r="865">
      <c r="A865" s="12" t="n"/>
      <c r="B865">
        <f>IF($AD865="","",INDEX('Per Line'!$E$2:$E$3001,$AD865)&amp;"")</f>
        <v/>
      </c>
      <c r="C865">
        <f>IF($AD865="","",INDEX('Per Line'!$A$2:$A$3001,$AD865)&amp;"")</f>
        <v/>
      </c>
      <c r="D865">
        <f>IF($AD865="","",INDEX('Per Line'!$C$2:$C$3001,$AD865)&amp;"")</f>
        <v/>
      </c>
      <c r="E865">
        <f>IF($AD865="","",INDEX('Per Line'!$B$2:$B$3001,$AD865))</f>
        <v/>
      </c>
      <c r="F865">
        <f>IF($AD865="","",INDEX('Per Line'!$D$2:$D$3001,$AD865)&amp;"")</f>
        <v/>
      </c>
      <c r="G865" s="11">
        <f>IF($AD865="","",INDEX('Per Line'!$G$2:$G$3001,$AD865))</f>
        <v/>
      </c>
      <c r="H865">
        <f>IF($AD865="","",INDEX('Per Line'!$J$2:$J$3001,$AD865)&amp;"")</f>
        <v/>
      </c>
      <c r="I865">
        <f>IF($AD865="","",INDEX('Per Line'!$H$2:$H$3001,$AD865)&amp;"")</f>
        <v/>
      </c>
      <c r="J865">
        <f>IF($AD865="","",INDEX('Per Line'!$F$2:$F$3001,$AD865)&amp;"")</f>
        <v/>
      </c>
      <c r="K865">
        <f>IF($AD865="","",INDEX('Per Line'!$K$2:$K$3001,$AD865)&amp;"")</f>
        <v/>
      </c>
      <c r="L865">
        <f>IF($AD865="","",INDEX('Per Line'!$L$2:$L$3001,$AD865)&amp;"")</f>
        <v/>
      </c>
      <c r="M865">
        <f>IF($AD865="","",INDEX('Per Line'!$M$2:$M$3001,$AD865)&amp;"")</f>
        <v/>
      </c>
      <c r="N865">
        <f>IF($AD865="","",INDEX('Per Line'!$AC$2:$AC$3001,$AD865)&amp;"")</f>
        <v/>
      </c>
      <c r="O865">
        <f>IF($AD865="","",INDEX('Per Line'!$P$2:$P$3001,$AD865))</f>
        <v/>
      </c>
      <c r="P865" s="7">
        <f>IF($AD865="","",IF(AND(ISNUMBER(Q865),Q865&gt;0,AB865&gt;Q865),O865*Q865/100+(AB865-Q865),O865*AB865/100))</f>
        <v/>
      </c>
      <c r="Q865">
        <f>IF($AD865="","",INDEX('Per Line'!$AG$2:$AG$3001,$AD865))</f>
        <v/>
      </c>
      <c r="R865">
        <f>IF($AD865="","",IF(AND(ISNUMBER(Q865),Q865&gt;0),AB865&gt;Q865,FALSE))</f>
        <v/>
      </c>
      <c r="S865" s="7">
        <f>IF($AD865="","",SUMIFS('Per Line'!$AB$2:$AB$3001,'Per Line'!$E$2:$E$3001,$B865,'Per Line'!$AQ$2:$AQ$3001,1))</f>
        <v/>
      </c>
      <c r="T865">
        <f>IF($AD865="","",Settings!$C$7)</f>
        <v/>
      </c>
      <c r="U865" s="7">
        <f>IF($AD865="","",SUMIFS('Per Line'!$AB$2:$AB$3001,'Per Line'!$E$2:$E$3001,$B865,'Per Line'!$AP$2:$AP$3001,0,'Per Line'!$AQ$2:$AQ$3001,0))</f>
        <v/>
      </c>
      <c r="V865" s="7">
        <f>IF($AD865="","",U865*T865)</f>
        <v/>
      </c>
      <c r="W865">
        <f>IF($AD865="","",Settings!$C$6)</f>
        <v/>
      </c>
      <c r="X865" s="7">
        <f>IF($AD865="","",SUMIFS('Per Line'!$AB$2:$AB$3001,'Per Line'!$E$2:$E$3001,$B865,'Per Line'!$AP$2:$AP$3001,1,'Per Line'!$AQ$2:$AQ$3001,0))</f>
        <v/>
      </c>
      <c r="Y865" s="7">
        <f>IF($AD865="","",X865*W865)</f>
        <v/>
      </c>
      <c r="Z865" s="7">
        <f>IF($AD865="","",Y865+V865)</f>
        <v/>
      </c>
      <c r="AA865" s="7">
        <f>IF($AD865="","",AB865-Z865)</f>
        <v/>
      </c>
      <c r="AB865" s="7">
        <f>IF($AD865="","",U865+X865+S865)</f>
        <v/>
      </c>
      <c r="AC865" s="7">
        <f>IF($AD865="","",AB865-Z865-P865)</f>
        <v/>
      </c>
      <c r="AD865" s="13">
        <f>IF(ROWS($AD$2:$AD865)&lt;=MAX('Per Line'!$AO$2:$AO$3001),MATCH(ROWS($AD$2:$AD865),'Per Line'!$AO$2:$AO$3001,0),"")</f>
        <v/>
      </c>
      <c r="AE865" s="14">
        <f>IF($AD865="","",P865-O865*AB865/100)</f>
        <v/>
      </c>
    </row>
    <row r="866">
      <c r="A866" s="12" t="n"/>
      <c r="B866">
        <f>IF($AD866="","",INDEX('Per Line'!$E$2:$E$3001,$AD866)&amp;"")</f>
        <v/>
      </c>
      <c r="C866">
        <f>IF($AD866="","",INDEX('Per Line'!$A$2:$A$3001,$AD866)&amp;"")</f>
        <v/>
      </c>
      <c r="D866">
        <f>IF($AD866="","",INDEX('Per Line'!$C$2:$C$3001,$AD866)&amp;"")</f>
        <v/>
      </c>
      <c r="E866">
        <f>IF($AD866="","",INDEX('Per Line'!$B$2:$B$3001,$AD866))</f>
        <v/>
      </c>
      <c r="F866">
        <f>IF($AD866="","",INDEX('Per Line'!$D$2:$D$3001,$AD866)&amp;"")</f>
        <v/>
      </c>
      <c r="G866" s="11">
        <f>IF($AD866="","",INDEX('Per Line'!$G$2:$G$3001,$AD866))</f>
        <v/>
      </c>
      <c r="H866">
        <f>IF($AD866="","",INDEX('Per Line'!$J$2:$J$3001,$AD866)&amp;"")</f>
        <v/>
      </c>
      <c r="I866">
        <f>IF($AD866="","",INDEX('Per Line'!$H$2:$H$3001,$AD866)&amp;"")</f>
        <v/>
      </c>
      <c r="J866">
        <f>IF($AD866="","",INDEX('Per Line'!$F$2:$F$3001,$AD866)&amp;"")</f>
        <v/>
      </c>
      <c r="K866">
        <f>IF($AD866="","",INDEX('Per Line'!$K$2:$K$3001,$AD866)&amp;"")</f>
        <v/>
      </c>
      <c r="L866">
        <f>IF($AD866="","",INDEX('Per Line'!$L$2:$L$3001,$AD866)&amp;"")</f>
        <v/>
      </c>
      <c r="M866">
        <f>IF($AD866="","",INDEX('Per Line'!$M$2:$M$3001,$AD866)&amp;"")</f>
        <v/>
      </c>
      <c r="N866">
        <f>IF($AD866="","",INDEX('Per Line'!$AC$2:$AC$3001,$AD866)&amp;"")</f>
        <v/>
      </c>
      <c r="O866">
        <f>IF($AD866="","",INDEX('Per Line'!$P$2:$P$3001,$AD866))</f>
        <v/>
      </c>
      <c r="P866" s="7">
        <f>IF($AD866="","",IF(AND(ISNUMBER(Q866),Q866&gt;0,AB866&gt;Q866),O866*Q866/100+(AB866-Q866),O866*AB866/100))</f>
        <v/>
      </c>
      <c r="Q866">
        <f>IF($AD866="","",INDEX('Per Line'!$AG$2:$AG$3001,$AD866))</f>
        <v/>
      </c>
      <c r="R866">
        <f>IF($AD866="","",IF(AND(ISNUMBER(Q866),Q866&gt;0),AB866&gt;Q866,FALSE))</f>
        <v/>
      </c>
      <c r="S866" s="7">
        <f>IF($AD866="","",SUMIFS('Per Line'!$AB$2:$AB$3001,'Per Line'!$E$2:$E$3001,$B866,'Per Line'!$AQ$2:$AQ$3001,1))</f>
        <v/>
      </c>
      <c r="T866">
        <f>IF($AD866="","",Settings!$C$7)</f>
        <v/>
      </c>
      <c r="U866" s="7">
        <f>IF($AD866="","",SUMIFS('Per Line'!$AB$2:$AB$3001,'Per Line'!$E$2:$E$3001,$B866,'Per Line'!$AP$2:$AP$3001,0,'Per Line'!$AQ$2:$AQ$3001,0))</f>
        <v/>
      </c>
      <c r="V866" s="7">
        <f>IF($AD866="","",U866*T866)</f>
        <v/>
      </c>
      <c r="W866">
        <f>IF($AD866="","",Settings!$C$6)</f>
        <v/>
      </c>
      <c r="X866" s="7">
        <f>IF($AD866="","",SUMIFS('Per Line'!$AB$2:$AB$3001,'Per Line'!$E$2:$E$3001,$B866,'Per Line'!$AP$2:$AP$3001,1,'Per Line'!$AQ$2:$AQ$3001,0))</f>
        <v/>
      </c>
      <c r="Y866" s="7">
        <f>IF($AD866="","",X866*W866)</f>
        <v/>
      </c>
      <c r="Z866" s="7">
        <f>IF($AD866="","",Y866+V866)</f>
        <v/>
      </c>
      <c r="AA866" s="7">
        <f>IF($AD866="","",AB866-Z866)</f>
        <v/>
      </c>
      <c r="AB866" s="7">
        <f>IF($AD866="","",U866+X866+S866)</f>
        <v/>
      </c>
      <c r="AC866" s="7">
        <f>IF($AD866="","",AB866-Z866-P866)</f>
        <v/>
      </c>
      <c r="AD866" s="13">
        <f>IF(ROWS($AD$2:$AD866)&lt;=MAX('Per Line'!$AO$2:$AO$3001),MATCH(ROWS($AD$2:$AD866),'Per Line'!$AO$2:$AO$3001,0),"")</f>
        <v/>
      </c>
      <c r="AE866" s="14">
        <f>IF($AD866="","",P866-O866*AB866/100)</f>
        <v/>
      </c>
    </row>
    <row r="867">
      <c r="A867" s="12" t="n"/>
      <c r="B867">
        <f>IF($AD867="","",INDEX('Per Line'!$E$2:$E$3001,$AD867)&amp;"")</f>
        <v/>
      </c>
      <c r="C867">
        <f>IF($AD867="","",INDEX('Per Line'!$A$2:$A$3001,$AD867)&amp;"")</f>
        <v/>
      </c>
      <c r="D867">
        <f>IF($AD867="","",INDEX('Per Line'!$C$2:$C$3001,$AD867)&amp;"")</f>
        <v/>
      </c>
      <c r="E867">
        <f>IF($AD867="","",INDEX('Per Line'!$B$2:$B$3001,$AD867))</f>
        <v/>
      </c>
      <c r="F867">
        <f>IF($AD867="","",INDEX('Per Line'!$D$2:$D$3001,$AD867)&amp;"")</f>
        <v/>
      </c>
      <c r="G867" s="11">
        <f>IF($AD867="","",INDEX('Per Line'!$G$2:$G$3001,$AD867))</f>
        <v/>
      </c>
      <c r="H867">
        <f>IF($AD867="","",INDEX('Per Line'!$J$2:$J$3001,$AD867)&amp;"")</f>
        <v/>
      </c>
      <c r="I867">
        <f>IF($AD867="","",INDEX('Per Line'!$H$2:$H$3001,$AD867)&amp;"")</f>
        <v/>
      </c>
      <c r="J867">
        <f>IF($AD867="","",INDEX('Per Line'!$F$2:$F$3001,$AD867)&amp;"")</f>
        <v/>
      </c>
      <c r="K867">
        <f>IF($AD867="","",INDEX('Per Line'!$K$2:$K$3001,$AD867)&amp;"")</f>
        <v/>
      </c>
      <c r="L867">
        <f>IF($AD867="","",INDEX('Per Line'!$L$2:$L$3001,$AD867)&amp;"")</f>
        <v/>
      </c>
      <c r="M867">
        <f>IF($AD867="","",INDEX('Per Line'!$M$2:$M$3001,$AD867)&amp;"")</f>
        <v/>
      </c>
      <c r="N867">
        <f>IF($AD867="","",INDEX('Per Line'!$AC$2:$AC$3001,$AD867)&amp;"")</f>
        <v/>
      </c>
      <c r="O867">
        <f>IF($AD867="","",INDEX('Per Line'!$P$2:$P$3001,$AD867))</f>
        <v/>
      </c>
      <c r="P867" s="7">
        <f>IF($AD867="","",IF(AND(ISNUMBER(Q867),Q867&gt;0,AB867&gt;Q867),O867*Q867/100+(AB867-Q867),O867*AB867/100))</f>
        <v/>
      </c>
      <c r="Q867">
        <f>IF($AD867="","",INDEX('Per Line'!$AG$2:$AG$3001,$AD867))</f>
        <v/>
      </c>
      <c r="R867">
        <f>IF($AD867="","",IF(AND(ISNUMBER(Q867),Q867&gt;0),AB867&gt;Q867,FALSE))</f>
        <v/>
      </c>
      <c r="S867" s="7">
        <f>IF($AD867="","",SUMIFS('Per Line'!$AB$2:$AB$3001,'Per Line'!$E$2:$E$3001,$B867,'Per Line'!$AQ$2:$AQ$3001,1))</f>
        <v/>
      </c>
      <c r="T867">
        <f>IF($AD867="","",Settings!$C$7)</f>
        <v/>
      </c>
      <c r="U867" s="7">
        <f>IF($AD867="","",SUMIFS('Per Line'!$AB$2:$AB$3001,'Per Line'!$E$2:$E$3001,$B867,'Per Line'!$AP$2:$AP$3001,0,'Per Line'!$AQ$2:$AQ$3001,0))</f>
        <v/>
      </c>
      <c r="V867" s="7">
        <f>IF($AD867="","",U867*T867)</f>
        <v/>
      </c>
      <c r="W867">
        <f>IF($AD867="","",Settings!$C$6)</f>
        <v/>
      </c>
      <c r="X867" s="7">
        <f>IF($AD867="","",SUMIFS('Per Line'!$AB$2:$AB$3001,'Per Line'!$E$2:$E$3001,$B867,'Per Line'!$AP$2:$AP$3001,1,'Per Line'!$AQ$2:$AQ$3001,0))</f>
        <v/>
      </c>
      <c r="Y867" s="7">
        <f>IF($AD867="","",X867*W867)</f>
        <v/>
      </c>
      <c r="Z867" s="7">
        <f>IF($AD867="","",Y867+V867)</f>
        <v/>
      </c>
      <c r="AA867" s="7">
        <f>IF($AD867="","",AB867-Z867)</f>
        <v/>
      </c>
      <c r="AB867" s="7">
        <f>IF($AD867="","",U867+X867+S867)</f>
        <v/>
      </c>
      <c r="AC867" s="7">
        <f>IF($AD867="","",AB867-Z867-P867)</f>
        <v/>
      </c>
      <c r="AD867" s="13">
        <f>IF(ROWS($AD$2:$AD867)&lt;=MAX('Per Line'!$AO$2:$AO$3001),MATCH(ROWS($AD$2:$AD867),'Per Line'!$AO$2:$AO$3001,0),"")</f>
        <v/>
      </c>
      <c r="AE867" s="14">
        <f>IF($AD867="","",P867-O867*AB867/100)</f>
        <v/>
      </c>
    </row>
    <row r="868">
      <c r="A868" s="12" t="n"/>
      <c r="B868">
        <f>IF($AD868="","",INDEX('Per Line'!$E$2:$E$3001,$AD868)&amp;"")</f>
        <v/>
      </c>
      <c r="C868">
        <f>IF($AD868="","",INDEX('Per Line'!$A$2:$A$3001,$AD868)&amp;"")</f>
        <v/>
      </c>
      <c r="D868">
        <f>IF($AD868="","",INDEX('Per Line'!$C$2:$C$3001,$AD868)&amp;"")</f>
        <v/>
      </c>
      <c r="E868">
        <f>IF($AD868="","",INDEX('Per Line'!$B$2:$B$3001,$AD868))</f>
        <v/>
      </c>
      <c r="F868">
        <f>IF($AD868="","",INDEX('Per Line'!$D$2:$D$3001,$AD868)&amp;"")</f>
        <v/>
      </c>
      <c r="G868" s="11">
        <f>IF($AD868="","",INDEX('Per Line'!$G$2:$G$3001,$AD868))</f>
        <v/>
      </c>
      <c r="H868">
        <f>IF($AD868="","",INDEX('Per Line'!$J$2:$J$3001,$AD868)&amp;"")</f>
        <v/>
      </c>
      <c r="I868">
        <f>IF($AD868="","",INDEX('Per Line'!$H$2:$H$3001,$AD868)&amp;"")</f>
        <v/>
      </c>
      <c r="J868">
        <f>IF($AD868="","",INDEX('Per Line'!$F$2:$F$3001,$AD868)&amp;"")</f>
        <v/>
      </c>
      <c r="K868">
        <f>IF($AD868="","",INDEX('Per Line'!$K$2:$K$3001,$AD868)&amp;"")</f>
        <v/>
      </c>
      <c r="L868">
        <f>IF($AD868="","",INDEX('Per Line'!$L$2:$L$3001,$AD868)&amp;"")</f>
        <v/>
      </c>
      <c r="M868">
        <f>IF($AD868="","",INDEX('Per Line'!$M$2:$M$3001,$AD868)&amp;"")</f>
        <v/>
      </c>
      <c r="N868">
        <f>IF($AD868="","",INDEX('Per Line'!$AC$2:$AC$3001,$AD868)&amp;"")</f>
        <v/>
      </c>
      <c r="O868">
        <f>IF($AD868="","",INDEX('Per Line'!$P$2:$P$3001,$AD868))</f>
        <v/>
      </c>
      <c r="P868" s="7">
        <f>IF($AD868="","",IF(AND(ISNUMBER(Q868),Q868&gt;0,AB868&gt;Q868),O868*Q868/100+(AB868-Q868),O868*AB868/100))</f>
        <v/>
      </c>
      <c r="Q868">
        <f>IF($AD868="","",INDEX('Per Line'!$AG$2:$AG$3001,$AD868))</f>
        <v/>
      </c>
      <c r="R868">
        <f>IF($AD868="","",IF(AND(ISNUMBER(Q868),Q868&gt;0),AB868&gt;Q868,FALSE))</f>
        <v/>
      </c>
      <c r="S868" s="7">
        <f>IF($AD868="","",SUMIFS('Per Line'!$AB$2:$AB$3001,'Per Line'!$E$2:$E$3001,$B868,'Per Line'!$AQ$2:$AQ$3001,1))</f>
        <v/>
      </c>
      <c r="T868">
        <f>IF($AD868="","",Settings!$C$7)</f>
        <v/>
      </c>
      <c r="U868" s="7">
        <f>IF($AD868="","",SUMIFS('Per Line'!$AB$2:$AB$3001,'Per Line'!$E$2:$E$3001,$B868,'Per Line'!$AP$2:$AP$3001,0,'Per Line'!$AQ$2:$AQ$3001,0))</f>
        <v/>
      </c>
      <c r="V868" s="7">
        <f>IF($AD868="","",U868*T868)</f>
        <v/>
      </c>
      <c r="W868">
        <f>IF($AD868="","",Settings!$C$6)</f>
        <v/>
      </c>
      <c r="X868" s="7">
        <f>IF($AD868="","",SUMIFS('Per Line'!$AB$2:$AB$3001,'Per Line'!$E$2:$E$3001,$B868,'Per Line'!$AP$2:$AP$3001,1,'Per Line'!$AQ$2:$AQ$3001,0))</f>
        <v/>
      </c>
      <c r="Y868" s="7">
        <f>IF($AD868="","",X868*W868)</f>
        <v/>
      </c>
      <c r="Z868" s="7">
        <f>IF($AD868="","",Y868+V868)</f>
        <v/>
      </c>
      <c r="AA868" s="7">
        <f>IF($AD868="","",AB868-Z868)</f>
        <v/>
      </c>
      <c r="AB868" s="7">
        <f>IF($AD868="","",U868+X868+S868)</f>
        <v/>
      </c>
      <c r="AC868" s="7">
        <f>IF($AD868="","",AB868-Z868-P868)</f>
        <v/>
      </c>
      <c r="AD868" s="13">
        <f>IF(ROWS($AD$2:$AD868)&lt;=MAX('Per Line'!$AO$2:$AO$3001),MATCH(ROWS($AD$2:$AD868),'Per Line'!$AO$2:$AO$3001,0),"")</f>
        <v/>
      </c>
      <c r="AE868" s="14">
        <f>IF($AD868="","",P868-O868*AB868/100)</f>
        <v/>
      </c>
    </row>
    <row r="869">
      <c r="A869" s="12" t="n"/>
      <c r="B869">
        <f>IF($AD869="","",INDEX('Per Line'!$E$2:$E$3001,$AD869)&amp;"")</f>
        <v/>
      </c>
      <c r="C869">
        <f>IF($AD869="","",INDEX('Per Line'!$A$2:$A$3001,$AD869)&amp;"")</f>
        <v/>
      </c>
      <c r="D869">
        <f>IF($AD869="","",INDEX('Per Line'!$C$2:$C$3001,$AD869)&amp;"")</f>
        <v/>
      </c>
      <c r="E869">
        <f>IF($AD869="","",INDEX('Per Line'!$B$2:$B$3001,$AD869))</f>
        <v/>
      </c>
      <c r="F869">
        <f>IF($AD869="","",INDEX('Per Line'!$D$2:$D$3001,$AD869)&amp;"")</f>
        <v/>
      </c>
      <c r="G869" s="11">
        <f>IF($AD869="","",INDEX('Per Line'!$G$2:$G$3001,$AD869))</f>
        <v/>
      </c>
      <c r="H869">
        <f>IF($AD869="","",INDEX('Per Line'!$J$2:$J$3001,$AD869)&amp;"")</f>
        <v/>
      </c>
      <c r="I869">
        <f>IF($AD869="","",INDEX('Per Line'!$H$2:$H$3001,$AD869)&amp;"")</f>
        <v/>
      </c>
      <c r="J869">
        <f>IF($AD869="","",INDEX('Per Line'!$F$2:$F$3001,$AD869)&amp;"")</f>
        <v/>
      </c>
      <c r="K869">
        <f>IF($AD869="","",INDEX('Per Line'!$K$2:$K$3001,$AD869)&amp;"")</f>
        <v/>
      </c>
      <c r="L869">
        <f>IF($AD869="","",INDEX('Per Line'!$L$2:$L$3001,$AD869)&amp;"")</f>
        <v/>
      </c>
      <c r="M869">
        <f>IF($AD869="","",INDEX('Per Line'!$M$2:$M$3001,$AD869)&amp;"")</f>
        <v/>
      </c>
      <c r="N869">
        <f>IF($AD869="","",INDEX('Per Line'!$AC$2:$AC$3001,$AD869)&amp;"")</f>
        <v/>
      </c>
      <c r="O869">
        <f>IF($AD869="","",INDEX('Per Line'!$P$2:$P$3001,$AD869))</f>
        <v/>
      </c>
      <c r="P869" s="7">
        <f>IF($AD869="","",IF(AND(ISNUMBER(Q869),Q869&gt;0,AB869&gt;Q869),O869*Q869/100+(AB869-Q869),O869*AB869/100))</f>
        <v/>
      </c>
      <c r="Q869">
        <f>IF($AD869="","",INDEX('Per Line'!$AG$2:$AG$3001,$AD869))</f>
        <v/>
      </c>
      <c r="R869">
        <f>IF($AD869="","",IF(AND(ISNUMBER(Q869),Q869&gt;0),AB869&gt;Q869,FALSE))</f>
        <v/>
      </c>
      <c r="S869" s="7">
        <f>IF($AD869="","",SUMIFS('Per Line'!$AB$2:$AB$3001,'Per Line'!$E$2:$E$3001,$B869,'Per Line'!$AQ$2:$AQ$3001,1))</f>
        <v/>
      </c>
      <c r="T869">
        <f>IF($AD869="","",Settings!$C$7)</f>
        <v/>
      </c>
      <c r="U869" s="7">
        <f>IF($AD869="","",SUMIFS('Per Line'!$AB$2:$AB$3001,'Per Line'!$E$2:$E$3001,$B869,'Per Line'!$AP$2:$AP$3001,0,'Per Line'!$AQ$2:$AQ$3001,0))</f>
        <v/>
      </c>
      <c r="V869" s="7">
        <f>IF($AD869="","",U869*T869)</f>
        <v/>
      </c>
      <c r="W869">
        <f>IF($AD869="","",Settings!$C$6)</f>
        <v/>
      </c>
      <c r="X869" s="7">
        <f>IF($AD869="","",SUMIFS('Per Line'!$AB$2:$AB$3001,'Per Line'!$E$2:$E$3001,$B869,'Per Line'!$AP$2:$AP$3001,1,'Per Line'!$AQ$2:$AQ$3001,0))</f>
        <v/>
      </c>
      <c r="Y869" s="7">
        <f>IF($AD869="","",X869*W869)</f>
        <v/>
      </c>
      <c r="Z869" s="7">
        <f>IF($AD869="","",Y869+V869)</f>
        <v/>
      </c>
      <c r="AA869" s="7">
        <f>IF($AD869="","",AB869-Z869)</f>
        <v/>
      </c>
      <c r="AB869" s="7">
        <f>IF($AD869="","",U869+X869+S869)</f>
        <v/>
      </c>
      <c r="AC869" s="7">
        <f>IF($AD869="","",AB869-Z869-P869)</f>
        <v/>
      </c>
      <c r="AD869" s="13">
        <f>IF(ROWS($AD$2:$AD869)&lt;=MAX('Per Line'!$AO$2:$AO$3001),MATCH(ROWS($AD$2:$AD869),'Per Line'!$AO$2:$AO$3001,0),"")</f>
        <v/>
      </c>
      <c r="AE869" s="14">
        <f>IF($AD869="","",P869-O869*AB869/100)</f>
        <v/>
      </c>
    </row>
    <row r="870">
      <c r="A870" s="12" t="n"/>
      <c r="B870">
        <f>IF($AD870="","",INDEX('Per Line'!$E$2:$E$3001,$AD870)&amp;"")</f>
        <v/>
      </c>
      <c r="C870">
        <f>IF($AD870="","",INDEX('Per Line'!$A$2:$A$3001,$AD870)&amp;"")</f>
        <v/>
      </c>
      <c r="D870">
        <f>IF($AD870="","",INDEX('Per Line'!$C$2:$C$3001,$AD870)&amp;"")</f>
        <v/>
      </c>
      <c r="E870">
        <f>IF($AD870="","",INDEX('Per Line'!$B$2:$B$3001,$AD870))</f>
        <v/>
      </c>
      <c r="F870">
        <f>IF($AD870="","",INDEX('Per Line'!$D$2:$D$3001,$AD870)&amp;"")</f>
        <v/>
      </c>
      <c r="G870" s="11">
        <f>IF($AD870="","",INDEX('Per Line'!$G$2:$G$3001,$AD870))</f>
        <v/>
      </c>
      <c r="H870">
        <f>IF($AD870="","",INDEX('Per Line'!$J$2:$J$3001,$AD870)&amp;"")</f>
        <v/>
      </c>
      <c r="I870">
        <f>IF($AD870="","",INDEX('Per Line'!$H$2:$H$3001,$AD870)&amp;"")</f>
        <v/>
      </c>
      <c r="J870">
        <f>IF($AD870="","",INDEX('Per Line'!$F$2:$F$3001,$AD870)&amp;"")</f>
        <v/>
      </c>
      <c r="K870">
        <f>IF($AD870="","",INDEX('Per Line'!$K$2:$K$3001,$AD870)&amp;"")</f>
        <v/>
      </c>
      <c r="L870">
        <f>IF($AD870="","",INDEX('Per Line'!$L$2:$L$3001,$AD870)&amp;"")</f>
        <v/>
      </c>
      <c r="M870">
        <f>IF($AD870="","",INDEX('Per Line'!$M$2:$M$3001,$AD870)&amp;"")</f>
        <v/>
      </c>
      <c r="N870">
        <f>IF($AD870="","",INDEX('Per Line'!$AC$2:$AC$3001,$AD870)&amp;"")</f>
        <v/>
      </c>
      <c r="O870">
        <f>IF($AD870="","",INDEX('Per Line'!$P$2:$P$3001,$AD870))</f>
        <v/>
      </c>
      <c r="P870" s="7">
        <f>IF($AD870="","",IF(AND(ISNUMBER(Q870),Q870&gt;0,AB870&gt;Q870),O870*Q870/100+(AB870-Q870),O870*AB870/100))</f>
        <v/>
      </c>
      <c r="Q870">
        <f>IF($AD870="","",INDEX('Per Line'!$AG$2:$AG$3001,$AD870))</f>
        <v/>
      </c>
      <c r="R870">
        <f>IF($AD870="","",IF(AND(ISNUMBER(Q870),Q870&gt;0),AB870&gt;Q870,FALSE))</f>
        <v/>
      </c>
      <c r="S870" s="7">
        <f>IF($AD870="","",SUMIFS('Per Line'!$AB$2:$AB$3001,'Per Line'!$E$2:$E$3001,$B870,'Per Line'!$AQ$2:$AQ$3001,1))</f>
        <v/>
      </c>
      <c r="T870">
        <f>IF($AD870="","",Settings!$C$7)</f>
        <v/>
      </c>
      <c r="U870" s="7">
        <f>IF($AD870="","",SUMIFS('Per Line'!$AB$2:$AB$3001,'Per Line'!$E$2:$E$3001,$B870,'Per Line'!$AP$2:$AP$3001,0,'Per Line'!$AQ$2:$AQ$3001,0))</f>
        <v/>
      </c>
      <c r="V870" s="7">
        <f>IF($AD870="","",U870*T870)</f>
        <v/>
      </c>
      <c r="W870">
        <f>IF($AD870="","",Settings!$C$6)</f>
        <v/>
      </c>
      <c r="X870" s="7">
        <f>IF($AD870="","",SUMIFS('Per Line'!$AB$2:$AB$3001,'Per Line'!$E$2:$E$3001,$B870,'Per Line'!$AP$2:$AP$3001,1,'Per Line'!$AQ$2:$AQ$3001,0))</f>
        <v/>
      </c>
      <c r="Y870" s="7">
        <f>IF($AD870="","",X870*W870)</f>
        <v/>
      </c>
      <c r="Z870" s="7">
        <f>IF($AD870="","",Y870+V870)</f>
        <v/>
      </c>
      <c r="AA870" s="7">
        <f>IF($AD870="","",AB870-Z870)</f>
        <v/>
      </c>
      <c r="AB870" s="7">
        <f>IF($AD870="","",U870+X870+S870)</f>
        <v/>
      </c>
      <c r="AC870" s="7">
        <f>IF($AD870="","",AB870-Z870-P870)</f>
        <v/>
      </c>
      <c r="AD870" s="13">
        <f>IF(ROWS($AD$2:$AD870)&lt;=MAX('Per Line'!$AO$2:$AO$3001),MATCH(ROWS($AD$2:$AD870),'Per Line'!$AO$2:$AO$3001,0),"")</f>
        <v/>
      </c>
      <c r="AE870" s="14">
        <f>IF($AD870="","",P870-O870*AB870/100)</f>
        <v/>
      </c>
    </row>
    <row r="871">
      <c r="A871" s="12" t="n"/>
      <c r="B871">
        <f>IF($AD871="","",INDEX('Per Line'!$E$2:$E$3001,$AD871)&amp;"")</f>
        <v/>
      </c>
      <c r="C871">
        <f>IF($AD871="","",INDEX('Per Line'!$A$2:$A$3001,$AD871)&amp;"")</f>
        <v/>
      </c>
      <c r="D871">
        <f>IF($AD871="","",INDEX('Per Line'!$C$2:$C$3001,$AD871)&amp;"")</f>
        <v/>
      </c>
      <c r="E871">
        <f>IF($AD871="","",INDEX('Per Line'!$B$2:$B$3001,$AD871))</f>
        <v/>
      </c>
      <c r="F871">
        <f>IF($AD871="","",INDEX('Per Line'!$D$2:$D$3001,$AD871)&amp;"")</f>
        <v/>
      </c>
      <c r="G871" s="11">
        <f>IF($AD871="","",INDEX('Per Line'!$G$2:$G$3001,$AD871))</f>
        <v/>
      </c>
      <c r="H871">
        <f>IF($AD871="","",INDEX('Per Line'!$J$2:$J$3001,$AD871)&amp;"")</f>
        <v/>
      </c>
      <c r="I871">
        <f>IF($AD871="","",INDEX('Per Line'!$H$2:$H$3001,$AD871)&amp;"")</f>
        <v/>
      </c>
      <c r="J871">
        <f>IF($AD871="","",INDEX('Per Line'!$F$2:$F$3001,$AD871)&amp;"")</f>
        <v/>
      </c>
      <c r="K871">
        <f>IF($AD871="","",INDEX('Per Line'!$K$2:$K$3001,$AD871)&amp;"")</f>
        <v/>
      </c>
      <c r="L871">
        <f>IF($AD871="","",INDEX('Per Line'!$L$2:$L$3001,$AD871)&amp;"")</f>
        <v/>
      </c>
      <c r="M871">
        <f>IF($AD871="","",INDEX('Per Line'!$M$2:$M$3001,$AD871)&amp;"")</f>
        <v/>
      </c>
      <c r="N871">
        <f>IF($AD871="","",INDEX('Per Line'!$AC$2:$AC$3001,$AD871)&amp;"")</f>
        <v/>
      </c>
      <c r="O871">
        <f>IF($AD871="","",INDEX('Per Line'!$P$2:$P$3001,$AD871))</f>
        <v/>
      </c>
      <c r="P871" s="7">
        <f>IF($AD871="","",IF(AND(ISNUMBER(Q871),Q871&gt;0,AB871&gt;Q871),O871*Q871/100+(AB871-Q871),O871*AB871/100))</f>
        <v/>
      </c>
      <c r="Q871">
        <f>IF($AD871="","",INDEX('Per Line'!$AG$2:$AG$3001,$AD871))</f>
        <v/>
      </c>
      <c r="R871">
        <f>IF($AD871="","",IF(AND(ISNUMBER(Q871),Q871&gt;0),AB871&gt;Q871,FALSE))</f>
        <v/>
      </c>
      <c r="S871" s="7">
        <f>IF($AD871="","",SUMIFS('Per Line'!$AB$2:$AB$3001,'Per Line'!$E$2:$E$3001,$B871,'Per Line'!$AQ$2:$AQ$3001,1))</f>
        <v/>
      </c>
      <c r="T871">
        <f>IF($AD871="","",Settings!$C$7)</f>
        <v/>
      </c>
      <c r="U871" s="7">
        <f>IF($AD871="","",SUMIFS('Per Line'!$AB$2:$AB$3001,'Per Line'!$E$2:$E$3001,$B871,'Per Line'!$AP$2:$AP$3001,0,'Per Line'!$AQ$2:$AQ$3001,0))</f>
        <v/>
      </c>
      <c r="V871" s="7">
        <f>IF($AD871="","",U871*T871)</f>
        <v/>
      </c>
      <c r="W871">
        <f>IF($AD871="","",Settings!$C$6)</f>
        <v/>
      </c>
      <c r="X871" s="7">
        <f>IF($AD871="","",SUMIFS('Per Line'!$AB$2:$AB$3001,'Per Line'!$E$2:$E$3001,$B871,'Per Line'!$AP$2:$AP$3001,1,'Per Line'!$AQ$2:$AQ$3001,0))</f>
        <v/>
      </c>
      <c r="Y871" s="7">
        <f>IF($AD871="","",X871*W871)</f>
        <v/>
      </c>
      <c r="Z871" s="7">
        <f>IF($AD871="","",Y871+V871)</f>
        <v/>
      </c>
      <c r="AA871" s="7">
        <f>IF($AD871="","",AB871-Z871)</f>
        <v/>
      </c>
      <c r="AB871" s="7">
        <f>IF($AD871="","",U871+X871+S871)</f>
        <v/>
      </c>
      <c r="AC871" s="7">
        <f>IF($AD871="","",AB871-Z871-P871)</f>
        <v/>
      </c>
      <c r="AD871" s="13">
        <f>IF(ROWS($AD$2:$AD871)&lt;=MAX('Per Line'!$AO$2:$AO$3001),MATCH(ROWS($AD$2:$AD871),'Per Line'!$AO$2:$AO$3001,0),"")</f>
        <v/>
      </c>
      <c r="AE871" s="14">
        <f>IF($AD871="","",P871-O871*AB871/100)</f>
        <v/>
      </c>
    </row>
    <row r="872">
      <c r="A872" s="12" t="n"/>
      <c r="B872">
        <f>IF($AD872="","",INDEX('Per Line'!$E$2:$E$3001,$AD872)&amp;"")</f>
        <v/>
      </c>
      <c r="C872">
        <f>IF($AD872="","",INDEX('Per Line'!$A$2:$A$3001,$AD872)&amp;"")</f>
        <v/>
      </c>
      <c r="D872">
        <f>IF($AD872="","",INDEX('Per Line'!$C$2:$C$3001,$AD872)&amp;"")</f>
        <v/>
      </c>
      <c r="E872">
        <f>IF($AD872="","",INDEX('Per Line'!$B$2:$B$3001,$AD872))</f>
        <v/>
      </c>
      <c r="F872">
        <f>IF($AD872="","",INDEX('Per Line'!$D$2:$D$3001,$AD872)&amp;"")</f>
        <v/>
      </c>
      <c r="G872" s="11">
        <f>IF($AD872="","",INDEX('Per Line'!$G$2:$G$3001,$AD872))</f>
        <v/>
      </c>
      <c r="H872">
        <f>IF($AD872="","",INDEX('Per Line'!$J$2:$J$3001,$AD872)&amp;"")</f>
        <v/>
      </c>
      <c r="I872">
        <f>IF($AD872="","",INDEX('Per Line'!$H$2:$H$3001,$AD872)&amp;"")</f>
        <v/>
      </c>
      <c r="J872">
        <f>IF($AD872="","",INDEX('Per Line'!$F$2:$F$3001,$AD872)&amp;"")</f>
        <v/>
      </c>
      <c r="K872">
        <f>IF($AD872="","",INDEX('Per Line'!$K$2:$K$3001,$AD872)&amp;"")</f>
        <v/>
      </c>
      <c r="L872">
        <f>IF($AD872="","",INDEX('Per Line'!$L$2:$L$3001,$AD872)&amp;"")</f>
        <v/>
      </c>
      <c r="M872">
        <f>IF($AD872="","",INDEX('Per Line'!$M$2:$M$3001,$AD872)&amp;"")</f>
        <v/>
      </c>
      <c r="N872">
        <f>IF($AD872="","",INDEX('Per Line'!$AC$2:$AC$3001,$AD872)&amp;"")</f>
        <v/>
      </c>
      <c r="O872">
        <f>IF($AD872="","",INDEX('Per Line'!$P$2:$P$3001,$AD872))</f>
        <v/>
      </c>
      <c r="P872" s="7">
        <f>IF($AD872="","",IF(AND(ISNUMBER(Q872),Q872&gt;0,AB872&gt;Q872),O872*Q872/100+(AB872-Q872),O872*AB872/100))</f>
        <v/>
      </c>
      <c r="Q872">
        <f>IF($AD872="","",INDEX('Per Line'!$AG$2:$AG$3001,$AD872))</f>
        <v/>
      </c>
      <c r="R872">
        <f>IF($AD872="","",IF(AND(ISNUMBER(Q872),Q872&gt;0),AB872&gt;Q872,FALSE))</f>
        <v/>
      </c>
      <c r="S872" s="7">
        <f>IF($AD872="","",SUMIFS('Per Line'!$AB$2:$AB$3001,'Per Line'!$E$2:$E$3001,$B872,'Per Line'!$AQ$2:$AQ$3001,1))</f>
        <v/>
      </c>
      <c r="T872">
        <f>IF($AD872="","",Settings!$C$7)</f>
        <v/>
      </c>
      <c r="U872" s="7">
        <f>IF($AD872="","",SUMIFS('Per Line'!$AB$2:$AB$3001,'Per Line'!$E$2:$E$3001,$B872,'Per Line'!$AP$2:$AP$3001,0,'Per Line'!$AQ$2:$AQ$3001,0))</f>
        <v/>
      </c>
      <c r="V872" s="7">
        <f>IF($AD872="","",U872*T872)</f>
        <v/>
      </c>
      <c r="W872">
        <f>IF($AD872="","",Settings!$C$6)</f>
        <v/>
      </c>
      <c r="X872" s="7">
        <f>IF($AD872="","",SUMIFS('Per Line'!$AB$2:$AB$3001,'Per Line'!$E$2:$E$3001,$B872,'Per Line'!$AP$2:$AP$3001,1,'Per Line'!$AQ$2:$AQ$3001,0))</f>
        <v/>
      </c>
      <c r="Y872" s="7">
        <f>IF($AD872="","",X872*W872)</f>
        <v/>
      </c>
      <c r="Z872" s="7">
        <f>IF($AD872="","",Y872+V872)</f>
        <v/>
      </c>
      <c r="AA872" s="7">
        <f>IF($AD872="","",AB872-Z872)</f>
        <v/>
      </c>
      <c r="AB872" s="7">
        <f>IF($AD872="","",U872+X872+S872)</f>
        <v/>
      </c>
      <c r="AC872" s="7">
        <f>IF($AD872="","",AB872-Z872-P872)</f>
        <v/>
      </c>
      <c r="AD872" s="13">
        <f>IF(ROWS($AD$2:$AD872)&lt;=MAX('Per Line'!$AO$2:$AO$3001),MATCH(ROWS($AD$2:$AD872),'Per Line'!$AO$2:$AO$3001,0),"")</f>
        <v/>
      </c>
      <c r="AE872" s="14">
        <f>IF($AD872="","",P872-O872*AB872/100)</f>
        <v/>
      </c>
    </row>
    <row r="873">
      <c r="A873" s="12" t="n"/>
      <c r="B873">
        <f>IF($AD873="","",INDEX('Per Line'!$E$2:$E$3001,$AD873)&amp;"")</f>
        <v/>
      </c>
      <c r="C873">
        <f>IF($AD873="","",INDEX('Per Line'!$A$2:$A$3001,$AD873)&amp;"")</f>
        <v/>
      </c>
      <c r="D873">
        <f>IF($AD873="","",INDEX('Per Line'!$C$2:$C$3001,$AD873)&amp;"")</f>
        <v/>
      </c>
      <c r="E873">
        <f>IF($AD873="","",INDEX('Per Line'!$B$2:$B$3001,$AD873))</f>
        <v/>
      </c>
      <c r="F873">
        <f>IF($AD873="","",INDEX('Per Line'!$D$2:$D$3001,$AD873)&amp;"")</f>
        <v/>
      </c>
      <c r="G873" s="11">
        <f>IF($AD873="","",INDEX('Per Line'!$G$2:$G$3001,$AD873))</f>
        <v/>
      </c>
      <c r="H873">
        <f>IF($AD873="","",INDEX('Per Line'!$J$2:$J$3001,$AD873)&amp;"")</f>
        <v/>
      </c>
      <c r="I873">
        <f>IF($AD873="","",INDEX('Per Line'!$H$2:$H$3001,$AD873)&amp;"")</f>
        <v/>
      </c>
      <c r="J873">
        <f>IF($AD873="","",INDEX('Per Line'!$F$2:$F$3001,$AD873)&amp;"")</f>
        <v/>
      </c>
      <c r="K873">
        <f>IF($AD873="","",INDEX('Per Line'!$K$2:$K$3001,$AD873)&amp;"")</f>
        <v/>
      </c>
      <c r="L873">
        <f>IF($AD873="","",INDEX('Per Line'!$L$2:$L$3001,$AD873)&amp;"")</f>
        <v/>
      </c>
      <c r="M873">
        <f>IF($AD873="","",INDEX('Per Line'!$M$2:$M$3001,$AD873)&amp;"")</f>
        <v/>
      </c>
      <c r="N873">
        <f>IF($AD873="","",INDEX('Per Line'!$AC$2:$AC$3001,$AD873)&amp;"")</f>
        <v/>
      </c>
      <c r="O873">
        <f>IF($AD873="","",INDEX('Per Line'!$P$2:$P$3001,$AD873))</f>
        <v/>
      </c>
      <c r="P873" s="7">
        <f>IF($AD873="","",IF(AND(ISNUMBER(Q873),Q873&gt;0,AB873&gt;Q873),O873*Q873/100+(AB873-Q873),O873*AB873/100))</f>
        <v/>
      </c>
      <c r="Q873">
        <f>IF($AD873="","",INDEX('Per Line'!$AG$2:$AG$3001,$AD873))</f>
        <v/>
      </c>
      <c r="R873">
        <f>IF($AD873="","",IF(AND(ISNUMBER(Q873),Q873&gt;0),AB873&gt;Q873,FALSE))</f>
        <v/>
      </c>
      <c r="S873" s="7">
        <f>IF($AD873="","",SUMIFS('Per Line'!$AB$2:$AB$3001,'Per Line'!$E$2:$E$3001,$B873,'Per Line'!$AQ$2:$AQ$3001,1))</f>
        <v/>
      </c>
      <c r="T873">
        <f>IF($AD873="","",Settings!$C$7)</f>
        <v/>
      </c>
      <c r="U873" s="7">
        <f>IF($AD873="","",SUMIFS('Per Line'!$AB$2:$AB$3001,'Per Line'!$E$2:$E$3001,$B873,'Per Line'!$AP$2:$AP$3001,0,'Per Line'!$AQ$2:$AQ$3001,0))</f>
        <v/>
      </c>
      <c r="V873" s="7">
        <f>IF($AD873="","",U873*T873)</f>
        <v/>
      </c>
      <c r="W873">
        <f>IF($AD873="","",Settings!$C$6)</f>
        <v/>
      </c>
      <c r="X873" s="7">
        <f>IF($AD873="","",SUMIFS('Per Line'!$AB$2:$AB$3001,'Per Line'!$E$2:$E$3001,$B873,'Per Line'!$AP$2:$AP$3001,1,'Per Line'!$AQ$2:$AQ$3001,0))</f>
        <v/>
      </c>
      <c r="Y873" s="7">
        <f>IF($AD873="","",X873*W873)</f>
        <v/>
      </c>
      <c r="Z873" s="7">
        <f>IF($AD873="","",Y873+V873)</f>
        <v/>
      </c>
      <c r="AA873" s="7">
        <f>IF($AD873="","",AB873-Z873)</f>
        <v/>
      </c>
      <c r="AB873" s="7">
        <f>IF($AD873="","",U873+X873+S873)</f>
        <v/>
      </c>
      <c r="AC873" s="7">
        <f>IF($AD873="","",AB873-Z873-P873)</f>
        <v/>
      </c>
      <c r="AD873" s="13">
        <f>IF(ROWS($AD$2:$AD873)&lt;=MAX('Per Line'!$AO$2:$AO$3001),MATCH(ROWS($AD$2:$AD873),'Per Line'!$AO$2:$AO$3001,0),"")</f>
        <v/>
      </c>
      <c r="AE873" s="14">
        <f>IF($AD873="","",P873-O873*AB873/100)</f>
        <v/>
      </c>
    </row>
    <row r="874">
      <c r="A874" s="12" t="n"/>
      <c r="B874">
        <f>IF($AD874="","",INDEX('Per Line'!$E$2:$E$3001,$AD874)&amp;"")</f>
        <v/>
      </c>
      <c r="C874">
        <f>IF($AD874="","",INDEX('Per Line'!$A$2:$A$3001,$AD874)&amp;"")</f>
        <v/>
      </c>
      <c r="D874">
        <f>IF($AD874="","",INDEX('Per Line'!$C$2:$C$3001,$AD874)&amp;"")</f>
        <v/>
      </c>
      <c r="E874">
        <f>IF($AD874="","",INDEX('Per Line'!$B$2:$B$3001,$AD874))</f>
        <v/>
      </c>
      <c r="F874">
        <f>IF($AD874="","",INDEX('Per Line'!$D$2:$D$3001,$AD874)&amp;"")</f>
        <v/>
      </c>
      <c r="G874" s="11">
        <f>IF($AD874="","",INDEX('Per Line'!$G$2:$G$3001,$AD874))</f>
        <v/>
      </c>
      <c r="H874">
        <f>IF($AD874="","",INDEX('Per Line'!$J$2:$J$3001,$AD874)&amp;"")</f>
        <v/>
      </c>
      <c r="I874">
        <f>IF($AD874="","",INDEX('Per Line'!$H$2:$H$3001,$AD874)&amp;"")</f>
        <v/>
      </c>
      <c r="J874">
        <f>IF($AD874="","",INDEX('Per Line'!$F$2:$F$3001,$AD874)&amp;"")</f>
        <v/>
      </c>
      <c r="K874">
        <f>IF($AD874="","",INDEX('Per Line'!$K$2:$K$3001,$AD874)&amp;"")</f>
        <v/>
      </c>
      <c r="L874">
        <f>IF($AD874="","",INDEX('Per Line'!$L$2:$L$3001,$AD874)&amp;"")</f>
        <v/>
      </c>
      <c r="M874">
        <f>IF($AD874="","",INDEX('Per Line'!$M$2:$M$3001,$AD874)&amp;"")</f>
        <v/>
      </c>
      <c r="N874">
        <f>IF($AD874="","",INDEX('Per Line'!$AC$2:$AC$3001,$AD874)&amp;"")</f>
        <v/>
      </c>
      <c r="O874">
        <f>IF($AD874="","",INDEX('Per Line'!$P$2:$P$3001,$AD874))</f>
        <v/>
      </c>
      <c r="P874" s="7">
        <f>IF($AD874="","",IF(AND(ISNUMBER(Q874),Q874&gt;0,AB874&gt;Q874),O874*Q874/100+(AB874-Q874),O874*AB874/100))</f>
        <v/>
      </c>
      <c r="Q874">
        <f>IF($AD874="","",INDEX('Per Line'!$AG$2:$AG$3001,$AD874))</f>
        <v/>
      </c>
      <c r="R874">
        <f>IF($AD874="","",IF(AND(ISNUMBER(Q874),Q874&gt;0),AB874&gt;Q874,FALSE))</f>
        <v/>
      </c>
      <c r="S874" s="7">
        <f>IF($AD874="","",SUMIFS('Per Line'!$AB$2:$AB$3001,'Per Line'!$E$2:$E$3001,$B874,'Per Line'!$AQ$2:$AQ$3001,1))</f>
        <v/>
      </c>
      <c r="T874">
        <f>IF($AD874="","",Settings!$C$7)</f>
        <v/>
      </c>
      <c r="U874" s="7">
        <f>IF($AD874="","",SUMIFS('Per Line'!$AB$2:$AB$3001,'Per Line'!$E$2:$E$3001,$B874,'Per Line'!$AP$2:$AP$3001,0,'Per Line'!$AQ$2:$AQ$3001,0))</f>
        <v/>
      </c>
      <c r="V874" s="7">
        <f>IF($AD874="","",U874*T874)</f>
        <v/>
      </c>
      <c r="W874">
        <f>IF($AD874="","",Settings!$C$6)</f>
        <v/>
      </c>
      <c r="X874" s="7">
        <f>IF($AD874="","",SUMIFS('Per Line'!$AB$2:$AB$3001,'Per Line'!$E$2:$E$3001,$B874,'Per Line'!$AP$2:$AP$3001,1,'Per Line'!$AQ$2:$AQ$3001,0))</f>
        <v/>
      </c>
      <c r="Y874" s="7">
        <f>IF($AD874="","",X874*W874)</f>
        <v/>
      </c>
      <c r="Z874" s="7">
        <f>IF($AD874="","",Y874+V874)</f>
        <v/>
      </c>
      <c r="AA874" s="7">
        <f>IF($AD874="","",AB874-Z874)</f>
        <v/>
      </c>
      <c r="AB874" s="7">
        <f>IF($AD874="","",U874+X874+S874)</f>
        <v/>
      </c>
      <c r="AC874" s="7">
        <f>IF($AD874="","",AB874-Z874-P874)</f>
        <v/>
      </c>
      <c r="AD874" s="13">
        <f>IF(ROWS($AD$2:$AD874)&lt;=MAX('Per Line'!$AO$2:$AO$3001),MATCH(ROWS($AD$2:$AD874),'Per Line'!$AO$2:$AO$3001,0),"")</f>
        <v/>
      </c>
      <c r="AE874" s="14">
        <f>IF($AD874="","",P874-O874*AB874/100)</f>
        <v/>
      </c>
    </row>
    <row r="875">
      <c r="A875" s="12" t="n"/>
      <c r="B875">
        <f>IF($AD875="","",INDEX('Per Line'!$E$2:$E$3001,$AD875)&amp;"")</f>
        <v/>
      </c>
      <c r="C875">
        <f>IF($AD875="","",INDEX('Per Line'!$A$2:$A$3001,$AD875)&amp;"")</f>
        <v/>
      </c>
      <c r="D875">
        <f>IF($AD875="","",INDEX('Per Line'!$C$2:$C$3001,$AD875)&amp;"")</f>
        <v/>
      </c>
      <c r="E875">
        <f>IF($AD875="","",INDEX('Per Line'!$B$2:$B$3001,$AD875))</f>
        <v/>
      </c>
      <c r="F875">
        <f>IF($AD875="","",INDEX('Per Line'!$D$2:$D$3001,$AD875)&amp;"")</f>
        <v/>
      </c>
      <c r="G875" s="11">
        <f>IF($AD875="","",INDEX('Per Line'!$G$2:$G$3001,$AD875))</f>
        <v/>
      </c>
      <c r="H875">
        <f>IF($AD875="","",INDEX('Per Line'!$J$2:$J$3001,$AD875)&amp;"")</f>
        <v/>
      </c>
      <c r="I875">
        <f>IF($AD875="","",INDEX('Per Line'!$H$2:$H$3001,$AD875)&amp;"")</f>
        <v/>
      </c>
      <c r="J875">
        <f>IF($AD875="","",INDEX('Per Line'!$F$2:$F$3001,$AD875)&amp;"")</f>
        <v/>
      </c>
      <c r="K875">
        <f>IF($AD875="","",INDEX('Per Line'!$K$2:$K$3001,$AD875)&amp;"")</f>
        <v/>
      </c>
      <c r="L875">
        <f>IF($AD875="","",INDEX('Per Line'!$L$2:$L$3001,$AD875)&amp;"")</f>
        <v/>
      </c>
      <c r="M875">
        <f>IF($AD875="","",INDEX('Per Line'!$M$2:$M$3001,$AD875)&amp;"")</f>
        <v/>
      </c>
      <c r="N875">
        <f>IF($AD875="","",INDEX('Per Line'!$AC$2:$AC$3001,$AD875)&amp;"")</f>
        <v/>
      </c>
      <c r="O875">
        <f>IF($AD875="","",INDEX('Per Line'!$P$2:$P$3001,$AD875))</f>
        <v/>
      </c>
      <c r="P875" s="7">
        <f>IF($AD875="","",IF(AND(ISNUMBER(Q875),Q875&gt;0,AB875&gt;Q875),O875*Q875/100+(AB875-Q875),O875*AB875/100))</f>
        <v/>
      </c>
      <c r="Q875">
        <f>IF($AD875="","",INDEX('Per Line'!$AG$2:$AG$3001,$AD875))</f>
        <v/>
      </c>
      <c r="R875">
        <f>IF($AD875="","",IF(AND(ISNUMBER(Q875),Q875&gt;0),AB875&gt;Q875,FALSE))</f>
        <v/>
      </c>
      <c r="S875" s="7">
        <f>IF($AD875="","",SUMIFS('Per Line'!$AB$2:$AB$3001,'Per Line'!$E$2:$E$3001,$B875,'Per Line'!$AQ$2:$AQ$3001,1))</f>
        <v/>
      </c>
      <c r="T875">
        <f>IF($AD875="","",Settings!$C$7)</f>
        <v/>
      </c>
      <c r="U875" s="7">
        <f>IF($AD875="","",SUMIFS('Per Line'!$AB$2:$AB$3001,'Per Line'!$E$2:$E$3001,$B875,'Per Line'!$AP$2:$AP$3001,0,'Per Line'!$AQ$2:$AQ$3001,0))</f>
        <v/>
      </c>
      <c r="V875" s="7">
        <f>IF($AD875="","",U875*T875)</f>
        <v/>
      </c>
      <c r="W875">
        <f>IF($AD875="","",Settings!$C$6)</f>
        <v/>
      </c>
      <c r="X875" s="7">
        <f>IF($AD875="","",SUMIFS('Per Line'!$AB$2:$AB$3001,'Per Line'!$E$2:$E$3001,$B875,'Per Line'!$AP$2:$AP$3001,1,'Per Line'!$AQ$2:$AQ$3001,0))</f>
        <v/>
      </c>
      <c r="Y875" s="7">
        <f>IF($AD875="","",X875*W875)</f>
        <v/>
      </c>
      <c r="Z875" s="7">
        <f>IF($AD875="","",Y875+V875)</f>
        <v/>
      </c>
      <c r="AA875" s="7">
        <f>IF($AD875="","",AB875-Z875)</f>
        <v/>
      </c>
      <c r="AB875" s="7">
        <f>IF($AD875="","",U875+X875+S875)</f>
        <v/>
      </c>
      <c r="AC875" s="7">
        <f>IF($AD875="","",AB875-Z875-P875)</f>
        <v/>
      </c>
      <c r="AD875" s="13">
        <f>IF(ROWS($AD$2:$AD875)&lt;=MAX('Per Line'!$AO$2:$AO$3001),MATCH(ROWS($AD$2:$AD875),'Per Line'!$AO$2:$AO$3001,0),"")</f>
        <v/>
      </c>
      <c r="AE875" s="14">
        <f>IF($AD875="","",P875-O875*AB875/100)</f>
        <v/>
      </c>
    </row>
    <row r="876">
      <c r="A876" s="12" t="n"/>
      <c r="B876">
        <f>IF($AD876="","",INDEX('Per Line'!$E$2:$E$3001,$AD876)&amp;"")</f>
        <v/>
      </c>
      <c r="C876">
        <f>IF($AD876="","",INDEX('Per Line'!$A$2:$A$3001,$AD876)&amp;"")</f>
        <v/>
      </c>
      <c r="D876">
        <f>IF($AD876="","",INDEX('Per Line'!$C$2:$C$3001,$AD876)&amp;"")</f>
        <v/>
      </c>
      <c r="E876">
        <f>IF($AD876="","",INDEX('Per Line'!$B$2:$B$3001,$AD876))</f>
        <v/>
      </c>
      <c r="F876">
        <f>IF($AD876="","",INDEX('Per Line'!$D$2:$D$3001,$AD876)&amp;"")</f>
        <v/>
      </c>
      <c r="G876" s="11">
        <f>IF($AD876="","",INDEX('Per Line'!$G$2:$G$3001,$AD876))</f>
        <v/>
      </c>
      <c r="H876">
        <f>IF($AD876="","",INDEX('Per Line'!$J$2:$J$3001,$AD876)&amp;"")</f>
        <v/>
      </c>
      <c r="I876">
        <f>IF($AD876="","",INDEX('Per Line'!$H$2:$H$3001,$AD876)&amp;"")</f>
        <v/>
      </c>
      <c r="J876">
        <f>IF($AD876="","",INDEX('Per Line'!$F$2:$F$3001,$AD876)&amp;"")</f>
        <v/>
      </c>
      <c r="K876">
        <f>IF($AD876="","",INDEX('Per Line'!$K$2:$K$3001,$AD876)&amp;"")</f>
        <v/>
      </c>
      <c r="L876">
        <f>IF($AD876="","",INDEX('Per Line'!$L$2:$L$3001,$AD876)&amp;"")</f>
        <v/>
      </c>
      <c r="M876">
        <f>IF($AD876="","",INDEX('Per Line'!$M$2:$M$3001,$AD876)&amp;"")</f>
        <v/>
      </c>
      <c r="N876">
        <f>IF($AD876="","",INDEX('Per Line'!$AC$2:$AC$3001,$AD876)&amp;"")</f>
        <v/>
      </c>
      <c r="O876">
        <f>IF($AD876="","",INDEX('Per Line'!$P$2:$P$3001,$AD876))</f>
        <v/>
      </c>
      <c r="P876" s="7">
        <f>IF($AD876="","",IF(AND(ISNUMBER(Q876),Q876&gt;0,AB876&gt;Q876),O876*Q876/100+(AB876-Q876),O876*AB876/100))</f>
        <v/>
      </c>
      <c r="Q876">
        <f>IF($AD876="","",INDEX('Per Line'!$AG$2:$AG$3001,$AD876))</f>
        <v/>
      </c>
      <c r="R876">
        <f>IF($AD876="","",IF(AND(ISNUMBER(Q876),Q876&gt;0),AB876&gt;Q876,FALSE))</f>
        <v/>
      </c>
      <c r="S876" s="7">
        <f>IF($AD876="","",SUMIFS('Per Line'!$AB$2:$AB$3001,'Per Line'!$E$2:$E$3001,$B876,'Per Line'!$AQ$2:$AQ$3001,1))</f>
        <v/>
      </c>
      <c r="T876">
        <f>IF($AD876="","",Settings!$C$7)</f>
        <v/>
      </c>
      <c r="U876" s="7">
        <f>IF($AD876="","",SUMIFS('Per Line'!$AB$2:$AB$3001,'Per Line'!$E$2:$E$3001,$B876,'Per Line'!$AP$2:$AP$3001,0,'Per Line'!$AQ$2:$AQ$3001,0))</f>
        <v/>
      </c>
      <c r="V876" s="7">
        <f>IF($AD876="","",U876*T876)</f>
        <v/>
      </c>
      <c r="W876">
        <f>IF($AD876="","",Settings!$C$6)</f>
        <v/>
      </c>
      <c r="X876" s="7">
        <f>IF($AD876="","",SUMIFS('Per Line'!$AB$2:$AB$3001,'Per Line'!$E$2:$E$3001,$B876,'Per Line'!$AP$2:$AP$3001,1,'Per Line'!$AQ$2:$AQ$3001,0))</f>
        <v/>
      </c>
      <c r="Y876" s="7">
        <f>IF($AD876="","",X876*W876)</f>
        <v/>
      </c>
      <c r="Z876" s="7">
        <f>IF($AD876="","",Y876+V876)</f>
        <v/>
      </c>
      <c r="AA876" s="7">
        <f>IF($AD876="","",AB876-Z876)</f>
        <v/>
      </c>
      <c r="AB876" s="7">
        <f>IF($AD876="","",U876+X876+S876)</f>
        <v/>
      </c>
      <c r="AC876" s="7">
        <f>IF($AD876="","",AB876-Z876-P876)</f>
        <v/>
      </c>
      <c r="AD876" s="13">
        <f>IF(ROWS($AD$2:$AD876)&lt;=MAX('Per Line'!$AO$2:$AO$3001),MATCH(ROWS($AD$2:$AD876),'Per Line'!$AO$2:$AO$3001,0),"")</f>
        <v/>
      </c>
      <c r="AE876" s="14">
        <f>IF($AD876="","",P876-O876*AB876/100)</f>
        <v/>
      </c>
    </row>
    <row r="877">
      <c r="A877" s="12" t="n"/>
      <c r="B877">
        <f>IF($AD877="","",INDEX('Per Line'!$E$2:$E$3001,$AD877)&amp;"")</f>
        <v/>
      </c>
      <c r="C877">
        <f>IF($AD877="","",INDEX('Per Line'!$A$2:$A$3001,$AD877)&amp;"")</f>
        <v/>
      </c>
      <c r="D877">
        <f>IF($AD877="","",INDEX('Per Line'!$C$2:$C$3001,$AD877)&amp;"")</f>
        <v/>
      </c>
      <c r="E877">
        <f>IF($AD877="","",INDEX('Per Line'!$B$2:$B$3001,$AD877))</f>
        <v/>
      </c>
      <c r="F877">
        <f>IF($AD877="","",INDEX('Per Line'!$D$2:$D$3001,$AD877)&amp;"")</f>
        <v/>
      </c>
      <c r="G877" s="11">
        <f>IF($AD877="","",INDEX('Per Line'!$G$2:$G$3001,$AD877))</f>
        <v/>
      </c>
      <c r="H877">
        <f>IF($AD877="","",INDEX('Per Line'!$J$2:$J$3001,$AD877)&amp;"")</f>
        <v/>
      </c>
      <c r="I877">
        <f>IF($AD877="","",INDEX('Per Line'!$H$2:$H$3001,$AD877)&amp;"")</f>
        <v/>
      </c>
      <c r="J877">
        <f>IF($AD877="","",INDEX('Per Line'!$F$2:$F$3001,$AD877)&amp;"")</f>
        <v/>
      </c>
      <c r="K877">
        <f>IF($AD877="","",INDEX('Per Line'!$K$2:$K$3001,$AD877)&amp;"")</f>
        <v/>
      </c>
      <c r="L877">
        <f>IF($AD877="","",INDEX('Per Line'!$L$2:$L$3001,$AD877)&amp;"")</f>
        <v/>
      </c>
      <c r="M877">
        <f>IF($AD877="","",INDEX('Per Line'!$M$2:$M$3001,$AD877)&amp;"")</f>
        <v/>
      </c>
      <c r="N877">
        <f>IF($AD877="","",INDEX('Per Line'!$AC$2:$AC$3001,$AD877)&amp;"")</f>
        <v/>
      </c>
      <c r="O877">
        <f>IF($AD877="","",INDEX('Per Line'!$P$2:$P$3001,$AD877))</f>
        <v/>
      </c>
      <c r="P877" s="7">
        <f>IF($AD877="","",IF(AND(ISNUMBER(Q877),Q877&gt;0,AB877&gt;Q877),O877*Q877/100+(AB877-Q877),O877*AB877/100))</f>
        <v/>
      </c>
      <c r="Q877">
        <f>IF($AD877="","",INDEX('Per Line'!$AG$2:$AG$3001,$AD877))</f>
        <v/>
      </c>
      <c r="R877">
        <f>IF($AD877="","",IF(AND(ISNUMBER(Q877),Q877&gt;0),AB877&gt;Q877,FALSE))</f>
        <v/>
      </c>
      <c r="S877" s="7">
        <f>IF($AD877="","",SUMIFS('Per Line'!$AB$2:$AB$3001,'Per Line'!$E$2:$E$3001,$B877,'Per Line'!$AQ$2:$AQ$3001,1))</f>
        <v/>
      </c>
      <c r="T877">
        <f>IF($AD877="","",Settings!$C$7)</f>
        <v/>
      </c>
      <c r="U877" s="7">
        <f>IF($AD877="","",SUMIFS('Per Line'!$AB$2:$AB$3001,'Per Line'!$E$2:$E$3001,$B877,'Per Line'!$AP$2:$AP$3001,0,'Per Line'!$AQ$2:$AQ$3001,0))</f>
        <v/>
      </c>
      <c r="V877" s="7">
        <f>IF($AD877="","",U877*T877)</f>
        <v/>
      </c>
      <c r="W877">
        <f>IF($AD877="","",Settings!$C$6)</f>
        <v/>
      </c>
      <c r="X877" s="7">
        <f>IF($AD877="","",SUMIFS('Per Line'!$AB$2:$AB$3001,'Per Line'!$E$2:$E$3001,$B877,'Per Line'!$AP$2:$AP$3001,1,'Per Line'!$AQ$2:$AQ$3001,0))</f>
        <v/>
      </c>
      <c r="Y877" s="7">
        <f>IF($AD877="","",X877*W877)</f>
        <v/>
      </c>
      <c r="Z877" s="7">
        <f>IF($AD877="","",Y877+V877)</f>
        <v/>
      </c>
      <c r="AA877" s="7">
        <f>IF($AD877="","",AB877-Z877)</f>
        <v/>
      </c>
      <c r="AB877" s="7">
        <f>IF($AD877="","",U877+X877+S877)</f>
        <v/>
      </c>
      <c r="AC877" s="7">
        <f>IF($AD877="","",AB877-Z877-P877)</f>
        <v/>
      </c>
      <c r="AD877" s="13">
        <f>IF(ROWS($AD$2:$AD877)&lt;=MAX('Per Line'!$AO$2:$AO$3001),MATCH(ROWS($AD$2:$AD877),'Per Line'!$AO$2:$AO$3001,0),"")</f>
        <v/>
      </c>
      <c r="AE877" s="14">
        <f>IF($AD877="","",P877-O877*AB877/100)</f>
        <v/>
      </c>
    </row>
    <row r="878">
      <c r="A878" s="12" t="n"/>
      <c r="B878">
        <f>IF($AD878="","",INDEX('Per Line'!$E$2:$E$3001,$AD878)&amp;"")</f>
        <v/>
      </c>
      <c r="C878">
        <f>IF($AD878="","",INDEX('Per Line'!$A$2:$A$3001,$AD878)&amp;"")</f>
        <v/>
      </c>
      <c r="D878">
        <f>IF($AD878="","",INDEX('Per Line'!$C$2:$C$3001,$AD878)&amp;"")</f>
        <v/>
      </c>
      <c r="E878">
        <f>IF($AD878="","",INDEX('Per Line'!$B$2:$B$3001,$AD878))</f>
        <v/>
      </c>
      <c r="F878">
        <f>IF($AD878="","",INDEX('Per Line'!$D$2:$D$3001,$AD878)&amp;"")</f>
        <v/>
      </c>
      <c r="G878" s="11">
        <f>IF($AD878="","",INDEX('Per Line'!$G$2:$G$3001,$AD878))</f>
        <v/>
      </c>
      <c r="H878">
        <f>IF($AD878="","",INDEX('Per Line'!$J$2:$J$3001,$AD878)&amp;"")</f>
        <v/>
      </c>
      <c r="I878">
        <f>IF($AD878="","",INDEX('Per Line'!$H$2:$H$3001,$AD878)&amp;"")</f>
        <v/>
      </c>
      <c r="J878">
        <f>IF($AD878="","",INDEX('Per Line'!$F$2:$F$3001,$AD878)&amp;"")</f>
        <v/>
      </c>
      <c r="K878">
        <f>IF($AD878="","",INDEX('Per Line'!$K$2:$K$3001,$AD878)&amp;"")</f>
        <v/>
      </c>
      <c r="L878">
        <f>IF($AD878="","",INDEX('Per Line'!$L$2:$L$3001,$AD878)&amp;"")</f>
        <v/>
      </c>
      <c r="M878">
        <f>IF($AD878="","",INDEX('Per Line'!$M$2:$M$3001,$AD878)&amp;"")</f>
        <v/>
      </c>
      <c r="N878">
        <f>IF($AD878="","",INDEX('Per Line'!$AC$2:$AC$3001,$AD878)&amp;"")</f>
        <v/>
      </c>
      <c r="O878">
        <f>IF($AD878="","",INDEX('Per Line'!$P$2:$P$3001,$AD878))</f>
        <v/>
      </c>
      <c r="P878" s="7">
        <f>IF($AD878="","",IF(AND(ISNUMBER(Q878),Q878&gt;0,AB878&gt;Q878),O878*Q878/100+(AB878-Q878),O878*AB878/100))</f>
        <v/>
      </c>
      <c r="Q878">
        <f>IF($AD878="","",INDEX('Per Line'!$AG$2:$AG$3001,$AD878))</f>
        <v/>
      </c>
      <c r="R878">
        <f>IF($AD878="","",IF(AND(ISNUMBER(Q878),Q878&gt;0),AB878&gt;Q878,FALSE))</f>
        <v/>
      </c>
      <c r="S878" s="7">
        <f>IF($AD878="","",SUMIFS('Per Line'!$AB$2:$AB$3001,'Per Line'!$E$2:$E$3001,$B878,'Per Line'!$AQ$2:$AQ$3001,1))</f>
        <v/>
      </c>
      <c r="T878">
        <f>IF($AD878="","",Settings!$C$7)</f>
        <v/>
      </c>
      <c r="U878" s="7">
        <f>IF($AD878="","",SUMIFS('Per Line'!$AB$2:$AB$3001,'Per Line'!$E$2:$E$3001,$B878,'Per Line'!$AP$2:$AP$3001,0,'Per Line'!$AQ$2:$AQ$3001,0))</f>
        <v/>
      </c>
      <c r="V878" s="7">
        <f>IF($AD878="","",U878*T878)</f>
        <v/>
      </c>
      <c r="W878">
        <f>IF($AD878="","",Settings!$C$6)</f>
        <v/>
      </c>
      <c r="X878" s="7">
        <f>IF($AD878="","",SUMIFS('Per Line'!$AB$2:$AB$3001,'Per Line'!$E$2:$E$3001,$B878,'Per Line'!$AP$2:$AP$3001,1,'Per Line'!$AQ$2:$AQ$3001,0))</f>
        <v/>
      </c>
      <c r="Y878" s="7">
        <f>IF($AD878="","",X878*W878)</f>
        <v/>
      </c>
      <c r="Z878" s="7">
        <f>IF($AD878="","",Y878+V878)</f>
        <v/>
      </c>
      <c r="AA878" s="7">
        <f>IF($AD878="","",AB878-Z878)</f>
        <v/>
      </c>
      <c r="AB878" s="7">
        <f>IF($AD878="","",U878+X878+S878)</f>
        <v/>
      </c>
      <c r="AC878" s="7">
        <f>IF($AD878="","",AB878-Z878-P878)</f>
        <v/>
      </c>
      <c r="AD878" s="13">
        <f>IF(ROWS($AD$2:$AD878)&lt;=MAX('Per Line'!$AO$2:$AO$3001),MATCH(ROWS($AD$2:$AD878),'Per Line'!$AO$2:$AO$3001,0),"")</f>
        <v/>
      </c>
      <c r="AE878" s="14">
        <f>IF($AD878="","",P878-O878*AB878/100)</f>
        <v/>
      </c>
    </row>
    <row r="879">
      <c r="A879" s="12" t="n"/>
      <c r="B879">
        <f>IF($AD879="","",INDEX('Per Line'!$E$2:$E$3001,$AD879)&amp;"")</f>
        <v/>
      </c>
      <c r="C879">
        <f>IF($AD879="","",INDEX('Per Line'!$A$2:$A$3001,$AD879)&amp;"")</f>
        <v/>
      </c>
      <c r="D879">
        <f>IF($AD879="","",INDEX('Per Line'!$C$2:$C$3001,$AD879)&amp;"")</f>
        <v/>
      </c>
      <c r="E879">
        <f>IF($AD879="","",INDEX('Per Line'!$B$2:$B$3001,$AD879))</f>
        <v/>
      </c>
      <c r="F879">
        <f>IF($AD879="","",INDEX('Per Line'!$D$2:$D$3001,$AD879)&amp;"")</f>
        <v/>
      </c>
      <c r="G879" s="11">
        <f>IF($AD879="","",INDEX('Per Line'!$G$2:$G$3001,$AD879))</f>
        <v/>
      </c>
      <c r="H879">
        <f>IF($AD879="","",INDEX('Per Line'!$J$2:$J$3001,$AD879)&amp;"")</f>
        <v/>
      </c>
      <c r="I879">
        <f>IF($AD879="","",INDEX('Per Line'!$H$2:$H$3001,$AD879)&amp;"")</f>
        <v/>
      </c>
      <c r="J879">
        <f>IF($AD879="","",INDEX('Per Line'!$F$2:$F$3001,$AD879)&amp;"")</f>
        <v/>
      </c>
      <c r="K879">
        <f>IF($AD879="","",INDEX('Per Line'!$K$2:$K$3001,$AD879)&amp;"")</f>
        <v/>
      </c>
      <c r="L879">
        <f>IF($AD879="","",INDEX('Per Line'!$L$2:$L$3001,$AD879)&amp;"")</f>
        <v/>
      </c>
      <c r="M879">
        <f>IF($AD879="","",INDEX('Per Line'!$M$2:$M$3001,$AD879)&amp;"")</f>
        <v/>
      </c>
      <c r="N879">
        <f>IF($AD879="","",INDEX('Per Line'!$AC$2:$AC$3001,$AD879)&amp;"")</f>
        <v/>
      </c>
      <c r="O879">
        <f>IF($AD879="","",INDEX('Per Line'!$P$2:$P$3001,$AD879))</f>
        <v/>
      </c>
      <c r="P879" s="7">
        <f>IF($AD879="","",IF(AND(ISNUMBER(Q879),Q879&gt;0,AB879&gt;Q879),O879*Q879/100+(AB879-Q879),O879*AB879/100))</f>
        <v/>
      </c>
      <c r="Q879">
        <f>IF($AD879="","",INDEX('Per Line'!$AG$2:$AG$3001,$AD879))</f>
        <v/>
      </c>
      <c r="R879">
        <f>IF($AD879="","",IF(AND(ISNUMBER(Q879),Q879&gt;0),AB879&gt;Q879,FALSE))</f>
        <v/>
      </c>
      <c r="S879" s="7">
        <f>IF($AD879="","",SUMIFS('Per Line'!$AB$2:$AB$3001,'Per Line'!$E$2:$E$3001,$B879,'Per Line'!$AQ$2:$AQ$3001,1))</f>
        <v/>
      </c>
      <c r="T879">
        <f>IF($AD879="","",Settings!$C$7)</f>
        <v/>
      </c>
      <c r="U879" s="7">
        <f>IF($AD879="","",SUMIFS('Per Line'!$AB$2:$AB$3001,'Per Line'!$E$2:$E$3001,$B879,'Per Line'!$AP$2:$AP$3001,0,'Per Line'!$AQ$2:$AQ$3001,0))</f>
        <v/>
      </c>
      <c r="V879" s="7">
        <f>IF($AD879="","",U879*T879)</f>
        <v/>
      </c>
      <c r="W879">
        <f>IF($AD879="","",Settings!$C$6)</f>
        <v/>
      </c>
      <c r="X879" s="7">
        <f>IF($AD879="","",SUMIFS('Per Line'!$AB$2:$AB$3001,'Per Line'!$E$2:$E$3001,$B879,'Per Line'!$AP$2:$AP$3001,1,'Per Line'!$AQ$2:$AQ$3001,0))</f>
        <v/>
      </c>
      <c r="Y879" s="7">
        <f>IF($AD879="","",X879*W879)</f>
        <v/>
      </c>
      <c r="Z879" s="7">
        <f>IF($AD879="","",Y879+V879)</f>
        <v/>
      </c>
      <c r="AA879" s="7">
        <f>IF($AD879="","",AB879-Z879)</f>
        <v/>
      </c>
      <c r="AB879" s="7">
        <f>IF($AD879="","",U879+X879+S879)</f>
        <v/>
      </c>
      <c r="AC879" s="7">
        <f>IF($AD879="","",AB879-Z879-P879)</f>
        <v/>
      </c>
      <c r="AD879" s="13">
        <f>IF(ROWS($AD$2:$AD879)&lt;=MAX('Per Line'!$AO$2:$AO$3001),MATCH(ROWS($AD$2:$AD879),'Per Line'!$AO$2:$AO$3001,0),"")</f>
        <v/>
      </c>
      <c r="AE879" s="14">
        <f>IF($AD879="","",P879-O879*AB879/100)</f>
        <v/>
      </c>
    </row>
    <row r="880">
      <c r="A880" s="12" t="n"/>
      <c r="B880">
        <f>IF($AD880="","",INDEX('Per Line'!$E$2:$E$3001,$AD880)&amp;"")</f>
        <v/>
      </c>
      <c r="C880">
        <f>IF($AD880="","",INDEX('Per Line'!$A$2:$A$3001,$AD880)&amp;"")</f>
        <v/>
      </c>
      <c r="D880">
        <f>IF($AD880="","",INDEX('Per Line'!$C$2:$C$3001,$AD880)&amp;"")</f>
        <v/>
      </c>
      <c r="E880">
        <f>IF($AD880="","",INDEX('Per Line'!$B$2:$B$3001,$AD880))</f>
        <v/>
      </c>
      <c r="F880">
        <f>IF($AD880="","",INDEX('Per Line'!$D$2:$D$3001,$AD880)&amp;"")</f>
        <v/>
      </c>
      <c r="G880" s="11">
        <f>IF($AD880="","",INDEX('Per Line'!$G$2:$G$3001,$AD880))</f>
        <v/>
      </c>
      <c r="H880">
        <f>IF($AD880="","",INDEX('Per Line'!$J$2:$J$3001,$AD880)&amp;"")</f>
        <v/>
      </c>
      <c r="I880">
        <f>IF($AD880="","",INDEX('Per Line'!$H$2:$H$3001,$AD880)&amp;"")</f>
        <v/>
      </c>
      <c r="J880">
        <f>IF($AD880="","",INDEX('Per Line'!$F$2:$F$3001,$AD880)&amp;"")</f>
        <v/>
      </c>
      <c r="K880">
        <f>IF($AD880="","",INDEX('Per Line'!$K$2:$K$3001,$AD880)&amp;"")</f>
        <v/>
      </c>
      <c r="L880">
        <f>IF($AD880="","",INDEX('Per Line'!$L$2:$L$3001,$AD880)&amp;"")</f>
        <v/>
      </c>
      <c r="M880">
        <f>IF($AD880="","",INDEX('Per Line'!$M$2:$M$3001,$AD880)&amp;"")</f>
        <v/>
      </c>
      <c r="N880">
        <f>IF($AD880="","",INDEX('Per Line'!$AC$2:$AC$3001,$AD880)&amp;"")</f>
        <v/>
      </c>
      <c r="O880">
        <f>IF($AD880="","",INDEX('Per Line'!$P$2:$P$3001,$AD880))</f>
        <v/>
      </c>
      <c r="P880" s="7">
        <f>IF($AD880="","",IF(AND(ISNUMBER(Q880),Q880&gt;0,AB880&gt;Q880),O880*Q880/100+(AB880-Q880),O880*AB880/100))</f>
        <v/>
      </c>
      <c r="Q880">
        <f>IF($AD880="","",INDEX('Per Line'!$AG$2:$AG$3001,$AD880))</f>
        <v/>
      </c>
      <c r="R880">
        <f>IF($AD880="","",IF(AND(ISNUMBER(Q880),Q880&gt;0),AB880&gt;Q880,FALSE))</f>
        <v/>
      </c>
      <c r="S880" s="7">
        <f>IF($AD880="","",SUMIFS('Per Line'!$AB$2:$AB$3001,'Per Line'!$E$2:$E$3001,$B880,'Per Line'!$AQ$2:$AQ$3001,1))</f>
        <v/>
      </c>
      <c r="T880">
        <f>IF($AD880="","",Settings!$C$7)</f>
        <v/>
      </c>
      <c r="U880" s="7">
        <f>IF($AD880="","",SUMIFS('Per Line'!$AB$2:$AB$3001,'Per Line'!$E$2:$E$3001,$B880,'Per Line'!$AP$2:$AP$3001,0,'Per Line'!$AQ$2:$AQ$3001,0))</f>
        <v/>
      </c>
      <c r="V880" s="7">
        <f>IF($AD880="","",U880*T880)</f>
        <v/>
      </c>
      <c r="W880">
        <f>IF($AD880="","",Settings!$C$6)</f>
        <v/>
      </c>
      <c r="X880" s="7">
        <f>IF($AD880="","",SUMIFS('Per Line'!$AB$2:$AB$3001,'Per Line'!$E$2:$E$3001,$B880,'Per Line'!$AP$2:$AP$3001,1,'Per Line'!$AQ$2:$AQ$3001,0))</f>
        <v/>
      </c>
      <c r="Y880" s="7">
        <f>IF($AD880="","",X880*W880)</f>
        <v/>
      </c>
      <c r="Z880" s="7">
        <f>IF($AD880="","",Y880+V880)</f>
        <v/>
      </c>
      <c r="AA880" s="7">
        <f>IF($AD880="","",AB880-Z880)</f>
        <v/>
      </c>
      <c r="AB880" s="7">
        <f>IF($AD880="","",U880+X880+S880)</f>
        <v/>
      </c>
      <c r="AC880" s="7">
        <f>IF($AD880="","",AB880-Z880-P880)</f>
        <v/>
      </c>
      <c r="AD880" s="13">
        <f>IF(ROWS($AD$2:$AD880)&lt;=MAX('Per Line'!$AO$2:$AO$3001),MATCH(ROWS($AD$2:$AD880),'Per Line'!$AO$2:$AO$3001,0),"")</f>
        <v/>
      </c>
      <c r="AE880" s="14">
        <f>IF($AD880="","",P880-O880*AB880/100)</f>
        <v/>
      </c>
    </row>
    <row r="881">
      <c r="A881" s="12" t="n"/>
      <c r="B881">
        <f>IF($AD881="","",INDEX('Per Line'!$E$2:$E$3001,$AD881)&amp;"")</f>
        <v/>
      </c>
      <c r="C881">
        <f>IF($AD881="","",INDEX('Per Line'!$A$2:$A$3001,$AD881)&amp;"")</f>
        <v/>
      </c>
      <c r="D881">
        <f>IF($AD881="","",INDEX('Per Line'!$C$2:$C$3001,$AD881)&amp;"")</f>
        <v/>
      </c>
      <c r="E881">
        <f>IF($AD881="","",INDEX('Per Line'!$B$2:$B$3001,$AD881))</f>
        <v/>
      </c>
      <c r="F881">
        <f>IF($AD881="","",INDEX('Per Line'!$D$2:$D$3001,$AD881)&amp;"")</f>
        <v/>
      </c>
      <c r="G881" s="11">
        <f>IF($AD881="","",INDEX('Per Line'!$G$2:$G$3001,$AD881))</f>
        <v/>
      </c>
      <c r="H881">
        <f>IF($AD881="","",INDEX('Per Line'!$J$2:$J$3001,$AD881)&amp;"")</f>
        <v/>
      </c>
      <c r="I881">
        <f>IF($AD881="","",INDEX('Per Line'!$H$2:$H$3001,$AD881)&amp;"")</f>
        <v/>
      </c>
      <c r="J881">
        <f>IF($AD881="","",INDEX('Per Line'!$F$2:$F$3001,$AD881)&amp;"")</f>
        <v/>
      </c>
      <c r="K881">
        <f>IF($AD881="","",INDEX('Per Line'!$K$2:$K$3001,$AD881)&amp;"")</f>
        <v/>
      </c>
      <c r="L881">
        <f>IF($AD881="","",INDEX('Per Line'!$L$2:$L$3001,$AD881)&amp;"")</f>
        <v/>
      </c>
      <c r="M881">
        <f>IF($AD881="","",INDEX('Per Line'!$M$2:$M$3001,$AD881)&amp;"")</f>
        <v/>
      </c>
      <c r="N881">
        <f>IF($AD881="","",INDEX('Per Line'!$AC$2:$AC$3001,$AD881)&amp;"")</f>
        <v/>
      </c>
      <c r="O881">
        <f>IF($AD881="","",INDEX('Per Line'!$P$2:$P$3001,$AD881))</f>
        <v/>
      </c>
      <c r="P881" s="7">
        <f>IF($AD881="","",IF(AND(ISNUMBER(Q881),Q881&gt;0,AB881&gt;Q881),O881*Q881/100+(AB881-Q881),O881*AB881/100))</f>
        <v/>
      </c>
      <c r="Q881">
        <f>IF($AD881="","",INDEX('Per Line'!$AG$2:$AG$3001,$AD881))</f>
        <v/>
      </c>
      <c r="R881">
        <f>IF($AD881="","",IF(AND(ISNUMBER(Q881),Q881&gt;0),AB881&gt;Q881,FALSE))</f>
        <v/>
      </c>
      <c r="S881" s="7">
        <f>IF($AD881="","",SUMIFS('Per Line'!$AB$2:$AB$3001,'Per Line'!$E$2:$E$3001,$B881,'Per Line'!$AQ$2:$AQ$3001,1))</f>
        <v/>
      </c>
      <c r="T881">
        <f>IF($AD881="","",Settings!$C$7)</f>
        <v/>
      </c>
      <c r="U881" s="7">
        <f>IF($AD881="","",SUMIFS('Per Line'!$AB$2:$AB$3001,'Per Line'!$E$2:$E$3001,$B881,'Per Line'!$AP$2:$AP$3001,0,'Per Line'!$AQ$2:$AQ$3001,0))</f>
        <v/>
      </c>
      <c r="V881" s="7">
        <f>IF($AD881="","",U881*T881)</f>
        <v/>
      </c>
      <c r="W881">
        <f>IF($AD881="","",Settings!$C$6)</f>
        <v/>
      </c>
      <c r="X881" s="7">
        <f>IF($AD881="","",SUMIFS('Per Line'!$AB$2:$AB$3001,'Per Line'!$E$2:$E$3001,$B881,'Per Line'!$AP$2:$AP$3001,1,'Per Line'!$AQ$2:$AQ$3001,0))</f>
        <v/>
      </c>
      <c r="Y881" s="7">
        <f>IF($AD881="","",X881*W881)</f>
        <v/>
      </c>
      <c r="Z881" s="7">
        <f>IF($AD881="","",Y881+V881)</f>
        <v/>
      </c>
      <c r="AA881" s="7">
        <f>IF($AD881="","",AB881-Z881)</f>
        <v/>
      </c>
      <c r="AB881" s="7">
        <f>IF($AD881="","",U881+X881+S881)</f>
        <v/>
      </c>
      <c r="AC881" s="7">
        <f>IF($AD881="","",AB881-Z881-P881)</f>
        <v/>
      </c>
      <c r="AD881" s="13">
        <f>IF(ROWS($AD$2:$AD881)&lt;=MAX('Per Line'!$AO$2:$AO$3001),MATCH(ROWS($AD$2:$AD881),'Per Line'!$AO$2:$AO$3001,0),"")</f>
        <v/>
      </c>
      <c r="AE881" s="14">
        <f>IF($AD881="","",P881-O881*AB881/100)</f>
        <v/>
      </c>
    </row>
    <row r="882">
      <c r="A882" s="12" t="n"/>
      <c r="B882">
        <f>IF($AD882="","",INDEX('Per Line'!$E$2:$E$3001,$AD882)&amp;"")</f>
        <v/>
      </c>
      <c r="C882">
        <f>IF($AD882="","",INDEX('Per Line'!$A$2:$A$3001,$AD882)&amp;"")</f>
        <v/>
      </c>
      <c r="D882">
        <f>IF($AD882="","",INDEX('Per Line'!$C$2:$C$3001,$AD882)&amp;"")</f>
        <v/>
      </c>
      <c r="E882">
        <f>IF($AD882="","",INDEX('Per Line'!$B$2:$B$3001,$AD882))</f>
        <v/>
      </c>
      <c r="F882">
        <f>IF($AD882="","",INDEX('Per Line'!$D$2:$D$3001,$AD882)&amp;"")</f>
        <v/>
      </c>
      <c r="G882" s="11">
        <f>IF($AD882="","",INDEX('Per Line'!$G$2:$G$3001,$AD882))</f>
        <v/>
      </c>
      <c r="H882">
        <f>IF($AD882="","",INDEX('Per Line'!$J$2:$J$3001,$AD882)&amp;"")</f>
        <v/>
      </c>
      <c r="I882">
        <f>IF($AD882="","",INDEX('Per Line'!$H$2:$H$3001,$AD882)&amp;"")</f>
        <v/>
      </c>
      <c r="J882">
        <f>IF($AD882="","",INDEX('Per Line'!$F$2:$F$3001,$AD882)&amp;"")</f>
        <v/>
      </c>
      <c r="K882">
        <f>IF($AD882="","",INDEX('Per Line'!$K$2:$K$3001,$AD882)&amp;"")</f>
        <v/>
      </c>
      <c r="L882">
        <f>IF($AD882="","",INDEX('Per Line'!$L$2:$L$3001,$AD882)&amp;"")</f>
        <v/>
      </c>
      <c r="M882">
        <f>IF($AD882="","",INDEX('Per Line'!$M$2:$M$3001,$AD882)&amp;"")</f>
        <v/>
      </c>
      <c r="N882">
        <f>IF($AD882="","",INDEX('Per Line'!$AC$2:$AC$3001,$AD882)&amp;"")</f>
        <v/>
      </c>
      <c r="O882">
        <f>IF($AD882="","",INDEX('Per Line'!$P$2:$P$3001,$AD882))</f>
        <v/>
      </c>
      <c r="P882" s="7">
        <f>IF($AD882="","",IF(AND(ISNUMBER(Q882),Q882&gt;0,AB882&gt;Q882),O882*Q882/100+(AB882-Q882),O882*AB882/100))</f>
        <v/>
      </c>
      <c r="Q882">
        <f>IF($AD882="","",INDEX('Per Line'!$AG$2:$AG$3001,$AD882))</f>
        <v/>
      </c>
      <c r="R882">
        <f>IF($AD882="","",IF(AND(ISNUMBER(Q882),Q882&gt;0),AB882&gt;Q882,FALSE))</f>
        <v/>
      </c>
      <c r="S882" s="7">
        <f>IF($AD882="","",SUMIFS('Per Line'!$AB$2:$AB$3001,'Per Line'!$E$2:$E$3001,$B882,'Per Line'!$AQ$2:$AQ$3001,1))</f>
        <v/>
      </c>
      <c r="T882">
        <f>IF($AD882="","",Settings!$C$7)</f>
        <v/>
      </c>
      <c r="U882" s="7">
        <f>IF($AD882="","",SUMIFS('Per Line'!$AB$2:$AB$3001,'Per Line'!$E$2:$E$3001,$B882,'Per Line'!$AP$2:$AP$3001,0,'Per Line'!$AQ$2:$AQ$3001,0))</f>
        <v/>
      </c>
      <c r="V882" s="7">
        <f>IF($AD882="","",U882*T882)</f>
        <v/>
      </c>
      <c r="W882">
        <f>IF($AD882="","",Settings!$C$6)</f>
        <v/>
      </c>
      <c r="X882" s="7">
        <f>IF($AD882="","",SUMIFS('Per Line'!$AB$2:$AB$3001,'Per Line'!$E$2:$E$3001,$B882,'Per Line'!$AP$2:$AP$3001,1,'Per Line'!$AQ$2:$AQ$3001,0))</f>
        <v/>
      </c>
      <c r="Y882" s="7">
        <f>IF($AD882="","",X882*W882)</f>
        <v/>
      </c>
      <c r="Z882" s="7">
        <f>IF($AD882="","",Y882+V882)</f>
        <v/>
      </c>
      <c r="AA882" s="7">
        <f>IF($AD882="","",AB882-Z882)</f>
        <v/>
      </c>
      <c r="AB882" s="7">
        <f>IF($AD882="","",U882+X882+S882)</f>
        <v/>
      </c>
      <c r="AC882" s="7">
        <f>IF($AD882="","",AB882-Z882-P882)</f>
        <v/>
      </c>
      <c r="AD882" s="13">
        <f>IF(ROWS($AD$2:$AD882)&lt;=MAX('Per Line'!$AO$2:$AO$3001),MATCH(ROWS($AD$2:$AD882),'Per Line'!$AO$2:$AO$3001,0),"")</f>
        <v/>
      </c>
      <c r="AE882" s="14">
        <f>IF($AD882="","",P882-O882*AB882/100)</f>
        <v/>
      </c>
    </row>
    <row r="883">
      <c r="A883" s="12" t="n"/>
      <c r="B883">
        <f>IF($AD883="","",INDEX('Per Line'!$E$2:$E$3001,$AD883)&amp;"")</f>
        <v/>
      </c>
      <c r="C883">
        <f>IF($AD883="","",INDEX('Per Line'!$A$2:$A$3001,$AD883)&amp;"")</f>
        <v/>
      </c>
      <c r="D883">
        <f>IF($AD883="","",INDEX('Per Line'!$C$2:$C$3001,$AD883)&amp;"")</f>
        <v/>
      </c>
      <c r="E883">
        <f>IF($AD883="","",INDEX('Per Line'!$B$2:$B$3001,$AD883))</f>
        <v/>
      </c>
      <c r="F883">
        <f>IF($AD883="","",INDEX('Per Line'!$D$2:$D$3001,$AD883)&amp;"")</f>
        <v/>
      </c>
      <c r="G883" s="11">
        <f>IF($AD883="","",INDEX('Per Line'!$G$2:$G$3001,$AD883))</f>
        <v/>
      </c>
      <c r="H883">
        <f>IF($AD883="","",INDEX('Per Line'!$J$2:$J$3001,$AD883)&amp;"")</f>
        <v/>
      </c>
      <c r="I883">
        <f>IF($AD883="","",INDEX('Per Line'!$H$2:$H$3001,$AD883)&amp;"")</f>
        <v/>
      </c>
      <c r="J883">
        <f>IF($AD883="","",INDEX('Per Line'!$F$2:$F$3001,$AD883)&amp;"")</f>
        <v/>
      </c>
      <c r="K883">
        <f>IF($AD883="","",INDEX('Per Line'!$K$2:$K$3001,$AD883)&amp;"")</f>
        <v/>
      </c>
      <c r="L883">
        <f>IF($AD883="","",INDEX('Per Line'!$L$2:$L$3001,$AD883)&amp;"")</f>
        <v/>
      </c>
      <c r="M883">
        <f>IF($AD883="","",INDEX('Per Line'!$M$2:$M$3001,$AD883)&amp;"")</f>
        <v/>
      </c>
      <c r="N883">
        <f>IF($AD883="","",INDEX('Per Line'!$AC$2:$AC$3001,$AD883)&amp;"")</f>
        <v/>
      </c>
      <c r="O883">
        <f>IF($AD883="","",INDEX('Per Line'!$P$2:$P$3001,$AD883))</f>
        <v/>
      </c>
      <c r="P883" s="7">
        <f>IF($AD883="","",IF(AND(ISNUMBER(Q883),Q883&gt;0,AB883&gt;Q883),O883*Q883/100+(AB883-Q883),O883*AB883/100))</f>
        <v/>
      </c>
      <c r="Q883">
        <f>IF($AD883="","",INDEX('Per Line'!$AG$2:$AG$3001,$AD883))</f>
        <v/>
      </c>
      <c r="R883">
        <f>IF($AD883="","",IF(AND(ISNUMBER(Q883),Q883&gt;0),AB883&gt;Q883,FALSE))</f>
        <v/>
      </c>
      <c r="S883" s="7">
        <f>IF($AD883="","",SUMIFS('Per Line'!$AB$2:$AB$3001,'Per Line'!$E$2:$E$3001,$B883,'Per Line'!$AQ$2:$AQ$3001,1))</f>
        <v/>
      </c>
      <c r="T883">
        <f>IF($AD883="","",Settings!$C$7)</f>
        <v/>
      </c>
      <c r="U883" s="7">
        <f>IF($AD883="","",SUMIFS('Per Line'!$AB$2:$AB$3001,'Per Line'!$E$2:$E$3001,$B883,'Per Line'!$AP$2:$AP$3001,0,'Per Line'!$AQ$2:$AQ$3001,0))</f>
        <v/>
      </c>
      <c r="V883" s="7">
        <f>IF($AD883="","",U883*T883)</f>
        <v/>
      </c>
      <c r="W883">
        <f>IF($AD883="","",Settings!$C$6)</f>
        <v/>
      </c>
      <c r="X883" s="7">
        <f>IF($AD883="","",SUMIFS('Per Line'!$AB$2:$AB$3001,'Per Line'!$E$2:$E$3001,$B883,'Per Line'!$AP$2:$AP$3001,1,'Per Line'!$AQ$2:$AQ$3001,0))</f>
        <v/>
      </c>
      <c r="Y883" s="7">
        <f>IF($AD883="","",X883*W883)</f>
        <v/>
      </c>
      <c r="Z883" s="7">
        <f>IF($AD883="","",Y883+V883)</f>
        <v/>
      </c>
      <c r="AA883" s="7">
        <f>IF($AD883="","",AB883-Z883)</f>
        <v/>
      </c>
      <c r="AB883" s="7">
        <f>IF($AD883="","",U883+X883+S883)</f>
        <v/>
      </c>
      <c r="AC883" s="7">
        <f>IF($AD883="","",AB883-Z883-P883)</f>
        <v/>
      </c>
      <c r="AD883" s="13">
        <f>IF(ROWS($AD$2:$AD883)&lt;=MAX('Per Line'!$AO$2:$AO$3001),MATCH(ROWS($AD$2:$AD883),'Per Line'!$AO$2:$AO$3001,0),"")</f>
        <v/>
      </c>
      <c r="AE883" s="14">
        <f>IF($AD883="","",P883-O883*AB883/100)</f>
        <v/>
      </c>
    </row>
    <row r="884">
      <c r="A884" s="12" t="n"/>
      <c r="B884">
        <f>IF($AD884="","",INDEX('Per Line'!$E$2:$E$3001,$AD884)&amp;"")</f>
        <v/>
      </c>
      <c r="C884">
        <f>IF($AD884="","",INDEX('Per Line'!$A$2:$A$3001,$AD884)&amp;"")</f>
        <v/>
      </c>
      <c r="D884">
        <f>IF($AD884="","",INDEX('Per Line'!$C$2:$C$3001,$AD884)&amp;"")</f>
        <v/>
      </c>
      <c r="E884">
        <f>IF($AD884="","",INDEX('Per Line'!$B$2:$B$3001,$AD884))</f>
        <v/>
      </c>
      <c r="F884">
        <f>IF($AD884="","",INDEX('Per Line'!$D$2:$D$3001,$AD884)&amp;"")</f>
        <v/>
      </c>
      <c r="G884" s="11">
        <f>IF($AD884="","",INDEX('Per Line'!$G$2:$G$3001,$AD884))</f>
        <v/>
      </c>
      <c r="H884">
        <f>IF($AD884="","",INDEX('Per Line'!$J$2:$J$3001,$AD884)&amp;"")</f>
        <v/>
      </c>
      <c r="I884">
        <f>IF($AD884="","",INDEX('Per Line'!$H$2:$H$3001,$AD884)&amp;"")</f>
        <v/>
      </c>
      <c r="J884">
        <f>IF($AD884="","",INDEX('Per Line'!$F$2:$F$3001,$AD884)&amp;"")</f>
        <v/>
      </c>
      <c r="K884">
        <f>IF($AD884="","",INDEX('Per Line'!$K$2:$K$3001,$AD884)&amp;"")</f>
        <v/>
      </c>
      <c r="L884">
        <f>IF($AD884="","",INDEX('Per Line'!$L$2:$L$3001,$AD884)&amp;"")</f>
        <v/>
      </c>
      <c r="M884">
        <f>IF($AD884="","",INDEX('Per Line'!$M$2:$M$3001,$AD884)&amp;"")</f>
        <v/>
      </c>
      <c r="N884">
        <f>IF($AD884="","",INDEX('Per Line'!$AC$2:$AC$3001,$AD884)&amp;"")</f>
        <v/>
      </c>
      <c r="O884">
        <f>IF($AD884="","",INDEX('Per Line'!$P$2:$P$3001,$AD884))</f>
        <v/>
      </c>
      <c r="P884" s="7">
        <f>IF($AD884="","",IF(AND(ISNUMBER(Q884),Q884&gt;0,AB884&gt;Q884),O884*Q884/100+(AB884-Q884),O884*AB884/100))</f>
        <v/>
      </c>
      <c r="Q884">
        <f>IF($AD884="","",INDEX('Per Line'!$AG$2:$AG$3001,$AD884))</f>
        <v/>
      </c>
      <c r="R884">
        <f>IF($AD884="","",IF(AND(ISNUMBER(Q884),Q884&gt;0),AB884&gt;Q884,FALSE))</f>
        <v/>
      </c>
      <c r="S884" s="7">
        <f>IF($AD884="","",SUMIFS('Per Line'!$AB$2:$AB$3001,'Per Line'!$E$2:$E$3001,$B884,'Per Line'!$AQ$2:$AQ$3001,1))</f>
        <v/>
      </c>
      <c r="T884">
        <f>IF($AD884="","",Settings!$C$7)</f>
        <v/>
      </c>
      <c r="U884" s="7">
        <f>IF($AD884="","",SUMIFS('Per Line'!$AB$2:$AB$3001,'Per Line'!$E$2:$E$3001,$B884,'Per Line'!$AP$2:$AP$3001,0,'Per Line'!$AQ$2:$AQ$3001,0))</f>
        <v/>
      </c>
      <c r="V884" s="7">
        <f>IF($AD884="","",U884*T884)</f>
        <v/>
      </c>
      <c r="W884">
        <f>IF($AD884="","",Settings!$C$6)</f>
        <v/>
      </c>
      <c r="X884" s="7">
        <f>IF($AD884="","",SUMIFS('Per Line'!$AB$2:$AB$3001,'Per Line'!$E$2:$E$3001,$B884,'Per Line'!$AP$2:$AP$3001,1,'Per Line'!$AQ$2:$AQ$3001,0))</f>
        <v/>
      </c>
      <c r="Y884" s="7">
        <f>IF($AD884="","",X884*W884)</f>
        <v/>
      </c>
      <c r="Z884" s="7">
        <f>IF($AD884="","",Y884+V884)</f>
        <v/>
      </c>
      <c r="AA884" s="7">
        <f>IF($AD884="","",AB884-Z884)</f>
        <v/>
      </c>
      <c r="AB884" s="7">
        <f>IF($AD884="","",U884+X884+S884)</f>
        <v/>
      </c>
      <c r="AC884" s="7">
        <f>IF($AD884="","",AB884-Z884-P884)</f>
        <v/>
      </c>
      <c r="AD884" s="13">
        <f>IF(ROWS($AD$2:$AD884)&lt;=MAX('Per Line'!$AO$2:$AO$3001),MATCH(ROWS($AD$2:$AD884),'Per Line'!$AO$2:$AO$3001,0),"")</f>
        <v/>
      </c>
      <c r="AE884" s="14">
        <f>IF($AD884="","",P884-O884*AB884/100)</f>
        <v/>
      </c>
    </row>
    <row r="885">
      <c r="A885" s="12" t="n"/>
      <c r="B885">
        <f>IF($AD885="","",INDEX('Per Line'!$E$2:$E$3001,$AD885)&amp;"")</f>
        <v/>
      </c>
      <c r="C885">
        <f>IF($AD885="","",INDEX('Per Line'!$A$2:$A$3001,$AD885)&amp;"")</f>
        <v/>
      </c>
      <c r="D885">
        <f>IF($AD885="","",INDEX('Per Line'!$C$2:$C$3001,$AD885)&amp;"")</f>
        <v/>
      </c>
      <c r="E885">
        <f>IF($AD885="","",INDEX('Per Line'!$B$2:$B$3001,$AD885))</f>
        <v/>
      </c>
      <c r="F885">
        <f>IF($AD885="","",INDEX('Per Line'!$D$2:$D$3001,$AD885)&amp;"")</f>
        <v/>
      </c>
      <c r="G885" s="11">
        <f>IF($AD885="","",INDEX('Per Line'!$G$2:$G$3001,$AD885))</f>
        <v/>
      </c>
      <c r="H885">
        <f>IF($AD885="","",INDEX('Per Line'!$J$2:$J$3001,$AD885)&amp;"")</f>
        <v/>
      </c>
      <c r="I885">
        <f>IF($AD885="","",INDEX('Per Line'!$H$2:$H$3001,$AD885)&amp;"")</f>
        <v/>
      </c>
      <c r="J885">
        <f>IF($AD885="","",INDEX('Per Line'!$F$2:$F$3001,$AD885)&amp;"")</f>
        <v/>
      </c>
      <c r="K885">
        <f>IF($AD885="","",INDEX('Per Line'!$K$2:$K$3001,$AD885)&amp;"")</f>
        <v/>
      </c>
      <c r="L885">
        <f>IF($AD885="","",INDEX('Per Line'!$L$2:$L$3001,$AD885)&amp;"")</f>
        <v/>
      </c>
      <c r="M885">
        <f>IF($AD885="","",INDEX('Per Line'!$M$2:$M$3001,$AD885)&amp;"")</f>
        <v/>
      </c>
      <c r="N885">
        <f>IF($AD885="","",INDEX('Per Line'!$AC$2:$AC$3001,$AD885)&amp;"")</f>
        <v/>
      </c>
      <c r="O885">
        <f>IF($AD885="","",INDEX('Per Line'!$P$2:$P$3001,$AD885))</f>
        <v/>
      </c>
      <c r="P885" s="7">
        <f>IF($AD885="","",IF(AND(ISNUMBER(Q885),Q885&gt;0,AB885&gt;Q885),O885*Q885/100+(AB885-Q885),O885*AB885/100))</f>
        <v/>
      </c>
      <c r="Q885">
        <f>IF($AD885="","",INDEX('Per Line'!$AG$2:$AG$3001,$AD885))</f>
        <v/>
      </c>
      <c r="R885">
        <f>IF($AD885="","",IF(AND(ISNUMBER(Q885),Q885&gt;0),AB885&gt;Q885,FALSE))</f>
        <v/>
      </c>
      <c r="S885" s="7">
        <f>IF($AD885="","",SUMIFS('Per Line'!$AB$2:$AB$3001,'Per Line'!$E$2:$E$3001,$B885,'Per Line'!$AQ$2:$AQ$3001,1))</f>
        <v/>
      </c>
      <c r="T885">
        <f>IF($AD885="","",Settings!$C$7)</f>
        <v/>
      </c>
      <c r="U885" s="7">
        <f>IF($AD885="","",SUMIFS('Per Line'!$AB$2:$AB$3001,'Per Line'!$E$2:$E$3001,$B885,'Per Line'!$AP$2:$AP$3001,0,'Per Line'!$AQ$2:$AQ$3001,0))</f>
        <v/>
      </c>
      <c r="V885" s="7">
        <f>IF($AD885="","",U885*T885)</f>
        <v/>
      </c>
      <c r="W885">
        <f>IF($AD885="","",Settings!$C$6)</f>
        <v/>
      </c>
      <c r="X885" s="7">
        <f>IF($AD885="","",SUMIFS('Per Line'!$AB$2:$AB$3001,'Per Line'!$E$2:$E$3001,$B885,'Per Line'!$AP$2:$AP$3001,1,'Per Line'!$AQ$2:$AQ$3001,0))</f>
        <v/>
      </c>
      <c r="Y885" s="7">
        <f>IF($AD885="","",X885*W885)</f>
        <v/>
      </c>
      <c r="Z885" s="7">
        <f>IF($AD885="","",Y885+V885)</f>
        <v/>
      </c>
      <c r="AA885" s="7">
        <f>IF($AD885="","",AB885-Z885)</f>
        <v/>
      </c>
      <c r="AB885" s="7">
        <f>IF($AD885="","",U885+X885+S885)</f>
        <v/>
      </c>
      <c r="AC885" s="7">
        <f>IF($AD885="","",AB885-Z885-P885)</f>
        <v/>
      </c>
      <c r="AD885" s="13">
        <f>IF(ROWS($AD$2:$AD885)&lt;=MAX('Per Line'!$AO$2:$AO$3001),MATCH(ROWS($AD$2:$AD885),'Per Line'!$AO$2:$AO$3001,0),"")</f>
        <v/>
      </c>
      <c r="AE885" s="14">
        <f>IF($AD885="","",P885-O885*AB885/100)</f>
        <v/>
      </c>
    </row>
    <row r="886">
      <c r="A886" s="12" t="n"/>
      <c r="B886">
        <f>IF($AD886="","",INDEX('Per Line'!$E$2:$E$3001,$AD886)&amp;"")</f>
        <v/>
      </c>
      <c r="C886">
        <f>IF($AD886="","",INDEX('Per Line'!$A$2:$A$3001,$AD886)&amp;"")</f>
        <v/>
      </c>
      <c r="D886">
        <f>IF($AD886="","",INDEX('Per Line'!$C$2:$C$3001,$AD886)&amp;"")</f>
        <v/>
      </c>
      <c r="E886">
        <f>IF($AD886="","",INDEX('Per Line'!$B$2:$B$3001,$AD886))</f>
        <v/>
      </c>
      <c r="F886">
        <f>IF($AD886="","",INDEX('Per Line'!$D$2:$D$3001,$AD886)&amp;"")</f>
        <v/>
      </c>
      <c r="G886" s="11">
        <f>IF($AD886="","",INDEX('Per Line'!$G$2:$G$3001,$AD886))</f>
        <v/>
      </c>
      <c r="H886">
        <f>IF($AD886="","",INDEX('Per Line'!$J$2:$J$3001,$AD886)&amp;"")</f>
        <v/>
      </c>
      <c r="I886">
        <f>IF($AD886="","",INDEX('Per Line'!$H$2:$H$3001,$AD886)&amp;"")</f>
        <v/>
      </c>
      <c r="J886">
        <f>IF($AD886="","",INDEX('Per Line'!$F$2:$F$3001,$AD886)&amp;"")</f>
        <v/>
      </c>
      <c r="K886">
        <f>IF($AD886="","",INDEX('Per Line'!$K$2:$K$3001,$AD886)&amp;"")</f>
        <v/>
      </c>
      <c r="L886">
        <f>IF($AD886="","",INDEX('Per Line'!$L$2:$L$3001,$AD886)&amp;"")</f>
        <v/>
      </c>
      <c r="M886">
        <f>IF($AD886="","",INDEX('Per Line'!$M$2:$M$3001,$AD886)&amp;"")</f>
        <v/>
      </c>
      <c r="N886">
        <f>IF($AD886="","",INDEX('Per Line'!$AC$2:$AC$3001,$AD886)&amp;"")</f>
        <v/>
      </c>
      <c r="O886">
        <f>IF($AD886="","",INDEX('Per Line'!$P$2:$P$3001,$AD886))</f>
        <v/>
      </c>
      <c r="P886" s="7">
        <f>IF($AD886="","",IF(AND(ISNUMBER(Q886),Q886&gt;0,AB886&gt;Q886),O886*Q886/100+(AB886-Q886),O886*AB886/100))</f>
        <v/>
      </c>
      <c r="Q886">
        <f>IF($AD886="","",INDEX('Per Line'!$AG$2:$AG$3001,$AD886))</f>
        <v/>
      </c>
      <c r="R886">
        <f>IF($AD886="","",IF(AND(ISNUMBER(Q886),Q886&gt;0),AB886&gt;Q886,FALSE))</f>
        <v/>
      </c>
      <c r="S886" s="7">
        <f>IF($AD886="","",SUMIFS('Per Line'!$AB$2:$AB$3001,'Per Line'!$E$2:$E$3001,$B886,'Per Line'!$AQ$2:$AQ$3001,1))</f>
        <v/>
      </c>
      <c r="T886">
        <f>IF($AD886="","",Settings!$C$7)</f>
        <v/>
      </c>
      <c r="U886" s="7">
        <f>IF($AD886="","",SUMIFS('Per Line'!$AB$2:$AB$3001,'Per Line'!$E$2:$E$3001,$B886,'Per Line'!$AP$2:$AP$3001,0,'Per Line'!$AQ$2:$AQ$3001,0))</f>
        <v/>
      </c>
      <c r="V886" s="7">
        <f>IF($AD886="","",U886*T886)</f>
        <v/>
      </c>
      <c r="W886">
        <f>IF($AD886="","",Settings!$C$6)</f>
        <v/>
      </c>
      <c r="X886" s="7">
        <f>IF($AD886="","",SUMIFS('Per Line'!$AB$2:$AB$3001,'Per Line'!$E$2:$E$3001,$B886,'Per Line'!$AP$2:$AP$3001,1,'Per Line'!$AQ$2:$AQ$3001,0))</f>
        <v/>
      </c>
      <c r="Y886" s="7">
        <f>IF($AD886="","",X886*W886)</f>
        <v/>
      </c>
      <c r="Z886" s="7">
        <f>IF($AD886="","",Y886+V886)</f>
        <v/>
      </c>
      <c r="AA886" s="7">
        <f>IF($AD886="","",AB886-Z886)</f>
        <v/>
      </c>
      <c r="AB886" s="7">
        <f>IF($AD886="","",U886+X886+S886)</f>
        <v/>
      </c>
      <c r="AC886" s="7">
        <f>IF($AD886="","",AB886-Z886-P886)</f>
        <v/>
      </c>
      <c r="AD886" s="13">
        <f>IF(ROWS($AD$2:$AD886)&lt;=MAX('Per Line'!$AO$2:$AO$3001),MATCH(ROWS($AD$2:$AD886),'Per Line'!$AO$2:$AO$3001,0),"")</f>
        <v/>
      </c>
      <c r="AE886" s="14">
        <f>IF($AD886="","",P886-O886*AB886/100)</f>
        <v/>
      </c>
    </row>
    <row r="887">
      <c r="A887" s="12" t="n"/>
      <c r="B887">
        <f>IF($AD887="","",INDEX('Per Line'!$E$2:$E$3001,$AD887)&amp;"")</f>
        <v/>
      </c>
      <c r="C887">
        <f>IF($AD887="","",INDEX('Per Line'!$A$2:$A$3001,$AD887)&amp;"")</f>
        <v/>
      </c>
      <c r="D887">
        <f>IF($AD887="","",INDEX('Per Line'!$C$2:$C$3001,$AD887)&amp;"")</f>
        <v/>
      </c>
      <c r="E887">
        <f>IF($AD887="","",INDEX('Per Line'!$B$2:$B$3001,$AD887))</f>
        <v/>
      </c>
      <c r="F887">
        <f>IF($AD887="","",INDEX('Per Line'!$D$2:$D$3001,$AD887)&amp;"")</f>
        <v/>
      </c>
      <c r="G887" s="11">
        <f>IF($AD887="","",INDEX('Per Line'!$G$2:$G$3001,$AD887))</f>
        <v/>
      </c>
      <c r="H887">
        <f>IF($AD887="","",INDEX('Per Line'!$J$2:$J$3001,$AD887)&amp;"")</f>
        <v/>
      </c>
      <c r="I887">
        <f>IF($AD887="","",INDEX('Per Line'!$H$2:$H$3001,$AD887)&amp;"")</f>
        <v/>
      </c>
      <c r="J887">
        <f>IF($AD887="","",INDEX('Per Line'!$F$2:$F$3001,$AD887)&amp;"")</f>
        <v/>
      </c>
      <c r="K887">
        <f>IF($AD887="","",INDEX('Per Line'!$K$2:$K$3001,$AD887)&amp;"")</f>
        <v/>
      </c>
      <c r="L887">
        <f>IF($AD887="","",INDEX('Per Line'!$L$2:$L$3001,$AD887)&amp;"")</f>
        <v/>
      </c>
      <c r="M887">
        <f>IF($AD887="","",INDEX('Per Line'!$M$2:$M$3001,$AD887)&amp;"")</f>
        <v/>
      </c>
      <c r="N887">
        <f>IF($AD887="","",INDEX('Per Line'!$AC$2:$AC$3001,$AD887)&amp;"")</f>
        <v/>
      </c>
      <c r="O887">
        <f>IF($AD887="","",INDEX('Per Line'!$P$2:$P$3001,$AD887))</f>
        <v/>
      </c>
      <c r="P887" s="7">
        <f>IF($AD887="","",IF(AND(ISNUMBER(Q887),Q887&gt;0,AB887&gt;Q887),O887*Q887/100+(AB887-Q887),O887*AB887/100))</f>
        <v/>
      </c>
      <c r="Q887">
        <f>IF($AD887="","",INDEX('Per Line'!$AG$2:$AG$3001,$AD887))</f>
        <v/>
      </c>
      <c r="R887">
        <f>IF($AD887="","",IF(AND(ISNUMBER(Q887),Q887&gt;0),AB887&gt;Q887,FALSE))</f>
        <v/>
      </c>
      <c r="S887" s="7">
        <f>IF($AD887="","",SUMIFS('Per Line'!$AB$2:$AB$3001,'Per Line'!$E$2:$E$3001,$B887,'Per Line'!$AQ$2:$AQ$3001,1))</f>
        <v/>
      </c>
      <c r="T887">
        <f>IF($AD887="","",Settings!$C$7)</f>
        <v/>
      </c>
      <c r="U887" s="7">
        <f>IF($AD887="","",SUMIFS('Per Line'!$AB$2:$AB$3001,'Per Line'!$E$2:$E$3001,$B887,'Per Line'!$AP$2:$AP$3001,0,'Per Line'!$AQ$2:$AQ$3001,0))</f>
        <v/>
      </c>
      <c r="V887" s="7">
        <f>IF($AD887="","",U887*T887)</f>
        <v/>
      </c>
      <c r="W887">
        <f>IF($AD887="","",Settings!$C$6)</f>
        <v/>
      </c>
      <c r="X887" s="7">
        <f>IF($AD887="","",SUMIFS('Per Line'!$AB$2:$AB$3001,'Per Line'!$E$2:$E$3001,$B887,'Per Line'!$AP$2:$AP$3001,1,'Per Line'!$AQ$2:$AQ$3001,0))</f>
        <v/>
      </c>
      <c r="Y887" s="7">
        <f>IF($AD887="","",X887*W887)</f>
        <v/>
      </c>
      <c r="Z887" s="7">
        <f>IF($AD887="","",Y887+V887)</f>
        <v/>
      </c>
      <c r="AA887" s="7">
        <f>IF($AD887="","",AB887-Z887)</f>
        <v/>
      </c>
      <c r="AB887" s="7">
        <f>IF($AD887="","",U887+X887+S887)</f>
        <v/>
      </c>
      <c r="AC887" s="7">
        <f>IF($AD887="","",AB887-Z887-P887)</f>
        <v/>
      </c>
      <c r="AD887" s="13">
        <f>IF(ROWS($AD$2:$AD887)&lt;=MAX('Per Line'!$AO$2:$AO$3001),MATCH(ROWS($AD$2:$AD887),'Per Line'!$AO$2:$AO$3001,0),"")</f>
        <v/>
      </c>
      <c r="AE887" s="14">
        <f>IF($AD887="","",P887-O887*AB887/100)</f>
        <v/>
      </c>
    </row>
    <row r="888">
      <c r="A888" s="12" t="n"/>
      <c r="B888">
        <f>IF($AD888="","",INDEX('Per Line'!$E$2:$E$3001,$AD888)&amp;"")</f>
        <v/>
      </c>
      <c r="C888">
        <f>IF($AD888="","",INDEX('Per Line'!$A$2:$A$3001,$AD888)&amp;"")</f>
        <v/>
      </c>
      <c r="D888">
        <f>IF($AD888="","",INDEX('Per Line'!$C$2:$C$3001,$AD888)&amp;"")</f>
        <v/>
      </c>
      <c r="E888">
        <f>IF($AD888="","",INDEX('Per Line'!$B$2:$B$3001,$AD888))</f>
        <v/>
      </c>
      <c r="F888">
        <f>IF($AD888="","",INDEX('Per Line'!$D$2:$D$3001,$AD888)&amp;"")</f>
        <v/>
      </c>
      <c r="G888" s="11">
        <f>IF($AD888="","",INDEX('Per Line'!$G$2:$G$3001,$AD888))</f>
        <v/>
      </c>
      <c r="H888">
        <f>IF($AD888="","",INDEX('Per Line'!$J$2:$J$3001,$AD888)&amp;"")</f>
        <v/>
      </c>
      <c r="I888">
        <f>IF($AD888="","",INDEX('Per Line'!$H$2:$H$3001,$AD888)&amp;"")</f>
        <v/>
      </c>
      <c r="J888">
        <f>IF($AD888="","",INDEX('Per Line'!$F$2:$F$3001,$AD888)&amp;"")</f>
        <v/>
      </c>
      <c r="K888">
        <f>IF($AD888="","",INDEX('Per Line'!$K$2:$K$3001,$AD888)&amp;"")</f>
        <v/>
      </c>
      <c r="L888">
        <f>IF($AD888="","",INDEX('Per Line'!$L$2:$L$3001,$AD888)&amp;"")</f>
        <v/>
      </c>
      <c r="M888">
        <f>IF($AD888="","",INDEX('Per Line'!$M$2:$M$3001,$AD888)&amp;"")</f>
        <v/>
      </c>
      <c r="N888">
        <f>IF($AD888="","",INDEX('Per Line'!$AC$2:$AC$3001,$AD888)&amp;"")</f>
        <v/>
      </c>
      <c r="O888">
        <f>IF($AD888="","",INDEX('Per Line'!$P$2:$P$3001,$AD888))</f>
        <v/>
      </c>
      <c r="P888" s="7">
        <f>IF($AD888="","",IF(AND(ISNUMBER(Q888),Q888&gt;0,AB888&gt;Q888),O888*Q888/100+(AB888-Q888),O888*AB888/100))</f>
        <v/>
      </c>
      <c r="Q888">
        <f>IF($AD888="","",INDEX('Per Line'!$AG$2:$AG$3001,$AD888))</f>
        <v/>
      </c>
      <c r="R888">
        <f>IF($AD888="","",IF(AND(ISNUMBER(Q888),Q888&gt;0),AB888&gt;Q888,FALSE))</f>
        <v/>
      </c>
      <c r="S888" s="7">
        <f>IF($AD888="","",SUMIFS('Per Line'!$AB$2:$AB$3001,'Per Line'!$E$2:$E$3001,$B888,'Per Line'!$AQ$2:$AQ$3001,1))</f>
        <v/>
      </c>
      <c r="T888">
        <f>IF($AD888="","",Settings!$C$7)</f>
        <v/>
      </c>
      <c r="U888" s="7">
        <f>IF($AD888="","",SUMIFS('Per Line'!$AB$2:$AB$3001,'Per Line'!$E$2:$E$3001,$B888,'Per Line'!$AP$2:$AP$3001,0,'Per Line'!$AQ$2:$AQ$3001,0))</f>
        <v/>
      </c>
      <c r="V888" s="7">
        <f>IF($AD888="","",U888*T888)</f>
        <v/>
      </c>
      <c r="W888">
        <f>IF($AD888="","",Settings!$C$6)</f>
        <v/>
      </c>
      <c r="X888" s="7">
        <f>IF($AD888="","",SUMIFS('Per Line'!$AB$2:$AB$3001,'Per Line'!$E$2:$E$3001,$B888,'Per Line'!$AP$2:$AP$3001,1,'Per Line'!$AQ$2:$AQ$3001,0))</f>
        <v/>
      </c>
      <c r="Y888" s="7">
        <f>IF($AD888="","",X888*W888)</f>
        <v/>
      </c>
      <c r="Z888" s="7">
        <f>IF($AD888="","",Y888+V888)</f>
        <v/>
      </c>
      <c r="AA888" s="7">
        <f>IF($AD888="","",AB888-Z888)</f>
        <v/>
      </c>
      <c r="AB888" s="7">
        <f>IF($AD888="","",U888+X888+S888)</f>
        <v/>
      </c>
      <c r="AC888" s="7">
        <f>IF($AD888="","",AB888-Z888-P888)</f>
        <v/>
      </c>
      <c r="AD888" s="13">
        <f>IF(ROWS($AD$2:$AD888)&lt;=MAX('Per Line'!$AO$2:$AO$3001),MATCH(ROWS($AD$2:$AD888),'Per Line'!$AO$2:$AO$3001,0),"")</f>
        <v/>
      </c>
      <c r="AE888" s="14">
        <f>IF($AD888="","",P888-O888*AB888/100)</f>
        <v/>
      </c>
    </row>
    <row r="889">
      <c r="A889" s="12" t="n"/>
      <c r="B889">
        <f>IF($AD889="","",INDEX('Per Line'!$E$2:$E$3001,$AD889)&amp;"")</f>
        <v/>
      </c>
      <c r="C889">
        <f>IF($AD889="","",INDEX('Per Line'!$A$2:$A$3001,$AD889)&amp;"")</f>
        <v/>
      </c>
      <c r="D889">
        <f>IF($AD889="","",INDEX('Per Line'!$C$2:$C$3001,$AD889)&amp;"")</f>
        <v/>
      </c>
      <c r="E889">
        <f>IF($AD889="","",INDEX('Per Line'!$B$2:$B$3001,$AD889))</f>
        <v/>
      </c>
      <c r="F889">
        <f>IF($AD889="","",INDEX('Per Line'!$D$2:$D$3001,$AD889)&amp;"")</f>
        <v/>
      </c>
      <c r="G889" s="11">
        <f>IF($AD889="","",INDEX('Per Line'!$G$2:$G$3001,$AD889))</f>
        <v/>
      </c>
      <c r="H889">
        <f>IF($AD889="","",INDEX('Per Line'!$J$2:$J$3001,$AD889)&amp;"")</f>
        <v/>
      </c>
      <c r="I889">
        <f>IF($AD889="","",INDEX('Per Line'!$H$2:$H$3001,$AD889)&amp;"")</f>
        <v/>
      </c>
      <c r="J889">
        <f>IF($AD889="","",INDEX('Per Line'!$F$2:$F$3001,$AD889)&amp;"")</f>
        <v/>
      </c>
      <c r="K889">
        <f>IF($AD889="","",INDEX('Per Line'!$K$2:$K$3001,$AD889)&amp;"")</f>
        <v/>
      </c>
      <c r="L889">
        <f>IF($AD889="","",INDEX('Per Line'!$L$2:$L$3001,$AD889)&amp;"")</f>
        <v/>
      </c>
      <c r="M889">
        <f>IF($AD889="","",INDEX('Per Line'!$M$2:$M$3001,$AD889)&amp;"")</f>
        <v/>
      </c>
      <c r="N889">
        <f>IF($AD889="","",INDEX('Per Line'!$AC$2:$AC$3001,$AD889)&amp;"")</f>
        <v/>
      </c>
      <c r="O889">
        <f>IF($AD889="","",INDEX('Per Line'!$P$2:$P$3001,$AD889))</f>
        <v/>
      </c>
      <c r="P889" s="7">
        <f>IF($AD889="","",IF(AND(ISNUMBER(Q889),Q889&gt;0,AB889&gt;Q889),O889*Q889/100+(AB889-Q889),O889*AB889/100))</f>
        <v/>
      </c>
      <c r="Q889">
        <f>IF($AD889="","",INDEX('Per Line'!$AG$2:$AG$3001,$AD889))</f>
        <v/>
      </c>
      <c r="R889">
        <f>IF($AD889="","",IF(AND(ISNUMBER(Q889),Q889&gt;0),AB889&gt;Q889,FALSE))</f>
        <v/>
      </c>
      <c r="S889" s="7">
        <f>IF($AD889="","",SUMIFS('Per Line'!$AB$2:$AB$3001,'Per Line'!$E$2:$E$3001,$B889,'Per Line'!$AQ$2:$AQ$3001,1))</f>
        <v/>
      </c>
      <c r="T889">
        <f>IF($AD889="","",Settings!$C$7)</f>
        <v/>
      </c>
      <c r="U889" s="7">
        <f>IF($AD889="","",SUMIFS('Per Line'!$AB$2:$AB$3001,'Per Line'!$E$2:$E$3001,$B889,'Per Line'!$AP$2:$AP$3001,0,'Per Line'!$AQ$2:$AQ$3001,0))</f>
        <v/>
      </c>
      <c r="V889" s="7">
        <f>IF($AD889="","",U889*T889)</f>
        <v/>
      </c>
      <c r="W889">
        <f>IF($AD889="","",Settings!$C$6)</f>
        <v/>
      </c>
      <c r="X889" s="7">
        <f>IF($AD889="","",SUMIFS('Per Line'!$AB$2:$AB$3001,'Per Line'!$E$2:$E$3001,$B889,'Per Line'!$AP$2:$AP$3001,1,'Per Line'!$AQ$2:$AQ$3001,0))</f>
        <v/>
      </c>
      <c r="Y889" s="7">
        <f>IF($AD889="","",X889*W889)</f>
        <v/>
      </c>
      <c r="Z889" s="7">
        <f>IF($AD889="","",Y889+V889)</f>
        <v/>
      </c>
      <c r="AA889" s="7">
        <f>IF($AD889="","",AB889-Z889)</f>
        <v/>
      </c>
      <c r="AB889" s="7">
        <f>IF($AD889="","",U889+X889+S889)</f>
        <v/>
      </c>
      <c r="AC889" s="7">
        <f>IF($AD889="","",AB889-Z889-P889)</f>
        <v/>
      </c>
      <c r="AD889" s="13">
        <f>IF(ROWS($AD$2:$AD889)&lt;=MAX('Per Line'!$AO$2:$AO$3001),MATCH(ROWS($AD$2:$AD889),'Per Line'!$AO$2:$AO$3001,0),"")</f>
        <v/>
      </c>
      <c r="AE889" s="14">
        <f>IF($AD889="","",P889-O889*AB889/100)</f>
        <v/>
      </c>
    </row>
    <row r="890">
      <c r="A890" s="12" t="n"/>
      <c r="B890">
        <f>IF($AD890="","",INDEX('Per Line'!$E$2:$E$3001,$AD890)&amp;"")</f>
        <v/>
      </c>
      <c r="C890">
        <f>IF($AD890="","",INDEX('Per Line'!$A$2:$A$3001,$AD890)&amp;"")</f>
        <v/>
      </c>
      <c r="D890">
        <f>IF($AD890="","",INDEX('Per Line'!$C$2:$C$3001,$AD890)&amp;"")</f>
        <v/>
      </c>
      <c r="E890">
        <f>IF($AD890="","",INDEX('Per Line'!$B$2:$B$3001,$AD890))</f>
        <v/>
      </c>
      <c r="F890">
        <f>IF($AD890="","",INDEX('Per Line'!$D$2:$D$3001,$AD890)&amp;"")</f>
        <v/>
      </c>
      <c r="G890" s="11">
        <f>IF($AD890="","",INDEX('Per Line'!$G$2:$G$3001,$AD890))</f>
        <v/>
      </c>
      <c r="H890">
        <f>IF($AD890="","",INDEX('Per Line'!$J$2:$J$3001,$AD890)&amp;"")</f>
        <v/>
      </c>
      <c r="I890">
        <f>IF($AD890="","",INDEX('Per Line'!$H$2:$H$3001,$AD890)&amp;"")</f>
        <v/>
      </c>
      <c r="J890">
        <f>IF($AD890="","",INDEX('Per Line'!$F$2:$F$3001,$AD890)&amp;"")</f>
        <v/>
      </c>
      <c r="K890">
        <f>IF($AD890="","",INDEX('Per Line'!$K$2:$K$3001,$AD890)&amp;"")</f>
        <v/>
      </c>
      <c r="L890">
        <f>IF($AD890="","",INDEX('Per Line'!$L$2:$L$3001,$AD890)&amp;"")</f>
        <v/>
      </c>
      <c r="M890">
        <f>IF($AD890="","",INDEX('Per Line'!$M$2:$M$3001,$AD890)&amp;"")</f>
        <v/>
      </c>
      <c r="N890">
        <f>IF($AD890="","",INDEX('Per Line'!$AC$2:$AC$3001,$AD890)&amp;"")</f>
        <v/>
      </c>
      <c r="O890">
        <f>IF($AD890="","",INDEX('Per Line'!$P$2:$P$3001,$AD890))</f>
        <v/>
      </c>
      <c r="P890" s="7">
        <f>IF($AD890="","",IF(AND(ISNUMBER(Q890),Q890&gt;0,AB890&gt;Q890),O890*Q890/100+(AB890-Q890),O890*AB890/100))</f>
        <v/>
      </c>
      <c r="Q890">
        <f>IF($AD890="","",INDEX('Per Line'!$AG$2:$AG$3001,$AD890))</f>
        <v/>
      </c>
      <c r="R890">
        <f>IF($AD890="","",IF(AND(ISNUMBER(Q890),Q890&gt;0),AB890&gt;Q890,FALSE))</f>
        <v/>
      </c>
      <c r="S890" s="7">
        <f>IF($AD890="","",SUMIFS('Per Line'!$AB$2:$AB$3001,'Per Line'!$E$2:$E$3001,$B890,'Per Line'!$AQ$2:$AQ$3001,1))</f>
        <v/>
      </c>
      <c r="T890">
        <f>IF($AD890="","",Settings!$C$7)</f>
        <v/>
      </c>
      <c r="U890" s="7">
        <f>IF($AD890="","",SUMIFS('Per Line'!$AB$2:$AB$3001,'Per Line'!$E$2:$E$3001,$B890,'Per Line'!$AP$2:$AP$3001,0,'Per Line'!$AQ$2:$AQ$3001,0))</f>
        <v/>
      </c>
      <c r="V890" s="7">
        <f>IF($AD890="","",U890*T890)</f>
        <v/>
      </c>
      <c r="W890">
        <f>IF($AD890="","",Settings!$C$6)</f>
        <v/>
      </c>
      <c r="X890" s="7">
        <f>IF($AD890="","",SUMIFS('Per Line'!$AB$2:$AB$3001,'Per Line'!$E$2:$E$3001,$B890,'Per Line'!$AP$2:$AP$3001,1,'Per Line'!$AQ$2:$AQ$3001,0))</f>
        <v/>
      </c>
      <c r="Y890" s="7">
        <f>IF($AD890="","",X890*W890)</f>
        <v/>
      </c>
      <c r="Z890" s="7">
        <f>IF($AD890="","",Y890+V890)</f>
        <v/>
      </c>
      <c r="AA890" s="7">
        <f>IF($AD890="","",AB890-Z890)</f>
        <v/>
      </c>
      <c r="AB890" s="7">
        <f>IF($AD890="","",U890+X890+S890)</f>
        <v/>
      </c>
      <c r="AC890" s="7">
        <f>IF($AD890="","",AB890-Z890-P890)</f>
        <v/>
      </c>
      <c r="AD890" s="13">
        <f>IF(ROWS($AD$2:$AD890)&lt;=MAX('Per Line'!$AO$2:$AO$3001),MATCH(ROWS($AD$2:$AD890),'Per Line'!$AO$2:$AO$3001,0),"")</f>
        <v/>
      </c>
      <c r="AE890" s="14">
        <f>IF($AD890="","",P890-O890*AB890/100)</f>
        <v/>
      </c>
    </row>
    <row r="891">
      <c r="A891" s="12" t="n"/>
      <c r="B891">
        <f>IF($AD891="","",INDEX('Per Line'!$E$2:$E$3001,$AD891)&amp;"")</f>
        <v/>
      </c>
      <c r="C891">
        <f>IF($AD891="","",INDEX('Per Line'!$A$2:$A$3001,$AD891)&amp;"")</f>
        <v/>
      </c>
      <c r="D891">
        <f>IF($AD891="","",INDEX('Per Line'!$C$2:$C$3001,$AD891)&amp;"")</f>
        <v/>
      </c>
      <c r="E891">
        <f>IF($AD891="","",INDEX('Per Line'!$B$2:$B$3001,$AD891))</f>
        <v/>
      </c>
      <c r="F891">
        <f>IF($AD891="","",INDEX('Per Line'!$D$2:$D$3001,$AD891)&amp;"")</f>
        <v/>
      </c>
      <c r="G891" s="11">
        <f>IF($AD891="","",INDEX('Per Line'!$G$2:$G$3001,$AD891))</f>
        <v/>
      </c>
      <c r="H891">
        <f>IF($AD891="","",INDEX('Per Line'!$J$2:$J$3001,$AD891)&amp;"")</f>
        <v/>
      </c>
      <c r="I891">
        <f>IF($AD891="","",INDEX('Per Line'!$H$2:$H$3001,$AD891)&amp;"")</f>
        <v/>
      </c>
      <c r="J891">
        <f>IF($AD891="","",INDEX('Per Line'!$F$2:$F$3001,$AD891)&amp;"")</f>
        <v/>
      </c>
      <c r="K891">
        <f>IF($AD891="","",INDEX('Per Line'!$K$2:$K$3001,$AD891)&amp;"")</f>
        <v/>
      </c>
      <c r="L891">
        <f>IF($AD891="","",INDEX('Per Line'!$L$2:$L$3001,$AD891)&amp;"")</f>
        <v/>
      </c>
      <c r="M891">
        <f>IF($AD891="","",INDEX('Per Line'!$M$2:$M$3001,$AD891)&amp;"")</f>
        <v/>
      </c>
      <c r="N891">
        <f>IF($AD891="","",INDEX('Per Line'!$AC$2:$AC$3001,$AD891)&amp;"")</f>
        <v/>
      </c>
      <c r="O891">
        <f>IF($AD891="","",INDEX('Per Line'!$P$2:$P$3001,$AD891))</f>
        <v/>
      </c>
      <c r="P891" s="7">
        <f>IF($AD891="","",IF(AND(ISNUMBER(Q891),Q891&gt;0,AB891&gt;Q891),O891*Q891/100+(AB891-Q891),O891*AB891/100))</f>
        <v/>
      </c>
      <c r="Q891">
        <f>IF($AD891="","",INDEX('Per Line'!$AG$2:$AG$3001,$AD891))</f>
        <v/>
      </c>
      <c r="R891">
        <f>IF($AD891="","",IF(AND(ISNUMBER(Q891),Q891&gt;0),AB891&gt;Q891,FALSE))</f>
        <v/>
      </c>
      <c r="S891" s="7">
        <f>IF($AD891="","",SUMIFS('Per Line'!$AB$2:$AB$3001,'Per Line'!$E$2:$E$3001,$B891,'Per Line'!$AQ$2:$AQ$3001,1))</f>
        <v/>
      </c>
      <c r="T891">
        <f>IF($AD891="","",Settings!$C$7)</f>
        <v/>
      </c>
      <c r="U891" s="7">
        <f>IF($AD891="","",SUMIFS('Per Line'!$AB$2:$AB$3001,'Per Line'!$E$2:$E$3001,$B891,'Per Line'!$AP$2:$AP$3001,0,'Per Line'!$AQ$2:$AQ$3001,0))</f>
        <v/>
      </c>
      <c r="V891" s="7">
        <f>IF($AD891="","",U891*T891)</f>
        <v/>
      </c>
      <c r="W891">
        <f>IF($AD891="","",Settings!$C$6)</f>
        <v/>
      </c>
      <c r="X891" s="7">
        <f>IF($AD891="","",SUMIFS('Per Line'!$AB$2:$AB$3001,'Per Line'!$E$2:$E$3001,$B891,'Per Line'!$AP$2:$AP$3001,1,'Per Line'!$AQ$2:$AQ$3001,0))</f>
        <v/>
      </c>
      <c r="Y891" s="7">
        <f>IF($AD891="","",X891*W891)</f>
        <v/>
      </c>
      <c r="Z891" s="7">
        <f>IF($AD891="","",Y891+V891)</f>
        <v/>
      </c>
      <c r="AA891" s="7">
        <f>IF($AD891="","",AB891-Z891)</f>
        <v/>
      </c>
      <c r="AB891" s="7">
        <f>IF($AD891="","",U891+X891+S891)</f>
        <v/>
      </c>
      <c r="AC891" s="7">
        <f>IF($AD891="","",AB891-Z891-P891)</f>
        <v/>
      </c>
      <c r="AD891" s="13">
        <f>IF(ROWS($AD$2:$AD891)&lt;=MAX('Per Line'!$AO$2:$AO$3001),MATCH(ROWS($AD$2:$AD891),'Per Line'!$AO$2:$AO$3001,0),"")</f>
        <v/>
      </c>
      <c r="AE891" s="14">
        <f>IF($AD891="","",P891-O891*AB891/100)</f>
        <v/>
      </c>
    </row>
    <row r="892">
      <c r="A892" s="12" t="n"/>
      <c r="B892">
        <f>IF($AD892="","",INDEX('Per Line'!$E$2:$E$3001,$AD892)&amp;"")</f>
        <v/>
      </c>
      <c r="C892">
        <f>IF($AD892="","",INDEX('Per Line'!$A$2:$A$3001,$AD892)&amp;"")</f>
        <v/>
      </c>
      <c r="D892">
        <f>IF($AD892="","",INDEX('Per Line'!$C$2:$C$3001,$AD892)&amp;"")</f>
        <v/>
      </c>
      <c r="E892">
        <f>IF($AD892="","",INDEX('Per Line'!$B$2:$B$3001,$AD892))</f>
        <v/>
      </c>
      <c r="F892">
        <f>IF($AD892="","",INDEX('Per Line'!$D$2:$D$3001,$AD892)&amp;"")</f>
        <v/>
      </c>
      <c r="G892" s="11">
        <f>IF($AD892="","",INDEX('Per Line'!$G$2:$G$3001,$AD892))</f>
        <v/>
      </c>
      <c r="H892">
        <f>IF($AD892="","",INDEX('Per Line'!$J$2:$J$3001,$AD892)&amp;"")</f>
        <v/>
      </c>
      <c r="I892">
        <f>IF($AD892="","",INDEX('Per Line'!$H$2:$H$3001,$AD892)&amp;"")</f>
        <v/>
      </c>
      <c r="J892">
        <f>IF($AD892="","",INDEX('Per Line'!$F$2:$F$3001,$AD892)&amp;"")</f>
        <v/>
      </c>
      <c r="K892">
        <f>IF($AD892="","",INDEX('Per Line'!$K$2:$K$3001,$AD892)&amp;"")</f>
        <v/>
      </c>
      <c r="L892">
        <f>IF($AD892="","",INDEX('Per Line'!$L$2:$L$3001,$AD892)&amp;"")</f>
        <v/>
      </c>
      <c r="M892">
        <f>IF($AD892="","",INDEX('Per Line'!$M$2:$M$3001,$AD892)&amp;"")</f>
        <v/>
      </c>
      <c r="N892">
        <f>IF($AD892="","",INDEX('Per Line'!$AC$2:$AC$3001,$AD892)&amp;"")</f>
        <v/>
      </c>
      <c r="O892">
        <f>IF($AD892="","",INDEX('Per Line'!$P$2:$P$3001,$AD892))</f>
        <v/>
      </c>
      <c r="P892" s="7">
        <f>IF($AD892="","",IF(AND(ISNUMBER(Q892),Q892&gt;0,AB892&gt;Q892),O892*Q892/100+(AB892-Q892),O892*AB892/100))</f>
        <v/>
      </c>
      <c r="Q892">
        <f>IF($AD892="","",INDEX('Per Line'!$AG$2:$AG$3001,$AD892))</f>
        <v/>
      </c>
      <c r="R892">
        <f>IF($AD892="","",IF(AND(ISNUMBER(Q892),Q892&gt;0),AB892&gt;Q892,FALSE))</f>
        <v/>
      </c>
      <c r="S892" s="7">
        <f>IF($AD892="","",SUMIFS('Per Line'!$AB$2:$AB$3001,'Per Line'!$E$2:$E$3001,$B892,'Per Line'!$AQ$2:$AQ$3001,1))</f>
        <v/>
      </c>
      <c r="T892">
        <f>IF($AD892="","",Settings!$C$7)</f>
        <v/>
      </c>
      <c r="U892" s="7">
        <f>IF($AD892="","",SUMIFS('Per Line'!$AB$2:$AB$3001,'Per Line'!$E$2:$E$3001,$B892,'Per Line'!$AP$2:$AP$3001,0,'Per Line'!$AQ$2:$AQ$3001,0))</f>
        <v/>
      </c>
      <c r="V892" s="7">
        <f>IF($AD892="","",U892*T892)</f>
        <v/>
      </c>
      <c r="W892">
        <f>IF($AD892="","",Settings!$C$6)</f>
        <v/>
      </c>
      <c r="X892" s="7">
        <f>IF($AD892="","",SUMIFS('Per Line'!$AB$2:$AB$3001,'Per Line'!$E$2:$E$3001,$B892,'Per Line'!$AP$2:$AP$3001,1,'Per Line'!$AQ$2:$AQ$3001,0))</f>
        <v/>
      </c>
      <c r="Y892" s="7">
        <f>IF($AD892="","",X892*W892)</f>
        <v/>
      </c>
      <c r="Z892" s="7">
        <f>IF($AD892="","",Y892+V892)</f>
        <v/>
      </c>
      <c r="AA892" s="7">
        <f>IF($AD892="","",AB892-Z892)</f>
        <v/>
      </c>
      <c r="AB892" s="7">
        <f>IF($AD892="","",U892+X892+S892)</f>
        <v/>
      </c>
      <c r="AC892" s="7">
        <f>IF($AD892="","",AB892-Z892-P892)</f>
        <v/>
      </c>
      <c r="AD892" s="13">
        <f>IF(ROWS($AD$2:$AD892)&lt;=MAX('Per Line'!$AO$2:$AO$3001),MATCH(ROWS($AD$2:$AD892),'Per Line'!$AO$2:$AO$3001,0),"")</f>
        <v/>
      </c>
      <c r="AE892" s="14">
        <f>IF($AD892="","",P892-O892*AB892/100)</f>
        <v/>
      </c>
    </row>
    <row r="893">
      <c r="A893" s="12" t="n"/>
      <c r="B893">
        <f>IF($AD893="","",INDEX('Per Line'!$E$2:$E$3001,$AD893)&amp;"")</f>
        <v/>
      </c>
      <c r="C893">
        <f>IF($AD893="","",INDEX('Per Line'!$A$2:$A$3001,$AD893)&amp;"")</f>
        <v/>
      </c>
      <c r="D893">
        <f>IF($AD893="","",INDEX('Per Line'!$C$2:$C$3001,$AD893)&amp;"")</f>
        <v/>
      </c>
      <c r="E893">
        <f>IF($AD893="","",INDEX('Per Line'!$B$2:$B$3001,$AD893))</f>
        <v/>
      </c>
      <c r="F893">
        <f>IF($AD893="","",INDEX('Per Line'!$D$2:$D$3001,$AD893)&amp;"")</f>
        <v/>
      </c>
      <c r="G893" s="11">
        <f>IF($AD893="","",INDEX('Per Line'!$G$2:$G$3001,$AD893))</f>
        <v/>
      </c>
      <c r="H893">
        <f>IF($AD893="","",INDEX('Per Line'!$J$2:$J$3001,$AD893)&amp;"")</f>
        <v/>
      </c>
      <c r="I893">
        <f>IF($AD893="","",INDEX('Per Line'!$H$2:$H$3001,$AD893)&amp;"")</f>
        <v/>
      </c>
      <c r="J893">
        <f>IF($AD893="","",INDEX('Per Line'!$F$2:$F$3001,$AD893)&amp;"")</f>
        <v/>
      </c>
      <c r="K893">
        <f>IF($AD893="","",INDEX('Per Line'!$K$2:$K$3001,$AD893)&amp;"")</f>
        <v/>
      </c>
      <c r="L893">
        <f>IF($AD893="","",INDEX('Per Line'!$L$2:$L$3001,$AD893)&amp;"")</f>
        <v/>
      </c>
      <c r="M893">
        <f>IF($AD893="","",INDEX('Per Line'!$M$2:$M$3001,$AD893)&amp;"")</f>
        <v/>
      </c>
      <c r="N893">
        <f>IF($AD893="","",INDEX('Per Line'!$AC$2:$AC$3001,$AD893)&amp;"")</f>
        <v/>
      </c>
      <c r="O893">
        <f>IF($AD893="","",INDEX('Per Line'!$P$2:$P$3001,$AD893))</f>
        <v/>
      </c>
      <c r="P893" s="7">
        <f>IF($AD893="","",IF(AND(ISNUMBER(Q893),Q893&gt;0,AB893&gt;Q893),O893*Q893/100+(AB893-Q893),O893*AB893/100))</f>
        <v/>
      </c>
      <c r="Q893">
        <f>IF($AD893="","",INDEX('Per Line'!$AG$2:$AG$3001,$AD893))</f>
        <v/>
      </c>
      <c r="R893">
        <f>IF($AD893="","",IF(AND(ISNUMBER(Q893),Q893&gt;0),AB893&gt;Q893,FALSE))</f>
        <v/>
      </c>
      <c r="S893" s="7">
        <f>IF($AD893="","",SUMIFS('Per Line'!$AB$2:$AB$3001,'Per Line'!$E$2:$E$3001,$B893,'Per Line'!$AQ$2:$AQ$3001,1))</f>
        <v/>
      </c>
      <c r="T893">
        <f>IF($AD893="","",Settings!$C$7)</f>
        <v/>
      </c>
      <c r="U893" s="7">
        <f>IF($AD893="","",SUMIFS('Per Line'!$AB$2:$AB$3001,'Per Line'!$E$2:$E$3001,$B893,'Per Line'!$AP$2:$AP$3001,0,'Per Line'!$AQ$2:$AQ$3001,0))</f>
        <v/>
      </c>
      <c r="V893" s="7">
        <f>IF($AD893="","",U893*T893)</f>
        <v/>
      </c>
      <c r="W893">
        <f>IF($AD893="","",Settings!$C$6)</f>
        <v/>
      </c>
      <c r="X893" s="7">
        <f>IF($AD893="","",SUMIFS('Per Line'!$AB$2:$AB$3001,'Per Line'!$E$2:$E$3001,$B893,'Per Line'!$AP$2:$AP$3001,1,'Per Line'!$AQ$2:$AQ$3001,0))</f>
        <v/>
      </c>
      <c r="Y893" s="7">
        <f>IF($AD893="","",X893*W893)</f>
        <v/>
      </c>
      <c r="Z893" s="7">
        <f>IF($AD893="","",Y893+V893)</f>
        <v/>
      </c>
      <c r="AA893" s="7">
        <f>IF($AD893="","",AB893-Z893)</f>
        <v/>
      </c>
      <c r="AB893" s="7">
        <f>IF($AD893="","",U893+X893+S893)</f>
        <v/>
      </c>
      <c r="AC893" s="7">
        <f>IF($AD893="","",AB893-Z893-P893)</f>
        <v/>
      </c>
      <c r="AD893" s="13">
        <f>IF(ROWS($AD$2:$AD893)&lt;=MAX('Per Line'!$AO$2:$AO$3001),MATCH(ROWS($AD$2:$AD893),'Per Line'!$AO$2:$AO$3001,0),"")</f>
        <v/>
      </c>
      <c r="AE893" s="14">
        <f>IF($AD893="","",P893-O893*AB893/100)</f>
        <v/>
      </c>
    </row>
    <row r="894">
      <c r="A894" s="12" t="n"/>
      <c r="B894">
        <f>IF($AD894="","",INDEX('Per Line'!$E$2:$E$3001,$AD894)&amp;"")</f>
        <v/>
      </c>
      <c r="C894">
        <f>IF($AD894="","",INDEX('Per Line'!$A$2:$A$3001,$AD894)&amp;"")</f>
        <v/>
      </c>
      <c r="D894">
        <f>IF($AD894="","",INDEX('Per Line'!$C$2:$C$3001,$AD894)&amp;"")</f>
        <v/>
      </c>
      <c r="E894">
        <f>IF($AD894="","",INDEX('Per Line'!$B$2:$B$3001,$AD894))</f>
        <v/>
      </c>
      <c r="F894">
        <f>IF($AD894="","",INDEX('Per Line'!$D$2:$D$3001,$AD894)&amp;"")</f>
        <v/>
      </c>
      <c r="G894" s="11">
        <f>IF($AD894="","",INDEX('Per Line'!$G$2:$G$3001,$AD894))</f>
        <v/>
      </c>
      <c r="H894">
        <f>IF($AD894="","",INDEX('Per Line'!$J$2:$J$3001,$AD894)&amp;"")</f>
        <v/>
      </c>
      <c r="I894">
        <f>IF($AD894="","",INDEX('Per Line'!$H$2:$H$3001,$AD894)&amp;"")</f>
        <v/>
      </c>
      <c r="J894">
        <f>IF($AD894="","",INDEX('Per Line'!$F$2:$F$3001,$AD894)&amp;"")</f>
        <v/>
      </c>
      <c r="K894">
        <f>IF($AD894="","",INDEX('Per Line'!$K$2:$K$3001,$AD894)&amp;"")</f>
        <v/>
      </c>
      <c r="L894">
        <f>IF($AD894="","",INDEX('Per Line'!$L$2:$L$3001,$AD894)&amp;"")</f>
        <v/>
      </c>
      <c r="M894">
        <f>IF($AD894="","",INDEX('Per Line'!$M$2:$M$3001,$AD894)&amp;"")</f>
        <v/>
      </c>
      <c r="N894">
        <f>IF($AD894="","",INDEX('Per Line'!$AC$2:$AC$3001,$AD894)&amp;"")</f>
        <v/>
      </c>
      <c r="O894">
        <f>IF($AD894="","",INDEX('Per Line'!$P$2:$P$3001,$AD894))</f>
        <v/>
      </c>
      <c r="P894" s="7">
        <f>IF($AD894="","",IF(AND(ISNUMBER(Q894),Q894&gt;0,AB894&gt;Q894),O894*Q894/100+(AB894-Q894),O894*AB894/100))</f>
        <v/>
      </c>
      <c r="Q894">
        <f>IF($AD894="","",INDEX('Per Line'!$AG$2:$AG$3001,$AD894))</f>
        <v/>
      </c>
      <c r="R894">
        <f>IF($AD894="","",IF(AND(ISNUMBER(Q894),Q894&gt;0),AB894&gt;Q894,FALSE))</f>
        <v/>
      </c>
      <c r="S894" s="7">
        <f>IF($AD894="","",SUMIFS('Per Line'!$AB$2:$AB$3001,'Per Line'!$E$2:$E$3001,$B894,'Per Line'!$AQ$2:$AQ$3001,1))</f>
        <v/>
      </c>
      <c r="T894">
        <f>IF($AD894="","",Settings!$C$7)</f>
        <v/>
      </c>
      <c r="U894" s="7">
        <f>IF($AD894="","",SUMIFS('Per Line'!$AB$2:$AB$3001,'Per Line'!$E$2:$E$3001,$B894,'Per Line'!$AP$2:$AP$3001,0,'Per Line'!$AQ$2:$AQ$3001,0))</f>
        <v/>
      </c>
      <c r="V894" s="7">
        <f>IF($AD894="","",U894*T894)</f>
        <v/>
      </c>
      <c r="W894">
        <f>IF($AD894="","",Settings!$C$6)</f>
        <v/>
      </c>
      <c r="X894" s="7">
        <f>IF($AD894="","",SUMIFS('Per Line'!$AB$2:$AB$3001,'Per Line'!$E$2:$E$3001,$B894,'Per Line'!$AP$2:$AP$3001,1,'Per Line'!$AQ$2:$AQ$3001,0))</f>
        <v/>
      </c>
      <c r="Y894" s="7">
        <f>IF($AD894="","",X894*W894)</f>
        <v/>
      </c>
      <c r="Z894" s="7">
        <f>IF($AD894="","",Y894+V894)</f>
        <v/>
      </c>
      <c r="AA894" s="7">
        <f>IF($AD894="","",AB894-Z894)</f>
        <v/>
      </c>
      <c r="AB894" s="7">
        <f>IF($AD894="","",U894+X894+S894)</f>
        <v/>
      </c>
      <c r="AC894" s="7">
        <f>IF($AD894="","",AB894-Z894-P894)</f>
        <v/>
      </c>
      <c r="AD894" s="13">
        <f>IF(ROWS($AD$2:$AD894)&lt;=MAX('Per Line'!$AO$2:$AO$3001),MATCH(ROWS($AD$2:$AD894),'Per Line'!$AO$2:$AO$3001,0),"")</f>
        <v/>
      </c>
      <c r="AE894" s="14">
        <f>IF($AD894="","",P894-O894*AB894/100)</f>
        <v/>
      </c>
    </row>
    <row r="895">
      <c r="A895" s="12" t="n"/>
      <c r="B895">
        <f>IF($AD895="","",INDEX('Per Line'!$E$2:$E$3001,$AD895)&amp;"")</f>
        <v/>
      </c>
      <c r="C895">
        <f>IF($AD895="","",INDEX('Per Line'!$A$2:$A$3001,$AD895)&amp;"")</f>
        <v/>
      </c>
      <c r="D895">
        <f>IF($AD895="","",INDEX('Per Line'!$C$2:$C$3001,$AD895)&amp;"")</f>
        <v/>
      </c>
      <c r="E895">
        <f>IF($AD895="","",INDEX('Per Line'!$B$2:$B$3001,$AD895))</f>
        <v/>
      </c>
      <c r="F895">
        <f>IF($AD895="","",INDEX('Per Line'!$D$2:$D$3001,$AD895)&amp;"")</f>
        <v/>
      </c>
      <c r="G895" s="11">
        <f>IF($AD895="","",INDEX('Per Line'!$G$2:$G$3001,$AD895))</f>
        <v/>
      </c>
      <c r="H895">
        <f>IF($AD895="","",INDEX('Per Line'!$J$2:$J$3001,$AD895)&amp;"")</f>
        <v/>
      </c>
      <c r="I895">
        <f>IF($AD895="","",INDEX('Per Line'!$H$2:$H$3001,$AD895)&amp;"")</f>
        <v/>
      </c>
      <c r="J895">
        <f>IF($AD895="","",INDEX('Per Line'!$F$2:$F$3001,$AD895)&amp;"")</f>
        <v/>
      </c>
      <c r="K895">
        <f>IF($AD895="","",INDEX('Per Line'!$K$2:$K$3001,$AD895)&amp;"")</f>
        <v/>
      </c>
      <c r="L895">
        <f>IF($AD895="","",INDEX('Per Line'!$L$2:$L$3001,$AD895)&amp;"")</f>
        <v/>
      </c>
      <c r="M895">
        <f>IF($AD895="","",INDEX('Per Line'!$M$2:$M$3001,$AD895)&amp;"")</f>
        <v/>
      </c>
      <c r="N895">
        <f>IF($AD895="","",INDEX('Per Line'!$AC$2:$AC$3001,$AD895)&amp;"")</f>
        <v/>
      </c>
      <c r="O895">
        <f>IF($AD895="","",INDEX('Per Line'!$P$2:$P$3001,$AD895))</f>
        <v/>
      </c>
      <c r="P895" s="7">
        <f>IF($AD895="","",IF(AND(ISNUMBER(Q895),Q895&gt;0,AB895&gt;Q895),O895*Q895/100+(AB895-Q895),O895*AB895/100))</f>
        <v/>
      </c>
      <c r="Q895">
        <f>IF($AD895="","",INDEX('Per Line'!$AG$2:$AG$3001,$AD895))</f>
        <v/>
      </c>
      <c r="R895">
        <f>IF($AD895="","",IF(AND(ISNUMBER(Q895),Q895&gt;0),AB895&gt;Q895,FALSE))</f>
        <v/>
      </c>
      <c r="S895" s="7">
        <f>IF($AD895="","",SUMIFS('Per Line'!$AB$2:$AB$3001,'Per Line'!$E$2:$E$3001,$B895,'Per Line'!$AQ$2:$AQ$3001,1))</f>
        <v/>
      </c>
      <c r="T895">
        <f>IF($AD895="","",Settings!$C$7)</f>
        <v/>
      </c>
      <c r="U895" s="7">
        <f>IF($AD895="","",SUMIFS('Per Line'!$AB$2:$AB$3001,'Per Line'!$E$2:$E$3001,$B895,'Per Line'!$AP$2:$AP$3001,0,'Per Line'!$AQ$2:$AQ$3001,0))</f>
        <v/>
      </c>
      <c r="V895" s="7">
        <f>IF($AD895="","",U895*T895)</f>
        <v/>
      </c>
      <c r="W895">
        <f>IF($AD895="","",Settings!$C$6)</f>
        <v/>
      </c>
      <c r="X895" s="7">
        <f>IF($AD895="","",SUMIFS('Per Line'!$AB$2:$AB$3001,'Per Line'!$E$2:$E$3001,$B895,'Per Line'!$AP$2:$AP$3001,1,'Per Line'!$AQ$2:$AQ$3001,0))</f>
        <v/>
      </c>
      <c r="Y895" s="7">
        <f>IF($AD895="","",X895*W895)</f>
        <v/>
      </c>
      <c r="Z895" s="7">
        <f>IF($AD895="","",Y895+V895)</f>
        <v/>
      </c>
      <c r="AA895" s="7">
        <f>IF($AD895="","",AB895-Z895)</f>
        <v/>
      </c>
      <c r="AB895" s="7">
        <f>IF($AD895="","",U895+X895+S895)</f>
        <v/>
      </c>
      <c r="AC895" s="7">
        <f>IF($AD895="","",AB895-Z895-P895)</f>
        <v/>
      </c>
      <c r="AD895" s="13">
        <f>IF(ROWS($AD$2:$AD895)&lt;=MAX('Per Line'!$AO$2:$AO$3001),MATCH(ROWS($AD$2:$AD895),'Per Line'!$AO$2:$AO$3001,0),"")</f>
        <v/>
      </c>
      <c r="AE895" s="14">
        <f>IF($AD895="","",P895-O895*AB895/100)</f>
        <v/>
      </c>
    </row>
    <row r="896">
      <c r="A896" s="12" t="n"/>
      <c r="B896">
        <f>IF($AD896="","",INDEX('Per Line'!$E$2:$E$3001,$AD896)&amp;"")</f>
        <v/>
      </c>
      <c r="C896">
        <f>IF($AD896="","",INDEX('Per Line'!$A$2:$A$3001,$AD896)&amp;"")</f>
        <v/>
      </c>
      <c r="D896">
        <f>IF($AD896="","",INDEX('Per Line'!$C$2:$C$3001,$AD896)&amp;"")</f>
        <v/>
      </c>
      <c r="E896">
        <f>IF($AD896="","",INDEX('Per Line'!$B$2:$B$3001,$AD896))</f>
        <v/>
      </c>
      <c r="F896">
        <f>IF($AD896="","",INDEX('Per Line'!$D$2:$D$3001,$AD896)&amp;"")</f>
        <v/>
      </c>
      <c r="G896" s="11">
        <f>IF($AD896="","",INDEX('Per Line'!$G$2:$G$3001,$AD896))</f>
        <v/>
      </c>
      <c r="H896">
        <f>IF($AD896="","",INDEX('Per Line'!$J$2:$J$3001,$AD896)&amp;"")</f>
        <v/>
      </c>
      <c r="I896">
        <f>IF($AD896="","",INDEX('Per Line'!$H$2:$H$3001,$AD896)&amp;"")</f>
        <v/>
      </c>
      <c r="J896">
        <f>IF($AD896="","",INDEX('Per Line'!$F$2:$F$3001,$AD896)&amp;"")</f>
        <v/>
      </c>
      <c r="K896">
        <f>IF($AD896="","",INDEX('Per Line'!$K$2:$K$3001,$AD896)&amp;"")</f>
        <v/>
      </c>
      <c r="L896">
        <f>IF($AD896="","",INDEX('Per Line'!$L$2:$L$3001,$AD896)&amp;"")</f>
        <v/>
      </c>
      <c r="M896">
        <f>IF($AD896="","",INDEX('Per Line'!$M$2:$M$3001,$AD896)&amp;"")</f>
        <v/>
      </c>
      <c r="N896">
        <f>IF($AD896="","",INDEX('Per Line'!$AC$2:$AC$3001,$AD896)&amp;"")</f>
        <v/>
      </c>
      <c r="O896">
        <f>IF($AD896="","",INDEX('Per Line'!$P$2:$P$3001,$AD896))</f>
        <v/>
      </c>
      <c r="P896" s="7">
        <f>IF($AD896="","",IF(AND(ISNUMBER(Q896),Q896&gt;0,AB896&gt;Q896),O896*Q896/100+(AB896-Q896),O896*AB896/100))</f>
        <v/>
      </c>
      <c r="Q896">
        <f>IF($AD896="","",INDEX('Per Line'!$AG$2:$AG$3001,$AD896))</f>
        <v/>
      </c>
      <c r="R896">
        <f>IF($AD896="","",IF(AND(ISNUMBER(Q896),Q896&gt;0),AB896&gt;Q896,FALSE))</f>
        <v/>
      </c>
      <c r="S896" s="7">
        <f>IF($AD896="","",SUMIFS('Per Line'!$AB$2:$AB$3001,'Per Line'!$E$2:$E$3001,$B896,'Per Line'!$AQ$2:$AQ$3001,1))</f>
        <v/>
      </c>
      <c r="T896">
        <f>IF($AD896="","",Settings!$C$7)</f>
        <v/>
      </c>
      <c r="U896" s="7">
        <f>IF($AD896="","",SUMIFS('Per Line'!$AB$2:$AB$3001,'Per Line'!$E$2:$E$3001,$B896,'Per Line'!$AP$2:$AP$3001,0,'Per Line'!$AQ$2:$AQ$3001,0))</f>
        <v/>
      </c>
      <c r="V896" s="7">
        <f>IF($AD896="","",U896*T896)</f>
        <v/>
      </c>
      <c r="W896">
        <f>IF($AD896="","",Settings!$C$6)</f>
        <v/>
      </c>
      <c r="X896" s="7">
        <f>IF($AD896="","",SUMIFS('Per Line'!$AB$2:$AB$3001,'Per Line'!$E$2:$E$3001,$B896,'Per Line'!$AP$2:$AP$3001,1,'Per Line'!$AQ$2:$AQ$3001,0))</f>
        <v/>
      </c>
      <c r="Y896" s="7">
        <f>IF($AD896="","",X896*W896)</f>
        <v/>
      </c>
      <c r="Z896" s="7">
        <f>IF($AD896="","",Y896+V896)</f>
        <v/>
      </c>
      <c r="AA896" s="7">
        <f>IF($AD896="","",AB896-Z896)</f>
        <v/>
      </c>
      <c r="AB896" s="7">
        <f>IF($AD896="","",U896+X896+S896)</f>
        <v/>
      </c>
      <c r="AC896" s="7">
        <f>IF($AD896="","",AB896-Z896-P896)</f>
        <v/>
      </c>
      <c r="AD896" s="13">
        <f>IF(ROWS($AD$2:$AD896)&lt;=MAX('Per Line'!$AO$2:$AO$3001),MATCH(ROWS($AD$2:$AD896),'Per Line'!$AO$2:$AO$3001,0),"")</f>
        <v/>
      </c>
      <c r="AE896" s="14">
        <f>IF($AD896="","",P896-O896*AB896/100)</f>
        <v/>
      </c>
    </row>
    <row r="897">
      <c r="A897" s="12" t="n"/>
      <c r="B897">
        <f>IF($AD897="","",INDEX('Per Line'!$E$2:$E$3001,$AD897)&amp;"")</f>
        <v/>
      </c>
      <c r="C897">
        <f>IF($AD897="","",INDEX('Per Line'!$A$2:$A$3001,$AD897)&amp;"")</f>
        <v/>
      </c>
      <c r="D897">
        <f>IF($AD897="","",INDEX('Per Line'!$C$2:$C$3001,$AD897)&amp;"")</f>
        <v/>
      </c>
      <c r="E897">
        <f>IF($AD897="","",INDEX('Per Line'!$B$2:$B$3001,$AD897))</f>
        <v/>
      </c>
      <c r="F897">
        <f>IF($AD897="","",INDEX('Per Line'!$D$2:$D$3001,$AD897)&amp;"")</f>
        <v/>
      </c>
      <c r="G897" s="11">
        <f>IF($AD897="","",INDEX('Per Line'!$G$2:$G$3001,$AD897))</f>
        <v/>
      </c>
      <c r="H897">
        <f>IF($AD897="","",INDEX('Per Line'!$J$2:$J$3001,$AD897)&amp;"")</f>
        <v/>
      </c>
      <c r="I897">
        <f>IF($AD897="","",INDEX('Per Line'!$H$2:$H$3001,$AD897)&amp;"")</f>
        <v/>
      </c>
      <c r="J897">
        <f>IF($AD897="","",INDEX('Per Line'!$F$2:$F$3001,$AD897)&amp;"")</f>
        <v/>
      </c>
      <c r="K897">
        <f>IF($AD897="","",INDEX('Per Line'!$K$2:$K$3001,$AD897)&amp;"")</f>
        <v/>
      </c>
      <c r="L897">
        <f>IF($AD897="","",INDEX('Per Line'!$L$2:$L$3001,$AD897)&amp;"")</f>
        <v/>
      </c>
      <c r="M897">
        <f>IF($AD897="","",INDEX('Per Line'!$M$2:$M$3001,$AD897)&amp;"")</f>
        <v/>
      </c>
      <c r="N897">
        <f>IF($AD897="","",INDEX('Per Line'!$AC$2:$AC$3001,$AD897)&amp;"")</f>
        <v/>
      </c>
      <c r="O897">
        <f>IF($AD897="","",INDEX('Per Line'!$P$2:$P$3001,$AD897))</f>
        <v/>
      </c>
      <c r="P897" s="7">
        <f>IF($AD897="","",IF(AND(ISNUMBER(Q897),Q897&gt;0,AB897&gt;Q897),O897*Q897/100+(AB897-Q897),O897*AB897/100))</f>
        <v/>
      </c>
      <c r="Q897">
        <f>IF($AD897="","",INDEX('Per Line'!$AG$2:$AG$3001,$AD897))</f>
        <v/>
      </c>
      <c r="R897">
        <f>IF($AD897="","",IF(AND(ISNUMBER(Q897),Q897&gt;0),AB897&gt;Q897,FALSE))</f>
        <v/>
      </c>
      <c r="S897" s="7">
        <f>IF($AD897="","",SUMIFS('Per Line'!$AB$2:$AB$3001,'Per Line'!$E$2:$E$3001,$B897,'Per Line'!$AQ$2:$AQ$3001,1))</f>
        <v/>
      </c>
      <c r="T897">
        <f>IF($AD897="","",Settings!$C$7)</f>
        <v/>
      </c>
      <c r="U897" s="7">
        <f>IF($AD897="","",SUMIFS('Per Line'!$AB$2:$AB$3001,'Per Line'!$E$2:$E$3001,$B897,'Per Line'!$AP$2:$AP$3001,0,'Per Line'!$AQ$2:$AQ$3001,0))</f>
        <v/>
      </c>
      <c r="V897" s="7">
        <f>IF($AD897="","",U897*T897)</f>
        <v/>
      </c>
      <c r="W897">
        <f>IF($AD897="","",Settings!$C$6)</f>
        <v/>
      </c>
      <c r="X897" s="7">
        <f>IF($AD897="","",SUMIFS('Per Line'!$AB$2:$AB$3001,'Per Line'!$E$2:$E$3001,$B897,'Per Line'!$AP$2:$AP$3001,1,'Per Line'!$AQ$2:$AQ$3001,0))</f>
        <v/>
      </c>
      <c r="Y897" s="7">
        <f>IF($AD897="","",X897*W897)</f>
        <v/>
      </c>
      <c r="Z897" s="7">
        <f>IF($AD897="","",Y897+V897)</f>
        <v/>
      </c>
      <c r="AA897" s="7">
        <f>IF($AD897="","",AB897-Z897)</f>
        <v/>
      </c>
      <c r="AB897" s="7">
        <f>IF($AD897="","",U897+X897+S897)</f>
        <v/>
      </c>
      <c r="AC897" s="7">
        <f>IF($AD897="","",AB897-Z897-P897)</f>
        <v/>
      </c>
      <c r="AD897" s="13">
        <f>IF(ROWS($AD$2:$AD897)&lt;=MAX('Per Line'!$AO$2:$AO$3001),MATCH(ROWS($AD$2:$AD897),'Per Line'!$AO$2:$AO$3001,0),"")</f>
        <v/>
      </c>
      <c r="AE897" s="14">
        <f>IF($AD897="","",P897-O897*AB897/100)</f>
        <v/>
      </c>
    </row>
    <row r="898">
      <c r="A898" s="12" t="n"/>
      <c r="B898">
        <f>IF($AD898="","",INDEX('Per Line'!$E$2:$E$3001,$AD898)&amp;"")</f>
        <v/>
      </c>
      <c r="C898">
        <f>IF($AD898="","",INDEX('Per Line'!$A$2:$A$3001,$AD898)&amp;"")</f>
        <v/>
      </c>
      <c r="D898">
        <f>IF($AD898="","",INDEX('Per Line'!$C$2:$C$3001,$AD898)&amp;"")</f>
        <v/>
      </c>
      <c r="E898">
        <f>IF($AD898="","",INDEX('Per Line'!$B$2:$B$3001,$AD898))</f>
        <v/>
      </c>
      <c r="F898">
        <f>IF($AD898="","",INDEX('Per Line'!$D$2:$D$3001,$AD898)&amp;"")</f>
        <v/>
      </c>
      <c r="G898" s="11">
        <f>IF($AD898="","",INDEX('Per Line'!$G$2:$G$3001,$AD898))</f>
        <v/>
      </c>
      <c r="H898">
        <f>IF($AD898="","",INDEX('Per Line'!$J$2:$J$3001,$AD898)&amp;"")</f>
        <v/>
      </c>
      <c r="I898">
        <f>IF($AD898="","",INDEX('Per Line'!$H$2:$H$3001,$AD898)&amp;"")</f>
        <v/>
      </c>
      <c r="J898">
        <f>IF($AD898="","",INDEX('Per Line'!$F$2:$F$3001,$AD898)&amp;"")</f>
        <v/>
      </c>
      <c r="K898">
        <f>IF($AD898="","",INDEX('Per Line'!$K$2:$K$3001,$AD898)&amp;"")</f>
        <v/>
      </c>
      <c r="L898">
        <f>IF($AD898="","",INDEX('Per Line'!$L$2:$L$3001,$AD898)&amp;"")</f>
        <v/>
      </c>
      <c r="M898">
        <f>IF($AD898="","",INDEX('Per Line'!$M$2:$M$3001,$AD898)&amp;"")</f>
        <v/>
      </c>
      <c r="N898">
        <f>IF($AD898="","",INDEX('Per Line'!$AC$2:$AC$3001,$AD898)&amp;"")</f>
        <v/>
      </c>
      <c r="O898">
        <f>IF($AD898="","",INDEX('Per Line'!$P$2:$P$3001,$AD898))</f>
        <v/>
      </c>
      <c r="P898" s="7">
        <f>IF($AD898="","",IF(AND(ISNUMBER(Q898),Q898&gt;0,AB898&gt;Q898),O898*Q898/100+(AB898-Q898),O898*AB898/100))</f>
        <v/>
      </c>
      <c r="Q898">
        <f>IF($AD898="","",INDEX('Per Line'!$AG$2:$AG$3001,$AD898))</f>
        <v/>
      </c>
      <c r="R898">
        <f>IF($AD898="","",IF(AND(ISNUMBER(Q898),Q898&gt;0),AB898&gt;Q898,FALSE))</f>
        <v/>
      </c>
      <c r="S898" s="7">
        <f>IF($AD898="","",SUMIFS('Per Line'!$AB$2:$AB$3001,'Per Line'!$E$2:$E$3001,$B898,'Per Line'!$AQ$2:$AQ$3001,1))</f>
        <v/>
      </c>
      <c r="T898">
        <f>IF($AD898="","",Settings!$C$7)</f>
        <v/>
      </c>
      <c r="U898" s="7">
        <f>IF($AD898="","",SUMIFS('Per Line'!$AB$2:$AB$3001,'Per Line'!$E$2:$E$3001,$B898,'Per Line'!$AP$2:$AP$3001,0,'Per Line'!$AQ$2:$AQ$3001,0))</f>
        <v/>
      </c>
      <c r="V898" s="7">
        <f>IF($AD898="","",U898*T898)</f>
        <v/>
      </c>
      <c r="W898">
        <f>IF($AD898="","",Settings!$C$6)</f>
        <v/>
      </c>
      <c r="X898" s="7">
        <f>IF($AD898="","",SUMIFS('Per Line'!$AB$2:$AB$3001,'Per Line'!$E$2:$E$3001,$B898,'Per Line'!$AP$2:$AP$3001,1,'Per Line'!$AQ$2:$AQ$3001,0))</f>
        <v/>
      </c>
      <c r="Y898" s="7">
        <f>IF($AD898="","",X898*W898)</f>
        <v/>
      </c>
      <c r="Z898" s="7">
        <f>IF($AD898="","",Y898+V898)</f>
        <v/>
      </c>
      <c r="AA898" s="7">
        <f>IF($AD898="","",AB898-Z898)</f>
        <v/>
      </c>
      <c r="AB898" s="7">
        <f>IF($AD898="","",U898+X898+S898)</f>
        <v/>
      </c>
      <c r="AC898" s="7">
        <f>IF($AD898="","",AB898-Z898-P898)</f>
        <v/>
      </c>
      <c r="AD898" s="13">
        <f>IF(ROWS($AD$2:$AD898)&lt;=MAX('Per Line'!$AO$2:$AO$3001),MATCH(ROWS($AD$2:$AD898),'Per Line'!$AO$2:$AO$3001,0),"")</f>
        <v/>
      </c>
      <c r="AE898" s="14">
        <f>IF($AD898="","",P898-O898*AB898/100)</f>
        <v/>
      </c>
    </row>
    <row r="899">
      <c r="A899" s="12" t="n"/>
      <c r="B899">
        <f>IF($AD899="","",INDEX('Per Line'!$E$2:$E$3001,$AD899)&amp;"")</f>
        <v/>
      </c>
      <c r="C899">
        <f>IF($AD899="","",INDEX('Per Line'!$A$2:$A$3001,$AD899)&amp;"")</f>
        <v/>
      </c>
      <c r="D899">
        <f>IF($AD899="","",INDEX('Per Line'!$C$2:$C$3001,$AD899)&amp;"")</f>
        <v/>
      </c>
      <c r="E899">
        <f>IF($AD899="","",INDEX('Per Line'!$B$2:$B$3001,$AD899))</f>
        <v/>
      </c>
      <c r="F899">
        <f>IF($AD899="","",INDEX('Per Line'!$D$2:$D$3001,$AD899)&amp;"")</f>
        <v/>
      </c>
      <c r="G899" s="11">
        <f>IF($AD899="","",INDEX('Per Line'!$G$2:$G$3001,$AD899))</f>
        <v/>
      </c>
      <c r="H899">
        <f>IF($AD899="","",INDEX('Per Line'!$J$2:$J$3001,$AD899)&amp;"")</f>
        <v/>
      </c>
      <c r="I899">
        <f>IF($AD899="","",INDEX('Per Line'!$H$2:$H$3001,$AD899)&amp;"")</f>
        <v/>
      </c>
      <c r="J899">
        <f>IF($AD899="","",INDEX('Per Line'!$F$2:$F$3001,$AD899)&amp;"")</f>
        <v/>
      </c>
      <c r="K899">
        <f>IF($AD899="","",INDEX('Per Line'!$K$2:$K$3001,$AD899)&amp;"")</f>
        <v/>
      </c>
      <c r="L899">
        <f>IF($AD899="","",INDEX('Per Line'!$L$2:$L$3001,$AD899)&amp;"")</f>
        <v/>
      </c>
      <c r="M899">
        <f>IF($AD899="","",INDEX('Per Line'!$M$2:$M$3001,$AD899)&amp;"")</f>
        <v/>
      </c>
      <c r="N899">
        <f>IF($AD899="","",INDEX('Per Line'!$AC$2:$AC$3001,$AD899)&amp;"")</f>
        <v/>
      </c>
      <c r="O899">
        <f>IF($AD899="","",INDEX('Per Line'!$P$2:$P$3001,$AD899))</f>
        <v/>
      </c>
      <c r="P899" s="7">
        <f>IF($AD899="","",IF(AND(ISNUMBER(Q899),Q899&gt;0,AB899&gt;Q899),O899*Q899/100+(AB899-Q899),O899*AB899/100))</f>
        <v/>
      </c>
      <c r="Q899">
        <f>IF($AD899="","",INDEX('Per Line'!$AG$2:$AG$3001,$AD899))</f>
        <v/>
      </c>
      <c r="R899">
        <f>IF($AD899="","",IF(AND(ISNUMBER(Q899),Q899&gt;0),AB899&gt;Q899,FALSE))</f>
        <v/>
      </c>
      <c r="S899" s="7">
        <f>IF($AD899="","",SUMIFS('Per Line'!$AB$2:$AB$3001,'Per Line'!$E$2:$E$3001,$B899,'Per Line'!$AQ$2:$AQ$3001,1))</f>
        <v/>
      </c>
      <c r="T899">
        <f>IF($AD899="","",Settings!$C$7)</f>
        <v/>
      </c>
      <c r="U899" s="7">
        <f>IF($AD899="","",SUMIFS('Per Line'!$AB$2:$AB$3001,'Per Line'!$E$2:$E$3001,$B899,'Per Line'!$AP$2:$AP$3001,0,'Per Line'!$AQ$2:$AQ$3001,0))</f>
        <v/>
      </c>
      <c r="V899" s="7">
        <f>IF($AD899="","",U899*T899)</f>
        <v/>
      </c>
      <c r="W899">
        <f>IF($AD899="","",Settings!$C$6)</f>
        <v/>
      </c>
      <c r="X899" s="7">
        <f>IF($AD899="","",SUMIFS('Per Line'!$AB$2:$AB$3001,'Per Line'!$E$2:$E$3001,$B899,'Per Line'!$AP$2:$AP$3001,1,'Per Line'!$AQ$2:$AQ$3001,0))</f>
        <v/>
      </c>
      <c r="Y899" s="7">
        <f>IF($AD899="","",X899*W899)</f>
        <v/>
      </c>
      <c r="Z899" s="7">
        <f>IF($AD899="","",Y899+V899)</f>
        <v/>
      </c>
      <c r="AA899" s="7">
        <f>IF($AD899="","",AB899-Z899)</f>
        <v/>
      </c>
      <c r="AB899" s="7">
        <f>IF($AD899="","",U899+X899+S899)</f>
        <v/>
      </c>
      <c r="AC899" s="7">
        <f>IF($AD899="","",AB899-Z899-P899)</f>
        <v/>
      </c>
      <c r="AD899" s="13">
        <f>IF(ROWS($AD$2:$AD899)&lt;=MAX('Per Line'!$AO$2:$AO$3001),MATCH(ROWS($AD$2:$AD899),'Per Line'!$AO$2:$AO$3001,0),"")</f>
        <v/>
      </c>
      <c r="AE899" s="14">
        <f>IF($AD899="","",P899-O899*AB899/100)</f>
        <v/>
      </c>
    </row>
    <row r="900">
      <c r="A900" s="12" t="n"/>
      <c r="B900">
        <f>IF($AD900="","",INDEX('Per Line'!$E$2:$E$3001,$AD900)&amp;"")</f>
        <v/>
      </c>
      <c r="C900">
        <f>IF($AD900="","",INDEX('Per Line'!$A$2:$A$3001,$AD900)&amp;"")</f>
        <v/>
      </c>
      <c r="D900">
        <f>IF($AD900="","",INDEX('Per Line'!$C$2:$C$3001,$AD900)&amp;"")</f>
        <v/>
      </c>
      <c r="E900">
        <f>IF($AD900="","",INDEX('Per Line'!$B$2:$B$3001,$AD900))</f>
        <v/>
      </c>
      <c r="F900">
        <f>IF($AD900="","",INDEX('Per Line'!$D$2:$D$3001,$AD900)&amp;"")</f>
        <v/>
      </c>
      <c r="G900" s="11">
        <f>IF($AD900="","",INDEX('Per Line'!$G$2:$G$3001,$AD900))</f>
        <v/>
      </c>
      <c r="H900">
        <f>IF($AD900="","",INDEX('Per Line'!$J$2:$J$3001,$AD900)&amp;"")</f>
        <v/>
      </c>
      <c r="I900">
        <f>IF($AD900="","",INDEX('Per Line'!$H$2:$H$3001,$AD900)&amp;"")</f>
        <v/>
      </c>
      <c r="J900">
        <f>IF($AD900="","",INDEX('Per Line'!$F$2:$F$3001,$AD900)&amp;"")</f>
        <v/>
      </c>
      <c r="K900">
        <f>IF($AD900="","",INDEX('Per Line'!$K$2:$K$3001,$AD900)&amp;"")</f>
        <v/>
      </c>
      <c r="L900">
        <f>IF($AD900="","",INDEX('Per Line'!$L$2:$L$3001,$AD900)&amp;"")</f>
        <v/>
      </c>
      <c r="M900">
        <f>IF($AD900="","",INDEX('Per Line'!$M$2:$M$3001,$AD900)&amp;"")</f>
        <v/>
      </c>
      <c r="N900">
        <f>IF($AD900="","",INDEX('Per Line'!$AC$2:$AC$3001,$AD900)&amp;"")</f>
        <v/>
      </c>
      <c r="O900">
        <f>IF($AD900="","",INDEX('Per Line'!$P$2:$P$3001,$AD900))</f>
        <v/>
      </c>
      <c r="P900" s="7">
        <f>IF($AD900="","",IF(AND(ISNUMBER(Q900),Q900&gt;0,AB900&gt;Q900),O900*Q900/100+(AB900-Q900),O900*AB900/100))</f>
        <v/>
      </c>
      <c r="Q900">
        <f>IF($AD900="","",INDEX('Per Line'!$AG$2:$AG$3001,$AD900))</f>
        <v/>
      </c>
      <c r="R900">
        <f>IF($AD900="","",IF(AND(ISNUMBER(Q900),Q900&gt;0),AB900&gt;Q900,FALSE))</f>
        <v/>
      </c>
      <c r="S900" s="7">
        <f>IF($AD900="","",SUMIFS('Per Line'!$AB$2:$AB$3001,'Per Line'!$E$2:$E$3001,$B900,'Per Line'!$AQ$2:$AQ$3001,1))</f>
        <v/>
      </c>
      <c r="T900">
        <f>IF($AD900="","",Settings!$C$7)</f>
        <v/>
      </c>
      <c r="U900" s="7">
        <f>IF($AD900="","",SUMIFS('Per Line'!$AB$2:$AB$3001,'Per Line'!$E$2:$E$3001,$B900,'Per Line'!$AP$2:$AP$3001,0,'Per Line'!$AQ$2:$AQ$3001,0))</f>
        <v/>
      </c>
      <c r="V900" s="7">
        <f>IF($AD900="","",U900*T900)</f>
        <v/>
      </c>
      <c r="W900">
        <f>IF($AD900="","",Settings!$C$6)</f>
        <v/>
      </c>
      <c r="X900" s="7">
        <f>IF($AD900="","",SUMIFS('Per Line'!$AB$2:$AB$3001,'Per Line'!$E$2:$E$3001,$B900,'Per Line'!$AP$2:$AP$3001,1,'Per Line'!$AQ$2:$AQ$3001,0))</f>
        <v/>
      </c>
      <c r="Y900" s="7">
        <f>IF($AD900="","",X900*W900)</f>
        <v/>
      </c>
      <c r="Z900" s="7">
        <f>IF($AD900="","",Y900+V900)</f>
        <v/>
      </c>
      <c r="AA900" s="7">
        <f>IF($AD900="","",AB900-Z900)</f>
        <v/>
      </c>
      <c r="AB900" s="7">
        <f>IF($AD900="","",U900+X900+S900)</f>
        <v/>
      </c>
      <c r="AC900" s="7">
        <f>IF($AD900="","",AB900-Z900-P900)</f>
        <v/>
      </c>
      <c r="AD900" s="13">
        <f>IF(ROWS($AD$2:$AD900)&lt;=MAX('Per Line'!$AO$2:$AO$3001),MATCH(ROWS($AD$2:$AD900),'Per Line'!$AO$2:$AO$3001,0),"")</f>
        <v/>
      </c>
      <c r="AE900" s="14">
        <f>IF($AD900="","",P900-O900*AB900/100)</f>
        <v/>
      </c>
    </row>
    <row r="901">
      <c r="A901" s="12" t="n"/>
      <c r="B901">
        <f>IF($AD901="","",INDEX('Per Line'!$E$2:$E$3001,$AD901)&amp;"")</f>
        <v/>
      </c>
      <c r="C901">
        <f>IF($AD901="","",INDEX('Per Line'!$A$2:$A$3001,$AD901)&amp;"")</f>
        <v/>
      </c>
      <c r="D901">
        <f>IF($AD901="","",INDEX('Per Line'!$C$2:$C$3001,$AD901)&amp;"")</f>
        <v/>
      </c>
      <c r="E901">
        <f>IF($AD901="","",INDEX('Per Line'!$B$2:$B$3001,$AD901))</f>
        <v/>
      </c>
      <c r="F901">
        <f>IF($AD901="","",INDEX('Per Line'!$D$2:$D$3001,$AD901)&amp;"")</f>
        <v/>
      </c>
      <c r="G901" s="11">
        <f>IF($AD901="","",INDEX('Per Line'!$G$2:$G$3001,$AD901))</f>
        <v/>
      </c>
      <c r="H901">
        <f>IF($AD901="","",INDEX('Per Line'!$J$2:$J$3001,$AD901)&amp;"")</f>
        <v/>
      </c>
      <c r="I901">
        <f>IF($AD901="","",INDEX('Per Line'!$H$2:$H$3001,$AD901)&amp;"")</f>
        <v/>
      </c>
      <c r="J901">
        <f>IF($AD901="","",INDEX('Per Line'!$F$2:$F$3001,$AD901)&amp;"")</f>
        <v/>
      </c>
      <c r="K901">
        <f>IF($AD901="","",INDEX('Per Line'!$K$2:$K$3001,$AD901)&amp;"")</f>
        <v/>
      </c>
      <c r="L901">
        <f>IF($AD901="","",INDEX('Per Line'!$L$2:$L$3001,$AD901)&amp;"")</f>
        <v/>
      </c>
      <c r="M901">
        <f>IF($AD901="","",INDEX('Per Line'!$M$2:$M$3001,$AD901)&amp;"")</f>
        <v/>
      </c>
      <c r="N901">
        <f>IF($AD901="","",INDEX('Per Line'!$AC$2:$AC$3001,$AD901)&amp;"")</f>
        <v/>
      </c>
      <c r="O901">
        <f>IF($AD901="","",INDEX('Per Line'!$P$2:$P$3001,$AD901))</f>
        <v/>
      </c>
      <c r="P901" s="7">
        <f>IF($AD901="","",IF(AND(ISNUMBER(Q901),Q901&gt;0,AB901&gt;Q901),O901*Q901/100+(AB901-Q901),O901*AB901/100))</f>
        <v/>
      </c>
      <c r="Q901">
        <f>IF($AD901="","",INDEX('Per Line'!$AG$2:$AG$3001,$AD901))</f>
        <v/>
      </c>
      <c r="R901">
        <f>IF($AD901="","",IF(AND(ISNUMBER(Q901),Q901&gt;0),AB901&gt;Q901,FALSE))</f>
        <v/>
      </c>
      <c r="S901" s="7">
        <f>IF($AD901="","",SUMIFS('Per Line'!$AB$2:$AB$3001,'Per Line'!$E$2:$E$3001,$B901,'Per Line'!$AQ$2:$AQ$3001,1))</f>
        <v/>
      </c>
      <c r="T901">
        <f>IF($AD901="","",Settings!$C$7)</f>
        <v/>
      </c>
      <c r="U901" s="7">
        <f>IF($AD901="","",SUMIFS('Per Line'!$AB$2:$AB$3001,'Per Line'!$E$2:$E$3001,$B901,'Per Line'!$AP$2:$AP$3001,0,'Per Line'!$AQ$2:$AQ$3001,0))</f>
        <v/>
      </c>
      <c r="V901" s="7">
        <f>IF($AD901="","",U901*T901)</f>
        <v/>
      </c>
      <c r="W901">
        <f>IF($AD901="","",Settings!$C$6)</f>
        <v/>
      </c>
      <c r="X901" s="7">
        <f>IF($AD901="","",SUMIFS('Per Line'!$AB$2:$AB$3001,'Per Line'!$E$2:$E$3001,$B901,'Per Line'!$AP$2:$AP$3001,1,'Per Line'!$AQ$2:$AQ$3001,0))</f>
        <v/>
      </c>
      <c r="Y901" s="7">
        <f>IF($AD901="","",X901*W901)</f>
        <v/>
      </c>
      <c r="Z901" s="7">
        <f>IF($AD901="","",Y901+V901)</f>
        <v/>
      </c>
      <c r="AA901" s="7">
        <f>IF($AD901="","",AB901-Z901)</f>
        <v/>
      </c>
      <c r="AB901" s="7">
        <f>IF($AD901="","",U901+X901+S901)</f>
        <v/>
      </c>
      <c r="AC901" s="7">
        <f>IF($AD901="","",AB901-Z901-P901)</f>
        <v/>
      </c>
      <c r="AD901" s="13">
        <f>IF(ROWS($AD$2:$AD901)&lt;=MAX('Per Line'!$AO$2:$AO$3001),MATCH(ROWS($AD$2:$AD901),'Per Line'!$AO$2:$AO$3001,0),"")</f>
        <v/>
      </c>
      <c r="AE901" s="14">
        <f>IF($AD901="","",P901-O901*AB901/100)</f>
        <v/>
      </c>
    </row>
    <row r="902">
      <c r="A902" s="12" t="n"/>
      <c r="B902">
        <f>IF($AD902="","",INDEX('Per Line'!$E$2:$E$3001,$AD902)&amp;"")</f>
        <v/>
      </c>
      <c r="C902">
        <f>IF($AD902="","",INDEX('Per Line'!$A$2:$A$3001,$AD902)&amp;"")</f>
        <v/>
      </c>
      <c r="D902">
        <f>IF($AD902="","",INDEX('Per Line'!$C$2:$C$3001,$AD902)&amp;"")</f>
        <v/>
      </c>
      <c r="E902">
        <f>IF($AD902="","",INDEX('Per Line'!$B$2:$B$3001,$AD902))</f>
        <v/>
      </c>
      <c r="F902">
        <f>IF($AD902="","",INDEX('Per Line'!$D$2:$D$3001,$AD902)&amp;"")</f>
        <v/>
      </c>
      <c r="G902" s="11">
        <f>IF($AD902="","",INDEX('Per Line'!$G$2:$G$3001,$AD902))</f>
        <v/>
      </c>
      <c r="H902">
        <f>IF($AD902="","",INDEX('Per Line'!$J$2:$J$3001,$AD902)&amp;"")</f>
        <v/>
      </c>
      <c r="I902">
        <f>IF($AD902="","",INDEX('Per Line'!$H$2:$H$3001,$AD902)&amp;"")</f>
        <v/>
      </c>
      <c r="J902">
        <f>IF($AD902="","",INDEX('Per Line'!$F$2:$F$3001,$AD902)&amp;"")</f>
        <v/>
      </c>
      <c r="K902">
        <f>IF($AD902="","",INDEX('Per Line'!$K$2:$K$3001,$AD902)&amp;"")</f>
        <v/>
      </c>
      <c r="L902">
        <f>IF($AD902="","",INDEX('Per Line'!$L$2:$L$3001,$AD902)&amp;"")</f>
        <v/>
      </c>
      <c r="M902">
        <f>IF($AD902="","",INDEX('Per Line'!$M$2:$M$3001,$AD902)&amp;"")</f>
        <v/>
      </c>
      <c r="N902">
        <f>IF($AD902="","",INDEX('Per Line'!$AC$2:$AC$3001,$AD902)&amp;"")</f>
        <v/>
      </c>
      <c r="O902">
        <f>IF($AD902="","",INDEX('Per Line'!$P$2:$P$3001,$AD902))</f>
        <v/>
      </c>
      <c r="P902" s="7">
        <f>IF($AD902="","",IF(AND(ISNUMBER(Q902),Q902&gt;0,AB902&gt;Q902),O902*Q902/100+(AB902-Q902),O902*AB902/100))</f>
        <v/>
      </c>
      <c r="Q902">
        <f>IF($AD902="","",INDEX('Per Line'!$AG$2:$AG$3001,$AD902))</f>
        <v/>
      </c>
      <c r="R902">
        <f>IF($AD902="","",IF(AND(ISNUMBER(Q902),Q902&gt;0),AB902&gt;Q902,FALSE))</f>
        <v/>
      </c>
      <c r="S902" s="7">
        <f>IF($AD902="","",SUMIFS('Per Line'!$AB$2:$AB$3001,'Per Line'!$E$2:$E$3001,$B902,'Per Line'!$AQ$2:$AQ$3001,1))</f>
        <v/>
      </c>
      <c r="T902">
        <f>IF($AD902="","",Settings!$C$7)</f>
        <v/>
      </c>
      <c r="U902" s="7">
        <f>IF($AD902="","",SUMIFS('Per Line'!$AB$2:$AB$3001,'Per Line'!$E$2:$E$3001,$B902,'Per Line'!$AP$2:$AP$3001,0,'Per Line'!$AQ$2:$AQ$3001,0))</f>
        <v/>
      </c>
      <c r="V902" s="7">
        <f>IF($AD902="","",U902*T902)</f>
        <v/>
      </c>
      <c r="W902">
        <f>IF($AD902="","",Settings!$C$6)</f>
        <v/>
      </c>
      <c r="X902" s="7">
        <f>IF($AD902="","",SUMIFS('Per Line'!$AB$2:$AB$3001,'Per Line'!$E$2:$E$3001,$B902,'Per Line'!$AP$2:$AP$3001,1,'Per Line'!$AQ$2:$AQ$3001,0))</f>
        <v/>
      </c>
      <c r="Y902" s="7">
        <f>IF($AD902="","",X902*W902)</f>
        <v/>
      </c>
      <c r="Z902" s="7">
        <f>IF($AD902="","",Y902+V902)</f>
        <v/>
      </c>
      <c r="AA902" s="7">
        <f>IF($AD902="","",AB902-Z902)</f>
        <v/>
      </c>
      <c r="AB902" s="7">
        <f>IF($AD902="","",U902+X902+S902)</f>
        <v/>
      </c>
      <c r="AC902" s="7">
        <f>IF($AD902="","",AB902-Z902-P902)</f>
        <v/>
      </c>
      <c r="AD902" s="13">
        <f>IF(ROWS($AD$2:$AD902)&lt;=MAX('Per Line'!$AO$2:$AO$3001),MATCH(ROWS($AD$2:$AD902),'Per Line'!$AO$2:$AO$3001,0),"")</f>
        <v/>
      </c>
      <c r="AE902" s="14">
        <f>IF($AD902="","",P902-O902*AB902/100)</f>
        <v/>
      </c>
    </row>
    <row r="903">
      <c r="A903" s="12" t="n"/>
      <c r="B903">
        <f>IF($AD903="","",INDEX('Per Line'!$E$2:$E$3001,$AD903)&amp;"")</f>
        <v/>
      </c>
      <c r="C903">
        <f>IF($AD903="","",INDEX('Per Line'!$A$2:$A$3001,$AD903)&amp;"")</f>
        <v/>
      </c>
      <c r="D903">
        <f>IF($AD903="","",INDEX('Per Line'!$C$2:$C$3001,$AD903)&amp;"")</f>
        <v/>
      </c>
      <c r="E903">
        <f>IF($AD903="","",INDEX('Per Line'!$B$2:$B$3001,$AD903))</f>
        <v/>
      </c>
      <c r="F903">
        <f>IF($AD903="","",INDEX('Per Line'!$D$2:$D$3001,$AD903)&amp;"")</f>
        <v/>
      </c>
      <c r="G903" s="11">
        <f>IF($AD903="","",INDEX('Per Line'!$G$2:$G$3001,$AD903))</f>
        <v/>
      </c>
      <c r="H903">
        <f>IF($AD903="","",INDEX('Per Line'!$J$2:$J$3001,$AD903)&amp;"")</f>
        <v/>
      </c>
      <c r="I903">
        <f>IF($AD903="","",INDEX('Per Line'!$H$2:$H$3001,$AD903)&amp;"")</f>
        <v/>
      </c>
      <c r="J903">
        <f>IF($AD903="","",INDEX('Per Line'!$F$2:$F$3001,$AD903)&amp;"")</f>
        <v/>
      </c>
      <c r="K903">
        <f>IF($AD903="","",INDEX('Per Line'!$K$2:$K$3001,$AD903)&amp;"")</f>
        <v/>
      </c>
      <c r="L903">
        <f>IF($AD903="","",INDEX('Per Line'!$L$2:$L$3001,$AD903)&amp;"")</f>
        <v/>
      </c>
      <c r="M903">
        <f>IF($AD903="","",INDEX('Per Line'!$M$2:$M$3001,$AD903)&amp;"")</f>
        <v/>
      </c>
      <c r="N903">
        <f>IF($AD903="","",INDEX('Per Line'!$AC$2:$AC$3001,$AD903)&amp;"")</f>
        <v/>
      </c>
      <c r="O903">
        <f>IF($AD903="","",INDEX('Per Line'!$P$2:$P$3001,$AD903))</f>
        <v/>
      </c>
      <c r="P903" s="7">
        <f>IF($AD903="","",IF(AND(ISNUMBER(Q903),Q903&gt;0,AB903&gt;Q903),O903*Q903/100+(AB903-Q903),O903*AB903/100))</f>
        <v/>
      </c>
      <c r="Q903">
        <f>IF($AD903="","",INDEX('Per Line'!$AG$2:$AG$3001,$AD903))</f>
        <v/>
      </c>
      <c r="R903">
        <f>IF($AD903="","",IF(AND(ISNUMBER(Q903),Q903&gt;0),AB903&gt;Q903,FALSE))</f>
        <v/>
      </c>
      <c r="S903" s="7">
        <f>IF($AD903="","",SUMIFS('Per Line'!$AB$2:$AB$3001,'Per Line'!$E$2:$E$3001,$B903,'Per Line'!$AQ$2:$AQ$3001,1))</f>
        <v/>
      </c>
      <c r="T903">
        <f>IF($AD903="","",Settings!$C$7)</f>
        <v/>
      </c>
      <c r="U903" s="7">
        <f>IF($AD903="","",SUMIFS('Per Line'!$AB$2:$AB$3001,'Per Line'!$E$2:$E$3001,$B903,'Per Line'!$AP$2:$AP$3001,0,'Per Line'!$AQ$2:$AQ$3001,0))</f>
        <v/>
      </c>
      <c r="V903" s="7">
        <f>IF($AD903="","",U903*T903)</f>
        <v/>
      </c>
      <c r="W903">
        <f>IF($AD903="","",Settings!$C$6)</f>
        <v/>
      </c>
      <c r="X903" s="7">
        <f>IF($AD903="","",SUMIFS('Per Line'!$AB$2:$AB$3001,'Per Line'!$E$2:$E$3001,$B903,'Per Line'!$AP$2:$AP$3001,1,'Per Line'!$AQ$2:$AQ$3001,0))</f>
        <v/>
      </c>
      <c r="Y903" s="7">
        <f>IF($AD903="","",X903*W903)</f>
        <v/>
      </c>
      <c r="Z903" s="7">
        <f>IF($AD903="","",Y903+V903)</f>
        <v/>
      </c>
      <c r="AA903" s="7">
        <f>IF($AD903="","",AB903-Z903)</f>
        <v/>
      </c>
      <c r="AB903" s="7">
        <f>IF($AD903="","",U903+X903+S903)</f>
        <v/>
      </c>
      <c r="AC903" s="7">
        <f>IF($AD903="","",AB903-Z903-P903)</f>
        <v/>
      </c>
      <c r="AD903" s="13">
        <f>IF(ROWS($AD$2:$AD903)&lt;=MAX('Per Line'!$AO$2:$AO$3001),MATCH(ROWS($AD$2:$AD903),'Per Line'!$AO$2:$AO$3001,0),"")</f>
        <v/>
      </c>
      <c r="AE903" s="14">
        <f>IF($AD903="","",P903-O903*AB903/100)</f>
        <v/>
      </c>
    </row>
    <row r="904">
      <c r="A904" s="12" t="n"/>
      <c r="B904">
        <f>IF($AD904="","",INDEX('Per Line'!$E$2:$E$3001,$AD904)&amp;"")</f>
        <v/>
      </c>
      <c r="C904">
        <f>IF($AD904="","",INDEX('Per Line'!$A$2:$A$3001,$AD904)&amp;"")</f>
        <v/>
      </c>
      <c r="D904">
        <f>IF($AD904="","",INDEX('Per Line'!$C$2:$C$3001,$AD904)&amp;"")</f>
        <v/>
      </c>
      <c r="E904">
        <f>IF($AD904="","",INDEX('Per Line'!$B$2:$B$3001,$AD904))</f>
        <v/>
      </c>
      <c r="F904">
        <f>IF($AD904="","",INDEX('Per Line'!$D$2:$D$3001,$AD904)&amp;"")</f>
        <v/>
      </c>
      <c r="G904" s="11">
        <f>IF($AD904="","",INDEX('Per Line'!$G$2:$G$3001,$AD904))</f>
        <v/>
      </c>
      <c r="H904">
        <f>IF($AD904="","",INDEX('Per Line'!$J$2:$J$3001,$AD904)&amp;"")</f>
        <v/>
      </c>
      <c r="I904">
        <f>IF($AD904="","",INDEX('Per Line'!$H$2:$H$3001,$AD904)&amp;"")</f>
        <v/>
      </c>
      <c r="J904">
        <f>IF($AD904="","",INDEX('Per Line'!$F$2:$F$3001,$AD904)&amp;"")</f>
        <v/>
      </c>
      <c r="K904">
        <f>IF($AD904="","",INDEX('Per Line'!$K$2:$K$3001,$AD904)&amp;"")</f>
        <v/>
      </c>
      <c r="L904">
        <f>IF($AD904="","",INDEX('Per Line'!$L$2:$L$3001,$AD904)&amp;"")</f>
        <v/>
      </c>
      <c r="M904">
        <f>IF($AD904="","",INDEX('Per Line'!$M$2:$M$3001,$AD904)&amp;"")</f>
        <v/>
      </c>
      <c r="N904">
        <f>IF($AD904="","",INDEX('Per Line'!$AC$2:$AC$3001,$AD904)&amp;"")</f>
        <v/>
      </c>
      <c r="O904">
        <f>IF($AD904="","",INDEX('Per Line'!$P$2:$P$3001,$AD904))</f>
        <v/>
      </c>
      <c r="P904" s="7">
        <f>IF($AD904="","",IF(AND(ISNUMBER(Q904),Q904&gt;0,AB904&gt;Q904),O904*Q904/100+(AB904-Q904),O904*AB904/100))</f>
        <v/>
      </c>
      <c r="Q904">
        <f>IF($AD904="","",INDEX('Per Line'!$AG$2:$AG$3001,$AD904))</f>
        <v/>
      </c>
      <c r="R904">
        <f>IF($AD904="","",IF(AND(ISNUMBER(Q904),Q904&gt;0),AB904&gt;Q904,FALSE))</f>
        <v/>
      </c>
      <c r="S904" s="7">
        <f>IF($AD904="","",SUMIFS('Per Line'!$AB$2:$AB$3001,'Per Line'!$E$2:$E$3001,$B904,'Per Line'!$AQ$2:$AQ$3001,1))</f>
        <v/>
      </c>
      <c r="T904">
        <f>IF($AD904="","",Settings!$C$7)</f>
        <v/>
      </c>
      <c r="U904" s="7">
        <f>IF($AD904="","",SUMIFS('Per Line'!$AB$2:$AB$3001,'Per Line'!$E$2:$E$3001,$B904,'Per Line'!$AP$2:$AP$3001,0,'Per Line'!$AQ$2:$AQ$3001,0))</f>
        <v/>
      </c>
      <c r="V904" s="7">
        <f>IF($AD904="","",U904*T904)</f>
        <v/>
      </c>
      <c r="W904">
        <f>IF($AD904="","",Settings!$C$6)</f>
        <v/>
      </c>
      <c r="X904" s="7">
        <f>IF($AD904="","",SUMIFS('Per Line'!$AB$2:$AB$3001,'Per Line'!$E$2:$E$3001,$B904,'Per Line'!$AP$2:$AP$3001,1,'Per Line'!$AQ$2:$AQ$3001,0))</f>
        <v/>
      </c>
      <c r="Y904" s="7">
        <f>IF($AD904="","",X904*W904)</f>
        <v/>
      </c>
      <c r="Z904" s="7">
        <f>IF($AD904="","",Y904+V904)</f>
        <v/>
      </c>
      <c r="AA904" s="7">
        <f>IF($AD904="","",AB904-Z904)</f>
        <v/>
      </c>
      <c r="AB904" s="7">
        <f>IF($AD904="","",U904+X904+S904)</f>
        <v/>
      </c>
      <c r="AC904" s="7">
        <f>IF($AD904="","",AB904-Z904-P904)</f>
        <v/>
      </c>
      <c r="AD904" s="13">
        <f>IF(ROWS($AD$2:$AD904)&lt;=MAX('Per Line'!$AO$2:$AO$3001),MATCH(ROWS($AD$2:$AD904),'Per Line'!$AO$2:$AO$3001,0),"")</f>
        <v/>
      </c>
      <c r="AE904" s="14">
        <f>IF($AD904="","",P904-O904*AB904/100)</f>
        <v/>
      </c>
    </row>
    <row r="905">
      <c r="A905" s="12" t="n"/>
      <c r="B905">
        <f>IF($AD905="","",INDEX('Per Line'!$E$2:$E$3001,$AD905)&amp;"")</f>
        <v/>
      </c>
      <c r="C905">
        <f>IF($AD905="","",INDEX('Per Line'!$A$2:$A$3001,$AD905)&amp;"")</f>
        <v/>
      </c>
      <c r="D905">
        <f>IF($AD905="","",INDEX('Per Line'!$C$2:$C$3001,$AD905)&amp;"")</f>
        <v/>
      </c>
      <c r="E905">
        <f>IF($AD905="","",INDEX('Per Line'!$B$2:$B$3001,$AD905))</f>
        <v/>
      </c>
      <c r="F905">
        <f>IF($AD905="","",INDEX('Per Line'!$D$2:$D$3001,$AD905)&amp;"")</f>
        <v/>
      </c>
      <c r="G905" s="11">
        <f>IF($AD905="","",INDEX('Per Line'!$G$2:$G$3001,$AD905))</f>
        <v/>
      </c>
      <c r="H905">
        <f>IF($AD905="","",INDEX('Per Line'!$J$2:$J$3001,$AD905)&amp;"")</f>
        <v/>
      </c>
      <c r="I905">
        <f>IF($AD905="","",INDEX('Per Line'!$H$2:$H$3001,$AD905)&amp;"")</f>
        <v/>
      </c>
      <c r="J905">
        <f>IF($AD905="","",INDEX('Per Line'!$F$2:$F$3001,$AD905)&amp;"")</f>
        <v/>
      </c>
      <c r="K905">
        <f>IF($AD905="","",INDEX('Per Line'!$K$2:$K$3001,$AD905)&amp;"")</f>
        <v/>
      </c>
      <c r="L905">
        <f>IF($AD905="","",INDEX('Per Line'!$L$2:$L$3001,$AD905)&amp;"")</f>
        <v/>
      </c>
      <c r="M905">
        <f>IF($AD905="","",INDEX('Per Line'!$M$2:$M$3001,$AD905)&amp;"")</f>
        <v/>
      </c>
      <c r="N905">
        <f>IF($AD905="","",INDEX('Per Line'!$AC$2:$AC$3001,$AD905)&amp;"")</f>
        <v/>
      </c>
      <c r="O905">
        <f>IF($AD905="","",INDEX('Per Line'!$P$2:$P$3001,$AD905))</f>
        <v/>
      </c>
      <c r="P905" s="7">
        <f>IF($AD905="","",IF(AND(ISNUMBER(Q905),Q905&gt;0,AB905&gt;Q905),O905*Q905/100+(AB905-Q905),O905*AB905/100))</f>
        <v/>
      </c>
      <c r="Q905">
        <f>IF($AD905="","",INDEX('Per Line'!$AG$2:$AG$3001,$AD905))</f>
        <v/>
      </c>
      <c r="R905">
        <f>IF($AD905="","",IF(AND(ISNUMBER(Q905),Q905&gt;0),AB905&gt;Q905,FALSE))</f>
        <v/>
      </c>
      <c r="S905" s="7">
        <f>IF($AD905="","",SUMIFS('Per Line'!$AB$2:$AB$3001,'Per Line'!$E$2:$E$3001,$B905,'Per Line'!$AQ$2:$AQ$3001,1))</f>
        <v/>
      </c>
      <c r="T905">
        <f>IF($AD905="","",Settings!$C$7)</f>
        <v/>
      </c>
      <c r="U905" s="7">
        <f>IF($AD905="","",SUMIFS('Per Line'!$AB$2:$AB$3001,'Per Line'!$E$2:$E$3001,$B905,'Per Line'!$AP$2:$AP$3001,0,'Per Line'!$AQ$2:$AQ$3001,0))</f>
        <v/>
      </c>
      <c r="V905" s="7">
        <f>IF($AD905="","",U905*T905)</f>
        <v/>
      </c>
      <c r="W905">
        <f>IF($AD905="","",Settings!$C$6)</f>
        <v/>
      </c>
      <c r="X905" s="7">
        <f>IF($AD905="","",SUMIFS('Per Line'!$AB$2:$AB$3001,'Per Line'!$E$2:$E$3001,$B905,'Per Line'!$AP$2:$AP$3001,1,'Per Line'!$AQ$2:$AQ$3001,0))</f>
        <v/>
      </c>
      <c r="Y905" s="7">
        <f>IF($AD905="","",X905*W905)</f>
        <v/>
      </c>
      <c r="Z905" s="7">
        <f>IF($AD905="","",Y905+V905)</f>
        <v/>
      </c>
      <c r="AA905" s="7">
        <f>IF($AD905="","",AB905-Z905)</f>
        <v/>
      </c>
      <c r="AB905" s="7">
        <f>IF($AD905="","",U905+X905+S905)</f>
        <v/>
      </c>
      <c r="AC905" s="7">
        <f>IF($AD905="","",AB905-Z905-P905)</f>
        <v/>
      </c>
      <c r="AD905" s="13">
        <f>IF(ROWS($AD$2:$AD905)&lt;=MAX('Per Line'!$AO$2:$AO$3001),MATCH(ROWS($AD$2:$AD905),'Per Line'!$AO$2:$AO$3001,0),"")</f>
        <v/>
      </c>
      <c r="AE905" s="14">
        <f>IF($AD905="","",P905-O905*AB905/100)</f>
        <v/>
      </c>
    </row>
    <row r="906">
      <c r="A906" s="12" t="n"/>
      <c r="B906">
        <f>IF($AD906="","",INDEX('Per Line'!$E$2:$E$3001,$AD906)&amp;"")</f>
        <v/>
      </c>
      <c r="C906">
        <f>IF($AD906="","",INDEX('Per Line'!$A$2:$A$3001,$AD906)&amp;"")</f>
        <v/>
      </c>
      <c r="D906">
        <f>IF($AD906="","",INDEX('Per Line'!$C$2:$C$3001,$AD906)&amp;"")</f>
        <v/>
      </c>
      <c r="E906">
        <f>IF($AD906="","",INDEX('Per Line'!$B$2:$B$3001,$AD906))</f>
        <v/>
      </c>
      <c r="F906">
        <f>IF($AD906="","",INDEX('Per Line'!$D$2:$D$3001,$AD906)&amp;"")</f>
        <v/>
      </c>
      <c r="G906" s="11">
        <f>IF($AD906="","",INDEX('Per Line'!$G$2:$G$3001,$AD906))</f>
        <v/>
      </c>
      <c r="H906">
        <f>IF($AD906="","",INDEX('Per Line'!$J$2:$J$3001,$AD906)&amp;"")</f>
        <v/>
      </c>
      <c r="I906">
        <f>IF($AD906="","",INDEX('Per Line'!$H$2:$H$3001,$AD906)&amp;"")</f>
        <v/>
      </c>
      <c r="J906">
        <f>IF($AD906="","",INDEX('Per Line'!$F$2:$F$3001,$AD906)&amp;"")</f>
        <v/>
      </c>
      <c r="K906">
        <f>IF($AD906="","",INDEX('Per Line'!$K$2:$K$3001,$AD906)&amp;"")</f>
        <v/>
      </c>
      <c r="L906">
        <f>IF($AD906="","",INDEX('Per Line'!$L$2:$L$3001,$AD906)&amp;"")</f>
        <v/>
      </c>
      <c r="M906">
        <f>IF($AD906="","",INDEX('Per Line'!$M$2:$M$3001,$AD906)&amp;"")</f>
        <v/>
      </c>
      <c r="N906">
        <f>IF($AD906="","",INDEX('Per Line'!$AC$2:$AC$3001,$AD906)&amp;"")</f>
        <v/>
      </c>
      <c r="O906">
        <f>IF($AD906="","",INDEX('Per Line'!$P$2:$P$3001,$AD906))</f>
        <v/>
      </c>
      <c r="P906" s="7">
        <f>IF($AD906="","",IF(AND(ISNUMBER(Q906),Q906&gt;0,AB906&gt;Q906),O906*Q906/100+(AB906-Q906),O906*AB906/100))</f>
        <v/>
      </c>
      <c r="Q906">
        <f>IF($AD906="","",INDEX('Per Line'!$AG$2:$AG$3001,$AD906))</f>
        <v/>
      </c>
      <c r="R906">
        <f>IF($AD906="","",IF(AND(ISNUMBER(Q906),Q906&gt;0),AB906&gt;Q906,FALSE))</f>
        <v/>
      </c>
      <c r="S906" s="7">
        <f>IF($AD906="","",SUMIFS('Per Line'!$AB$2:$AB$3001,'Per Line'!$E$2:$E$3001,$B906,'Per Line'!$AQ$2:$AQ$3001,1))</f>
        <v/>
      </c>
      <c r="T906">
        <f>IF($AD906="","",Settings!$C$7)</f>
        <v/>
      </c>
      <c r="U906" s="7">
        <f>IF($AD906="","",SUMIFS('Per Line'!$AB$2:$AB$3001,'Per Line'!$E$2:$E$3001,$B906,'Per Line'!$AP$2:$AP$3001,0,'Per Line'!$AQ$2:$AQ$3001,0))</f>
        <v/>
      </c>
      <c r="V906" s="7">
        <f>IF($AD906="","",U906*T906)</f>
        <v/>
      </c>
      <c r="W906">
        <f>IF($AD906="","",Settings!$C$6)</f>
        <v/>
      </c>
      <c r="X906" s="7">
        <f>IF($AD906="","",SUMIFS('Per Line'!$AB$2:$AB$3001,'Per Line'!$E$2:$E$3001,$B906,'Per Line'!$AP$2:$AP$3001,1,'Per Line'!$AQ$2:$AQ$3001,0))</f>
        <v/>
      </c>
      <c r="Y906" s="7">
        <f>IF($AD906="","",X906*W906)</f>
        <v/>
      </c>
      <c r="Z906" s="7">
        <f>IF($AD906="","",Y906+V906)</f>
        <v/>
      </c>
      <c r="AA906" s="7">
        <f>IF($AD906="","",AB906-Z906)</f>
        <v/>
      </c>
      <c r="AB906" s="7">
        <f>IF($AD906="","",U906+X906+S906)</f>
        <v/>
      </c>
      <c r="AC906" s="7">
        <f>IF($AD906="","",AB906-Z906-P906)</f>
        <v/>
      </c>
      <c r="AD906" s="13">
        <f>IF(ROWS($AD$2:$AD906)&lt;=MAX('Per Line'!$AO$2:$AO$3001),MATCH(ROWS($AD$2:$AD906),'Per Line'!$AO$2:$AO$3001,0),"")</f>
        <v/>
      </c>
      <c r="AE906" s="14">
        <f>IF($AD906="","",P906-O906*AB906/100)</f>
        <v/>
      </c>
    </row>
    <row r="907">
      <c r="A907" s="12" t="n"/>
      <c r="B907">
        <f>IF($AD907="","",INDEX('Per Line'!$E$2:$E$3001,$AD907)&amp;"")</f>
        <v/>
      </c>
      <c r="C907">
        <f>IF($AD907="","",INDEX('Per Line'!$A$2:$A$3001,$AD907)&amp;"")</f>
        <v/>
      </c>
      <c r="D907">
        <f>IF($AD907="","",INDEX('Per Line'!$C$2:$C$3001,$AD907)&amp;"")</f>
        <v/>
      </c>
      <c r="E907">
        <f>IF($AD907="","",INDEX('Per Line'!$B$2:$B$3001,$AD907))</f>
        <v/>
      </c>
      <c r="F907">
        <f>IF($AD907="","",INDEX('Per Line'!$D$2:$D$3001,$AD907)&amp;"")</f>
        <v/>
      </c>
      <c r="G907" s="11">
        <f>IF($AD907="","",INDEX('Per Line'!$G$2:$G$3001,$AD907))</f>
        <v/>
      </c>
      <c r="H907">
        <f>IF($AD907="","",INDEX('Per Line'!$J$2:$J$3001,$AD907)&amp;"")</f>
        <v/>
      </c>
      <c r="I907">
        <f>IF($AD907="","",INDEX('Per Line'!$H$2:$H$3001,$AD907)&amp;"")</f>
        <v/>
      </c>
      <c r="J907">
        <f>IF($AD907="","",INDEX('Per Line'!$F$2:$F$3001,$AD907)&amp;"")</f>
        <v/>
      </c>
      <c r="K907">
        <f>IF($AD907="","",INDEX('Per Line'!$K$2:$K$3001,$AD907)&amp;"")</f>
        <v/>
      </c>
      <c r="L907">
        <f>IF($AD907="","",INDEX('Per Line'!$L$2:$L$3001,$AD907)&amp;"")</f>
        <v/>
      </c>
      <c r="M907">
        <f>IF($AD907="","",INDEX('Per Line'!$M$2:$M$3001,$AD907)&amp;"")</f>
        <v/>
      </c>
      <c r="N907">
        <f>IF($AD907="","",INDEX('Per Line'!$AC$2:$AC$3001,$AD907)&amp;"")</f>
        <v/>
      </c>
      <c r="O907">
        <f>IF($AD907="","",INDEX('Per Line'!$P$2:$P$3001,$AD907))</f>
        <v/>
      </c>
      <c r="P907" s="7">
        <f>IF($AD907="","",IF(AND(ISNUMBER(Q907),Q907&gt;0,AB907&gt;Q907),O907*Q907/100+(AB907-Q907),O907*AB907/100))</f>
        <v/>
      </c>
      <c r="Q907">
        <f>IF($AD907="","",INDEX('Per Line'!$AG$2:$AG$3001,$AD907))</f>
        <v/>
      </c>
      <c r="R907">
        <f>IF($AD907="","",IF(AND(ISNUMBER(Q907),Q907&gt;0),AB907&gt;Q907,FALSE))</f>
        <v/>
      </c>
      <c r="S907" s="7">
        <f>IF($AD907="","",SUMIFS('Per Line'!$AB$2:$AB$3001,'Per Line'!$E$2:$E$3001,$B907,'Per Line'!$AQ$2:$AQ$3001,1))</f>
        <v/>
      </c>
      <c r="T907">
        <f>IF($AD907="","",Settings!$C$7)</f>
        <v/>
      </c>
      <c r="U907" s="7">
        <f>IF($AD907="","",SUMIFS('Per Line'!$AB$2:$AB$3001,'Per Line'!$E$2:$E$3001,$B907,'Per Line'!$AP$2:$AP$3001,0,'Per Line'!$AQ$2:$AQ$3001,0))</f>
        <v/>
      </c>
      <c r="V907" s="7">
        <f>IF($AD907="","",U907*T907)</f>
        <v/>
      </c>
      <c r="W907">
        <f>IF($AD907="","",Settings!$C$6)</f>
        <v/>
      </c>
      <c r="X907" s="7">
        <f>IF($AD907="","",SUMIFS('Per Line'!$AB$2:$AB$3001,'Per Line'!$E$2:$E$3001,$B907,'Per Line'!$AP$2:$AP$3001,1,'Per Line'!$AQ$2:$AQ$3001,0))</f>
        <v/>
      </c>
      <c r="Y907" s="7">
        <f>IF($AD907="","",X907*W907)</f>
        <v/>
      </c>
      <c r="Z907" s="7">
        <f>IF($AD907="","",Y907+V907)</f>
        <v/>
      </c>
      <c r="AA907" s="7">
        <f>IF($AD907="","",AB907-Z907)</f>
        <v/>
      </c>
      <c r="AB907" s="7">
        <f>IF($AD907="","",U907+X907+S907)</f>
        <v/>
      </c>
      <c r="AC907" s="7">
        <f>IF($AD907="","",AB907-Z907-P907)</f>
        <v/>
      </c>
      <c r="AD907" s="13">
        <f>IF(ROWS($AD$2:$AD907)&lt;=MAX('Per Line'!$AO$2:$AO$3001),MATCH(ROWS($AD$2:$AD907),'Per Line'!$AO$2:$AO$3001,0),"")</f>
        <v/>
      </c>
      <c r="AE907" s="14">
        <f>IF($AD907="","",P907-O907*AB907/100)</f>
        <v/>
      </c>
    </row>
    <row r="908">
      <c r="A908" s="12" t="n"/>
      <c r="B908">
        <f>IF($AD908="","",INDEX('Per Line'!$E$2:$E$3001,$AD908)&amp;"")</f>
        <v/>
      </c>
      <c r="C908">
        <f>IF($AD908="","",INDEX('Per Line'!$A$2:$A$3001,$AD908)&amp;"")</f>
        <v/>
      </c>
      <c r="D908">
        <f>IF($AD908="","",INDEX('Per Line'!$C$2:$C$3001,$AD908)&amp;"")</f>
        <v/>
      </c>
      <c r="E908">
        <f>IF($AD908="","",INDEX('Per Line'!$B$2:$B$3001,$AD908))</f>
        <v/>
      </c>
      <c r="F908">
        <f>IF($AD908="","",INDEX('Per Line'!$D$2:$D$3001,$AD908)&amp;"")</f>
        <v/>
      </c>
      <c r="G908" s="11">
        <f>IF($AD908="","",INDEX('Per Line'!$G$2:$G$3001,$AD908))</f>
        <v/>
      </c>
      <c r="H908">
        <f>IF($AD908="","",INDEX('Per Line'!$J$2:$J$3001,$AD908)&amp;"")</f>
        <v/>
      </c>
      <c r="I908">
        <f>IF($AD908="","",INDEX('Per Line'!$H$2:$H$3001,$AD908)&amp;"")</f>
        <v/>
      </c>
      <c r="J908">
        <f>IF($AD908="","",INDEX('Per Line'!$F$2:$F$3001,$AD908)&amp;"")</f>
        <v/>
      </c>
      <c r="K908">
        <f>IF($AD908="","",INDEX('Per Line'!$K$2:$K$3001,$AD908)&amp;"")</f>
        <v/>
      </c>
      <c r="L908">
        <f>IF($AD908="","",INDEX('Per Line'!$L$2:$L$3001,$AD908)&amp;"")</f>
        <v/>
      </c>
      <c r="M908">
        <f>IF($AD908="","",INDEX('Per Line'!$M$2:$M$3001,$AD908)&amp;"")</f>
        <v/>
      </c>
      <c r="N908">
        <f>IF($AD908="","",INDEX('Per Line'!$AC$2:$AC$3001,$AD908)&amp;"")</f>
        <v/>
      </c>
      <c r="O908">
        <f>IF($AD908="","",INDEX('Per Line'!$P$2:$P$3001,$AD908))</f>
        <v/>
      </c>
      <c r="P908" s="7">
        <f>IF($AD908="","",IF(AND(ISNUMBER(Q908),Q908&gt;0,AB908&gt;Q908),O908*Q908/100+(AB908-Q908),O908*AB908/100))</f>
        <v/>
      </c>
      <c r="Q908">
        <f>IF($AD908="","",INDEX('Per Line'!$AG$2:$AG$3001,$AD908))</f>
        <v/>
      </c>
      <c r="R908">
        <f>IF($AD908="","",IF(AND(ISNUMBER(Q908),Q908&gt;0),AB908&gt;Q908,FALSE))</f>
        <v/>
      </c>
      <c r="S908" s="7">
        <f>IF($AD908="","",SUMIFS('Per Line'!$AB$2:$AB$3001,'Per Line'!$E$2:$E$3001,$B908,'Per Line'!$AQ$2:$AQ$3001,1))</f>
        <v/>
      </c>
      <c r="T908">
        <f>IF($AD908="","",Settings!$C$7)</f>
        <v/>
      </c>
      <c r="U908" s="7">
        <f>IF($AD908="","",SUMIFS('Per Line'!$AB$2:$AB$3001,'Per Line'!$E$2:$E$3001,$B908,'Per Line'!$AP$2:$AP$3001,0,'Per Line'!$AQ$2:$AQ$3001,0))</f>
        <v/>
      </c>
      <c r="V908" s="7">
        <f>IF($AD908="","",U908*T908)</f>
        <v/>
      </c>
      <c r="W908">
        <f>IF($AD908="","",Settings!$C$6)</f>
        <v/>
      </c>
      <c r="X908" s="7">
        <f>IF($AD908="","",SUMIFS('Per Line'!$AB$2:$AB$3001,'Per Line'!$E$2:$E$3001,$B908,'Per Line'!$AP$2:$AP$3001,1,'Per Line'!$AQ$2:$AQ$3001,0))</f>
        <v/>
      </c>
      <c r="Y908" s="7">
        <f>IF($AD908="","",X908*W908)</f>
        <v/>
      </c>
      <c r="Z908" s="7">
        <f>IF($AD908="","",Y908+V908)</f>
        <v/>
      </c>
      <c r="AA908" s="7">
        <f>IF($AD908="","",AB908-Z908)</f>
        <v/>
      </c>
      <c r="AB908" s="7">
        <f>IF($AD908="","",U908+X908+S908)</f>
        <v/>
      </c>
      <c r="AC908" s="7">
        <f>IF($AD908="","",AB908-Z908-P908)</f>
        <v/>
      </c>
      <c r="AD908" s="13">
        <f>IF(ROWS($AD$2:$AD908)&lt;=MAX('Per Line'!$AO$2:$AO$3001),MATCH(ROWS($AD$2:$AD908),'Per Line'!$AO$2:$AO$3001,0),"")</f>
        <v/>
      </c>
      <c r="AE908" s="14">
        <f>IF($AD908="","",P908-O908*AB908/100)</f>
        <v/>
      </c>
    </row>
    <row r="909">
      <c r="A909" s="12" t="n"/>
      <c r="B909">
        <f>IF($AD909="","",INDEX('Per Line'!$E$2:$E$3001,$AD909)&amp;"")</f>
        <v/>
      </c>
      <c r="C909">
        <f>IF($AD909="","",INDEX('Per Line'!$A$2:$A$3001,$AD909)&amp;"")</f>
        <v/>
      </c>
      <c r="D909">
        <f>IF($AD909="","",INDEX('Per Line'!$C$2:$C$3001,$AD909)&amp;"")</f>
        <v/>
      </c>
      <c r="E909">
        <f>IF($AD909="","",INDEX('Per Line'!$B$2:$B$3001,$AD909))</f>
        <v/>
      </c>
      <c r="F909">
        <f>IF($AD909="","",INDEX('Per Line'!$D$2:$D$3001,$AD909)&amp;"")</f>
        <v/>
      </c>
      <c r="G909" s="11">
        <f>IF($AD909="","",INDEX('Per Line'!$G$2:$G$3001,$AD909))</f>
        <v/>
      </c>
      <c r="H909">
        <f>IF($AD909="","",INDEX('Per Line'!$J$2:$J$3001,$AD909)&amp;"")</f>
        <v/>
      </c>
      <c r="I909">
        <f>IF($AD909="","",INDEX('Per Line'!$H$2:$H$3001,$AD909)&amp;"")</f>
        <v/>
      </c>
      <c r="J909">
        <f>IF($AD909="","",INDEX('Per Line'!$F$2:$F$3001,$AD909)&amp;"")</f>
        <v/>
      </c>
      <c r="K909">
        <f>IF($AD909="","",INDEX('Per Line'!$K$2:$K$3001,$AD909)&amp;"")</f>
        <v/>
      </c>
      <c r="L909">
        <f>IF($AD909="","",INDEX('Per Line'!$L$2:$L$3001,$AD909)&amp;"")</f>
        <v/>
      </c>
      <c r="M909">
        <f>IF($AD909="","",INDEX('Per Line'!$M$2:$M$3001,$AD909)&amp;"")</f>
        <v/>
      </c>
      <c r="N909">
        <f>IF($AD909="","",INDEX('Per Line'!$AC$2:$AC$3001,$AD909)&amp;"")</f>
        <v/>
      </c>
      <c r="O909">
        <f>IF($AD909="","",INDEX('Per Line'!$P$2:$P$3001,$AD909))</f>
        <v/>
      </c>
      <c r="P909" s="7">
        <f>IF($AD909="","",IF(AND(ISNUMBER(Q909),Q909&gt;0,AB909&gt;Q909),O909*Q909/100+(AB909-Q909),O909*AB909/100))</f>
        <v/>
      </c>
      <c r="Q909">
        <f>IF($AD909="","",INDEX('Per Line'!$AG$2:$AG$3001,$AD909))</f>
        <v/>
      </c>
      <c r="R909">
        <f>IF($AD909="","",IF(AND(ISNUMBER(Q909),Q909&gt;0),AB909&gt;Q909,FALSE))</f>
        <v/>
      </c>
      <c r="S909" s="7">
        <f>IF($AD909="","",SUMIFS('Per Line'!$AB$2:$AB$3001,'Per Line'!$E$2:$E$3001,$B909,'Per Line'!$AQ$2:$AQ$3001,1))</f>
        <v/>
      </c>
      <c r="T909">
        <f>IF($AD909="","",Settings!$C$7)</f>
        <v/>
      </c>
      <c r="U909" s="7">
        <f>IF($AD909="","",SUMIFS('Per Line'!$AB$2:$AB$3001,'Per Line'!$E$2:$E$3001,$B909,'Per Line'!$AP$2:$AP$3001,0,'Per Line'!$AQ$2:$AQ$3001,0))</f>
        <v/>
      </c>
      <c r="V909" s="7">
        <f>IF($AD909="","",U909*T909)</f>
        <v/>
      </c>
      <c r="W909">
        <f>IF($AD909="","",Settings!$C$6)</f>
        <v/>
      </c>
      <c r="X909" s="7">
        <f>IF($AD909="","",SUMIFS('Per Line'!$AB$2:$AB$3001,'Per Line'!$E$2:$E$3001,$B909,'Per Line'!$AP$2:$AP$3001,1,'Per Line'!$AQ$2:$AQ$3001,0))</f>
        <v/>
      </c>
      <c r="Y909" s="7">
        <f>IF($AD909="","",X909*W909)</f>
        <v/>
      </c>
      <c r="Z909" s="7">
        <f>IF($AD909="","",Y909+V909)</f>
        <v/>
      </c>
      <c r="AA909" s="7">
        <f>IF($AD909="","",AB909-Z909)</f>
        <v/>
      </c>
      <c r="AB909" s="7">
        <f>IF($AD909="","",U909+X909+S909)</f>
        <v/>
      </c>
      <c r="AC909" s="7">
        <f>IF($AD909="","",AB909-Z909-P909)</f>
        <v/>
      </c>
      <c r="AD909" s="13">
        <f>IF(ROWS($AD$2:$AD909)&lt;=MAX('Per Line'!$AO$2:$AO$3001),MATCH(ROWS($AD$2:$AD909),'Per Line'!$AO$2:$AO$3001,0),"")</f>
        <v/>
      </c>
      <c r="AE909" s="14">
        <f>IF($AD909="","",P909-O909*AB909/100)</f>
        <v/>
      </c>
    </row>
    <row r="910">
      <c r="A910" s="12" t="n"/>
      <c r="B910">
        <f>IF($AD910="","",INDEX('Per Line'!$E$2:$E$3001,$AD910)&amp;"")</f>
        <v/>
      </c>
      <c r="C910">
        <f>IF($AD910="","",INDEX('Per Line'!$A$2:$A$3001,$AD910)&amp;"")</f>
        <v/>
      </c>
      <c r="D910">
        <f>IF($AD910="","",INDEX('Per Line'!$C$2:$C$3001,$AD910)&amp;"")</f>
        <v/>
      </c>
      <c r="E910">
        <f>IF($AD910="","",INDEX('Per Line'!$B$2:$B$3001,$AD910))</f>
        <v/>
      </c>
      <c r="F910">
        <f>IF($AD910="","",INDEX('Per Line'!$D$2:$D$3001,$AD910)&amp;"")</f>
        <v/>
      </c>
      <c r="G910" s="11">
        <f>IF($AD910="","",INDEX('Per Line'!$G$2:$G$3001,$AD910))</f>
        <v/>
      </c>
      <c r="H910">
        <f>IF($AD910="","",INDEX('Per Line'!$J$2:$J$3001,$AD910)&amp;"")</f>
        <v/>
      </c>
      <c r="I910">
        <f>IF($AD910="","",INDEX('Per Line'!$H$2:$H$3001,$AD910)&amp;"")</f>
        <v/>
      </c>
      <c r="J910">
        <f>IF($AD910="","",INDEX('Per Line'!$F$2:$F$3001,$AD910)&amp;"")</f>
        <v/>
      </c>
      <c r="K910">
        <f>IF($AD910="","",INDEX('Per Line'!$K$2:$K$3001,$AD910)&amp;"")</f>
        <v/>
      </c>
      <c r="L910">
        <f>IF($AD910="","",INDEX('Per Line'!$L$2:$L$3001,$AD910)&amp;"")</f>
        <v/>
      </c>
      <c r="M910">
        <f>IF($AD910="","",INDEX('Per Line'!$M$2:$M$3001,$AD910)&amp;"")</f>
        <v/>
      </c>
      <c r="N910">
        <f>IF($AD910="","",INDEX('Per Line'!$AC$2:$AC$3001,$AD910)&amp;"")</f>
        <v/>
      </c>
      <c r="O910">
        <f>IF($AD910="","",INDEX('Per Line'!$P$2:$P$3001,$AD910))</f>
        <v/>
      </c>
      <c r="P910" s="7">
        <f>IF($AD910="","",IF(AND(ISNUMBER(Q910),Q910&gt;0,AB910&gt;Q910),O910*Q910/100+(AB910-Q910),O910*AB910/100))</f>
        <v/>
      </c>
      <c r="Q910">
        <f>IF($AD910="","",INDEX('Per Line'!$AG$2:$AG$3001,$AD910))</f>
        <v/>
      </c>
      <c r="R910">
        <f>IF($AD910="","",IF(AND(ISNUMBER(Q910),Q910&gt;0),AB910&gt;Q910,FALSE))</f>
        <v/>
      </c>
      <c r="S910" s="7">
        <f>IF($AD910="","",SUMIFS('Per Line'!$AB$2:$AB$3001,'Per Line'!$E$2:$E$3001,$B910,'Per Line'!$AQ$2:$AQ$3001,1))</f>
        <v/>
      </c>
      <c r="T910">
        <f>IF($AD910="","",Settings!$C$7)</f>
        <v/>
      </c>
      <c r="U910" s="7">
        <f>IF($AD910="","",SUMIFS('Per Line'!$AB$2:$AB$3001,'Per Line'!$E$2:$E$3001,$B910,'Per Line'!$AP$2:$AP$3001,0,'Per Line'!$AQ$2:$AQ$3001,0))</f>
        <v/>
      </c>
      <c r="V910" s="7">
        <f>IF($AD910="","",U910*T910)</f>
        <v/>
      </c>
      <c r="W910">
        <f>IF($AD910="","",Settings!$C$6)</f>
        <v/>
      </c>
      <c r="X910" s="7">
        <f>IF($AD910="","",SUMIFS('Per Line'!$AB$2:$AB$3001,'Per Line'!$E$2:$E$3001,$B910,'Per Line'!$AP$2:$AP$3001,1,'Per Line'!$AQ$2:$AQ$3001,0))</f>
        <v/>
      </c>
      <c r="Y910" s="7">
        <f>IF($AD910="","",X910*W910)</f>
        <v/>
      </c>
      <c r="Z910" s="7">
        <f>IF($AD910="","",Y910+V910)</f>
        <v/>
      </c>
      <c r="AA910" s="7">
        <f>IF($AD910="","",AB910-Z910)</f>
        <v/>
      </c>
      <c r="AB910" s="7">
        <f>IF($AD910="","",U910+X910+S910)</f>
        <v/>
      </c>
      <c r="AC910" s="7">
        <f>IF($AD910="","",AB910-Z910-P910)</f>
        <v/>
      </c>
      <c r="AD910" s="13">
        <f>IF(ROWS($AD$2:$AD910)&lt;=MAX('Per Line'!$AO$2:$AO$3001),MATCH(ROWS($AD$2:$AD910),'Per Line'!$AO$2:$AO$3001,0),"")</f>
        <v/>
      </c>
      <c r="AE910" s="14">
        <f>IF($AD910="","",P910-O910*AB910/100)</f>
        <v/>
      </c>
    </row>
    <row r="911">
      <c r="A911" s="12" t="n"/>
      <c r="B911">
        <f>IF($AD911="","",INDEX('Per Line'!$E$2:$E$3001,$AD911)&amp;"")</f>
        <v/>
      </c>
      <c r="C911">
        <f>IF($AD911="","",INDEX('Per Line'!$A$2:$A$3001,$AD911)&amp;"")</f>
        <v/>
      </c>
      <c r="D911">
        <f>IF($AD911="","",INDEX('Per Line'!$C$2:$C$3001,$AD911)&amp;"")</f>
        <v/>
      </c>
      <c r="E911">
        <f>IF($AD911="","",INDEX('Per Line'!$B$2:$B$3001,$AD911))</f>
        <v/>
      </c>
      <c r="F911">
        <f>IF($AD911="","",INDEX('Per Line'!$D$2:$D$3001,$AD911)&amp;"")</f>
        <v/>
      </c>
      <c r="G911" s="11">
        <f>IF($AD911="","",INDEX('Per Line'!$G$2:$G$3001,$AD911))</f>
        <v/>
      </c>
      <c r="H911">
        <f>IF($AD911="","",INDEX('Per Line'!$J$2:$J$3001,$AD911)&amp;"")</f>
        <v/>
      </c>
      <c r="I911">
        <f>IF($AD911="","",INDEX('Per Line'!$H$2:$H$3001,$AD911)&amp;"")</f>
        <v/>
      </c>
      <c r="J911">
        <f>IF($AD911="","",INDEX('Per Line'!$F$2:$F$3001,$AD911)&amp;"")</f>
        <v/>
      </c>
      <c r="K911">
        <f>IF($AD911="","",INDEX('Per Line'!$K$2:$K$3001,$AD911)&amp;"")</f>
        <v/>
      </c>
      <c r="L911">
        <f>IF($AD911="","",INDEX('Per Line'!$L$2:$L$3001,$AD911)&amp;"")</f>
        <v/>
      </c>
      <c r="M911">
        <f>IF($AD911="","",INDEX('Per Line'!$M$2:$M$3001,$AD911)&amp;"")</f>
        <v/>
      </c>
      <c r="N911">
        <f>IF($AD911="","",INDEX('Per Line'!$AC$2:$AC$3001,$AD911)&amp;"")</f>
        <v/>
      </c>
      <c r="O911">
        <f>IF($AD911="","",INDEX('Per Line'!$P$2:$P$3001,$AD911))</f>
        <v/>
      </c>
      <c r="P911" s="7">
        <f>IF($AD911="","",IF(AND(ISNUMBER(Q911),Q911&gt;0,AB911&gt;Q911),O911*Q911/100+(AB911-Q911),O911*AB911/100))</f>
        <v/>
      </c>
      <c r="Q911">
        <f>IF($AD911="","",INDEX('Per Line'!$AG$2:$AG$3001,$AD911))</f>
        <v/>
      </c>
      <c r="R911">
        <f>IF($AD911="","",IF(AND(ISNUMBER(Q911),Q911&gt;0),AB911&gt;Q911,FALSE))</f>
        <v/>
      </c>
      <c r="S911" s="7">
        <f>IF($AD911="","",SUMIFS('Per Line'!$AB$2:$AB$3001,'Per Line'!$E$2:$E$3001,$B911,'Per Line'!$AQ$2:$AQ$3001,1))</f>
        <v/>
      </c>
      <c r="T911">
        <f>IF($AD911="","",Settings!$C$7)</f>
        <v/>
      </c>
      <c r="U911" s="7">
        <f>IF($AD911="","",SUMIFS('Per Line'!$AB$2:$AB$3001,'Per Line'!$E$2:$E$3001,$B911,'Per Line'!$AP$2:$AP$3001,0,'Per Line'!$AQ$2:$AQ$3001,0))</f>
        <v/>
      </c>
      <c r="V911" s="7">
        <f>IF($AD911="","",U911*T911)</f>
        <v/>
      </c>
      <c r="W911">
        <f>IF($AD911="","",Settings!$C$6)</f>
        <v/>
      </c>
      <c r="X911" s="7">
        <f>IF($AD911="","",SUMIFS('Per Line'!$AB$2:$AB$3001,'Per Line'!$E$2:$E$3001,$B911,'Per Line'!$AP$2:$AP$3001,1,'Per Line'!$AQ$2:$AQ$3001,0))</f>
        <v/>
      </c>
      <c r="Y911" s="7">
        <f>IF($AD911="","",X911*W911)</f>
        <v/>
      </c>
      <c r="Z911" s="7">
        <f>IF($AD911="","",Y911+V911)</f>
        <v/>
      </c>
      <c r="AA911" s="7">
        <f>IF($AD911="","",AB911-Z911)</f>
        <v/>
      </c>
      <c r="AB911" s="7">
        <f>IF($AD911="","",U911+X911+S911)</f>
        <v/>
      </c>
      <c r="AC911" s="7">
        <f>IF($AD911="","",AB911-Z911-P911)</f>
        <v/>
      </c>
      <c r="AD911" s="13">
        <f>IF(ROWS($AD$2:$AD911)&lt;=MAX('Per Line'!$AO$2:$AO$3001),MATCH(ROWS($AD$2:$AD911),'Per Line'!$AO$2:$AO$3001,0),"")</f>
        <v/>
      </c>
      <c r="AE911" s="14">
        <f>IF($AD911="","",P911-O911*AB911/100)</f>
        <v/>
      </c>
    </row>
    <row r="912">
      <c r="A912" s="12" t="n"/>
      <c r="B912">
        <f>IF($AD912="","",INDEX('Per Line'!$E$2:$E$3001,$AD912)&amp;"")</f>
        <v/>
      </c>
      <c r="C912">
        <f>IF($AD912="","",INDEX('Per Line'!$A$2:$A$3001,$AD912)&amp;"")</f>
        <v/>
      </c>
      <c r="D912">
        <f>IF($AD912="","",INDEX('Per Line'!$C$2:$C$3001,$AD912)&amp;"")</f>
        <v/>
      </c>
      <c r="E912">
        <f>IF($AD912="","",INDEX('Per Line'!$B$2:$B$3001,$AD912))</f>
        <v/>
      </c>
      <c r="F912">
        <f>IF($AD912="","",INDEX('Per Line'!$D$2:$D$3001,$AD912)&amp;"")</f>
        <v/>
      </c>
      <c r="G912" s="11">
        <f>IF($AD912="","",INDEX('Per Line'!$G$2:$G$3001,$AD912))</f>
        <v/>
      </c>
      <c r="H912">
        <f>IF($AD912="","",INDEX('Per Line'!$J$2:$J$3001,$AD912)&amp;"")</f>
        <v/>
      </c>
      <c r="I912">
        <f>IF($AD912="","",INDEX('Per Line'!$H$2:$H$3001,$AD912)&amp;"")</f>
        <v/>
      </c>
      <c r="J912">
        <f>IF($AD912="","",INDEX('Per Line'!$F$2:$F$3001,$AD912)&amp;"")</f>
        <v/>
      </c>
      <c r="K912">
        <f>IF($AD912="","",INDEX('Per Line'!$K$2:$K$3001,$AD912)&amp;"")</f>
        <v/>
      </c>
      <c r="L912">
        <f>IF($AD912="","",INDEX('Per Line'!$L$2:$L$3001,$AD912)&amp;"")</f>
        <v/>
      </c>
      <c r="M912">
        <f>IF($AD912="","",INDEX('Per Line'!$M$2:$M$3001,$AD912)&amp;"")</f>
        <v/>
      </c>
      <c r="N912">
        <f>IF($AD912="","",INDEX('Per Line'!$AC$2:$AC$3001,$AD912)&amp;"")</f>
        <v/>
      </c>
      <c r="O912">
        <f>IF($AD912="","",INDEX('Per Line'!$P$2:$P$3001,$AD912))</f>
        <v/>
      </c>
      <c r="P912" s="7">
        <f>IF($AD912="","",IF(AND(ISNUMBER(Q912),Q912&gt;0,AB912&gt;Q912),O912*Q912/100+(AB912-Q912),O912*AB912/100))</f>
        <v/>
      </c>
      <c r="Q912">
        <f>IF($AD912="","",INDEX('Per Line'!$AG$2:$AG$3001,$AD912))</f>
        <v/>
      </c>
      <c r="R912">
        <f>IF($AD912="","",IF(AND(ISNUMBER(Q912),Q912&gt;0),AB912&gt;Q912,FALSE))</f>
        <v/>
      </c>
      <c r="S912" s="7">
        <f>IF($AD912="","",SUMIFS('Per Line'!$AB$2:$AB$3001,'Per Line'!$E$2:$E$3001,$B912,'Per Line'!$AQ$2:$AQ$3001,1))</f>
        <v/>
      </c>
      <c r="T912">
        <f>IF($AD912="","",Settings!$C$7)</f>
        <v/>
      </c>
      <c r="U912" s="7">
        <f>IF($AD912="","",SUMIFS('Per Line'!$AB$2:$AB$3001,'Per Line'!$E$2:$E$3001,$B912,'Per Line'!$AP$2:$AP$3001,0,'Per Line'!$AQ$2:$AQ$3001,0))</f>
        <v/>
      </c>
      <c r="V912" s="7">
        <f>IF($AD912="","",U912*T912)</f>
        <v/>
      </c>
      <c r="W912">
        <f>IF($AD912="","",Settings!$C$6)</f>
        <v/>
      </c>
      <c r="X912" s="7">
        <f>IF($AD912="","",SUMIFS('Per Line'!$AB$2:$AB$3001,'Per Line'!$E$2:$E$3001,$B912,'Per Line'!$AP$2:$AP$3001,1,'Per Line'!$AQ$2:$AQ$3001,0))</f>
        <v/>
      </c>
      <c r="Y912" s="7">
        <f>IF($AD912="","",X912*W912)</f>
        <v/>
      </c>
      <c r="Z912" s="7">
        <f>IF($AD912="","",Y912+V912)</f>
        <v/>
      </c>
      <c r="AA912" s="7">
        <f>IF($AD912="","",AB912-Z912)</f>
        <v/>
      </c>
      <c r="AB912" s="7">
        <f>IF($AD912="","",U912+X912+S912)</f>
        <v/>
      </c>
      <c r="AC912" s="7">
        <f>IF($AD912="","",AB912-Z912-P912)</f>
        <v/>
      </c>
      <c r="AD912" s="13">
        <f>IF(ROWS($AD$2:$AD912)&lt;=MAX('Per Line'!$AO$2:$AO$3001),MATCH(ROWS($AD$2:$AD912),'Per Line'!$AO$2:$AO$3001,0),"")</f>
        <v/>
      </c>
      <c r="AE912" s="14">
        <f>IF($AD912="","",P912-O912*AB912/100)</f>
        <v/>
      </c>
    </row>
    <row r="913">
      <c r="A913" s="12" t="n"/>
      <c r="B913">
        <f>IF($AD913="","",INDEX('Per Line'!$E$2:$E$3001,$AD913)&amp;"")</f>
        <v/>
      </c>
      <c r="C913">
        <f>IF($AD913="","",INDEX('Per Line'!$A$2:$A$3001,$AD913)&amp;"")</f>
        <v/>
      </c>
      <c r="D913">
        <f>IF($AD913="","",INDEX('Per Line'!$C$2:$C$3001,$AD913)&amp;"")</f>
        <v/>
      </c>
      <c r="E913">
        <f>IF($AD913="","",INDEX('Per Line'!$B$2:$B$3001,$AD913))</f>
        <v/>
      </c>
      <c r="F913">
        <f>IF($AD913="","",INDEX('Per Line'!$D$2:$D$3001,$AD913)&amp;"")</f>
        <v/>
      </c>
      <c r="G913" s="11">
        <f>IF($AD913="","",INDEX('Per Line'!$G$2:$G$3001,$AD913))</f>
        <v/>
      </c>
      <c r="H913">
        <f>IF($AD913="","",INDEX('Per Line'!$J$2:$J$3001,$AD913)&amp;"")</f>
        <v/>
      </c>
      <c r="I913">
        <f>IF($AD913="","",INDEX('Per Line'!$H$2:$H$3001,$AD913)&amp;"")</f>
        <v/>
      </c>
      <c r="J913">
        <f>IF($AD913="","",INDEX('Per Line'!$F$2:$F$3001,$AD913)&amp;"")</f>
        <v/>
      </c>
      <c r="K913">
        <f>IF($AD913="","",INDEX('Per Line'!$K$2:$K$3001,$AD913)&amp;"")</f>
        <v/>
      </c>
      <c r="L913">
        <f>IF($AD913="","",INDEX('Per Line'!$L$2:$L$3001,$AD913)&amp;"")</f>
        <v/>
      </c>
      <c r="M913">
        <f>IF($AD913="","",INDEX('Per Line'!$M$2:$M$3001,$AD913)&amp;"")</f>
        <v/>
      </c>
      <c r="N913">
        <f>IF($AD913="","",INDEX('Per Line'!$AC$2:$AC$3001,$AD913)&amp;"")</f>
        <v/>
      </c>
      <c r="O913">
        <f>IF($AD913="","",INDEX('Per Line'!$P$2:$P$3001,$AD913))</f>
        <v/>
      </c>
      <c r="P913" s="7">
        <f>IF($AD913="","",IF(AND(ISNUMBER(Q913),Q913&gt;0,AB913&gt;Q913),O913*Q913/100+(AB913-Q913),O913*AB913/100))</f>
        <v/>
      </c>
      <c r="Q913">
        <f>IF($AD913="","",INDEX('Per Line'!$AG$2:$AG$3001,$AD913))</f>
        <v/>
      </c>
      <c r="R913">
        <f>IF($AD913="","",IF(AND(ISNUMBER(Q913),Q913&gt;0),AB913&gt;Q913,FALSE))</f>
        <v/>
      </c>
      <c r="S913" s="7">
        <f>IF($AD913="","",SUMIFS('Per Line'!$AB$2:$AB$3001,'Per Line'!$E$2:$E$3001,$B913,'Per Line'!$AQ$2:$AQ$3001,1))</f>
        <v/>
      </c>
      <c r="T913">
        <f>IF($AD913="","",Settings!$C$7)</f>
        <v/>
      </c>
      <c r="U913" s="7">
        <f>IF($AD913="","",SUMIFS('Per Line'!$AB$2:$AB$3001,'Per Line'!$E$2:$E$3001,$B913,'Per Line'!$AP$2:$AP$3001,0,'Per Line'!$AQ$2:$AQ$3001,0))</f>
        <v/>
      </c>
      <c r="V913" s="7">
        <f>IF($AD913="","",U913*T913)</f>
        <v/>
      </c>
      <c r="W913">
        <f>IF($AD913="","",Settings!$C$6)</f>
        <v/>
      </c>
      <c r="X913" s="7">
        <f>IF($AD913="","",SUMIFS('Per Line'!$AB$2:$AB$3001,'Per Line'!$E$2:$E$3001,$B913,'Per Line'!$AP$2:$AP$3001,1,'Per Line'!$AQ$2:$AQ$3001,0))</f>
        <v/>
      </c>
      <c r="Y913" s="7">
        <f>IF($AD913="","",X913*W913)</f>
        <v/>
      </c>
      <c r="Z913" s="7">
        <f>IF($AD913="","",Y913+V913)</f>
        <v/>
      </c>
      <c r="AA913" s="7">
        <f>IF($AD913="","",AB913-Z913)</f>
        <v/>
      </c>
      <c r="AB913" s="7">
        <f>IF($AD913="","",U913+X913+S913)</f>
        <v/>
      </c>
      <c r="AC913" s="7">
        <f>IF($AD913="","",AB913-Z913-P913)</f>
        <v/>
      </c>
      <c r="AD913" s="13">
        <f>IF(ROWS($AD$2:$AD913)&lt;=MAX('Per Line'!$AO$2:$AO$3001),MATCH(ROWS($AD$2:$AD913),'Per Line'!$AO$2:$AO$3001,0),"")</f>
        <v/>
      </c>
      <c r="AE913" s="14">
        <f>IF($AD913="","",P913-O913*AB913/100)</f>
        <v/>
      </c>
    </row>
    <row r="914">
      <c r="A914" s="12" t="n"/>
      <c r="B914">
        <f>IF($AD914="","",INDEX('Per Line'!$E$2:$E$3001,$AD914)&amp;"")</f>
        <v/>
      </c>
      <c r="C914">
        <f>IF($AD914="","",INDEX('Per Line'!$A$2:$A$3001,$AD914)&amp;"")</f>
        <v/>
      </c>
      <c r="D914">
        <f>IF($AD914="","",INDEX('Per Line'!$C$2:$C$3001,$AD914)&amp;"")</f>
        <v/>
      </c>
      <c r="E914">
        <f>IF($AD914="","",INDEX('Per Line'!$B$2:$B$3001,$AD914))</f>
        <v/>
      </c>
      <c r="F914">
        <f>IF($AD914="","",INDEX('Per Line'!$D$2:$D$3001,$AD914)&amp;"")</f>
        <v/>
      </c>
      <c r="G914" s="11">
        <f>IF($AD914="","",INDEX('Per Line'!$G$2:$G$3001,$AD914))</f>
        <v/>
      </c>
      <c r="H914">
        <f>IF($AD914="","",INDEX('Per Line'!$J$2:$J$3001,$AD914)&amp;"")</f>
        <v/>
      </c>
      <c r="I914">
        <f>IF($AD914="","",INDEX('Per Line'!$H$2:$H$3001,$AD914)&amp;"")</f>
        <v/>
      </c>
      <c r="J914">
        <f>IF($AD914="","",INDEX('Per Line'!$F$2:$F$3001,$AD914)&amp;"")</f>
        <v/>
      </c>
      <c r="K914">
        <f>IF($AD914="","",INDEX('Per Line'!$K$2:$K$3001,$AD914)&amp;"")</f>
        <v/>
      </c>
      <c r="L914">
        <f>IF($AD914="","",INDEX('Per Line'!$L$2:$L$3001,$AD914)&amp;"")</f>
        <v/>
      </c>
      <c r="M914">
        <f>IF($AD914="","",INDEX('Per Line'!$M$2:$M$3001,$AD914)&amp;"")</f>
        <v/>
      </c>
      <c r="N914">
        <f>IF($AD914="","",INDEX('Per Line'!$AC$2:$AC$3001,$AD914)&amp;"")</f>
        <v/>
      </c>
      <c r="O914">
        <f>IF($AD914="","",INDEX('Per Line'!$P$2:$P$3001,$AD914))</f>
        <v/>
      </c>
      <c r="P914" s="7">
        <f>IF($AD914="","",IF(AND(ISNUMBER(Q914),Q914&gt;0,AB914&gt;Q914),O914*Q914/100+(AB914-Q914),O914*AB914/100))</f>
        <v/>
      </c>
      <c r="Q914">
        <f>IF($AD914="","",INDEX('Per Line'!$AG$2:$AG$3001,$AD914))</f>
        <v/>
      </c>
      <c r="R914">
        <f>IF($AD914="","",IF(AND(ISNUMBER(Q914),Q914&gt;0),AB914&gt;Q914,FALSE))</f>
        <v/>
      </c>
      <c r="S914" s="7">
        <f>IF($AD914="","",SUMIFS('Per Line'!$AB$2:$AB$3001,'Per Line'!$E$2:$E$3001,$B914,'Per Line'!$AQ$2:$AQ$3001,1))</f>
        <v/>
      </c>
      <c r="T914">
        <f>IF($AD914="","",Settings!$C$7)</f>
        <v/>
      </c>
      <c r="U914" s="7">
        <f>IF($AD914="","",SUMIFS('Per Line'!$AB$2:$AB$3001,'Per Line'!$E$2:$E$3001,$B914,'Per Line'!$AP$2:$AP$3001,0,'Per Line'!$AQ$2:$AQ$3001,0))</f>
        <v/>
      </c>
      <c r="V914" s="7">
        <f>IF($AD914="","",U914*T914)</f>
        <v/>
      </c>
      <c r="W914">
        <f>IF($AD914="","",Settings!$C$6)</f>
        <v/>
      </c>
      <c r="X914" s="7">
        <f>IF($AD914="","",SUMIFS('Per Line'!$AB$2:$AB$3001,'Per Line'!$E$2:$E$3001,$B914,'Per Line'!$AP$2:$AP$3001,1,'Per Line'!$AQ$2:$AQ$3001,0))</f>
        <v/>
      </c>
      <c r="Y914" s="7">
        <f>IF($AD914="","",X914*W914)</f>
        <v/>
      </c>
      <c r="Z914" s="7">
        <f>IF($AD914="","",Y914+V914)</f>
        <v/>
      </c>
      <c r="AA914" s="7">
        <f>IF($AD914="","",AB914-Z914)</f>
        <v/>
      </c>
      <c r="AB914" s="7">
        <f>IF($AD914="","",U914+X914+S914)</f>
        <v/>
      </c>
      <c r="AC914" s="7">
        <f>IF($AD914="","",AB914-Z914-P914)</f>
        <v/>
      </c>
      <c r="AD914" s="13">
        <f>IF(ROWS($AD$2:$AD914)&lt;=MAX('Per Line'!$AO$2:$AO$3001),MATCH(ROWS($AD$2:$AD914),'Per Line'!$AO$2:$AO$3001,0),"")</f>
        <v/>
      </c>
      <c r="AE914" s="14">
        <f>IF($AD914="","",P914-O914*AB914/100)</f>
        <v/>
      </c>
    </row>
    <row r="915">
      <c r="A915" s="12" t="n"/>
      <c r="B915">
        <f>IF($AD915="","",INDEX('Per Line'!$E$2:$E$3001,$AD915)&amp;"")</f>
        <v/>
      </c>
      <c r="C915">
        <f>IF($AD915="","",INDEX('Per Line'!$A$2:$A$3001,$AD915)&amp;"")</f>
        <v/>
      </c>
      <c r="D915">
        <f>IF($AD915="","",INDEX('Per Line'!$C$2:$C$3001,$AD915)&amp;"")</f>
        <v/>
      </c>
      <c r="E915">
        <f>IF($AD915="","",INDEX('Per Line'!$B$2:$B$3001,$AD915))</f>
        <v/>
      </c>
      <c r="F915">
        <f>IF($AD915="","",INDEX('Per Line'!$D$2:$D$3001,$AD915)&amp;"")</f>
        <v/>
      </c>
      <c r="G915" s="11">
        <f>IF($AD915="","",INDEX('Per Line'!$G$2:$G$3001,$AD915))</f>
        <v/>
      </c>
      <c r="H915">
        <f>IF($AD915="","",INDEX('Per Line'!$J$2:$J$3001,$AD915)&amp;"")</f>
        <v/>
      </c>
      <c r="I915">
        <f>IF($AD915="","",INDEX('Per Line'!$H$2:$H$3001,$AD915)&amp;"")</f>
        <v/>
      </c>
      <c r="J915">
        <f>IF($AD915="","",INDEX('Per Line'!$F$2:$F$3001,$AD915)&amp;"")</f>
        <v/>
      </c>
      <c r="K915">
        <f>IF($AD915="","",INDEX('Per Line'!$K$2:$K$3001,$AD915)&amp;"")</f>
        <v/>
      </c>
      <c r="L915">
        <f>IF($AD915="","",INDEX('Per Line'!$L$2:$L$3001,$AD915)&amp;"")</f>
        <v/>
      </c>
      <c r="M915">
        <f>IF($AD915="","",INDEX('Per Line'!$M$2:$M$3001,$AD915)&amp;"")</f>
        <v/>
      </c>
      <c r="N915">
        <f>IF($AD915="","",INDEX('Per Line'!$AC$2:$AC$3001,$AD915)&amp;"")</f>
        <v/>
      </c>
      <c r="O915">
        <f>IF($AD915="","",INDEX('Per Line'!$P$2:$P$3001,$AD915))</f>
        <v/>
      </c>
      <c r="P915" s="7">
        <f>IF($AD915="","",IF(AND(ISNUMBER(Q915),Q915&gt;0,AB915&gt;Q915),O915*Q915/100+(AB915-Q915),O915*AB915/100))</f>
        <v/>
      </c>
      <c r="Q915">
        <f>IF($AD915="","",INDEX('Per Line'!$AG$2:$AG$3001,$AD915))</f>
        <v/>
      </c>
      <c r="R915">
        <f>IF($AD915="","",IF(AND(ISNUMBER(Q915),Q915&gt;0),AB915&gt;Q915,FALSE))</f>
        <v/>
      </c>
      <c r="S915" s="7">
        <f>IF($AD915="","",SUMIFS('Per Line'!$AB$2:$AB$3001,'Per Line'!$E$2:$E$3001,$B915,'Per Line'!$AQ$2:$AQ$3001,1))</f>
        <v/>
      </c>
      <c r="T915">
        <f>IF($AD915="","",Settings!$C$7)</f>
        <v/>
      </c>
      <c r="U915" s="7">
        <f>IF($AD915="","",SUMIFS('Per Line'!$AB$2:$AB$3001,'Per Line'!$E$2:$E$3001,$B915,'Per Line'!$AP$2:$AP$3001,0,'Per Line'!$AQ$2:$AQ$3001,0))</f>
        <v/>
      </c>
      <c r="V915" s="7">
        <f>IF($AD915="","",U915*T915)</f>
        <v/>
      </c>
      <c r="W915">
        <f>IF($AD915="","",Settings!$C$6)</f>
        <v/>
      </c>
      <c r="X915" s="7">
        <f>IF($AD915="","",SUMIFS('Per Line'!$AB$2:$AB$3001,'Per Line'!$E$2:$E$3001,$B915,'Per Line'!$AP$2:$AP$3001,1,'Per Line'!$AQ$2:$AQ$3001,0))</f>
        <v/>
      </c>
      <c r="Y915" s="7">
        <f>IF($AD915="","",X915*W915)</f>
        <v/>
      </c>
      <c r="Z915" s="7">
        <f>IF($AD915="","",Y915+V915)</f>
        <v/>
      </c>
      <c r="AA915" s="7">
        <f>IF($AD915="","",AB915-Z915)</f>
        <v/>
      </c>
      <c r="AB915" s="7">
        <f>IF($AD915="","",U915+X915+S915)</f>
        <v/>
      </c>
      <c r="AC915" s="7">
        <f>IF($AD915="","",AB915-Z915-P915)</f>
        <v/>
      </c>
      <c r="AD915" s="13">
        <f>IF(ROWS($AD$2:$AD915)&lt;=MAX('Per Line'!$AO$2:$AO$3001),MATCH(ROWS($AD$2:$AD915),'Per Line'!$AO$2:$AO$3001,0),"")</f>
        <v/>
      </c>
      <c r="AE915" s="14">
        <f>IF($AD915="","",P915-O915*AB915/100)</f>
        <v/>
      </c>
    </row>
    <row r="916">
      <c r="A916" s="12" t="n"/>
      <c r="B916">
        <f>IF($AD916="","",INDEX('Per Line'!$E$2:$E$3001,$AD916)&amp;"")</f>
        <v/>
      </c>
      <c r="C916">
        <f>IF($AD916="","",INDEX('Per Line'!$A$2:$A$3001,$AD916)&amp;"")</f>
        <v/>
      </c>
      <c r="D916">
        <f>IF($AD916="","",INDEX('Per Line'!$C$2:$C$3001,$AD916)&amp;"")</f>
        <v/>
      </c>
      <c r="E916">
        <f>IF($AD916="","",INDEX('Per Line'!$B$2:$B$3001,$AD916))</f>
        <v/>
      </c>
      <c r="F916">
        <f>IF($AD916="","",INDEX('Per Line'!$D$2:$D$3001,$AD916)&amp;"")</f>
        <v/>
      </c>
      <c r="G916" s="11">
        <f>IF($AD916="","",INDEX('Per Line'!$G$2:$G$3001,$AD916))</f>
        <v/>
      </c>
      <c r="H916">
        <f>IF($AD916="","",INDEX('Per Line'!$J$2:$J$3001,$AD916)&amp;"")</f>
        <v/>
      </c>
      <c r="I916">
        <f>IF($AD916="","",INDEX('Per Line'!$H$2:$H$3001,$AD916)&amp;"")</f>
        <v/>
      </c>
      <c r="J916">
        <f>IF($AD916="","",INDEX('Per Line'!$F$2:$F$3001,$AD916)&amp;"")</f>
        <v/>
      </c>
      <c r="K916">
        <f>IF($AD916="","",INDEX('Per Line'!$K$2:$K$3001,$AD916)&amp;"")</f>
        <v/>
      </c>
      <c r="L916">
        <f>IF($AD916="","",INDEX('Per Line'!$L$2:$L$3001,$AD916)&amp;"")</f>
        <v/>
      </c>
      <c r="M916">
        <f>IF($AD916="","",INDEX('Per Line'!$M$2:$M$3001,$AD916)&amp;"")</f>
        <v/>
      </c>
      <c r="N916">
        <f>IF($AD916="","",INDEX('Per Line'!$AC$2:$AC$3001,$AD916)&amp;"")</f>
        <v/>
      </c>
      <c r="O916">
        <f>IF($AD916="","",INDEX('Per Line'!$P$2:$P$3001,$AD916))</f>
        <v/>
      </c>
      <c r="P916" s="7">
        <f>IF($AD916="","",IF(AND(ISNUMBER(Q916),Q916&gt;0,AB916&gt;Q916),O916*Q916/100+(AB916-Q916),O916*AB916/100))</f>
        <v/>
      </c>
      <c r="Q916">
        <f>IF($AD916="","",INDEX('Per Line'!$AG$2:$AG$3001,$AD916))</f>
        <v/>
      </c>
      <c r="R916">
        <f>IF($AD916="","",IF(AND(ISNUMBER(Q916),Q916&gt;0),AB916&gt;Q916,FALSE))</f>
        <v/>
      </c>
      <c r="S916" s="7">
        <f>IF($AD916="","",SUMIFS('Per Line'!$AB$2:$AB$3001,'Per Line'!$E$2:$E$3001,$B916,'Per Line'!$AQ$2:$AQ$3001,1))</f>
        <v/>
      </c>
      <c r="T916">
        <f>IF($AD916="","",Settings!$C$7)</f>
        <v/>
      </c>
      <c r="U916" s="7">
        <f>IF($AD916="","",SUMIFS('Per Line'!$AB$2:$AB$3001,'Per Line'!$E$2:$E$3001,$B916,'Per Line'!$AP$2:$AP$3001,0,'Per Line'!$AQ$2:$AQ$3001,0))</f>
        <v/>
      </c>
      <c r="V916" s="7">
        <f>IF($AD916="","",U916*T916)</f>
        <v/>
      </c>
      <c r="W916">
        <f>IF($AD916="","",Settings!$C$6)</f>
        <v/>
      </c>
      <c r="X916" s="7">
        <f>IF($AD916="","",SUMIFS('Per Line'!$AB$2:$AB$3001,'Per Line'!$E$2:$E$3001,$B916,'Per Line'!$AP$2:$AP$3001,1,'Per Line'!$AQ$2:$AQ$3001,0))</f>
        <v/>
      </c>
      <c r="Y916" s="7">
        <f>IF($AD916="","",X916*W916)</f>
        <v/>
      </c>
      <c r="Z916" s="7">
        <f>IF($AD916="","",Y916+V916)</f>
        <v/>
      </c>
      <c r="AA916" s="7">
        <f>IF($AD916="","",AB916-Z916)</f>
        <v/>
      </c>
      <c r="AB916" s="7">
        <f>IF($AD916="","",U916+X916+S916)</f>
        <v/>
      </c>
      <c r="AC916" s="7">
        <f>IF($AD916="","",AB916-Z916-P916)</f>
        <v/>
      </c>
      <c r="AD916" s="13">
        <f>IF(ROWS($AD$2:$AD916)&lt;=MAX('Per Line'!$AO$2:$AO$3001),MATCH(ROWS($AD$2:$AD916),'Per Line'!$AO$2:$AO$3001,0),"")</f>
        <v/>
      </c>
      <c r="AE916" s="14">
        <f>IF($AD916="","",P916-O916*AB916/100)</f>
        <v/>
      </c>
    </row>
    <row r="917">
      <c r="A917" s="12" t="n"/>
      <c r="B917">
        <f>IF($AD917="","",INDEX('Per Line'!$E$2:$E$3001,$AD917)&amp;"")</f>
        <v/>
      </c>
      <c r="C917">
        <f>IF($AD917="","",INDEX('Per Line'!$A$2:$A$3001,$AD917)&amp;"")</f>
        <v/>
      </c>
      <c r="D917">
        <f>IF($AD917="","",INDEX('Per Line'!$C$2:$C$3001,$AD917)&amp;"")</f>
        <v/>
      </c>
      <c r="E917">
        <f>IF($AD917="","",INDEX('Per Line'!$B$2:$B$3001,$AD917))</f>
        <v/>
      </c>
      <c r="F917">
        <f>IF($AD917="","",INDEX('Per Line'!$D$2:$D$3001,$AD917)&amp;"")</f>
        <v/>
      </c>
      <c r="G917" s="11">
        <f>IF($AD917="","",INDEX('Per Line'!$G$2:$G$3001,$AD917))</f>
        <v/>
      </c>
      <c r="H917">
        <f>IF($AD917="","",INDEX('Per Line'!$J$2:$J$3001,$AD917)&amp;"")</f>
        <v/>
      </c>
      <c r="I917">
        <f>IF($AD917="","",INDEX('Per Line'!$H$2:$H$3001,$AD917)&amp;"")</f>
        <v/>
      </c>
      <c r="J917">
        <f>IF($AD917="","",INDEX('Per Line'!$F$2:$F$3001,$AD917)&amp;"")</f>
        <v/>
      </c>
      <c r="K917">
        <f>IF($AD917="","",INDEX('Per Line'!$K$2:$K$3001,$AD917)&amp;"")</f>
        <v/>
      </c>
      <c r="L917">
        <f>IF($AD917="","",INDEX('Per Line'!$L$2:$L$3001,$AD917)&amp;"")</f>
        <v/>
      </c>
      <c r="M917">
        <f>IF($AD917="","",INDEX('Per Line'!$M$2:$M$3001,$AD917)&amp;"")</f>
        <v/>
      </c>
      <c r="N917">
        <f>IF($AD917="","",INDEX('Per Line'!$AC$2:$AC$3001,$AD917)&amp;"")</f>
        <v/>
      </c>
      <c r="O917">
        <f>IF($AD917="","",INDEX('Per Line'!$P$2:$P$3001,$AD917))</f>
        <v/>
      </c>
      <c r="P917" s="7">
        <f>IF($AD917="","",IF(AND(ISNUMBER(Q917),Q917&gt;0,AB917&gt;Q917),O917*Q917/100+(AB917-Q917),O917*AB917/100))</f>
        <v/>
      </c>
      <c r="Q917">
        <f>IF($AD917="","",INDEX('Per Line'!$AG$2:$AG$3001,$AD917))</f>
        <v/>
      </c>
      <c r="R917">
        <f>IF($AD917="","",IF(AND(ISNUMBER(Q917),Q917&gt;0),AB917&gt;Q917,FALSE))</f>
        <v/>
      </c>
      <c r="S917" s="7">
        <f>IF($AD917="","",SUMIFS('Per Line'!$AB$2:$AB$3001,'Per Line'!$E$2:$E$3001,$B917,'Per Line'!$AQ$2:$AQ$3001,1))</f>
        <v/>
      </c>
      <c r="T917">
        <f>IF($AD917="","",Settings!$C$7)</f>
        <v/>
      </c>
      <c r="U917" s="7">
        <f>IF($AD917="","",SUMIFS('Per Line'!$AB$2:$AB$3001,'Per Line'!$E$2:$E$3001,$B917,'Per Line'!$AP$2:$AP$3001,0,'Per Line'!$AQ$2:$AQ$3001,0))</f>
        <v/>
      </c>
      <c r="V917" s="7">
        <f>IF($AD917="","",U917*T917)</f>
        <v/>
      </c>
      <c r="W917">
        <f>IF($AD917="","",Settings!$C$6)</f>
        <v/>
      </c>
      <c r="X917" s="7">
        <f>IF($AD917="","",SUMIFS('Per Line'!$AB$2:$AB$3001,'Per Line'!$E$2:$E$3001,$B917,'Per Line'!$AP$2:$AP$3001,1,'Per Line'!$AQ$2:$AQ$3001,0))</f>
        <v/>
      </c>
      <c r="Y917" s="7">
        <f>IF($AD917="","",X917*W917)</f>
        <v/>
      </c>
      <c r="Z917" s="7">
        <f>IF($AD917="","",Y917+V917)</f>
        <v/>
      </c>
      <c r="AA917" s="7">
        <f>IF($AD917="","",AB917-Z917)</f>
        <v/>
      </c>
      <c r="AB917" s="7">
        <f>IF($AD917="","",U917+X917+S917)</f>
        <v/>
      </c>
      <c r="AC917" s="7">
        <f>IF($AD917="","",AB917-Z917-P917)</f>
        <v/>
      </c>
      <c r="AD917" s="13">
        <f>IF(ROWS($AD$2:$AD917)&lt;=MAX('Per Line'!$AO$2:$AO$3001),MATCH(ROWS($AD$2:$AD917),'Per Line'!$AO$2:$AO$3001,0),"")</f>
        <v/>
      </c>
      <c r="AE917" s="14">
        <f>IF($AD917="","",P917-O917*AB917/100)</f>
        <v/>
      </c>
    </row>
    <row r="918">
      <c r="A918" s="12" t="n"/>
      <c r="B918">
        <f>IF($AD918="","",INDEX('Per Line'!$E$2:$E$3001,$AD918)&amp;"")</f>
        <v/>
      </c>
      <c r="C918">
        <f>IF($AD918="","",INDEX('Per Line'!$A$2:$A$3001,$AD918)&amp;"")</f>
        <v/>
      </c>
      <c r="D918">
        <f>IF($AD918="","",INDEX('Per Line'!$C$2:$C$3001,$AD918)&amp;"")</f>
        <v/>
      </c>
      <c r="E918">
        <f>IF($AD918="","",INDEX('Per Line'!$B$2:$B$3001,$AD918))</f>
        <v/>
      </c>
      <c r="F918">
        <f>IF($AD918="","",INDEX('Per Line'!$D$2:$D$3001,$AD918)&amp;"")</f>
        <v/>
      </c>
      <c r="G918" s="11">
        <f>IF($AD918="","",INDEX('Per Line'!$G$2:$G$3001,$AD918))</f>
        <v/>
      </c>
      <c r="H918">
        <f>IF($AD918="","",INDEX('Per Line'!$J$2:$J$3001,$AD918)&amp;"")</f>
        <v/>
      </c>
      <c r="I918">
        <f>IF($AD918="","",INDEX('Per Line'!$H$2:$H$3001,$AD918)&amp;"")</f>
        <v/>
      </c>
      <c r="J918">
        <f>IF($AD918="","",INDEX('Per Line'!$F$2:$F$3001,$AD918)&amp;"")</f>
        <v/>
      </c>
      <c r="K918">
        <f>IF($AD918="","",INDEX('Per Line'!$K$2:$K$3001,$AD918)&amp;"")</f>
        <v/>
      </c>
      <c r="L918">
        <f>IF($AD918="","",INDEX('Per Line'!$L$2:$L$3001,$AD918)&amp;"")</f>
        <v/>
      </c>
      <c r="M918">
        <f>IF($AD918="","",INDEX('Per Line'!$M$2:$M$3001,$AD918)&amp;"")</f>
        <v/>
      </c>
      <c r="N918">
        <f>IF($AD918="","",INDEX('Per Line'!$AC$2:$AC$3001,$AD918)&amp;"")</f>
        <v/>
      </c>
      <c r="O918">
        <f>IF($AD918="","",INDEX('Per Line'!$P$2:$P$3001,$AD918))</f>
        <v/>
      </c>
      <c r="P918" s="7">
        <f>IF($AD918="","",IF(AND(ISNUMBER(Q918),Q918&gt;0,AB918&gt;Q918),O918*Q918/100+(AB918-Q918),O918*AB918/100))</f>
        <v/>
      </c>
      <c r="Q918">
        <f>IF($AD918="","",INDEX('Per Line'!$AG$2:$AG$3001,$AD918))</f>
        <v/>
      </c>
      <c r="R918">
        <f>IF($AD918="","",IF(AND(ISNUMBER(Q918),Q918&gt;0),AB918&gt;Q918,FALSE))</f>
        <v/>
      </c>
      <c r="S918" s="7">
        <f>IF($AD918="","",SUMIFS('Per Line'!$AB$2:$AB$3001,'Per Line'!$E$2:$E$3001,$B918,'Per Line'!$AQ$2:$AQ$3001,1))</f>
        <v/>
      </c>
      <c r="T918">
        <f>IF($AD918="","",Settings!$C$7)</f>
        <v/>
      </c>
      <c r="U918" s="7">
        <f>IF($AD918="","",SUMIFS('Per Line'!$AB$2:$AB$3001,'Per Line'!$E$2:$E$3001,$B918,'Per Line'!$AP$2:$AP$3001,0,'Per Line'!$AQ$2:$AQ$3001,0))</f>
        <v/>
      </c>
      <c r="V918" s="7">
        <f>IF($AD918="","",U918*T918)</f>
        <v/>
      </c>
      <c r="W918">
        <f>IF($AD918="","",Settings!$C$6)</f>
        <v/>
      </c>
      <c r="X918" s="7">
        <f>IF($AD918="","",SUMIFS('Per Line'!$AB$2:$AB$3001,'Per Line'!$E$2:$E$3001,$B918,'Per Line'!$AP$2:$AP$3001,1,'Per Line'!$AQ$2:$AQ$3001,0))</f>
        <v/>
      </c>
      <c r="Y918" s="7">
        <f>IF($AD918="","",X918*W918)</f>
        <v/>
      </c>
      <c r="Z918" s="7">
        <f>IF($AD918="","",Y918+V918)</f>
        <v/>
      </c>
      <c r="AA918" s="7">
        <f>IF($AD918="","",AB918-Z918)</f>
        <v/>
      </c>
      <c r="AB918" s="7">
        <f>IF($AD918="","",U918+X918+S918)</f>
        <v/>
      </c>
      <c r="AC918" s="7">
        <f>IF($AD918="","",AB918-Z918-P918)</f>
        <v/>
      </c>
      <c r="AD918" s="13">
        <f>IF(ROWS($AD$2:$AD918)&lt;=MAX('Per Line'!$AO$2:$AO$3001),MATCH(ROWS($AD$2:$AD918),'Per Line'!$AO$2:$AO$3001,0),"")</f>
        <v/>
      </c>
      <c r="AE918" s="14">
        <f>IF($AD918="","",P918-O918*AB918/100)</f>
        <v/>
      </c>
    </row>
    <row r="919">
      <c r="A919" s="12" t="n"/>
      <c r="B919">
        <f>IF($AD919="","",INDEX('Per Line'!$E$2:$E$3001,$AD919)&amp;"")</f>
        <v/>
      </c>
      <c r="C919">
        <f>IF($AD919="","",INDEX('Per Line'!$A$2:$A$3001,$AD919)&amp;"")</f>
        <v/>
      </c>
      <c r="D919">
        <f>IF($AD919="","",INDEX('Per Line'!$C$2:$C$3001,$AD919)&amp;"")</f>
        <v/>
      </c>
      <c r="E919">
        <f>IF($AD919="","",INDEX('Per Line'!$B$2:$B$3001,$AD919))</f>
        <v/>
      </c>
      <c r="F919">
        <f>IF($AD919="","",INDEX('Per Line'!$D$2:$D$3001,$AD919)&amp;"")</f>
        <v/>
      </c>
      <c r="G919" s="11">
        <f>IF($AD919="","",INDEX('Per Line'!$G$2:$G$3001,$AD919))</f>
        <v/>
      </c>
      <c r="H919">
        <f>IF($AD919="","",INDEX('Per Line'!$J$2:$J$3001,$AD919)&amp;"")</f>
        <v/>
      </c>
      <c r="I919">
        <f>IF($AD919="","",INDEX('Per Line'!$H$2:$H$3001,$AD919)&amp;"")</f>
        <v/>
      </c>
      <c r="J919">
        <f>IF($AD919="","",INDEX('Per Line'!$F$2:$F$3001,$AD919)&amp;"")</f>
        <v/>
      </c>
      <c r="K919">
        <f>IF($AD919="","",INDEX('Per Line'!$K$2:$K$3001,$AD919)&amp;"")</f>
        <v/>
      </c>
      <c r="L919">
        <f>IF($AD919="","",INDEX('Per Line'!$L$2:$L$3001,$AD919)&amp;"")</f>
        <v/>
      </c>
      <c r="M919">
        <f>IF($AD919="","",INDEX('Per Line'!$M$2:$M$3001,$AD919)&amp;"")</f>
        <v/>
      </c>
      <c r="N919">
        <f>IF($AD919="","",INDEX('Per Line'!$AC$2:$AC$3001,$AD919)&amp;"")</f>
        <v/>
      </c>
      <c r="O919">
        <f>IF($AD919="","",INDEX('Per Line'!$P$2:$P$3001,$AD919))</f>
        <v/>
      </c>
      <c r="P919" s="7">
        <f>IF($AD919="","",IF(AND(ISNUMBER(Q919),Q919&gt;0,AB919&gt;Q919),O919*Q919/100+(AB919-Q919),O919*AB919/100))</f>
        <v/>
      </c>
      <c r="Q919">
        <f>IF($AD919="","",INDEX('Per Line'!$AG$2:$AG$3001,$AD919))</f>
        <v/>
      </c>
      <c r="R919">
        <f>IF($AD919="","",IF(AND(ISNUMBER(Q919),Q919&gt;0),AB919&gt;Q919,FALSE))</f>
        <v/>
      </c>
      <c r="S919" s="7">
        <f>IF($AD919="","",SUMIFS('Per Line'!$AB$2:$AB$3001,'Per Line'!$E$2:$E$3001,$B919,'Per Line'!$AQ$2:$AQ$3001,1))</f>
        <v/>
      </c>
      <c r="T919">
        <f>IF($AD919="","",Settings!$C$7)</f>
        <v/>
      </c>
      <c r="U919" s="7">
        <f>IF($AD919="","",SUMIFS('Per Line'!$AB$2:$AB$3001,'Per Line'!$E$2:$E$3001,$B919,'Per Line'!$AP$2:$AP$3001,0,'Per Line'!$AQ$2:$AQ$3001,0))</f>
        <v/>
      </c>
      <c r="V919" s="7">
        <f>IF($AD919="","",U919*T919)</f>
        <v/>
      </c>
      <c r="W919">
        <f>IF($AD919="","",Settings!$C$6)</f>
        <v/>
      </c>
      <c r="X919" s="7">
        <f>IF($AD919="","",SUMIFS('Per Line'!$AB$2:$AB$3001,'Per Line'!$E$2:$E$3001,$B919,'Per Line'!$AP$2:$AP$3001,1,'Per Line'!$AQ$2:$AQ$3001,0))</f>
        <v/>
      </c>
      <c r="Y919" s="7">
        <f>IF($AD919="","",X919*W919)</f>
        <v/>
      </c>
      <c r="Z919" s="7">
        <f>IF($AD919="","",Y919+V919)</f>
        <v/>
      </c>
      <c r="AA919" s="7">
        <f>IF($AD919="","",AB919-Z919)</f>
        <v/>
      </c>
      <c r="AB919" s="7">
        <f>IF($AD919="","",U919+X919+S919)</f>
        <v/>
      </c>
      <c r="AC919" s="7">
        <f>IF($AD919="","",AB919-Z919-P919)</f>
        <v/>
      </c>
      <c r="AD919" s="13">
        <f>IF(ROWS($AD$2:$AD919)&lt;=MAX('Per Line'!$AO$2:$AO$3001),MATCH(ROWS($AD$2:$AD919),'Per Line'!$AO$2:$AO$3001,0),"")</f>
        <v/>
      </c>
      <c r="AE919" s="14">
        <f>IF($AD919="","",P919-O919*AB919/100)</f>
        <v/>
      </c>
    </row>
    <row r="920">
      <c r="A920" s="12" t="n"/>
      <c r="B920">
        <f>IF($AD920="","",INDEX('Per Line'!$E$2:$E$3001,$AD920)&amp;"")</f>
        <v/>
      </c>
      <c r="C920">
        <f>IF($AD920="","",INDEX('Per Line'!$A$2:$A$3001,$AD920)&amp;"")</f>
        <v/>
      </c>
      <c r="D920">
        <f>IF($AD920="","",INDEX('Per Line'!$C$2:$C$3001,$AD920)&amp;"")</f>
        <v/>
      </c>
      <c r="E920">
        <f>IF($AD920="","",INDEX('Per Line'!$B$2:$B$3001,$AD920))</f>
        <v/>
      </c>
      <c r="F920">
        <f>IF($AD920="","",INDEX('Per Line'!$D$2:$D$3001,$AD920)&amp;"")</f>
        <v/>
      </c>
      <c r="G920" s="11">
        <f>IF($AD920="","",INDEX('Per Line'!$G$2:$G$3001,$AD920))</f>
        <v/>
      </c>
      <c r="H920">
        <f>IF($AD920="","",INDEX('Per Line'!$J$2:$J$3001,$AD920)&amp;"")</f>
        <v/>
      </c>
      <c r="I920">
        <f>IF($AD920="","",INDEX('Per Line'!$H$2:$H$3001,$AD920)&amp;"")</f>
        <v/>
      </c>
      <c r="J920">
        <f>IF($AD920="","",INDEX('Per Line'!$F$2:$F$3001,$AD920)&amp;"")</f>
        <v/>
      </c>
      <c r="K920">
        <f>IF($AD920="","",INDEX('Per Line'!$K$2:$K$3001,$AD920)&amp;"")</f>
        <v/>
      </c>
      <c r="L920">
        <f>IF($AD920="","",INDEX('Per Line'!$L$2:$L$3001,$AD920)&amp;"")</f>
        <v/>
      </c>
      <c r="M920">
        <f>IF($AD920="","",INDEX('Per Line'!$M$2:$M$3001,$AD920)&amp;"")</f>
        <v/>
      </c>
      <c r="N920">
        <f>IF($AD920="","",INDEX('Per Line'!$AC$2:$AC$3001,$AD920)&amp;"")</f>
        <v/>
      </c>
      <c r="O920">
        <f>IF($AD920="","",INDEX('Per Line'!$P$2:$P$3001,$AD920))</f>
        <v/>
      </c>
      <c r="P920" s="7">
        <f>IF($AD920="","",IF(AND(ISNUMBER(Q920),Q920&gt;0,AB920&gt;Q920),O920*Q920/100+(AB920-Q920),O920*AB920/100))</f>
        <v/>
      </c>
      <c r="Q920">
        <f>IF($AD920="","",INDEX('Per Line'!$AG$2:$AG$3001,$AD920))</f>
        <v/>
      </c>
      <c r="R920">
        <f>IF($AD920="","",IF(AND(ISNUMBER(Q920),Q920&gt;0),AB920&gt;Q920,FALSE))</f>
        <v/>
      </c>
      <c r="S920" s="7">
        <f>IF($AD920="","",SUMIFS('Per Line'!$AB$2:$AB$3001,'Per Line'!$E$2:$E$3001,$B920,'Per Line'!$AQ$2:$AQ$3001,1))</f>
        <v/>
      </c>
      <c r="T920">
        <f>IF($AD920="","",Settings!$C$7)</f>
        <v/>
      </c>
      <c r="U920" s="7">
        <f>IF($AD920="","",SUMIFS('Per Line'!$AB$2:$AB$3001,'Per Line'!$E$2:$E$3001,$B920,'Per Line'!$AP$2:$AP$3001,0,'Per Line'!$AQ$2:$AQ$3001,0))</f>
        <v/>
      </c>
      <c r="V920" s="7">
        <f>IF($AD920="","",U920*T920)</f>
        <v/>
      </c>
      <c r="W920">
        <f>IF($AD920="","",Settings!$C$6)</f>
        <v/>
      </c>
      <c r="X920" s="7">
        <f>IF($AD920="","",SUMIFS('Per Line'!$AB$2:$AB$3001,'Per Line'!$E$2:$E$3001,$B920,'Per Line'!$AP$2:$AP$3001,1,'Per Line'!$AQ$2:$AQ$3001,0))</f>
        <v/>
      </c>
      <c r="Y920" s="7">
        <f>IF($AD920="","",X920*W920)</f>
        <v/>
      </c>
      <c r="Z920" s="7">
        <f>IF($AD920="","",Y920+V920)</f>
        <v/>
      </c>
      <c r="AA920" s="7">
        <f>IF($AD920="","",AB920-Z920)</f>
        <v/>
      </c>
      <c r="AB920" s="7">
        <f>IF($AD920="","",U920+X920+S920)</f>
        <v/>
      </c>
      <c r="AC920" s="7">
        <f>IF($AD920="","",AB920-Z920-P920)</f>
        <v/>
      </c>
      <c r="AD920" s="13">
        <f>IF(ROWS($AD$2:$AD920)&lt;=MAX('Per Line'!$AO$2:$AO$3001),MATCH(ROWS($AD$2:$AD920),'Per Line'!$AO$2:$AO$3001,0),"")</f>
        <v/>
      </c>
      <c r="AE920" s="14">
        <f>IF($AD920="","",P920-O920*AB920/100)</f>
        <v/>
      </c>
    </row>
    <row r="921">
      <c r="A921" s="12" t="n"/>
      <c r="B921">
        <f>IF($AD921="","",INDEX('Per Line'!$E$2:$E$3001,$AD921)&amp;"")</f>
        <v/>
      </c>
      <c r="C921">
        <f>IF($AD921="","",INDEX('Per Line'!$A$2:$A$3001,$AD921)&amp;"")</f>
        <v/>
      </c>
      <c r="D921">
        <f>IF($AD921="","",INDEX('Per Line'!$C$2:$C$3001,$AD921)&amp;"")</f>
        <v/>
      </c>
      <c r="E921">
        <f>IF($AD921="","",INDEX('Per Line'!$B$2:$B$3001,$AD921))</f>
        <v/>
      </c>
      <c r="F921">
        <f>IF($AD921="","",INDEX('Per Line'!$D$2:$D$3001,$AD921)&amp;"")</f>
        <v/>
      </c>
      <c r="G921" s="11">
        <f>IF($AD921="","",INDEX('Per Line'!$G$2:$G$3001,$AD921))</f>
        <v/>
      </c>
      <c r="H921">
        <f>IF($AD921="","",INDEX('Per Line'!$J$2:$J$3001,$AD921)&amp;"")</f>
        <v/>
      </c>
      <c r="I921">
        <f>IF($AD921="","",INDEX('Per Line'!$H$2:$H$3001,$AD921)&amp;"")</f>
        <v/>
      </c>
      <c r="J921">
        <f>IF($AD921="","",INDEX('Per Line'!$F$2:$F$3001,$AD921)&amp;"")</f>
        <v/>
      </c>
      <c r="K921">
        <f>IF($AD921="","",INDEX('Per Line'!$K$2:$K$3001,$AD921)&amp;"")</f>
        <v/>
      </c>
      <c r="L921">
        <f>IF($AD921="","",INDEX('Per Line'!$L$2:$L$3001,$AD921)&amp;"")</f>
        <v/>
      </c>
      <c r="M921">
        <f>IF($AD921="","",INDEX('Per Line'!$M$2:$M$3001,$AD921)&amp;"")</f>
        <v/>
      </c>
      <c r="N921">
        <f>IF($AD921="","",INDEX('Per Line'!$AC$2:$AC$3001,$AD921)&amp;"")</f>
        <v/>
      </c>
      <c r="O921">
        <f>IF($AD921="","",INDEX('Per Line'!$P$2:$P$3001,$AD921))</f>
        <v/>
      </c>
      <c r="P921" s="7">
        <f>IF($AD921="","",IF(AND(ISNUMBER(Q921),Q921&gt;0,AB921&gt;Q921),O921*Q921/100+(AB921-Q921),O921*AB921/100))</f>
        <v/>
      </c>
      <c r="Q921">
        <f>IF($AD921="","",INDEX('Per Line'!$AG$2:$AG$3001,$AD921))</f>
        <v/>
      </c>
      <c r="R921">
        <f>IF($AD921="","",IF(AND(ISNUMBER(Q921),Q921&gt;0),AB921&gt;Q921,FALSE))</f>
        <v/>
      </c>
      <c r="S921" s="7">
        <f>IF($AD921="","",SUMIFS('Per Line'!$AB$2:$AB$3001,'Per Line'!$E$2:$E$3001,$B921,'Per Line'!$AQ$2:$AQ$3001,1))</f>
        <v/>
      </c>
      <c r="T921">
        <f>IF($AD921="","",Settings!$C$7)</f>
        <v/>
      </c>
      <c r="U921" s="7">
        <f>IF($AD921="","",SUMIFS('Per Line'!$AB$2:$AB$3001,'Per Line'!$E$2:$E$3001,$B921,'Per Line'!$AP$2:$AP$3001,0,'Per Line'!$AQ$2:$AQ$3001,0))</f>
        <v/>
      </c>
      <c r="V921" s="7">
        <f>IF($AD921="","",U921*T921)</f>
        <v/>
      </c>
      <c r="W921">
        <f>IF($AD921="","",Settings!$C$6)</f>
        <v/>
      </c>
      <c r="X921" s="7">
        <f>IF($AD921="","",SUMIFS('Per Line'!$AB$2:$AB$3001,'Per Line'!$E$2:$E$3001,$B921,'Per Line'!$AP$2:$AP$3001,1,'Per Line'!$AQ$2:$AQ$3001,0))</f>
        <v/>
      </c>
      <c r="Y921" s="7">
        <f>IF($AD921="","",X921*W921)</f>
        <v/>
      </c>
      <c r="Z921" s="7">
        <f>IF($AD921="","",Y921+V921)</f>
        <v/>
      </c>
      <c r="AA921" s="7">
        <f>IF($AD921="","",AB921-Z921)</f>
        <v/>
      </c>
      <c r="AB921" s="7">
        <f>IF($AD921="","",U921+X921+S921)</f>
        <v/>
      </c>
      <c r="AC921" s="7">
        <f>IF($AD921="","",AB921-Z921-P921)</f>
        <v/>
      </c>
      <c r="AD921" s="13">
        <f>IF(ROWS($AD$2:$AD921)&lt;=MAX('Per Line'!$AO$2:$AO$3001),MATCH(ROWS($AD$2:$AD921),'Per Line'!$AO$2:$AO$3001,0),"")</f>
        <v/>
      </c>
      <c r="AE921" s="14">
        <f>IF($AD921="","",P921-O921*AB921/100)</f>
        <v/>
      </c>
    </row>
    <row r="922">
      <c r="A922" s="12" t="n"/>
      <c r="B922">
        <f>IF($AD922="","",INDEX('Per Line'!$E$2:$E$3001,$AD922)&amp;"")</f>
        <v/>
      </c>
      <c r="C922">
        <f>IF($AD922="","",INDEX('Per Line'!$A$2:$A$3001,$AD922)&amp;"")</f>
        <v/>
      </c>
      <c r="D922">
        <f>IF($AD922="","",INDEX('Per Line'!$C$2:$C$3001,$AD922)&amp;"")</f>
        <v/>
      </c>
      <c r="E922">
        <f>IF($AD922="","",INDEX('Per Line'!$B$2:$B$3001,$AD922))</f>
        <v/>
      </c>
      <c r="F922">
        <f>IF($AD922="","",INDEX('Per Line'!$D$2:$D$3001,$AD922)&amp;"")</f>
        <v/>
      </c>
      <c r="G922" s="11">
        <f>IF($AD922="","",INDEX('Per Line'!$G$2:$G$3001,$AD922))</f>
        <v/>
      </c>
      <c r="H922">
        <f>IF($AD922="","",INDEX('Per Line'!$J$2:$J$3001,$AD922)&amp;"")</f>
        <v/>
      </c>
      <c r="I922">
        <f>IF($AD922="","",INDEX('Per Line'!$H$2:$H$3001,$AD922)&amp;"")</f>
        <v/>
      </c>
      <c r="J922">
        <f>IF($AD922="","",INDEX('Per Line'!$F$2:$F$3001,$AD922)&amp;"")</f>
        <v/>
      </c>
      <c r="K922">
        <f>IF($AD922="","",INDEX('Per Line'!$K$2:$K$3001,$AD922)&amp;"")</f>
        <v/>
      </c>
      <c r="L922">
        <f>IF($AD922="","",INDEX('Per Line'!$L$2:$L$3001,$AD922)&amp;"")</f>
        <v/>
      </c>
      <c r="M922">
        <f>IF($AD922="","",INDEX('Per Line'!$M$2:$M$3001,$AD922)&amp;"")</f>
        <v/>
      </c>
      <c r="N922">
        <f>IF($AD922="","",INDEX('Per Line'!$AC$2:$AC$3001,$AD922)&amp;"")</f>
        <v/>
      </c>
      <c r="O922">
        <f>IF($AD922="","",INDEX('Per Line'!$P$2:$P$3001,$AD922))</f>
        <v/>
      </c>
      <c r="P922" s="7">
        <f>IF($AD922="","",IF(AND(ISNUMBER(Q922),Q922&gt;0,AB922&gt;Q922),O922*Q922/100+(AB922-Q922),O922*AB922/100))</f>
        <v/>
      </c>
      <c r="Q922">
        <f>IF($AD922="","",INDEX('Per Line'!$AG$2:$AG$3001,$AD922))</f>
        <v/>
      </c>
      <c r="R922">
        <f>IF($AD922="","",IF(AND(ISNUMBER(Q922),Q922&gt;0),AB922&gt;Q922,FALSE))</f>
        <v/>
      </c>
      <c r="S922" s="7">
        <f>IF($AD922="","",SUMIFS('Per Line'!$AB$2:$AB$3001,'Per Line'!$E$2:$E$3001,$B922,'Per Line'!$AQ$2:$AQ$3001,1))</f>
        <v/>
      </c>
      <c r="T922">
        <f>IF($AD922="","",Settings!$C$7)</f>
        <v/>
      </c>
      <c r="U922" s="7">
        <f>IF($AD922="","",SUMIFS('Per Line'!$AB$2:$AB$3001,'Per Line'!$E$2:$E$3001,$B922,'Per Line'!$AP$2:$AP$3001,0,'Per Line'!$AQ$2:$AQ$3001,0))</f>
        <v/>
      </c>
      <c r="V922" s="7">
        <f>IF($AD922="","",U922*T922)</f>
        <v/>
      </c>
      <c r="W922">
        <f>IF($AD922="","",Settings!$C$6)</f>
        <v/>
      </c>
      <c r="X922" s="7">
        <f>IF($AD922="","",SUMIFS('Per Line'!$AB$2:$AB$3001,'Per Line'!$E$2:$E$3001,$B922,'Per Line'!$AP$2:$AP$3001,1,'Per Line'!$AQ$2:$AQ$3001,0))</f>
        <v/>
      </c>
      <c r="Y922" s="7">
        <f>IF($AD922="","",X922*W922)</f>
        <v/>
      </c>
      <c r="Z922" s="7">
        <f>IF($AD922="","",Y922+V922)</f>
        <v/>
      </c>
      <c r="AA922" s="7">
        <f>IF($AD922="","",AB922-Z922)</f>
        <v/>
      </c>
      <c r="AB922" s="7">
        <f>IF($AD922="","",U922+X922+S922)</f>
        <v/>
      </c>
      <c r="AC922" s="7">
        <f>IF($AD922="","",AB922-Z922-P922)</f>
        <v/>
      </c>
      <c r="AD922" s="13">
        <f>IF(ROWS($AD$2:$AD922)&lt;=MAX('Per Line'!$AO$2:$AO$3001),MATCH(ROWS($AD$2:$AD922),'Per Line'!$AO$2:$AO$3001,0),"")</f>
        <v/>
      </c>
      <c r="AE922" s="14">
        <f>IF($AD922="","",P922-O922*AB922/100)</f>
        <v/>
      </c>
    </row>
    <row r="923">
      <c r="A923" s="12" t="n"/>
      <c r="B923">
        <f>IF($AD923="","",INDEX('Per Line'!$E$2:$E$3001,$AD923)&amp;"")</f>
        <v/>
      </c>
      <c r="C923">
        <f>IF($AD923="","",INDEX('Per Line'!$A$2:$A$3001,$AD923)&amp;"")</f>
        <v/>
      </c>
      <c r="D923">
        <f>IF($AD923="","",INDEX('Per Line'!$C$2:$C$3001,$AD923)&amp;"")</f>
        <v/>
      </c>
      <c r="E923">
        <f>IF($AD923="","",INDEX('Per Line'!$B$2:$B$3001,$AD923))</f>
        <v/>
      </c>
      <c r="F923">
        <f>IF($AD923="","",INDEX('Per Line'!$D$2:$D$3001,$AD923)&amp;"")</f>
        <v/>
      </c>
      <c r="G923" s="11">
        <f>IF($AD923="","",INDEX('Per Line'!$G$2:$G$3001,$AD923))</f>
        <v/>
      </c>
      <c r="H923">
        <f>IF($AD923="","",INDEX('Per Line'!$J$2:$J$3001,$AD923)&amp;"")</f>
        <v/>
      </c>
      <c r="I923">
        <f>IF($AD923="","",INDEX('Per Line'!$H$2:$H$3001,$AD923)&amp;"")</f>
        <v/>
      </c>
      <c r="J923">
        <f>IF($AD923="","",INDEX('Per Line'!$F$2:$F$3001,$AD923)&amp;"")</f>
        <v/>
      </c>
      <c r="K923">
        <f>IF($AD923="","",INDEX('Per Line'!$K$2:$K$3001,$AD923)&amp;"")</f>
        <v/>
      </c>
      <c r="L923">
        <f>IF($AD923="","",INDEX('Per Line'!$L$2:$L$3001,$AD923)&amp;"")</f>
        <v/>
      </c>
      <c r="M923">
        <f>IF($AD923="","",INDEX('Per Line'!$M$2:$M$3001,$AD923)&amp;"")</f>
        <v/>
      </c>
      <c r="N923">
        <f>IF($AD923="","",INDEX('Per Line'!$AC$2:$AC$3001,$AD923)&amp;"")</f>
        <v/>
      </c>
      <c r="O923">
        <f>IF($AD923="","",INDEX('Per Line'!$P$2:$P$3001,$AD923))</f>
        <v/>
      </c>
      <c r="P923" s="7">
        <f>IF($AD923="","",IF(AND(ISNUMBER(Q923),Q923&gt;0,AB923&gt;Q923),O923*Q923/100+(AB923-Q923),O923*AB923/100))</f>
        <v/>
      </c>
      <c r="Q923">
        <f>IF($AD923="","",INDEX('Per Line'!$AG$2:$AG$3001,$AD923))</f>
        <v/>
      </c>
      <c r="R923">
        <f>IF($AD923="","",IF(AND(ISNUMBER(Q923),Q923&gt;0),AB923&gt;Q923,FALSE))</f>
        <v/>
      </c>
      <c r="S923" s="7">
        <f>IF($AD923="","",SUMIFS('Per Line'!$AB$2:$AB$3001,'Per Line'!$E$2:$E$3001,$B923,'Per Line'!$AQ$2:$AQ$3001,1))</f>
        <v/>
      </c>
      <c r="T923">
        <f>IF($AD923="","",Settings!$C$7)</f>
        <v/>
      </c>
      <c r="U923" s="7">
        <f>IF($AD923="","",SUMIFS('Per Line'!$AB$2:$AB$3001,'Per Line'!$E$2:$E$3001,$B923,'Per Line'!$AP$2:$AP$3001,0,'Per Line'!$AQ$2:$AQ$3001,0))</f>
        <v/>
      </c>
      <c r="V923" s="7">
        <f>IF($AD923="","",U923*T923)</f>
        <v/>
      </c>
      <c r="W923">
        <f>IF($AD923="","",Settings!$C$6)</f>
        <v/>
      </c>
      <c r="X923" s="7">
        <f>IF($AD923="","",SUMIFS('Per Line'!$AB$2:$AB$3001,'Per Line'!$E$2:$E$3001,$B923,'Per Line'!$AP$2:$AP$3001,1,'Per Line'!$AQ$2:$AQ$3001,0))</f>
        <v/>
      </c>
      <c r="Y923" s="7">
        <f>IF($AD923="","",X923*W923)</f>
        <v/>
      </c>
      <c r="Z923" s="7">
        <f>IF($AD923="","",Y923+V923)</f>
        <v/>
      </c>
      <c r="AA923" s="7">
        <f>IF($AD923="","",AB923-Z923)</f>
        <v/>
      </c>
      <c r="AB923" s="7">
        <f>IF($AD923="","",U923+X923+S923)</f>
        <v/>
      </c>
      <c r="AC923" s="7">
        <f>IF($AD923="","",AB923-Z923-P923)</f>
        <v/>
      </c>
      <c r="AD923" s="13">
        <f>IF(ROWS($AD$2:$AD923)&lt;=MAX('Per Line'!$AO$2:$AO$3001),MATCH(ROWS($AD$2:$AD923),'Per Line'!$AO$2:$AO$3001,0),"")</f>
        <v/>
      </c>
      <c r="AE923" s="14">
        <f>IF($AD923="","",P923-O923*AB923/100)</f>
        <v/>
      </c>
    </row>
    <row r="924">
      <c r="A924" s="12" t="n"/>
      <c r="B924">
        <f>IF($AD924="","",INDEX('Per Line'!$E$2:$E$3001,$AD924)&amp;"")</f>
        <v/>
      </c>
      <c r="C924">
        <f>IF($AD924="","",INDEX('Per Line'!$A$2:$A$3001,$AD924)&amp;"")</f>
        <v/>
      </c>
      <c r="D924">
        <f>IF($AD924="","",INDEX('Per Line'!$C$2:$C$3001,$AD924)&amp;"")</f>
        <v/>
      </c>
      <c r="E924">
        <f>IF($AD924="","",INDEX('Per Line'!$B$2:$B$3001,$AD924))</f>
        <v/>
      </c>
      <c r="F924">
        <f>IF($AD924="","",INDEX('Per Line'!$D$2:$D$3001,$AD924)&amp;"")</f>
        <v/>
      </c>
      <c r="G924" s="11">
        <f>IF($AD924="","",INDEX('Per Line'!$G$2:$G$3001,$AD924))</f>
        <v/>
      </c>
      <c r="H924">
        <f>IF($AD924="","",INDEX('Per Line'!$J$2:$J$3001,$AD924)&amp;"")</f>
        <v/>
      </c>
      <c r="I924">
        <f>IF($AD924="","",INDEX('Per Line'!$H$2:$H$3001,$AD924)&amp;"")</f>
        <v/>
      </c>
      <c r="J924">
        <f>IF($AD924="","",INDEX('Per Line'!$F$2:$F$3001,$AD924)&amp;"")</f>
        <v/>
      </c>
      <c r="K924">
        <f>IF($AD924="","",INDEX('Per Line'!$K$2:$K$3001,$AD924)&amp;"")</f>
        <v/>
      </c>
      <c r="L924">
        <f>IF($AD924="","",INDEX('Per Line'!$L$2:$L$3001,$AD924)&amp;"")</f>
        <v/>
      </c>
      <c r="M924">
        <f>IF($AD924="","",INDEX('Per Line'!$M$2:$M$3001,$AD924)&amp;"")</f>
        <v/>
      </c>
      <c r="N924">
        <f>IF($AD924="","",INDEX('Per Line'!$AC$2:$AC$3001,$AD924)&amp;"")</f>
        <v/>
      </c>
      <c r="O924">
        <f>IF($AD924="","",INDEX('Per Line'!$P$2:$P$3001,$AD924))</f>
        <v/>
      </c>
      <c r="P924" s="7">
        <f>IF($AD924="","",IF(AND(ISNUMBER(Q924),Q924&gt;0,AB924&gt;Q924),O924*Q924/100+(AB924-Q924),O924*AB924/100))</f>
        <v/>
      </c>
      <c r="Q924">
        <f>IF($AD924="","",INDEX('Per Line'!$AG$2:$AG$3001,$AD924))</f>
        <v/>
      </c>
      <c r="R924">
        <f>IF($AD924="","",IF(AND(ISNUMBER(Q924),Q924&gt;0),AB924&gt;Q924,FALSE))</f>
        <v/>
      </c>
      <c r="S924" s="7">
        <f>IF($AD924="","",SUMIFS('Per Line'!$AB$2:$AB$3001,'Per Line'!$E$2:$E$3001,$B924,'Per Line'!$AQ$2:$AQ$3001,1))</f>
        <v/>
      </c>
      <c r="T924">
        <f>IF($AD924="","",Settings!$C$7)</f>
        <v/>
      </c>
      <c r="U924" s="7">
        <f>IF($AD924="","",SUMIFS('Per Line'!$AB$2:$AB$3001,'Per Line'!$E$2:$E$3001,$B924,'Per Line'!$AP$2:$AP$3001,0,'Per Line'!$AQ$2:$AQ$3001,0))</f>
        <v/>
      </c>
      <c r="V924" s="7">
        <f>IF($AD924="","",U924*T924)</f>
        <v/>
      </c>
      <c r="W924">
        <f>IF($AD924="","",Settings!$C$6)</f>
        <v/>
      </c>
      <c r="X924" s="7">
        <f>IF($AD924="","",SUMIFS('Per Line'!$AB$2:$AB$3001,'Per Line'!$E$2:$E$3001,$B924,'Per Line'!$AP$2:$AP$3001,1,'Per Line'!$AQ$2:$AQ$3001,0))</f>
        <v/>
      </c>
      <c r="Y924" s="7">
        <f>IF($AD924="","",X924*W924)</f>
        <v/>
      </c>
      <c r="Z924" s="7">
        <f>IF($AD924="","",Y924+V924)</f>
        <v/>
      </c>
      <c r="AA924" s="7">
        <f>IF($AD924="","",AB924-Z924)</f>
        <v/>
      </c>
      <c r="AB924" s="7">
        <f>IF($AD924="","",U924+X924+S924)</f>
        <v/>
      </c>
      <c r="AC924" s="7">
        <f>IF($AD924="","",AB924-Z924-P924)</f>
        <v/>
      </c>
      <c r="AD924" s="13">
        <f>IF(ROWS($AD$2:$AD924)&lt;=MAX('Per Line'!$AO$2:$AO$3001),MATCH(ROWS($AD$2:$AD924),'Per Line'!$AO$2:$AO$3001,0),"")</f>
        <v/>
      </c>
      <c r="AE924" s="14">
        <f>IF($AD924="","",P924-O924*AB924/100)</f>
        <v/>
      </c>
    </row>
    <row r="925">
      <c r="A925" s="12" t="n"/>
      <c r="B925">
        <f>IF($AD925="","",INDEX('Per Line'!$E$2:$E$3001,$AD925)&amp;"")</f>
        <v/>
      </c>
      <c r="C925">
        <f>IF($AD925="","",INDEX('Per Line'!$A$2:$A$3001,$AD925)&amp;"")</f>
        <v/>
      </c>
      <c r="D925">
        <f>IF($AD925="","",INDEX('Per Line'!$C$2:$C$3001,$AD925)&amp;"")</f>
        <v/>
      </c>
      <c r="E925">
        <f>IF($AD925="","",INDEX('Per Line'!$B$2:$B$3001,$AD925))</f>
        <v/>
      </c>
      <c r="F925">
        <f>IF($AD925="","",INDEX('Per Line'!$D$2:$D$3001,$AD925)&amp;"")</f>
        <v/>
      </c>
      <c r="G925" s="11">
        <f>IF($AD925="","",INDEX('Per Line'!$G$2:$G$3001,$AD925))</f>
        <v/>
      </c>
      <c r="H925">
        <f>IF($AD925="","",INDEX('Per Line'!$J$2:$J$3001,$AD925)&amp;"")</f>
        <v/>
      </c>
      <c r="I925">
        <f>IF($AD925="","",INDEX('Per Line'!$H$2:$H$3001,$AD925)&amp;"")</f>
        <v/>
      </c>
      <c r="J925">
        <f>IF($AD925="","",INDEX('Per Line'!$F$2:$F$3001,$AD925)&amp;"")</f>
        <v/>
      </c>
      <c r="K925">
        <f>IF($AD925="","",INDEX('Per Line'!$K$2:$K$3001,$AD925)&amp;"")</f>
        <v/>
      </c>
      <c r="L925">
        <f>IF($AD925="","",INDEX('Per Line'!$L$2:$L$3001,$AD925)&amp;"")</f>
        <v/>
      </c>
      <c r="M925">
        <f>IF($AD925="","",INDEX('Per Line'!$M$2:$M$3001,$AD925)&amp;"")</f>
        <v/>
      </c>
      <c r="N925">
        <f>IF($AD925="","",INDEX('Per Line'!$AC$2:$AC$3001,$AD925)&amp;"")</f>
        <v/>
      </c>
      <c r="O925">
        <f>IF($AD925="","",INDEX('Per Line'!$P$2:$P$3001,$AD925))</f>
        <v/>
      </c>
      <c r="P925" s="7">
        <f>IF($AD925="","",IF(AND(ISNUMBER(Q925),Q925&gt;0,AB925&gt;Q925),O925*Q925/100+(AB925-Q925),O925*AB925/100))</f>
        <v/>
      </c>
      <c r="Q925">
        <f>IF($AD925="","",INDEX('Per Line'!$AG$2:$AG$3001,$AD925))</f>
        <v/>
      </c>
      <c r="R925">
        <f>IF($AD925="","",IF(AND(ISNUMBER(Q925),Q925&gt;0),AB925&gt;Q925,FALSE))</f>
        <v/>
      </c>
      <c r="S925" s="7">
        <f>IF($AD925="","",SUMIFS('Per Line'!$AB$2:$AB$3001,'Per Line'!$E$2:$E$3001,$B925,'Per Line'!$AQ$2:$AQ$3001,1))</f>
        <v/>
      </c>
      <c r="T925">
        <f>IF($AD925="","",Settings!$C$7)</f>
        <v/>
      </c>
      <c r="U925" s="7">
        <f>IF($AD925="","",SUMIFS('Per Line'!$AB$2:$AB$3001,'Per Line'!$E$2:$E$3001,$B925,'Per Line'!$AP$2:$AP$3001,0,'Per Line'!$AQ$2:$AQ$3001,0))</f>
        <v/>
      </c>
      <c r="V925" s="7">
        <f>IF($AD925="","",U925*T925)</f>
        <v/>
      </c>
      <c r="W925">
        <f>IF($AD925="","",Settings!$C$6)</f>
        <v/>
      </c>
      <c r="X925" s="7">
        <f>IF($AD925="","",SUMIFS('Per Line'!$AB$2:$AB$3001,'Per Line'!$E$2:$E$3001,$B925,'Per Line'!$AP$2:$AP$3001,1,'Per Line'!$AQ$2:$AQ$3001,0))</f>
        <v/>
      </c>
      <c r="Y925" s="7">
        <f>IF($AD925="","",X925*W925)</f>
        <v/>
      </c>
      <c r="Z925" s="7">
        <f>IF($AD925="","",Y925+V925)</f>
        <v/>
      </c>
      <c r="AA925" s="7">
        <f>IF($AD925="","",AB925-Z925)</f>
        <v/>
      </c>
      <c r="AB925" s="7">
        <f>IF($AD925="","",U925+X925+S925)</f>
        <v/>
      </c>
      <c r="AC925" s="7">
        <f>IF($AD925="","",AB925-Z925-P925)</f>
        <v/>
      </c>
      <c r="AD925" s="13">
        <f>IF(ROWS($AD$2:$AD925)&lt;=MAX('Per Line'!$AO$2:$AO$3001),MATCH(ROWS($AD$2:$AD925),'Per Line'!$AO$2:$AO$3001,0),"")</f>
        <v/>
      </c>
      <c r="AE925" s="14">
        <f>IF($AD925="","",P925-O925*AB925/100)</f>
        <v/>
      </c>
    </row>
    <row r="926">
      <c r="A926" s="12" t="n"/>
      <c r="B926">
        <f>IF($AD926="","",INDEX('Per Line'!$E$2:$E$3001,$AD926)&amp;"")</f>
        <v/>
      </c>
      <c r="C926">
        <f>IF($AD926="","",INDEX('Per Line'!$A$2:$A$3001,$AD926)&amp;"")</f>
        <v/>
      </c>
      <c r="D926">
        <f>IF($AD926="","",INDEX('Per Line'!$C$2:$C$3001,$AD926)&amp;"")</f>
        <v/>
      </c>
      <c r="E926">
        <f>IF($AD926="","",INDEX('Per Line'!$B$2:$B$3001,$AD926))</f>
        <v/>
      </c>
      <c r="F926">
        <f>IF($AD926="","",INDEX('Per Line'!$D$2:$D$3001,$AD926)&amp;"")</f>
        <v/>
      </c>
      <c r="G926" s="11">
        <f>IF($AD926="","",INDEX('Per Line'!$G$2:$G$3001,$AD926))</f>
        <v/>
      </c>
      <c r="H926">
        <f>IF($AD926="","",INDEX('Per Line'!$J$2:$J$3001,$AD926)&amp;"")</f>
        <v/>
      </c>
      <c r="I926">
        <f>IF($AD926="","",INDEX('Per Line'!$H$2:$H$3001,$AD926)&amp;"")</f>
        <v/>
      </c>
      <c r="J926">
        <f>IF($AD926="","",INDEX('Per Line'!$F$2:$F$3001,$AD926)&amp;"")</f>
        <v/>
      </c>
      <c r="K926">
        <f>IF($AD926="","",INDEX('Per Line'!$K$2:$K$3001,$AD926)&amp;"")</f>
        <v/>
      </c>
      <c r="L926">
        <f>IF($AD926="","",INDEX('Per Line'!$L$2:$L$3001,$AD926)&amp;"")</f>
        <v/>
      </c>
      <c r="M926">
        <f>IF($AD926="","",INDEX('Per Line'!$M$2:$M$3001,$AD926)&amp;"")</f>
        <v/>
      </c>
      <c r="N926">
        <f>IF($AD926="","",INDEX('Per Line'!$AC$2:$AC$3001,$AD926)&amp;"")</f>
        <v/>
      </c>
      <c r="O926">
        <f>IF($AD926="","",INDEX('Per Line'!$P$2:$P$3001,$AD926))</f>
        <v/>
      </c>
      <c r="P926" s="7">
        <f>IF($AD926="","",IF(AND(ISNUMBER(Q926),Q926&gt;0,AB926&gt;Q926),O926*Q926/100+(AB926-Q926),O926*AB926/100))</f>
        <v/>
      </c>
      <c r="Q926">
        <f>IF($AD926="","",INDEX('Per Line'!$AG$2:$AG$3001,$AD926))</f>
        <v/>
      </c>
      <c r="R926">
        <f>IF($AD926="","",IF(AND(ISNUMBER(Q926),Q926&gt;0),AB926&gt;Q926,FALSE))</f>
        <v/>
      </c>
      <c r="S926" s="7">
        <f>IF($AD926="","",SUMIFS('Per Line'!$AB$2:$AB$3001,'Per Line'!$E$2:$E$3001,$B926,'Per Line'!$AQ$2:$AQ$3001,1))</f>
        <v/>
      </c>
      <c r="T926">
        <f>IF($AD926="","",Settings!$C$7)</f>
        <v/>
      </c>
      <c r="U926" s="7">
        <f>IF($AD926="","",SUMIFS('Per Line'!$AB$2:$AB$3001,'Per Line'!$E$2:$E$3001,$B926,'Per Line'!$AP$2:$AP$3001,0,'Per Line'!$AQ$2:$AQ$3001,0))</f>
        <v/>
      </c>
      <c r="V926" s="7">
        <f>IF($AD926="","",U926*T926)</f>
        <v/>
      </c>
      <c r="W926">
        <f>IF($AD926="","",Settings!$C$6)</f>
        <v/>
      </c>
      <c r="X926" s="7">
        <f>IF($AD926="","",SUMIFS('Per Line'!$AB$2:$AB$3001,'Per Line'!$E$2:$E$3001,$B926,'Per Line'!$AP$2:$AP$3001,1,'Per Line'!$AQ$2:$AQ$3001,0))</f>
        <v/>
      </c>
      <c r="Y926" s="7">
        <f>IF($AD926="","",X926*W926)</f>
        <v/>
      </c>
      <c r="Z926" s="7">
        <f>IF($AD926="","",Y926+V926)</f>
        <v/>
      </c>
      <c r="AA926" s="7">
        <f>IF($AD926="","",AB926-Z926)</f>
        <v/>
      </c>
      <c r="AB926" s="7">
        <f>IF($AD926="","",U926+X926+S926)</f>
        <v/>
      </c>
      <c r="AC926" s="7">
        <f>IF($AD926="","",AB926-Z926-P926)</f>
        <v/>
      </c>
      <c r="AD926" s="13">
        <f>IF(ROWS($AD$2:$AD926)&lt;=MAX('Per Line'!$AO$2:$AO$3001),MATCH(ROWS($AD$2:$AD926),'Per Line'!$AO$2:$AO$3001,0),"")</f>
        <v/>
      </c>
      <c r="AE926" s="14">
        <f>IF($AD926="","",P926-O926*AB926/100)</f>
        <v/>
      </c>
    </row>
    <row r="927">
      <c r="A927" s="12" t="n"/>
      <c r="B927">
        <f>IF($AD927="","",INDEX('Per Line'!$E$2:$E$3001,$AD927)&amp;"")</f>
        <v/>
      </c>
      <c r="C927">
        <f>IF($AD927="","",INDEX('Per Line'!$A$2:$A$3001,$AD927)&amp;"")</f>
        <v/>
      </c>
      <c r="D927">
        <f>IF($AD927="","",INDEX('Per Line'!$C$2:$C$3001,$AD927)&amp;"")</f>
        <v/>
      </c>
      <c r="E927">
        <f>IF($AD927="","",INDEX('Per Line'!$B$2:$B$3001,$AD927))</f>
        <v/>
      </c>
      <c r="F927">
        <f>IF($AD927="","",INDEX('Per Line'!$D$2:$D$3001,$AD927)&amp;"")</f>
        <v/>
      </c>
      <c r="G927" s="11">
        <f>IF($AD927="","",INDEX('Per Line'!$G$2:$G$3001,$AD927))</f>
        <v/>
      </c>
      <c r="H927">
        <f>IF($AD927="","",INDEX('Per Line'!$J$2:$J$3001,$AD927)&amp;"")</f>
        <v/>
      </c>
      <c r="I927">
        <f>IF($AD927="","",INDEX('Per Line'!$H$2:$H$3001,$AD927)&amp;"")</f>
        <v/>
      </c>
      <c r="J927">
        <f>IF($AD927="","",INDEX('Per Line'!$F$2:$F$3001,$AD927)&amp;"")</f>
        <v/>
      </c>
      <c r="K927">
        <f>IF($AD927="","",INDEX('Per Line'!$K$2:$K$3001,$AD927)&amp;"")</f>
        <v/>
      </c>
      <c r="L927">
        <f>IF($AD927="","",INDEX('Per Line'!$L$2:$L$3001,$AD927)&amp;"")</f>
        <v/>
      </c>
      <c r="M927">
        <f>IF($AD927="","",INDEX('Per Line'!$M$2:$M$3001,$AD927)&amp;"")</f>
        <v/>
      </c>
      <c r="N927">
        <f>IF($AD927="","",INDEX('Per Line'!$AC$2:$AC$3001,$AD927)&amp;"")</f>
        <v/>
      </c>
      <c r="O927">
        <f>IF($AD927="","",INDEX('Per Line'!$P$2:$P$3001,$AD927))</f>
        <v/>
      </c>
      <c r="P927" s="7">
        <f>IF($AD927="","",IF(AND(ISNUMBER(Q927),Q927&gt;0,AB927&gt;Q927),O927*Q927/100+(AB927-Q927),O927*AB927/100))</f>
        <v/>
      </c>
      <c r="Q927">
        <f>IF($AD927="","",INDEX('Per Line'!$AG$2:$AG$3001,$AD927))</f>
        <v/>
      </c>
      <c r="R927">
        <f>IF($AD927="","",IF(AND(ISNUMBER(Q927),Q927&gt;0),AB927&gt;Q927,FALSE))</f>
        <v/>
      </c>
      <c r="S927" s="7">
        <f>IF($AD927="","",SUMIFS('Per Line'!$AB$2:$AB$3001,'Per Line'!$E$2:$E$3001,$B927,'Per Line'!$AQ$2:$AQ$3001,1))</f>
        <v/>
      </c>
      <c r="T927">
        <f>IF($AD927="","",Settings!$C$7)</f>
        <v/>
      </c>
      <c r="U927" s="7">
        <f>IF($AD927="","",SUMIFS('Per Line'!$AB$2:$AB$3001,'Per Line'!$E$2:$E$3001,$B927,'Per Line'!$AP$2:$AP$3001,0,'Per Line'!$AQ$2:$AQ$3001,0))</f>
        <v/>
      </c>
      <c r="V927" s="7">
        <f>IF($AD927="","",U927*T927)</f>
        <v/>
      </c>
      <c r="W927">
        <f>IF($AD927="","",Settings!$C$6)</f>
        <v/>
      </c>
      <c r="X927" s="7">
        <f>IF($AD927="","",SUMIFS('Per Line'!$AB$2:$AB$3001,'Per Line'!$E$2:$E$3001,$B927,'Per Line'!$AP$2:$AP$3001,1,'Per Line'!$AQ$2:$AQ$3001,0))</f>
        <v/>
      </c>
      <c r="Y927" s="7">
        <f>IF($AD927="","",X927*W927)</f>
        <v/>
      </c>
      <c r="Z927" s="7">
        <f>IF($AD927="","",Y927+V927)</f>
        <v/>
      </c>
      <c r="AA927" s="7">
        <f>IF($AD927="","",AB927-Z927)</f>
        <v/>
      </c>
      <c r="AB927" s="7">
        <f>IF($AD927="","",U927+X927+S927)</f>
        <v/>
      </c>
      <c r="AC927" s="7">
        <f>IF($AD927="","",AB927-Z927-P927)</f>
        <v/>
      </c>
      <c r="AD927" s="13">
        <f>IF(ROWS($AD$2:$AD927)&lt;=MAX('Per Line'!$AO$2:$AO$3001),MATCH(ROWS($AD$2:$AD927),'Per Line'!$AO$2:$AO$3001,0),"")</f>
        <v/>
      </c>
      <c r="AE927" s="14">
        <f>IF($AD927="","",P927-O927*AB927/100)</f>
        <v/>
      </c>
    </row>
    <row r="928">
      <c r="A928" s="12" t="n"/>
      <c r="B928">
        <f>IF($AD928="","",INDEX('Per Line'!$E$2:$E$3001,$AD928)&amp;"")</f>
        <v/>
      </c>
      <c r="C928">
        <f>IF($AD928="","",INDEX('Per Line'!$A$2:$A$3001,$AD928)&amp;"")</f>
        <v/>
      </c>
      <c r="D928">
        <f>IF($AD928="","",INDEX('Per Line'!$C$2:$C$3001,$AD928)&amp;"")</f>
        <v/>
      </c>
      <c r="E928">
        <f>IF($AD928="","",INDEX('Per Line'!$B$2:$B$3001,$AD928))</f>
        <v/>
      </c>
      <c r="F928">
        <f>IF($AD928="","",INDEX('Per Line'!$D$2:$D$3001,$AD928)&amp;"")</f>
        <v/>
      </c>
      <c r="G928" s="11">
        <f>IF($AD928="","",INDEX('Per Line'!$G$2:$G$3001,$AD928))</f>
        <v/>
      </c>
      <c r="H928">
        <f>IF($AD928="","",INDEX('Per Line'!$J$2:$J$3001,$AD928)&amp;"")</f>
        <v/>
      </c>
      <c r="I928">
        <f>IF($AD928="","",INDEX('Per Line'!$H$2:$H$3001,$AD928)&amp;"")</f>
        <v/>
      </c>
      <c r="J928">
        <f>IF($AD928="","",INDEX('Per Line'!$F$2:$F$3001,$AD928)&amp;"")</f>
        <v/>
      </c>
      <c r="K928">
        <f>IF($AD928="","",INDEX('Per Line'!$K$2:$K$3001,$AD928)&amp;"")</f>
        <v/>
      </c>
      <c r="L928">
        <f>IF($AD928="","",INDEX('Per Line'!$L$2:$L$3001,$AD928)&amp;"")</f>
        <v/>
      </c>
      <c r="M928">
        <f>IF($AD928="","",INDEX('Per Line'!$M$2:$M$3001,$AD928)&amp;"")</f>
        <v/>
      </c>
      <c r="N928">
        <f>IF($AD928="","",INDEX('Per Line'!$AC$2:$AC$3001,$AD928)&amp;"")</f>
        <v/>
      </c>
      <c r="O928">
        <f>IF($AD928="","",INDEX('Per Line'!$P$2:$P$3001,$AD928))</f>
        <v/>
      </c>
      <c r="P928" s="7">
        <f>IF($AD928="","",IF(AND(ISNUMBER(Q928),Q928&gt;0,AB928&gt;Q928),O928*Q928/100+(AB928-Q928),O928*AB928/100))</f>
        <v/>
      </c>
      <c r="Q928">
        <f>IF($AD928="","",INDEX('Per Line'!$AG$2:$AG$3001,$AD928))</f>
        <v/>
      </c>
      <c r="R928">
        <f>IF($AD928="","",IF(AND(ISNUMBER(Q928),Q928&gt;0),AB928&gt;Q928,FALSE))</f>
        <v/>
      </c>
      <c r="S928" s="7">
        <f>IF($AD928="","",SUMIFS('Per Line'!$AB$2:$AB$3001,'Per Line'!$E$2:$E$3001,$B928,'Per Line'!$AQ$2:$AQ$3001,1))</f>
        <v/>
      </c>
      <c r="T928">
        <f>IF($AD928="","",Settings!$C$7)</f>
        <v/>
      </c>
      <c r="U928" s="7">
        <f>IF($AD928="","",SUMIFS('Per Line'!$AB$2:$AB$3001,'Per Line'!$E$2:$E$3001,$B928,'Per Line'!$AP$2:$AP$3001,0,'Per Line'!$AQ$2:$AQ$3001,0))</f>
        <v/>
      </c>
      <c r="V928" s="7">
        <f>IF($AD928="","",U928*T928)</f>
        <v/>
      </c>
      <c r="W928">
        <f>IF($AD928="","",Settings!$C$6)</f>
        <v/>
      </c>
      <c r="X928" s="7">
        <f>IF($AD928="","",SUMIFS('Per Line'!$AB$2:$AB$3001,'Per Line'!$E$2:$E$3001,$B928,'Per Line'!$AP$2:$AP$3001,1,'Per Line'!$AQ$2:$AQ$3001,0))</f>
        <v/>
      </c>
      <c r="Y928" s="7">
        <f>IF($AD928="","",X928*W928)</f>
        <v/>
      </c>
      <c r="Z928" s="7">
        <f>IF($AD928="","",Y928+V928)</f>
        <v/>
      </c>
      <c r="AA928" s="7">
        <f>IF($AD928="","",AB928-Z928)</f>
        <v/>
      </c>
      <c r="AB928" s="7">
        <f>IF($AD928="","",U928+X928+S928)</f>
        <v/>
      </c>
      <c r="AC928" s="7">
        <f>IF($AD928="","",AB928-Z928-P928)</f>
        <v/>
      </c>
      <c r="AD928" s="13">
        <f>IF(ROWS($AD$2:$AD928)&lt;=MAX('Per Line'!$AO$2:$AO$3001),MATCH(ROWS($AD$2:$AD928),'Per Line'!$AO$2:$AO$3001,0),"")</f>
        <v/>
      </c>
      <c r="AE928" s="14">
        <f>IF($AD928="","",P928-O928*AB928/100)</f>
        <v/>
      </c>
    </row>
    <row r="929">
      <c r="A929" s="12" t="n"/>
      <c r="B929">
        <f>IF($AD929="","",INDEX('Per Line'!$E$2:$E$3001,$AD929)&amp;"")</f>
        <v/>
      </c>
      <c r="C929">
        <f>IF($AD929="","",INDEX('Per Line'!$A$2:$A$3001,$AD929)&amp;"")</f>
        <v/>
      </c>
      <c r="D929">
        <f>IF($AD929="","",INDEX('Per Line'!$C$2:$C$3001,$AD929)&amp;"")</f>
        <v/>
      </c>
      <c r="E929">
        <f>IF($AD929="","",INDEX('Per Line'!$B$2:$B$3001,$AD929))</f>
        <v/>
      </c>
      <c r="F929">
        <f>IF($AD929="","",INDEX('Per Line'!$D$2:$D$3001,$AD929)&amp;"")</f>
        <v/>
      </c>
      <c r="G929" s="11">
        <f>IF($AD929="","",INDEX('Per Line'!$G$2:$G$3001,$AD929))</f>
        <v/>
      </c>
      <c r="H929">
        <f>IF($AD929="","",INDEX('Per Line'!$J$2:$J$3001,$AD929)&amp;"")</f>
        <v/>
      </c>
      <c r="I929">
        <f>IF($AD929="","",INDEX('Per Line'!$H$2:$H$3001,$AD929)&amp;"")</f>
        <v/>
      </c>
      <c r="J929">
        <f>IF($AD929="","",INDEX('Per Line'!$F$2:$F$3001,$AD929)&amp;"")</f>
        <v/>
      </c>
      <c r="K929">
        <f>IF($AD929="","",INDEX('Per Line'!$K$2:$K$3001,$AD929)&amp;"")</f>
        <v/>
      </c>
      <c r="L929">
        <f>IF($AD929="","",INDEX('Per Line'!$L$2:$L$3001,$AD929)&amp;"")</f>
        <v/>
      </c>
      <c r="M929">
        <f>IF($AD929="","",INDEX('Per Line'!$M$2:$M$3001,$AD929)&amp;"")</f>
        <v/>
      </c>
      <c r="N929">
        <f>IF($AD929="","",INDEX('Per Line'!$AC$2:$AC$3001,$AD929)&amp;"")</f>
        <v/>
      </c>
      <c r="O929">
        <f>IF($AD929="","",INDEX('Per Line'!$P$2:$P$3001,$AD929))</f>
        <v/>
      </c>
      <c r="P929" s="7">
        <f>IF($AD929="","",IF(AND(ISNUMBER(Q929),Q929&gt;0,AB929&gt;Q929),O929*Q929/100+(AB929-Q929),O929*AB929/100))</f>
        <v/>
      </c>
      <c r="Q929">
        <f>IF($AD929="","",INDEX('Per Line'!$AG$2:$AG$3001,$AD929))</f>
        <v/>
      </c>
      <c r="R929">
        <f>IF($AD929="","",IF(AND(ISNUMBER(Q929),Q929&gt;0),AB929&gt;Q929,FALSE))</f>
        <v/>
      </c>
      <c r="S929" s="7">
        <f>IF($AD929="","",SUMIFS('Per Line'!$AB$2:$AB$3001,'Per Line'!$E$2:$E$3001,$B929,'Per Line'!$AQ$2:$AQ$3001,1))</f>
        <v/>
      </c>
      <c r="T929">
        <f>IF($AD929="","",Settings!$C$7)</f>
        <v/>
      </c>
      <c r="U929" s="7">
        <f>IF($AD929="","",SUMIFS('Per Line'!$AB$2:$AB$3001,'Per Line'!$E$2:$E$3001,$B929,'Per Line'!$AP$2:$AP$3001,0,'Per Line'!$AQ$2:$AQ$3001,0))</f>
        <v/>
      </c>
      <c r="V929" s="7">
        <f>IF($AD929="","",U929*T929)</f>
        <v/>
      </c>
      <c r="W929">
        <f>IF($AD929="","",Settings!$C$6)</f>
        <v/>
      </c>
      <c r="X929" s="7">
        <f>IF($AD929="","",SUMIFS('Per Line'!$AB$2:$AB$3001,'Per Line'!$E$2:$E$3001,$B929,'Per Line'!$AP$2:$AP$3001,1,'Per Line'!$AQ$2:$AQ$3001,0))</f>
        <v/>
      </c>
      <c r="Y929" s="7">
        <f>IF($AD929="","",X929*W929)</f>
        <v/>
      </c>
      <c r="Z929" s="7">
        <f>IF($AD929="","",Y929+V929)</f>
        <v/>
      </c>
      <c r="AA929" s="7">
        <f>IF($AD929="","",AB929-Z929)</f>
        <v/>
      </c>
      <c r="AB929" s="7">
        <f>IF($AD929="","",U929+X929+S929)</f>
        <v/>
      </c>
      <c r="AC929" s="7">
        <f>IF($AD929="","",AB929-Z929-P929)</f>
        <v/>
      </c>
      <c r="AD929" s="13">
        <f>IF(ROWS($AD$2:$AD929)&lt;=MAX('Per Line'!$AO$2:$AO$3001),MATCH(ROWS($AD$2:$AD929),'Per Line'!$AO$2:$AO$3001,0),"")</f>
        <v/>
      </c>
      <c r="AE929" s="14">
        <f>IF($AD929="","",P929-O929*AB929/100)</f>
        <v/>
      </c>
    </row>
    <row r="930">
      <c r="A930" s="12" t="n"/>
      <c r="B930">
        <f>IF($AD930="","",INDEX('Per Line'!$E$2:$E$3001,$AD930)&amp;"")</f>
        <v/>
      </c>
      <c r="C930">
        <f>IF($AD930="","",INDEX('Per Line'!$A$2:$A$3001,$AD930)&amp;"")</f>
        <v/>
      </c>
      <c r="D930">
        <f>IF($AD930="","",INDEX('Per Line'!$C$2:$C$3001,$AD930)&amp;"")</f>
        <v/>
      </c>
      <c r="E930">
        <f>IF($AD930="","",INDEX('Per Line'!$B$2:$B$3001,$AD930))</f>
        <v/>
      </c>
      <c r="F930">
        <f>IF($AD930="","",INDEX('Per Line'!$D$2:$D$3001,$AD930)&amp;"")</f>
        <v/>
      </c>
      <c r="G930" s="11">
        <f>IF($AD930="","",INDEX('Per Line'!$G$2:$G$3001,$AD930))</f>
        <v/>
      </c>
      <c r="H930">
        <f>IF($AD930="","",INDEX('Per Line'!$J$2:$J$3001,$AD930)&amp;"")</f>
        <v/>
      </c>
      <c r="I930">
        <f>IF($AD930="","",INDEX('Per Line'!$H$2:$H$3001,$AD930)&amp;"")</f>
        <v/>
      </c>
      <c r="J930">
        <f>IF($AD930="","",INDEX('Per Line'!$F$2:$F$3001,$AD930)&amp;"")</f>
        <v/>
      </c>
      <c r="K930">
        <f>IF($AD930="","",INDEX('Per Line'!$K$2:$K$3001,$AD930)&amp;"")</f>
        <v/>
      </c>
      <c r="L930">
        <f>IF($AD930="","",INDEX('Per Line'!$L$2:$L$3001,$AD930)&amp;"")</f>
        <v/>
      </c>
      <c r="M930">
        <f>IF($AD930="","",INDEX('Per Line'!$M$2:$M$3001,$AD930)&amp;"")</f>
        <v/>
      </c>
      <c r="N930">
        <f>IF($AD930="","",INDEX('Per Line'!$AC$2:$AC$3001,$AD930)&amp;"")</f>
        <v/>
      </c>
      <c r="O930">
        <f>IF($AD930="","",INDEX('Per Line'!$P$2:$P$3001,$AD930))</f>
        <v/>
      </c>
      <c r="P930" s="7">
        <f>IF($AD930="","",IF(AND(ISNUMBER(Q930),Q930&gt;0,AB930&gt;Q930),O930*Q930/100+(AB930-Q930),O930*AB930/100))</f>
        <v/>
      </c>
      <c r="Q930">
        <f>IF($AD930="","",INDEX('Per Line'!$AG$2:$AG$3001,$AD930))</f>
        <v/>
      </c>
      <c r="R930">
        <f>IF($AD930="","",IF(AND(ISNUMBER(Q930),Q930&gt;0),AB930&gt;Q930,FALSE))</f>
        <v/>
      </c>
      <c r="S930" s="7">
        <f>IF($AD930="","",SUMIFS('Per Line'!$AB$2:$AB$3001,'Per Line'!$E$2:$E$3001,$B930,'Per Line'!$AQ$2:$AQ$3001,1))</f>
        <v/>
      </c>
      <c r="T930">
        <f>IF($AD930="","",Settings!$C$7)</f>
        <v/>
      </c>
      <c r="U930" s="7">
        <f>IF($AD930="","",SUMIFS('Per Line'!$AB$2:$AB$3001,'Per Line'!$E$2:$E$3001,$B930,'Per Line'!$AP$2:$AP$3001,0,'Per Line'!$AQ$2:$AQ$3001,0))</f>
        <v/>
      </c>
      <c r="V930" s="7">
        <f>IF($AD930="","",U930*T930)</f>
        <v/>
      </c>
      <c r="W930">
        <f>IF($AD930="","",Settings!$C$6)</f>
        <v/>
      </c>
      <c r="X930" s="7">
        <f>IF($AD930="","",SUMIFS('Per Line'!$AB$2:$AB$3001,'Per Line'!$E$2:$E$3001,$B930,'Per Line'!$AP$2:$AP$3001,1,'Per Line'!$AQ$2:$AQ$3001,0))</f>
        <v/>
      </c>
      <c r="Y930" s="7">
        <f>IF($AD930="","",X930*W930)</f>
        <v/>
      </c>
      <c r="Z930" s="7">
        <f>IF($AD930="","",Y930+V930)</f>
        <v/>
      </c>
      <c r="AA930" s="7">
        <f>IF($AD930="","",AB930-Z930)</f>
        <v/>
      </c>
      <c r="AB930" s="7">
        <f>IF($AD930="","",U930+X930+S930)</f>
        <v/>
      </c>
      <c r="AC930" s="7">
        <f>IF($AD930="","",AB930-Z930-P930)</f>
        <v/>
      </c>
      <c r="AD930" s="13">
        <f>IF(ROWS($AD$2:$AD930)&lt;=MAX('Per Line'!$AO$2:$AO$3001),MATCH(ROWS($AD$2:$AD930),'Per Line'!$AO$2:$AO$3001,0),"")</f>
        <v/>
      </c>
      <c r="AE930" s="14">
        <f>IF($AD930="","",P930-O930*AB930/100)</f>
        <v/>
      </c>
    </row>
    <row r="931">
      <c r="A931" s="12" t="n"/>
      <c r="B931">
        <f>IF($AD931="","",INDEX('Per Line'!$E$2:$E$3001,$AD931)&amp;"")</f>
        <v/>
      </c>
      <c r="C931">
        <f>IF($AD931="","",INDEX('Per Line'!$A$2:$A$3001,$AD931)&amp;"")</f>
        <v/>
      </c>
      <c r="D931">
        <f>IF($AD931="","",INDEX('Per Line'!$C$2:$C$3001,$AD931)&amp;"")</f>
        <v/>
      </c>
      <c r="E931">
        <f>IF($AD931="","",INDEX('Per Line'!$B$2:$B$3001,$AD931))</f>
        <v/>
      </c>
      <c r="F931">
        <f>IF($AD931="","",INDEX('Per Line'!$D$2:$D$3001,$AD931)&amp;"")</f>
        <v/>
      </c>
      <c r="G931" s="11">
        <f>IF($AD931="","",INDEX('Per Line'!$G$2:$G$3001,$AD931))</f>
        <v/>
      </c>
      <c r="H931">
        <f>IF($AD931="","",INDEX('Per Line'!$J$2:$J$3001,$AD931)&amp;"")</f>
        <v/>
      </c>
      <c r="I931">
        <f>IF($AD931="","",INDEX('Per Line'!$H$2:$H$3001,$AD931)&amp;"")</f>
        <v/>
      </c>
      <c r="J931">
        <f>IF($AD931="","",INDEX('Per Line'!$F$2:$F$3001,$AD931)&amp;"")</f>
        <v/>
      </c>
      <c r="K931">
        <f>IF($AD931="","",INDEX('Per Line'!$K$2:$K$3001,$AD931)&amp;"")</f>
        <v/>
      </c>
      <c r="L931">
        <f>IF($AD931="","",INDEX('Per Line'!$L$2:$L$3001,$AD931)&amp;"")</f>
        <v/>
      </c>
      <c r="M931">
        <f>IF($AD931="","",INDEX('Per Line'!$M$2:$M$3001,$AD931)&amp;"")</f>
        <v/>
      </c>
      <c r="N931">
        <f>IF($AD931="","",INDEX('Per Line'!$AC$2:$AC$3001,$AD931)&amp;"")</f>
        <v/>
      </c>
      <c r="O931">
        <f>IF($AD931="","",INDEX('Per Line'!$P$2:$P$3001,$AD931))</f>
        <v/>
      </c>
      <c r="P931" s="7">
        <f>IF($AD931="","",IF(AND(ISNUMBER(Q931),Q931&gt;0,AB931&gt;Q931),O931*Q931/100+(AB931-Q931),O931*AB931/100))</f>
        <v/>
      </c>
      <c r="Q931">
        <f>IF($AD931="","",INDEX('Per Line'!$AG$2:$AG$3001,$AD931))</f>
        <v/>
      </c>
      <c r="R931">
        <f>IF($AD931="","",IF(AND(ISNUMBER(Q931),Q931&gt;0),AB931&gt;Q931,FALSE))</f>
        <v/>
      </c>
      <c r="S931" s="7">
        <f>IF($AD931="","",SUMIFS('Per Line'!$AB$2:$AB$3001,'Per Line'!$E$2:$E$3001,$B931,'Per Line'!$AQ$2:$AQ$3001,1))</f>
        <v/>
      </c>
      <c r="T931">
        <f>IF($AD931="","",Settings!$C$7)</f>
        <v/>
      </c>
      <c r="U931" s="7">
        <f>IF($AD931="","",SUMIFS('Per Line'!$AB$2:$AB$3001,'Per Line'!$E$2:$E$3001,$B931,'Per Line'!$AP$2:$AP$3001,0,'Per Line'!$AQ$2:$AQ$3001,0))</f>
        <v/>
      </c>
      <c r="V931" s="7">
        <f>IF($AD931="","",U931*T931)</f>
        <v/>
      </c>
      <c r="W931">
        <f>IF($AD931="","",Settings!$C$6)</f>
        <v/>
      </c>
      <c r="X931" s="7">
        <f>IF($AD931="","",SUMIFS('Per Line'!$AB$2:$AB$3001,'Per Line'!$E$2:$E$3001,$B931,'Per Line'!$AP$2:$AP$3001,1,'Per Line'!$AQ$2:$AQ$3001,0))</f>
        <v/>
      </c>
      <c r="Y931" s="7">
        <f>IF($AD931="","",X931*W931)</f>
        <v/>
      </c>
      <c r="Z931" s="7">
        <f>IF($AD931="","",Y931+V931)</f>
        <v/>
      </c>
      <c r="AA931" s="7">
        <f>IF($AD931="","",AB931-Z931)</f>
        <v/>
      </c>
      <c r="AB931" s="7">
        <f>IF($AD931="","",U931+X931+S931)</f>
        <v/>
      </c>
      <c r="AC931" s="7">
        <f>IF($AD931="","",AB931-Z931-P931)</f>
        <v/>
      </c>
      <c r="AD931" s="13">
        <f>IF(ROWS($AD$2:$AD931)&lt;=MAX('Per Line'!$AO$2:$AO$3001),MATCH(ROWS($AD$2:$AD931),'Per Line'!$AO$2:$AO$3001,0),"")</f>
        <v/>
      </c>
      <c r="AE931" s="14">
        <f>IF($AD931="","",P931-O931*AB931/100)</f>
        <v/>
      </c>
    </row>
    <row r="932">
      <c r="A932" s="12" t="n"/>
      <c r="B932">
        <f>IF($AD932="","",INDEX('Per Line'!$E$2:$E$3001,$AD932)&amp;"")</f>
        <v/>
      </c>
      <c r="C932">
        <f>IF($AD932="","",INDEX('Per Line'!$A$2:$A$3001,$AD932)&amp;"")</f>
        <v/>
      </c>
      <c r="D932">
        <f>IF($AD932="","",INDEX('Per Line'!$C$2:$C$3001,$AD932)&amp;"")</f>
        <v/>
      </c>
      <c r="E932">
        <f>IF($AD932="","",INDEX('Per Line'!$B$2:$B$3001,$AD932))</f>
        <v/>
      </c>
      <c r="F932">
        <f>IF($AD932="","",INDEX('Per Line'!$D$2:$D$3001,$AD932)&amp;"")</f>
        <v/>
      </c>
      <c r="G932" s="11">
        <f>IF($AD932="","",INDEX('Per Line'!$G$2:$G$3001,$AD932))</f>
        <v/>
      </c>
      <c r="H932">
        <f>IF($AD932="","",INDEX('Per Line'!$J$2:$J$3001,$AD932)&amp;"")</f>
        <v/>
      </c>
      <c r="I932">
        <f>IF($AD932="","",INDEX('Per Line'!$H$2:$H$3001,$AD932)&amp;"")</f>
        <v/>
      </c>
      <c r="J932">
        <f>IF($AD932="","",INDEX('Per Line'!$F$2:$F$3001,$AD932)&amp;"")</f>
        <v/>
      </c>
      <c r="K932">
        <f>IF($AD932="","",INDEX('Per Line'!$K$2:$K$3001,$AD932)&amp;"")</f>
        <v/>
      </c>
      <c r="L932">
        <f>IF($AD932="","",INDEX('Per Line'!$L$2:$L$3001,$AD932)&amp;"")</f>
        <v/>
      </c>
      <c r="M932">
        <f>IF($AD932="","",INDEX('Per Line'!$M$2:$M$3001,$AD932)&amp;"")</f>
        <v/>
      </c>
      <c r="N932">
        <f>IF($AD932="","",INDEX('Per Line'!$AC$2:$AC$3001,$AD932)&amp;"")</f>
        <v/>
      </c>
      <c r="O932">
        <f>IF($AD932="","",INDEX('Per Line'!$P$2:$P$3001,$AD932))</f>
        <v/>
      </c>
      <c r="P932" s="7">
        <f>IF($AD932="","",IF(AND(ISNUMBER(Q932),Q932&gt;0,AB932&gt;Q932),O932*Q932/100+(AB932-Q932),O932*AB932/100))</f>
        <v/>
      </c>
      <c r="Q932">
        <f>IF($AD932="","",INDEX('Per Line'!$AG$2:$AG$3001,$AD932))</f>
        <v/>
      </c>
      <c r="R932">
        <f>IF($AD932="","",IF(AND(ISNUMBER(Q932),Q932&gt;0),AB932&gt;Q932,FALSE))</f>
        <v/>
      </c>
      <c r="S932" s="7">
        <f>IF($AD932="","",SUMIFS('Per Line'!$AB$2:$AB$3001,'Per Line'!$E$2:$E$3001,$B932,'Per Line'!$AQ$2:$AQ$3001,1))</f>
        <v/>
      </c>
      <c r="T932">
        <f>IF($AD932="","",Settings!$C$7)</f>
        <v/>
      </c>
      <c r="U932" s="7">
        <f>IF($AD932="","",SUMIFS('Per Line'!$AB$2:$AB$3001,'Per Line'!$E$2:$E$3001,$B932,'Per Line'!$AP$2:$AP$3001,0,'Per Line'!$AQ$2:$AQ$3001,0))</f>
        <v/>
      </c>
      <c r="V932" s="7">
        <f>IF($AD932="","",U932*T932)</f>
        <v/>
      </c>
      <c r="W932">
        <f>IF($AD932="","",Settings!$C$6)</f>
        <v/>
      </c>
      <c r="X932" s="7">
        <f>IF($AD932="","",SUMIFS('Per Line'!$AB$2:$AB$3001,'Per Line'!$E$2:$E$3001,$B932,'Per Line'!$AP$2:$AP$3001,1,'Per Line'!$AQ$2:$AQ$3001,0))</f>
        <v/>
      </c>
      <c r="Y932" s="7">
        <f>IF($AD932="","",X932*W932)</f>
        <v/>
      </c>
      <c r="Z932" s="7">
        <f>IF($AD932="","",Y932+V932)</f>
        <v/>
      </c>
      <c r="AA932" s="7">
        <f>IF($AD932="","",AB932-Z932)</f>
        <v/>
      </c>
      <c r="AB932" s="7">
        <f>IF($AD932="","",U932+X932+S932)</f>
        <v/>
      </c>
      <c r="AC932" s="7">
        <f>IF($AD932="","",AB932-Z932-P932)</f>
        <v/>
      </c>
      <c r="AD932" s="13">
        <f>IF(ROWS($AD$2:$AD932)&lt;=MAX('Per Line'!$AO$2:$AO$3001),MATCH(ROWS($AD$2:$AD932),'Per Line'!$AO$2:$AO$3001,0),"")</f>
        <v/>
      </c>
      <c r="AE932" s="14">
        <f>IF($AD932="","",P932-O932*AB932/100)</f>
        <v/>
      </c>
    </row>
    <row r="933">
      <c r="A933" s="12" t="n"/>
      <c r="B933">
        <f>IF($AD933="","",INDEX('Per Line'!$E$2:$E$3001,$AD933)&amp;"")</f>
        <v/>
      </c>
      <c r="C933">
        <f>IF($AD933="","",INDEX('Per Line'!$A$2:$A$3001,$AD933)&amp;"")</f>
        <v/>
      </c>
      <c r="D933">
        <f>IF($AD933="","",INDEX('Per Line'!$C$2:$C$3001,$AD933)&amp;"")</f>
        <v/>
      </c>
      <c r="E933">
        <f>IF($AD933="","",INDEX('Per Line'!$B$2:$B$3001,$AD933))</f>
        <v/>
      </c>
      <c r="F933">
        <f>IF($AD933="","",INDEX('Per Line'!$D$2:$D$3001,$AD933)&amp;"")</f>
        <v/>
      </c>
      <c r="G933" s="11">
        <f>IF($AD933="","",INDEX('Per Line'!$G$2:$G$3001,$AD933))</f>
        <v/>
      </c>
      <c r="H933">
        <f>IF($AD933="","",INDEX('Per Line'!$J$2:$J$3001,$AD933)&amp;"")</f>
        <v/>
      </c>
      <c r="I933">
        <f>IF($AD933="","",INDEX('Per Line'!$H$2:$H$3001,$AD933)&amp;"")</f>
        <v/>
      </c>
      <c r="J933">
        <f>IF($AD933="","",INDEX('Per Line'!$F$2:$F$3001,$AD933)&amp;"")</f>
        <v/>
      </c>
      <c r="K933">
        <f>IF($AD933="","",INDEX('Per Line'!$K$2:$K$3001,$AD933)&amp;"")</f>
        <v/>
      </c>
      <c r="L933">
        <f>IF($AD933="","",INDEX('Per Line'!$L$2:$L$3001,$AD933)&amp;"")</f>
        <v/>
      </c>
      <c r="M933">
        <f>IF($AD933="","",INDEX('Per Line'!$M$2:$M$3001,$AD933)&amp;"")</f>
        <v/>
      </c>
      <c r="N933">
        <f>IF($AD933="","",INDEX('Per Line'!$AC$2:$AC$3001,$AD933)&amp;"")</f>
        <v/>
      </c>
      <c r="O933">
        <f>IF($AD933="","",INDEX('Per Line'!$P$2:$P$3001,$AD933))</f>
        <v/>
      </c>
      <c r="P933" s="7">
        <f>IF($AD933="","",IF(AND(ISNUMBER(Q933),Q933&gt;0,AB933&gt;Q933),O933*Q933/100+(AB933-Q933),O933*AB933/100))</f>
        <v/>
      </c>
      <c r="Q933">
        <f>IF($AD933="","",INDEX('Per Line'!$AG$2:$AG$3001,$AD933))</f>
        <v/>
      </c>
      <c r="R933">
        <f>IF($AD933="","",IF(AND(ISNUMBER(Q933),Q933&gt;0),AB933&gt;Q933,FALSE))</f>
        <v/>
      </c>
      <c r="S933" s="7">
        <f>IF($AD933="","",SUMIFS('Per Line'!$AB$2:$AB$3001,'Per Line'!$E$2:$E$3001,$B933,'Per Line'!$AQ$2:$AQ$3001,1))</f>
        <v/>
      </c>
      <c r="T933">
        <f>IF($AD933="","",Settings!$C$7)</f>
        <v/>
      </c>
      <c r="U933" s="7">
        <f>IF($AD933="","",SUMIFS('Per Line'!$AB$2:$AB$3001,'Per Line'!$E$2:$E$3001,$B933,'Per Line'!$AP$2:$AP$3001,0,'Per Line'!$AQ$2:$AQ$3001,0))</f>
        <v/>
      </c>
      <c r="V933" s="7">
        <f>IF($AD933="","",U933*T933)</f>
        <v/>
      </c>
      <c r="W933">
        <f>IF($AD933="","",Settings!$C$6)</f>
        <v/>
      </c>
      <c r="X933" s="7">
        <f>IF($AD933="","",SUMIFS('Per Line'!$AB$2:$AB$3001,'Per Line'!$E$2:$E$3001,$B933,'Per Line'!$AP$2:$AP$3001,1,'Per Line'!$AQ$2:$AQ$3001,0))</f>
        <v/>
      </c>
      <c r="Y933" s="7">
        <f>IF($AD933="","",X933*W933)</f>
        <v/>
      </c>
      <c r="Z933" s="7">
        <f>IF($AD933="","",Y933+V933)</f>
        <v/>
      </c>
      <c r="AA933" s="7">
        <f>IF($AD933="","",AB933-Z933)</f>
        <v/>
      </c>
      <c r="AB933" s="7">
        <f>IF($AD933="","",U933+X933+S933)</f>
        <v/>
      </c>
      <c r="AC933" s="7">
        <f>IF($AD933="","",AB933-Z933-P933)</f>
        <v/>
      </c>
      <c r="AD933" s="13">
        <f>IF(ROWS($AD$2:$AD933)&lt;=MAX('Per Line'!$AO$2:$AO$3001),MATCH(ROWS($AD$2:$AD933),'Per Line'!$AO$2:$AO$3001,0),"")</f>
        <v/>
      </c>
      <c r="AE933" s="14">
        <f>IF($AD933="","",P933-O933*AB933/100)</f>
        <v/>
      </c>
    </row>
    <row r="934">
      <c r="A934" s="12" t="n"/>
      <c r="B934">
        <f>IF($AD934="","",INDEX('Per Line'!$E$2:$E$3001,$AD934)&amp;"")</f>
        <v/>
      </c>
      <c r="C934">
        <f>IF($AD934="","",INDEX('Per Line'!$A$2:$A$3001,$AD934)&amp;"")</f>
        <v/>
      </c>
      <c r="D934">
        <f>IF($AD934="","",INDEX('Per Line'!$C$2:$C$3001,$AD934)&amp;"")</f>
        <v/>
      </c>
      <c r="E934">
        <f>IF($AD934="","",INDEX('Per Line'!$B$2:$B$3001,$AD934))</f>
        <v/>
      </c>
      <c r="F934">
        <f>IF($AD934="","",INDEX('Per Line'!$D$2:$D$3001,$AD934)&amp;"")</f>
        <v/>
      </c>
      <c r="G934" s="11">
        <f>IF($AD934="","",INDEX('Per Line'!$G$2:$G$3001,$AD934))</f>
        <v/>
      </c>
      <c r="H934">
        <f>IF($AD934="","",INDEX('Per Line'!$J$2:$J$3001,$AD934)&amp;"")</f>
        <v/>
      </c>
      <c r="I934">
        <f>IF($AD934="","",INDEX('Per Line'!$H$2:$H$3001,$AD934)&amp;"")</f>
        <v/>
      </c>
      <c r="J934">
        <f>IF($AD934="","",INDEX('Per Line'!$F$2:$F$3001,$AD934)&amp;"")</f>
        <v/>
      </c>
      <c r="K934">
        <f>IF($AD934="","",INDEX('Per Line'!$K$2:$K$3001,$AD934)&amp;"")</f>
        <v/>
      </c>
      <c r="L934">
        <f>IF($AD934="","",INDEX('Per Line'!$L$2:$L$3001,$AD934)&amp;"")</f>
        <v/>
      </c>
      <c r="M934">
        <f>IF($AD934="","",INDEX('Per Line'!$M$2:$M$3001,$AD934)&amp;"")</f>
        <v/>
      </c>
      <c r="N934">
        <f>IF($AD934="","",INDEX('Per Line'!$AC$2:$AC$3001,$AD934)&amp;"")</f>
        <v/>
      </c>
      <c r="O934">
        <f>IF($AD934="","",INDEX('Per Line'!$P$2:$P$3001,$AD934))</f>
        <v/>
      </c>
      <c r="P934" s="7">
        <f>IF($AD934="","",IF(AND(ISNUMBER(Q934),Q934&gt;0,AB934&gt;Q934),O934*Q934/100+(AB934-Q934),O934*AB934/100))</f>
        <v/>
      </c>
      <c r="Q934">
        <f>IF($AD934="","",INDEX('Per Line'!$AG$2:$AG$3001,$AD934))</f>
        <v/>
      </c>
      <c r="R934">
        <f>IF($AD934="","",IF(AND(ISNUMBER(Q934),Q934&gt;0),AB934&gt;Q934,FALSE))</f>
        <v/>
      </c>
      <c r="S934" s="7">
        <f>IF($AD934="","",SUMIFS('Per Line'!$AB$2:$AB$3001,'Per Line'!$E$2:$E$3001,$B934,'Per Line'!$AQ$2:$AQ$3001,1))</f>
        <v/>
      </c>
      <c r="T934">
        <f>IF($AD934="","",Settings!$C$7)</f>
        <v/>
      </c>
      <c r="U934" s="7">
        <f>IF($AD934="","",SUMIFS('Per Line'!$AB$2:$AB$3001,'Per Line'!$E$2:$E$3001,$B934,'Per Line'!$AP$2:$AP$3001,0,'Per Line'!$AQ$2:$AQ$3001,0))</f>
        <v/>
      </c>
      <c r="V934" s="7">
        <f>IF($AD934="","",U934*T934)</f>
        <v/>
      </c>
      <c r="W934">
        <f>IF($AD934="","",Settings!$C$6)</f>
        <v/>
      </c>
      <c r="X934" s="7">
        <f>IF($AD934="","",SUMIFS('Per Line'!$AB$2:$AB$3001,'Per Line'!$E$2:$E$3001,$B934,'Per Line'!$AP$2:$AP$3001,1,'Per Line'!$AQ$2:$AQ$3001,0))</f>
        <v/>
      </c>
      <c r="Y934" s="7">
        <f>IF($AD934="","",X934*W934)</f>
        <v/>
      </c>
      <c r="Z934" s="7">
        <f>IF($AD934="","",Y934+V934)</f>
        <v/>
      </c>
      <c r="AA934" s="7">
        <f>IF($AD934="","",AB934-Z934)</f>
        <v/>
      </c>
      <c r="AB934" s="7">
        <f>IF($AD934="","",U934+X934+S934)</f>
        <v/>
      </c>
      <c r="AC934" s="7">
        <f>IF($AD934="","",AB934-Z934-P934)</f>
        <v/>
      </c>
      <c r="AD934" s="13">
        <f>IF(ROWS($AD$2:$AD934)&lt;=MAX('Per Line'!$AO$2:$AO$3001),MATCH(ROWS($AD$2:$AD934),'Per Line'!$AO$2:$AO$3001,0),"")</f>
        <v/>
      </c>
      <c r="AE934" s="14">
        <f>IF($AD934="","",P934-O934*AB934/100)</f>
        <v/>
      </c>
    </row>
    <row r="935">
      <c r="A935" s="12" t="n"/>
      <c r="B935">
        <f>IF($AD935="","",INDEX('Per Line'!$E$2:$E$3001,$AD935)&amp;"")</f>
        <v/>
      </c>
      <c r="C935">
        <f>IF($AD935="","",INDEX('Per Line'!$A$2:$A$3001,$AD935)&amp;"")</f>
        <v/>
      </c>
      <c r="D935">
        <f>IF($AD935="","",INDEX('Per Line'!$C$2:$C$3001,$AD935)&amp;"")</f>
        <v/>
      </c>
      <c r="E935">
        <f>IF($AD935="","",INDEX('Per Line'!$B$2:$B$3001,$AD935))</f>
        <v/>
      </c>
      <c r="F935">
        <f>IF($AD935="","",INDEX('Per Line'!$D$2:$D$3001,$AD935)&amp;"")</f>
        <v/>
      </c>
      <c r="G935" s="11">
        <f>IF($AD935="","",INDEX('Per Line'!$G$2:$G$3001,$AD935))</f>
        <v/>
      </c>
      <c r="H935">
        <f>IF($AD935="","",INDEX('Per Line'!$J$2:$J$3001,$AD935)&amp;"")</f>
        <v/>
      </c>
      <c r="I935">
        <f>IF($AD935="","",INDEX('Per Line'!$H$2:$H$3001,$AD935)&amp;"")</f>
        <v/>
      </c>
      <c r="J935">
        <f>IF($AD935="","",INDEX('Per Line'!$F$2:$F$3001,$AD935)&amp;"")</f>
        <v/>
      </c>
      <c r="K935">
        <f>IF($AD935="","",INDEX('Per Line'!$K$2:$K$3001,$AD935)&amp;"")</f>
        <v/>
      </c>
      <c r="L935">
        <f>IF($AD935="","",INDEX('Per Line'!$L$2:$L$3001,$AD935)&amp;"")</f>
        <v/>
      </c>
      <c r="M935">
        <f>IF($AD935="","",INDEX('Per Line'!$M$2:$M$3001,$AD935)&amp;"")</f>
        <v/>
      </c>
      <c r="N935">
        <f>IF($AD935="","",INDEX('Per Line'!$AC$2:$AC$3001,$AD935)&amp;"")</f>
        <v/>
      </c>
      <c r="O935">
        <f>IF($AD935="","",INDEX('Per Line'!$P$2:$P$3001,$AD935))</f>
        <v/>
      </c>
      <c r="P935" s="7">
        <f>IF($AD935="","",IF(AND(ISNUMBER(Q935),Q935&gt;0,AB935&gt;Q935),O935*Q935/100+(AB935-Q935),O935*AB935/100))</f>
        <v/>
      </c>
      <c r="Q935">
        <f>IF($AD935="","",INDEX('Per Line'!$AG$2:$AG$3001,$AD935))</f>
        <v/>
      </c>
      <c r="R935">
        <f>IF($AD935="","",IF(AND(ISNUMBER(Q935),Q935&gt;0),AB935&gt;Q935,FALSE))</f>
        <v/>
      </c>
      <c r="S935" s="7">
        <f>IF($AD935="","",SUMIFS('Per Line'!$AB$2:$AB$3001,'Per Line'!$E$2:$E$3001,$B935,'Per Line'!$AQ$2:$AQ$3001,1))</f>
        <v/>
      </c>
      <c r="T935">
        <f>IF($AD935="","",Settings!$C$7)</f>
        <v/>
      </c>
      <c r="U935" s="7">
        <f>IF($AD935="","",SUMIFS('Per Line'!$AB$2:$AB$3001,'Per Line'!$E$2:$E$3001,$B935,'Per Line'!$AP$2:$AP$3001,0,'Per Line'!$AQ$2:$AQ$3001,0))</f>
        <v/>
      </c>
      <c r="V935" s="7">
        <f>IF($AD935="","",U935*T935)</f>
        <v/>
      </c>
      <c r="W935">
        <f>IF($AD935="","",Settings!$C$6)</f>
        <v/>
      </c>
      <c r="X935" s="7">
        <f>IF($AD935="","",SUMIFS('Per Line'!$AB$2:$AB$3001,'Per Line'!$E$2:$E$3001,$B935,'Per Line'!$AP$2:$AP$3001,1,'Per Line'!$AQ$2:$AQ$3001,0))</f>
        <v/>
      </c>
      <c r="Y935" s="7">
        <f>IF($AD935="","",X935*W935)</f>
        <v/>
      </c>
      <c r="Z935" s="7">
        <f>IF($AD935="","",Y935+V935)</f>
        <v/>
      </c>
      <c r="AA935" s="7">
        <f>IF($AD935="","",AB935-Z935)</f>
        <v/>
      </c>
      <c r="AB935" s="7">
        <f>IF($AD935="","",U935+X935+S935)</f>
        <v/>
      </c>
      <c r="AC935" s="7">
        <f>IF($AD935="","",AB935-Z935-P935)</f>
        <v/>
      </c>
      <c r="AD935" s="13">
        <f>IF(ROWS($AD$2:$AD935)&lt;=MAX('Per Line'!$AO$2:$AO$3001),MATCH(ROWS($AD$2:$AD935),'Per Line'!$AO$2:$AO$3001,0),"")</f>
        <v/>
      </c>
      <c r="AE935" s="14">
        <f>IF($AD935="","",P935-O935*AB935/100)</f>
        <v/>
      </c>
    </row>
    <row r="936">
      <c r="A936" s="12" t="n"/>
      <c r="B936">
        <f>IF($AD936="","",INDEX('Per Line'!$E$2:$E$3001,$AD936)&amp;"")</f>
        <v/>
      </c>
      <c r="C936">
        <f>IF($AD936="","",INDEX('Per Line'!$A$2:$A$3001,$AD936)&amp;"")</f>
        <v/>
      </c>
      <c r="D936">
        <f>IF($AD936="","",INDEX('Per Line'!$C$2:$C$3001,$AD936)&amp;"")</f>
        <v/>
      </c>
      <c r="E936">
        <f>IF($AD936="","",INDEX('Per Line'!$B$2:$B$3001,$AD936))</f>
        <v/>
      </c>
      <c r="F936">
        <f>IF($AD936="","",INDEX('Per Line'!$D$2:$D$3001,$AD936)&amp;"")</f>
        <v/>
      </c>
      <c r="G936" s="11">
        <f>IF($AD936="","",INDEX('Per Line'!$G$2:$G$3001,$AD936))</f>
        <v/>
      </c>
      <c r="H936">
        <f>IF($AD936="","",INDEX('Per Line'!$J$2:$J$3001,$AD936)&amp;"")</f>
        <v/>
      </c>
      <c r="I936">
        <f>IF($AD936="","",INDEX('Per Line'!$H$2:$H$3001,$AD936)&amp;"")</f>
        <v/>
      </c>
      <c r="J936">
        <f>IF($AD936="","",INDEX('Per Line'!$F$2:$F$3001,$AD936)&amp;"")</f>
        <v/>
      </c>
      <c r="K936">
        <f>IF($AD936="","",INDEX('Per Line'!$K$2:$K$3001,$AD936)&amp;"")</f>
        <v/>
      </c>
      <c r="L936">
        <f>IF($AD936="","",INDEX('Per Line'!$L$2:$L$3001,$AD936)&amp;"")</f>
        <v/>
      </c>
      <c r="M936">
        <f>IF($AD936="","",INDEX('Per Line'!$M$2:$M$3001,$AD936)&amp;"")</f>
        <v/>
      </c>
      <c r="N936">
        <f>IF($AD936="","",INDEX('Per Line'!$AC$2:$AC$3001,$AD936)&amp;"")</f>
        <v/>
      </c>
      <c r="O936">
        <f>IF($AD936="","",INDEX('Per Line'!$P$2:$P$3001,$AD936))</f>
        <v/>
      </c>
      <c r="P936" s="7">
        <f>IF($AD936="","",IF(AND(ISNUMBER(Q936),Q936&gt;0,AB936&gt;Q936),O936*Q936/100+(AB936-Q936),O936*AB936/100))</f>
        <v/>
      </c>
      <c r="Q936">
        <f>IF($AD936="","",INDEX('Per Line'!$AG$2:$AG$3001,$AD936))</f>
        <v/>
      </c>
      <c r="R936">
        <f>IF($AD936="","",IF(AND(ISNUMBER(Q936),Q936&gt;0),AB936&gt;Q936,FALSE))</f>
        <v/>
      </c>
      <c r="S936" s="7">
        <f>IF($AD936="","",SUMIFS('Per Line'!$AB$2:$AB$3001,'Per Line'!$E$2:$E$3001,$B936,'Per Line'!$AQ$2:$AQ$3001,1))</f>
        <v/>
      </c>
      <c r="T936">
        <f>IF($AD936="","",Settings!$C$7)</f>
        <v/>
      </c>
      <c r="U936" s="7">
        <f>IF($AD936="","",SUMIFS('Per Line'!$AB$2:$AB$3001,'Per Line'!$E$2:$E$3001,$B936,'Per Line'!$AP$2:$AP$3001,0,'Per Line'!$AQ$2:$AQ$3001,0))</f>
        <v/>
      </c>
      <c r="V936" s="7">
        <f>IF($AD936="","",U936*T936)</f>
        <v/>
      </c>
      <c r="W936">
        <f>IF($AD936="","",Settings!$C$6)</f>
        <v/>
      </c>
      <c r="X936" s="7">
        <f>IF($AD936="","",SUMIFS('Per Line'!$AB$2:$AB$3001,'Per Line'!$E$2:$E$3001,$B936,'Per Line'!$AP$2:$AP$3001,1,'Per Line'!$AQ$2:$AQ$3001,0))</f>
        <v/>
      </c>
      <c r="Y936" s="7">
        <f>IF($AD936="","",X936*W936)</f>
        <v/>
      </c>
      <c r="Z936" s="7">
        <f>IF($AD936="","",Y936+V936)</f>
        <v/>
      </c>
      <c r="AA936" s="7">
        <f>IF($AD936="","",AB936-Z936)</f>
        <v/>
      </c>
      <c r="AB936" s="7">
        <f>IF($AD936="","",U936+X936+S936)</f>
        <v/>
      </c>
      <c r="AC936" s="7">
        <f>IF($AD936="","",AB936-Z936-P936)</f>
        <v/>
      </c>
      <c r="AD936" s="13">
        <f>IF(ROWS($AD$2:$AD936)&lt;=MAX('Per Line'!$AO$2:$AO$3001),MATCH(ROWS($AD$2:$AD936),'Per Line'!$AO$2:$AO$3001,0),"")</f>
        <v/>
      </c>
      <c r="AE936" s="14">
        <f>IF($AD936="","",P936-O936*AB936/100)</f>
        <v/>
      </c>
    </row>
    <row r="937">
      <c r="A937" s="12" t="n"/>
      <c r="B937">
        <f>IF($AD937="","",INDEX('Per Line'!$E$2:$E$3001,$AD937)&amp;"")</f>
        <v/>
      </c>
      <c r="C937">
        <f>IF($AD937="","",INDEX('Per Line'!$A$2:$A$3001,$AD937)&amp;"")</f>
        <v/>
      </c>
      <c r="D937">
        <f>IF($AD937="","",INDEX('Per Line'!$C$2:$C$3001,$AD937)&amp;"")</f>
        <v/>
      </c>
      <c r="E937">
        <f>IF($AD937="","",INDEX('Per Line'!$B$2:$B$3001,$AD937))</f>
        <v/>
      </c>
      <c r="F937">
        <f>IF($AD937="","",INDEX('Per Line'!$D$2:$D$3001,$AD937)&amp;"")</f>
        <v/>
      </c>
      <c r="G937" s="11">
        <f>IF($AD937="","",INDEX('Per Line'!$G$2:$G$3001,$AD937))</f>
        <v/>
      </c>
      <c r="H937">
        <f>IF($AD937="","",INDEX('Per Line'!$J$2:$J$3001,$AD937)&amp;"")</f>
        <v/>
      </c>
      <c r="I937">
        <f>IF($AD937="","",INDEX('Per Line'!$H$2:$H$3001,$AD937)&amp;"")</f>
        <v/>
      </c>
      <c r="J937">
        <f>IF($AD937="","",INDEX('Per Line'!$F$2:$F$3001,$AD937)&amp;"")</f>
        <v/>
      </c>
      <c r="K937">
        <f>IF($AD937="","",INDEX('Per Line'!$K$2:$K$3001,$AD937)&amp;"")</f>
        <v/>
      </c>
      <c r="L937">
        <f>IF($AD937="","",INDEX('Per Line'!$L$2:$L$3001,$AD937)&amp;"")</f>
        <v/>
      </c>
      <c r="M937">
        <f>IF($AD937="","",INDEX('Per Line'!$M$2:$M$3001,$AD937)&amp;"")</f>
        <v/>
      </c>
      <c r="N937">
        <f>IF($AD937="","",INDEX('Per Line'!$AC$2:$AC$3001,$AD937)&amp;"")</f>
        <v/>
      </c>
      <c r="O937">
        <f>IF($AD937="","",INDEX('Per Line'!$P$2:$P$3001,$AD937))</f>
        <v/>
      </c>
      <c r="P937" s="7">
        <f>IF($AD937="","",IF(AND(ISNUMBER(Q937),Q937&gt;0,AB937&gt;Q937),O937*Q937/100+(AB937-Q937),O937*AB937/100))</f>
        <v/>
      </c>
      <c r="Q937">
        <f>IF($AD937="","",INDEX('Per Line'!$AG$2:$AG$3001,$AD937))</f>
        <v/>
      </c>
      <c r="R937">
        <f>IF($AD937="","",IF(AND(ISNUMBER(Q937),Q937&gt;0),AB937&gt;Q937,FALSE))</f>
        <v/>
      </c>
      <c r="S937" s="7">
        <f>IF($AD937="","",SUMIFS('Per Line'!$AB$2:$AB$3001,'Per Line'!$E$2:$E$3001,$B937,'Per Line'!$AQ$2:$AQ$3001,1))</f>
        <v/>
      </c>
      <c r="T937">
        <f>IF($AD937="","",Settings!$C$7)</f>
        <v/>
      </c>
      <c r="U937" s="7">
        <f>IF($AD937="","",SUMIFS('Per Line'!$AB$2:$AB$3001,'Per Line'!$E$2:$E$3001,$B937,'Per Line'!$AP$2:$AP$3001,0,'Per Line'!$AQ$2:$AQ$3001,0))</f>
        <v/>
      </c>
      <c r="V937" s="7">
        <f>IF($AD937="","",U937*T937)</f>
        <v/>
      </c>
      <c r="W937">
        <f>IF($AD937="","",Settings!$C$6)</f>
        <v/>
      </c>
      <c r="X937" s="7">
        <f>IF($AD937="","",SUMIFS('Per Line'!$AB$2:$AB$3001,'Per Line'!$E$2:$E$3001,$B937,'Per Line'!$AP$2:$AP$3001,1,'Per Line'!$AQ$2:$AQ$3001,0))</f>
        <v/>
      </c>
      <c r="Y937" s="7">
        <f>IF($AD937="","",X937*W937)</f>
        <v/>
      </c>
      <c r="Z937" s="7">
        <f>IF($AD937="","",Y937+V937)</f>
        <v/>
      </c>
      <c r="AA937" s="7">
        <f>IF($AD937="","",AB937-Z937)</f>
        <v/>
      </c>
      <c r="AB937" s="7">
        <f>IF($AD937="","",U937+X937+S937)</f>
        <v/>
      </c>
      <c r="AC937" s="7">
        <f>IF($AD937="","",AB937-Z937-P937)</f>
        <v/>
      </c>
      <c r="AD937" s="13">
        <f>IF(ROWS($AD$2:$AD937)&lt;=MAX('Per Line'!$AO$2:$AO$3001),MATCH(ROWS($AD$2:$AD937),'Per Line'!$AO$2:$AO$3001,0),"")</f>
        <v/>
      </c>
      <c r="AE937" s="14">
        <f>IF($AD937="","",P937-O937*AB937/100)</f>
        <v/>
      </c>
    </row>
    <row r="938">
      <c r="A938" s="12" t="n"/>
      <c r="B938">
        <f>IF($AD938="","",INDEX('Per Line'!$E$2:$E$3001,$AD938)&amp;"")</f>
        <v/>
      </c>
      <c r="C938">
        <f>IF($AD938="","",INDEX('Per Line'!$A$2:$A$3001,$AD938)&amp;"")</f>
        <v/>
      </c>
      <c r="D938">
        <f>IF($AD938="","",INDEX('Per Line'!$C$2:$C$3001,$AD938)&amp;"")</f>
        <v/>
      </c>
      <c r="E938">
        <f>IF($AD938="","",INDEX('Per Line'!$B$2:$B$3001,$AD938))</f>
        <v/>
      </c>
      <c r="F938">
        <f>IF($AD938="","",INDEX('Per Line'!$D$2:$D$3001,$AD938)&amp;"")</f>
        <v/>
      </c>
      <c r="G938" s="11">
        <f>IF($AD938="","",INDEX('Per Line'!$G$2:$G$3001,$AD938))</f>
        <v/>
      </c>
      <c r="H938">
        <f>IF($AD938="","",INDEX('Per Line'!$J$2:$J$3001,$AD938)&amp;"")</f>
        <v/>
      </c>
      <c r="I938">
        <f>IF($AD938="","",INDEX('Per Line'!$H$2:$H$3001,$AD938)&amp;"")</f>
        <v/>
      </c>
      <c r="J938">
        <f>IF($AD938="","",INDEX('Per Line'!$F$2:$F$3001,$AD938)&amp;"")</f>
        <v/>
      </c>
      <c r="K938">
        <f>IF($AD938="","",INDEX('Per Line'!$K$2:$K$3001,$AD938)&amp;"")</f>
        <v/>
      </c>
      <c r="L938">
        <f>IF($AD938="","",INDEX('Per Line'!$L$2:$L$3001,$AD938)&amp;"")</f>
        <v/>
      </c>
      <c r="M938">
        <f>IF($AD938="","",INDEX('Per Line'!$M$2:$M$3001,$AD938)&amp;"")</f>
        <v/>
      </c>
      <c r="N938">
        <f>IF($AD938="","",INDEX('Per Line'!$AC$2:$AC$3001,$AD938)&amp;"")</f>
        <v/>
      </c>
      <c r="O938">
        <f>IF($AD938="","",INDEX('Per Line'!$P$2:$P$3001,$AD938))</f>
        <v/>
      </c>
      <c r="P938" s="7">
        <f>IF($AD938="","",IF(AND(ISNUMBER(Q938),Q938&gt;0,AB938&gt;Q938),O938*Q938/100+(AB938-Q938),O938*AB938/100))</f>
        <v/>
      </c>
      <c r="Q938">
        <f>IF($AD938="","",INDEX('Per Line'!$AG$2:$AG$3001,$AD938))</f>
        <v/>
      </c>
      <c r="R938">
        <f>IF($AD938="","",IF(AND(ISNUMBER(Q938),Q938&gt;0),AB938&gt;Q938,FALSE))</f>
        <v/>
      </c>
      <c r="S938" s="7">
        <f>IF($AD938="","",SUMIFS('Per Line'!$AB$2:$AB$3001,'Per Line'!$E$2:$E$3001,$B938,'Per Line'!$AQ$2:$AQ$3001,1))</f>
        <v/>
      </c>
      <c r="T938">
        <f>IF($AD938="","",Settings!$C$7)</f>
        <v/>
      </c>
      <c r="U938" s="7">
        <f>IF($AD938="","",SUMIFS('Per Line'!$AB$2:$AB$3001,'Per Line'!$E$2:$E$3001,$B938,'Per Line'!$AP$2:$AP$3001,0,'Per Line'!$AQ$2:$AQ$3001,0))</f>
        <v/>
      </c>
      <c r="V938" s="7">
        <f>IF($AD938="","",U938*T938)</f>
        <v/>
      </c>
      <c r="W938">
        <f>IF($AD938="","",Settings!$C$6)</f>
        <v/>
      </c>
      <c r="X938" s="7">
        <f>IF($AD938="","",SUMIFS('Per Line'!$AB$2:$AB$3001,'Per Line'!$E$2:$E$3001,$B938,'Per Line'!$AP$2:$AP$3001,1,'Per Line'!$AQ$2:$AQ$3001,0))</f>
        <v/>
      </c>
      <c r="Y938" s="7">
        <f>IF($AD938="","",X938*W938)</f>
        <v/>
      </c>
      <c r="Z938" s="7">
        <f>IF($AD938="","",Y938+V938)</f>
        <v/>
      </c>
      <c r="AA938" s="7">
        <f>IF($AD938="","",AB938-Z938)</f>
        <v/>
      </c>
      <c r="AB938" s="7">
        <f>IF($AD938="","",U938+X938+S938)</f>
        <v/>
      </c>
      <c r="AC938" s="7">
        <f>IF($AD938="","",AB938-Z938-P938)</f>
        <v/>
      </c>
      <c r="AD938" s="13">
        <f>IF(ROWS($AD$2:$AD938)&lt;=MAX('Per Line'!$AO$2:$AO$3001),MATCH(ROWS($AD$2:$AD938),'Per Line'!$AO$2:$AO$3001,0),"")</f>
        <v/>
      </c>
      <c r="AE938" s="14">
        <f>IF($AD938="","",P938-O938*AB938/100)</f>
        <v/>
      </c>
    </row>
    <row r="939">
      <c r="A939" s="12" t="n"/>
      <c r="B939">
        <f>IF($AD939="","",INDEX('Per Line'!$E$2:$E$3001,$AD939)&amp;"")</f>
        <v/>
      </c>
      <c r="C939">
        <f>IF($AD939="","",INDEX('Per Line'!$A$2:$A$3001,$AD939)&amp;"")</f>
        <v/>
      </c>
      <c r="D939">
        <f>IF($AD939="","",INDEX('Per Line'!$C$2:$C$3001,$AD939)&amp;"")</f>
        <v/>
      </c>
      <c r="E939">
        <f>IF($AD939="","",INDEX('Per Line'!$B$2:$B$3001,$AD939))</f>
        <v/>
      </c>
      <c r="F939">
        <f>IF($AD939="","",INDEX('Per Line'!$D$2:$D$3001,$AD939)&amp;"")</f>
        <v/>
      </c>
      <c r="G939" s="11">
        <f>IF($AD939="","",INDEX('Per Line'!$G$2:$G$3001,$AD939))</f>
        <v/>
      </c>
      <c r="H939">
        <f>IF($AD939="","",INDEX('Per Line'!$J$2:$J$3001,$AD939)&amp;"")</f>
        <v/>
      </c>
      <c r="I939">
        <f>IF($AD939="","",INDEX('Per Line'!$H$2:$H$3001,$AD939)&amp;"")</f>
        <v/>
      </c>
      <c r="J939">
        <f>IF($AD939="","",INDEX('Per Line'!$F$2:$F$3001,$AD939)&amp;"")</f>
        <v/>
      </c>
      <c r="K939">
        <f>IF($AD939="","",INDEX('Per Line'!$K$2:$K$3001,$AD939)&amp;"")</f>
        <v/>
      </c>
      <c r="L939">
        <f>IF($AD939="","",INDEX('Per Line'!$L$2:$L$3001,$AD939)&amp;"")</f>
        <v/>
      </c>
      <c r="M939">
        <f>IF($AD939="","",INDEX('Per Line'!$M$2:$M$3001,$AD939)&amp;"")</f>
        <v/>
      </c>
      <c r="N939">
        <f>IF($AD939="","",INDEX('Per Line'!$AC$2:$AC$3001,$AD939)&amp;"")</f>
        <v/>
      </c>
      <c r="O939">
        <f>IF($AD939="","",INDEX('Per Line'!$P$2:$P$3001,$AD939))</f>
        <v/>
      </c>
      <c r="P939" s="7">
        <f>IF($AD939="","",IF(AND(ISNUMBER(Q939),Q939&gt;0,AB939&gt;Q939),O939*Q939/100+(AB939-Q939),O939*AB939/100))</f>
        <v/>
      </c>
      <c r="Q939">
        <f>IF($AD939="","",INDEX('Per Line'!$AG$2:$AG$3001,$AD939))</f>
        <v/>
      </c>
      <c r="R939">
        <f>IF($AD939="","",IF(AND(ISNUMBER(Q939),Q939&gt;0),AB939&gt;Q939,FALSE))</f>
        <v/>
      </c>
      <c r="S939" s="7">
        <f>IF($AD939="","",SUMIFS('Per Line'!$AB$2:$AB$3001,'Per Line'!$E$2:$E$3001,$B939,'Per Line'!$AQ$2:$AQ$3001,1))</f>
        <v/>
      </c>
      <c r="T939">
        <f>IF($AD939="","",Settings!$C$7)</f>
        <v/>
      </c>
      <c r="U939" s="7">
        <f>IF($AD939="","",SUMIFS('Per Line'!$AB$2:$AB$3001,'Per Line'!$E$2:$E$3001,$B939,'Per Line'!$AP$2:$AP$3001,0,'Per Line'!$AQ$2:$AQ$3001,0))</f>
        <v/>
      </c>
      <c r="V939" s="7">
        <f>IF($AD939="","",U939*T939)</f>
        <v/>
      </c>
      <c r="W939">
        <f>IF($AD939="","",Settings!$C$6)</f>
        <v/>
      </c>
      <c r="X939" s="7">
        <f>IF($AD939="","",SUMIFS('Per Line'!$AB$2:$AB$3001,'Per Line'!$E$2:$E$3001,$B939,'Per Line'!$AP$2:$AP$3001,1,'Per Line'!$AQ$2:$AQ$3001,0))</f>
        <v/>
      </c>
      <c r="Y939" s="7">
        <f>IF($AD939="","",X939*W939)</f>
        <v/>
      </c>
      <c r="Z939" s="7">
        <f>IF($AD939="","",Y939+V939)</f>
        <v/>
      </c>
      <c r="AA939" s="7">
        <f>IF($AD939="","",AB939-Z939)</f>
        <v/>
      </c>
      <c r="AB939" s="7">
        <f>IF($AD939="","",U939+X939+S939)</f>
        <v/>
      </c>
      <c r="AC939" s="7">
        <f>IF($AD939="","",AB939-Z939-P939)</f>
        <v/>
      </c>
      <c r="AD939" s="13">
        <f>IF(ROWS($AD$2:$AD939)&lt;=MAX('Per Line'!$AO$2:$AO$3001),MATCH(ROWS($AD$2:$AD939),'Per Line'!$AO$2:$AO$3001,0),"")</f>
        <v/>
      </c>
      <c r="AE939" s="14">
        <f>IF($AD939="","",P939-O939*AB939/100)</f>
        <v/>
      </c>
    </row>
    <row r="940">
      <c r="A940" s="12" t="n"/>
      <c r="B940">
        <f>IF($AD940="","",INDEX('Per Line'!$E$2:$E$3001,$AD940)&amp;"")</f>
        <v/>
      </c>
      <c r="C940">
        <f>IF($AD940="","",INDEX('Per Line'!$A$2:$A$3001,$AD940)&amp;"")</f>
        <v/>
      </c>
      <c r="D940">
        <f>IF($AD940="","",INDEX('Per Line'!$C$2:$C$3001,$AD940)&amp;"")</f>
        <v/>
      </c>
      <c r="E940">
        <f>IF($AD940="","",INDEX('Per Line'!$B$2:$B$3001,$AD940))</f>
        <v/>
      </c>
      <c r="F940">
        <f>IF($AD940="","",INDEX('Per Line'!$D$2:$D$3001,$AD940)&amp;"")</f>
        <v/>
      </c>
      <c r="G940" s="11">
        <f>IF($AD940="","",INDEX('Per Line'!$G$2:$G$3001,$AD940))</f>
        <v/>
      </c>
      <c r="H940">
        <f>IF($AD940="","",INDEX('Per Line'!$J$2:$J$3001,$AD940)&amp;"")</f>
        <v/>
      </c>
      <c r="I940">
        <f>IF($AD940="","",INDEX('Per Line'!$H$2:$H$3001,$AD940)&amp;"")</f>
        <v/>
      </c>
      <c r="J940">
        <f>IF($AD940="","",INDEX('Per Line'!$F$2:$F$3001,$AD940)&amp;"")</f>
        <v/>
      </c>
      <c r="K940">
        <f>IF($AD940="","",INDEX('Per Line'!$K$2:$K$3001,$AD940)&amp;"")</f>
        <v/>
      </c>
      <c r="L940">
        <f>IF($AD940="","",INDEX('Per Line'!$L$2:$L$3001,$AD940)&amp;"")</f>
        <v/>
      </c>
      <c r="M940">
        <f>IF($AD940="","",INDEX('Per Line'!$M$2:$M$3001,$AD940)&amp;"")</f>
        <v/>
      </c>
      <c r="N940">
        <f>IF($AD940="","",INDEX('Per Line'!$AC$2:$AC$3001,$AD940)&amp;"")</f>
        <v/>
      </c>
      <c r="O940">
        <f>IF($AD940="","",INDEX('Per Line'!$P$2:$P$3001,$AD940))</f>
        <v/>
      </c>
      <c r="P940" s="7">
        <f>IF($AD940="","",IF(AND(ISNUMBER(Q940),Q940&gt;0,AB940&gt;Q940),O940*Q940/100+(AB940-Q940),O940*AB940/100))</f>
        <v/>
      </c>
      <c r="Q940">
        <f>IF($AD940="","",INDEX('Per Line'!$AG$2:$AG$3001,$AD940))</f>
        <v/>
      </c>
      <c r="R940">
        <f>IF($AD940="","",IF(AND(ISNUMBER(Q940),Q940&gt;0),AB940&gt;Q940,FALSE))</f>
        <v/>
      </c>
      <c r="S940" s="7">
        <f>IF($AD940="","",SUMIFS('Per Line'!$AB$2:$AB$3001,'Per Line'!$E$2:$E$3001,$B940,'Per Line'!$AQ$2:$AQ$3001,1))</f>
        <v/>
      </c>
      <c r="T940">
        <f>IF($AD940="","",Settings!$C$7)</f>
        <v/>
      </c>
      <c r="U940" s="7">
        <f>IF($AD940="","",SUMIFS('Per Line'!$AB$2:$AB$3001,'Per Line'!$E$2:$E$3001,$B940,'Per Line'!$AP$2:$AP$3001,0,'Per Line'!$AQ$2:$AQ$3001,0))</f>
        <v/>
      </c>
      <c r="V940" s="7">
        <f>IF($AD940="","",U940*T940)</f>
        <v/>
      </c>
      <c r="W940">
        <f>IF($AD940="","",Settings!$C$6)</f>
        <v/>
      </c>
      <c r="X940" s="7">
        <f>IF($AD940="","",SUMIFS('Per Line'!$AB$2:$AB$3001,'Per Line'!$E$2:$E$3001,$B940,'Per Line'!$AP$2:$AP$3001,1,'Per Line'!$AQ$2:$AQ$3001,0))</f>
        <v/>
      </c>
      <c r="Y940" s="7">
        <f>IF($AD940="","",X940*W940)</f>
        <v/>
      </c>
      <c r="Z940" s="7">
        <f>IF($AD940="","",Y940+V940)</f>
        <v/>
      </c>
      <c r="AA940" s="7">
        <f>IF($AD940="","",AB940-Z940)</f>
        <v/>
      </c>
      <c r="AB940" s="7">
        <f>IF($AD940="","",U940+X940+S940)</f>
        <v/>
      </c>
      <c r="AC940" s="7">
        <f>IF($AD940="","",AB940-Z940-P940)</f>
        <v/>
      </c>
      <c r="AD940" s="13">
        <f>IF(ROWS($AD$2:$AD940)&lt;=MAX('Per Line'!$AO$2:$AO$3001),MATCH(ROWS($AD$2:$AD940),'Per Line'!$AO$2:$AO$3001,0),"")</f>
        <v/>
      </c>
      <c r="AE940" s="14">
        <f>IF($AD940="","",P940-O940*AB940/100)</f>
        <v/>
      </c>
    </row>
    <row r="941">
      <c r="A941" s="12" t="n"/>
      <c r="B941">
        <f>IF($AD941="","",INDEX('Per Line'!$E$2:$E$3001,$AD941)&amp;"")</f>
        <v/>
      </c>
      <c r="C941">
        <f>IF($AD941="","",INDEX('Per Line'!$A$2:$A$3001,$AD941)&amp;"")</f>
        <v/>
      </c>
      <c r="D941">
        <f>IF($AD941="","",INDEX('Per Line'!$C$2:$C$3001,$AD941)&amp;"")</f>
        <v/>
      </c>
      <c r="E941">
        <f>IF($AD941="","",INDEX('Per Line'!$B$2:$B$3001,$AD941))</f>
        <v/>
      </c>
      <c r="F941">
        <f>IF($AD941="","",INDEX('Per Line'!$D$2:$D$3001,$AD941)&amp;"")</f>
        <v/>
      </c>
      <c r="G941" s="11">
        <f>IF($AD941="","",INDEX('Per Line'!$G$2:$G$3001,$AD941))</f>
        <v/>
      </c>
      <c r="H941">
        <f>IF($AD941="","",INDEX('Per Line'!$J$2:$J$3001,$AD941)&amp;"")</f>
        <v/>
      </c>
      <c r="I941">
        <f>IF($AD941="","",INDEX('Per Line'!$H$2:$H$3001,$AD941)&amp;"")</f>
        <v/>
      </c>
      <c r="J941">
        <f>IF($AD941="","",INDEX('Per Line'!$F$2:$F$3001,$AD941)&amp;"")</f>
        <v/>
      </c>
      <c r="K941">
        <f>IF($AD941="","",INDEX('Per Line'!$K$2:$K$3001,$AD941)&amp;"")</f>
        <v/>
      </c>
      <c r="L941">
        <f>IF($AD941="","",INDEX('Per Line'!$L$2:$L$3001,$AD941)&amp;"")</f>
        <v/>
      </c>
      <c r="M941">
        <f>IF($AD941="","",INDEX('Per Line'!$M$2:$M$3001,$AD941)&amp;"")</f>
        <v/>
      </c>
      <c r="N941">
        <f>IF($AD941="","",INDEX('Per Line'!$AC$2:$AC$3001,$AD941)&amp;"")</f>
        <v/>
      </c>
      <c r="O941">
        <f>IF($AD941="","",INDEX('Per Line'!$P$2:$P$3001,$AD941))</f>
        <v/>
      </c>
      <c r="P941" s="7">
        <f>IF($AD941="","",IF(AND(ISNUMBER(Q941),Q941&gt;0,AB941&gt;Q941),O941*Q941/100+(AB941-Q941),O941*AB941/100))</f>
        <v/>
      </c>
      <c r="Q941">
        <f>IF($AD941="","",INDEX('Per Line'!$AG$2:$AG$3001,$AD941))</f>
        <v/>
      </c>
      <c r="R941">
        <f>IF($AD941="","",IF(AND(ISNUMBER(Q941),Q941&gt;0),AB941&gt;Q941,FALSE))</f>
        <v/>
      </c>
      <c r="S941" s="7">
        <f>IF($AD941="","",SUMIFS('Per Line'!$AB$2:$AB$3001,'Per Line'!$E$2:$E$3001,$B941,'Per Line'!$AQ$2:$AQ$3001,1))</f>
        <v/>
      </c>
      <c r="T941">
        <f>IF($AD941="","",Settings!$C$7)</f>
        <v/>
      </c>
      <c r="U941" s="7">
        <f>IF($AD941="","",SUMIFS('Per Line'!$AB$2:$AB$3001,'Per Line'!$E$2:$E$3001,$B941,'Per Line'!$AP$2:$AP$3001,0,'Per Line'!$AQ$2:$AQ$3001,0))</f>
        <v/>
      </c>
      <c r="V941" s="7">
        <f>IF($AD941="","",U941*T941)</f>
        <v/>
      </c>
      <c r="W941">
        <f>IF($AD941="","",Settings!$C$6)</f>
        <v/>
      </c>
      <c r="X941" s="7">
        <f>IF($AD941="","",SUMIFS('Per Line'!$AB$2:$AB$3001,'Per Line'!$E$2:$E$3001,$B941,'Per Line'!$AP$2:$AP$3001,1,'Per Line'!$AQ$2:$AQ$3001,0))</f>
        <v/>
      </c>
      <c r="Y941" s="7">
        <f>IF($AD941="","",X941*W941)</f>
        <v/>
      </c>
      <c r="Z941" s="7">
        <f>IF($AD941="","",Y941+V941)</f>
        <v/>
      </c>
      <c r="AA941" s="7">
        <f>IF($AD941="","",AB941-Z941)</f>
        <v/>
      </c>
      <c r="AB941" s="7">
        <f>IF($AD941="","",U941+X941+S941)</f>
        <v/>
      </c>
      <c r="AC941" s="7">
        <f>IF($AD941="","",AB941-Z941-P941)</f>
        <v/>
      </c>
      <c r="AD941" s="13">
        <f>IF(ROWS($AD$2:$AD941)&lt;=MAX('Per Line'!$AO$2:$AO$3001),MATCH(ROWS($AD$2:$AD941),'Per Line'!$AO$2:$AO$3001,0),"")</f>
        <v/>
      </c>
      <c r="AE941" s="14">
        <f>IF($AD941="","",P941-O941*AB941/100)</f>
        <v/>
      </c>
    </row>
    <row r="942">
      <c r="A942" s="12" t="n"/>
      <c r="B942">
        <f>IF($AD942="","",INDEX('Per Line'!$E$2:$E$3001,$AD942)&amp;"")</f>
        <v/>
      </c>
      <c r="C942">
        <f>IF($AD942="","",INDEX('Per Line'!$A$2:$A$3001,$AD942)&amp;"")</f>
        <v/>
      </c>
      <c r="D942">
        <f>IF($AD942="","",INDEX('Per Line'!$C$2:$C$3001,$AD942)&amp;"")</f>
        <v/>
      </c>
      <c r="E942">
        <f>IF($AD942="","",INDEX('Per Line'!$B$2:$B$3001,$AD942))</f>
        <v/>
      </c>
      <c r="F942">
        <f>IF($AD942="","",INDEX('Per Line'!$D$2:$D$3001,$AD942)&amp;"")</f>
        <v/>
      </c>
      <c r="G942" s="11">
        <f>IF($AD942="","",INDEX('Per Line'!$G$2:$G$3001,$AD942))</f>
        <v/>
      </c>
      <c r="H942">
        <f>IF($AD942="","",INDEX('Per Line'!$J$2:$J$3001,$AD942)&amp;"")</f>
        <v/>
      </c>
      <c r="I942">
        <f>IF($AD942="","",INDEX('Per Line'!$H$2:$H$3001,$AD942)&amp;"")</f>
        <v/>
      </c>
      <c r="J942">
        <f>IF($AD942="","",INDEX('Per Line'!$F$2:$F$3001,$AD942)&amp;"")</f>
        <v/>
      </c>
      <c r="K942">
        <f>IF($AD942="","",INDEX('Per Line'!$K$2:$K$3001,$AD942)&amp;"")</f>
        <v/>
      </c>
      <c r="L942">
        <f>IF($AD942="","",INDEX('Per Line'!$L$2:$L$3001,$AD942)&amp;"")</f>
        <v/>
      </c>
      <c r="M942">
        <f>IF($AD942="","",INDEX('Per Line'!$M$2:$M$3001,$AD942)&amp;"")</f>
        <v/>
      </c>
      <c r="N942">
        <f>IF($AD942="","",INDEX('Per Line'!$AC$2:$AC$3001,$AD942)&amp;"")</f>
        <v/>
      </c>
      <c r="O942">
        <f>IF($AD942="","",INDEX('Per Line'!$P$2:$P$3001,$AD942))</f>
        <v/>
      </c>
      <c r="P942" s="7">
        <f>IF($AD942="","",IF(AND(ISNUMBER(Q942),Q942&gt;0,AB942&gt;Q942),O942*Q942/100+(AB942-Q942),O942*AB942/100))</f>
        <v/>
      </c>
      <c r="Q942">
        <f>IF($AD942="","",INDEX('Per Line'!$AG$2:$AG$3001,$AD942))</f>
        <v/>
      </c>
      <c r="R942">
        <f>IF($AD942="","",IF(AND(ISNUMBER(Q942),Q942&gt;0),AB942&gt;Q942,FALSE))</f>
        <v/>
      </c>
      <c r="S942" s="7">
        <f>IF($AD942="","",SUMIFS('Per Line'!$AB$2:$AB$3001,'Per Line'!$E$2:$E$3001,$B942,'Per Line'!$AQ$2:$AQ$3001,1))</f>
        <v/>
      </c>
      <c r="T942">
        <f>IF($AD942="","",Settings!$C$7)</f>
        <v/>
      </c>
      <c r="U942" s="7">
        <f>IF($AD942="","",SUMIFS('Per Line'!$AB$2:$AB$3001,'Per Line'!$E$2:$E$3001,$B942,'Per Line'!$AP$2:$AP$3001,0,'Per Line'!$AQ$2:$AQ$3001,0))</f>
        <v/>
      </c>
      <c r="V942" s="7">
        <f>IF($AD942="","",U942*T942)</f>
        <v/>
      </c>
      <c r="W942">
        <f>IF($AD942="","",Settings!$C$6)</f>
        <v/>
      </c>
      <c r="X942" s="7">
        <f>IF($AD942="","",SUMIFS('Per Line'!$AB$2:$AB$3001,'Per Line'!$E$2:$E$3001,$B942,'Per Line'!$AP$2:$AP$3001,1,'Per Line'!$AQ$2:$AQ$3001,0))</f>
        <v/>
      </c>
      <c r="Y942" s="7">
        <f>IF($AD942="","",X942*W942)</f>
        <v/>
      </c>
      <c r="Z942" s="7">
        <f>IF($AD942="","",Y942+V942)</f>
        <v/>
      </c>
      <c r="AA942" s="7">
        <f>IF($AD942="","",AB942-Z942)</f>
        <v/>
      </c>
      <c r="AB942" s="7">
        <f>IF($AD942="","",U942+X942+S942)</f>
        <v/>
      </c>
      <c r="AC942" s="7">
        <f>IF($AD942="","",AB942-Z942-P942)</f>
        <v/>
      </c>
      <c r="AD942" s="13">
        <f>IF(ROWS($AD$2:$AD942)&lt;=MAX('Per Line'!$AO$2:$AO$3001),MATCH(ROWS($AD$2:$AD942),'Per Line'!$AO$2:$AO$3001,0),"")</f>
        <v/>
      </c>
      <c r="AE942" s="14">
        <f>IF($AD942="","",P942-O942*AB942/100)</f>
        <v/>
      </c>
    </row>
    <row r="943">
      <c r="A943" s="12" t="n"/>
      <c r="B943">
        <f>IF($AD943="","",INDEX('Per Line'!$E$2:$E$3001,$AD943)&amp;"")</f>
        <v/>
      </c>
      <c r="C943">
        <f>IF($AD943="","",INDEX('Per Line'!$A$2:$A$3001,$AD943)&amp;"")</f>
        <v/>
      </c>
      <c r="D943">
        <f>IF($AD943="","",INDEX('Per Line'!$C$2:$C$3001,$AD943)&amp;"")</f>
        <v/>
      </c>
      <c r="E943">
        <f>IF($AD943="","",INDEX('Per Line'!$B$2:$B$3001,$AD943))</f>
        <v/>
      </c>
      <c r="F943">
        <f>IF($AD943="","",INDEX('Per Line'!$D$2:$D$3001,$AD943)&amp;"")</f>
        <v/>
      </c>
      <c r="G943" s="11">
        <f>IF($AD943="","",INDEX('Per Line'!$G$2:$G$3001,$AD943))</f>
        <v/>
      </c>
      <c r="H943">
        <f>IF($AD943="","",INDEX('Per Line'!$J$2:$J$3001,$AD943)&amp;"")</f>
        <v/>
      </c>
      <c r="I943">
        <f>IF($AD943="","",INDEX('Per Line'!$H$2:$H$3001,$AD943)&amp;"")</f>
        <v/>
      </c>
      <c r="J943">
        <f>IF($AD943="","",INDEX('Per Line'!$F$2:$F$3001,$AD943)&amp;"")</f>
        <v/>
      </c>
      <c r="K943">
        <f>IF($AD943="","",INDEX('Per Line'!$K$2:$K$3001,$AD943)&amp;"")</f>
        <v/>
      </c>
      <c r="L943">
        <f>IF($AD943="","",INDEX('Per Line'!$L$2:$L$3001,$AD943)&amp;"")</f>
        <v/>
      </c>
      <c r="M943">
        <f>IF($AD943="","",INDEX('Per Line'!$M$2:$M$3001,$AD943)&amp;"")</f>
        <v/>
      </c>
      <c r="N943">
        <f>IF($AD943="","",INDEX('Per Line'!$AC$2:$AC$3001,$AD943)&amp;"")</f>
        <v/>
      </c>
      <c r="O943">
        <f>IF($AD943="","",INDEX('Per Line'!$P$2:$P$3001,$AD943))</f>
        <v/>
      </c>
      <c r="P943" s="7">
        <f>IF($AD943="","",IF(AND(ISNUMBER(Q943),Q943&gt;0,AB943&gt;Q943),O943*Q943/100+(AB943-Q943),O943*AB943/100))</f>
        <v/>
      </c>
      <c r="Q943">
        <f>IF($AD943="","",INDEX('Per Line'!$AG$2:$AG$3001,$AD943))</f>
        <v/>
      </c>
      <c r="R943">
        <f>IF($AD943="","",IF(AND(ISNUMBER(Q943),Q943&gt;0),AB943&gt;Q943,FALSE))</f>
        <v/>
      </c>
      <c r="S943" s="7">
        <f>IF($AD943="","",SUMIFS('Per Line'!$AB$2:$AB$3001,'Per Line'!$E$2:$E$3001,$B943,'Per Line'!$AQ$2:$AQ$3001,1))</f>
        <v/>
      </c>
      <c r="T943">
        <f>IF($AD943="","",Settings!$C$7)</f>
        <v/>
      </c>
      <c r="U943" s="7">
        <f>IF($AD943="","",SUMIFS('Per Line'!$AB$2:$AB$3001,'Per Line'!$E$2:$E$3001,$B943,'Per Line'!$AP$2:$AP$3001,0,'Per Line'!$AQ$2:$AQ$3001,0))</f>
        <v/>
      </c>
      <c r="V943" s="7">
        <f>IF($AD943="","",U943*T943)</f>
        <v/>
      </c>
      <c r="W943">
        <f>IF($AD943="","",Settings!$C$6)</f>
        <v/>
      </c>
      <c r="X943" s="7">
        <f>IF($AD943="","",SUMIFS('Per Line'!$AB$2:$AB$3001,'Per Line'!$E$2:$E$3001,$B943,'Per Line'!$AP$2:$AP$3001,1,'Per Line'!$AQ$2:$AQ$3001,0))</f>
        <v/>
      </c>
      <c r="Y943" s="7">
        <f>IF($AD943="","",X943*W943)</f>
        <v/>
      </c>
      <c r="Z943" s="7">
        <f>IF($AD943="","",Y943+V943)</f>
        <v/>
      </c>
      <c r="AA943" s="7">
        <f>IF($AD943="","",AB943-Z943)</f>
        <v/>
      </c>
      <c r="AB943" s="7">
        <f>IF($AD943="","",U943+X943+S943)</f>
        <v/>
      </c>
      <c r="AC943" s="7">
        <f>IF($AD943="","",AB943-Z943-P943)</f>
        <v/>
      </c>
      <c r="AD943" s="13">
        <f>IF(ROWS($AD$2:$AD943)&lt;=MAX('Per Line'!$AO$2:$AO$3001),MATCH(ROWS($AD$2:$AD943),'Per Line'!$AO$2:$AO$3001,0),"")</f>
        <v/>
      </c>
      <c r="AE943" s="14">
        <f>IF($AD943="","",P943-O943*AB943/100)</f>
        <v/>
      </c>
    </row>
    <row r="944">
      <c r="A944" s="12" t="n"/>
      <c r="B944">
        <f>IF($AD944="","",INDEX('Per Line'!$E$2:$E$3001,$AD944)&amp;"")</f>
        <v/>
      </c>
      <c r="C944">
        <f>IF($AD944="","",INDEX('Per Line'!$A$2:$A$3001,$AD944)&amp;"")</f>
        <v/>
      </c>
      <c r="D944">
        <f>IF($AD944="","",INDEX('Per Line'!$C$2:$C$3001,$AD944)&amp;"")</f>
        <v/>
      </c>
      <c r="E944">
        <f>IF($AD944="","",INDEX('Per Line'!$B$2:$B$3001,$AD944))</f>
        <v/>
      </c>
      <c r="F944">
        <f>IF($AD944="","",INDEX('Per Line'!$D$2:$D$3001,$AD944)&amp;"")</f>
        <v/>
      </c>
      <c r="G944" s="11">
        <f>IF($AD944="","",INDEX('Per Line'!$G$2:$G$3001,$AD944))</f>
        <v/>
      </c>
      <c r="H944">
        <f>IF($AD944="","",INDEX('Per Line'!$J$2:$J$3001,$AD944)&amp;"")</f>
        <v/>
      </c>
      <c r="I944">
        <f>IF($AD944="","",INDEX('Per Line'!$H$2:$H$3001,$AD944)&amp;"")</f>
        <v/>
      </c>
      <c r="J944">
        <f>IF($AD944="","",INDEX('Per Line'!$F$2:$F$3001,$AD944)&amp;"")</f>
        <v/>
      </c>
      <c r="K944">
        <f>IF($AD944="","",INDEX('Per Line'!$K$2:$K$3001,$AD944)&amp;"")</f>
        <v/>
      </c>
      <c r="L944">
        <f>IF($AD944="","",INDEX('Per Line'!$L$2:$L$3001,$AD944)&amp;"")</f>
        <v/>
      </c>
      <c r="M944">
        <f>IF($AD944="","",INDEX('Per Line'!$M$2:$M$3001,$AD944)&amp;"")</f>
        <v/>
      </c>
      <c r="N944">
        <f>IF($AD944="","",INDEX('Per Line'!$AC$2:$AC$3001,$AD944)&amp;"")</f>
        <v/>
      </c>
      <c r="O944">
        <f>IF($AD944="","",INDEX('Per Line'!$P$2:$P$3001,$AD944))</f>
        <v/>
      </c>
      <c r="P944" s="7">
        <f>IF($AD944="","",IF(AND(ISNUMBER(Q944),Q944&gt;0,AB944&gt;Q944),O944*Q944/100+(AB944-Q944),O944*AB944/100))</f>
        <v/>
      </c>
      <c r="Q944">
        <f>IF($AD944="","",INDEX('Per Line'!$AG$2:$AG$3001,$AD944))</f>
        <v/>
      </c>
      <c r="R944">
        <f>IF($AD944="","",IF(AND(ISNUMBER(Q944),Q944&gt;0),AB944&gt;Q944,FALSE))</f>
        <v/>
      </c>
      <c r="S944" s="7">
        <f>IF($AD944="","",SUMIFS('Per Line'!$AB$2:$AB$3001,'Per Line'!$E$2:$E$3001,$B944,'Per Line'!$AQ$2:$AQ$3001,1))</f>
        <v/>
      </c>
      <c r="T944">
        <f>IF($AD944="","",Settings!$C$7)</f>
        <v/>
      </c>
      <c r="U944" s="7">
        <f>IF($AD944="","",SUMIFS('Per Line'!$AB$2:$AB$3001,'Per Line'!$E$2:$E$3001,$B944,'Per Line'!$AP$2:$AP$3001,0,'Per Line'!$AQ$2:$AQ$3001,0))</f>
        <v/>
      </c>
      <c r="V944" s="7">
        <f>IF($AD944="","",U944*T944)</f>
        <v/>
      </c>
      <c r="W944">
        <f>IF($AD944="","",Settings!$C$6)</f>
        <v/>
      </c>
      <c r="X944" s="7">
        <f>IF($AD944="","",SUMIFS('Per Line'!$AB$2:$AB$3001,'Per Line'!$E$2:$E$3001,$B944,'Per Line'!$AP$2:$AP$3001,1,'Per Line'!$AQ$2:$AQ$3001,0))</f>
        <v/>
      </c>
      <c r="Y944" s="7">
        <f>IF($AD944="","",X944*W944)</f>
        <v/>
      </c>
      <c r="Z944" s="7">
        <f>IF($AD944="","",Y944+V944)</f>
        <v/>
      </c>
      <c r="AA944" s="7">
        <f>IF($AD944="","",AB944-Z944)</f>
        <v/>
      </c>
      <c r="AB944" s="7">
        <f>IF($AD944="","",U944+X944+S944)</f>
        <v/>
      </c>
      <c r="AC944" s="7">
        <f>IF($AD944="","",AB944-Z944-P944)</f>
        <v/>
      </c>
      <c r="AD944" s="13">
        <f>IF(ROWS($AD$2:$AD944)&lt;=MAX('Per Line'!$AO$2:$AO$3001),MATCH(ROWS($AD$2:$AD944),'Per Line'!$AO$2:$AO$3001,0),"")</f>
        <v/>
      </c>
      <c r="AE944" s="14">
        <f>IF($AD944="","",P944-O944*AB944/100)</f>
        <v/>
      </c>
    </row>
    <row r="945">
      <c r="A945" s="12" t="n"/>
      <c r="B945">
        <f>IF($AD945="","",INDEX('Per Line'!$E$2:$E$3001,$AD945)&amp;"")</f>
        <v/>
      </c>
      <c r="C945">
        <f>IF($AD945="","",INDEX('Per Line'!$A$2:$A$3001,$AD945)&amp;"")</f>
        <v/>
      </c>
      <c r="D945">
        <f>IF($AD945="","",INDEX('Per Line'!$C$2:$C$3001,$AD945)&amp;"")</f>
        <v/>
      </c>
      <c r="E945">
        <f>IF($AD945="","",INDEX('Per Line'!$B$2:$B$3001,$AD945))</f>
        <v/>
      </c>
      <c r="F945">
        <f>IF($AD945="","",INDEX('Per Line'!$D$2:$D$3001,$AD945)&amp;"")</f>
        <v/>
      </c>
      <c r="G945" s="11">
        <f>IF($AD945="","",INDEX('Per Line'!$G$2:$G$3001,$AD945))</f>
        <v/>
      </c>
      <c r="H945">
        <f>IF($AD945="","",INDEX('Per Line'!$J$2:$J$3001,$AD945)&amp;"")</f>
        <v/>
      </c>
      <c r="I945">
        <f>IF($AD945="","",INDEX('Per Line'!$H$2:$H$3001,$AD945)&amp;"")</f>
        <v/>
      </c>
      <c r="J945">
        <f>IF($AD945="","",INDEX('Per Line'!$F$2:$F$3001,$AD945)&amp;"")</f>
        <v/>
      </c>
      <c r="K945">
        <f>IF($AD945="","",INDEX('Per Line'!$K$2:$K$3001,$AD945)&amp;"")</f>
        <v/>
      </c>
      <c r="L945">
        <f>IF($AD945="","",INDEX('Per Line'!$L$2:$L$3001,$AD945)&amp;"")</f>
        <v/>
      </c>
      <c r="M945">
        <f>IF($AD945="","",INDEX('Per Line'!$M$2:$M$3001,$AD945)&amp;"")</f>
        <v/>
      </c>
      <c r="N945">
        <f>IF($AD945="","",INDEX('Per Line'!$AC$2:$AC$3001,$AD945)&amp;"")</f>
        <v/>
      </c>
      <c r="O945">
        <f>IF($AD945="","",INDEX('Per Line'!$P$2:$P$3001,$AD945))</f>
        <v/>
      </c>
      <c r="P945" s="7">
        <f>IF($AD945="","",IF(AND(ISNUMBER(Q945),Q945&gt;0,AB945&gt;Q945),O945*Q945/100+(AB945-Q945),O945*AB945/100))</f>
        <v/>
      </c>
      <c r="Q945">
        <f>IF($AD945="","",INDEX('Per Line'!$AG$2:$AG$3001,$AD945))</f>
        <v/>
      </c>
      <c r="R945">
        <f>IF($AD945="","",IF(AND(ISNUMBER(Q945),Q945&gt;0),AB945&gt;Q945,FALSE))</f>
        <v/>
      </c>
      <c r="S945" s="7">
        <f>IF($AD945="","",SUMIFS('Per Line'!$AB$2:$AB$3001,'Per Line'!$E$2:$E$3001,$B945,'Per Line'!$AQ$2:$AQ$3001,1))</f>
        <v/>
      </c>
      <c r="T945">
        <f>IF($AD945="","",Settings!$C$7)</f>
        <v/>
      </c>
      <c r="U945" s="7">
        <f>IF($AD945="","",SUMIFS('Per Line'!$AB$2:$AB$3001,'Per Line'!$E$2:$E$3001,$B945,'Per Line'!$AP$2:$AP$3001,0,'Per Line'!$AQ$2:$AQ$3001,0))</f>
        <v/>
      </c>
      <c r="V945" s="7">
        <f>IF($AD945="","",U945*T945)</f>
        <v/>
      </c>
      <c r="W945">
        <f>IF($AD945="","",Settings!$C$6)</f>
        <v/>
      </c>
      <c r="X945" s="7">
        <f>IF($AD945="","",SUMIFS('Per Line'!$AB$2:$AB$3001,'Per Line'!$E$2:$E$3001,$B945,'Per Line'!$AP$2:$AP$3001,1,'Per Line'!$AQ$2:$AQ$3001,0))</f>
        <v/>
      </c>
      <c r="Y945" s="7">
        <f>IF($AD945="","",X945*W945)</f>
        <v/>
      </c>
      <c r="Z945" s="7">
        <f>IF($AD945="","",Y945+V945)</f>
        <v/>
      </c>
      <c r="AA945" s="7">
        <f>IF($AD945="","",AB945-Z945)</f>
        <v/>
      </c>
      <c r="AB945" s="7">
        <f>IF($AD945="","",U945+X945+S945)</f>
        <v/>
      </c>
      <c r="AC945" s="7">
        <f>IF($AD945="","",AB945-Z945-P945)</f>
        <v/>
      </c>
      <c r="AD945" s="13">
        <f>IF(ROWS($AD$2:$AD945)&lt;=MAX('Per Line'!$AO$2:$AO$3001),MATCH(ROWS($AD$2:$AD945),'Per Line'!$AO$2:$AO$3001,0),"")</f>
        <v/>
      </c>
      <c r="AE945" s="14">
        <f>IF($AD945="","",P945-O945*AB945/100)</f>
        <v/>
      </c>
    </row>
    <row r="946">
      <c r="A946" s="12" t="n"/>
      <c r="B946">
        <f>IF($AD946="","",INDEX('Per Line'!$E$2:$E$3001,$AD946)&amp;"")</f>
        <v/>
      </c>
      <c r="C946">
        <f>IF($AD946="","",INDEX('Per Line'!$A$2:$A$3001,$AD946)&amp;"")</f>
        <v/>
      </c>
      <c r="D946">
        <f>IF($AD946="","",INDEX('Per Line'!$C$2:$C$3001,$AD946)&amp;"")</f>
        <v/>
      </c>
      <c r="E946">
        <f>IF($AD946="","",INDEX('Per Line'!$B$2:$B$3001,$AD946))</f>
        <v/>
      </c>
      <c r="F946">
        <f>IF($AD946="","",INDEX('Per Line'!$D$2:$D$3001,$AD946)&amp;"")</f>
        <v/>
      </c>
      <c r="G946" s="11">
        <f>IF($AD946="","",INDEX('Per Line'!$G$2:$G$3001,$AD946))</f>
        <v/>
      </c>
      <c r="H946">
        <f>IF($AD946="","",INDEX('Per Line'!$J$2:$J$3001,$AD946)&amp;"")</f>
        <v/>
      </c>
      <c r="I946">
        <f>IF($AD946="","",INDEX('Per Line'!$H$2:$H$3001,$AD946)&amp;"")</f>
        <v/>
      </c>
      <c r="J946">
        <f>IF($AD946="","",INDEX('Per Line'!$F$2:$F$3001,$AD946)&amp;"")</f>
        <v/>
      </c>
      <c r="K946">
        <f>IF($AD946="","",INDEX('Per Line'!$K$2:$K$3001,$AD946)&amp;"")</f>
        <v/>
      </c>
      <c r="L946">
        <f>IF($AD946="","",INDEX('Per Line'!$L$2:$L$3001,$AD946)&amp;"")</f>
        <v/>
      </c>
      <c r="M946">
        <f>IF($AD946="","",INDEX('Per Line'!$M$2:$M$3001,$AD946)&amp;"")</f>
        <v/>
      </c>
      <c r="N946">
        <f>IF($AD946="","",INDEX('Per Line'!$AC$2:$AC$3001,$AD946)&amp;"")</f>
        <v/>
      </c>
      <c r="O946">
        <f>IF($AD946="","",INDEX('Per Line'!$P$2:$P$3001,$AD946))</f>
        <v/>
      </c>
      <c r="P946" s="7">
        <f>IF($AD946="","",IF(AND(ISNUMBER(Q946),Q946&gt;0,AB946&gt;Q946),O946*Q946/100+(AB946-Q946),O946*AB946/100))</f>
        <v/>
      </c>
      <c r="Q946">
        <f>IF($AD946="","",INDEX('Per Line'!$AG$2:$AG$3001,$AD946))</f>
        <v/>
      </c>
      <c r="R946">
        <f>IF($AD946="","",IF(AND(ISNUMBER(Q946),Q946&gt;0),AB946&gt;Q946,FALSE))</f>
        <v/>
      </c>
      <c r="S946" s="7">
        <f>IF($AD946="","",SUMIFS('Per Line'!$AB$2:$AB$3001,'Per Line'!$E$2:$E$3001,$B946,'Per Line'!$AQ$2:$AQ$3001,1))</f>
        <v/>
      </c>
      <c r="T946">
        <f>IF($AD946="","",Settings!$C$7)</f>
        <v/>
      </c>
      <c r="U946" s="7">
        <f>IF($AD946="","",SUMIFS('Per Line'!$AB$2:$AB$3001,'Per Line'!$E$2:$E$3001,$B946,'Per Line'!$AP$2:$AP$3001,0,'Per Line'!$AQ$2:$AQ$3001,0))</f>
        <v/>
      </c>
      <c r="V946" s="7">
        <f>IF($AD946="","",U946*T946)</f>
        <v/>
      </c>
      <c r="W946">
        <f>IF($AD946="","",Settings!$C$6)</f>
        <v/>
      </c>
      <c r="X946" s="7">
        <f>IF($AD946="","",SUMIFS('Per Line'!$AB$2:$AB$3001,'Per Line'!$E$2:$E$3001,$B946,'Per Line'!$AP$2:$AP$3001,1,'Per Line'!$AQ$2:$AQ$3001,0))</f>
        <v/>
      </c>
      <c r="Y946" s="7">
        <f>IF($AD946="","",X946*W946)</f>
        <v/>
      </c>
      <c r="Z946" s="7">
        <f>IF($AD946="","",Y946+V946)</f>
        <v/>
      </c>
      <c r="AA946" s="7">
        <f>IF($AD946="","",AB946-Z946)</f>
        <v/>
      </c>
      <c r="AB946" s="7">
        <f>IF($AD946="","",U946+X946+S946)</f>
        <v/>
      </c>
      <c r="AC946" s="7">
        <f>IF($AD946="","",AB946-Z946-P946)</f>
        <v/>
      </c>
      <c r="AD946" s="13">
        <f>IF(ROWS($AD$2:$AD946)&lt;=MAX('Per Line'!$AO$2:$AO$3001),MATCH(ROWS($AD$2:$AD946),'Per Line'!$AO$2:$AO$3001,0),"")</f>
        <v/>
      </c>
      <c r="AE946" s="14">
        <f>IF($AD946="","",P946-O946*AB946/100)</f>
        <v/>
      </c>
    </row>
    <row r="947">
      <c r="A947" s="12" t="n"/>
      <c r="B947">
        <f>IF($AD947="","",INDEX('Per Line'!$E$2:$E$3001,$AD947)&amp;"")</f>
        <v/>
      </c>
      <c r="C947">
        <f>IF($AD947="","",INDEX('Per Line'!$A$2:$A$3001,$AD947)&amp;"")</f>
        <v/>
      </c>
      <c r="D947">
        <f>IF($AD947="","",INDEX('Per Line'!$C$2:$C$3001,$AD947)&amp;"")</f>
        <v/>
      </c>
      <c r="E947">
        <f>IF($AD947="","",INDEX('Per Line'!$B$2:$B$3001,$AD947))</f>
        <v/>
      </c>
      <c r="F947">
        <f>IF($AD947="","",INDEX('Per Line'!$D$2:$D$3001,$AD947)&amp;"")</f>
        <v/>
      </c>
      <c r="G947" s="11">
        <f>IF($AD947="","",INDEX('Per Line'!$G$2:$G$3001,$AD947))</f>
        <v/>
      </c>
      <c r="H947">
        <f>IF($AD947="","",INDEX('Per Line'!$J$2:$J$3001,$AD947)&amp;"")</f>
        <v/>
      </c>
      <c r="I947">
        <f>IF($AD947="","",INDEX('Per Line'!$H$2:$H$3001,$AD947)&amp;"")</f>
        <v/>
      </c>
      <c r="J947">
        <f>IF($AD947="","",INDEX('Per Line'!$F$2:$F$3001,$AD947)&amp;"")</f>
        <v/>
      </c>
      <c r="K947">
        <f>IF($AD947="","",INDEX('Per Line'!$K$2:$K$3001,$AD947)&amp;"")</f>
        <v/>
      </c>
      <c r="L947">
        <f>IF($AD947="","",INDEX('Per Line'!$L$2:$L$3001,$AD947)&amp;"")</f>
        <v/>
      </c>
      <c r="M947">
        <f>IF($AD947="","",INDEX('Per Line'!$M$2:$M$3001,$AD947)&amp;"")</f>
        <v/>
      </c>
      <c r="N947">
        <f>IF($AD947="","",INDEX('Per Line'!$AC$2:$AC$3001,$AD947)&amp;"")</f>
        <v/>
      </c>
      <c r="O947">
        <f>IF($AD947="","",INDEX('Per Line'!$P$2:$P$3001,$AD947))</f>
        <v/>
      </c>
      <c r="P947" s="7">
        <f>IF($AD947="","",IF(AND(ISNUMBER(Q947),Q947&gt;0,AB947&gt;Q947),O947*Q947/100+(AB947-Q947),O947*AB947/100))</f>
        <v/>
      </c>
      <c r="Q947">
        <f>IF($AD947="","",INDEX('Per Line'!$AG$2:$AG$3001,$AD947))</f>
        <v/>
      </c>
      <c r="R947">
        <f>IF($AD947="","",IF(AND(ISNUMBER(Q947),Q947&gt;0),AB947&gt;Q947,FALSE))</f>
        <v/>
      </c>
      <c r="S947" s="7">
        <f>IF($AD947="","",SUMIFS('Per Line'!$AB$2:$AB$3001,'Per Line'!$E$2:$E$3001,$B947,'Per Line'!$AQ$2:$AQ$3001,1))</f>
        <v/>
      </c>
      <c r="T947">
        <f>IF($AD947="","",Settings!$C$7)</f>
        <v/>
      </c>
      <c r="U947" s="7">
        <f>IF($AD947="","",SUMIFS('Per Line'!$AB$2:$AB$3001,'Per Line'!$E$2:$E$3001,$B947,'Per Line'!$AP$2:$AP$3001,0,'Per Line'!$AQ$2:$AQ$3001,0))</f>
        <v/>
      </c>
      <c r="V947" s="7">
        <f>IF($AD947="","",U947*T947)</f>
        <v/>
      </c>
      <c r="W947">
        <f>IF($AD947="","",Settings!$C$6)</f>
        <v/>
      </c>
      <c r="X947" s="7">
        <f>IF($AD947="","",SUMIFS('Per Line'!$AB$2:$AB$3001,'Per Line'!$E$2:$E$3001,$B947,'Per Line'!$AP$2:$AP$3001,1,'Per Line'!$AQ$2:$AQ$3001,0))</f>
        <v/>
      </c>
      <c r="Y947" s="7">
        <f>IF($AD947="","",X947*W947)</f>
        <v/>
      </c>
      <c r="Z947" s="7">
        <f>IF($AD947="","",Y947+V947)</f>
        <v/>
      </c>
      <c r="AA947" s="7">
        <f>IF($AD947="","",AB947-Z947)</f>
        <v/>
      </c>
      <c r="AB947" s="7">
        <f>IF($AD947="","",U947+X947+S947)</f>
        <v/>
      </c>
      <c r="AC947" s="7">
        <f>IF($AD947="","",AB947-Z947-P947)</f>
        <v/>
      </c>
      <c r="AD947" s="13">
        <f>IF(ROWS($AD$2:$AD947)&lt;=MAX('Per Line'!$AO$2:$AO$3001),MATCH(ROWS($AD$2:$AD947),'Per Line'!$AO$2:$AO$3001,0),"")</f>
        <v/>
      </c>
      <c r="AE947" s="14">
        <f>IF($AD947="","",P947-O947*AB947/100)</f>
        <v/>
      </c>
    </row>
    <row r="948">
      <c r="A948" s="12" t="n"/>
      <c r="B948">
        <f>IF($AD948="","",INDEX('Per Line'!$E$2:$E$3001,$AD948)&amp;"")</f>
        <v/>
      </c>
      <c r="C948">
        <f>IF($AD948="","",INDEX('Per Line'!$A$2:$A$3001,$AD948)&amp;"")</f>
        <v/>
      </c>
      <c r="D948">
        <f>IF($AD948="","",INDEX('Per Line'!$C$2:$C$3001,$AD948)&amp;"")</f>
        <v/>
      </c>
      <c r="E948">
        <f>IF($AD948="","",INDEX('Per Line'!$B$2:$B$3001,$AD948))</f>
        <v/>
      </c>
      <c r="F948">
        <f>IF($AD948="","",INDEX('Per Line'!$D$2:$D$3001,$AD948)&amp;"")</f>
        <v/>
      </c>
      <c r="G948" s="11">
        <f>IF($AD948="","",INDEX('Per Line'!$G$2:$G$3001,$AD948))</f>
        <v/>
      </c>
      <c r="H948">
        <f>IF($AD948="","",INDEX('Per Line'!$J$2:$J$3001,$AD948)&amp;"")</f>
        <v/>
      </c>
      <c r="I948">
        <f>IF($AD948="","",INDEX('Per Line'!$H$2:$H$3001,$AD948)&amp;"")</f>
        <v/>
      </c>
      <c r="J948">
        <f>IF($AD948="","",INDEX('Per Line'!$F$2:$F$3001,$AD948)&amp;"")</f>
        <v/>
      </c>
      <c r="K948">
        <f>IF($AD948="","",INDEX('Per Line'!$K$2:$K$3001,$AD948)&amp;"")</f>
        <v/>
      </c>
      <c r="L948">
        <f>IF($AD948="","",INDEX('Per Line'!$L$2:$L$3001,$AD948)&amp;"")</f>
        <v/>
      </c>
      <c r="M948">
        <f>IF($AD948="","",INDEX('Per Line'!$M$2:$M$3001,$AD948)&amp;"")</f>
        <v/>
      </c>
      <c r="N948">
        <f>IF($AD948="","",INDEX('Per Line'!$AC$2:$AC$3001,$AD948)&amp;"")</f>
        <v/>
      </c>
      <c r="O948">
        <f>IF($AD948="","",INDEX('Per Line'!$P$2:$P$3001,$AD948))</f>
        <v/>
      </c>
      <c r="P948" s="7">
        <f>IF($AD948="","",IF(AND(ISNUMBER(Q948),Q948&gt;0,AB948&gt;Q948),O948*Q948/100+(AB948-Q948),O948*AB948/100))</f>
        <v/>
      </c>
      <c r="Q948">
        <f>IF($AD948="","",INDEX('Per Line'!$AG$2:$AG$3001,$AD948))</f>
        <v/>
      </c>
      <c r="R948">
        <f>IF($AD948="","",IF(AND(ISNUMBER(Q948),Q948&gt;0),AB948&gt;Q948,FALSE))</f>
        <v/>
      </c>
      <c r="S948" s="7">
        <f>IF($AD948="","",SUMIFS('Per Line'!$AB$2:$AB$3001,'Per Line'!$E$2:$E$3001,$B948,'Per Line'!$AQ$2:$AQ$3001,1))</f>
        <v/>
      </c>
      <c r="T948">
        <f>IF($AD948="","",Settings!$C$7)</f>
        <v/>
      </c>
      <c r="U948" s="7">
        <f>IF($AD948="","",SUMIFS('Per Line'!$AB$2:$AB$3001,'Per Line'!$E$2:$E$3001,$B948,'Per Line'!$AP$2:$AP$3001,0,'Per Line'!$AQ$2:$AQ$3001,0))</f>
        <v/>
      </c>
      <c r="V948" s="7">
        <f>IF($AD948="","",U948*T948)</f>
        <v/>
      </c>
      <c r="W948">
        <f>IF($AD948="","",Settings!$C$6)</f>
        <v/>
      </c>
      <c r="X948" s="7">
        <f>IF($AD948="","",SUMIFS('Per Line'!$AB$2:$AB$3001,'Per Line'!$E$2:$E$3001,$B948,'Per Line'!$AP$2:$AP$3001,1,'Per Line'!$AQ$2:$AQ$3001,0))</f>
        <v/>
      </c>
      <c r="Y948" s="7">
        <f>IF($AD948="","",X948*W948)</f>
        <v/>
      </c>
      <c r="Z948" s="7">
        <f>IF($AD948="","",Y948+V948)</f>
        <v/>
      </c>
      <c r="AA948" s="7">
        <f>IF($AD948="","",AB948-Z948)</f>
        <v/>
      </c>
      <c r="AB948" s="7">
        <f>IF($AD948="","",U948+X948+S948)</f>
        <v/>
      </c>
      <c r="AC948" s="7">
        <f>IF($AD948="","",AB948-Z948-P948)</f>
        <v/>
      </c>
      <c r="AD948" s="13">
        <f>IF(ROWS($AD$2:$AD948)&lt;=MAX('Per Line'!$AO$2:$AO$3001),MATCH(ROWS($AD$2:$AD948),'Per Line'!$AO$2:$AO$3001,0),"")</f>
        <v/>
      </c>
      <c r="AE948" s="14">
        <f>IF($AD948="","",P948-O948*AB948/100)</f>
        <v/>
      </c>
    </row>
    <row r="949">
      <c r="A949" s="12" t="n"/>
      <c r="B949">
        <f>IF($AD949="","",INDEX('Per Line'!$E$2:$E$3001,$AD949)&amp;"")</f>
        <v/>
      </c>
      <c r="C949">
        <f>IF($AD949="","",INDEX('Per Line'!$A$2:$A$3001,$AD949)&amp;"")</f>
        <v/>
      </c>
      <c r="D949">
        <f>IF($AD949="","",INDEX('Per Line'!$C$2:$C$3001,$AD949)&amp;"")</f>
        <v/>
      </c>
      <c r="E949">
        <f>IF($AD949="","",INDEX('Per Line'!$B$2:$B$3001,$AD949))</f>
        <v/>
      </c>
      <c r="F949">
        <f>IF($AD949="","",INDEX('Per Line'!$D$2:$D$3001,$AD949)&amp;"")</f>
        <v/>
      </c>
      <c r="G949" s="11">
        <f>IF($AD949="","",INDEX('Per Line'!$G$2:$G$3001,$AD949))</f>
        <v/>
      </c>
      <c r="H949">
        <f>IF($AD949="","",INDEX('Per Line'!$J$2:$J$3001,$AD949)&amp;"")</f>
        <v/>
      </c>
      <c r="I949">
        <f>IF($AD949="","",INDEX('Per Line'!$H$2:$H$3001,$AD949)&amp;"")</f>
        <v/>
      </c>
      <c r="J949">
        <f>IF($AD949="","",INDEX('Per Line'!$F$2:$F$3001,$AD949)&amp;"")</f>
        <v/>
      </c>
      <c r="K949">
        <f>IF($AD949="","",INDEX('Per Line'!$K$2:$K$3001,$AD949)&amp;"")</f>
        <v/>
      </c>
      <c r="L949">
        <f>IF($AD949="","",INDEX('Per Line'!$L$2:$L$3001,$AD949)&amp;"")</f>
        <v/>
      </c>
      <c r="M949">
        <f>IF($AD949="","",INDEX('Per Line'!$M$2:$M$3001,$AD949)&amp;"")</f>
        <v/>
      </c>
      <c r="N949">
        <f>IF($AD949="","",INDEX('Per Line'!$AC$2:$AC$3001,$AD949)&amp;"")</f>
        <v/>
      </c>
      <c r="O949">
        <f>IF($AD949="","",INDEX('Per Line'!$P$2:$P$3001,$AD949))</f>
        <v/>
      </c>
      <c r="P949" s="7">
        <f>IF($AD949="","",IF(AND(ISNUMBER(Q949),Q949&gt;0,AB949&gt;Q949),O949*Q949/100+(AB949-Q949),O949*AB949/100))</f>
        <v/>
      </c>
      <c r="Q949">
        <f>IF($AD949="","",INDEX('Per Line'!$AG$2:$AG$3001,$AD949))</f>
        <v/>
      </c>
      <c r="R949">
        <f>IF($AD949="","",IF(AND(ISNUMBER(Q949),Q949&gt;0),AB949&gt;Q949,FALSE))</f>
        <v/>
      </c>
      <c r="S949" s="7">
        <f>IF($AD949="","",SUMIFS('Per Line'!$AB$2:$AB$3001,'Per Line'!$E$2:$E$3001,$B949,'Per Line'!$AQ$2:$AQ$3001,1))</f>
        <v/>
      </c>
      <c r="T949">
        <f>IF($AD949="","",Settings!$C$7)</f>
        <v/>
      </c>
      <c r="U949" s="7">
        <f>IF($AD949="","",SUMIFS('Per Line'!$AB$2:$AB$3001,'Per Line'!$E$2:$E$3001,$B949,'Per Line'!$AP$2:$AP$3001,0,'Per Line'!$AQ$2:$AQ$3001,0))</f>
        <v/>
      </c>
      <c r="V949" s="7">
        <f>IF($AD949="","",U949*T949)</f>
        <v/>
      </c>
      <c r="W949">
        <f>IF($AD949="","",Settings!$C$6)</f>
        <v/>
      </c>
      <c r="X949" s="7">
        <f>IF($AD949="","",SUMIFS('Per Line'!$AB$2:$AB$3001,'Per Line'!$E$2:$E$3001,$B949,'Per Line'!$AP$2:$AP$3001,1,'Per Line'!$AQ$2:$AQ$3001,0))</f>
        <v/>
      </c>
      <c r="Y949" s="7">
        <f>IF($AD949="","",X949*W949)</f>
        <v/>
      </c>
      <c r="Z949" s="7">
        <f>IF($AD949="","",Y949+V949)</f>
        <v/>
      </c>
      <c r="AA949" s="7">
        <f>IF($AD949="","",AB949-Z949)</f>
        <v/>
      </c>
      <c r="AB949" s="7">
        <f>IF($AD949="","",U949+X949+S949)</f>
        <v/>
      </c>
      <c r="AC949" s="7">
        <f>IF($AD949="","",AB949-Z949-P949)</f>
        <v/>
      </c>
      <c r="AD949" s="13">
        <f>IF(ROWS($AD$2:$AD949)&lt;=MAX('Per Line'!$AO$2:$AO$3001),MATCH(ROWS($AD$2:$AD949),'Per Line'!$AO$2:$AO$3001,0),"")</f>
        <v/>
      </c>
      <c r="AE949" s="14">
        <f>IF($AD949="","",P949-O949*AB949/100)</f>
        <v/>
      </c>
    </row>
    <row r="950">
      <c r="A950" s="12" t="n"/>
      <c r="B950">
        <f>IF($AD950="","",INDEX('Per Line'!$E$2:$E$3001,$AD950)&amp;"")</f>
        <v/>
      </c>
      <c r="C950">
        <f>IF($AD950="","",INDEX('Per Line'!$A$2:$A$3001,$AD950)&amp;"")</f>
        <v/>
      </c>
      <c r="D950">
        <f>IF($AD950="","",INDEX('Per Line'!$C$2:$C$3001,$AD950)&amp;"")</f>
        <v/>
      </c>
      <c r="E950">
        <f>IF($AD950="","",INDEX('Per Line'!$B$2:$B$3001,$AD950))</f>
        <v/>
      </c>
      <c r="F950">
        <f>IF($AD950="","",INDEX('Per Line'!$D$2:$D$3001,$AD950)&amp;"")</f>
        <v/>
      </c>
      <c r="G950" s="11">
        <f>IF($AD950="","",INDEX('Per Line'!$G$2:$G$3001,$AD950))</f>
        <v/>
      </c>
      <c r="H950">
        <f>IF($AD950="","",INDEX('Per Line'!$J$2:$J$3001,$AD950)&amp;"")</f>
        <v/>
      </c>
      <c r="I950">
        <f>IF($AD950="","",INDEX('Per Line'!$H$2:$H$3001,$AD950)&amp;"")</f>
        <v/>
      </c>
      <c r="J950">
        <f>IF($AD950="","",INDEX('Per Line'!$F$2:$F$3001,$AD950)&amp;"")</f>
        <v/>
      </c>
      <c r="K950">
        <f>IF($AD950="","",INDEX('Per Line'!$K$2:$K$3001,$AD950)&amp;"")</f>
        <v/>
      </c>
      <c r="L950">
        <f>IF($AD950="","",INDEX('Per Line'!$L$2:$L$3001,$AD950)&amp;"")</f>
        <v/>
      </c>
      <c r="M950">
        <f>IF($AD950="","",INDEX('Per Line'!$M$2:$M$3001,$AD950)&amp;"")</f>
        <v/>
      </c>
      <c r="N950">
        <f>IF($AD950="","",INDEX('Per Line'!$AC$2:$AC$3001,$AD950)&amp;"")</f>
        <v/>
      </c>
      <c r="O950">
        <f>IF($AD950="","",INDEX('Per Line'!$P$2:$P$3001,$AD950))</f>
        <v/>
      </c>
      <c r="P950" s="7">
        <f>IF($AD950="","",IF(AND(ISNUMBER(Q950),Q950&gt;0,AB950&gt;Q950),O950*Q950/100+(AB950-Q950),O950*AB950/100))</f>
        <v/>
      </c>
      <c r="Q950">
        <f>IF($AD950="","",INDEX('Per Line'!$AG$2:$AG$3001,$AD950))</f>
        <v/>
      </c>
      <c r="R950">
        <f>IF($AD950="","",IF(AND(ISNUMBER(Q950),Q950&gt;0),AB950&gt;Q950,FALSE))</f>
        <v/>
      </c>
      <c r="S950" s="7">
        <f>IF($AD950="","",SUMIFS('Per Line'!$AB$2:$AB$3001,'Per Line'!$E$2:$E$3001,$B950,'Per Line'!$AQ$2:$AQ$3001,1))</f>
        <v/>
      </c>
      <c r="T950">
        <f>IF($AD950="","",Settings!$C$7)</f>
        <v/>
      </c>
      <c r="U950" s="7">
        <f>IF($AD950="","",SUMIFS('Per Line'!$AB$2:$AB$3001,'Per Line'!$E$2:$E$3001,$B950,'Per Line'!$AP$2:$AP$3001,0,'Per Line'!$AQ$2:$AQ$3001,0))</f>
        <v/>
      </c>
      <c r="V950" s="7">
        <f>IF($AD950="","",U950*T950)</f>
        <v/>
      </c>
      <c r="W950">
        <f>IF($AD950="","",Settings!$C$6)</f>
        <v/>
      </c>
      <c r="X950" s="7">
        <f>IF($AD950="","",SUMIFS('Per Line'!$AB$2:$AB$3001,'Per Line'!$E$2:$E$3001,$B950,'Per Line'!$AP$2:$AP$3001,1,'Per Line'!$AQ$2:$AQ$3001,0))</f>
        <v/>
      </c>
      <c r="Y950" s="7">
        <f>IF($AD950="","",X950*W950)</f>
        <v/>
      </c>
      <c r="Z950" s="7">
        <f>IF($AD950="","",Y950+V950)</f>
        <v/>
      </c>
      <c r="AA950" s="7">
        <f>IF($AD950="","",AB950-Z950)</f>
        <v/>
      </c>
      <c r="AB950" s="7">
        <f>IF($AD950="","",U950+X950+S950)</f>
        <v/>
      </c>
      <c r="AC950" s="7">
        <f>IF($AD950="","",AB950-Z950-P950)</f>
        <v/>
      </c>
      <c r="AD950" s="13">
        <f>IF(ROWS($AD$2:$AD950)&lt;=MAX('Per Line'!$AO$2:$AO$3001),MATCH(ROWS($AD$2:$AD950),'Per Line'!$AO$2:$AO$3001,0),"")</f>
        <v/>
      </c>
      <c r="AE950" s="14">
        <f>IF($AD950="","",P950-O950*AB950/100)</f>
        <v/>
      </c>
    </row>
    <row r="951">
      <c r="A951" s="12" t="n"/>
      <c r="B951">
        <f>IF($AD951="","",INDEX('Per Line'!$E$2:$E$3001,$AD951)&amp;"")</f>
        <v/>
      </c>
      <c r="C951">
        <f>IF($AD951="","",INDEX('Per Line'!$A$2:$A$3001,$AD951)&amp;"")</f>
        <v/>
      </c>
      <c r="D951">
        <f>IF($AD951="","",INDEX('Per Line'!$C$2:$C$3001,$AD951)&amp;"")</f>
        <v/>
      </c>
      <c r="E951">
        <f>IF($AD951="","",INDEX('Per Line'!$B$2:$B$3001,$AD951))</f>
        <v/>
      </c>
      <c r="F951">
        <f>IF($AD951="","",INDEX('Per Line'!$D$2:$D$3001,$AD951)&amp;"")</f>
        <v/>
      </c>
      <c r="G951" s="11">
        <f>IF($AD951="","",INDEX('Per Line'!$G$2:$G$3001,$AD951))</f>
        <v/>
      </c>
      <c r="H951">
        <f>IF($AD951="","",INDEX('Per Line'!$J$2:$J$3001,$AD951)&amp;"")</f>
        <v/>
      </c>
      <c r="I951">
        <f>IF($AD951="","",INDEX('Per Line'!$H$2:$H$3001,$AD951)&amp;"")</f>
        <v/>
      </c>
      <c r="J951">
        <f>IF($AD951="","",INDEX('Per Line'!$F$2:$F$3001,$AD951)&amp;"")</f>
        <v/>
      </c>
      <c r="K951">
        <f>IF($AD951="","",INDEX('Per Line'!$K$2:$K$3001,$AD951)&amp;"")</f>
        <v/>
      </c>
      <c r="L951">
        <f>IF($AD951="","",INDEX('Per Line'!$L$2:$L$3001,$AD951)&amp;"")</f>
        <v/>
      </c>
      <c r="M951">
        <f>IF($AD951="","",INDEX('Per Line'!$M$2:$M$3001,$AD951)&amp;"")</f>
        <v/>
      </c>
      <c r="N951">
        <f>IF($AD951="","",INDEX('Per Line'!$AC$2:$AC$3001,$AD951)&amp;"")</f>
        <v/>
      </c>
      <c r="O951">
        <f>IF($AD951="","",INDEX('Per Line'!$P$2:$P$3001,$AD951))</f>
        <v/>
      </c>
      <c r="P951" s="7">
        <f>IF($AD951="","",IF(AND(ISNUMBER(Q951),Q951&gt;0,AB951&gt;Q951),O951*Q951/100+(AB951-Q951),O951*AB951/100))</f>
        <v/>
      </c>
      <c r="Q951">
        <f>IF($AD951="","",INDEX('Per Line'!$AG$2:$AG$3001,$AD951))</f>
        <v/>
      </c>
      <c r="R951">
        <f>IF($AD951="","",IF(AND(ISNUMBER(Q951),Q951&gt;0),AB951&gt;Q951,FALSE))</f>
        <v/>
      </c>
      <c r="S951" s="7">
        <f>IF($AD951="","",SUMIFS('Per Line'!$AB$2:$AB$3001,'Per Line'!$E$2:$E$3001,$B951,'Per Line'!$AQ$2:$AQ$3001,1))</f>
        <v/>
      </c>
      <c r="T951">
        <f>IF($AD951="","",Settings!$C$7)</f>
        <v/>
      </c>
      <c r="U951" s="7">
        <f>IF($AD951="","",SUMIFS('Per Line'!$AB$2:$AB$3001,'Per Line'!$E$2:$E$3001,$B951,'Per Line'!$AP$2:$AP$3001,0,'Per Line'!$AQ$2:$AQ$3001,0))</f>
        <v/>
      </c>
      <c r="V951" s="7">
        <f>IF($AD951="","",U951*T951)</f>
        <v/>
      </c>
      <c r="W951">
        <f>IF($AD951="","",Settings!$C$6)</f>
        <v/>
      </c>
      <c r="X951" s="7">
        <f>IF($AD951="","",SUMIFS('Per Line'!$AB$2:$AB$3001,'Per Line'!$E$2:$E$3001,$B951,'Per Line'!$AP$2:$AP$3001,1,'Per Line'!$AQ$2:$AQ$3001,0))</f>
        <v/>
      </c>
      <c r="Y951" s="7">
        <f>IF($AD951="","",X951*W951)</f>
        <v/>
      </c>
      <c r="Z951" s="7">
        <f>IF($AD951="","",Y951+V951)</f>
        <v/>
      </c>
      <c r="AA951" s="7">
        <f>IF($AD951="","",AB951-Z951)</f>
        <v/>
      </c>
      <c r="AB951" s="7">
        <f>IF($AD951="","",U951+X951+S951)</f>
        <v/>
      </c>
      <c r="AC951" s="7">
        <f>IF($AD951="","",AB951-Z951-P951)</f>
        <v/>
      </c>
      <c r="AD951" s="13">
        <f>IF(ROWS($AD$2:$AD951)&lt;=MAX('Per Line'!$AO$2:$AO$3001),MATCH(ROWS($AD$2:$AD951),'Per Line'!$AO$2:$AO$3001,0),"")</f>
        <v/>
      </c>
      <c r="AE951" s="14">
        <f>IF($AD951="","",P951-O951*AB951/100)</f>
        <v/>
      </c>
    </row>
    <row r="952">
      <c r="A952" s="12" t="n"/>
      <c r="B952">
        <f>IF($AD952="","",INDEX('Per Line'!$E$2:$E$3001,$AD952)&amp;"")</f>
        <v/>
      </c>
      <c r="C952">
        <f>IF($AD952="","",INDEX('Per Line'!$A$2:$A$3001,$AD952)&amp;"")</f>
        <v/>
      </c>
      <c r="D952">
        <f>IF($AD952="","",INDEX('Per Line'!$C$2:$C$3001,$AD952)&amp;"")</f>
        <v/>
      </c>
      <c r="E952">
        <f>IF($AD952="","",INDEX('Per Line'!$B$2:$B$3001,$AD952))</f>
        <v/>
      </c>
      <c r="F952">
        <f>IF($AD952="","",INDEX('Per Line'!$D$2:$D$3001,$AD952)&amp;"")</f>
        <v/>
      </c>
      <c r="G952" s="11">
        <f>IF($AD952="","",INDEX('Per Line'!$G$2:$G$3001,$AD952))</f>
        <v/>
      </c>
      <c r="H952">
        <f>IF($AD952="","",INDEX('Per Line'!$J$2:$J$3001,$AD952)&amp;"")</f>
        <v/>
      </c>
      <c r="I952">
        <f>IF($AD952="","",INDEX('Per Line'!$H$2:$H$3001,$AD952)&amp;"")</f>
        <v/>
      </c>
      <c r="J952">
        <f>IF($AD952="","",INDEX('Per Line'!$F$2:$F$3001,$AD952)&amp;"")</f>
        <v/>
      </c>
      <c r="K952">
        <f>IF($AD952="","",INDEX('Per Line'!$K$2:$K$3001,$AD952)&amp;"")</f>
        <v/>
      </c>
      <c r="L952">
        <f>IF($AD952="","",INDEX('Per Line'!$L$2:$L$3001,$AD952)&amp;"")</f>
        <v/>
      </c>
      <c r="M952">
        <f>IF($AD952="","",INDEX('Per Line'!$M$2:$M$3001,$AD952)&amp;"")</f>
        <v/>
      </c>
      <c r="N952">
        <f>IF($AD952="","",INDEX('Per Line'!$AC$2:$AC$3001,$AD952)&amp;"")</f>
        <v/>
      </c>
      <c r="O952">
        <f>IF($AD952="","",INDEX('Per Line'!$P$2:$P$3001,$AD952))</f>
        <v/>
      </c>
      <c r="P952" s="7">
        <f>IF($AD952="","",IF(AND(ISNUMBER(Q952),Q952&gt;0,AB952&gt;Q952),O952*Q952/100+(AB952-Q952),O952*AB952/100))</f>
        <v/>
      </c>
      <c r="Q952">
        <f>IF($AD952="","",INDEX('Per Line'!$AG$2:$AG$3001,$AD952))</f>
        <v/>
      </c>
      <c r="R952">
        <f>IF($AD952="","",IF(AND(ISNUMBER(Q952),Q952&gt;0),AB952&gt;Q952,FALSE))</f>
        <v/>
      </c>
      <c r="S952" s="7">
        <f>IF($AD952="","",SUMIFS('Per Line'!$AB$2:$AB$3001,'Per Line'!$E$2:$E$3001,$B952,'Per Line'!$AQ$2:$AQ$3001,1))</f>
        <v/>
      </c>
      <c r="T952">
        <f>IF($AD952="","",Settings!$C$7)</f>
        <v/>
      </c>
      <c r="U952" s="7">
        <f>IF($AD952="","",SUMIFS('Per Line'!$AB$2:$AB$3001,'Per Line'!$E$2:$E$3001,$B952,'Per Line'!$AP$2:$AP$3001,0,'Per Line'!$AQ$2:$AQ$3001,0))</f>
        <v/>
      </c>
      <c r="V952" s="7">
        <f>IF($AD952="","",U952*T952)</f>
        <v/>
      </c>
      <c r="W952">
        <f>IF($AD952="","",Settings!$C$6)</f>
        <v/>
      </c>
      <c r="X952" s="7">
        <f>IF($AD952="","",SUMIFS('Per Line'!$AB$2:$AB$3001,'Per Line'!$E$2:$E$3001,$B952,'Per Line'!$AP$2:$AP$3001,1,'Per Line'!$AQ$2:$AQ$3001,0))</f>
        <v/>
      </c>
      <c r="Y952" s="7">
        <f>IF($AD952="","",X952*W952)</f>
        <v/>
      </c>
      <c r="Z952" s="7">
        <f>IF($AD952="","",Y952+V952)</f>
        <v/>
      </c>
      <c r="AA952" s="7">
        <f>IF($AD952="","",AB952-Z952)</f>
        <v/>
      </c>
      <c r="AB952" s="7">
        <f>IF($AD952="","",U952+X952+S952)</f>
        <v/>
      </c>
      <c r="AC952" s="7">
        <f>IF($AD952="","",AB952-Z952-P952)</f>
        <v/>
      </c>
      <c r="AD952" s="13">
        <f>IF(ROWS($AD$2:$AD952)&lt;=MAX('Per Line'!$AO$2:$AO$3001),MATCH(ROWS($AD$2:$AD952),'Per Line'!$AO$2:$AO$3001,0),"")</f>
        <v/>
      </c>
      <c r="AE952" s="14">
        <f>IF($AD952="","",P952-O952*AB952/100)</f>
        <v/>
      </c>
    </row>
    <row r="953">
      <c r="A953" s="12" t="n"/>
      <c r="B953">
        <f>IF($AD953="","",INDEX('Per Line'!$E$2:$E$3001,$AD953)&amp;"")</f>
        <v/>
      </c>
      <c r="C953">
        <f>IF($AD953="","",INDEX('Per Line'!$A$2:$A$3001,$AD953)&amp;"")</f>
        <v/>
      </c>
      <c r="D953">
        <f>IF($AD953="","",INDEX('Per Line'!$C$2:$C$3001,$AD953)&amp;"")</f>
        <v/>
      </c>
      <c r="E953">
        <f>IF($AD953="","",INDEX('Per Line'!$B$2:$B$3001,$AD953))</f>
        <v/>
      </c>
      <c r="F953">
        <f>IF($AD953="","",INDEX('Per Line'!$D$2:$D$3001,$AD953)&amp;"")</f>
        <v/>
      </c>
      <c r="G953" s="11">
        <f>IF($AD953="","",INDEX('Per Line'!$G$2:$G$3001,$AD953))</f>
        <v/>
      </c>
      <c r="H953">
        <f>IF($AD953="","",INDEX('Per Line'!$J$2:$J$3001,$AD953)&amp;"")</f>
        <v/>
      </c>
      <c r="I953">
        <f>IF($AD953="","",INDEX('Per Line'!$H$2:$H$3001,$AD953)&amp;"")</f>
        <v/>
      </c>
      <c r="J953">
        <f>IF($AD953="","",INDEX('Per Line'!$F$2:$F$3001,$AD953)&amp;"")</f>
        <v/>
      </c>
      <c r="K953">
        <f>IF($AD953="","",INDEX('Per Line'!$K$2:$K$3001,$AD953)&amp;"")</f>
        <v/>
      </c>
      <c r="L953">
        <f>IF($AD953="","",INDEX('Per Line'!$L$2:$L$3001,$AD953)&amp;"")</f>
        <v/>
      </c>
      <c r="M953">
        <f>IF($AD953="","",INDEX('Per Line'!$M$2:$M$3001,$AD953)&amp;"")</f>
        <v/>
      </c>
      <c r="N953">
        <f>IF($AD953="","",INDEX('Per Line'!$AC$2:$AC$3001,$AD953)&amp;"")</f>
        <v/>
      </c>
      <c r="O953">
        <f>IF($AD953="","",INDEX('Per Line'!$P$2:$P$3001,$AD953))</f>
        <v/>
      </c>
      <c r="P953" s="7">
        <f>IF($AD953="","",IF(AND(ISNUMBER(Q953),Q953&gt;0,AB953&gt;Q953),O953*Q953/100+(AB953-Q953),O953*AB953/100))</f>
        <v/>
      </c>
      <c r="Q953">
        <f>IF($AD953="","",INDEX('Per Line'!$AG$2:$AG$3001,$AD953))</f>
        <v/>
      </c>
      <c r="R953">
        <f>IF($AD953="","",IF(AND(ISNUMBER(Q953),Q953&gt;0),AB953&gt;Q953,FALSE))</f>
        <v/>
      </c>
      <c r="S953" s="7">
        <f>IF($AD953="","",SUMIFS('Per Line'!$AB$2:$AB$3001,'Per Line'!$E$2:$E$3001,$B953,'Per Line'!$AQ$2:$AQ$3001,1))</f>
        <v/>
      </c>
      <c r="T953">
        <f>IF($AD953="","",Settings!$C$7)</f>
        <v/>
      </c>
      <c r="U953" s="7">
        <f>IF($AD953="","",SUMIFS('Per Line'!$AB$2:$AB$3001,'Per Line'!$E$2:$E$3001,$B953,'Per Line'!$AP$2:$AP$3001,0,'Per Line'!$AQ$2:$AQ$3001,0))</f>
        <v/>
      </c>
      <c r="V953" s="7">
        <f>IF($AD953="","",U953*T953)</f>
        <v/>
      </c>
      <c r="W953">
        <f>IF($AD953="","",Settings!$C$6)</f>
        <v/>
      </c>
      <c r="X953" s="7">
        <f>IF($AD953="","",SUMIFS('Per Line'!$AB$2:$AB$3001,'Per Line'!$E$2:$E$3001,$B953,'Per Line'!$AP$2:$AP$3001,1,'Per Line'!$AQ$2:$AQ$3001,0))</f>
        <v/>
      </c>
      <c r="Y953" s="7">
        <f>IF($AD953="","",X953*W953)</f>
        <v/>
      </c>
      <c r="Z953" s="7">
        <f>IF($AD953="","",Y953+V953)</f>
        <v/>
      </c>
      <c r="AA953" s="7">
        <f>IF($AD953="","",AB953-Z953)</f>
        <v/>
      </c>
      <c r="AB953" s="7">
        <f>IF($AD953="","",U953+X953+S953)</f>
        <v/>
      </c>
      <c r="AC953" s="7">
        <f>IF($AD953="","",AB953-Z953-P953)</f>
        <v/>
      </c>
      <c r="AD953" s="13">
        <f>IF(ROWS($AD$2:$AD953)&lt;=MAX('Per Line'!$AO$2:$AO$3001),MATCH(ROWS($AD$2:$AD953),'Per Line'!$AO$2:$AO$3001,0),"")</f>
        <v/>
      </c>
      <c r="AE953" s="14">
        <f>IF($AD953="","",P953-O953*AB953/100)</f>
        <v/>
      </c>
    </row>
    <row r="954">
      <c r="A954" s="12" t="n"/>
      <c r="B954">
        <f>IF($AD954="","",INDEX('Per Line'!$E$2:$E$3001,$AD954)&amp;"")</f>
        <v/>
      </c>
      <c r="C954">
        <f>IF($AD954="","",INDEX('Per Line'!$A$2:$A$3001,$AD954)&amp;"")</f>
        <v/>
      </c>
      <c r="D954">
        <f>IF($AD954="","",INDEX('Per Line'!$C$2:$C$3001,$AD954)&amp;"")</f>
        <v/>
      </c>
      <c r="E954">
        <f>IF($AD954="","",INDEX('Per Line'!$B$2:$B$3001,$AD954))</f>
        <v/>
      </c>
      <c r="F954">
        <f>IF($AD954="","",INDEX('Per Line'!$D$2:$D$3001,$AD954)&amp;"")</f>
        <v/>
      </c>
      <c r="G954" s="11">
        <f>IF($AD954="","",INDEX('Per Line'!$G$2:$G$3001,$AD954))</f>
        <v/>
      </c>
      <c r="H954">
        <f>IF($AD954="","",INDEX('Per Line'!$J$2:$J$3001,$AD954)&amp;"")</f>
        <v/>
      </c>
      <c r="I954">
        <f>IF($AD954="","",INDEX('Per Line'!$H$2:$H$3001,$AD954)&amp;"")</f>
        <v/>
      </c>
      <c r="J954">
        <f>IF($AD954="","",INDEX('Per Line'!$F$2:$F$3001,$AD954)&amp;"")</f>
        <v/>
      </c>
      <c r="K954">
        <f>IF($AD954="","",INDEX('Per Line'!$K$2:$K$3001,$AD954)&amp;"")</f>
        <v/>
      </c>
      <c r="L954">
        <f>IF($AD954="","",INDEX('Per Line'!$L$2:$L$3001,$AD954)&amp;"")</f>
        <v/>
      </c>
      <c r="M954">
        <f>IF($AD954="","",INDEX('Per Line'!$M$2:$M$3001,$AD954)&amp;"")</f>
        <v/>
      </c>
      <c r="N954">
        <f>IF($AD954="","",INDEX('Per Line'!$AC$2:$AC$3001,$AD954)&amp;"")</f>
        <v/>
      </c>
      <c r="O954">
        <f>IF($AD954="","",INDEX('Per Line'!$P$2:$P$3001,$AD954))</f>
        <v/>
      </c>
      <c r="P954" s="7">
        <f>IF($AD954="","",IF(AND(ISNUMBER(Q954),Q954&gt;0,AB954&gt;Q954),O954*Q954/100+(AB954-Q954),O954*AB954/100))</f>
        <v/>
      </c>
      <c r="Q954">
        <f>IF($AD954="","",INDEX('Per Line'!$AG$2:$AG$3001,$AD954))</f>
        <v/>
      </c>
      <c r="R954">
        <f>IF($AD954="","",IF(AND(ISNUMBER(Q954),Q954&gt;0),AB954&gt;Q954,FALSE))</f>
        <v/>
      </c>
      <c r="S954" s="7">
        <f>IF($AD954="","",SUMIFS('Per Line'!$AB$2:$AB$3001,'Per Line'!$E$2:$E$3001,$B954,'Per Line'!$AQ$2:$AQ$3001,1))</f>
        <v/>
      </c>
      <c r="T954">
        <f>IF($AD954="","",Settings!$C$7)</f>
        <v/>
      </c>
      <c r="U954" s="7">
        <f>IF($AD954="","",SUMIFS('Per Line'!$AB$2:$AB$3001,'Per Line'!$E$2:$E$3001,$B954,'Per Line'!$AP$2:$AP$3001,0,'Per Line'!$AQ$2:$AQ$3001,0))</f>
        <v/>
      </c>
      <c r="V954" s="7">
        <f>IF($AD954="","",U954*T954)</f>
        <v/>
      </c>
      <c r="W954">
        <f>IF($AD954="","",Settings!$C$6)</f>
        <v/>
      </c>
      <c r="X954" s="7">
        <f>IF($AD954="","",SUMIFS('Per Line'!$AB$2:$AB$3001,'Per Line'!$E$2:$E$3001,$B954,'Per Line'!$AP$2:$AP$3001,1,'Per Line'!$AQ$2:$AQ$3001,0))</f>
        <v/>
      </c>
      <c r="Y954" s="7">
        <f>IF($AD954="","",X954*W954)</f>
        <v/>
      </c>
      <c r="Z954" s="7">
        <f>IF($AD954="","",Y954+V954)</f>
        <v/>
      </c>
      <c r="AA954" s="7">
        <f>IF($AD954="","",AB954-Z954)</f>
        <v/>
      </c>
      <c r="AB954" s="7">
        <f>IF($AD954="","",U954+X954+S954)</f>
        <v/>
      </c>
      <c r="AC954" s="7">
        <f>IF($AD954="","",AB954-Z954-P954)</f>
        <v/>
      </c>
      <c r="AD954" s="13">
        <f>IF(ROWS($AD$2:$AD954)&lt;=MAX('Per Line'!$AO$2:$AO$3001),MATCH(ROWS($AD$2:$AD954),'Per Line'!$AO$2:$AO$3001,0),"")</f>
        <v/>
      </c>
      <c r="AE954" s="14">
        <f>IF($AD954="","",P954-O954*AB954/100)</f>
        <v/>
      </c>
    </row>
    <row r="955">
      <c r="A955" s="12" t="n"/>
      <c r="B955">
        <f>IF($AD955="","",INDEX('Per Line'!$E$2:$E$3001,$AD955)&amp;"")</f>
        <v/>
      </c>
      <c r="C955">
        <f>IF($AD955="","",INDEX('Per Line'!$A$2:$A$3001,$AD955)&amp;"")</f>
        <v/>
      </c>
      <c r="D955">
        <f>IF($AD955="","",INDEX('Per Line'!$C$2:$C$3001,$AD955)&amp;"")</f>
        <v/>
      </c>
      <c r="E955">
        <f>IF($AD955="","",INDEX('Per Line'!$B$2:$B$3001,$AD955))</f>
        <v/>
      </c>
      <c r="F955">
        <f>IF($AD955="","",INDEX('Per Line'!$D$2:$D$3001,$AD955)&amp;"")</f>
        <v/>
      </c>
      <c r="G955" s="11">
        <f>IF($AD955="","",INDEX('Per Line'!$G$2:$G$3001,$AD955))</f>
        <v/>
      </c>
      <c r="H955">
        <f>IF($AD955="","",INDEX('Per Line'!$J$2:$J$3001,$AD955)&amp;"")</f>
        <v/>
      </c>
      <c r="I955">
        <f>IF($AD955="","",INDEX('Per Line'!$H$2:$H$3001,$AD955)&amp;"")</f>
        <v/>
      </c>
      <c r="J955">
        <f>IF($AD955="","",INDEX('Per Line'!$F$2:$F$3001,$AD955)&amp;"")</f>
        <v/>
      </c>
      <c r="K955">
        <f>IF($AD955="","",INDEX('Per Line'!$K$2:$K$3001,$AD955)&amp;"")</f>
        <v/>
      </c>
      <c r="L955">
        <f>IF($AD955="","",INDEX('Per Line'!$L$2:$L$3001,$AD955)&amp;"")</f>
        <v/>
      </c>
      <c r="M955">
        <f>IF($AD955="","",INDEX('Per Line'!$M$2:$M$3001,$AD955)&amp;"")</f>
        <v/>
      </c>
      <c r="N955">
        <f>IF($AD955="","",INDEX('Per Line'!$AC$2:$AC$3001,$AD955)&amp;"")</f>
        <v/>
      </c>
      <c r="O955">
        <f>IF($AD955="","",INDEX('Per Line'!$P$2:$P$3001,$AD955))</f>
        <v/>
      </c>
      <c r="P955" s="7">
        <f>IF($AD955="","",IF(AND(ISNUMBER(Q955),Q955&gt;0,AB955&gt;Q955),O955*Q955/100+(AB955-Q955),O955*AB955/100))</f>
        <v/>
      </c>
      <c r="Q955">
        <f>IF($AD955="","",INDEX('Per Line'!$AG$2:$AG$3001,$AD955))</f>
        <v/>
      </c>
      <c r="R955">
        <f>IF($AD955="","",IF(AND(ISNUMBER(Q955),Q955&gt;0),AB955&gt;Q955,FALSE))</f>
        <v/>
      </c>
      <c r="S955" s="7">
        <f>IF($AD955="","",SUMIFS('Per Line'!$AB$2:$AB$3001,'Per Line'!$E$2:$E$3001,$B955,'Per Line'!$AQ$2:$AQ$3001,1))</f>
        <v/>
      </c>
      <c r="T955">
        <f>IF($AD955="","",Settings!$C$7)</f>
        <v/>
      </c>
      <c r="U955" s="7">
        <f>IF($AD955="","",SUMIFS('Per Line'!$AB$2:$AB$3001,'Per Line'!$E$2:$E$3001,$B955,'Per Line'!$AP$2:$AP$3001,0,'Per Line'!$AQ$2:$AQ$3001,0))</f>
        <v/>
      </c>
      <c r="V955" s="7">
        <f>IF($AD955="","",U955*T955)</f>
        <v/>
      </c>
      <c r="W955">
        <f>IF($AD955="","",Settings!$C$6)</f>
        <v/>
      </c>
      <c r="X955" s="7">
        <f>IF($AD955="","",SUMIFS('Per Line'!$AB$2:$AB$3001,'Per Line'!$E$2:$E$3001,$B955,'Per Line'!$AP$2:$AP$3001,1,'Per Line'!$AQ$2:$AQ$3001,0))</f>
        <v/>
      </c>
      <c r="Y955" s="7">
        <f>IF($AD955="","",X955*W955)</f>
        <v/>
      </c>
      <c r="Z955" s="7">
        <f>IF($AD955="","",Y955+V955)</f>
        <v/>
      </c>
      <c r="AA955" s="7">
        <f>IF($AD955="","",AB955-Z955)</f>
        <v/>
      </c>
      <c r="AB955" s="7">
        <f>IF($AD955="","",U955+X955+S955)</f>
        <v/>
      </c>
      <c r="AC955" s="7">
        <f>IF($AD955="","",AB955-Z955-P955)</f>
        <v/>
      </c>
      <c r="AD955" s="13">
        <f>IF(ROWS($AD$2:$AD955)&lt;=MAX('Per Line'!$AO$2:$AO$3001),MATCH(ROWS($AD$2:$AD955),'Per Line'!$AO$2:$AO$3001,0),"")</f>
        <v/>
      </c>
      <c r="AE955" s="14">
        <f>IF($AD955="","",P955-O955*AB955/100)</f>
        <v/>
      </c>
    </row>
    <row r="956">
      <c r="A956" s="12" t="n"/>
      <c r="B956">
        <f>IF($AD956="","",INDEX('Per Line'!$E$2:$E$3001,$AD956)&amp;"")</f>
        <v/>
      </c>
      <c r="C956">
        <f>IF($AD956="","",INDEX('Per Line'!$A$2:$A$3001,$AD956)&amp;"")</f>
        <v/>
      </c>
      <c r="D956">
        <f>IF($AD956="","",INDEX('Per Line'!$C$2:$C$3001,$AD956)&amp;"")</f>
        <v/>
      </c>
      <c r="E956">
        <f>IF($AD956="","",INDEX('Per Line'!$B$2:$B$3001,$AD956))</f>
        <v/>
      </c>
      <c r="F956">
        <f>IF($AD956="","",INDEX('Per Line'!$D$2:$D$3001,$AD956)&amp;"")</f>
        <v/>
      </c>
      <c r="G956" s="11">
        <f>IF($AD956="","",INDEX('Per Line'!$G$2:$G$3001,$AD956))</f>
        <v/>
      </c>
      <c r="H956">
        <f>IF($AD956="","",INDEX('Per Line'!$J$2:$J$3001,$AD956)&amp;"")</f>
        <v/>
      </c>
      <c r="I956">
        <f>IF($AD956="","",INDEX('Per Line'!$H$2:$H$3001,$AD956)&amp;"")</f>
        <v/>
      </c>
      <c r="J956">
        <f>IF($AD956="","",INDEX('Per Line'!$F$2:$F$3001,$AD956)&amp;"")</f>
        <v/>
      </c>
      <c r="K956">
        <f>IF($AD956="","",INDEX('Per Line'!$K$2:$K$3001,$AD956)&amp;"")</f>
        <v/>
      </c>
      <c r="L956">
        <f>IF($AD956="","",INDEX('Per Line'!$L$2:$L$3001,$AD956)&amp;"")</f>
        <v/>
      </c>
      <c r="M956">
        <f>IF($AD956="","",INDEX('Per Line'!$M$2:$M$3001,$AD956)&amp;"")</f>
        <v/>
      </c>
      <c r="N956">
        <f>IF($AD956="","",INDEX('Per Line'!$AC$2:$AC$3001,$AD956)&amp;"")</f>
        <v/>
      </c>
      <c r="O956">
        <f>IF($AD956="","",INDEX('Per Line'!$P$2:$P$3001,$AD956))</f>
        <v/>
      </c>
      <c r="P956" s="7">
        <f>IF($AD956="","",IF(AND(ISNUMBER(Q956),Q956&gt;0,AB956&gt;Q956),O956*Q956/100+(AB956-Q956),O956*AB956/100))</f>
        <v/>
      </c>
      <c r="Q956">
        <f>IF($AD956="","",INDEX('Per Line'!$AG$2:$AG$3001,$AD956))</f>
        <v/>
      </c>
      <c r="R956">
        <f>IF($AD956="","",IF(AND(ISNUMBER(Q956),Q956&gt;0),AB956&gt;Q956,FALSE))</f>
        <v/>
      </c>
      <c r="S956" s="7">
        <f>IF($AD956="","",SUMIFS('Per Line'!$AB$2:$AB$3001,'Per Line'!$E$2:$E$3001,$B956,'Per Line'!$AQ$2:$AQ$3001,1))</f>
        <v/>
      </c>
      <c r="T956">
        <f>IF($AD956="","",Settings!$C$7)</f>
        <v/>
      </c>
      <c r="U956" s="7">
        <f>IF($AD956="","",SUMIFS('Per Line'!$AB$2:$AB$3001,'Per Line'!$E$2:$E$3001,$B956,'Per Line'!$AP$2:$AP$3001,0,'Per Line'!$AQ$2:$AQ$3001,0))</f>
        <v/>
      </c>
      <c r="V956" s="7">
        <f>IF($AD956="","",U956*T956)</f>
        <v/>
      </c>
      <c r="W956">
        <f>IF($AD956="","",Settings!$C$6)</f>
        <v/>
      </c>
      <c r="X956" s="7">
        <f>IF($AD956="","",SUMIFS('Per Line'!$AB$2:$AB$3001,'Per Line'!$E$2:$E$3001,$B956,'Per Line'!$AP$2:$AP$3001,1,'Per Line'!$AQ$2:$AQ$3001,0))</f>
        <v/>
      </c>
      <c r="Y956" s="7">
        <f>IF($AD956="","",X956*W956)</f>
        <v/>
      </c>
      <c r="Z956" s="7">
        <f>IF($AD956="","",Y956+V956)</f>
        <v/>
      </c>
      <c r="AA956" s="7">
        <f>IF($AD956="","",AB956-Z956)</f>
        <v/>
      </c>
      <c r="AB956" s="7">
        <f>IF($AD956="","",U956+X956+S956)</f>
        <v/>
      </c>
      <c r="AC956" s="7">
        <f>IF($AD956="","",AB956-Z956-P956)</f>
        <v/>
      </c>
      <c r="AD956" s="13">
        <f>IF(ROWS($AD$2:$AD956)&lt;=MAX('Per Line'!$AO$2:$AO$3001),MATCH(ROWS($AD$2:$AD956),'Per Line'!$AO$2:$AO$3001,0),"")</f>
        <v/>
      </c>
      <c r="AE956" s="14">
        <f>IF($AD956="","",P956-O956*AB956/100)</f>
        <v/>
      </c>
    </row>
    <row r="957">
      <c r="A957" s="12" t="n"/>
      <c r="B957">
        <f>IF($AD957="","",INDEX('Per Line'!$E$2:$E$3001,$AD957)&amp;"")</f>
        <v/>
      </c>
      <c r="C957">
        <f>IF($AD957="","",INDEX('Per Line'!$A$2:$A$3001,$AD957)&amp;"")</f>
        <v/>
      </c>
      <c r="D957">
        <f>IF($AD957="","",INDEX('Per Line'!$C$2:$C$3001,$AD957)&amp;"")</f>
        <v/>
      </c>
      <c r="E957">
        <f>IF($AD957="","",INDEX('Per Line'!$B$2:$B$3001,$AD957))</f>
        <v/>
      </c>
      <c r="F957">
        <f>IF($AD957="","",INDEX('Per Line'!$D$2:$D$3001,$AD957)&amp;"")</f>
        <v/>
      </c>
      <c r="G957" s="11">
        <f>IF($AD957="","",INDEX('Per Line'!$G$2:$G$3001,$AD957))</f>
        <v/>
      </c>
      <c r="H957">
        <f>IF($AD957="","",INDEX('Per Line'!$J$2:$J$3001,$AD957)&amp;"")</f>
        <v/>
      </c>
      <c r="I957">
        <f>IF($AD957="","",INDEX('Per Line'!$H$2:$H$3001,$AD957)&amp;"")</f>
        <v/>
      </c>
      <c r="J957">
        <f>IF($AD957="","",INDEX('Per Line'!$F$2:$F$3001,$AD957)&amp;"")</f>
        <v/>
      </c>
      <c r="K957">
        <f>IF($AD957="","",INDEX('Per Line'!$K$2:$K$3001,$AD957)&amp;"")</f>
        <v/>
      </c>
      <c r="L957">
        <f>IF($AD957="","",INDEX('Per Line'!$L$2:$L$3001,$AD957)&amp;"")</f>
        <v/>
      </c>
      <c r="M957">
        <f>IF($AD957="","",INDEX('Per Line'!$M$2:$M$3001,$AD957)&amp;"")</f>
        <v/>
      </c>
      <c r="N957">
        <f>IF($AD957="","",INDEX('Per Line'!$AC$2:$AC$3001,$AD957)&amp;"")</f>
        <v/>
      </c>
      <c r="O957">
        <f>IF($AD957="","",INDEX('Per Line'!$P$2:$P$3001,$AD957))</f>
        <v/>
      </c>
      <c r="P957" s="7">
        <f>IF($AD957="","",IF(AND(ISNUMBER(Q957),Q957&gt;0,AB957&gt;Q957),O957*Q957/100+(AB957-Q957),O957*AB957/100))</f>
        <v/>
      </c>
      <c r="Q957">
        <f>IF($AD957="","",INDEX('Per Line'!$AG$2:$AG$3001,$AD957))</f>
        <v/>
      </c>
      <c r="R957">
        <f>IF($AD957="","",IF(AND(ISNUMBER(Q957),Q957&gt;0),AB957&gt;Q957,FALSE))</f>
        <v/>
      </c>
      <c r="S957" s="7">
        <f>IF($AD957="","",SUMIFS('Per Line'!$AB$2:$AB$3001,'Per Line'!$E$2:$E$3001,$B957,'Per Line'!$AQ$2:$AQ$3001,1))</f>
        <v/>
      </c>
      <c r="T957">
        <f>IF($AD957="","",Settings!$C$7)</f>
        <v/>
      </c>
      <c r="U957" s="7">
        <f>IF($AD957="","",SUMIFS('Per Line'!$AB$2:$AB$3001,'Per Line'!$E$2:$E$3001,$B957,'Per Line'!$AP$2:$AP$3001,0,'Per Line'!$AQ$2:$AQ$3001,0))</f>
        <v/>
      </c>
      <c r="V957" s="7">
        <f>IF($AD957="","",U957*T957)</f>
        <v/>
      </c>
      <c r="W957">
        <f>IF($AD957="","",Settings!$C$6)</f>
        <v/>
      </c>
      <c r="X957" s="7">
        <f>IF($AD957="","",SUMIFS('Per Line'!$AB$2:$AB$3001,'Per Line'!$E$2:$E$3001,$B957,'Per Line'!$AP$2:$AP$3001,1,'Per Line'!$AQ$2:$AQ$3001,0))</f>
        <v/>
      </c>
      <c r="Y957" s="7">
        <f>IF($AD957="","",X957*W957)</f>
        <v/>
      </c>
      <c r="Z957" s="7">
        <f>IF($AD957="","",Y957+V957)</f>
        <v/>
      </c>
      <c r="AA957" s="7">
        <f>IF($AD957="","",AB957-Z957)</f>
        <v/>
      </c>
      <c r="AB957" s="7">
        <f>IF($AD957="","",U957+X957+S957)</f>
        <v/>
      </c>
      <c r="AC957" s="7">
        <f>IF($AD957="","",AB957-Z957-P957)</f>
        <v/>
      </c>
      <c r="AD957" s="13">
        <f>IF(ROWS($AD$2:$AD957)&lt;=MAX('Per Line'!$AO$2:$AO$3001),MATCH(ROWS($AD$2:$AD957),'Per Line'!$AO$2:$AO$3001,0),"")</f>
        <v/>
      </c>
      <c r="AE957" s="14">
        <f>IF($AD957="","",P957-O957*AB957/100)</f>
        <v/>
      </c>
    </row>
    <row r="958">
      <c r="A958" s="12" t="n"/>
      <c r="B958">
        <f>IF($AD958="","",INDEX('Per Line'!$E$2:$E$3001,$AD958)&amp;"")</f>
        <v/>
      </c>
      <c r="C958">
        <f>IF($AD958="","",INDEX('Per Line'!$A$2:$A$3001,$AD958)&amp;"")</f>
        <v/>
      </c>
      <c r="D958">
        <f>IF($AD958="","",INDEX('Per Line'!$C$2:$C$3001,$AD958)&amp;"")</f>
        <v/>
      </c>
      <c r="E958">
        <f>IF($AD958="","",INDEX('Per Line'!$B$2:$B$3001,$AD958))</f>
        <v/>
      </c>
      <c r="F958">
        <f>IF($AD958="","",INDEX('Per Line'!$D$2:$D$3001,$AD958)&amp;"")</f>
        <v/>
      </c>
      <c r="G958" s="11">
        <f>IF($AD958="","",INDEX('Per Line'!$G$2:$G$3001,$AD958))</f>
        <v/>
      </c>
      <c r="H958">
        <f>IF($AD958="","",INDEX('Per Line'!$J$2:$J$3001,$AD958)&amp;"")</f>
        <v/>
      </c>
      <c r="I958">
        <f>IF($AD958="","",INDEX('Per Line'!$H$2:$H$3001,$AD958)&amp;"")</f>
        <v/>
      </c>
      <c r="J958">
        <f>IF($AD958="","",INDEX('Per Line'!$F$2:$F$3001,$AD958)&amp;"")</f>
        <v/>
      </c>
      <c r="K958">
        <f>IF($AD958="","",INDEX('Per Line'!$K$2:$K$3001,$AD958)&amp;"")</f>
        <v/>
      </c>
      <c r="L958">
        <f>IF($AD958="","",INDEX('Per Line'!$L$2:$L$3001,$AD958)&amp;"")</f>
        <v/>
      </c>
      <c r="M958">
        <f>IF($AD958="","",INDEX('Per Line'!$M$2:$M$3001,$AD958)&amp;"")</f>
        <v/>
      </c>
      <c r="N958">
        <f>IF($AD958="","",INDEX('Per Line'!$AC$2:$AC$3001,$AD958)&amp;"")</f>
        <v/>
      </c>
      <c r="O958">
        <f>IF($AD958="","",INDEX('Per Line'!$P$2:$P$3001,$AD958))</f>
        <v/>
      </c>
      <c r="P958" s="7">
        <f>IF($AD958="","",IF(AND(ISNUMBER(Q958),Q958&gt;0,AB958&gt;Q958),O958*Q958/100+(AB958-Q958),O958*AB958/100))</f>
        <v/>
      </c>
      <c r="Q958">
        <f>IF($AD958="","",INDEX('Per Line'!$AG$2:$AG$3001,$AD958))</f>
        <v/>
      </c>
      <c r="R958">
        <f>IF($AD958="","",IF(AND(ISNUMBER(Q958),Q958&gt;0),AB958&gt;Q958,FALSE))</f>
        <v/>
      </c>
      <c r="S958" s="7">
        <f>IF($AD958="","",SUMIFS('Per Line'!$AB$2:$AB$3001,'Per Line'!$E$2:$E$3001,$B958,'Per Line'!$AQ$2:$AQ$3001,1))</f>
        <v/>
      </c>
      <c r="T958">
        <f>IF($AD958="","",Settings!$C$7)</f>
        <v/>
      </c>
      <c r="U958" s="7">
        <f>IF($AD958="","",SUMIFS('Per Line'!$AB$2:$AB$3001,'Per Line'!$E$2:$E$3001,$B958,'Per Line'!$AP$2:$AP$3001,0,'Per Line'!$AQ$2:$AQ$3001,0))</f>
        <v/>
      </c>
      <c r="V958" s="7">
        <f>IF($AD958="","",U958*T958)</f>
        <v/>
      </c>
      <c r="W958">
        <f>IF($AD958="","",Settings!$C$6)</f>
        <v/>
      </c>
      <c r="X958" s="7">
        <f>IF($AD958="","",SUMIFS('Per Line'!$AB$2:$AB$3001,'Per Line'!$E$2:$E$3001,$B958,'Per Line'!$AP$2:$AP$3001,1,'Per Line'!$AQ$2:$AQ$3001,0))</f>
        <v/>
      </c>
      <c r="Y958" s="7">
        <f>IF($AD958="","",X958*W958)</f>
        <v/>
      </c>
      <c r="Z958" s="7">
        <f>IF($AD958="","",Y958+V958)</f>
        <v/>
      </c>
      <c r="AA958" s="7">
        <f>IF($AD958="","",AB958-Z958)</f>
        <v/>
      </c>
      <c r="AB958" s="7">
        <f>IF($AD958="","",U958+X958+S958)</f>
        <v/>
      </c>
      <c r="AC958" s="7">
        <f>IF($AD958="","",AB958-Z958-P958)</f>
        <v/>
      </c>
      <c r="AD958" s="13">
        <f>IF(ROWS($AD$2:$AD958)&lt;=MAX('Per Line'!$AO$2:$AO$3001),MATCH(ROWS($AD$2:$AD958),'Per Line'!$AO$2:$AO$3001,0),"")</f>
        <v/>
      </c>
      <c r="AE958" s="14">
        <f>IF($AD958="","",P958-O958*AB958/100)</f>
        <v/>
      </c>
    </row>
    <row r="959">
      <c r="A959" s="12" t="n"/>
      <c r="B959">
        <f>IF($AD959="","",INDEX('Per Line'!$E$2:$E$3001,$AD959)&amp;"")</f>
        <v/>
      </c>
      <c r="C959">
        <f>IF($AD959="","",INDEX('Per Line'!$A$2:$A$3001,$AD959)&amp;"")</f>
        <v/>
      </c>
      <c r="D959">
        <f>IF($AD959="","",INDEX('Per Line'!$C$2:$C$3001,$AD959)&amp;"")</f>
        <v/>
      </c>
      <c r="E959">
        <f>IF($AD959="","",INDEX('Per Line'!$B$2:$B$3001,$AD959))</f>
        <v/>
      </c>
      <c r="F959">
        <f>IF($AD959="","",INDEX('Per Line'!$D$2:$D$3001,$AD959)&amp;"")</f>
        <v/>
      </c>
      <c r="G959" s="11">
        <f>IF($AD959="","",INDEX('Per Line'!$G$2:$G$3001,$AD959))</f>
        <v/>
      </c>
      <c r="H959">
        <f>IF($AD959="","",INDEX('Per Line'!$J$2:$J$3001,$AD959)&amp;"")</f>
        <v/>
      </c>
      <c r="I959">
        <f>IF($AD959="","",INDEX('Per Line'!$H$2:$H$3001,$AD959)&amp;"")</f>
        <v/>
      </c>
      <c r="J959">
        <f>IF($AD959="","",INDEX('Per Line'!$F$2:$F$3001,$AD959)&amp;"")</f>
        <v/>
      </c>
      <c r="K959">
        <f>IF($AD959="","",INDEX('Per Line'!$K$2:$K$3001,$AD959)&amp;"")</f>
        <v/>
      </c>
      <c r="L959">
        <f>IF($AD959="","",INDEX('Per Line'!$L$2:$L$3001,$AD959)&amp;"")</f>
        <v/>
      </c>
      <c r="M959">
        <f>IF($AD959="","",INDEX('Per Line'!$M$2:$M$3001,$AD959)&amp;"")</f>
        <v/>
      </c>
      <c r="N959">
        <f>IF($AD959="","",INDEX('Per Line'!$AC$2:$AC$3001,$AD959)&amp;"")</f>
        <v/>
      </c>
      <c r="O959">
        <f>IF($AD959="","",INDEX('Per Line'!$P$2:$P$3001,$AD959))</f>
        <v/>
      </c>
      <c r="P959" s="7">
        <f>IF($AD959="","",IF(AND(ISNUMBER(Q959),Q959&gt;0,AB959&gt;Q959),O959*Q959/100+(AB959-Q959),O959*AB959/100))</f>
        <v/>
      </c>
      <c r="Q959">
        <f>IF($AD959="","",INDEX('Per Line'!$AG$2:$AG$3001,$AD959))</f>
        <v/>
      </c>
      <c r="R959">
        <f>IF($AD959="","",IF(AND(ISNUMBER(Q959),Q959&gt;0),AB959&gt;Q959,FALSE))</f>
        <v/>
      </c>
      <c r="S959" s="7">
        <f>IF($AD959="","",SUMIFS('Per Line'!$AB$2:$AB$3001,'Per Line'!$E$2:$E$3001,$B959,'Per Line'!$AQ$2:$AQ$3001,1))</f>
        <v/>
      </c>
      <c r="T959">
        <f>IF($AD959="","",Settings!$C$7)</f>
        <v/>
      </c>
      <c r="U959" s="7">
        <f>IF($AD959="","",SUMIFS('Per Line'!$AB$2:$AB$3001,'Per Line'!$E$2:$E$3001,$B959,'Per Line'!$AP$2:$AP$3001,0,'Per Line'!$AQ$2:$AQ$3001,0))</f>
        <v/>
      </c>
      <c r="V959" s="7">
        <f>IF($AD959="","",U959*T959)</f>
        <v/>
      </c>
      <c r="W959">
        <f>IF($AD959="","",Settings!$C$6)</f>
        <v/>
      </c>
      <c r="X959" s="7">
        <f>IF($AD959="","",SUMIFS('Per Line'!$AB$2:$AB$3001,'Per Line'!$E$2:$E$3001,$B959,'Per Line'!$AP$2:$AP$3001,1,'Per Line'!$AQ$2:$AQ$3001,0))</f>
        <v/>
      </c>
      <c r="Y959" s="7">
        <f>IF($AD959="","",X959*W959)</f>
        <v/>
      </c>
      <c r="Z959" s="7">
        <f>IF($AD959="","",Y959+V959)</f>
        <v/>
      </c>
      <c r="AA959" s="7">
        <f>IF($AD959="","",AB959-Z959)</f>
        <v/>
      </c>
      <c r="AB959" s="7">
        <f>IF($AD959="","",U959+X959+S959)</f>
        <v/>
      </c>
      <c r="AC959" s="7">
        <f>IF($AD959="","",AB959-Z959-P959)</f>
        <v/>
      </c>
      <c r="AD959" s="13">
        <f>IF(ROWS($AD$2:$AD959)&lt;=MAX('Per Line'!$AO$2:$AO$3001),MATCH(ROWS($AD$2:$AD959),'Per Line'!$AO$2:$AO$3001,0),"")</f>
        <v/>
      </c>
      <c r="AE959" s="14">
        <f>IF($AD959="","",P959-O959*AB959/100)</f>
        <v/>
      </c>
    </row>
    <row r="960">
      <c r="A960" s="12" t="n"/>
      <c r="B960">
        <f>IF($AD960="","",INDEX('Per Line'!$E$2:$E$3001,$AD960)&amp;"")</f>
        <v/>
      </c>
      <c r="C960">
        <f>IF($AD960="","",INDEX('Per Line'!$A$2:$A$3001,$AD960)&amp;"")</f>
        <v/>
      </c>
      <c r="D960">
        <f>IF($AD960="","",INDEX('Per Line'!$C$2:$C$3001,$AD960)&amp;"")</f>
        <v/>
      </c>
      <c r="E960">
        <f>IF($AD960="","",INDEX('Per Line'!$B$2:$B$3001,$AD960))</f>
        <v/>
      </c>
      <c r="F960">
        <f>IF($AD960="","",INDEX('Per Line'!$D$2:$D$3001,$AD960)&amp;"")</f>
        <v/>
      </c>
      <c r="G960" s="11">
        <f>IF($AD960="","",INDEX('Per Line'!$G$2:$G$3001,$AD960))</f>
        <v/>
      </c>
      <c r="H960">
        <f>IF($AD960="","",INDEX('Per Line'!$J$2:$J$3001,$AD960)&amp;"")</f>
        <v/>
      </c>
      <c r="I960">
        <f>IF($AD960="","",INDEX('Per Line'!$H$2:$H$3001,$AD960)&amp;"")</f>
        <v/>
      </c>
      <c r="J960">
        <f>IF($AD960="","",INDEX('Per Line'!$F$2:$F$3001,$AD960)&amp;"")</f>
        <v/>
      </c>
      <c r="K960">
        <f>IF($AD960="","",INDEX('Per Line'!$K$2:$K$3001,$AD960)&amp;"")</f>
        <v/>
      </c>
      <c r="L960">
        <f>IF($AD960="","",INDEX('Per Line'!$L$2:$L$3001,$AD960)&amp;"")</f>
        <v/>
      </c>
      <c r="M960">
        <f>IF($AD960="","",INDEX('Per Line'!$M$2:$M$3001,$AD960)&amp;"")</f>
        <v/>
      </c>
      <c r="N960">
        <f>IF($AD960="","",INDEX('Per Line'!$AC$2:$AC$3001,$AD960)&amp;"")</f>
        <v/>
      </c>
      <c r="O960">
        <f>IF($AD960="","",INDEX('Per Line'!$P$2:$P$3001,$AD960))</f>
        <v/>
      </c>
      <c r="P960" s="7">
        <f>IF($AD960="","",IF(AND(ISNUMBER(Q960),Q960&gt;0,AB960&gt;Q960),O960*Q960/100+(AB960-Q960),O960*AB960/100))</f>
        <v/>
      </c>
      <c r="Q960">
        <f>IF($AD960="","",INDEX('Per Line'!$AG$2:$AG$3001,$AD960))</f>
        <v/>
      </c>
      <c r="R960">
        <f>IF($AD960="","",IF(AND(ISNUMBER(Q960),Q960&gt;0),AB960&gt;Q960,FALSE))</f>
        <v/>
      </c>
      <c r="S960" s="7">
        <f>IF($AD960="","",SUMIFS('Per Line'!$AB$2:$AB$3001,'Per Line'!$E$2:$E$3001,$B960,'Per Line'!$AQ$2:$AQ$3001,1))</f>
        <v/>
      </c>
      <c r="T960">
        <f>IF($AD960="","",Settings!$C$7)</f>
        <v/>
      </c>
      <c r="U960" s="7">
        <f>IF($AD960="","",SUMIFS('Per Line'!$AB$2:$AB$3001,'Per Line'!$E$2:$E$3001,$B960,'Per Line'!$AP$2:$AP$3001,0,'Per Line'!$AQ$2:$AQ$3001,0))</f>
        <v/>
      </c>
      <c r="V960" s="7">
        <f>IF($AD960="","",U960*T960)</f>
        <v/>
      </c>
      <c r="W960">
        <f>IF($AD960="","",Settings!$C$6)</f>
        <v/>
      </c>
      <c r="X960" s="7">
        <f>IF($AD960="","",SUMIFS('Per Line'!$AB$2:$AB$3001,'Per Line'!$E$2:$E$3001,$B960,'Per Line'!$AP$2:$AP$3001,1,'Per Line'!$AQ$2:$AQ$3001,0))</f>
        <v/>
      </c>
      <c r="Y960" s="7">
        <f>IF($AD960="","",X960*W960)</f>
        <v/>
      </c>
      <c r="Z960" s="7">
        <f>IF($AD960="","",Y960+V960)</f>
        <v/>
      </c>
      <c r="AA960" s="7">
        <f>IF($AD960="","",AB960-Z960)</f>
        <v/>
      </c>
      <c r="AB960" s="7">
        <f>IF($AD960="","",U960+X960+S960)</f>
        <v/>
      </c>
      <c r="AC960" s="7">
        <f>IF($AD960="","",AB960-Z960-P960)</f>
        <v/>
      </c>
      <c r="AD960" s="13">
        <f>IF(ROWS($AD$2:$AD960)&lt;=MAX('Per Line'!$AO$2:$AO$3001),MATCH(ROWS($AD$2:$AD960),'Per Line'!$AO$2:$AO$3001,0),"")</f>
        <v/>
      </c>
      <c r="AE960" s="14">
        <f>IF($AD960="","",P960-O960*AB960/100)</f>
        <v/>
      </c>
    </row>
    <row r="961">
      <c r="A961" s="12" t="n"/>
      <c r="B961">
        <f>IF($AD961="","",INDEX('Per Line'!$E$2:$E$3001,$AD961)&amp;"")</f>
        <v/>
      </c>
      <c r="C961">
        <f>IF($AD961="","",INDEX('Per Line'!$A$2:$A$3001,$AD961)&amp;"")</f>
        <v/>
      </c>
      <c r="D961">
        <f>IF($AD961="","",INDEX('Per Line'!$C$2:$C$3001,$AD961)&amp;"")</f>
        <v/>
      </c>
      <c r="E961">
        <f>IF($AD961="","",INDEX('Per Line'!$B$2:$B$3001,$AD961))</f>
        <v/>
      </c>
      <c r="F961">
        <f>IF($AD961="","",INDEX('Per Line'!$D$2:$D$3001,$AD961)&amp;"")</f>
        <v/>
      </c>
      <c r="G961" s="11">
        <f>IF($AD961="","",INDEX('Per Line'!$G$2:$G$3001,$AD961))</f>
        <v/>
      </c>
      <c r="H961">
        <f>IF($AD961="","",INDEX('Per Line'!$J$2:$J$3001,$AD961)&amp;"")</f>
        <v/>
      </c>
      <c r="I961">
        <f>IF($AD961="","",INDEX('Per Line'!$H$2:$H$3001,$AD961)&amp;"")</f>
        <v/>
      </c>
      <c r="J961">
        <f>IF($AD961="","",INDEX('Per Line'!$F$2:$F$3001,$AD961)&amp;"")</f>
        <v/>
      </c>
      <c r="K961">
        <f>IF($AD961="","",INDEX('Per Line'!$K$2:$K$3001,$AD961)&amp;"")</f>
        <v/>
      </c>
      <c r="L961">
        <f>IF($AD961="","",INDEX('Per Line'!$L$2:$L$3001,$AD961)&amp;"")</f>
        <v/>
      </c>
      <c r="M961">
        <f>IF($AD961="","",INDEX('Per Line'!$M$2:$M$3001,$AD961)&amp;"")</f>
        <v/>
      </c>
      <c r="N961">
        <f>IF($AD961="","",INDEX('Per Line'!$AC$2:$AC$3001,$AD961)&amp;"")</f>
        <v/>
      </c>
      <c r="O961">
        <f>IF($AD961="","",INDEX('Per Line'!$P$2:$P$3001,$AD961))</f>
        <v/>
      </c>
      <c r="P961" s="7">
        <f>IF($AD961="","",IF(AND(ISNUMBER(Q961),Q961&gt;0,AB961&gt;Q961),O961*Q961/100+(AB961-Q961),O961*AB961/100))</f>
        <v/>
      </c>
      <c r="Q961">
        <f>IF($AD961="","",INDEX('Per Line'!$AG$2:$AG$3001,$AD961))</f>
        <v/>
      </c>
      <c r="R961">
        <f>IF($AD961="","",IF(AND(ISNUMBER(Q961),Q961&gt;0),AB961&gt;Q961,FALSE))</f>
        <v/>
      </c>
      <c r="S961" s="7">
        <f>IF($AD961="","",SUMIFS('Per Line'!$AB$2:$AB$3001,'Per Line'!$E$2:$E$3001,$B961,'Per Line'!$AQ$2:$AQ$3001,1))</f>
        <v/>
      </c>
      <c r="T961">
        <f>IF($AD961="","",Settings!$C$7)</f>
        <v/>
      </c>
      <c r="U961" s="7">
        <f>IF($AD961="","",SUMIFS('Per Line'!$AB$2:$AB$3001,'Per Line'!$E$2:$E$3001,$B961,'Per Line'!$AP$2:$AP$3001,0,'Per Line'!$AQ$2:$AQ$3001,0))</f>
        <v/>
      </c>
      <c r="V961" s="7">
        <f>IF($AD961="","",U961*T961)</f>
        <v/>
      </c>
      <c r="W961">
        <f>IF($AD961="","",Settings!$C$6)</f>
        <v/>
      </c>
      <c r="X961" s="7">
        <f>IF($AD961="","",SUMIFS('Per Line'!$AB$2:$AB$3001,'Per Line'!$E$2:$E$3001,$B961,'Per Line'!$AP$2:$AP$3001,1,'Per Line'!$AQ$2:$AQ$3001,0))</f>
        <v/>
      </c>
      <c r="Y961" s="7">
        <f>IF($AD961="","",X961*W961)</f>
        <v/>
      </c>
      <c r="Z961" s="7">
        <f>IF($AD961="","",Y961+V961)</f>
        <v/>
      </c>
      <c r="AA961" s="7">
        <f>IF($AD961="","",AB961-Z961)</f>
        <v/>
      </c>
      <c r="AB961" s="7">
        <f>IF($AD961="","",U961+X961+S961)</f>
        <v/>
      </c>
      <c r="AC961" s="7">
        <f>IF($AD961="","",AB961-Z961-P961)</f>
        <v/>
      </c>
      <c r="AD961" s="13">
        <f>IF(ROWS($AD$2:$AD961)&lt;=MAX('Per Line'!$AO$2:$AO$3001),MATCH(ROWS($AD$2:$AD961),'Per Line'!$AO$2:$AO$3001,0),"")</f>
        <v/>
      </c>
      <c r="AE961" s="14">
        <f>IF($AD961="","",P961-O961*AB961/100)</f>
        <v/>
      </c>
    </row>
    <row r="962">
      <c r="A962" s="12" t="n"/>
      <c r="B962">
        <f>IF($AD962="","",INDEX('Per Line'!$E$2:$E$3001,$AD962)&amp;"")</f>
        <v/>
      </c>
      <c r="C962">
        <f>IF($AD962="","",INDEX('Per Line'!$A$2:$A$3001,$AD962)&amp;"")</f>
        <v/>
      </c>
      <c r="D962">
        <f>IF($AD962="","",INDEX('Per Line'!$C$2:$C$3001,$AD962)&amp;"")</f>
        <v/>
      </c>
      <c r="E962">
        <f>IF($AD962="","",INDEX('Per Line'!$B$2:$B$3001,$AD962))</f>
        <v/>
      </c>
      <c r="F962">
        <f>IF($AD962="","",INDEX('Per Line'!$D$2:$D$3001,$AD962)&amp;"")</f>
        <v/>
      </c>
      <c r="G962" s="11">
        <f>IF($AD962="","",INDEX('Per Line'!$G$2:$G$3001,$AD962))</f>
        <v/>
      </c>
      <c r="H962">
        <f>IF($AD962="","",INDEX('Per Line'!$J$2:$J$3001,$AD962)&amp;"")</f>
        <v/>
      </c>
      <c r="I962">
        <f>IF($AD962="","",INDEX('Per Line'!$H$2:$H$3001,$AD962)&amp;"")</f>
        <v/>
      </c>
      <c r="J962">
        <f>IF($AD962="","",INDEX('Per Line'!$F$2:$F$3001,$AD962)&amp;"")</f>
        <v/>
      </c>
      <c r="K962">
        <f>IF($AD962="","",INDEX('Per Line'!$K$2:$K$3001,$AD962)&amp;"")</f>
        <v/>
      </c>
      <c r="L962">
        <f>IF($AD962="","",INDEX('Per Line'!$L$2:$L$3001,$AD962)&amp;"")</f>
        <v/>
      </c>
      <c r="M962">
        <f>IF($AD962="","",INDEX('Per Line'!$M$2:$M$3001,$AD962)&amp;"")</f>
        <v/>
      </c>
      <c r="N962">
        <f>IF($AD962="","",INDEX('Per Line'!$AC$2:$AC$3001,$AD962)&amp;"")</f>
        <v/>
      </c>
      <c r="O962">
        <f>IF($AD962="","",INDEX('Per Line'!$P$2:$P$3001,$AD962))</f>
        <v/>
      </c>
      <c r="P962" s="7">
        <f>IF($AD962="","",IF(AND(ISNUMBER(Q962),Q962&gt;0,AB962&gt;Q962),O962*Q962/100+(AB962-Q962),O962*AB962/100))</f>
        <v/>
      </c>
      <c r="Q962">
        <f>IF($AD962="","",INDEX('Per Line'!$AG$2:$AG$3001,$AD962))</f>
        <v/>
      </c>
      <c r="R962">
        <f>IF($AD962="","",IF(AND(ISNUMBER(Q962),Q962&gt;0),AB962&gt;Q962,FALSE))</f>
        <v/>
      </c>
      <c r="S962" s="7">
        <f>IF($AD962="","",SUMIFS('Per Line'!$AB$2:$AB$3001,'Per Line'!$E$2:$E$3001,$B962,'Per Line'!$AQ$2:$AQ$3001,1))</f>
        <v/>
      </c>
      <c r="T962">
        <f>IF($AD962="","",Settings!$C$7)</f>
        <v/>
      </c>
      <c r="U962" s="7">
        <f>IF($AD962="","",SUMIFS('Per Line'!$AB$2:$AB$3001,'Per Line'!$E$2:$E$3001,$B962,'Per Line'!$AP$2:$AP$3001,0,'Per Line'!$AQ$2:$AQ$3001,0))</f>
        <v/>
      </c>
      <c r="V962" s="7">
        <f>IF($AD962="","",U962*T962)</f>
        <v/>
      </c>
      <c r="W962">
        <f>IF($AD962="","",Settings!$C$6)</f>
        <v/>
      </c>
      <c r="X962" s="7">
        <f>IF($AD962="","",SUMIFS('Per Line'!$AB$2:$AB$3001,'Per Line'!$E$2:$E$3001,$B962,'Per Line'!$AP$2:$AP$3001,1,'Per Line'!$AQ$2:$AQ$3001,0))</f>
        <v/>
      </c>
      <c r="Y962" s="7">
        <f>IF($AD962="","",X962*W962)</f>
        <v/>
      </c>
      <c r="Z962" s="7">
        <f>IF($AD962="","",Y962+V962)</f>
        <v/>
      </c>
      <c r="AA962" s="7">
        <f>IF($AD962="","",AB962-Z962)</f>
        <v/>
      </c>
      <c r="AB962" s="7">
        <f>IF($AD962="","",U962+X962+S962)</f>
        <v/>
      </c>
      <c r="AC962" s="7">
        <f>IF($AD962="","",AB962-Z962-P962)</f>
        <v/>
      </c>
      <c r="AD962" s="13">
        <f>IF(ROWS($AD$2:$AD962)&lt;=MAX('Per Line'!$AO$2:$AO$3001),MATCH(ROWS($AD$2:$AD962),'Per Line'!$AO$2:$AO$3001,0),"")</f>
        <v/>
      </c>
      <c r="AE962" s="14">
        <f>IF($AD962="","",P962-O962*AB962/100)</f>
        <v/>
      </c>
    </row>
    <row r="963">
      <c r="A963" s="12" t="n"/>
      <c r="B963">
        <f>IF($AD963="","",INDEX('Per Line'!$E$2:$E$3001,$AD963)&amp;"")</f>
        <v/>
      </c>
      <c r="C963">
        <f>IF($AD963="","",INDEX('Per Line'!$A$2:$A$3001,$AD963)&amp;"")</f>
        <v/>
      </c>
      <c r="D963">
        <f>IF($AD963="","",INDEX('Per Line'!$C$2:$C$3001,$AD963)&amp;"")</f>
        <v/>
      </c>
      <c r="E963">
        <f>IF($AD963="","",INDEX('Per Line'!$B$2:$B$3001,$AD963))</f>
        <v/>
      </c>
      <c r="F963">
        <f>IF($AD963="","",INDEX('Per Line'!$D$2:$D$3001,$AD963)&amp;"")</f>
        <v/>
      </c>
      <c r="G963" s="11">
        <f>IF($AD963="","",INDEX('Per Line'!$G$2:$G$3001,$AD963))</f>
        <v/>
      </c>
      <c r="H963">
        <f>IF($AD963="","",INDEX('Per Line'!$J$2:$J$3001,$AD963)&amp;"")</f>
        <v/>
      </c>
      <c r="I963">
        <f>IF($AD963="","",INDEX('Per Line'!$H$2:$H$3001,$AD963)&amp;"")</f>
        <v/>
      </c>
      <c r="J963">
        <f>IF($AD963="","",INDEX('Per Line'!$F$2:$F$3001,$AD963)&amp;"")</f>
        <v/>
      </c>
      <c r="K963">
        <f>IF($AD963="","",INDEX('Per Line'!$K$2:$K$3001,$AD963)&amp;"")</f>
        <v/>
      </c>
      <c r="L963">
        <f>IF($AD963="","",INDEX('Per Line'!$L$2:$L$3001,$AD963)&amp;"")</f>
        <v/>
      </c>
      <c r="M963">
        <f>IF($AD963="","",INDEX('Per Line'!$M$2:$M$3001,$AD963)&amp;"")</f>
        <v/>
      </c>
      <c r="N963">
        <f>IF($AD963="","",INDEX('Per Line'!$AC$2:$AC$3001,$AD963)&amp;"")</f>
        <v/>
      </c>
      <c r="O963">
        <f>IF($AD963="","",INDEX('Per Line'!$P$2:$P$3001,$AD963))</f>
        <v/>
      </c>
      <c r="P963" s="7">
        <f>IF($AD963="","",IF(AND(ISNUMBER(Q963),Q963&gt;0,AB963&gt;Q963),O963*Q963/100+(AB963-Q963),O963*AB963/100))</f>
        <v/>
      </c>
      <c r="Q963">
        <f>IF($AD963="","",INDEX('Per Line'!$AG$2:$AG$3001,$AD963))</f>
        <v/>
      </c>
      <c r="R963">
        <f>IF($AD963="","",IF(AND(ISNUMBER(Q963),Q963&gt;0),AB963&gt;Q963,FALSE))</f>
        <v/>
      </c>
      <c r="S963" s="7">
        <f>IF($AD963="","",SUMIFS('Per Line'!$AB$2:$AB$3001,'Per Line'!$E$2:$E$3001,$B963,'Per Line'!$AQ$2:$AQ$3001,1))</f>
        <v/>
      </c>
      <c r="T963">
        <f>IF($AD963="","",Settings!$C$7)</f>
        <v/>
      </c>
      <c r="U963" s="7">
        <f>IF($AD963="","",SUMIFS('Per Line'!$AB$2:$AB$3001,'Per Line'!$E$2:$E$3001,$B963,'Per Line'!$AP$2:$AP$3001,0,'Per Line'!$AQ$2:$AQ$3001,0))</f>
        <v/>
      </c>
      <c r="V963" s="7">
        <f>IF($AD963="","",U963*T963)</f>
        <v/>
      </c>
      <c r="W963">
        <f>IF($AD963="","",Settings!$C$6)</f>
        <v/>
      </c>
      <c r="X963" s="7">
        <f>IF($AD963="","",SUMIFS('Per Line'!$AB$2:$AB$3001,'Per Line'!$E$2:$E$3001,$B963,'Per Line'!$AP$2:$AP$3001,1,'Per Line'!$AQ$2:$AQ$3001,0))</f>
        <v/>
      </c>
      <c r="Y963" s="7">
        <f>IF($AD963="","",X963*W963)</f>
        <v/>
      </c>
      <c r="Z963" s="7">
        <f>IF($AD963="","",Y963+V963)</f>
        <v/>
      </c>
      <c r="AA963" s="7">
        <f>IF($AD963="","",AB963-Z963)</f>
        <v/>
      </c>
      <c r="AB963" s="7">
        <f>IF($AD963="","",U963+X963+S963)</f>
        <v/>
      </c>
      <c r="AC963" s="7">
        <f>IF($AD963="","",AB963-Z963-P963)</f>
        <v/>
      </c>
      <c r="AD963" s="13">
        <f>IF(ROWS($AD$2:$AD963)&lt;=MAX('Per Line'!$AO$2:$AO$3001),MATCH(ROWS($AD$2:$AD963),'Per Line'!$AO$2:$AO$3001,0),"")</f>
        <v/>
      </c>
      <c r="AE963" s="14">
        <f>IF($AD963="","",P963-O963*AB963/100)</f>
        <v/>
      </c>
    </row>
    <row r="964">
      <c r="A964" s="12" t="n"/>
      <c r="B964">
        <f>IF($AD964="","",INDEX('Per Line'!$E$2:$E$3001,$AD964)&amp;"")</f>
        <v/>
      </c>
      <c r="C964">
        <f>IF($AD964="","",INDEX('Per Line'!$A$2:$A$3001,$AD964)&amp;"")</f>
        <v/>
      </c>
      <c r="D964">
        <f>IF($AD964="","",INDEX('Per Line'!$C$2:$C$3001,$AD964)&amp;"")</f>
        <v/>
      </c>
      <c r="E964">
        <f>IF($AD964="","",INDEX('Per Line'!$B$2:$B$3001,$AD964))</f>
        <v/>
      </c>
      <c r="F964">
        <f>IF($AD964="","",INDEX('Per Line'!$D$2:$D$3001,$AD964)&amp;"")</f>
        <v/>
      </c>
      <c r="G964" s="11">
        <f>IF($AD964="","",INDEX('Per Line'!$G$2:$G$3001,$AD964))</f>
        <v/>
      </c>
      <c r="H964">
        <f>IF($AD964="","",INDEX('Per Line'!$J$2:$J$3001,$AD964)&amp;"")</f>
        <v/>
      </c>
      <c r="I964">
        <f>IF($AD964="","",INDEX('Per Line'!$H$2:$H$3001,$AD964)&amp;"")</f>
        <v/>
      </c>
      <c r="J964">
        <f>IF($AD964="","",INDEX('Per Line'!$F$2:$F$3001,$AD964)&amp;"")</f>
        <v/>
      </c>
      <c r="K964">
        <f>IF($AD964="","",INDEX('Per Line'!$K$2:$K$3001,$AD964)&amp;"")</f>
        <v/>
      </c>
      <c r="L964">
        <f>IF($AD964="","",INDEX('Per Line'!$L$2:$L$3001,$AD964)&amp;"")</f>
        <v/>
      </c>
      <c r="M964">
        <f>IF($AD964="","",INDEX('Per Line'!$M$2:$M$3001,$AD964)&amp;"")</f>
        <v/>
      </c>
      <c r="N964">
        <f>IF($AD964="","",INDEX('Per Line'!$AC$2:$AC$3001,$AD964)&amp;"")</f>
        <v/>
      </c>
      <c r="O964">
        <f>IF($AD964="","",INDEX('Per Line'!$P$2:$P$3001,$AD964))</f>
        <v/>
      </c>
      <c r="P964" s="7">
        <f>IF($AD964="","",IF(AND(ISNUMBER(Q964),Q964&gt;0,AB964&gt;Q964),O964*Q964/100+(AB964-Q964),O964*AB964/100))</f>
        <v/>
      </c>
      <c r="Q964">
        <f>IF($AD964="","",INDEX('Per Line'!$AG$2:$AG$3001,$AD964))</f>
        <v/>
      </c>
      <c r="R964">
        <f>IF($AD964="","",IF(AND(ISNUMBER(Q964),Q964&gt;0),AB964&gt;Q964,FALSE))</f>
        <v/>
      </c>
      <c r="S964" s="7">
        <f>IF($AD964="","",SUMIFS('Per Line'!$AB$2:$AB$3001,'Per Line'!$E$2:$E$3001,$B964,'Per Line'!$AQ$2:$AQ$3001,1))</f>
        <v/>
      </c>
      <c r="T964">
        <f>IF($AD964="","",Settings!$C$7)</f>
        <v/>
      </c>
      <c r="U964" s="7">
        <f>IF($AD964="","",SUMIFS('Per Line'!$AB$2:$AB$3001,'Per Line'!$E$2:$E$3001,$B964,'Per Line'!$AP$2:$AP$3001,0,'Per Line'!$AQ$2:$AQ$3001,0))</f>
        <v/>
      </c>
      <c r="V964" s="7">
        <f>IF($AD964="","",U964*T964)</f>
        <v/>
      </c>
      <c r="W964">
        <f>IF($AD964="","",Settings!$C$6)</f>
        <v/>
      </c>
      <c r="X964" s="7">
        <f>IF($AD964="","",SUMIFS('Per Line'!$AB$2:$AB$3001,'Per Line'!$E$2:$E$3001,$B964,'Per Line'!$AP$2:$AP$3001,1,'Per Line'!$AQ$2:$AQ$3001,0))</f>
        <v/>
      </c>
      <c r="Y964" s="7">
        <f>IF($AD964="","",X964*W964)</f>
        <v/>
      </c>
      <c r="Z964" s="7">
        <f>IF($AD964="","",Y964+V964)</f>
        <v/>
      </c>
      <c r="AA964" s="7">
        <f>IF($AD964="","",AB964-Z964)</f>
        <v/>
      </c>
      <c r="AB964" s="7">
        <f>IF($AD964="","",U964+X964+S964)</f>
        <v/>
      </c>
      <c r="AC964" s="7">
        <f>IF($AD964="","",AB964-Z964-P964)</f>
        <v/>
      </c>
      <c r="AD964" s="13">
        <f>IF(ROWS($AD$2:$AD964)&lt;=MAX('Per Line'!$AO$2:$AO$3001),MATCH(ROWS($AD$2:$AD964),'Per Line'!$AO$2:$AO$3001,0),"")</f>
        <v/>
      </c>
      <c r="AE964" s="14">
        <f>IF($AD964="","",P964-O964*AB964/100)</f>
        <v/>
      </c>
    </row>
    <row r="965">
      <c r="A965" s="12" t="n"/>
      <c r="B965">
        <f>IF($AD965="","",INDEX('Per Line'!$E$2:$E$3001,$AD965)&amp;"")</f>
        <v/>
      </c>
      <c r="C965">
        <f>IF($AD965="","",INDEX('Per Line'!$A$2:$A$3001,$AD965)&amp;"")</f>
        <v/>
      </c>
      <c r="D965">
        <f>IF($AD965="","",INDEX('Per Line'!$C$2:$C$3001,$AD965)&amp;"")</f>
        <v/>
      </c>
      <c r="E965">
        <f>IF($AD965="","",INDEX('Per Line'!$B$2:$B$3001,$AD965))</f>
        <v/>
      </c>
      <c r="F965">
        <f>IF($AD965="","",INDEX('Per Line'!$D$2:$D$3001,$AD965)&amp;"")</f>
        <v/>
      </c>
      <c r="G965" s="11">
        <f>IF($AD965="","",INDEX('Per Line'!$G$2:$G$3001,$AD965))</f>
        <v/>
      </c>
      <c r="H965">
        <f>IF($AD965="","",INDEX('Per Line'!$J$2:$J$3001,$AD965)&amp;"")</f>
        <v/>
      </c>
      <c r="I965">
        <f>IF($AD965="","",INDEX('Per Line'!$H$2:$H$3001,$AD965)&amp;"")</f>
        <v/>
      </c>
      <c r="J965">
        <f>IF($AD965="","",INDEX('Per Line'!$F$2:$F$3001,$AD965)&amp;"")</f>
        <v/>
      </c>
      <c r="K965">
        <f>IF($AD965="","",INDEX('Per Line'!$K$2:$K$3001,$AD965)&amp;"")</f>
        <v/>
      </c>
      <c r="L965">
        <f>IF($AD965="","",INDEX('Per Line'!$L$2:$L$3001,$AD965)&amp;"")</f>
        <v/>
      </c>
      <c r="M965">
        <f>IF($AD965="","",INDEX('Per Line'!$M$2:$M$3001,$AD965)&amp;"")</f>
        <v/>
      </c>
      <c r="N965">
        <f>IF($AD965="","",INDEX('Per Line'!$AC$2:$AC$3001,$AD965)&amp;"")</f>
        <v/>
      </c>
      <c r="O965">
        <f>IF($AD965="","",INDEX('Per Line'!$P$2:$P$3001,$AD965))</f>
        <v/>
      </c>
      <c r="P965" s="7">
        <f>IF($AD965="","",IF(AND(ISNUMBER(Q965),Q965&gt;0,AB965&gt;Q965),O965*Q965/100+(AB965-Q965),O965*AB965/100))</f>
        <v/>
      </c>
      <c r="Q965">
        <f>IF($AD965="","",INDEX('Per Line'!$AG$2:$AG$3001,$AD965))</f>
        <v/>
      </c>
      <c r="R965">
        <f>IF($AD965="","",IF(AND(ISNUMBER(Q965),Q965&gt;0),AB965&gt;Q965,FALSE))</f>
        <v/>
      </c>
      <c r="S965" s="7">
        <f>IF($AD965="","",SUMIFS('Per Line'!$AB$2:$AB$3001,'Per Line'!$E$2:$E$3001,$B965,'Per Line'!$AQ$2:$AQ$3001,1))</f>
        <v/>
      </c>
      <c r="T965">
        <f>IF($AD965="","",Settings!$C$7)</f>
        <v/>
      </c>
      <c r="U965" s="7">
        <f>IF($AD965="","",SUMIFS('Per Line'!$AB$2:$AB$3001,'Per Line'!$E$2:$E$3001,$B965,'Per Line'!$AP$2:$AP$3001,0,'Per Line'!$AQ$2:$AQ$3001,0))</f>
        <v/>
      </c>
      <c r="V965" s="7">
        <f>IF($AD965="","",U965*T965)</f>
        <v/>
      </c>
      <c r="W965">
        <f>IF($AD965="","",Settings!$C$6)</f>
        <v/>
      </c>
      <c r="X965" s="7">
        <f>IF($AD965="","",SUMIFS('Per Line'!$AB$2:$AB$3001,'Per Line'!$E$2:$E$3001,$B965,'Per Line'!$AP$2:$AP$3001,1,'Per Line'!$AQ$2:$AQ$3001,0))</f>
        <v/>
      </c>
      <c r="Y965" s="7">
        <f>IF($AD965="","",X965*W965)</f>
        <v/>
      </c>
      <c r="Z965" s="7">
        <f>IF($AD965="","",Y965+V965)</f>
        <v/>
      </c>
      <c r="AA965" s="7">
        <f>IF($AD965="","",AB965-Z965)</f>
        <v/>
      </c>
      <c r="AB965" s="7">
        <f>IF($AD965="","",U965+X965+S965)</f>
        <v/>
      </c>
      <c r="AC965" s="7">
        <f>IF($AD965="","",AB965-Z965-P965)</f>
        <v/>
      </c>
      <c r="AD965" s="13">
        <f>IF(ROWS($AD$2:$AD965)&lt;=MAX('Per Line'!$AO$2:$AO$3001),MATCH(ROWS($AD$2:$AD965),'Per Line'!$AO$2:$AO$3001,0),"")</f>
        <v/>
      </c>
      <c r="AE965" s="14">
        <f>IF($AD965="","",P965-O965*AB965/100)</f>
        <v/>
      </c>
    </row>
    <row r="966">
      <c r="A966" s="12" t="n"/>
      <c r="B966">
        <f>IF($AD966="","",INDEX('Per Line'!$E$2:$E$3001,$AD966)&amp;"")</f>
        <v/>
      </c>
      <c r="C966">
        <f>IF($AD966="","",INDEX('Per Line'!$A$2:$A$3001,$AD966)&amp;"")</f>
        <v/>
      </c>
      <c r="D966">
        <f>IF($AD966="","",INDEX('Per Line'!$C$2:$C$3001,$AD966)&amp;"")</f>
        <v/>
      </c>
      <c r="E966">
        <f>IF($AD966="","",INDEX('Per Line'!$B$2:$B$3001,$AD966))</f>
        <v/>
      </c>
      <c r="F966">
        <f>IF($AD966="","",INDEX('Per Line'!$D$2:$D$3001,$AD966)&amp;"")</f>
        <v/>
      </c>
      <c r="G966" s="11">
        <f>IF($AD966="","",INDEX('Per Line'!$G$2:$G$3001,$AD966))</f>
        <v/>
      </c>
      <c r="H966">
        <f>IF($AD966="","",INDEX('Per Line'!$J$2:$J$3001,$AD966)&amp;"")</f>
        <v/>
      </c>
      <c r="I966">
        <f>IF($AD966="","",INDEX('Per Line'!$H$2:$H$3001,$AD966)&amp;"")</f>
        <v/>
      </c>
      <c r="J966">
        <f>IF($AD966="","",INDEX('Per Line'!$F$2:$F$3001,$AD966)&amp;"")</f>
        <v/>
      </c>
      <c r="K966">
        <f>IF($AD966="","",INDEX('Per Line'!$K$2:$K$3001,$AD966)&amp;"")</f>
        <v/>
      </c>
      <c r="L966">
        <f>IF($AD966="","",INDEX('Per Line'!$L$2:$L$3001,$AD966)&amp;"")</f>
        <v/>
      </c>
      <c r="M966">
        <f>IF($AD966="","",INDEX('Per Line'!$M$2:$M$3001,$AD966)&amp;"")</f>
        <v/>
      </c>
      <c r="N966">
        <f>IF($AD966="","",INDEX('Per Line'!$AC$2:$AC$3001,$AD966)&amp;"")</f>
        <v/>
      </c>
      <c r="O966">
        <f>IF($AD966="","",INDEX('Per Line'!$P$2:$P$3001,$AD966))</f>
        <v/>
      </c>
      <c r="P966" s="7">
        <f>IF($AD966="","",IF(AND(ISNUMBER(Q966),Q966&gt;0,AB966&gt;Q966),O966*Q966/100+(AB966-Q966),O966*AB966/100))</f>
        <v/>
      </c>
      <c r="Q966">
        <f>IF($AD966="","",INDEX('Per Line'!$AG$2:$AG$3001,$AD966))</f>
        <v/>
      </c>
      <c r="R966">
        <f>IF($AD966="","",IF(AND(ISNUMBER(Q966),Q966&gt;0),AB966&gt;Q966,FALSE))</f>
        <v/>
      </c>
      <c r="S966" s="7">
        <f>IF($AD966="","",SUMIFS('Per Line'!$AB$2:$AB$3001,'Per Line'!$E$2:$E$3001,$B966,'Per Line'!$AQ$2:$AQ$3001,1))</f>
        <v/>
      </c>
      <c r="T966">
        <f>IF($AD966="","",Settings!$C$7)</f>
        <v/>
      </c>
      <c r="U966" s="7">
        <f>IF($AD966="","",SUMIFS('Per Line'!$AB$2:$AB$3001,'Per Line'!$E$2:$E$3001,$B966,'Per Line'!$AP$2:$AP$3001,0,'Per Line'!$AQ$2:$AQ$3001,0))</f>
        <v/>
      </c>
      <c r="V966" s="7">
        <f>IF($AD966="","",U966*T966)</f>
        <v/>
      </c>
      <c r="W966">
        <f>IF($AD966="","",Settings!$C$6)</f>
        <v/>
      </c>
      <c r="X966" s="7">
        <f>IF($AD966="","",SUMIFS('Per Line'!$AB$2:$AB$3001,'Per Line'!$E$2:$E$3001,$B966,'Per Line'!$AP$2:$AP$3001,1,'Per Line'!$AQ$2:$AQ$3001,0))</f>
        <v/>
      </c>
      <c r="Y966" s="7">
        <f>IF($AD966="","",X966*W966)</f>
        <v/>
      </c>
      <c r="Z966" s="7">
        <f>IF($AD966="","",Y966+V966)</f>
        <v/>
      </c>
      <c r="AA966" s="7">
        <f>IF($AD966="","",AB966-Z966)</f>
        <v/>
      </c>
      <c r="AB966" s="7">
        <f>IF($AD966="","",U966+X966+S966)</f>
        <v/>
      </c>
      <c r="AC966" s="7">
        <f>IF($AD966="","",AB966-Z966-P966)</f>
        <v/>
      </c>
      <c r="AD966" s="13">
        <f>IF(ROWS($AD$2:$AD966)&lt;=MAX('Per Line'!$AO$2:$AO$3001),MATCH(ROWS($AD$2:$AD966),'Per Line'!$AO$2:$AO$3001,0),"")</f>
        <v/>
      </c>
      <c r="AE966" s="14">
        <f>IF($AD966="","",P966-O966*AB966/100)</f>
        <v/>
      </c>
    </row>
    <row r="967">
      <c r="A967" s="12" t="n"/>
      <c r="B967">
        <f>IF($AD967="","",INDEX('Per Line'!$E$2:$E$3001,$AD967)&amp;"")</f>
        <v/>
      </c>
      <c r="C967">
        <f>IF($AD967="","",INDEX('Per Line'!$A$2:$A$3001,$AD967)&amp;"")</f>
        <v/>
      </c>
      <c r="D967">
        <f>IF($AD967="","",INDEX('Per Line'!$C$2:$C$3001,$AD967)&amp;"")</f>
        <v/>
      </c>
      <c r="E967">
        <f>IF($AD967="","",INDEX('Per Line'!$B$2:$B$3001,$AD967))</f>
        <v/>
      </c>
      <c r="F967">
        <f>IF($AD967="","",INDEX('Per Line'!$D$2:$D$3001,$AD967)&amp;"")</f>
        <v/>
      </c>
      <c r="G967" s="11">
        <f>IF($AD967="","",INDEX('Per Line'!$G$2:$G$3001,$AD967))</f>
        <v/>
      </c>
      <c r="H967">
        <f>IF($AD967="","",INDEX('Per Line'!$J$2:$J$3001,$AD967)&amp;"")</f>
        <v/>
      </c>
      <c r="I967">
        <f>IF($AD967="","",INDEX('Per Line'!$H$2:$H$3001,$AD967)&amp;"")</f>
        <v/>
      </c>
      <c r="J967">
        <f>IF($AD967="","",INDEX('Per Line'!$F$2:$F$3001,$AD967)&amp;"")</f>
        <v/>
      </c>
      <c r="K967">
        <f>IF($AD967="","",INDEX('Per Line'!$K$2:$K$3001,$AD967)&amp;"")</f>
        <v/>
      </c>
      <c r="L967">
        <f>IF($AD967="","",INDEX('Per Line'!$L$2:$L$3001,$AD967)&amp;"")</f>
        <v/>
      </c>
      <c r="M967">
        <f>IF($AD967="","",INDEX('Per Line'!$M$2:$M$3001,$AD967)&amp;"")</f>
        <v/>
      </c>
      <c r="N967">
        <f>IF($AD967="","",INDEX('Per Line'!$AC$2:$AC$3001,$AD967)&amp;"")</f>
        <v/>
      </c>
      <c r="O967">
        <f>IF($AD967="","",INDEX('Per Line'!$P$2:$P$3001,$AD967))</f>
        <v/>
      </c>
      <c r="P967" s="7">
        <f>IF($AD967="","",IF(AND(ISNUMBER(Q967),Q967&gt;0,AB967&gt;Q967),O967*Q967/100+(AB967-Q967),O967*AB967/100))</f>
        <v/>
      </c>
      <c r="Q967">
        <f>IF($AD967="","",INDEX('Per Line'!$AG$2:$AG$3001,$AD967))</f>
        <v/>
      </c>
      <c r="R967">
        <f>IF($AD967="","",IF(AND(ISNUMBER(Q967),Q967&gt;0),AB967&gt;Q967,FALSE))</f>
        <v/>
      </c>
      <c r="S967" s="7">
        <f>IF($AD967="","",SUMIFS('Per Line'!$AB$2:$AB$3001,'Per Line'!$E$2:$E$3001,$B967,'Per Line'!$AQ$2:$AQ$3001,1))</f>
        <v/>
      </c>
      <c r="T967">
        <f>IF($AD967="","",Settings!$C$7)</f>
        <v/>
      </c>
      <c r="U967" s="7">
        <f>IF($AD967="","",SUMIFS('Per Line'!$AB$2:$AB$3001,'Per Line'!$E$2:$E$3001,$B967,'Per Line'!$AP$2:$AP$3001,0,'Per Line'!$AQ$2:$AQ$3001,0))</f>
        <v/>
      </c>
      <c r="V967" s="7">
        <f>IF($AD967="","",U967*T967)</f>
        <v/>
      </c>
      <c r="W967">
        <f>IF($AD967="","",Settings!$C$6)</f>
        <v/>
      </c>
      <c r="X967" s="7">
        <f>IF($AD967="","",SUMIFS('Per Line'!$AB$2:$AB$3001,'Per Line'!$E$2:$E$3001,$B967,'Per Line'!$AP$2:$AP$3001,1,'Per Line'!$AQ$2:$AQ$3001,0))</f>
        <v/>
      </c>
      <c r="Y967" s="7">
        <f>IF($AD967="","",X967*W967)</f>
        <v/>
      </c>
      <c r="Z967" s="7">
        <f>IF($AD967="","",Y967+V967)</f>
        <v/>
      </c>
      <c r="AA967" s="7">
        <f>IF($AD967="","",AB967-Z967)</f>
        <v/>
      </c>
      <c r="AB967" s="7">
        <f>IF($AD967="","",U967+X967+S967)</f>
        <v/>
      </c>
      <c r="AC967" s="7">
        <f>IF($AD967="","",AB967-Z967-P967)</f>
        <v/>
      </c>
      <c r="AD967" s="13">
        <f>IF(ROWS($AD$2:$AD967)&lt;=MAX('Per Line'!$AO$2:$AO$3001),MATCH(ROWS($AD$2:$AD967),'Per Line'!$AO$2:$AO$3001,0),"")</f>
        <v/>
      </c>
      <c r="AE967" s="14">
        <f>IF($AD967="","",P967-O967*AB967/100)</f>
        <v/>
      </c>
    </row>
    <row r="968">
      <c r="A968" s="12" t="n"/>
      <c r="B968">
        <f>IF($AD968="","",INDEX('Per Line'!$E$2:$E$3001,$AD968)&amp;"")</f>
        <v/>
      </c>
      <c r="C968">
        <f>IF($AD968="","",INDEX('Per Line'!$A$2:$A$3001,$AD968)&amp;"")</f>
        <v/>
      </c>
      <c r="D968">
        <f>IF($AD968="","",INDEX('Per Line'!$C$2:$C$3001,$AD968)&amp;"")</f>
        <v/>
      </c>
      <c r="E968">
        <f>IF($AD968="","",INDEX('Per Line'!$B$2:$B$3001,$AD968))</f>
        <v/>
      </c>
      <c r="F968">
        <f>IF($AD968="","",INDEX('Per Line'!$D$2:$D$3001,$AD968)&amp;"")</f>
        <v/>
      </c>
      <c r="G968" s="11">
        <f>IF($AD968="","",INDEX('Per Line'!$G$2:$G$3001,$AD968))</f>
        <v/>
      </c>
      <c r="H968">
        <f>IF($AD968="","",INDEX('Per Line'!$J$2:$J$3001,$AD968)&amp;"")</f>
        <v/>
      </c>
      <c r="I968">
        <f>IF($AD968="","",INDEX('Per Line'!$H$2:$H$3001,$AD968)&amp;"")</f>
        <v/>
      </c>
      <c r="J968">
        <f>IF($AD968="","",INDEX('Per Line'!$F$2:$F$3001,$AD968)&amp;"")</f>
        <v/>
      </c>
      <c r="K968">
        <f>IF($AD968="","",INDEX('Per Line'!$K$2:$K$3001,$AD968)&amp;"")</f>
        <v/>
      </c>
      <c r="L968">
        <f>IF($AD968="","",INDEX('Per Line'!$L$2:$L$3001,$AD968)&amp;"")</f>
        <v/>
      </c>
      <c r="M968">
        <f>IF($AD968="","",INDEX('Per Line'!$M$2:$M$3001,$AD968)&amp;"")</f>
        <v/>
      </c>
      <c r="N968">
        <f>IF($AD968="","",INDEX('Per Line'!$AC$2:$AC$3001,$AD968)&amp;"")</f>
        <v/>
      </c>
      <c r="O968">
        <f>IF($AD968="","",INDEX('Per Line'!$P$2:$P$3001,$AD968))</f>
        <v/>
      </c>
      <c r="P968" s="7">
        <f>IF($AD968="","",IF(AND(ISNUMBER(Q968),Q968&gt;0,AB968&gt;Q968),O968*Q968/100+(AB968-Q968),O968*AB968/100))</f>
        <v/>
      </c>
      <c r="Q968">
        <f>IF($AD968="","",INDEX('Per Line'!$AG$2:$AG$3001,$AD968))</f>
        <v/>
      </c>
      <c r="R968">
        <f>IF($AD968="","",IF(AND(ISNUMBER(Q968),Q968&gt;0),AB968&gt;Q968,FALSE))</f>
        <v/>
      </c>
      <c r="S968" s="7">
        <f>IF($AD968="","",SUMIFS('Per Line'!$AB$2:$AB$3001,'Per Line'!$E$2:$E$3001,$B968,'Per Line'!$AQ$2:$AQ$3001,1))</f>
        <v/>
      </c>
      <c r="T968">
        <f>IF($AD968="","",Settings!$C$7)</f>
        <v/>
      </c>
      <c r="U968" s="7">
        <f>IF($AD968="","",SUMIFS('Per Line'!$AB$2:$AB$3001,'Per Line'!$E$2:$E$3001,$B968,'Per Line'!$AP$2:$AP$3001,0,'Per Line'!$AQ$2:$AQ$3001,0))</f>
        <v/>
      </c>
      <c r="V968" s="7">
        <f>IF($AD968="","",U968*T968)</f>
        <v/>
      </c>
      <c r="W968">
        <f>IF($AD968="","",Settings!$C$6)</f>
        <v/>
      </c>
      <c r="X968" s="7">
        <f>IF($AD968="","",SUMIFS('Per Line'!$AB$2:$AB$3001,'Per Line'!$E$2:$E$3001,$B968,'Per Line'!$AP$2:$AP$3001,1,'Per Line'!$AQ$2:$AQ$3001,0))</f>
        <v/>
      </c>
      <c r="Y968" s="7">
        <f>IF($AD968="","",X968*W968)</f>
        <v/>
      </c>
      <c r="Z968" s="7">
        <f>IF($AD968="","",Y968+V968)</f>
        <v/>
      </c>
      <c r="AA968" s="7">
        <f>IF($AD968="","",AB968-Z968)</f>
        <v/>
      </c>
      <c r="AB968" s="7">
        <f>IF($AD968="","",U968+X968+S968)</f>
        <v/>
      </c>
      <c r="AC968" s="7">
        <f>IF($AD968="","",AB968-Z968-P968)</f>
        <v/>
      </c>
      <c r="AD968" s="13">
        <f>IF(ROWS($AD$2:$AD968)&lt;=MAX('Per Line'!$AO$2:$AO$3001),MATCH(ROWS($AD$2:$AD968),'Per Line'!$AO$2:$AO$3001,0),"")</f>
        <v/>
      </c>
      <c r="AE968" s="14">
        <f>IF($AD968="","",P968-O968*AB968/100)</f>
        <v/>
      </c>
    </row>
    <row r="969">
      <c r="A969" s="12" t="n"/>
      <c r="B969">
        <f>IF($AD969="","",INDEX('Per Line'!$E$2:$E$3001,$AD969)&amp;"")</f>
        <v/>
      </c>
      <c r="C969">
        <f>IF($AD969="","",INDEX('Per Line'!$A$2:$A$3001,$AD969)&amp;"")</f>
        <v/>
      </c>
      <c r="D969">
        <f>IF($AD969="","",INDEX('Per Line'!$C$2:$C$3001,$AD969)&amp;"")</f>
        <v/>
      </c>
      <c r="E969">
        <f>IF($AD969="","",INDEX('Per Line'!$B$2:$B$3001,$AD969))</f>
        <v/>
      </c>
      <c r="F969">
        <f>IF($AD969="","",INDEX('Per Line'!$D$2:$D$3001,$AD969)&amp;"")</f>
        <v/>
      </c>
      <c r="G969" s="11">
        <f>IF($AD969="","",INDEX('Per Line'!$G$2:$G$3001,$AD969))</f>
        <v/>
      </c>
      <c r="H969">
        <f>IF($AD969="","",INDEX('Per Line'!$J$2:$J$3001,$AD969)&amp;"")</f>
        <v/>
      </c>
      <c r="I969">
        <f>IF($AD969="","",INDEX('Per Line'!$H$2:$H$3001,$AD969)&amp;"")</f>
        <v/>
      </c>
      <c r="J969">
        <f>IF($AD969="","",INDEX('Per Line'!$F$2:$F$3001,$AD969)&amp;"")</f>
        <v/>
      </c>
      <c r="K969">
        <f>IF($AD969="","",INDEX('Per Line'!$K$2:$K$3001,$AD969)&amp;"")</f>
        <v/>
      </c>
      <c r="L969">
        <f>IF($AD969="","",INDEX('Per Line'!$L$2:$L$3001,$AD969)&amp;"")</f>
        <v/>
      </c>
      <c r="M969">
        <f>IF($AD969="","",INDEX('Per Line'!$M$2:$M$3001,$AD969)&amp;"")</f>
        <v/>
      </c>
      <c r="N969">
        <f>IF($AD969="","",INDEX('Per Line'!$AC$2:$AC$3001,$AD969)&amp;"")</f>
        <v/>
      </c>
      <c r="O969">
        <f>IF($AD969="","",INDEX('Per Line'!$P$2:$P$3001,$AD969))</f>
        <v/>
      </c>
      <c r="P969" s="7">
        <f>IF($AD969="","",IF(AND(ISNUMBER(Q969),Q969&gt;0,AB969&gt;Q969),O969*Q969/100+(AB969-Q969),O969*AB969/100))</f>
        <v/>
      </c>
      <c r="Q969">
        <f>IF($AD969="","",INDEX('Per Line'!$AG$2:$AG$3001,$AD969))</f>
        <v/>
      </c>
      <c r="R969">
        <f>IF($AD969="","",IF(AND(ISNUMBER(Q969),Q969&gt;0),AB969&gt;Q969,FALSE))</f>
        <v/>
      </c>
      <c r="S969" s="7">
        <f>IF($AD969="","",SUMIFS('Per Line'!$AB$2:$AB$3001,'Per Line'!$E$2:$E$3001,$B969,'Per Line'!$AQ$2:$AQ$3001,1))</f>
        <v/>
      </c>
      <c r="T969">
        <f>IF($AD969="","",Settings!$C$7)</f>
        <v/>
      </c>
      <c r="U969" s="7">
        <f>IF($AD969="","",SUMIFS('Per Line'!$AB$2:$AB$3001,'Per Line'!$E$2:$E$3001,$B969,'Per Line'!$AP$2:$AP$3001,0,'Per Line'!$AQ$2:$AQ$3001,0))</f>
        <v/>
      </c>
      <c r="V969" s="7">
        <f>IF($AD969="","",U969*T969)</f>
        <v/>
      </c>
      <c r="W969">
        <f>IF($AD969="","",Settings!$C$6)</f>
        <v/>
      </c>
      <c r="X969" s="7">
        <f>IF($AD969="","",SUMIFS('Per Line'!$AB$2:$AB$3001,'Per Line'!$E$2:$E$3001,$B969,'Per Line'!$AP$2:$AP$3001,1,'Per Line'!$AQ$2:$AQ$3001,0))</f>
        <v/>
      </c>
      <c r="Y969" s="7">
        <f>IF($AD969="","",X969*W969)</f>
        <v/>
      </c>
      <c r="Z969" s="7">
        <f>IF($AD969="","",Y969+V969)</f>
        <v/>
      </c>
      <c r="AA969" s="7">
        <f>IF($AD969="","",AB969-Z969)</f>
        <v/>
      </c>
      <c r="AB969" s="7">
        <f>IF($AD969="","",U969+X969+S969)</f>
        <v/>
      </c>
      <c r="AC969" s="7">
        <f>IF($AD969="","",AB969-Z969-P969)</f>
        <v/>
      </c>
      <c r="AD969" s="13">
        <f>IF(ROWS($AD$2:$AD969)&lt;=MAX('Per Line'!$AO$2:$AO$3001),MATCH(ROWS($AD$2:$AD969),'Per Line'!$AO$2:$AO$3001,0),"")</f>
        <v/>
      </c>
      <c r="AE969" s="14">
        <f>IF($AD969="","",P969-O969*AB969/100)</f>
        <v/>
      </c>
    </row>
    <row r="970">
      <c r="A970" s="12" t="n"/>
      <c r="B970">
        <f>IF($AD970="","",INDEX('Per Line'!$E$2:$E$3001,$AD970)&amp;"")</f>
        <v/>
      </c>
      <c r="C970">
        <f>IF($AD970="","",INDEX('Per Line'!$A$2:$A$3001,$AD970)&amp;"")</f>
        <v/>
      </c>
      <c r="D970">
        <f>IF($AD970="","",INDEX('Per Line'!$C$2:$C$3001,$AD970)&amp;"")</f>
        <v/>
      </c>
      <c r="E970">
        <f>IF($AD970="","",INDEX('Per Line'!$B$2:$B$3001,$AD970))</f>
        <v/>
      </c>
      <c r="F970">
        <f>IF($AD970="","",INDEX('Per Line'!$D$2:$D$3001,$AD970)&amp;"")</f>
        <v/>
      </c>
      <c r="G970" s="11">
        <f>IF($AD970="","",INDEX('Per Line'!$G$2:$G$3001,$AD970))</f>
        <v/>
      </c>
      <c r="H970">
        <f>IF($AD970="","",INDEX('Per Line'!$J$2:$J$3001,$AD970)&amp;"")</f>
        <v/>
      </c>
      <c r="I970">
        <f>IF($AD970="","",INDEX('Per Line'!$H$2:$H$3001,$AD970)&amp;"")</f>
        <v/>
      </c>
      <c r="J970">
        <f>IF($AD970="","",INDEX('Per Line'!$F$2:$F$3001,$AD970)&amp;"")</f>
        <v/>
      </c>
      <c r="K970">
        <f>IF($AD970="","",INDEX('Per Line'!$K$2:$K$3001,$AD970)&amp;"")</f>
        <v/>
      </c>
      <c r="L970">
        <f>IF($AD970="","",INDEX('Per Line'!$L$2:$L$3001,$AD970)&amp;"")</f>
        <v/>
      </c>
      <c r="M970">
        <f>IF($AD970="","",INDEX('Per Line'!$M$2:$M$3001,$AD970)&amp;"")</f>
        <v/>
      </c>
      <c r="N970">
        <f>IF($AD970="","",INDEX('Per Line'!$AC$2:$AC$3001,$AD970)&amp;"")</f>
        <v/>
      </c>
      <c r="O970">
        <f>IF($AD970="","",INDEX('Per Line'!$P$2:$P$3001,$AD970))</f>
        <v/>
      </c>
      <c r="P970" s="7">
        <f>IF($AD970="","",IF(AND(ISNUMBER(Q970),Q970&gt;0,AB970&gt;Q970),O970*Q970/100+(AB970-Q970),O970*AB970/100))</f>
        <v/>
      </c>
      <c r="Q970">
        <f>IF($AD970="","",INDEX('Per Line'!$AG$2:$AG$3001,$AD970))</f>
        <v/>
      </c>
      <c r="R970">
        <f>IF($AD970="","",IF(AND(ISNUMBER(Q970),Q970&gt;0),AB970&gt;Q970,FALSE))</f>
        <v/>
      </c>
      <c r="S970" s="7">
        <f>IF($AD970="","",SUMIFS('Per Line'!$AB$2:$AB$3001,'Per Line'!$E$2:$E$3001,$B970,'Per Line'!$AQ$2:$AQ$3001,1))</f>
        <v/>
      </c>
      <c r="T970">
        <f>IF($AD970="","",Settings!$C$7)</f>
        <v/>
      </c>
      <c r="U970" s="7">
        <f>IF($AD970="","",SUMIFS('Per Line'!$AB$2:$AB$3001,'Per Line'!$E$2:$E$3001,$B970,'Per Line'!$AP$2:$AP$3001,0,'Per Line'!$AQ$2:$AQ$3001,0))</f>
        <v/>
      </c>
      <c r="V970" s="7">
        <f>IF($AD970="","",U970*T970)</f>
        <v/>
      </c>
      <c r="W970">
        <f>IF($AD970="","",Settings!$C$6)</f>
        <v/>
      </c>
      <c r="X970" s="7">
        <f>IF($AD970="","",SUMIFS('Per Line'!$AB$2:$AB$3001,'Per Line'!$E$2:$E$3001,$B970,'Per Line'!$AP$2:$AP$3001,1,'Per Line'!$AQ$2:$AQ$3001,0))</f>
        <v/>
      </c>
      <c r="Y970" s="7">
        <f>IF($AD970="","",X970*W970)</f>
        <v/>
      </c>
      <c r="Z970" s="7">
        <f>IF($AD970="","",Y970+V970)</f>
        <v/>
      </c>
      <c r="AA970" s="7">
        <f>IF($AD970="","",AB970-Z970)</f>
        <v/>
      </c>
      <c r="AB970" s="7">
        <f>IF($AD970="","",U970+X970+S970)</f>
        <v/>
      </c>
      <c r="AC970" s="7">
        <f>IF($AD970="","",AB970-Z970-P970)</f>
        <v/>
      </c>
      <c r="AD970" s="13">
        <f>IF(ROWS($AD$2:$AD970)&lt;=MAX('Per Line'!$AO$2:$AO$3001),MATCH(ROWS($AD$2:$AD970),'Per Line'!$AO$2:$AO$3001,0),"")</f>
        <v/>
      </c>
      <c r="AE970" s="14">
        <f>IF($AD970="","",P970-O970*AB970/100)</f>
        <v/>
      </c>
    </row>
    <row r="971">
      <c r="A971" s="12" t="n"/>
      <c r="B971">
        <f>IF($AD971="","",INDEX('Per Line'!$E$2:$E$3001,$AD971)&amp;"")</f>
        <v/>
      </c>
      <c r="C971">
        <f>IF($AD971="","",INDEX('Per Line'!$A$2:$A$3001,$AD971)&amp;"")</f>
        <v/>
      </c>
      <c r="D971">
        <f>IF($AD971="","",INDEX('Per Line'!$C$2:$C$3001,$AD971)&amp;"")</f>
        <v/>
      </c>
      <c r="E971">
        <f>IF($AD971="","",INDEX('Per Line'!$B$2:$B$3001,$AD971))</f>
        <v/>
      </c>
      <c r="F971">
        <f>IF($AD971="","",INDEX('Per Line'!$D$2:$D$3001,$AD971)&amp;"")</f>
        <v/>
      </c>
      <c r="G971" s="11">
        <f>IF($AD971="","",INDEX('Per Line'!$G$2:$G$3001,$AD971))</f>
        <v/>
      </c>
      <c r="H971">
        <f>IF($AD971="","",INDEX('Per Line'!$J$2:$J$3001,$AD971)&amp;"")</f>
        <v/>
      </c>
      <c r="I971">
        <f>IF($AD971="","",INDEX('Per Line'!$H$2:$H$3001,$AD971)&amp;"")</f>
        <v/>
      </c>
      <c r="J971">
        <f>IF($AD971="","",INDEX('Per Line'!$F$2:$F$3001,$AD971)&amp;"")</f>
        <v/>
      </c>
      <c r="K971">
        <f>IF($AD971="","",INDEX('Per Line'!$K$2:$K$3001,$AD971)&amp;"")</f>
        <v/>
      </c>
      <c r="L971">
        <f>IF($AD971="","",INDEX('Per Line'!$L$2:$L$3001,$AD971)&amp;"")</f>
        <v/>
      </c>
      <c r="M971">
        <f>IF($AD971="","",INDEX('Per Line'!$M$2:$M$3001,$AD971)&amp;"")</f>
        <v/>
      </c>
      <c r="N971">
        <f>IF($AD971="","",INDEX('Per Line'!$AC$2:$AC$3001,$AD971)&amp;"")</f>
        <v/>
      </c>
      <c r="O971">
        <f>IF($AD971="","",INDEX('Per Line'!$P$2:$P$3001,$AD971))</f>
        <v/>
      </c>
      <c r="P971" s="7">
        <f>IF($AD971="","",IF(AND(ISNUMBER(Q971),Q971&gt;0,AB971&gt;Q971),O971*Q971/100+(AB971-Q971),O971*AB971/100))</f>
        <v/>
      </c>
      <c r="Q971">
        <f>IF($AD971="","",INDEX('Per Line'!$AG$2:$AG$3001,$AD971))</f>
        <v/>
      </c>
      <c r="R971">
        <f>IF($AD971="","",IF(AND(ISNUMBER(Q971),Q971&gt;0),AB971&gt;Q971,FALSE))</f>
        <v/>
      </c>
      <c r="S971" s="7">
        <f>IF($AD971="","",SUMIFS('Per Line'!$AB$2:$AB$3001,'Per Line'!$E$2:$E$3001,$B971,'Per Line'!$AQ$2:$AQ$3001,1))</f>
        <v/>
      </c>
      <c r="T971">
        <f>IF($AD971="","",Settings!$C$7)</f>
        <v/>
      </c>
      <c r="U971" s="7">
        <f>IF($AD971="","",SUMIFS('Per Line'!$AB$2:$AB$3001,'Per Line'!$E$2:$E$3001,$B971,'Per Line'!$AP$2:$AP$3001,0,'Per Line'!$AQ$2:$AQ$3001,0))</f>
        <v/>
      </c>
      <c r="V971" s="7">
        <f>IF($AD971="","",U971*T971)</f>
        <v/>
      </c>
      <c r="W971">
        <f>IF($AD971="","",Settings!$C$6)</f>
        <v/>
      </c>
      <c r="X971" s="7">
        <f>IF($AD971="","",SUMIFS('Per Line'!$AB$2:$AB$3001,'Per Line'!$E$2:$E$3001,$B971,'Per Line'!$AP$2:$AP$3001,1,'Per Line'!$AQ$2:$AQ$3001,0))</f>
        <v/>
      </c>
      <c r="Y971" s="7">
        <f>IF($AD971="","",X971*W971)</f>
        <v/>
      </c>
      <c r="Z971" s="7">
        <f>IF($AD971="","",Y971+V971)</f>
        <v/>
      </c>
      <c r="AA971" s="7">
        <f>IF($AD971="","",AB971-Z971)</f>
        <v/>
      </c>
      <c r="AB971" s="7">
        <f>IF($AD971="","",U971+X971+S971)</f>
        <v/>
      </c>
      <c r="AC971" s="7">
        <f>IF($AD971="","",AB971-Z971-P971)</f>
        <v/>
      </c>
      <c r="AD971" s="13">
        <f>IF(ROWS($AD$2:$AD971)&lt;=MAX('Per Line'!$AO$2:$AO$3001),MATCH(ROWS($AD$2:$AD971),'Per Line'!$AO$2:$AO$3001,0),"")</f>
        <v/>
      </c>
      <c r="AE971" s="14">
        <f>IF($AD971="","",P971-O971*AB971/100)</f>
        <v/>
      </c>
    </row>
    <row r="972">
      <c r="A972" s="12" t="n"/>
      <c r="B972">
        <f>IF($AD972="","",INDEX('Per Line'!$E$2:$E$3001,$AD972)&amp;"")</f>
        <v/>
      </c>
      <c r="C972">
        <f>IF($AD972="","",INDEX('Per Line'!$A$2:$A$3001,$AD972)&amp;"")</f>
        <v/>
      </c>
      <c r="D972">
        <f>IF($AD972="","",INDEX('Per Line'!$C$2:$C$3001,$AD972)&amp;"")</f>
        <v/>
      </c>
      <c r="E972">
        <f>IF($AD972="","",INDEX('Per Line'!$B$2:$B$3001,$AD972))</f>
        <v/>
      </c>
      <c r="F972">
        <f>IF($AD972="","",INDEX('Per Line'!$D$2:$D$3001,$AD972)&amp;"")</f>
        <v/>
      </c>
      <c r="G972" s="11">
        <f>IF($AD972="","",INDEX('Per Line'!$G$2:$G$3001,$AD972))</f>
        <v/>
      </c>
      <c r="H972">
        <f>IF($AD972="","",INDEX('Per Line'!$J$2:$J$3001,$AD972)&amp;"")</f>
        <v/>
      </c>
      <c r="I972">
        <f>IF($AD972="","",INDEX('Per Line'!$H$2:$H$3001,$AD972)&amp;"")</f>
        <v/>
      </c>
      <c r="J972">
        <f>IF($AD972="","",INDEX('Per Line'!$F$2:$F$3001,$AD972)&amp;"")</f>
        <v/>
      </c>
      <c r="K972">
        <f>IF($AD972="","",INDEX('Per Line'!$K$2:$K$3001,$AD972)&amp;"")</f>
        <v/>
      </c>
      <c r="L972">
        <f>IF($AD972="","",INDEX('Per Line'!$L$2:$L$3001,$AD972)&amp;"")</f>
        <v/>
      </c>
      <c r="M972">
        <f>IF($AD972="","",INDEX('Per Line'!$M$2:$M$3001,$AD972)&amp;"")</f>
        <v/>
      </c>
      <c r="N972">
        <f>IF($AD972="","",INDEX('Per Line'!$AC$2:$AC$3001,$AD972)&amp;"")</f>
        <v/>
      </c>
      <c r="O972">
        <f>IF($AD972="","",INDEX('Per Line'!$P$2:$P$3001,$AD972))</f>
        <v/>
      </c>
      <c r="P972" s="7">
        <f>IF($AD972="","",IF(AND(ISNUMBER(Q972),Q972&gt;0,AB972&gt;Q972),O972*Q972/100+(AB972-Q972),O972*AB972/100))</f>
        <v/>
      </c>
      <c r="Q972">
        <f>IF($AD972="","",INDEX('Per Line'!$AG$2:$AG$3001,$AD972))</f>
        <v/>
      </c>
      <c r="R972">
        <f>IF($AD972="","",IF(AND(ISNUMBER(Q972),Q972&gt;0),AB972&gt;Q972,FALSE))</f>
        <v/>
      </c>
      <c r="S972" s="7">
        <f>IF($AD972="","",SUMIFS('Per Line'!$AB$2:$AB$3001,'Per Line'!$E$2:$E$3001,$B972,'Per Line'!$AQ$2:$AQ$3001,1))</f>
        <v/>
      </c>
      <c r="T972">
        <f>IF($AD972="","",Settings!$C$7)</f>
        <v/>
      </c>
      <c r="U972" s="7">
        <f>IF($AD972="","",SUMIFS('Per Line'!$AB$2:$AB$3001,'Per Line'!$E$2:$E$3001,$B972,'Per Line'!$AP$2:$AP$3001,0,'Per Line'!$AQ$2:$AQ$3001,0))</f>
        <v/>
      </c>
      <c r="V972" s="7">
        <f>IF($AD972="","",U972*T972)</f>
        <v/>
      </c>
      <c r="W972">
        <f>IF($AD972="","",Settings!$C$6)</f>
        <v/>
      </c>
      <c r="X972" s="7">
        <f>IF($AD972="","",SUMIFS('Per Line'!$AB$2:$AB$3001,'Per Line'!$E$2:$E$3001,$B972,'Per Line'!$AP$2:$AP$3001,1,'Per Line'!$AQ$2:$AQ$3001,0))</f>
        <v/>
      </c>
      <c r="Y972" s="7">
        <f>IF($AD972="","",X972*W972)</f>
        <v/>
      </c>
      <c r="Z972" s="7">
        <f>IF($AD972="","",Y972+V972)</f>
        <v/>
      </c>
      <c r="AA972" s="7">
        <f>IF($AD972="","",AB972-Z972)</f>
        <v/>
      </c>
      <c r="AB972" s="7">
        <f>IF($AD972="","",U972+X972+S972)</f>
        <v/>
      </c>
      <c r="AC972" s="7">
        <f>IF($AD972="","",AB972-Z972-P972)</f>
        <v/>
      </c>
      <c r="AD972" s="13">
        <f>IF(ROWS($AD$2:$AD972)&lt;=MAX('Per Line'!$AO$2:$AO$3001),MATCH(ROWS($AD$2:$AD972),'Per Line'!$AO$2:$AO$3001,0),"")</f>
        <v/>
      </c>
      <c r="AE972" s="14">
        <f>IF($AD972="","",P972-O972*AB972/100)</f>
        <v/>
      </c>
    </row>
    <row r="973">
      <c r="A973" s="12" t="n"/>
      <c r="B973">
        <f>IF($AD973="","",INDEX('Per Line'!$E$2:$E$3001,$AD973)&amp;"")</f>
        <v/>
      </c>
      <c r="C973">
        <f>IF($AD973="","",INDEX('Per Line'!$A$2:$A$3001,$AD973)&amp;"")</f>
        <v/>
      </c>
      <c r="D973">
        <f>IF($AD973="","",INDEX('Per Line'!$C$2:$C$3001,$AD973)&amp;"")</f>
        <v/>
      </c>
      <c r="E973">
        <f>IF($AD973="","",INDEX('Per Line'!$B$2:$B$3001,$AD973))</f>
        <v/>
      </c>
      <c r="F973">
        <f>IF($AD973="","",INDEX('Per Line'!$D$2:$D$3001,$AD973)&amp;"")</f>
        <v/>
      </c>
      <c r="G973" s="11">
        <f>IF($AD973="","",INDEX('Per Line'!$G$2:$G$3001,$AD973))</f>
        <v/>
      </c>
      <c r="H973">
        <f>IF($AD973="","",INDEX('Per Line'!$J$2:$J$3001,$AD973)&amp;"")</f>
        <v/>
      </c>
      <c r="I973">
        <f>IF($AD973="","",INDEX('Per Line'!$H$2:$H$3001,$AD973)&amp;"")</f>
        <v/>
      </c>
      <c r="J973">
        <f>IF($AD973="","",INDEX('Per Line'!$F$2:$F$3001,$AD973)&amp;"")</f>
        <v/>
      </c>
      <c r="K973">
        <f>IF($AD973="","",INDEX('Per Line'!$K$2:$K$3001,$AD973)&amp;"")</f>
        <v/>
      </c>
      <c r="L973">
        <f>IF($AD973="","",INDEX('Per Line'!$L$2:$L$3001,$AD973)&amp;"")</f>
        <v/>
      </c>
      <c r="M973">
        <f>IF($AD973="","",INDEX('Per Line'!$M$2:$M$3001,$AD973)&amp;"")</f>
        <v/>
      </c>
      <c r="N973">
        <f>IF($AD973="","",INDEX('Per Line'!$AC$2:$AC$3001,$AD973)&amp;"")</f>
        <v/>
      </c>
      <c r="O973">
        <f>IF($AD973="","",INDEX('Per Line'!$P$2:$P$3001,$AD973))</f>
        <v/>
      </c>
      <c r="P973" s="7">
        <f>IF($AD973="","",IF(AND(ISNUMBER(Q973),Q973&gt;0,AB973&gt;Q973),O973*Q973/100+(AB973-Q973),O973*AB973/100))</f>
        <v/>
      </c>
      <c r="Q973">
        <f>IF($AD973="","",INDEX('Per Line'!$AG$2:$AG$3001,$AD973))</f>
        <v/>
      </c>
      <c r="R973">
        <f>IF($AD973="","",IF(AND(ISNUMBER(Q973),Q973&gt;0),AB973&gt;Q973,FALSE))</f>
        <v/>
      </c>
      <c r="S973" s="7">
        <f>IF($AD973="","",SUMIFS('Per Line'!$AB$2:$AB$3001,'Per Line'!$E$2:$E$3001,$B973,'Per Line'!$AQ$2:$AQ$3001,1))</f>
        <v/>
      </c>
      <c r="T973">
        <f>IF($AD973="","",Settings!$C$7)</f>
        <v/>
      </c>
      <c r="U973" s="7">
        <f>IF($AD973="","",SUMIFS('Per Line'!$AB$2:$AB$3001,'Per Line'!$E$2:$E$3001,$B973,'Per Line'!$AP$2:$AP$3001,0,'Per Line'!$AQ$2:$AQ$3001,0))</f>
        <v/>
      </c>
      <c r="V973" s="7">
        <f>IF($AD973="","",U973*T973)</f>
        <v/>
      </c>
      <c r="W973">
        <f>IF($AD973="","",Settings!$C$6)</f>
        <v/>
      </c>
      <c r="X973" s="7">
        <f>IF($AD973="","",SUMIFS('Per Line'!$AB$2:$AB$3001,'Per Line'!$E$2:$E$3001,$B973,'Per Line'!$AP$2:$AP$3001,1,'Per Line'!$AQ$2:$AQ$3001,0))</f>
        <v/>
      </c>
      <c r="Y973" s="7">
        <f>IF($AD973="","",X973*W973)</f>
        <v/>
      </c>
      <c r="Z973" s="7">
        <f>IF($AD973="","",Y973+V973)</f>
        <v/>
      </c>
      <c r="AA973" s="7">
        <f>IF($AD973="","",AB973-Z973)</f>
        <v/>
      </c>
      <c r="AB973" s="7">
        <f>IF($AD973="","",U973+X973+S973)</f>
        <v/>
      </c>
      <c r="AC973" s="7">
        <f>IF($AD973="","",AB973-Z973-P973)</f>
        <v/>
      </c>
      <c r="AD973" s="13">
        <f>IF(ROWS($AD$2:$AD973)&lt;=MAX('Per Line'!$AO$2:$AO$3001),MATCH(ROWS($AD$2:$AD973),'Per Line'!$AO$2:$AO$3001,0),"")</f>
        <v/>
      </c>
      <c r="AE973" s="14">
        <f>IF($AD973="","",P973-O973*AB973/100)</f>
        <v/>
      </c>
    </row>
    <row r="974">
      <c r="A974" s="12" t="n"/>
      <c r="B974">
        <f>IF($AD974="","",INDEX('Per Line'!$E$2:$E$3001,$AD974)&amp;"")</f>
        <v/>
      </c>
      <c r="C974">
        <f>IF($AD974="","",INDEX('Per Line'!$A$2:$A$3001,$AD974)&amp;"")</f>
        <v/>
      </c>
      <c r="D974">
        <f>IF($AD974="","",INDEX('Per Line'!$C$2:$C$3001,$AD974)&amp;"")</f>
        <v/>
      </c>
      <c r="E974">
        <f>IF($AD974="","",INDEX('Per Line'!$B$2:$B$3001,$AD974))</f>
        <v/>
      </c>
      <c r="F974">
        <f>IF($AD974="","",INDEX('Per Line'!$D$2:$D$3001,$AD974)&amp;"")</f>
        <v/>
      </c>
      <c r="G974" s="11">
        <f>IF($AD974="","",INDEX('Per Line'!$G$2:$G$3001,$AD974))</f>
        <v/>
      </c>
      <c r="H974">
        <f>IF($AD974="","",INDEX('Per Line'!$J$2:$J$3001,$AD974)&amp;"")</f>
        <v/>
      </c>
      <c r="I974">
        <f>IF($AD974="","",INDEX('Per Line'!$H$2:$H$3001,$AD974)&amp;"")</f>
        <v/>
      </c>
      <c r="J974">
        <f>IF($AD974="","",INDEX('Per Line'!$F$2:$F$3001,$AD974)&amp;"")</f>
        <v/>
      </c>
      <c r="K974">
        <f>IF($AD974="","",INDEX('Per Line'!$K$2:$K$3001,$AD974)&amp;"")</f>
        <v/>
      </c>
      <c r="L974">
        <f>IF($AD974="","",INDEX('Per Line'!$L$2:$L$3001,$AD974)&amp;"")</f>
        <v/>
      </c>
      <c r="M974">
        <f>IF($AD974="","",INDEX('Per Line'!$M$2:$M$3001,$AD974)&amp;"")</f>
        <v/>
      </c>
      <c r="N974">
        <f>IF($AD974="","",INDEX('Per Line'!$AC$2:$AC$3001,$AD974)&amp;"")</f>
        <v/>
      </c>
      <c r="O974">
        <f>IF($AD974="","",INDEX('Per Line'!$P$2:$P$3001,$AD974))</f>
        <v/>
      </c>
      <c r="P974" s="7">
        <f>IF($AD974="","",IF(AND(ISNUMBER(Q974),Q974&gt;0,AB974&gt;Q974),O974*Q974/100+(AB974-Q974),O974*AB974/100))</f>
        <v/>
      </c>
      <c r="Q974">
        <f>IF($AD974="","",INDEX('Per Line'!$AG$2:$AG$3001,$AD974))</f>
        <v/>
      </c>
      <c r="R974">
        <f>IF($AD974="","",IF(AND(ISNUMBER(Q974),Q974&gt;0),AB974&gt;Q974,FALSE))</f>
        <v/>
      </c>
      <c r="S974" s="7">
        <f>IF($AD974="","",SUMIFS('Per Line'!$AB$2:$AB$3001,'Per Line'!$E$2:$E$3001,$B974,'Per Line'!$AQ$2:$AQ$3001,1))</f>
        <v/>
      </c>
      <c r="T974">
        <f>IF($AD974="","",Settings!$C$7)</f>
        <v/>
      </c>
      <c r="U974" s="7">
        <f>IF($AD974="","",SUMIFS('Per Line'!$AB$2:$AB$3001,'Per Line'!$E$2:$E$3001,$B974,'Per Line'!$AP$2:$AP$3001,0,'Per Line'!$AQ$2:$AQ$3001,0))</f>
        <v/>
      </c>
      <c r="V974" s="7">
        <f>IF($AD974="","",U974*T974)</f>
        <v/>
      </c>
      <c r="W974">
        <f>IF($AD974="","",Settings!$C$6)</f>
        <v/>
      </c>
      <c r="X974" s="7">
        <f>IF($AD974="","",SUMIFS('Per Line'!$AB$2:$AB$3001,'Per Line'!$E$2:$E$3001,$B974,'Per Line'!$AP$2:$AP$3001,1,'Per Line'!$AQ$2:$AQ$3001,0))</f>
        <v/>
      </c>
      <c r="Y974" s="7">
        <f>IF($AD974="","",X974*W974)</f>
        <v/>
      </c>
      <c r="Z974" s="7">
        <f>IF($AD974="","",Y974+V974)</f>
        <v/>
      </c>
      <c r="AA974" s="7">
        <f>IF($AD974="","",AB974-Z974)</f>
        <v/>
      </c>
      <c r="AB974" s="7">
        <f>IF($AD974="","",U974+X974+S974)</f>
        <v/>
      </c>
      <c r="AC974" s="7">
        <f>IF($AD974="","",AB974-Z974-P974)</f>
        <v/>
      </c>
      <c r="AD974" s="13">
        <f>IF(ROWS($AD$2:$AD974)&lt;=MAX('Per Line'!$AO$2:$AO$3001),MATCH(ROWS($AD$2:$AD974),'Per Line'!$AO$2:$AO$3001,0),"")</f>
        <v/>
      </c>
      <c r="AE974" s="14">
        <f>IF($AD974="","",P974-O974*AB974/100)</f>
        <v/>
      </c>
    </row>
    <row r="975">
      <c r="A975" s="12" t="n"/>
      <c r="B975">
        <f>IF($AD975="","",INDEX('Per Line'!$E$2:$E$3001,$AD975)&amp;"")</f>
        <v/>
      </c>
      <c r="C975">
        <f>IF($AD975="","",INDEX('Per Line'!$A$2:$A$3001,$AD975)&amp;"")</f>
        <v/>
      </c>
      <c r="D975">
        <f>IF($AD975="","",INDEX('Per Line'!$C$2:$C$3001,$AD975)&amp;"")</f>
        <v/>
      </c>
      <c r="E975">
        <f>IF($AD975="","",INDEX('Per Line'!$B$2:$B$3001,$AD975))</f>
        <v/>
      </c>
      <c r="F975">
        <f>IF($AD975="","",INDEX('Per Line'!$D$2:$D$3001,$AD975)&amp;"")</f>
        <v/>
      </c>
      <c r="G975" s="11">
        <f>IF($AD975="","",INDEX('Per Line'!$G$2:$G$3001,$AD975))</f>
        <v/>
      </c>
      <c r="H975">
        <f>IF($AD975="","",INDEX('Per Line'!$J$2:$J$3001,$AD975)&amp;"")</f>
        <v/>
      </c>
      <c r="I975">
        <f>IF($AD975="","",INDEX('Per Line'!$H$2:$H$3001,$AD975)&amp;"")</f>
        <v/>
      </c>
      <c r="J975">
        <f>IF($AD975="","",INDEX('Per Line'!$F$2:$F$3001,$AD975)&amp;"")</f>
        <v/>
      </c>
      <c r="K975">
        <f>IF($AD975="","",INDEX('Per Line'!$K$2:$K$3001,$AD975)&amp;"")</f>
        <v/>
      </c>
      <c r="L975">
        <f>IF($AD975="","",INDEX('Per Line'!$L$2:$L$3001,$AD975)&amp;"")</f>
        <v/>
      </c>
      <c r="M975">
        <f>IF($AD975="","",INDEX('Per Line'!$M$2:$M$3001,$AD975)&amp;"")</f>
        <v/>
      </c>
      <c r="N975">
        <f>IF($AD975="","",INDEX('Per Line'!$AC$2:$AC$3001,$AD975)&amp;"")</f>
        <v/>
      </c>
      <c r="O975">
        <f>IF($AD975="","",INDEX('Per Line'!$P$2:$P$3001,$AD975))</f>
        <v/>
      </c>
      <c r="P975" s="7">
        <f>IF($AD975="","",IF(AND(ISNUMBER(Q975),Q975&gt;0,AB975&gt;Q975),O975*Q975/100+(AB975-Q975),O975*AB975/100))</f>
        <v/>
      </c>
      <c r="Q975">
        <f>IF($AD975="","",INDEX('Per Line'!$AG$2:$AG$3001,$AD975))</f>
        <v/>
      </c>
      <c r="R975">
        <f>IF($AD975="","",IF(AND(ISNUMBER(Q975),Q975&gt;0),AB975&gt;Q975,FALSE))</f>
        <v/>
      </c>
      <c r="S975" s="7">
        <f>IF($AD975="","",SUMIFS('Per Line'!$AB$2:$AB$3001,'Per Line'!$E$2:$E$3001,$B975,'Per Line'!$AQ$2:$AQ$3001,1))</f>
        <v/>
      </c>
      <c r="T975">
        <f>IF($AD975="","",Settings!$C$7)</f>
        <v/>
      </c>
      <c r="U975" s="7">
        <f>IF($AD975="","",SUMIFS('Per Line'!$AB$2:$AB$3001,'Per Line'!$E$2:$E$3001,$B975,'Per Line'!$AP$2:$AP$3001,0,'Per Line'!$AQ$2:$AQ$3001,0))</f>
        <v/>
      </c>
      <c r="V975" s="7">
        <f>IF($AD975="","",U975*T975)</f>
        <v/>
      </c>
      <c r="W975">
        <f>IF($AD975="","",Settings!$C$6)</f>
        <v/>
      </c>
      <c r="X975" s="7">
        <f>IF($AD975="","",SUMIFS('Per Line'!$AB$2:$AB$3001,'Per Line'!$E$2:$E$3001,$B975,'Per Line'!$AP$2:$AP$3001,1,'Per Line'!$AQ$2:$AQ$3001,0))</f>
        <v/>
      </c>
      <c r="Y975" s="7">
        <f>IF($AD975="","",X975*W975)</f>
        <v/>
      </c>
      <c r="Z975" s="7">
        <f>IF($AD975="","",Y975+V975)</f>
        <v/>
      </c>
      <c r="AA975" s="7">
        <f>IF($AD975="","",AB975-Z975)</f>
        <v/>
      </c>
      <c r="AB975" s="7">
        <f>IF($AD975="","",U975+X975+S975)</f>
        <v/>
      </c>
      <c r="AC975" s="7">
        <f>IF($AD975="","",AB975-Z975-P975)</f>
        <v/>
      </c>
      <c r="AD975" s="13">
        <f>IF(ROWS($AD$2:$AD975)&lt;=MAX('Per Line'!$AO$2:$AO$3001),MATCH(ROWS($AD$2:$AD975),'Per Line'!$AO$2:$AO$3001,0),"")</f>
        <v/>
      </c>
      <c r="AE975" s="14">
        <f>IF($AD975="","",P975-O975*AB975/100)</f>
        <v/>
      </c>
    </row>
    <row r="976">
      <c r="A976" s="12" t="n"/>
      <c r="B976">
        <f>IF($AD976="","",INDEX('Per Line'!$E$2:$E$3001,$AD976)&amp;"")</f>
        <v/>
      </c>
      <c r="C976">
        <f>IF($AD976="","",INDEX('Per Line'!$A$2:$A$3001,$AD976)&amp;"")</f>
        <v/>
      </c>
      <c r="D976">
        <f>IF($AD976="","",INDEX('Per Line'!$C$2:$C$3001,$AD976)&amp;"")</f>
        <v/>
      </c>
      <c r="E976">
        <f>IF($AD976="","",INDEX('Per Line'!$B$2:$B$3001,$AD976))</f>
        <v/>
      </c>
      <c r="F976">
        <f>IF($AD976="","",INDEX('Per Line'!$D$2:$D$3001,$AD976)&amp;"")</f>
        <v/>
      </c>
      <c r="G976" s="11">
        <f>IF($AD976="","",INDEX('Per Line'!$G$2:$G$3001,$AD976))</f>
        <v/>
      </c>
      <c r="H976">
        <f>IF($AD976="","",INDEX('Per Line'!$J$2:$J$3001,$AD976)&amp;"")</f>
        <v/>
      </c>
      <c r="I976">
        <f>IF($AD976="","",INDEX('Per Line'!$H$2:$H$3001,$AD976)&amp;"")</f>
        <v/>
      </c>
      <c r="J976">
        <f>IF($AD976="","",INDEX('Per Line'!$F$2:$F$3001,$AD976)&amp;"")</f>
        <v/>
      </c>
      <c r="K976">
        <f>IF($AD976="","",INDEX('Per Line'!$K$2:$K$3001,$AD976)&amp;"")</f>
        <v/>
      </c>
      <c r="L976">
        <f>IF($AD976="","",INDEX('Per Line'!$L$2:$L$3001,$AD976)&amp;"")</f>
        <v/>
      </c>
      <c r="M976">
        <f>IF($AD976="","",INDEX('Per Line'!$M$2:$M$3001,$AD976)&amp;"")</f>
        <v/>
      </c>
      <c r="N976">
        <f>IF($AD976="","",INDEX('Per Line'!$AC$2:$AC$3001,$AD976)&amp;"")</f>
        <v/>
      </c>
      <c r="O976">
        <f>IF($AD976="","",INDEX('Per Line'!$P$2:$P$3001,$AD976))</f>
        <v/>
      </c>
      <c r="P976" s="7">
        <f>IF($AD976="","",IF(AND(ISNUMBER(Q976),Q976&gt;0,AB976&gt;Q976),O976*Q976/100+(AB976-Q976),O976*AB976/100))</f>
        <v/>
      </c>
      <c r="Q976">
        <f>IF($AD976="","",INDEX('Per Line'!$AG$2:$AG$3001,$AD976))</f>
        <v/>
      </c>
      <c r="R976">
        <f>IF($AD976="","",IF(AND(ISNUMBER(Q976),Q976&gt;0),AB976&gt;Q976,FALSE))</f>
        <v/>
      </c>
      <c r="S976" s="7">
        <f>IF($AD976="","",SUMIFS('Per Line'!$AB$2:$AB$3001,'Per Line'!$E$2:$E$3001,$B976,'Per Line'!$AQ$2:$AQ$3001,1))</f>
        <v/>
      </c>
      <c r="T976">
        <f>IF($AD976="","",Settings!$C$7)</f>
        <v/>
      </c>
      <c r="U976" s="7">
        <f>IF($AD976="","",SUMIFS('Per Line'!$AB$2:$AB$3001,'Per Line'!$E$2:$E$3001,$B976,'Per Line'!$AP$2:$AP$3001,0,'Per Line'!$AQ$2:$AQ$3001,0))</f>
        <v/>
      </c>
      <c r="V976" s="7">
        <f>IF($AD976="","",U976*T976)</f>
        <v/>
      </c>
      <c r="W976">
        <f>IF($AD976="","",Settings!$C$6)</f>
        <v/>
      </c>
      <c r="X976" s="7">
        <f>IF($AD976="","",SUMIFS('Per Line'!$AB$2:$AB$3001,'Per Line'!$E$2:$E$3001,$B976,'Per Line'!$AP$2:$AP$3001,1,'Per Line'!$AQ$2:$AQ$3001,0))</f>
        <v/>
      </c>
      <c r="Y976" s="7">
        <f>IF($AD976="","",X976*W976)</f>
        <v/>
      </c>
      <c r="Z976" s="7">
        <f>IF($AD976="","",Y976+V976)</f>
        <v/>
      </c>
      <c r="AA976" s="7">
        <f>IF($AD976="","",AB976-Z976)</f>
        <v/>
      </c>
      <c r="AB976" s="7">
        <f>IF($AD976="","",U976+X976+S976)</f>
        <v/>
      </c>
      <c r="AC976" s="7">
        <f>IF($AD976="","",AB976-Z976-P976)</f>
        <v/>
      </c>
      <c r="AD976" s="13">
        <f>IF(ROWS($AD$2:$AD976)&lt;=MAX('Per Line'!$AO$2:$AO$3001),MATCH(ROWS($AD$2:$AD976),'Per Line'!$AO$2:$AO$3001,0),"")</f>
        <v/>
      </c>
      <c r="AE976" s="14">
        <f>IF($AD976="","",P976-O976*AB976/100)</f>
        <v/>
      </c>
    </row>
    <row r="977">
      <c r="A977" s="12" t="n"/>
      <c r="B977">
        <f>IF($AD977="","",INDEX('Per Line'!$E$2:$E$3001,$AD977)&amp;"")</f>
        <v/>
      </c>
      <c r="C977">
        <f>IF($AD977="","",INDEX('Per Line'!$A$2:$A$3001,$AD977)&amp;"")</f>
        <v/>
      </c>
      <c r="D977">
        <f>IF($AD977="","",INDEX('Per Line'!$C$2:$C$3001,$AD977)&amp;"")</f>
        <v/>
      </c>
      <c r="E977">
        <f>IF($AD977="","",INDEX('Per Line'!$B$2:$B$3001,$AD977))</f>
        <v/>
      </c>
      <c r="F977">
        <f>IF($AD977="","",INDEX('Per Line'!$D$2:$D$3001,$AD977)&amp;"")</f>
        <v/>
      </c>
      <c r="G977" s="11">
        <f>IF($AD977="","",INDEX('Per Line'!$G$2:$G$3001,$AD977))</f>
        <v/>
      </c>
      <c r="H977">
        <f>IF($AD977="","",INDEX('Per Line'!$J$2:$J$3001,$AD977)&amp;"")</f>
        <v/>
      </c>
      <c r="I977">
        <f>IF($AD977="","",INDEX('Per Line'!$H$2:$H$3001,$AD977)&amp;"")</f>
        <v/>
      </c>
      <c r="J977">
        <f>IF($AD977="","",INDEX('Per Line'!$F$2:$F$3001,$AD977)&amp;"")</f>
        <v/>
      </c>
      <c r="K977">
        <f>IF($AD977="","",INDEX('Per Line'!$K$2:$K$3001,$AD977)&amp;"")</f>
        <v/>
      </c>
      <c r="L977">
        <f>IF($AD977="","",INDEX('Per Line'!$L$2:$L$3001,$AD977)&amp;"")</f>
        <v/>
      </c>
      <c r="M977">
        <f>IF($AD977="","",INDEX('Per Line'!$M$2:$M$3001,$AD977)&amp;"")</f>
        <v/>
      </c>
      <c r="N977">
        <f>IF($AD977="","",INDEX('Per Line'!$AC$2:$AC$3001,$AD977)&amp;"")</f>
        <v/>
      </c>
      <c r="O977">
        <f>IF($AD977="","",INDEX('Per Line'!$P$2:$P$3001,$AD977))</f>
        <v/>
      </c>
      <c r="P977" s="7">
        <f>IF($AD977="","",IF(AND(ISNUMBER(Q977),Q977&gt;0,AB977&gt;Q977),O977*Q977/100+(AB977-Q977),O977*AB977/100))</f>
        <v/>
      </c>
      <c r="Q977">
        <f>IF($AD977="","",INDEX('Per Line'!$AG$2:$AG$3001,$AD977))</f>
        <v/>
      </c>
      <c r="R977">
        <f>IF($AD977="","",IF(AND(ISNUMBER(Q977),Q977&gt;0),AB977&gt;Q977,FALSE))</f>
        <v/>
      </c>
      <c r="S977" s="7">
        <f>IF($AD977="","",SUMIFS('Per Line'!$AB$2:$AB$3001,'Per Line'!$E$2:$E$3001,$B977,'Per Line'!$AQ$2:$AQ$3001,1))</f>
        <v/>
      </c>
      <c r="T977">
        <f>IF($AD977="","",Settings!$C$7)</f>
        <v/>
      </c>
      <c r="U977" s="7">
        <f>IF($AD977="","",SUMIFS('Per Line'!$AB$2:$AB$3001,'Per Line'!$E$2:$E$3001,$B977,'Per Line'!$AP$2:$AP$3001,0,'Per Line'!$AQ$2:$AQ$3001,0))</f>
        <v/>
      </c>
      <c r="V977" s="7">
        <f>IF($AD977="","",U977*T977)</f>
        <v/>
      </c>
      <c r="W977">
        <f>IF($AD977="","",Settings!$C$6)</f>
        <v/>
      </c>
      <c r="X977" s="7">
        <f>IF($AD977="","",SUMIFS('Per Line'!$AB$2:$AB$3001,'Per Line'!$E$2:$E$3001,$B977,'Per Line'!$AP$2:$AP$3001,1,'Per Line'!$AQ$2:$AQ$3001,0))</f>
        <v/>
      </c>
      <c r="Y977" s="7">
        <f>IF($AD977="","",X977*W977)</f>
        <v/>
      </c>
      <c r="Z977" s="7">
        <f>IF($AD977="","",Y977+V977)</f>
        <v/>
      </c>
      <c r="AA977" s="7">
        <f>IF($AD977="","",AB977-Z977)</f>
        <v/>
      </c>
      <c r="AB977" s="7">
        <f>IF($AD977="","",U977+X977+S977)</f>
        <v/>
      </c>
      <c r="AC977" s="7">
        <f>IF($AD977="","",AB977-Z977-P977)</f>
        <v/>
      </c>
      <c r="AD977" s="13">
        <f>IF(ROWS($AD$2:$AD977)&lt;=MAX('Per Line'!$AO$2:$AO$3001),MATCH(ROWS($AD$2:$AD977),'Per Line'!$AO$2:$AO$3001,0),"")</f>
        <v/>
      </c>
      <c r="AE977" s="14">
        <f>IF($AD977="","",P977-O977*AB977/100)</f>
        <v/>
      </c>
    </row>
    <row r="978">
      <c r="A978" s="12" t="n"/>
      <c r="B978">
        <f>IF($AD978="","",INDEX('Per Line'!$E$2:$E$3001,$AD978)&amp;"")</f>
        <v/>
      </c>
      <c r="C978">
        <f>IF($AD978="","",INDEX('Per Line'!$A$2:$A$3001,$AD978)&amp;"")</f>
        <v/>
      </c>
      <c r="D978">
        <f>IF($AD978="","",INDEX('Per Line'!$C$2:$C$3001,$AD978)&amp;"")</f>
        <v/>
      </c>
      <c r="E978">
        <f>IF($AD978="","",INDEX('Per Line'!$B$2:$B$3001,$AD978))</f>
        <v/>
      </c>
      <c r="F978">
        <f>IF($AD978="","",INDEX('Per Line'!$D$2:$D$3001,$AD978)&amp;"")</f>
        <v/>
      </c>
      <c r="G978" s="11">
        <f>IF($AD978="","",INDEX('Per Line'!$G$2:$G$3001,$AD978))</f>
        <v/>
      </c>
      <c r="H978">
        <f>IF($AD978="","",INDEX('Per Line'!$J$2:$J$3001,$AD978)&amp;"")</f>
        <v/>
      </c>
      <c r="I978">
        <f>IF($AD978="","",INDEX('Per Line'!$H$2:$H$3001,$AD978)&amp;"")</f>
        <v/>
      </c>
      <c r="J978">
        <f>IF($AD978="","",INDEX('Per Line'!$F$2:$F$3001,$AD978)&amp;"")</f>
        <v/>
      </c>
      <c r="K978">
        <f>IF($AD978="","",INDEX('Per Line'!$K$2:$K$3001,$AD978)&amp;"")</f>
        <v/>
      </c>
      <c r="L978">
        <f>IF($AD978="","",INDEX('Per Line'!$L$2:$L$3001,$AD978)&amp;"")</f>
        <v/>
      </c>
      <c r="M978">
        <f>IF($AD978="","",INDEX('Per Line'!$M$2:$M$3001,$AD978)&amp;"")</f>
        <v/>
      </c>
      <c r="N978">
        <f>IF($AD978="","",INDEX('Per Line'!$AC$2:$AC$3001,$AD978)&amp;"")</f>
        <v/>
      </c>
      <c r="O978">
        <f>IF($AD978="","",INDEX('Per Line'!$P$2:$P$3001,$AD978))</f>
        <v/>
      </c>
      <c r="P978" s="7">
        <f>IF($AD978="","",IF(AND(ISNUMBER(Q978),Q978&gt;0,AB978&gt;Q978),O978*Q978/100+(AB978-Q978),O978*AB978/100))</f>
        <v/>
      </c>
      <c r="Q978">
        <f>IF($AD978="","",INDEX('Per Line'!$AG$2:$AG$3001,$AD978))</f>
        <v/>
      </c>
      <c r="R978">
        <f>IF($AD978="","",IF(AND(ISNUMBER(Q978),Q978&gt;0),AB978&gt;Q978,FALSE))</f>
        <v/>
      </c>
      <c r="S978" s="7">
        <f>IF($AD978="","",SUMIFS('Per Line'!$AB$2:$AB$3001,'Per Line'!$E$2:$E$3001,$B978,'Per Line'!$AQ$2:$AQ$3001,1))</f>
        <v/>
      </c>
      <c r="T978">
        <f>IF($AD978="","",Settings!$C$7)</f>
        <v/>
      </c>
      <c r="U978" s="7">
        <f>IF($AD978="","",SUMIFS('Per Line'!$AB$2:$AB$3001,'Per Line'!$E$2:$E$3001,$B978,'Per Line'!$AP$2:$AP$3001,0,'Per Line'!$AQ$2:$AQ$3001,0))</f>
        <v/>
      </c>
      <c r="V978" s="7">
        <f>IF($AD978="","",U978*T978)</f>
        <v/>
      </c>
      <c r="W978">
        <f>IF($AD978="","",Settings!$C$6)</f>
        <v/>
      </c>
      <c r="X978" s="7">
        <f>IF($AD978="","",SUMIFS('Per Line'!$AB$2:$AB$3001,'Per Line'!$E$2:$E$3001,$B978,'Per Line'!$AP$2:$AP$3001,1,'Per Line'!$AQ$2:$AQ$3001,0))</f>
        <v/>
      </c>
      <c r="Y978" s="7">
        <f>IF($AD978="","",X978*W978)</f>
        <v/>
      </c>
      <c r="Z978" s="7">
        <f>IF($AD978="","",Y978+V978)</f>
        <v/>
      </c>
      <c r="AA978" s="7">
        <f>IF($AD978="","",AB978-Z978)</f>
        <v/>
      </c>
      <c r="AB978" s="7">
        <f>IF($AD978="","",U978+X978+S978)</f>
        <v/>
      </c>
      <c r="AC978" s="7">
        <f>IF($AD978="","",AB978-Z978-P978)</f>
        <v/>
      </c>
      <c r="AD978" s="13">
        <f>IF(ROWS($AD$2:$AD978)&lt;=MAX('Per Line'!$AO$2:$AO$3001),MATCH(ROWS($AD$2:$AD978),'Per Line'!$AO$2:$AO$3001,0),"")</f>
        <v/>
      </c>
      <c r="AE978" s="14">
        <f>IF($AD978="","",P978-O978*AB978/100)</f>
        <v/>
      </c>
    </row>
    <row r="979">
      <c r="A979" s="12" t="n"/>
      <c r="B979">
        <f>IF($AD979="","",INDEX('Per Line'!$E$2:$E$3001,$AD979)&amp;"")</f>
        <v/>
      </c>
      <c r="C979">
        <f>IF($AD979="","",INDEX('Per Line'!$A$2:$A$3001,$AD979)&amp;"")</f>
        <v/>
      </c>
      <c r="D979">
        <f>IF($AD979="","",INDEX('Per Line'!$C$2:$C$3001,$AD979)&amp;"")</f>
        <v/>
      </c>
      <c r="E979">
        <f>IF($AD979="","",INDEX('Per Line'!$B$2:$B$3001,$AD979))</f>
        <v/>
      </c>
      <c r="F979">
        <f>IF($AD979="","",INDEX('Per Line'!$D$2:$D$3001,$AD979)&amp;"")</f>
        <v/>
      </c>
      <c r="G979" s="11">
        <f>IF($AD979="","",INDEX('Per Line'!$G$2:$G$3001,$AD979))</f>
        <v/>
      </c>
      <c r="H979">
        <f>IF($AD979="","",INDEX('Per Line'!$J$2:$J$3001,$AD979)&amp;"")</f>
        <v/>
      </c>
      <c r="I979">
        <f>IF($AD979="","",INDEX('Per Line'!$H$2:$H$3001,$AD979)&amp;"")</f>
        <v/>
      </c>
      <c r="J979">
        <f>IF($AD979="","",INDEX('Per Line'!$F$2:$F$3001,$AD979)&amp;"")</f>
        <v/>
      </c>
      <c r="K979">
        <f>IF($AD979="","",INDEX('Per Line'!$K$2:$K$3001,$AD979)&amp;"")</f>
        <v/>
      </c>
      <c r="L979">
        <f>IF($AD979="","",INDEX('Per Line'!$L$2:$L$3001,$AD979)&amp;"")</f>
        <v/>
      </c>
      <c r="M979">
        <f>IF($AD979="","",INDEX('Per Line'!$M$2:$M$3001,$AD979)&amp;"")</f>
        <v/>
      </c>
      <c r="N979">
        <f>IF($AD979="","",INDEX('Per Line'!$AC$2:$AC$3001,$AD979)&amp;"")</f>
        <v/>
      </c>
      <c r="O979">
        <f>IF($AD979="","",INDEX('Per Line'!$P$2:$P$3001,$AD979))</f>
        <v/>
      </c>
      <c r="P979" s="7">
        <f>IF($AD979="","",IF(AND(ISNUMBER(Q979),Q979&gt;0,AB979&gt;Q979),O979*Q979/100+(AB979-Q979),O979*AB979/100))</f>
        <v/>
      </c>
      <c r="Q979">
        <f>IF($AD979="","",INDEX('Per Line'!$AG$2:$AG$3001,$AD979))</f>
        <v/>
      </c>
      <c r="R979">
        <f>IF($AD979="","",IF(AND(ISNUMBER(Q979),Q979&gt;0),AB979&gt;Q979,FALSE))</f>
        <v/>
      </c>
      <c r="S979" s="7">
        <f>IF($AD979="","",SUMIFS('Per Line'!$AB$2:$AB$3001,'Per Line'!$E$2:$E$3001,$B979,'Per Line'!$AQ$2:$AQ$3001,1))</f>
        <v/>
      </c>
      <c r="T979">
        <f>IF($AD979="","",Settings!$C$7)</f>
        <v/>
      </c>
      <c r="U979" s="7">
        <f>IF($AD979="","",SUMIFS('Per Line'!$AB$2:$AB$3001,'Per Line'!$E$2:$E$3001,$B979,'Per Line'!$AP$2:$AP$3001,0,'Per Line'!$AQ$2:$AQ$3001,0))</f>
        <v/>
      </c>
      <c r="V979" s="7">
        <f>IF($AD979="","",U979*T979)</f>
        <v/>
      </c>
      <c r="W979">
        <f>IF($AD979="","",Settings!$C$6)</f>
        <v/>
      </c>
      <c r="X979" s="7">
        <f>IF($AD979="","",SUMIFS('Per Line'!$AB$2:$AB$3001,'Per Line'!$E$2:$E$3001,$B979,'Per Line'!$AP$2:$AP$3001,1,'Per Line'!$AQ$2:$AQ$3001,0))</f>
        <v/>
      </c>
      <c r="Y979" s="7">
        <f>IF($AD979="","",X979*W979)</f>
        <v/>
      </c>
      <c r="Z979" s="7">
        <f>IF($AD979="","",Y979+V979)</f>
        <v/>
      </c>
      <c r="AA979" s="7">
        <f>IF($AD979="","",AB979-Z979)</f>
        <v/>
      </c>
      <c r="AB979" s="7">
        <f>IF($AD979="","",U979+X979+S979)</f>
        <v/>
      </c>
      <c r="AC979" s="7">
        <f>IF($AD979="","",AB979-Z979-P979)</f>
        <v/>
      </c>
      <c r="AD979" s="13">
        <f>IF(ROWS($AD$2:$AD979)&lt;=MAX('Per Line'!$AO$2:$AO$3001),MATCH(ROWS($AD$2:$AD979),'Per Line'!$AO$2:$AO$3001,0),"")</f>
        <v/>
      </c>
      <c r="AE979" s="14">
        <f>IF($AD979="","",P979-O979*AB979/100)</f>
        <v/>
      </c>
    </row>
    <row r="980">
      <c r="A980" s="12" t="n"/>
      <c r="B980">
        <f>IF($AD980="","",INDEX('Per Line'!$E$2:$E$3001,$AD980)&amp;"")</f>
        <v/>
      </c>
      <c r="C980">
        <f>IF($AD980="","",INDEX('Per Line'!$A$2:$A$3001,$AD980)&amp;"")</f>
        <v/>
      </c>
      <c r="D980">
        <f>IF($AD980="","",INDEX('Per Line'!$C$2:$C$3001,$AD980)&amp;"")</f>
        <v/>
      </c>
      <c r="E980">
        <f>IF($AD980="","",INDEX('Per Line'!$B$2:$B$3001,$AD980))</f>
        <v/>
      </c>
      <c r="F980">
        <f>IF($AD980="","",INDEX('Per Line'!$D$2:$D$3001,$AD980)&amp;"")</f>
        <v/>
      </c>
      <c r="G980" s="11">
        <f>IF($AD980="","",INDEX('Per Line'!$G$2:$G$3001,$AD980))</f>
        <v/>
      </c>
      <c r="H980">
        <f>IF($AD980="","",INDEX('Per Line'!$J$2:$J$3001,$AD980)&amp;"")</f>
        <v/>
      </c>
      <c r="I980">
        <f>IF($AD980="","",INDEX('Per Line'!$H$2:$H$3001,$AD980)&amp;"")</f>
        <v/>
      </c>
      <c r="J980">
        <f>IF($AD980="","",INDEX('Per Line'!$F$2:$F$3001,$AD980)&amp;"")</f>
        <v/>
      </c>
      <c r="K980">
        <f>IF($AD980="","",INDEX('Per Line'!$K$2:$K$3001,$AD980)&amp;"")</f>
        <v/>
      </c>
      <c r="L980">
        <f>IF($AD980="","",INDEX('Per Line'!$L$2:$L$3001,$AD980)&amp;"")</f>
        <v/>
      </c>
      <c r="M980">
        <f>IF($AD980="","",INDEX('Per Line'!$M$2:$M$3001,$AD980)&amp;"")</f>
        <v/>
      </c>
      <c r="N980">
        <f>IF($AD980="","",INDEX('Per Line'!$AC$2:$AC$3001,$AD980)&amp;"")</f>
        <v/>
      </c>
      <c r="O980">
        <f>IF($AD980="","",INDEX('Per Line'!$P$2:$P$3001,$AD980))</f>
        <v/>
      </c>
      <c r="P980" s="7">
        <f>IF($AD980="","",IF(AND(ISNUMBER(Q980),Q980&gt;0,AB980&gt;Q980),O980*Q980/100+(AB980-Q980),O980*AB980/100))</f>
        <v/>
      </c>
      <c r="Q980">
        <f>IF($AD980="","",INDEX('Per Line'!$AG$2:$AG$3001,$AD980))</f>
        <v/>
      </c>
      <c r="R980">
        <f>IF($AD980="","",IF(AND(ISNUMBER(Q980),Q980&gt;0),AB980&gt;Q980,FALSE))</f>
        <v/>
      </c>
      <c r="S980" s="7">
        <f>IF($AD980="","",SUMIFS('Per Line'!$AB$2:$AB$3001,'Per Line'!$E$2:$E$3001,$B980,'Per Line'!$AQ$2:$AQ$3001,1))</f>
        <v/>
      </c>
      <c r="T980">
        <f>IF($AD980="","",Settings!$C$7)</f>
        <v/>
      </c>
      <c r="U980" s="7">
        <f>IF($AD980="","",SUMIFS('Per Line'!$AB$2:$AB$3001,'Per Line'!$E$2:$E$3001,$B980,'Per Line'!$AP$2:$AP$3001,0,'Per Line'!$AQ$2:$AQ$3001,0))</f>
        <v/>
      </c>
      <c r="V980" s="7">
        <f>IF($AD980="","",U980*T980)</f>
        <v/>
      </c>
      <c r="W980">
        <f>IF($AD980="","",Settings!$C$6)</f>
        <v/>
      </c>
      <c r="X980" s="7">
        <f>IF($AD980="","",SUMIFS('Per Line'!$AB$2:$AB$3001,'Per Line'!$E$2:$E$3001,$B980,'Per Line'!$AP$2:$AP$3001,1,'Per Line'!$AQ$2:$AQ$3001,0))</f>
        <v/>
      </c>
      <c r="Y980" s="7">
        <f>IF($AD980="","",X980*W980)</f>
        <v/>
      </c>
      <c r="Z980" s="7">
        <f>IF($AD980="","",Y980+V980)</f>
        <v/>
      </c>
      <c r="AA980" s="7">
        <f>IF($AD980="","",AB980-Z980)</f>
        <v/>
      </c>
      <c r="AB980" s="7">
        <f>IF($AD980="","",U980+X980+S980)</f>
        <v/>
      </c>
      <c r="AC980" s="7">
        <f>IF($AD980="","",AB980-Z980-P980)</f>
        <v/>
      </c>
      <c r="AD980" s="13">
        <f>IF(ROWS($AD$2:$AD980)&lt;=MAX('Per Line'!$AO$2:$AO$3001),MATCH(ROWS($AD$2:$AD980),'Per Line'!$AO$2:$AO$3001,0),"")</f>
        <v/>
      </c>
      <c r="AE980" s="14">
        <f>IF($AD980="","",P980-O980*AB980/100)</f>
        <v/>
      </c>
    </row>
    <row r="981">
      <c r="A981" s="12" t="n"/>
      <c r="B981">
        <f>IF($AD981="","",INDEX('Per Line'!$E$2:$E$3001,$AD981)&amp;"")</f>
        <v/>
      </c>
      <c r="C981">
        <f>IF($AD981="","",INDEX('Per Line'!$A$2:$A$3001,$AD981)&amp;"")</f>
        <v/>
      </c>
      <c r="D981">
        <f>IF($AD981="","",INDEX('Per Line'!$C$2:$C$3001,$AD981)&amp;"")</f>
        <v/>
      </c>
      <c r="E981">
        <f>IF($AD981="","",INDEX('Per Line'!$B$2:$B$3001,$AD981))</f>
        <v/>
      </c>
      <c r="F981">
        <f>IF($AD981="","",INDEX('Per Line'!$D$2:$D$3001,$AD981)&amp;"")</f>
        <v/>
      </c>
      <c r="G981" s="11">
        <f>IF($AD981="","",INDEX('Per Line'!$G$2:$G$3001,$AD981))</f>
        <v/>
      </c>
      <c r="H981">
        <f>IF($AD981="","",INDEX('Per Line'!$J$2:$J$3001,$AD981)&amp;"")</f>
        <v/>
      </c>
      <c r="I981">
        <f>IF($AD981="","",INDEX('Per Line'!$H$2:$H$3001,$AD981)&amp;"")</f>
        <v/>
      </c>
      <c r="J981">
        <f>IF($AD981="","",INDEX('Per Line'!$F$2:$F$3001,$AD981)&amp;"")</f>
        <v/>
      </c>
      <c r="K981">
        <f>IF($AD981="","",INDEX('Per Line'!$K$2:$K$3001,$AD981)&amp;"")</f>
        <v/>
      </c>
      <c r="L981">
        <f>IF($AD981="","",INDEX('Per Line'!$L$2:$L$3001,$AD981)&amp;"")</f>
        <v/>
      </c>
      <c r="M981">
        <f>IF($AD981="","",INDEX('Per Line'!$M$2:$M$3001,$AD981)&amp;"")</f>
        <v/>
      </c>
      <c r="N981">
        <f>IF($AD981="","",INDEX('Per Line'!$AC$2:$AC$3001,$AD981)&amp;"")</f>
        <v/>
      </c>
      <c r="O981">
        <f>IF($AD981="","",INDEX('Per Line'!$P$2:$P$3001,$AD981))</f>
        <v/>
      </c>
      <c r="P981" s="7">
        <f>IF($AD981="","",IF(AND(ISNUMBER(Q981),Q981&gt;0,AB981&gt;Q981),O981*Q981/100+(AB981-Q981),O981*AB981/100))</f>
        <v/>
      </c>
      <c r="Q981">
        <f>IF($AD981="","",INDEX('Per Line'!$AG$2:$AG$3001,$AD981))</f>
        <v/>
      </c>
      <c r="R981">
        <f>IF($AD981="","",IF(AND(ISNUMBER(Q981),Q981&gt;0),AB981&gt;Q981,FALSE))</f>
        <v/>
      </c>
      <c r="S981" s="7">
        <f>IF($AD981="","",SUMIFS('Per Line'!$AB$2:$AB$3001,'Per Line'!$E$2:$E$3001,$B981,'Per Line'!$AQ$2:$AQ$3001,1))</f>
        <v/>
      </c>
      <c r="T981">
        <f>IF($AD981="","",Settings!$C$7)</f>
        <v/>
      </c>
      <c r="U981" s="7">
        <f>IF($AD981="","",SUMIFS('Per Line'!$AB$2:$AB$3001,'Per Line'!$E$2:$E$3001,$B981,'Per Line'!$AP$2:$AP$3001,0,'Per Line'!$AQ$2:$AQ$3001,0))</f>
        <v/>
      </c>
      <c r="V981" s="7">
        <f>IF($AD981="","",U981*T981)</f>
        <v/>
      </c>
      <c r="W981">
        <f>IF($AD981="","",Settings!$C$6)</f>
        <v/>
      </c>
      <c r="X981" s="7">
        <f>IF($AD981="","",SUMIFS('Per Line'!$AB$2:$AB$3001,'Per Line'!$E$2:$E$3001,$B981,'Per Line'!$AP$2:$AP$3001,1,'Per Line'!$AQ$2:$AQ$3001,0))</f>
        <v/>
      </c>
      <c r="Y981" s="7">
        <f>IF($AD981="","",X981*W981)</f>
        <v/>
      </c>
      <c r="Z981" s="7">
        <f>IF($AD981="","",Y981+V981)</f>
        <v/>
      </c>
      <c r="AA981" s="7">
        <f>IF($AD981="","",AB981-Z981)</f>
        <v/>
      </c>
      <c r="AB981" s="7">
        <f>IF($AD981="","",U981+X981+S981)</f>
        <v/>
      </c>
      <c r="AC981" s="7">
        <f>IF($AD981="","",AB981-Z981-P981)</f>
        <v/>
      </c>
      <c r="AD981" s="13">
        <f>IF(ROWS($AD$2:$AD981)&lt;=MAX('Per Line'!$AO$2:$AO$3001),MATCH(ROWS($AD$2:$AD981),'Per Line'!$AO$2:$AO$3001,0),"")</f>
        <v/>
      </c>
      <c r="AE981" s="14">
        <f>IF($AD981="","",P981-O981*AB981/100)</f>
        <v/>
      </c>
    </row>
    <row r="982">
      <c r="A982" s="12" t="n"/>
      <c r="B982">
        <f>IF($AD982="","",INDEX('Per Line'!$E$2:$E$3001,$AD982)&amp;"")</f>
        <v/>
      </c>
      <c r="C982">
        <f>IF($AD982="","",INDEX('Per Line'!$A$2:$A$3001,$AD982)&amp;"")</f>
        <v/>
      </c>
      <c r="D982">
        <f>IF($AD982="","",INDEX('Per Line'!$C$2:$C$3001,$AD982)&amp;"")</f>
        <v/>
      </c>
      <c r="E982">
        <f>IF($AD982="","",INDEX('Per Line'!$B$2:$B$3001,$AD982))</f>
        <v/>
      </c>
      <c r="F982">
        <f>IF($AD982="","",INDEX('Per Line'!$D$2:$D$3001,$AD982)&amp;"")</f>
        <v/>
      </c>
      <c r="G982" s="11">
        <f>IF($AD982="","",INDEX('Per Line'!$G$2:$G$3001,$AD982))</f>
        <v/>
      </c>
      <c r="H982">
        <f>IF($AD982="","",INDEX('Per Line'!$J$2:$J$3001,$AD982)&amp;"")</f>
        <v/>
      </c>
      <c r="I982">
        <f>IF($AD982="","",INDEX('Per Line'!$H$2:$H$3001,$AD982)&amp;"")</f>
        <v/>
      </c>
      <c r="J982">
        <f>IF($AD982="","",INDEX('Per Line'!$F$2:$F$3001,$AD982)&amp;"")</f>
        <v/>
      </c>
      <c r="K982">
        <f>IF($AD982="","",INDEX('Per Line'!$K$2:$K$3001,$AD982)&amp;"")</f>
        <v/>
      </c>
      <c r="L982">
        <f>IF($AD982="","",INDEX('Per Line'!$L$2:$L$3001,$AD982)&amp;"")</f>
        <v/>
      </c>
      <c r="M982">
        <f>IF($AD982="","",INDEX('Per Line'!$M$2:$M$3001,$AD982)&amp;"")</f>
        <v/>
      </c>
      <c r="N982">
        <f>IF($AD982="","",INDEX('Per Line'!$AC$2:$AC$3001,$AD982)&amp;"")</f>
        <v/>
      </c>
      <c r="O982">
        <f>IF($AD982="","",INDEX('Per Line'!$P$2:$P$3001,$AD982))</f>
        <v/>
      </c>
      <c r="P982" s="7">
        <f>IF($AD982="","",IF(AND(ISNUMBER(Q982),Q982&gt;0,AB982&gt;Q982),O982*Q982/100+(AB982-Q982),O982*AB982/100))</f>
        <v/>
      </c>
      <c r="Q982">
        <f>IF($AD982="","",INDEX('Per Line'!$AG$2:$AG$3001,$AD982))</f>
        <v/>
      </c>
      <c r="R982">
        <f>IF($AD982="","",IF(AND(ISNUMBER(Q982),Q982&gt;0),AB982&gt;Q982,FALSE))</f>
        <v/>
      </c>
      <c r="S982" s="7">
        <f>IF($AD982="","",SUMIFS('Per Line'!$AB$2:$AB$3001,'Per Line'!$E$2:$E$3001,$B982,'Per Line'!$AQ$2:$AQ$3001,1))</f>
        <v/>
      </c>
      <c r="T982">
        <f>IF($AD982="","",Settings!$C$7)</f>
        <v/>
      </c>
      <c r="U982" s="7">
        <f>IF($AD982="","",SUMIFS('Per Line'!$AB$2:$AB$3001,'Per Line'!$E$2:$E$3001,$B982,'Per Line'!$AP$2:$AP$3001,0,'Per Line'!$AQ$2:$AQ$3001,0))</f>
        <v/>
      </c>
      <c r="V982" s="7">
        <f>IF($AD982="","",U982*T982)</f>
        <v/>
      </c>
      <c r="W982">
        <f>IF($AD982="","",Settings!$C$6)</f>
        <v/>
      </c>
      <c r="X982" s="7">
        <f>IF($AD982="","",SUMIFS('Per Line'!$AB$2:$AB$3001,'Per Line'!$E$2:$E$3001,$B982,'Per Line'!$AP$2:$AP$3001,1,'Per Line'!$AQ$2:$AQ$3001,0))</f>
        <v/>
      </c>
      <c r="Y982" s="7">
        <f>IF($AD982="","",X982*W982)</f>
        <v/>
      </c>
      <c r="Z982" s="7">
        <f>IF($AD982="","",Y982+V982)</f>
        <v/>
      </c>
      <c r="AA982" s="7">
        <f>IF($AD982="","",AB982-Z982)</f>
        <v/>
      </c>
      <c r="AB982" s="7">
        <f>IF($AD982="","",U982+X982+S982)</f>
        <v/>
      </c>
      <c r="AC982" s="7">
        <f>IF($AD982="","",AB982-Z982-P982)</f>
        <v/>
      </c>
      <c r="AD982" s="13">
        <f>IF(ROWS($AD$2:$AD982)&lt;=MAX('Per Line'!$AO$2:$AO$3001),MATCH(ROWS($AD$2:$AD982),'Per Line'!$AO$2:$AO$3001,0),"")</f>
        <v/>
      </c>
      <c r="AE982" s="14">
        <f>IF($AD982="","",P982-O982*AB982/100)</f>
        <v/>
      </c>
    </row>
    <row r="983">
      <c r="A983" s="12" t="n"/>
      <c r="B983">
        <f>IF($AD983="","",INDEX('Per Line'!$E$2:$E$3001,$AD983)&amp;"")</f>
        <v/>
      </c>
      <c r="C983">
        <f>IF($AD983="","",INDEX('Per Line'!$A$2:$A$3001,$AD983)&amp;"")</f>
        <v/>
      </c>
      <c r="D983">
        <f>IF($AD983="","",INDEX('Per Line'!$C$2:$C$3001,$AD983)&amp;"")</f>
        <v/>
      </c>
      <c r="E983">
        <f>IF($AD983="","",INDEX('Per Line'!$B$2:$B$3001,$AD983))</f>
        <v/>
      </c>
      <c r="F983">
        <f>IF($AD983="","",INDEX('Per Line'!$D$2:$D$3001,$AD983)&amp;"")</f>
        <v/>
      </c>
      <c r="G983" s="11">
        <f>IF($AD983="","",INDEX('Per Line'!$G$2:$G$3001,$AD983))</f>
        <v/>
      </c>
      <c r="H983">
        <f>IF($AD983="","",INDEX('Per Line'!$J$2:$J$3001,$AD983)&amp;"")</f>
        <v/>
      </c>
      <c r="I983">
        <f>IF($AD983="","",INDEX('Per Line'!$H$2:$H$3001,$AD983)&amp;"")</f>
        <v/>
      </c>
      <c r="J983">
        <f>IF($AD983="","",INDEX('Per Line'!$F$2:$F$3001,$AD983)&amp;"")</f>
        <v/>
      </c>
      <c r="K983">
        <f>IF($AD983="","",INDEX('Per Line'!$K$2:$K$3001,$AD983)&amp;"")</f>
        <v/>
      </c>
      <c r="L983">
        <f>IF($AD983="","",INDEX('Per Line'!$L$2:$L$3001,$AD983)&amp;"")</f>
        <v/>
      </c>
      <c r="M983">
        <f>IF($AD983="","",INDEX('Per Line'!$M$2:$M$3001,$AD983)&amp;"")</f>
        <v/>
      </c>
      <c r="N983">
        <f>IF($AD983="","",INDEX('Per Line'!$AC$2:$AC$3001,$AD983)&amp;"")</f>
        <v/>
      </c>
      <c r="O983">
        <f>IF($AD983="","",INDEX('Per Line'!$P$2:$P$3001,$AD983))</f>
        <v/>
      </c>
      <c r="P983" s="7">
        <f>IF($AD983="","",IF(AND(ISNUMBER(Q983),Q983&gt;0,AB983&gt;Q983),O983*Q983/100+(AB983-Q983),O983*AB983/100))</f>
        <v/>
      </c>
      <c r="Q983">
        <f>IF($AD983="","",INDEX('Per Line'!$AG$2:$AG$3001,$AD983))</f>
        <v/>
      </c>
      <c r="R983">
        <f>IF($AD983="","",IF(AND(ISNUMBER(Q983),Q983&gt;0),AB983&gt;Q983,FALSE))</f>
        <v/>
      </c>
      <c r="S983" s="7">
        <f>IF($AD983="","",SUMIFS('Per Line'!$AB$2:$AB$3001,'Per Line'!$E$2:$E$3001,$B983,'Per Line'!$AQ$2:$AQ$3001,1))</f>
        <v/>
      </c>
      <c r="T983">
        <f>IF($AD983="","",Settings!$C$7)</f>
        <v/>
      </c>
      <c r="U983" s="7">
        <f>IF($AD983="","",SUMIFS('Per Line'!$AB$2:$AB$3001,'Per Line'!$E$2:$E$3001,$B983,'Per Line'!$AP$2:$AP$3001,0,'Per Line'!$AQ$2:$AQ$3001,0))</f>
        <v/>
      </c>
      <c r="V983" s="7">
        <f>IF($AD983="","",U983*T983)</f>
        <v/>
      </c>
      <c r="W983">
        <f>IF($AD983="","",Settings!$C$6)</f>
        <v/>
      </c>
      <c r="X983" s="7">
        <f>IF($AD983="","",SUMIFS('Per Line'!$AB$2:$AB$3001,'Per Line'!$E$2:$E$3001,$B983,'Per Line'!$AP$2:$AP$3001,1,'Per Line'!$AQ$2:$AQ$3001,0))</f>
        <v/>
      </c>
      <c r="Y983" s="7">
        <f>IF($AD983="","",X983*W983)</f>
        <v/>
      </c>
      <c r="Z983" s="7">
        <f>IF($AD983="","",Y983+V983)</f>
        <v/>
      </c>
      <c r="AA983" s="7">
        <f>IF($AD983="","",AB983-Z983)</f>
        <v/>
      </c>
      <c r="AB983" s="7">
        <f>IF($AD983="","",U983+X983+S983)</f>
        <v/>
      </c>
      <c r="AC983" s="7">
        <f>IF($AD983="","",AB983-Z983-P983)</f>
        <v/>
      </c>
      <c r="AD983" s="13">
        <f>IF(ROWS($AD$2:$AD983)&lt;=MAX('Per Line'!$AO$2:$AO$3001),MATCH(ROWS($AD$2:$AD983),'Per Line'!$AO$2:$AO$3001,0),"")</f>
        <v/>
      </c>
      <c r="AE983" s="14">
        <f>IF($AD983="","",P983-O983*AB983/100)</f>
        <v/>
      </c>
    </row>
    <row r="984">
      <c r="A984" s="12" t="n"/>
      <c r="B984">
        <f>IF($AD984="","",INDEX('Per Line'!$E$2:$E$3001,$AD984)&amp;"")</f>
        <v/>
      </c>
      <c r="C984">
        <f>IF($AD984="","",INDEX('Per Line'!$A$2:$A$3001,$AD984)&amp;"")</f>
        <v/>
      </c>
      <c r="D984">
        <f>IF($AD984="","",INDEX('Per Line'!$C$2:$C$3001,$AD984)&amp;"")</f>
        <v/>
      </c>
      <c r="E984">
        <f>IF($AD984="","",INDEX('Per Line'!$B$2:$B$3001,$AD984))</f>
        <v/>
      </c>
      <c r="F984">
        <f>IF($AD984="","",INDEX('Per Line'!$D$2:$D$3001,$AD984)&amp;"")</f>
        <v/>
      </c>
      <c r="G984" s="11">
        <f>IF($AD984="","",INDEX('Per Line'!$G$2:$G$3001,$AD984))</f>
        <v/>
      </c>
      <c r="H984">
        <f>IF($AD984="","",INDEX('Per Line'!$J$2:$J$3001,$AD984)&amp;"")</f>
        <v/>
      </c>
      <c r="I984">
        <f>IF($AD984="","",INDEX('Per Line'!$H$2:$H$3001,$AD984)&amp;"")</f>
        <v/>
      </c>
      <c r="J984">
        <f>IF($AD984="","",INDEX('Per Line'!$F$2:$F$3001,$AD984)&amp;"")</f>
        <v/>
      </c>
      <c r="K984">
        <f>IF($AD984="","",INDEX('Per Line'!$K$2:$K$3001,$AD984)&amp;"")</f>
        <v/>
      </c>
      <c r="L984">
        <f>IF($AD984="","",INDEX('Per Line'!$L$2:$L$3001,$AD984)&amp;"")</f>
        <v/>
      </c>
      <c r="M984">
        <f>IF($AD984="","",INDEX('Per Line'!$M$2:$M$3001,$AD984)&amp;"")</f>
        <v/>
      </c>
      <c r="N984">
        <f>IF($AD984="","",INDEX('Per Line'!$AC$2:$AC$3001,$AD984)&amp;"")</f>
        <v/>
      </c>
      <c r="O984">
        <f>IF($AD984="","",INDEX('Per Line'!$P$2:$P$3001,$AD984))</f>
        <v/>
      </c>
      <c r="P984" s="7">
        <f>IF($AD984="","",IF(AND(ISNUMBER(Q984),Q984&gt;0,AB984&gt;Q984),O984*Q984/100+(AB984-Q984),O984*AB984/100))</f>
        <v/>
      </c>
      <c r="Q984">
        <f>IF($AD984="","",INDEX('Per Line'!$AG$2:$AG$3001,$AD984))</f>
        <v/>
      </c>
      <c r="R984">
        <f>IF($AD984="","",IF(AND(ISNUMBER(Q984),Q984&gt;0),AB984&gt;Q984,FALSE))</f>
        <v/>
      </c>
      <c r="S984" s="7">
        <f>IF($AD984="","",SUMIFS('Per Line'!$AB$2:$AB$3001,'Per Line'!$E$2:$E$3001,$B984,'Per Line'!$AQ$2:$AQ$3001,1))</f>
        <v/>
      </c>
      <c r="T984">
        <f>IF($AD984="","",Settings!$C$7)</f>
        <v/>
      </c>
      <c r="U984" s="7">
        <f>IF($AD984="","",SUMIFS('Per Line'!$AB$2:$AB$3001,'Per Line'!$E$2:$E$3001,$B984,'Per Line'!$AP$2:$AP$3001,0,'Per Line'!$AQ$2:$AQ$3001,0))</f>
        <v/>
      </c>
      <c r="V984" s="7">
        <f>IF($AD984="","",U984*T984)</f>
        <v/>
      </c>
      <c r="W984">
        <f>IF($AD984="","",Settings!$C$6)</f>
        <v/>
      </c>
      <c r="X984" s="7">
        <f>IF($AD984="","",SUMIFS('Per Line'!$AB$2:$AB$3001,'Per Line'!$E$2:$E$3001,$B984,'Per Line'!$AP$2:$AP$3001,1,'Per Line'!$AQ$2:$AQ$3001,0))</f>
        <v/>
      </c>
      <c r="Y984" s="7">
        <f>IF($AD984="","",X984*W984)</f>
        <v/>
      </c>
      <c r="Z984" s="7">
        <f>IF($AD984="","",Y984+V984)</f>
        <v/>
      </c>
      <c r="AA984" s="7">
        <f>IF($AD984="","",AB984-Z984)</f>
        <v/>
      </c>
      <c r="AB984" s="7">
        <f>IF($AD984="","",U984+X984+S984)</f>
        <v/>
      </c>
      <c r="AC984" s="7">
        <f>IF($AD984="","",AB984-Z984-P984)</f>
        <v/>
      </c>
      <c r="AD984" s="13">
        <f>IF(ROWS($AD$2:$AD984)&lt;=MAX('Per Line'!$AO$2:$AO$3001),MATCH(ROWS($AD$2:$AD984),'Per Line'!$AO$2:$AO$3001,0),"")</f>
        <v/>
      </c>
      <c r="AE984" s="14">
        <f>IF($AD984="","",P984-O984*AB984/100)</f>
        <v/>
      </c>
    </row>
    <row r="985">
      <c r="A985" s="12" t="n"/>
      <c r="B985">
        <f>IF($AD985="","",INDEX('Per Line'!$E$2:$E$3001,$AD985)&amp;"")</f>
        <v/>
      </c>
      <c r="C985">
        <f>IF($AD985="","",INDEX('Per Line'!$A$2:$A$3001,$AD985)&amp;"")</f>
        <v/>
      </c>
      <c r="D985">
        <f>IF($AD985="","",INDEX('Per Line'!$C$2:$C$3001,$AD985)&amp;"")</f>
        <v/>
      </c>
      <c r="E985">
        <f>IF($AD985="","",INDEX('Per Line'!$B$2:$B$3001,$AD985))</f>
        <v/>
      </c>
      <c r="F985">
        <f>IF($AD985="","",INDEX('Per Line'!$D$2:$D$3001,$AD985)&amp;"")</f>
        <v/>
      </c>
      <c r="G985" s="11">
        <f>IF($AD985="","",INDEX('Per Line'!$G$2:$G$3001,$AD985))</f>
        <v/>
      </c>
      <c r="H985">
        <f>IF($AD985="","",INDEX('Per Line'!$J$2:$J$3001,$AD985)&amp;"")</f>
        <v/>
      </c>
      <c r="I985">
        <f>IF($AD985="","",INDEX('Per Line'!$H$2:$H$3001,$AD985)&amp;"")</f>
        <v/>
      </c>
      <c r="J985">
        <f>IF($AD985="","",INDEX('Per Line'!$F$2:$F$3001,$AD985)&amp;"")</f>
        <v/>
      </c>
      <c r="K985">
        <f>IF($AD985="","",INDEX('Per Line'!$K$2:$K$3001,$AD985)&amp;"")</f>
        <v/>
      </c>
      <c r="L985">
        <f>IF($AD985="","",INDEX('Per Line'!$L$2:$L$3001,$AD985)&amp;"")</f>
        <v/>
      </c>
      <c r="M985">
        <f>IF($AD985="","",INDEX('Per Line'!$M$2:$M$3001,$AD985)&amp;"")</f>
        <v/>
      </c>
      <c r="N985">
        <f>IF($AD985="","",INDEX('Per Line'!$AC$2:$AC$3001,$AD985)&amp;"")</f>
        <v/>
      </c>
      <c r="O985">
        <f>IF($AD985="","",INDEX('Per Line'!$P$2:$P$3001,$AD985))</f>
        <v/>
      </c>
      <c r="P985" s="7">
        <f>IF($AD985="","",IF(AND(ISNUMBER(Q985),Q985&gt;0,AB985&gt;Q985),O985*Q985/100+(AB985-Q985),O985*AB985/100))</f>
        <v/>
      </c>
      <c r="Q985">
        <f>IF($AD985="","",INDEX('Per Line'!$AG$2:$AG$3001,$AD985))</f>
        <v/>
      </c>
      <c r="R985">
        <f>IF($AD985="","",IF(AND(ISNUMBER(Q985),Q985&gt;0),AB985&gt;Q985,FALSE))</f>
        <v/>
      </c>
      <c r="S985" s="7">
        <f>IF($AD985="","",SUMIFS('Per Line'!$AB$2:$AB$3001,'Per Line'!$E$2:$E$3001,$B985,'Per Line'!$AQ$2:$AQ$3001,1))</f>
        <v/>
      </c>
      <c r="T985">
        <f>IF($AD985="","",Settings!$C$7)</f>
        <v/>
      </c>
      <c r="U985" s="7">
        <f>IF($AD985="","",SUMIFS('Per Line'!$AB$2:$AB$3001,'Per Line'!$E$2:$E$3001,$B985,'Per Line'!$AP$2:$AP$3001,0,'Per Line'!$AQ$2:$AQ$3001,0))</f>
        <v/>
      </c>
      <c r="V985" s="7">
        <f>IF($AD985="","",U985*T985)</f>
        <v/>
      </c>
      <c r="W985">
        <f>IF($AD985="","",Settings!$C$6)</f>
        <v/>
      </c>
      <c r="X985" s="7">
        <f>IF($AD985="","",SUMIFS('Per Line'!$AB$2:$AB$3001,'Per Line'!$E$2:$E$3001,$B985,'Per Line'!$AP$2:$AP$3001,1,'Per Line'!$AQ$2:$AQ$3001,0))</f>
        <v/>
      </c>
      <c r="Y985" s="7">
        <f>IF($AD985="","",X985*W985)</f>
        <v/>
      </c>
      <c r="Z985" s="7">
        <f>IF($AD985="","",Y985+V985)</f>
        <v/>
      </c>
      <c r="AA985" s="7">
        <f>IF($AD985="","",AB985-Z985)</f>
        <v/>
      </c>
      <c r="AB985" s="7">
        <f>IF($AD985="","",U985+X985+S985)</f>
        <v/>
      </c>
      <c r="AC985" s="7">
        <f>IF($AD985="","",AB985-Z985-P985)</f>
        <v/>
      </c>
      <c r="AD985" s="13">
        <f>IF(ROWS($AD$2:$AD985)&lt;=MAX('Per Line'!$AO$2:$AO$3001),MATCH(ROWS($AD$2:$AD985),'Per Line'!$AO$2:$AO$3001,0),"")</f>
        <v/>
      </c>
      <c r="AE985" s="14">
        <f>IF($AD985="","",P985-O985*AB985/100)</f>
        <v/>
      </c>
    </row>
    <row r="986">
      <c r="A986" s="12" t="n"/>
      <c r="B986">
        <f>IF($AD986="","",INDEX('Per Line'!$E$2:$E$3001,$AD986)&amp;"")</f>
        <v/>
      </c>
      <c r="C986">
        <f>IF($AD986="","",INDEX('Per Line'!$A$2:$A$3001,$AD986)&amp;"")</f>
        <v/>
      </c>
      <c r="D986">
        <f>IF($AD986="","",INDEX('Per Line'!$C$2:$C$3001,$AD986)&amp;"")</f>
        <v/>
      </c>
      <c r="E986">
        <f>IF($AD986="","",INDEX('Per Line'!$B$2:$B$3001,$AD986))</f>
        <v/>
      </c>
      <c r="F986">
        <f>IF($AD986="","",INDEX('Per Line'!$D$2:$D$3001,$AD986)&amp;"")</f>
        <v/>
      </c>
      <c r="G986" s="11">
        <f>IF($AD986="","",INDEX('Per Line'!$G$2:$G$3001,$AD986))</f>
        <v/>
      </c>
      <c r="H986">
        <f>IF($AD986="","",INDEX('Per Line'!$J$2:$J$3001,$AD986)&amp;"")</f>
        <v/>
      </c>
      <c r="I986">
        <f>IF($AD986="","",INDEX('Per Line'!$H$2:$H$3001,$AD986)&amp;"")</f>
        <v/>
      </c>
      <c r="J986">
        <f>IF($AD986="","",INDEX('Per Line'!$F$2:$F$3001,$AD986)&amp;"")</f>
        <v/>
      </c>
      <c r="K986">
        <f>IF($AD986="","",INDEX('Per Line'!$K$2:$K$3001,$AD986)&amp;"")</f>
        <v/>
      </c>
      <c r="L986">
        <f>IF($AD986="","",INDEX('Per Line'!$L$2:$L$3001,$AD986)&amp;"")</f>
        <v/>
      </c>
      <c r="M986">
        <f>IF($AD986="","",INDEX('Per Line'!$M$2:$M$3001,$AD986)&amp;"")</f>
        <v/>
      </c>
      <c r="N986">
        <f>IF($AD986="","",INDEX('Per Line'!$AC$2:$AC$3001,$AD986)&amp;"")</f>
        <v/>
      </c>
      <c r="O986">
        <f>IF($AD986="","",INDEX('Per Line'!$P$2:$P$3001,$AD986))</f>
        <v/>
      </c>
      <c r="P986" s="7">
        <f>IF($AD986="","",IF(AND(ISNUMBER(Q986),Q986&gt;0,AB986&gt;Q986),O986*Q986/100+(AB986-Q986),O986*AB986/100))</f>
        <v/>
      </c>
      <c r="Q986">
        <f>IF($AD986="","",INDEX('Per Line'!$AG$2:$AG$3001,$AD986))</f>
        <v/>
      </c>
      <c r="R986">
        <f>IF($AD986="","",IF(AND(ISNUMBER(Q986),Q986&gt;0),AB986&gt;Q986,FALSE))</f>
        <v/>
      </c>
      <c r="S986" s="7">
        <f>IF($AD986="","",SUMIFS('Per Line'!$AB$2:$AB$3001,'Per Line'!$E$2:$E$3001,$B986,'Per Line'!$AQ$2:$AQ$3001,1))</f>
        <v/>
      </c>
      <c r="T986">
        <f>IF($AD986="","",Settings!$C$7)</f>
        <v/>
      </c>
      <c r="U986" s="7">
        <f>IF($AD986="","",SUMIFS('Per Line'!$AB$2:$AB$3001,'Per Line'!$E$2:$E$3001,$B986,'Per Line'!$AP$2:$AP$3001,0,'Per Line'!$AQ$2:$AQ$3001,0))</f>
        <v/>
      </c>
      <c r="V986" s="7">
        <f>IF($AD986="","",U986*T986)</f>
        <v/>
      </c>
      <c r="W986">
        <f>IF($AD986="","",Settings!$C$6)</f>
        <v/>
      </c>
      <c r="X986" s="7">
        <f>IF($AD986="","",SUMIFS('Per Line'!$AB$2:$AB$3001,'Per Line'!$E$2:$E$3001,$B986,'Per Line'!$AP$2:$AP$3001,1,'Per Line'!$AQ$2:$AQ$3001,0))</f>
        <v/>
      </c>
      <c r="Y986" s="7">
        <f>IF($AD986="","",X986*W986)</f>
        <v/>
      </c>
      <c r="Z986" s="7">
        <f>IF($AD986="","",Y986+V986)</f>
        <v/>
      </c>
      <c r="AA986" s="7">
        <f>IF($AD986="","",AB986-Z986)</f>
        <v/>
      </c>
      <c r="AB986" s="7">
        <f>IF($AD986="","",U986+X986+S986)</f>
        <v/>
      </c>
      <c r="AC986" s="7">
        <f>IF($AD986="","",AB986-Z986-P986)</f>
        <v/>
      </c>
      <c r="AD986" s="13">
        <f>IF(ROWS($AD$2:$AD986)&lt;=MAX('Per Line'!$AO$2:$AO$3001),MATCH(ROWS($AD$2:$AD986),'Per Line'!$AO$2:$AO$3001,0),"")</f>
        <v/>
      </c>
      <c r="AE986" s="14">
        <f>IF($AD986="","",P986-O986*AB986/100)</f>
        <v/>
      </c>
    </row>
    <row r="987">
      <c r="A987" s="12" t="n"/>
      <c r="B987">
        <f>IF($AD987="","",INDEX('Per Line'!$E$2:$E$3001,$AD987)&amp;"")</f>
        <v/>
      </c>
      <c r="C987">
        <f>IF($AD987="","",INDEX('Per Line'!$A$2:$A$3001,$AD987)&amp;"")</f>
        <v/>
      </c>
      <c r="D987">
        <f>IF($AD987="","",INDEX('Per Line'!$C$2:$C$3001,$AD987)&amp;"")</f>
        <v/>
      </c>
      <c r="E987">
        <f>IF($AD987="","",INDEX('Per Line'!$B$2:$B$3001,$AD987))</f>
        <v/>
      </c>
      <c r="F987">
        <f>IF($AD987="","",INDEX('Per Line'!$D$2:$D$3001,$AD987)&amp;"")</f>
        <v/>
      </c>
      <c r="G987" s="11">
        <f>IF($AD987="","",INDEX('Per Line'!$G$2:$G$3001,$AD987))</f>
        <v/>
      </c>
      <c r="H987">
        <f>IF($AD987="","",INDEX('Per Line'!$J$2:$J$3001,$AD987)&amp;"")</f>
        <v/>
      </c>
      <c r="I987">
        <f>IF($AD987="","",INDEX('Per Line'!$H$2:$H$3001,$AD987)&amp;"")</f>
        <v/>
      </c>
      <c r="J987">
        <f>IF($AD987="","",INDEX('Per Line'!$F$2:$F$3001,$AD987)&amp;"")</f>
        <v/>
      </c>
      <c r="K987">
        <f>IF($AD987="","",INDEX('Per Line'!$K$2:$K$3001,$AD987)&amp;"")</f>
        <v/>
      </c>
      <c r="L987">
        <f>IF($AD987="","",INDEX('Per Line'!$L$2:$L$3001,$AD987)&amp;"")</f>
        <v/>
      </c>
      <c r="M987">
        <f>IF($AD987="","",INDEX('Per Line'!$M$2:$M$3001,$AD987)&amp;"")</f>
        <v/>
      </c>
      <c r="N987">
        <f>IF($AD987="","",INDEX('Per Line'!$AC$2:$AC$3001,$AD987)&amp;"")</f>
        <v/>
      </c>
      <c r="O987">
        <f>IF($AD987="","",INDEX('Per Line'!$P$2:$P$3001,$AD987))</f>
        <v/>
      </c>
      <c r="P987" s="7">
        <f>IF($AD987="","",IF(AND(ISNUMBER(Q987),Q987&gt;0,AB987&gt;Q987),O987*Q987/100+(AB987-Q987),O987*AB987/100))</f>
        <v/>
      </c>
      <c r="Q987">
        <f>IF($AD987="","",INDEX('Per Line'!$AG$2:$AG$3001,$AD987))</f>
        <v/>
      </c>
      <c r="R987">
        <f>IF($AD987="","",IF(AND(ISNUMBER(Q987),Q987&gt;0),AB987&gt;Q987,FALSE))</f>
        <v/>
      </c>
      <c r="S987" s="7">
        <f>IF($AD987="","",SUMIFS('Per Line'!$AB$2:$AB$3001,'Per Line'!$E$2:$E$3001,$B987,'Per Line'!$AQ$2:$AQ$3001,1))</f>
        <v/>
      </c>
      <c r="T987">
        <f>IF($AD987="","",Settings!$C$7)</f>
        <v/>
      </c>
      <c r="U987" s="7">
        <f>IF($AD987="","",SUMIFS('Per Line'!$AB$2:$AB$3001,'Per Line'!$E$2:$E$3001,$B987,'Per Line'!$AP$2:$AP$3001,0,'Per Line'!$AQ$2:$AQ$3001,0))</f>
        <v/>
      </c>
      <c r="V987" s="7">
        <f>IF($AD987="","",U987*T987)</f>
        <v/>
      </c>
      <c r="W987">
        <f>IF($AD987="","",Settings!$C$6)</f>
        <v/>
      </c>
      <c r="X987" s="7">
        <f>IF($AD987="","",SUMIFS('Per Line'!$AB$2:$AB$3001,'Per Line'!$E$2:$E$3001,$B987,'Per Line'!$AP$2:$AP$3001,1,'Per Line'!$AQ$2:$AQ$3001,0))</f>
        <v/>
      </c>
      <c r="Y987" s="7">
        <f>IF($AD987="","",X987*W987)</f>
        <v/>
      </c>
      <c r="Z987" s="7">
        <f>IF($AD987="","",Y987+V987)</f>
        <v/>
      </c>
      <c r="AA987" s="7">
        <f>IF($AD987="","",AB987-Z987)</f>
        <v/>
      </c>
      <c r="AB987" s="7">
        <f>IF($AD987="","",U987+X987+S987)</f>
        <v/>
      </c>
      <c r="AC987" s="7">
        <f>IF($AD987="","",AB987-Z987-P987)</f>
        <v/>
      </c>
      <c r="AD987" s="13">
        <f>IF(ROWS($AD$2:$AD987)&lt;=MAX('Per Line'!$AO$2:$AO$3001),MATCH(ROWS($AD$2:$AD987),'Per Line'!$AO$2:$AO$3001,0),"")</f>
        <v/>
      </c>
      <c r="AE987" s="14">
        <f>IF($AD987="","",P987-O987*AB987/100)</f>
        <v/>
      </c>
    </row>
    <row r="988">
      <c r="A988" s="12" t="n"/>
      <c r="B988">
        <f>IF($AD988="","",INDEX('Per Line'!$E$2:$E$3001,$AD988)&amp;"")</f>
        <v/>
      </c>
      <c r="C988">
        <f>IF($AD988="","",INDEX('Per Line'!$A$2:$A$3001,$AD988)&amp;"")</f>
        <v/>
      </c>
      <c r="D988">
        <f>IF($AD988="","",INDEX('Per Line'!$C$2:$C$3001,$AD988)&amp;"")</f>
        <v/>
      </c>
      <c r="E988">
        <f>IF($AD988="","",INDEX('Per Line'!$B$2:$B$3001,$AD988))</f>
        <v/>
      </c>
      <c r="F988">
        <f>IF($AD988="","",INDEX('Per Line'!$D$2:$D$3001,$AD988)&amp;"")</f>
        <v/>
      </c>
      <c r="G988" s="11">
        <f>IF($AD988="","",INDEX('Per Line'!$G$2:$G$3001,$AD988))</f>
        <v/>
      </c>
      <c r="H988">
        <f>IF($AD988="","",INDEX('Per Line'!$J$2:$J$3001,$AD988)&amp;"")</f>
        <v/>
      </c>
      <c r="I988">
        <f>IF($AD988="","",INDEX('Per Line'!$H$2:$H$3001,$AD988)&amp;"")</f>
        <v/>
      </c>
      <c r="J988">
        <f>IF($AD988="","",INDEX('Per Line'!$F$2:$F$3001,$AD988)&amp;"")</f>
        <v/>
      </c>
      <c r="K988">
        <f>IF($AD988="","",INDEX('Per Line'!$K$2:$K$3001,$AD988)&amp;"")</f>
        <v/>
      </c>
      <c r="L988">
        <f>IF($AD988="","",INDEX('Per Line'!$L$2:$L$3001,$AD988)&amp;"")</f>
        <v/>
      </c>
      <c r="M988">
        <f>IF($AD988="","",INDEX('Per Line'!$M$2:$M$3001,$AD988)&amp;"")</f>
        <v/>
      </c>
      <c r="N988">
        <f>IF($AD988="","",INDEX('Per Line'!$AC$2:$AC$3001,$AD988)&amp;"")</f>
        <v/>
      </c>
      <c r="O988">
        <f>IF($AD988="","",INDEX('Per Line'!$P$2:$P$3001,$AD988))</f>
        <v/>
      </c>
      <c r="P988" s="7">
        <f>IF($AD988="","",IF(AND(ISNUMBER(Q988),Q988&gt;0,AB988&gt;Q988),O988*Q988/100+(AB988-Q988),O988*AB988/100))</f>
        <v/>
      </c>
      <c r="Q988">
        <f>IF($AD988="","",INDEX('Per Line'!$AG$2:$AG$3001,$AD988))</f>
        <v/>
      </c>
      <c r="R988">
        <f>IF($AD988="","",IF(AND(ISNUMBER(Q988),Q988&gt;0),AB988&gt;Q988,FALSE))</f>
        <v/>
      </c>
      <c r="S988" s="7">
        <f>IF($AD988="","",SUMIFS('Per Line'!$AB$2:$AB$3001,'Per Line'!$E$2:$E$3001,$B988,'Per Line'!$AQ$2:$AQ$3001,1))</f>
        <v/>
      </c>
      <c r="T988">
        <f>IF($AD988="","",Settings!$C$7)</f>
        <v/>
      </c>
      <c r="U988" s="7">
        <f>IF($AD988="","",SUMIFS('Per Line'!$AB$2:$AB$3001,'Per Line'!$E$2:$E$3001,$B988,'Per Line'!$AP$2:$AP$3001,0,'Per Line'!$AQ$2:$AQ$3001,0))</f>
        <v/>
      </c>
      <c r="V988" s="7">
        <f>IF($AD988="","",U988*T988)</f>
        <v/>
      </c>
      <c r="W988">
        <f>IF($AD988="","",Settings!$C$6)</f>
        <v/>
      </c>
      <c r="X988" s="7">
        <f>IF($AD988="","",SUMIFS('Per Line'!$AB$2:$AB$3001,'Per Line'!$E$2:$E$3001,$B988,'Per Line'!$AP$2:$AP$3001,1,'Per Line'!$AQ$2:$AQ$3001,0))</f>
        <v/>
      </c>
      <c r="Y988" s="7">
        <f>IF($AD988="","",X988*W988)</f>
        <v/>
      </c>
      <c r="Z988" s="7">
        <f>IF($AD988="","",Y988+V988)</f>
        <v/>
      </c>
      <c r="AA988" s="7">
        <f>IF($AD988="","",AB988-Z988)</f>
        <v/>
      </c>
      <c r="AB988" s="7">
        <f>IF($AD988="","",U988+X988+S988)</f>
        <v/>
      </c>
      <c r="AC988" s="7">
        <f>IF($AD988="","",AB988-Z988-P988)</f>
        <v/>
      </c>
      <c r="AD988" s="13">
        <f>IF(ROWS($AD$2:$AD988)&lt;=MAX('Per Line'!$AO$2:$AO$3001),MATCH(ROWS($AD$2:$AD988),'Per Line'!$AO$2:$AO$3001,0),"")</f>
        <v/>
      </c>
      <c r="AE988" s="14">
        <f>IF($AD988="","",P988-O988*AB988/100)</f>
        <v/>
      </c>
    </row>
    <row r="989">
      <c r="A989" s="12" t="n"/>
      <c r="B989">
        <f>IF($AD989="","",INDEX('Per Line'!$E$2:$E$3001,$AD989)&amp;"")</f>
        <v/>
      </c>
      <c r="C989">
        <f>IF($AD989="","",INDEX('Per Line'!$A$2:$A$3001,$AD989)&amp;"")</f>
        <v/>
      </c>
      <c r="D989">
        <f>IF($AD989="","",INDEX('Per Line'!$C$2:$C$3001,$AD989)&amp;"")</f>
        <v/>
      </c>
      <c r="E989">
        <f>IF($AD989="","",INDEX('Per Line'!$B$2:$B$3001,$AD989))</f>
        <v/>
      </c>
      <c r="F989">
        <f>IF($AD989="","",INDEX('Per Line'!$D$2:$D$3001,$AD989)&amp;"")</f>
        <v/>
      </c>
      <c r="G989" s="11">
        <f>IF($AD989="","",INDEX('Per Line'!$G$2:$G$3001,$AD989))</f>
        <v/>
      </c>
      <c r="H989">
        <f>IF($AD989="","",INDEX('Per Line'!$J$2:$J$3001,$AD989)&amp;"")</f>
        <v/>
      </c>
      <c r="I989">
        <f>IF($AD989="","",INDEX('Per Line'!$H$2:$H$3001,$AD989)&amp;"")</f>
        <v/>
      </c>
      <c r="J989">
        <f>IF($AD989="","",INDEX('Per Line'!$F$2:$F$3001,$AD989)&amp;"")</f>
        <v/>
      </c>
      <c r="K989">
        <f>IF($AD989="","",INDEX('Per Line'!$K$2:$K$3001,$AD989)&amp;"")</f>
        <v/>
      </c>
      <c r="L989">
        <f>IF($AD989="","",INDEX('Per Line'!$L$2:$L$3001,$AD989)&amp;"")</f>
        <v/>
      </c>
      <c r="M989">
        <f>IF($AD989="","",INDEX('Per Line'!$M$2:$M$3001,$AD989)&amp;"")</f>
        <v/>
      </c>
      <c r="N989">
        <f>IF($AD989="","",INDEX('Per Line'!$AC$2:$AC$3001,$AD989)&amp;"")</f>
        <v/>
      </c>
      <c r="O989">
        <f>IF($AD989="","",INDEX('Per Line'!$P$2:$P$3001,$AD989))</f>
        <v/>
      </c>
      <c r="P989" s="7">
        <f>IF($AD989="","",IF(AND(ISNUMBER(Q989),Q989&gt;0,AB989&gt;Q989),O989*Q989/100+(AB989-Q989),O989*AB989/100))</f>
        <v/>
      </c>
      <c r="Q989">
        <f>IF($AD989="","",INDEX('Per Line'!$AG$2:$AG$3001,$AD989))</f>
        <v/>
      </c>
      <c r="R989">
        <f>IF($AD989="","",IF(AND(ISNUMBER(Q989),Q989&gt;0),AB989&gt;Q989,FALSE))</f>
        <v/>
      </c>
      <c r="S989" s="7">
        <f>IF($AD989="","",SUMIFS('Per Line'!$AB$2:$AB$3001,'Per Line'!$E$2:$E$3001,$B989,'Per Line'!$AQ$2:$AQ$3001,1))</f>
        <v/>
      </c>
      <c r="T989">
        <f>IF($AD989="","",Settings!$C$7)</f>
        <v/>
      </c>
      <c r="U989" s="7">
        <f>IF($AD989="","",SUMIFS('Per Line'!$AB$2:$AB$3001,'Per Line'!$E$2:$E$3001,$B989,'Per Line'!$AP$2:$AP$3001,0,'Per Line'!$AQ$2:$AQ$3001,0))</f>
        <v/>
      </c>
      <c r="V989" s="7">
        <f>IF($AD989="","",U989*T989)</f>
        <v/>
      </c>
      <c r="W989">
        <f>IF($AD989="","",Settings!$C$6)</f>
        <v/>
      </c>
      <c r="X989" s="7">
        <f>IF($AD989="","",SUMIFS('Per Line'!$AB$2:$AB$3001,'Per Line'!$E$2:$E$3001,$B989,'Per Line'!$AP$2:$AP$3001,1,'Per Line'!$AQ$2:$AQ$3001,0))</f>
        <v/>
      </c>
      <c r="Y989" s="7">
        <f>IF($AD989="","",X989*W989)</f>
        <v/>
      </c>
      <c r="Z989" s="7">
        <f>IF($AD989="","",Y989+V989)</f>
        <v/>
      </c>
      <c r="AA989" s="7">
        <f>IF($AD989="","",AB989-Z989)</f>
        <v/>
      </c>
      <c r="AB989" s="7">
        <f>IF($AD989="","",U989+X989+S989)</f>
        <v/>
      </c>
      <c r="AC989" s="7">
        <f>IF($AD989="","",AB989-Z989-P989)</f>
        <v/>
      </c>
      <c r="AD989" s="13">
        <f>IF(ROWS($AD$2:$AD989)&lt;=MAX('Per Line'!$AO$2:$AO$3001),MATCH(ROWS($AD$2:$AD989),'Per Line'!$AO$2:$AO$3001,0),"")</f>
        <v/>
      </c>
      <c r="AE989" s="14">
        <f>IF($AD989="","",P989-O989*AB989/100)</f>
        <v/>
      </c>
    </row>
    <row r="990">
      <c r="A990" s="12" t="n"/>
      <c r="B990">
        <f>IF($AD990="","",INDEX('Per Line'!$E$2:$E$3001,$AD990)&amp;"")</f>
        <v/>
      </c>
      <c r="C990">
        <f>IF($AD990="","",INDEX('Per Line'!$A$2:$A$3001,$AD990)&amp;"")</f>
        <v/>
      </c>
      <c r="D990">
        <f>IF($AD990="","",INDEX('Per Line'!$C$2:$C$3001,$AD990)&amp;"")</f>
        <v/>
      </c>
      <c r="E990">
        <f>IF($AD990="","",INDEX('Per Line'!$B$2:$B$3001,$AD990))</f>
        <v/>
      </c>
      <c r="F990">
        <f>IF($AD990="","",INDEX('Per Line'!$D$2:$D$3001,$AD990)&amp;"")</f>
        <v/>
      </c>
      <c r="G990" s="11">
        <f>IF($AD990="","",INDEX('Per Line'!$G$2:$G$3001,$AD990))</f>
        <v/>
      </c>
      <c r="H990">
        <f>IF($AD990="","",INDEX('Per Line'!$J$2:$J$3001,$AD990)&amp;"")</f>
        <v/>
      </c>
      <c r="I990">
        <f>IF($AD990="","",INDEX('Per Line'!$H$2:$H$3001,$AD990)&amp;"")</f>
        <v/>
      </c>
      <c r="J990">
        <f>IF($AD990="","",INDEX('Per Line'!$F$2:$F$3001,$AD990)&amp;"")</f>
        <v/>
      </c>
      <c r="K990">
        <f>IF($AD990="","",INDEX('Per Line'!$K$2:$K$3001,$AD990)&amp;"")</f>
        <v/>
      </c>
      <c r="L990">
        <f>IF($AD990="","",INDEX('Per Line'!$L$2:$L$3001,$AD990)&amp;"")</f>
        <v/>
      </c>
      <c r="M990">
        <f>IF($AD990="","",INDEX('Per Line'!$M$2:$M$3001,$AD990)&amp;"")</f>
        <v/>
      </c>
      <c r="N990">
        <f>IF($AD990="","",INDEX('Per Line'!$AC$2:$AC$3001,$AD990)&amp;"")</f>
        <v/>
      </c>
      <c r="O990">
        <f>IF($AD990="","",INDEX('Per Line'!$P$2:$P$3001,$AD990))</f>
        <v/>
      </c>
      <c r="P990" s="7">
        <f>IF($AD990="","",IF(AND(ISNUMBER(Q990),Q990&gt;0,AB990&gt;Q990),O990*Q990/100+(AB990-Q990),O990*AB990/100))</f>
        <v/>
      </c>
      <c r="Q990">
        <f>IF($AD990="","",INDEX('Per Line'!$AG$2:$AG$3001,$AD990))</f>
        <v/>
      </c>
      <c r="R990">
        <f>IF($AD990="","",IF(AND(ISNUMBER(Q990),Q990&gt;0),AB990&gt;Q990,FALSE))</f>
        <v/>
      </c>
      <c r="S990" s="7">
        <f>IF($AD990="","",SUMIFS('Per Line'!$AB$2:$AB$3001,'Per Line'!$E$2:$E$3001,$B990,'Per Line'!$AQ$2:$AQ$3001,1))</f>
        <v/>
      </c>
      <c r="T990">
        <f>IF($AD990="","",Settings!$C$7)</f>
        <v/>
      </c>
      <c r="U990" s="7">
        <f>IF($AD990="","",SUMIFS('Per Line'!$AB$2:$AB$3001,'Per Line'!$E$2:$E$3001,$B990,'Per Line'!$AP$2:$AP$3001,0,'Per Line'!$AQ$2:$AQ$3001,0))</f>
        <v/>
      </c>
      <c r="V990" s="7">
        <f>IF($AD990="","",U990*T990)</f>
        <v/>
      </c>
      <c r="W990">
        <f>IF($AD990="","",Settings!$C$6)</f>
        <v/>
      </c>
      <c r="X990" s="7">
        <f>IF($AD990="","",SUMIFS('Per Line'!$AB$2:$AB$3001,'Per Line'!$E$2:$E$3001,$B990,'Per Line'!$AP$2:$AP$3001,1,'Per Line'!$AQ$2:$AQ$3001,0))</f>
        <v/>
      </c>
      <c r="Y990" s="7">
        <f>IF($AD990="","",X990*W990)</f>
        <v/>
      </c>
      <c r="Z990" s="7">
        <f>IF($AD990="","",Y990+V990)</f>
        <v/>
      </c>
      <c r="AA990" s="7">
        <f>IF($AD990="","",AB990-Z990)</f>
        <v/>
      </c>
      <c r="AB990" s="7">
        <f>IF($AD990="","",U990+X990+S990)</f>
        <v/>
      </c>
      <c r="AC990" s="7">
        <f>IF($AD990="","",AB990-Z990-P990)</f>
        <v/>
      </c>
      <c r="AD990" s="13">
        <f>IF(ROWS($AD$2:$AD990)&lt;=MAX('Per Line'!$AO$2:$AO$3001),MATCH(ROWS($AD$2:$AD990),'Per Line'!$AO$2:$AO$3001,0),"")</f>
        <v/>
      </c>
      <c r="AE990" s="14">
        <f>IF($AD990="","",P990-O990*AB990/100)</f>
        <v/>
      </c>
    </row>
    <row r="991">
      <c r="A991" s="12" t="n"/>
      <c r="B991">
        <f>IF($AD991="","",INDEX('Per Line'!$E$2:$E$3001,$AD991)&amp;"")</f>
        <v/>
      </c>
      <c r="C991">
        <f>IF($AD991="","",INDEX('Per Line'!$A$2:$A$3001,$AD991)&amp;"")</f>
        <v/>
      </c>
      <c r="D991">
        <f>IF($AD991="","",INDEX('Per Line'!$C$2:$C$3001,$AD991)&amp;"")</f>
        <v/>
      </c>
      <c r="E991">
        <f>IF($AD991="","",INDEX('Per Line'!$B$2:$B$3001,$AD991))</f>
        <v/>
      </c>
      <c r="F991">
        <f>IF($AD991="","",INDEX('Per Line'!$D$2:$D$3001,$AD991)&amp;"")</f>
        <v/>
      </c>
      <c r="G991" s="11">
        <f>IF($AD991="","",INDEX('Per Line'!$G$2:$G$3001,$AD991))</f>
        <v/>
      </c>
      <c r="H991">
        <f>IF($AD991="","",INDEX('Per Line'!$J$2:$J$3001,$AD991)&amp;"")</f>
        <v/>
      </c>
      <c r="I991">
        <f>IF($AD991="","",INDEX('Per Line'!$H$2:$H$3001,$AD991)&amp;"")</f>
        <v/>
      </c>
      <c r="J991">
        <f>IF($AD991="","",INDEX('Per Line'!$F$2:$F$3001,$AD991)&amp;"")</f>
        <v/>
      </c>
      <c r="K991">
        <f>IF($AD991="","",INDEX('Per Line'!$K$2:$K$3001,$AD991)&amp;"")</f>
        <v/>
      </c>
      <c r="L991">
        <f>IF($AD991="","",INDEX('Per Line'!$L$2:$L$3001,$AD991)&amp;"")</f>
        <v/>
      </c>
      <c r="M991">
        <f>IF($AD991="","",INDEX('Per Line'!$M$2:$M$3001,$AD991)&amp;"")</f>
        <v/>
      </c>
      <c r="N991">
        <f>IF($AD991="","",INDEX('Per Line'!$AC$2:$AC$3001,$AD991)&amp;"")</f>
        <v/>
      </c>
      <c r="O991">
        <f>IF($AD991="","",INDEX('Per Line'!$P$2:$P$3001,$AD991))</f>
        <v/>
      </c>
      <c r="P991" s="7">
        <f>IF($AD991="","",IF(AND(ISNUMBER(Q991),Q991&gt;0,AB991&gt;Q991),O991*Q991/100+(AB991-Q991),O991*AB991/100))</f>
        <v/>
      </c>
      <c r="Q991">
        <f>IF($AD991="","",INDEX('Per Line'!$AG$2:$AG$3001,$AD991))</f>
        <v/>
      </c>
      <c r="R991">
        <f>IF($AD991="","",IF(AND(ISNUMBER(Q991),Q991&gt;0),AB991&gt;Q991,FALSE))</f>
        <v/>
      </c>
      <c r="S991" s="7">
        <f>IF($AD991="","",SUMIFS('Per Line'!$AB$2:$AB$3001,'Per Line'!$E$2:$E$3001,$B991,'Per Line'!$AQ$2:$AQ$3001,1))</f>
        <v/>
      </c>
      <c r="T991">
        <f>IF($AD991="","",Settings!$C$7)</f>
        <v/>
      </c>
      <c r="U991" s="7">
        <f>IF($AD991="","",SUMIFS('Per Line'!$AB$2:$AB$3001,'Per Line'!$E$2:$E$3001,$B991,'Per Line'!$AP$2:$AP$3001,0,'Per Line'!$AQ$2:$AQ$3001,0))</f>
        <v/>
      </c>
      <c r="V991" s="7">
        <f>IF($AD991="","",U991*T991)</f>
        <v/>
      </c>
      <c r="W991">
        <f>IF($AD991="","",Settings!$C$6)</f>
        <v/>
      </c>
      <c r="X991" s="7">
        <f>IF($AD991="","",SUMIFS('Per Line'!$AB$2:$AB$3001,'Per Line'!$E$2:$E$3001,$B991,'Per Line'!$AP$2:$AP$3001,1,'Per Line'!$AQ$2:$AQ$3001,0))</f>
        <v/>
      </c>
      <c r="Y991" s="7">
        <f>IF($AD991="","",X991*W991)</f>
        <v/>
      </c>
      <c r="Z991" s="7">
        <f>IF($AD991="","",Y991+V991)</f>
        <v/>
      </c>
      <c r="AA991" s="7">
        <f>IF($AD991="","",AB991-Z991)</f>
        <v/>
      </c>
      <c r="AB991" s="7">
        <f>IF($AD991="","",U991+X991+S991)</f>
        <v/>
      </c>
      <c r="AC991" s="7">
        <f>IF($AD991="","",AB991-Z991-P991)</f>
        <v/>
      </c>
      <c r="AD991" s="13">
        <f>IF(ROWS($AD$2:$AD991)&lt;=MAX('Per Line'!$AO$2:$AO$3001),MATCH(ROWS($AD$2:$AD991),'Per Line'!$AO$2:$AO$3001,0),"")</f>
        <v/>
      </c>
      <c r="AE991" s="14">
        <f>IF($AD991="","",P991-O991*AB991/100)</f>
        <v/>
      </c>
    </row>
    <row r="992">
      <c r="A992" s="12" t="n"/>
      <c r="B992">
        <f>IF($AD992="","",INDEX('Per Line'!$E$2:$E$3001,$AD992)&amp;"")</f>
        <v/>
      </c>
      <c r="C992">
        <f>IF($AD992="","",INDEX('Per Line'!$A$2:$A$3001,$AD992)&amp;"")</f>
        <v/>
      </c>
      <c r="D992">
        <f>IF($AD992="","",INDEX('Per Line'!$C$2:$C$3001,$AD992)&amp;"")</f>
        <v/>
      </c>
      <c r="E992">
        <f>IF($AD992="","",INDEX('Per Line'!$B$2:$B$3001,$AD992))</f>
        <v/>
      </c>
      <c r="F992">
        <f>IF($AD992="","",INDEX('Per Line'!$D$2:$D$3001,$AD992)&amp;"")</f>
        <v/>
      </c>
      <c r="G992" s="11">
        <f>IF($AD992="","",INDEX('Per Line'!$G$2:$G$3001,$AD992))</f>
        <v/>
      </c>
      <c r="H992">
        <f>IF($AD992="","",INDEX('Per Line'!$J$2:$J$3001,$AD992)&amp;"")</f>
        <v/>
      </c>
      <c r="I992">
        <f>IF($AD992="","",INDEX('Per Line'!$H$2:$H$3001,$AD992)&amp;"")</f>
        <v/>
      </c>
      <c r="J992">
        <f>IF($AD992="","",INDEX('Per Line'!$F$2:$F$3001,$AD992)&amp;"")</f>
        <v/>
      </c>
      <c r="K992">
        <f>IF($AD992="","",INDEX('Per Line'!$K$2:$K$3001,$AD992)&amp;"")</f>
        <v/>
      </c>
      <c r="L992">
        <f>IF($AD992="","",INDEX('Per Line'!$L$2:$L$3001,$AD992)&amp;"")</f>
        <v/>
      </c>
      <c r="M992">
        <f>IF($AD992="","",INDEX('Per Line'!$M$2:$M$3001,$AD992)&amp;"")</f>
        <v/>
      </c>
      <c r="N992">
        <f>IF($AD992="","",INDEX('Per Line'!$AC$2:$AC$3001,$AD992)&amp;"")</f>
        <v/>
      </c>
      <c r="O992">
        <f>IF($AD992="","",INDEX('Per Line'!$P$2:$P$3001,$AD992))</f>
        <v/>
      </c>
      <c r="P992" s="7">
        <f>IF($AD992="","",IF(AND(ISNUMBER(Q992),Q992&gt;0,AB992&gt;Q992),O992*Q992/100+(AB992-Q992),O992*AB992/100))</f>
        <v/>
      </c>
      <c r="Q992">
        <f>IF($AD992="","",INDEX('Per Line'!$AG$2:$AG$3001,$AD992))</f>
        <v/>
      </c>
      <c r="R992">
        <f>IF($AD992="","",IF(AND(ISNUMBER(Q992),Q992&gt;0),AB992&gt;Q992,FALSE))</f>
        <v/>
      </c>
      <c r="S992" s="7">
        <f>IF($AD992="","",SUMIFS('Per Line'!$AB$2:$AB$3001,'Per Line'!$E$2:$E$3001,$B992,'Per Line'!$AQ$2:$AQ$3001,1))</f>
        <v/>
      </c>
      <c r="T992">
        <f>IF($AD992="","",Settings!$C$7)</f>
        <v/>
      </c>
      <c r="U992" s="7">
        <f>IF($AD992="","",SUMIFS('Per Line'!$AB$2:$AB$3001,'Per Line'!$E$2:$E$3001,$B992,'Per Line'!$AP$2:$AP$3001,0,'Per Line'!$AQ$2:$AQ$3001,0))</f>
        <v/>
      </c>
      <c r="V992" s="7">
        <f>IF($AD992="","",U992*T992)</f>
        <v/>
      </c>
      <c r="W992">
        <f>IF($AD992="","",Settings!$C$6)</f>
        <v/>
      </c>
      <c r="X992" s="7">
        <f>IF($AD992="","",SUMIFS('Per Line'!$AB$2:$AB$3001,'Per Line'!$E$2:$E$3001,$B992,'Per Line'!$AP$2:$AP$3001,1,'Per Line'!$AQ$2:$AQ$3001,0))</f>
        <v/>
      </c>
      <c r="Y992" s="7">
        <f>IF($AD992="","",X992*W992)</f>
        <v/>
      </c>
      <c r="Z992" s="7">
        <f>IF($AD992="","",Y992+V992)</f>
        <v/>
      </c>
      <c r="AA992" s="7">
        <f>IF($AD992="","",AB992-Z992)</f>
        <v/>
      </c>
      <c r="AB992" s="7">
        <f>IF($AD992="","",U992+X992+S992)</f>
        <v/>
      </c>
      <c r="AC992" s="7">
        <f>IF($AD992="","",AB992-Z992-P992)</f>
        <v/>
      </c>
      <c r="AD992" s="13">
        <f>IF(ROWS($AD$2:$AD992)&lt;=MAX('Per Line'!$AO$2:$AO$3001),MATCH(ROWS($AD$2:$AD992),'Per Line'!$AO$2:$AO$3001,0),"")</f>
        <v/>
      </c>
      <c r="AE992" s="14">
        <f>IF($AD992="","",P992-O992*AB992/100)</f>
        <v/>
      </c>
    </row>
    <row r="993">
      <c r="A993" s="12" t="n"/>
      <c r="B993">
        <f>IF($AD993="","",INDEX('Per Line'!$E$2:$E$3001,$AD993)&amp;"")</f>
        <v/>
      </c>
      <c r="C993">
        <f>IF($AD993="","",INDEX('Per Line'!$A$2:$A$3001,$AD993)&amp;"")</f>
        <v/>
      </c>
      <c r="D993">
        <f>IF($AD993="","",INDEX('Per Line'!$C$2:$C$3001,$AD993)&amp;"")</f>
        <v/>
      </c>
      <c r="E993">
        <f>IF($AD993="","",INDEX('Per Line'!$B$2:$B$3001,$AD993))</f>
        <v/>
      </c>
      <c r="F993">
        <f>IF($AD993="","",INDEX('Per Line'!$D$2:$D$3001,$AD993)&amp;"")</f>
        <v/>
      </c>
      <c r="G993" s="11">
        <f>IF($AD993="","",INDEX('Per Line'!$G$2:$G$3001,$AD993))</f>
        <v/>
      </c>
      <c r="H993">
        <f>IF($AD993="","",INDEX('Per Line'!$J$2:$J$3001,$AD993)&amp;"")</f>
        <v/>
      </c>
      <c r="I993">
        <f>IF($AD993="","",INDEX('Per Line'!$H$2:$H$3001,$AD993)&amp;"")</f>
        <v/>
      </c>
      <c r="J993">
        <f>IF($AD993="","",INDEX('Per Line'!$F$2:$F$3001,$AD993)&amp;"")</f>
        <v/>
      </c>
      <c r="K993">
        <f>IF($AD993="","",INDEX('Per Line'!$K$2:$K$3001,$AD993)&amp;"")</f>
        <v/>
      </c>
      <c r="L993">
        <f>IF($AD993="","",INDEX('Per Line'!$L$2:$L$3001,$AD993)&amp;"")</f>
        <v/>
      </c>
      <c r="M993">
        <f>IF($AD993="","",INDEX('Per Line'!$M$2:$M$3001,$AD993)&amp;"")</f>
        <v/>
      </c>
      <c r="N993">
        <f>IF($AD993="","",INDEX('Per Line'!$AC$2:$AC$3001,$AD993)&amp;"")</f>
        <v/>
      </c>
      <c r="O993">
        <f>IF($AD993="","",INDEX('Per Line'!$P$2:$P$3001,$AD993))</f>
        <v/>
      </c>
      <c r="P993" s="7">
        <f>IF($AD993="","",IF(AND(ISNUMBER(Q993),Q993&gt;0,AB993&gt;Q993),O993*Q993/100+(AB993-Q993),O993*AB993/100))</f>
        <v/>
      </c>
      <c r="Q993">
        <f>IF($AD993="","",INDEX('Per Line'!$AG$2:$AG$3001,$AD993))</f>
        <v/>
      </c>
      <c r="R993">
        <f>IF($AD993="","",IF(AND(ISNUMBER(Q993),Q993&gt;0),AB993&gt;Q993,FALSE))</f>
        <v/>
      </c>
      <c r="S993" s="7">
        <f>IF($AD993="","",SUMIFS('Per Line'!$AB$2:$AB$3001,'Per Line'!$E$2:$E$3001,$B993,'Per Line'!$AQ$2:$AQ$3001,1))</f>
        <v/>
      </c>
      <c r="T993">
        <f>IF($AD993="","",Settings!$C$7)</f>
        <v/>
      </c>
      <c r="U993" s="7">
        <f>IF($AD993="","",SUMIFS('Per Line'!$AB$2:$AB$3001,'Per Line'!$E$2:$E$3001,$B993,'Per Line'!$AP$2:$AP$3001,0,'Per Line'!$AQ$2:$AQ$3001,0))</f>
        <v/>
      </c>
      <c r="V993" s="7">
        <f>IF($AD993="","",U993*T993)</f>
        <v/>
      </c>
      <c r="W993">
        <f>IF($AD993="","",Settings!$C$6)</f>
        <v/>
      </c>
      <c r="X993" s="7">
        <f>IF($AD993="","",SUMIFS('Per Line'!$AB$2:$AB$3001,'Per Line'!$E$2:$E$3001,$B993,'Per Line'!$AP$2:$AP$3001,1,'Per Line'!$AQ$2:$AQ$3001,0))</f>
        <v/>
      </c>
      <c r="Y993" s="7">
        <f>IF($AD993="","",X993*W993)</f>
        <v/>
      </c>
      <c r="Z993" s="7">
        <f>IF($AD993="","",Y993+V993)</f>
        <v/>
      </c>
      <c r="AA993" s="7">
        <f>IF($AD993="","",AB993-Z993)</f>
        <v/>
      </c>
      <c r="AB993" s="7">
        <f>IF($AD993="","",U993+X993+S993)</f>
        <v/>
      </c>
      <c r="AC993" s="7">
        <f>IF($AD993="","",AB993-Z993-P993)</f>
        <v/>
      </c>
      <c r="AD993" s="13">
        <f>IF(ROWS($AD$2:$AD993)&lt;=MAX('Per Line'!$AO$2:$AO$3001),MATCH(ROWS($AD$2:$AD993),'Per Line'!$AO$2:$AO$3001,0),"")</f>
        <v/>
      </c>
      <c r="AE993" s="14">
        <f>IF($AD993="","",P993-O993*AB993/100)</f>
        <v/>
      </c>
    </row>
    <row r="994">
      <c r="A994" s="12" t="n"/>
      <c r="B994">
        <f>IF($AD994="","",INDEX('Per Line'!$E$2:$E$3001,$AD994)&amp;"")</f>
        <v/>
      </c>
      <c r="C994">
        <f>IF($AD994="","",INDEX('Per Line'!$A$2:$A$3001,$AD994)&amp;"")</f>
        <v/>
      </c>
      <c r="D994">
        <f>IF($AD994="","",INDEX('Per Line'!$C$2:$C$3001,$AD994)&amp;"")</f>
        <v/>
      </c>
      <c r="E994">
        <f>IF($AD994="","",INDEX('Per Line'!$B$2:$B$3001,$AD994))</f>
        <v/>
      </c>
      <c r="F994">
        <f>IF($AD994="","",INDEX('Per Line'!$D$2:$D$3001,$AD994)&amp;"")</f>
        <v/>
      </c>
      <c r="G994" s="11">
        <f>IF($AD994="","",INDEX('Per Line'!$G$2:$G$3001,$AD994))</f>
        <v/>
      </c>
      <c r="H994">
        <f>IF($AD994="","",INDEX('Per Line'!$J$2:$J$3001,$AD994)&amp;"")</f>
        <v/>
      </c>
      <c r="I994">
        <f>IF($AD994="","",INDEX('Per Line'!$H$2:$H$3001,$AD994)&amp;"")</f>
        <v/>
      </c>
      <c r="J994">
        <f>IF($AD994="","",INDEX('Per Line'!$F$2:$F$3001,$AD994)&amp;"")</f>
        <v/>
      </c>
      <c r="K994">
        <f>IF($AD994="","",INDEX('Per Line'!$K$2:$K$3001,$AD994)&amp;"")</f>
        <v/>
      </c>
      <c r="L994">
        <f>IF($AD994="","",INDEX('Per Line'!$L$2:$L$3001,$AD994)&amp;"")</f>
        <v/>
      </c>
      <c r="M994">
        <f>IF($AD994="","",INDEX('Per Line'!$M$2:$M$3001,$AD994)&amp;"")</f>
        <v/>
      </c>
      <c r="N994">
        <f>IF($AD994="","",INDEX('Per Line'!$AC$2:$AC$3001,$AD994)&amp;"")</f>
        <v/>
      </c>
      <c r="O994">
        <f>IF($AD994="","",INDEX('Per Line'!$P$2:$P$3001,$AD994))</f>
        <v/>
      </c>
      <c r="P994" s="7">
        <f>IF($AD994="","",IF(AND(ISNUMBER(Q994),Q994&gt;0,AB994&gt;Q994),O994*Q994/100+(AB994-Q994),O994*AB994/100))</f>
        <v/>
      </c>
      <c r="Q994">
        <f>IF($AD994="","",INDEX('Per Line'!$AG$2:$AG$3001,$AD994))</f>
        <v/>
      </c>
      <c r="R994">
        <f>IF($AD994="","",IF(AND(ISNUMBER(Q994),Q994&gt;0),AB994&gt;Q994,FALSE))</f>
        <v/>
      </c>
      <c r="S994" s="7">
        <f>IF($AD994="","",SUMIFS('Per Line'!$AB$2:$AB$3001,'Per Line'!$E$2:$E$3001,$B994,'Per Line'!$AQ$2:$AQ$3001,1))</f>
        <v/>
      </c>
      <c r="T994">
        <f>IF($AD994="","",Settings!$C$7)</f>
        <v/>
      </c>
      <c r="U994" s="7">
        <f>IF($AD994="","",SUMIFS('Per Line'!$AB$2:$AB$3001,'Per Line'!$E$2:$E$3001,$B994,'Per Line'!$AP$2:$AP$3001,0,'Per Line'!$AQ$2:$AQ$3001,0))</f>
        <v/>
      </c>
      <c r="V994" s="7">
        <f>IF($AD994="","",U994*T994)</f>
        <v/>
      </c>
      <c r="W994">
        <f>IF($AD994="","",Settings!$C$6)</f>
        <v/>
      </c>
      <c r="X994" s="7">
        <f>IF($AD994="","",SUMIFS('Per Line'!$AB$2:$AB$3001,'Per Line'!$E$2:$E$3001,$B994,'Per Line'!$AP$2:$AP$3001,1,'Per Line'!$AQ$2:$AQ$3001,0))</f>
        <v/>
      </c>
      <c r="Y994" s="7">
        <f>IF($AD994="","",X994*W994)</f>
        <v/>
      </c>
      <c r="Z994" s="7">
        <f>IF($AD994="","",Y994+V994)</f>
        <v/>
      </c>
      <c r="AA994" s="7">
        <f>IF($AD994="","",AB994-Z994)</f>
        <v/>
      </c>
      <c r="AB994" s="7">
        <f>IF($AD994="","",U994+X994+S994)</f>
        <v/>
      </c>
      <c r="AC994" s="7">
        <f>IF($AD994="","",AB994-Z994-P994)</f>
        <v/>
      </c>
      <c r="AD994" s="13">
        <f>IF(ROWS($AD$2:$AD994)&lt;=MAX('Per Line'!$AO$2:$AO$3001),MATCH(ROWS($AD$2:$AD994),'Per Line'!$AO$2:$AO$3001,0),"")</f>
        <v/>
      </c>
      <c r="AE994" s="14">
        <f>IF($AD994="","",P994-O994*AB994/100)</f>
        <v/>
      </c>
    </row>
    <row r="995">
      <c r="A995" s="12" t="n"/>
      <c r="B995">
        <f>IF($AD995="","",INDEX('Per Line'!$E$2:$E$3001,$AD995)&amp;"")</f>
        <v/>
      </c>
      <c r="C995">
        <f>IF($AD995="","",INDEX('Per Line'!$A$2:$A$3001,$AD995)&amp;"")</f>
        <v/>
      </c>
      <c r="D995">
        <f>IF($AD995="","",INDEX('Per Line'!$C$2:$C$3001,$AD995)&amp;"")</f>
        <v/>
      </c>
      <c r="E995">
        <f>IF($AD995="","",INDEX('Per Line'!$B$2:$B$3001,$AD995))</f>
        <v/>
      </c>
      <c r="F995">
        <f>IF($AD995="","",INDEX('Per Line'!$D$2:$D$3001,$AD995)&amp;"")</f>
        <v/>
      </c>
      <c r="G995" s="11">
        <f>IF($AD995="","",INDEX('Per Line'!$G$2:$G$3001,$AD995))</f>
        <v/>
      </c>
      <c r="H995">
        <f>IF($AD995="","",INDEX('Per Line'!$J$2:$J$3001,$AD995)&amp;"")</f>
        <v/>
      </c>
      <c r="I995">
        <f>IF($AD995="","",INDEX('Per Line'!$H$2:$H$3001,$AD995)&amp;"")</f>
        <v/>
      </c>
      <c r="J995">
        <f>IF($AD995="","",INDEX('Per Line'!$F$2:$F$3001,$AD995)&amp;"")</f>
        <v/>
      </c>
      <c r="K995">
        <f>IF($AD995="","",INDEX('Per Line'!$K$2:$K$3001,$AD995)&amp;"")</f>
        <v/>
      </c>
      <c r="L995">
        <f>IF($AD995="","",INDEX('Per Line'!$L$2:$L$3001,$AD995)&amp;"")</f>
        <v/>
      </c>
      <c r="M995">
        <f>IF($AD995="","",INDEX('Per Line'!$M$2:$M$3001,$AD995)&amp;"")</f>
        <v/>
      </c>
      <c r="N995">
        <f>IF($AD995="","",INDEX('Per Line'!$AC$2:$AC$3001,$AD995)&amp;"")</f>
        <v/>
      </c>
      <c r="O995">
        <f>IF($AD995="","",INDEX('Per Line'!$P$2:$P$3001,$AD995))</f>
        <v/>
      </c>
      <c r="P995" s="7">
        <f>IF($AD995="","",IF(AND(ISNUMBER(Q995),Q995&gt;0,AB995&gt;Q995),O995*Q995/100+(AB995-Q995),O995*AB995/100))</f>
        <v/>
      </c>
      <c r="Q995">
        <f>IF($AD995="","",INDEX('Per Line'!$AG$2:$AG$3001,$AD995))</f>
        <v/>
      </c>
      <c r="R995">
        <f>IF($AD995="","",IF(AND(ISNUMBER(Q995),Q995&gt;0),AB995&gt;Q995,FALSE))</f>
        <v/>
      </c>
      <c r="S995" s="7">
        <f>IF($AD995="","",SUMIFS('Per Line'!$AB$2:$AB$3001,'Per Line'!$E$2:$E$3001,$B995,'Per Line'!$AQ$2:$AQ$3001,1))</f>
        <v/>
      </c>
      <c r="T995">
        <f>IF($AD995="","",Settings!$C$7)</f>
        <v/>
      </c>
      <c r="U995" s="7">
        <f>IF($AD995="","",SUMIFS('Per Line'!$AB$2:$AB$3001,'Per Line'!$E$2:$E$3001,$B995,'Per Line'!$AP$2:$AP$3001,0,'Per Line'!$AQ$2:$AQ$3001,0))</f>
        <v/>
      </c>
      <c r="V995" s="7">
        <f>IF($AD995="","",U995*T995)</f>
        <v/>
      </c>
      <c r="W995">
        <f>IF($AD995="","",Settings!$C$6)</f>
        <v/>
      </c>
      <c r="X995" s="7">
        <f>IF($AD995="","",SUMIFS('Per Line'!$AB$2:$AB$3001,'Per Line'!$E$2:$E$3001,$B995,'Per Line'!$AP$2:$AP$3001,1,'Per Line'!$AQ$2:$AQ$3001,0))</f>
        <v/>
      </c>
      <c r="Y995" s="7">
        <f>IF($AD995="","",X995*W995)</f>
        <v/>
      </c>
      <c r="Z995" s="7">
        <f>IF($AD995="","",Y995+V995)</f>
        <v/>
      </c>
      <c r="AA995" s="7">
        <f>IF($AD995="","",AB995-Z995)</f>
        <v/>
      </c>
      <c r="AB995" s="7">
        <f>IF($AD995="","",U995+X995+S995)</f>
        <v/>
      </c>
      <c r="AC995" s="7">
        <f>IF($AD995="","",AB995-Z995-P995)</f>
        <v/>
      </c>
      <c r="AD995" s="13">
        <f>IF(ROWS($AD$2:$AD995)&lt;=MAX('Per Line'!$AO$2:$AO$3001),MATCH(ROWS($AD$2:$AD995),'Per Line'!$AO$2:$AO$3001,0),"")</f>
        <v/>
      </c>
      <c r="AE995" s="14">
        <f>IF($AD995="","",P995-O995*AB995/100)</f>
        <v/>
      </c>
    </row>
    <row r="996">
      <c r="A996" s="12" t="n"/>
      <c r="B996">
        <f>IF($AD996="","",INDEX('Per Line'!$E$2:$E$3001,$AD996)&amp;"")</f>
        <v/>
      </c>
      <c r="C996">
        <f>IF($AD996="","",INDEX('Per Line'!$A$2:$A$3001,$AD996)&amp;"")</f>
        <v/>
      </c>
      <c r="D996">
        <f>IF($AD996="","",INDEX('Per Line'!$C$2:$C$3001,$AD996)&amp;"")</f>
        <v/>
      </c>
      <c r="E996">
        <f>IF($AD996="","",INDEX('Per Line'!$B$2:$B$3001,$AD996))</f>
        <v/>
      </c>
      <c r="F996">
        <f>IF($AD996="","",INDEX('Per Line'!$D$2:$D$3001,$AD996)&amp;"")</f>
        <v/>
      </c>
      <c r="G996" s="11">
        <f>IF($AD996="","",INDEX('Per Line'!$G$2:$G$3001,$AD996))</f>
        <v/>
      </c>
      <c r="H996">
        <f>IF($AD996="","",INDEX('Per Line'!$J$2:$J$3001,$AD996)&amp;"")</f>
        <v/>
      </c>
      <c r="I996">
        <f>IF($AD996="","",INDEX('Per Line'!$H$2:$H$3001,$AD996)&amp;"")</f>
        <v/>
      </c>
      <c r="J996">
        <f>IF($AD996="","",INDEX('Per Line'!$F$2:$F$3001,$AD996)&amp;"")</f>
        <v/>
      </c>
      <c r="K996">
        <f>IF($AD996="","",INDEX('Per Line'!$K$2:$K$3001,$AD996)&amp;"")</f>
        <v/>
      </c>
      <c r="L996">
        <f>IF($AD996="","",INDEX('Per Line'!$L$2:$L$3001,$AD996)&amp;"")</f>
        <v/>
      </c>
      <c r="M996">
        <f>IF($AD996="","",INDEX('Per Line'!$M$2:$M$3001,$AD996)&amp;"")</f>
        <v/>
      </c>
      <c r="N996">
        <f>IF($AD996="","",INDEX('Per Line'!$AC$2:$AC$3001,$AD996)&amp;"")</f>
        <v/>
      </c>
      <c r="O996">
        <f>IF($AD996="","",INDEX('Per Line'!$P$2:$P$3001,$AD996))</f>
        <v/>
      </c>
      <c r="P996" s="7">
        <f>IF($AD996="","",IF(AND(ISNUMBER(Q996),Q996&gt;0,AB996&gt;Q996),O996*Q996/100+(AB996-Q996),O996*AB996/100))</f>
        <v/>
      </c>
      <c r="Q996">
        <f>IF($AD996="","",INDEX('Per Line'!$AG$2:$AG$3001,$AD996))</f>
        <v/>
      </c>
      <c r="R996">
        <f>IF($AD996="","",IF(AND(ISNUMBER(Q996),Q996&gt;0),AB996&gt;Q996,FALSE))</f>
        <v/>
      </c>
      <c r="S996" s="7">
        <f>IF($AD996="","",SUMIFS('Per Line'!$AB$2:$AB$3001,'Per Line'!$E$2:$E$3001,$B996,'Per Line'!$AQ$2:$AQ$3001,1))</f>
        <v/>
      </c>
      <c r="T996">
        <f>IF($AD996="","",Settings!$C$7)</f>
        <v/>
      </c>
      <c r="U996" s="7">
        <f>IF($AD996="","",SUMIFS('Per Line'!$AB$2:$AB$3001,'Per Line'!$E$2:$E$3001,$B996,'Per Line'!$AP$2:$AP$3001,0,'Per Line'!$AQ$2:$AQ$3001,0))</f>
        <v/>
      </c>
      <c r="V996" s="7">
        <f>IF($AD996="","",U996*T996)</f>
        <v/>
      </c>
      <c r="W996">
        <f>IF($AD996="","",Settings!$C$6)</f>
        <v/>
      </c>
      <c r="X996" s="7">
        <f>IF($AD996="","",SUMIFS('Per Line'!$AB$2:$AB$3001,'Per Line'!$E$2:$E$3001,$B996,'Per Line'!$AP$2:$AP$3001,1,'Per Line'!$AQ$2:$AQ$3001,0))</f>
        <v/>
      </c>
      <c r="Y996" s="7">
        <f>IF($AD996="","",X996*W996)</f>
        <v/>
      </c>
      <c r="Z996" s="7">
        <f>IF($AD996="","",Y996+V996)</f>
        <v/>
      </c>
      <c r="AA996" s="7">
        <f>IF($AD996="","",AB996-Z996)</f>
        <v/>
      </c>
      <c r="AB996" s="7">
        <f>IF($AD996="","",U996+X996+S996)</f>
        <v/>
      </c>
      <c r="AC996" s="7">
        <f>IF($AD996="","",AB996-Z996-P996)</f>
        <v/>
      </c>
      <c r="AD996" s="13">
        <f>IF(ROWS($AD$2:$AD996)&lt;=MAX('Per Line'!$AO$2:$AO$3001),MATCH(ROWS($AD$2:$AD996),'Per Line'!$AO$2:$AO$3001,0),"")</f>
        <v/>
      </c>
      <c r="AE996" s="14">
        <f>IF($AD996="","",P996-O996*AB996/100)</f>
        <v/>
      </c>
    </row>
    <row r="997">
      <c r="A997" s="12" t="n"/>
      <c r="B997">
        <f>IF($AD997="","",INDEX('Per Line'!$E$2:$E$3001,$AD997)&amp;"")</f>
        <v/>
      </c>
      <c r="C997">
        <f>IF($AD997="","",INDEX('Per Line'!$A$2:$A$3001,$AD997)&amp;"")</f>
        <v/>
      </c>
      <c r="D997">
        <f>IF($AD997="","",INDEX('Per Line'!$C$2:$C$3001,$AD997)&amp;"")</f>
        <v/>
      </c>
      <c r="E997">
        <f>IF($AD997="","",INDEX('Per Line'!$B$2:$B$3001,$AD997))</f>
        <v/>
      </c>
      <c r="F997">
        <f>IF($AD997="","",INDEX('Per Line'!$D$2:$D$3001,$AD997)&amp;"")</f>
        <v/>
      </c>
      <c r="G997" s="11">
        <f>IF($AD997="","",INDEX('Per Line'!$G$2:$G$3001,$AD997))</f>
        <v/>
      </c>
      <c r="H997">
        <f>IF($AD997="","",INDEX('Per Line'!$J$2:$J$3001,$AD997)&amp;"")</f>
        <v/>
      </c>
      <c r="I997">
        <f>IF($AD997="","",INDEX('Per Line'!$H$2:$H$3001,$AD997)&amp;"")</f>
        <v/>
      </c>
      <c r="J997">
        <f>IF($AD997="","",INDEX('Per Line'!$F$2:$F$3001,$AD997)&amp;"")</f>
        <v/>
      </c>
      <c r="K997">
        <f>IF($AD997="","",INDEX('Per Line'!$K$2:$K$3001,$AD997)&amp;"")</f>
        <v/>
      </c>
      <c r="L997">
        <f>IF($AD997="","",INDEX('Per Line'!$L$2:$L$3001,$AD997)&amp;"")</f>
        <v/>
      </c>
      <c r="M997">
        <f>IF($AD997="","",INDEX('Per Line'!$M$2:$M$3001,$AD997)&amp;"")</f>
        <v/>
      </c>
      <c r="N997">
        <f>IF($AD997="","",INDEX('Per Line'!$AC$2:$AC$3001,$AD997)&amp;"")</f>
        <v/>
      </c>
      <c r="O997">
        <f>IF($AD997="","",INDEX('Per Line'!$P$2:$P$3001,$AD997))</f>
        <v/>
      </c>
      <c r="P997" s="7">
        <f>IF($AD997="","",IF(AND(ISNUMBER(Q997),Q997&gt;0,AB997&gt;Q997),O997*Q997/100+(AB997-Q997),O997*AB997/100))</f>
        <v/>
      </c>
      <c r="Q997">
        <f>IF($AD997="","",INDEX('Per Line'!$AG$2:$AG$3001,$AD997))</f>
        <v/>
      </c>
      <c r="R997">
        <f>IF($AD997="","",IF(AND(ISNUMBER(Q997),Q997&gt;0),AB997&gt;Q997,FALSE))</f>
        <v/>
      </c>
      <c r="S997" s="7">
        <f>IF($AD997="","",SUMIFS('Per Line'!$AB$2:$AB$3001,'Per Line'!$E$2:$E$3001,$B997,'Per Line'!$AQ$2:$AQ$3001,1))</f>
        <v/>
      </c>
      <c r="T997">
        <f>IF($AD997="","",Settings!$C$7)</f>
        <v/>
      </c>
      <c r="U997" s="7">
        <f>IF($AD997="","",SUMIFS('Per Line'!$AB$2:$AB$3001,'Per Line'!$E$2:$E$3001,$B997,'Per Line'!$AP$2:$AP$3001,0,'Per Line'!$AQ$2:$AQ$3001,0))</f>
        <v/>
      </c>
      <c r="V997" s="7">
        <f>IF($AD997="","",U997*T997)</f>
        <v/>
      </c>
      <c r="W997">
        <f>IF($AD997="","",Settings!$C$6)</f>
        <v/>
      </c>
      <c r="X997" s="7">
        <f>IF($AD997="","",SUMIFS('Per Line'!$AB$2:$AB$3001,'Per Line'!$E$2:$E$3001,$B997,'Per Line'!$AP$2:$AP$3001,1,'Per Line'!$AQ$2:$AQ$3001,0))</f>
        <v/>
      </c>
      <c r="Y997" s="7">
        <f>IF($AD997="","",X997*W997)</f>
        <v/>
      </c>
      <c r="Z997" s="7">
        <f>IF($AD997="","",Y997+V997)</f>
        <v/>
      </c>
      <c r="AA997" s="7">
        <f>IF($AD997="","",AB997-Z997)</f>
        <v/>
      </c>
      <c r="AB997" s="7">
        <f>IF($AD997="","",U997+X997+S997)</f>
        <v/>
      </c>
      <c r="AC997" s="7">
        <f>IF($AD997="","",AB997-Z997-P997)</f>
        <v/>
      </c>
      <c r="AD997" s="13">
        <f>IF(ROWS($AD$2:$AD997)&lt;=MAX('Per Line'!$AO$2:$AO$3001),MATCH(ROWS($AD$2:$AD997),'Per Line'!$AO$2:$AO$3001,0),"")</f>
        <v/>
      </c>
      <c r="AE997" s="14">
        <f>IF($AD997="","",P997-O997*AB997/100)</f>
        <v/>
      </c>
    </row>
    <row r="998">
      <c r="A998" s="12" t="n"/>
      <c r="B998">
        <f>IF($AD998="","",INDEX('Per Line'!$E$2:$E$3001,$AD998)&amp;"")</f>
        <v/>
      </c>
      <c r="C998">
        <f>IF($AD998="","",INDEX('Per Line'!$A$2:$A$3001,$AD998)&amp;"")</f>
        <v/>
      </c>
      <c r="D998">
        <f>IF($AD998="","",INDEX('Per Line'!$C$2:$C$3001,$AD998)&amp;"")</f>
        <v/>
      </c>
      <c r="E998">
        <f>IF($AD998="","",INDEX('Per Line'!$B$2:$B$3001,$AD998))</f>
        <v/>
      </c>
      <c r="F998">
        <f>IF($AD998="","",INDEX('Per Line'!$D$2:$D$3001,$AD998)&amp;"")</f>
        <v/>
      </c>
      <c r="G998" s="11">
        <f>IF($AD998="","",INDEX('Per Line'!$G$2:$G$3001,$AD998))</f>
        <v/>
      </c>
      <c r="H998">
        <f>IF($AD998="","",INDEX('Per Line'!$J$2:$J$3001,$AD998)&amp;"")</f>
        <v/>
      </c>
      <c r="I998">
        <f>IF($AD998="","",INDEX('Per Line'!$H$2:$H$3001,$AD998)&amp;"")</f>
        <v/>
      </c>
      <c r="J998">
        <f>IF($AD998="","",INDEX('Per Line'!$F$2:$F$3001,$AD998)&amp;"")</f>
        <v/>
      </c>
      <c r="K998">
        <f>IF($AD998="","",INDEX('Per Line'!$K$2:$K$3001,$AD998)&amp;"")</f>
        <v/>
      </c>
      <c r="L998">
        <f>IF($AD998="","",INDEX('Per Line'!$L$2:$L$3001,$AD998)&amp;"")</f>
        <v/>
      </c>
      <c r="M998">
        <f>IF($AD998="","",INDEX('Per Line'!$M$2:$M$3001,$AD998)&amp;"")</f>
        <v/>
      </c>
      <c r="N998">
        <f>IF($AD998="","",INDEX('Per Line'!$AC$2:$AC$3001,$AD998)&amp;"")</f>
        <v/>
      </c>
      <c r="O998">
        <f>IF($AD998="","",INDEX('Per Line'!$P$2:$P$3001,$AD998))</f>
        <v/>
      </c>
      <c r="P998" s="7">
        <f>IF($AD998="","",IF(AND(ISNUMBER(Q998),Q998&gt;0,AB998&gt;Q998),O998*Q998/100+(AB998-Q998),O998*AB998/100))</f>
        <v/>
      </c>
      <c r="Q998">
        <f>IF($AD998="","",INDEX('Per Line'!$AG$2:$AG$3001,$AD998))</f>
        <v/>
      </c>
      <c r="R998">
        <f>IF($AD998="","",IF(AND(ISNUMBER(Q998),Q998&gt;0),AB998&gt;Q998,FALSE))</f>
        <v/>
      </c>
      <c r="S998" s="7">
        <f>IF($AD998="","",SUMIFS('Per Line'!$AB$2:$AB$3001,'Per Line'!$E$2:$E$3001,$B998,'Per Line'!$AQ$2:$AQ$3001,1))</f>
        <v/>
      </c>
      <c r="T998">
        <f>IF($AD998="","",Settings!$C$7)</f>
        <v/>
      </c>
      <c r="U998" s="7">
        <f>IF($AD998="","",SUMIFS('Per Line'!$AB$2:$AB$3001,'Per Line'!$E$2:$E$3001,$B998,'Per Line'!$AP$2:$AP$3001,0,'Per Line'!$AQ$2:$AQ$3001,0))</f>
        <v/>
      </c>
      <c r="V998" s="7">
        <f>IF($AD998="","",U998*T998)</f>
        <v/>
      </c>
      <c r="W998">
        <f>IF($AD998="","",Settings!$C$6)</f>
        <v/>
      </c>
      <c r="X998" s="7">
        <f>IF($AD998="","",SUMIFS('Per Line'!$AB$2:$AB$3001,'Per Line'!$E$2:$E$3001,$B998,'Per Line'!$AP$2:$AP$3001,1,'Per Line'!$AQ$2:$AQ$3001,0))</f>
        <v/>
      </c>
      <c r="Y998" s="7">
        <f>IF($AD998="","",X998*W998)</f>
        <v/>
      </c>
      <c r="Z998" s="7">
        <f>IF($AD998="","",Y998+V998)</f>
        <v/>
      </c>
      <c r="AA998" s="7">
        <f>IF($AD998="","",AB998-Z998)</f>
        <v/>
      </c>
      <c r="AB998" s="7">
        <f>IF($AD998="","",U998+X998+S998)</f>
        <v/>
      </c>
      <c r="AC998" s="7">
        <f>IF($AD998="","",AB998-Z998-P998)</f>
        <v/>
      </c>
      <c r="AD998" s="13">
        <f>IF(ROWS($AD$2:$AD998)&lt;=MAX('Per Line'!$AO$2:$AO$3001),MATCH(ROWS($AD$2:$AD998),'Per Line'!$AO$2:$AO$3001,0),"")</f>
        <v/>
      </c>
      <c r="AE998" s="14">
        <f>IF($AD998="","",P998-O998*AB998/100)</f>
        <v/>
      </c>
    </row>
    <row r="999">
      <c r="A999" s="12" t="n"/>
      <c r="B999">
        <f>IF($AD999="","",INDEX('Per Line'!$E$2:$E$3001,$AD999)&amp;"")</f>
        <v/>
      </c>
      <c r="C999">
        <f>IF($AD999="","",INDEX('Per Line'!$A$2:$A$3001,$AD999)&amp;"")</f>
        <v/>
      </c>
      <c r="D999">
        <f>IF($AD999="","",INDEX('Per Line'!$C$2:$C$3001,$AD999)&amp;"")</f>
        <v/>
      </c>
      <c r="E999">
        <f>IF($AD999="","",INDEX('Per Line'!$B$2:$B$3001,$AD999))</f>
        <v/>
      </c>
      <c r="F999">
        <f>IF($AD999="","",INDEX('Per Line'!$D$2:$D$3001,$AD999)&amp;"")</f>
        <v/>
      </c>
      <c r="G999" s="11">
        <f>IF($AD999="","",INDEX('Per Line'!$G$2:$G$3001,$AD999))</f>
        <v/>
      </c>
      <c r="H999">
        <f>IF($AD999="","",INDEX('Per Line'!$J$2:$J$3001,$AD999)&amp;"")</f>
        <v/>
      </c>
      <c r="I999">
        <f>IF($AD999="","",INDEX('Per Line'!$H$2:$H$3001,$AD999)&amp;"")</f>
        <v/>
      </c>
      <c r="J999">
        <f>IF($AD999="","",INDEX('Per Line'!$F$2:$F$3001,$AD999)&amp;"")</f>
        <v/>
      </c>
      <c r="K999">
        <f>IF($AD999="","",INDEX('Per Line'!$K$2:$K$3001,$AD999)&amp;"")</f>
        <v/>
      </c>
      <c r="L999">
        <f>IF($AD999="","",INDEX('Per Line'!$L$2:$L$3001,$AD999)&amp;"")</f>
        <v/>
      </c>
      <c r="M999">
        <f>IF($AD999="","",INDEX('Per Line'!$M$2:$M$3001,$AD999)&amp;"")</f>
        <v/>
      </c>
      <c r="N999">
        <f>IF($AD999="","",INDEX('Per Line'!$AC$2:$AC$3001,$AD999)&amp;"")</f>
        <v/>
      </c>
      <c r="O999">
        <f>IF($AD999="","",INDEX('Per Line'!$P$2:$P$3001,$AD999))</f>
        <v/>
      </c>
      <c r="P999" s="7">
        <f>IF($AD999="","",IF(AND(ISNUMBER(Q999),Q999&gt;0,AB999&gt;Q999),O999*Q999/100+(AB999-Q999),O999*AB999/100))</f>
        <v/>
      </c>
      <c r="Q999">
        <f>IF($AD999="","",INDEX('Per Line'!$AG$2:$AG$3001,$AD999))</f>
        <v/>
      </c>
      <c r="R999">
        <f>IF($AD999="","",IF(AND(ISNUMBER(Q999),Q999&gt;0),AB999&gt;Q999,FALSE))</f>
        <v/>
      </c>
      <c r="S999" s="7">
        <f>IF($AD999="","",SUMIFS('Per Line'!$AB$2:$AB$3001,'Per Line'!$E$2:$E$3001,$B999,'Per Line'!$AQ$2:$AQ$3001,1))</f>
        <v/>
      </c>
      <c r="T999">
        <f>IF($AD999="","",Settings!$C$7)</f>
        <v/>
      </c>
      <c r="U999" s="7">
        <f>IF($AD999="","",SUMIFS('Per Line'!$AB$2:$AB$3001,'Per Line'!$E$2:$E$3001,$B999,'Per Line'!$AP$2:$AP$3001,0,'Per Line'!$AQ$2:$AQ$3001,0))</f>
        <v/>
      </c>
      <c r="V999" s="7">
        <f>IF($AD999="","",U999*T999)</f>
        <v/>
      </c>
      <c r="W999">
        <f>IF($AD999="","",Settings!$C$6)</f>
        <v/>
      </c>
      <c r="X999" s="7">
        <f>IF($AD999="","",SUMIFS('Per Line'!$AB$2:$AB$3001,'Per Line'!$E$2:$E$3001,$B999,'Per Line'!$AP$2:$AP$3001,1,'Per Line'!$AQ$2:$AQ$3001,0))</f>
        <v/>
      </c>
      <c r="Y999" s="7">
        <f>IF($AD999="","",X999*W999)</f>
        <v/>
      </c>
      <c r="Z999" s="7">
        <f>IF($AD999="","",Y999+V999)</f>
        <v/>
      </c>
      <c r="AA999" s="7">
        <f>IF($AD999="","",AB999-Z999)</f>
        <v/>
      </c>
      <c r="AB999" s="7">
        <f>IF($AD999="","",U999+X999+S999)</f>
        <v/>
      </c>
      <c r="AC999" s="7">
        <f>IF($AD999="","",AB999-Z999-P999)</f>
        <v/>
      </c>
      <c r="AD999" s="13">
        <f>IF(ROWS($AD$2:$AD999)&lt;=MAX('Per Line'!$AO$2:$AO$3001),MATCH(ROWS($AD$2:$AD999),'Per Line'!$AO$2:$AO$3001,0),"")</f>
        <v/>
      </c>
      <c r="AE999" s="14">
        <f>IF($AD999="","",P999-O999*AB999/100)</f>
        <v/>
      </c>
    </row>
    <row r="1000">
      <c r="A1000" s="12" t="n"/>
      <c r="B1000">
        <f>IF($AD1000="","",INDEX('Per Line'!$E$2:$E$3001,$AD1000)&amp;"")</f>
        <v/>
      </c>
      <c r="C1000">
        <f>IF($AD1000="","",INDEX('Per Line'!$A$2:$A$3001,$AD1000)&amp;"")</f>
        <v/>
      </c>
      <c r="D1000">
        <f>IF($AD1000="","",INDEX('Per Line'!$C$2:$C$3001,$AD1000)&amp;"")</f>
        <v/>
      </c>
      <c r="E1000">
        <f>IF($AD1000="","",INDEX('Per Line'!$B$2:$B$3001,$AD1000))</f>
        <v/>
      </c>
      <c r="F1000">
        <f>IF($AD1000="","",INDEX('Per Line'!$D$2:$D$3001,$AD1000)&amp;"")</f>
        <v/>
      </c>
      <c r="G1000" s="11">
        <f>IF($AD1000="","",INDEX('Per Line'!$G$2:$G$3001,$AD1000))</f>
        <v/>
      </c>
      <c r="H1000">
        <f>IF($AD1000="","",INDEX('Per Line'!$J$2:$J$3001,$AD1000)&amp;"")</f>
        <v/>
      </c>
      <c r="I1000">
        <f>IF($AD1000="","",INDEX('Per Line'!$H$2:$H$3001,$AD1000)&amp;"")</f>
        <v/>
      </c>
      <c r="J1000">
        <f>IF($AD1000="","",INDEX('Per Line'!$F$2:$F$3001,$AD1000)&amp;"")</f>
        <v/>
      </c>
      <c r="K1000">
        <f>IF($AD1000="","",INDEX('Per Line'!$K$2:$K$3001,$AD1000)&amp;"")</f>
        <v/>
      </c>
      <c r="L1000">
        <f>IF($AD1000="","",INDEX('Per Line'!$L$2:$L$3001,$AD1000)&amp;"")</f>
        <v/>
      </c>
      <c r="M1000">
        <f>IF($AD1000="","",INDEX('Per Line'!$M$2:$M$3001,$AD1000)&amp;"")</f>
        <v/>
      </c>
      <c r="N1000">
        <f>IF($AD1000="","",INDEX('Per Line'!$AC$2:$AC$3001,$AD1000)&amp;"")</f>
        <v/>
      </c>
      <c r="O1000">
        <f>IF($AD1000="","",INDEX('Per Line'!$P$2:$P$3001,$AD1000))</f>
        <v/>
      </c>
      <c r="P1000" s="7">
        <f>IF($AD1000="","",IF(AND(ISNUMBER(Q1000),Q1000&gt;0,AB1000&gt;Q1000),O1000*Q1000/100+(AB1000-Q1000),O1000*AB1000/100))</f>
        <v/>
      </c>
      <c r="Q1000">
        <f>IF($AD1000="","",INDEX('Per Line'!$AG$2:$AG$3001,$AD1000))</f>
        <v/>
      </c>
      <c r="R1000">
        <f>IF($AD1000="","",IF(AND(ISNUMBER(Q1000),Q1000&gt;0),AB1000&gt;Q1000,FALSE))</f>
        <v/>
      </c>
      <c r="S1000" s="7">
        <f>IF($AD1000="","",SUMIFS('Per Line'!$AB$2:$AB$3001,'Per Line'!$E$2:$E$3001,$B1000,'Per Line'!$AQ$2:$AQ$3001,1))</f>
        <v/>
      </c>
      <c r="T1000">
        <f>IF($AD1000="","",Settings!$C$7)</f>
        <v/>
      </c>
      <c r="U1000" s="7">
        <f>IF($AD1000="","",SUMIFS('Per Line'!$AB$2:$AB$3001,'Per Line'!$E$2:$E$3001,$B1000,'Per Line'!$AP$2:$AP$3001,0,'Per Line'!$AQ$2:$AQ$3001,0))</f>
        <v/>
      </c>
      <c r="V1000" s="7">
        <f>IF($AD1000="","",U1000*T1000)</f>
        <v/>
      </c>
      <c r="W1000">
        <f>IF($AD1000="","",Settings!$C$6)</f>
        <v/>
      </c>
      <c r="X1000" s="7">
        <f>IF($AD1000="","",SUMIFS('Per Line'!$AB$2:$AB$3001,'Per Line'!$E$2:$E$3001,$B1000,'Per Line'!$AP$2:$AP$3001,1,'Per Line'!$AQ$2:$AQ$3001,0))</f>
        <v/>
      </c>
      <c r="Y1000" s="7">
        <f>IF($AD1000="","",X1000*W1000)</f>
        <v/>
      </c>
      <c r="Z1000" s="7">
        <f>IF($AD1000="","",Y1000+V1000)</f>
        <v/>
      </c>
      <c r="AA1000" s="7">
        <f>IF($AD1000="","",AB1000-Z1000)</f>
        <v/>
      </c>
      <c r="AB1000" s="7">
        <f>IF($AD1000="","",U1000+X1000+S1000)</f>
        <v/>
      </c>
      <c r="AC1000" s="7">
        <f>IF($AD1000="","",AB1000-Z1000-P1000)</f>
        <v/>
      </c>
      <c r="AD1000" s="13">
        <f>IF(ROWS($AD$2:$AD1000)&lt;=MAX('Per Line'!$AO$2:$AO$3001),MATCH(ROWS($AD$2:$AD1000),'Per Line'!$AO$2:$AO$3001,0),"")</f>
        <v/>
      </c>
      <c r="AE1000" s="14">
        <f>IF($AD1000="","",P1000-O1000*AB1000/100)</f>
        <v/>
      </c>
    </row>
    <row r="1001">
      <c r="A1001" s="12" t="n"/>
      <c r="B1001">
        <f>IF($AD1001="","",INDEX('Per Line'!$E$2:$E$3001,$AD1001)&amp;"")</f>
        <v/>
      </c>
      <c r="C1001">
        <f>IF($AD1001="","",INDEX('Per Line'!$A$2:$A$3001,$AD1001)&amp;"")</f>
        <v/>
      </c>
      <c r="D1001">
        <f>IF($AD1001="","",INDEX('Per Line'!$C$2:$C$3001,$AD1001)&amp;"")</f>
        <v/>
      </c>
      <c r="E1001">
        <f>IF($AD1001="","",INDEX('Per Line'!$B$2:$B$3001,$AD1001))</f>
        <v/>
      </c>
      <c r="F1001">
        <f>IF($AD1001="","",INDEX('Per Line'!$D$2:$D$3001,$AD1001)&amp;"")</f>
        <v/>
      </c>
      <c r="G1001" s="11">
        <f>IF($AD1001="","",INDEX('Per Line'!$G$2:$G$3001,$AD1001))</f>
        <v/>
      </c>
      <c r="H1001">
        <f>IF($AD1001="","",INDEX('Per Line'!$J$2:$J$3001,$AD1001)&amp;"")</f>
        <v/>
      </c>
      <c r="I1001">
        <f>IF($AD1001="","",INDEX('Per Line'!$H$2:$H$3001,$AD1001)&amp;"")</f>
        <v/>
      </c>
      <c r="J1001">
        <f>IF($AD1001="","",INDEX('Per Line'!$F$2:$F$3001,$AD1001)&amp;"")</f>
        <v/>
      </c>
      <c r="K1001">
        <f>IF($AD1001="","",INDEX('Per Line'!$K$2:$K$3001,$AD1001)&amp;"")</f>
        <v/>
      </c>
      <c r="L1001">
        <f>IF($AD1001="","",INDEX('Per Line'!$L$2:$L$3001,$AD1001)&amp;"")</f>
        <v/>
      </c>
      <c r="M1001">
        <f>IF($AD1001="","",INDEX('Per Line'!$M$2:$M$3001,$AD1001)&amp;"")</f>
        <v/>
      </c>
      <c r="N1001">
        <f>IF($AD1001="","",INDEX('Per Line'!$AC$2:$AC$3001,$AD1001)&amp;"")</f>
        <v/>
      </c>
      <c r="O1001">
        <f>IF($AD1001="","",INDEX('Per Line'!$P$2:$P$3001,$AD1001))</f>
        <v/>
      </c>
      <c r="P1001" s="7">
        <f>IF($AD1001="","",IF(AND(ISNUMBER(Q1001),Q1001&gt;0,AB1001&gt;Q1001),O1001*Q1001/100+(AB1001-Q1001),O1001*AB1001/100))</f>
        <v/>
      </c>
      <c r="Q1001">
        <f>IF($AD1001="","",INDEX('Per Line'!$AG$2:$AG$3001,$AD1001))</f>
        <v/>
      </c>
      <c r="R1001">
        <f>IF($AD1001="","",IF(AND(ISNUMBER(Q1001),Q1001&gt;0),AB1001&gt;Q1001,FALSE))</f>
        <v/>
      </c>
      <c r="S1001" s="7">
        <f>IF($AD1001="","",SUMIFS('Per Line'!$AB$2:$AB$3001,'Per Line'!$E$2:$E$3001,$B1001,'Per Line'!$AQ$2:$AQ$3001,1))</f>
        <v/>
      </c>
      <c r="T1001">
        <f>IF($AD1001="","",Settings!$C$7)</f>
        <v/>
      </c>
      <c r="U1001" s="7">
        <f>IF($AD1001="","",SUMIFS('Per Line'!$AB$2:$AB$3001,'Per Line'!$E$2:$E$3001,$B1001,'Per Line'!$AP$2:$AP$3001,0,'Per Line'!$AQ$2:$AQ$3001,0))</f>
        <v/>
      </c>
      <c r="V1001" s="7">
        <f>IF($AD1001="","",U1001*T1001)</f>
        <v/>
      </c>
      <c r="W1001">
        <f>IF($AD1001="","",Settings!$C$6)</f>
        <v/>
      </c>
      <c r="X1001" s="7">
        <f>IF($AD1001="","",SUMIFS('Per Line'!$AB$2:$AB$3001,'Per Line'!$E$2:$E$3001,$B1001,'Per Line'!$AP$2:$AP$3001,1,'Per Line'!$AQ$2:$AQ$3001,0))</f>
        <v/>
      </c>
      <c r="Y1001" s="7">
        <f>IF($AD1001="","",X1001*W1001)</f>
        <v/>
      </c>
      <c r="Z1001" s="7">
        <f>IF($AD1001="","",Y1001+V1001)</f>
        <v/>
      </c>
      <c r="AA1001" s="7">
        <f>IF($AD1001="","",AB1001-Z1001)</f>
        <v/>
      </c>
      <c r="AB1001" s="7">
        <f>IF($AD1001="","",U1001+X1001+S1001)</f>
        <v/>
      </c>
      <c r="AC1001" s="7">
        <f>IF($AD1001="","",AB1001-Z1001-P1001)</f>
        <v/>
      </c>
      <c r="AD1001" s="13">
        <f>IF(ROWS($AD$2:$AD1001)&lt;=MAX('Per Line'!$AO$2:$AO$3001),MATCH(ROWS($AD$2:$AD1001),'Per Line'!$AO$2:$AO$3001,0),"")</f>
        <v/>
      </c>
      <c r="AE1001" s="14">
        <f>IF($AD1001="","",P1001-O1001*AB1001/100)</f>
        <v/>
      </c>
    </row>
  </sheetData>
  <autoFilter ref="A1:A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2026-10-12T10:14:42Z</dcterms:created>
  <dcterms:modified xmlns:dcterms="http://purl.org/dc/terms/" xmlns:xsi="http://www.w3.org/2001/XMLSchema-instance" xsi:type="dcterms:W3CDTF">2026-10-12T10:14:43Z</dcterms:modified>
</cp:coreProperties>
</file>